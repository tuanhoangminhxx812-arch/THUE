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quyennn\Downloads\"/>
    </mc:Choice>
  </mc:AlternateContent>
  <xr:revisionPtr revIDLastSave="0" documentId="13_ncr:1_{B7E25175-8D1C-42CB-B430-41BD73310C47}" xr6:coauthVersionLast="36" xr6:coauthVersionMax="36" xr10:uidLastSave="{00000000-0000-0000-0000-000000000000}"/>
  <bookViews>
    <workbookView xWindow="0" yWindow="0" windowWidth="27945" windowHeight="12180" firstSheet="40" activeTab="47" xr2:uid="{00000000-000D-0000-FFFF-FFFF00000000}"/>
  </bookViews>
  <sheets>
    <sheet name="01.2020" sheetId="27" r:id="rId1"/>
    <sheet name="02.2020" sheetId="28" r:id="rId2"/>
    <sheet name="03.2020" sheetId="30" r:id="rId3"/>
    <sheet name="04.2020" sheetId="31" r:id="rId4"/>
    <sheet name=" 05.2020" sheetId="32" r:id="rId5"/>
    <sheet name="06.2020" sheetId="33" r:id="rId6"/>
    <sheet name="07.2020" sheetId="34" r:id="rId7"/>
    <sheet name="08.2020" sheetId="35" r:id="rId8"/>
    <sheet name="09.2020" sheetId="36" r:id="rId9"/>
    <sheet name="09.2020 NGUYÊN" sheetId="37" r:id="rId10"/>
    <sheet name="10.2020" sheetId="38" r:id="rId11"/>
    <sheet name="11.2020" sheetId="39" r:id="rId12"/>
    <sheet name="12.2020" sheetId="40" r:id="rId13"/>
    <sheet name="01.2021" sheetId="41" r:id="rId14"/>
    <sheet name="02.2021" sheetId="42" r:id="rId15"/>
    <sheet name="03.2021" sheetId="43" r:id="rId16"/>
    <sheet name="04.2021" sheetId="44" r:id="rId17"/>
    <sheet name="05.2021" sheetId="45" r:id="rId18"/>
    <sheet name="06.2021" sheetId="46" r:id="rId19"/>
    <sheet name="07.2021" sheetId="47" r:id="rId20"/>
    <sheet name="08.2021" sheetId="48" r:id="rId21"/>
    <sheet name="09.2021" sheetId="49" r:id="rId22"/>
    <sheet name="10.2021" sheetId="50" r:id="rId23"/>
    <sheet name="11.2021" sheetId="51" r:id="rId24"/>
    <sheet name="12.2021" sheetId="52" r:id="rId25"/>
    <sheet name="01.2022" sheetId="53" r:id="rId26"/>
    <sheet name="02.2022" sheetId="54" r:id="rId27"/>
    <sheet name="03.2022" sheetId="55" r:id="rId28"/>
    <sheet name="04.2022" sheetId="56" r:id="rId29"/>
    <sheet name="6.2022" sheetId="57" r:id="rId30"/>
    <sheet name="07.02022" sheetId="58" r:id="rId31"/>
    <sheet name="08.2022" sheetId="59" r:id="rId32"/>
    <sheet name="09.2022" sheetId="60" r:id="rId33"/>
    <sheet name="10.2022" sheetId="61" r:id="rId34"/>
    <sheet name="11.2022" sheetId="62" r:id="rId35"/>
    <sheet name="12.2022" sheetId="63" r:id="rId36"/>
    <sheet name="01.2023" sheetId="64" r:id="rId37"/>
    <sheet name="02.2023" sheetId="65" r:id="rId38"/>
    <sheet name="03.2023" sheetId="66" r:id="rId39"/>
    <sheet name="11.2023" sheetId="67" r:id="rId40"/>
    <sheet name="12-2023" sheetId="68" r:id="rId41"/>
    <sheet name="04-2025" sheetId="69" r:id="rId42"/>
    <sheet name="06-2025" sheetId="70" r:id="rId43"/>
    <sheet name="07-2025" sheetId="71" r:id="rId44"/>
    <sheet name="08-2025" sheetId="72" r:id="rId45"/>
    <sheet name="09-2025" sheetId="73" r:id="rId46"/>
    <sheet name="10-2025" sheetId="74" r:id="rId47"/>
    <sheet name="092026" sheetId="75" r:id="rId48"/>
  </sheets>
  <externalReferences>
    <externalReference r:id="rId49"/>
    <externalReference r:id="rId50"/>
  </externalReferences>
  <calcPr calcId="191029"/>
</workbook>
</file>

<file path=xl/calcChain.xml><?xml version="1.0" encoding="utf-8"?>
<calcChain xmlns="http://schemas.openxmlformats.org/spreadsheetml/2006/main">
  <c r="I15" i="75" l="1"/>
  <c r="H15" i="75"/>
  <c r="K14" i="75"/>
  <c r="K13" i="75"/>
  <c r="K12" i="75"/>
  <c r="K11" i="75"/>
  <c r="K10" i="75"/>
  <c r="K9" i="75"/>
  <c r="K15" i="75" s="1"/>
  <c r="A16" i="74" a="1"/>
  <c r="A16" i="74"/>
  <c r="K15" i="74"/>
  <c r="I15" i="74"/>
  <c r="H15" i="74"/>
  <c r="K14" i="74"/>
  <c r="K13" i="74"/>
  <c r="K12" i="74"/>
  <c r="K11" i="74"/>
  <c r="K10" i="74"/>
  <c r="K9" i="74"/>
  <c r="I15" i="73"/>
  <c r="G15" i="73"/>
  <c r="F15" i="73"/>
  <c r="I14" i="73"/>
  <c r="I13" i="73"/>
  <c r="I12" i="73"/>
  <c r="I11" i="73"/>
  <c r="I10" i="73"/>
  <c r="I9" i="73"/>
  <c r="I15" i="72"/>
  <c r="G15" i="72"/>
  <c r="F15" i="72"/>
  <c r="I14" i="72"/>
  <c r="I13" i="72"/>
  <c r="I12" i="72"/>
  <c r="I11" i="72"/>
  <c r="I10" i="72"/>
  <c r="I9" i="72"/>
  <c r="I15" i="71"/>
  <c r="G15" i="71"/>
  <c r="F15" i="71"/>
  <c r="I14" i="71"/>
  <c r="I13" i="71"/>
  <c r="I12" i="71"/>
  <c r="I11" i="71"/>
  <c r="I10" i="71"/>
  <c r="I9" i="71"/>
  <c r="I15" i="70"/>
  <c r="G15" i="70"/>
  <c r="F15" i="70"/>
  <c r="I14" i="70"/>
  <c r="I13" i="70"/>
  <c r="I12" i="70"/>
  <c r="I11" i="70"/>
  <c r="I10" i="70"/>
  <c r="I9" i="70"/>
  <c r="I15" i="69"/>
  <c r="G15" i="69"/>
  <c r="F15" i="69"/>
  <c r="I14" i="69"/>
  <c r="I13" i="69"/>
  <c r="I12" i="69"/>
  <c r="I11" i="69"/>
  <c r="I10" i="69"/>
  <c r="I9" i="69"/>
  <c r="I15" i="68"/>
  <c r="G15" i="68"/>
  <c r="F15" i="68"/>
  <c r="I14" i="68"/>
  <c r="I13" i="68"/>
  <c r="I12" i="68"/>
  <c r="I11" i="68"/>
  <c r="I10" i="68"/>
  <c r="I9" i="68"/>
  <c r="I15" i="67"/>
  <c r="G15" i="67"/>
  <c r="F15" i="67"/>
  <c r="I14" i="67"/>
  <c r="I13" i="67"/>
  <c r="I12" i="67"/>
  <c r="I11" i="67"/>
  <c r="I10" i="67"/>
  <c r="I9" i="67"/>
  <c r="I15" i="66"/>
  <c r="G15" i="66"/>
  <c r="F15" i="66"/>
  <c r="I14" i="66"/>
  <c r="I13" i="66"/>
  <c r="I12" i="66"/>
  <c r="I11" i="66"/>
  <c r="I10" i="66"/>
  <c r="I9" i="66"/>
  <c r="I15" i="65"/>
  <c r="G15" i="65"/>
  <c r="F15" i="65"/>
  <c r="I14" i="65"/>
  <c r="I13" i="65"/>
  <c r="I12" i="65"/>
  <c r="I11" i="65"/>
  <c r="I10" i="65"/>
  <c r="I9" i="65"/>
  <c r="I15" i="64"/>
  <c r="G15" i="64"/>
  <c r="F15" i="64"/>
  <c r="I14" i="64"/>
  <c r="I13" i="64"/>
  <c r="I12" i="64"/>
  <c r="I11" i="64"/>
  <c r="I10" i="64"/>
  <c r="I9" i="64"/>
  <c r="I15" i="63"/>
  <c r="G15" i="63"/>
  <c r="F15" i="63"/>
  <c r="I13" i="63"/>
  <c r="I12" i="63"/>
  <c r="I11" i="63"/>
  <c r="I10" i="63"/>
  <c r="I9" i="63"/>
  <c r="I15" i="62"/>
  <c r="G15" i="62"/>
  <c r="F15" i="62"/>
  <c r="I14" i="62"/>
  <c r="I13" i="62"/>
  <c r="I12" i="62"/>
  <c r="I11" i="62"/>
  <c r="I10" i="62"/>
  <c r="I9" i="62"/>
  <c r="I15" i="61"/>
  <c r="G15" i="61"/>
  <c r="F15" i="61"/>
  <c r="I14" i="61"/>
  <c r="I13" i="61"/>
  <c r="I12" i="61"/>
  <c r="I11" i="61"/>
  <c r="I10" i="61"/>
  <c r="I9" i="61"/>
  <c r="I15" i="60"/>
  <c r="G15" i="60"/>
  <c r="F15" i="60"/>
  <c r="I14" i="60"/>
  <c r="I13" i="60"/>
  <c r="I12" i="60"/>
  <c r="I11" i="60"/>
  <c r="I10" i="60"/>
  <c r="I9" i="60"/>
  <c r="I15" i="59"/>
  <c r="G15" i="59"/>
  <c r="F15" i="59"/>
  <c r="I14" i="59"/>
  <c r="I13" i="59"/>
  <c r="I12" i="59"/>
  <c r="I11" i="59"/>
  <c r="I10" i="59"/>
  <c r="I9" i="59"/>
  <c r="I15" i="58"/>
  <c r="G15" i="58"/>
  <c r="F15" i="58"/>
  <c r="I14" i="58"/>
  <c r="I13" i="58"/>
  <c r="I12" i="58"/>
  <c r="I11" i="58"/>
  <c r="I10" i="58"/>
  <c r="I9" i="58"/>
  <c r="I14" i="57"/>
  <c r="G14" i="57"/>
  <c r="F14" i="57"/>
  <c r="I13" i="57"/>
  <c r="I12" i="57"/>
  <c r="I11" i="57"/>
  <c r="I10" i="57"/>
  <c r="I9" i="57"/>
  <c r="I8" i="57"/>
  <c r="I14" i="56"/>
  <c r="G14" i="56"/>
  <c r="F14" i="56"/>
  <c r="I13" i="56"/>
  <c r="I12" i="56"/>
  <c r="I11" i="56"/>
  <c r="I10" i="56"/>
  <c r="I9" i="56"/>
  <c r="I8" i="56"/>
  <c r="I14" i="55"/>
  <c r="G14" i="55"/>
  <c r="F14" i="55"/>
  <c r="I13" i="55"/>
  <c r="I12" i="55"/>
  <c r="I11" i="55"/>
  <c r="I10" i="55"/>
  <c r="I9" i="55"/>
  <c r="I8" i="55"/>
  <c r="I14" i="54"/>
  <c r="G14" i="54"/>
  <c r="F14" i="54"/>
  <c r="I13" i="54"/>
  <c r="I12" i="54"/>
  <c r="I11" i="54"/>
  <c r="I10" i="54"/>
  <c r="I9" i="54"/>
  <c r="I8" i="54"/>
  <c r="I14" i="53"/>
  <c r="G14" i="53"/>
  <c r="F14" i="53"/>
  <c r="I13" i="53"/>
  <c r="I12" i="53"/>
  <c r="I11" i="53"/>
  <c r="I10" i="53"/>
  <c r="I9" i="53"/>
  <c r="I8" i="53"/>
  <c r="I14" i="52"/>
  <c r="G14" i="52"/>
  <c r="F14" i="52"/>
  <c r="I13" i="52"/>
  <c r="I12" i="52"/>
  <c r="I11" i="52"/>
  <c r="I10" i="52"/>
  <c r="I9" i="52"/>
  <c r="I8" i="52"/>
  <c r="I17" i="51"/>
  <c r="G17" i="51"/>
  <c r="F17" i="51"/>
  <c r="I16" i="51"/>
  <c r="I15" i="51"/>
  <c r="I14" i="51"/>
  <c r="I13" i="51"/>
  <c r="I12" i="51"/>
  <c r="I11" i="51"/>
  <c r="I10" i="51"/>
  <c r="I9" i="51"/>
  <c r="I8" i="51"/>
  <c r="I17" i="50"/>
  <c r="G17" i="50"/>
  <c r="F17" i="50"/>
  <c r="I16" i="50"/>
  <c r="I15" i="50"/>
  <c r="I14" i="50"/>
  <c r="I13" i="50"/>
  <c r="I12" i="50"/>
  <c r="I11" i="50"/>
  <c r="I10" i="50"/>
  <c r="I9" i="50"/>
  <c r="I8" i="50"/>
  <c r="I17" i="49"/>
  <c r="G17" i="49"/>
  <c r="F17" i="49"/>
  <c r="I16" i="49"/>
  <c r="I15" i="49"/>
  <c r="I14" i="49"/>
  <c r="I13" i="49"/>
  <c r="I12" i="49"/>
  <c r="I11" i="49"/>
  <c r="I10" i="49"/>
  <c r="I9" i="49"/>
  <c r="I8" i="49"/>
  <c r="I17" i="48"/>
  <c r="G17" i="48"/>
  <c r="F17" i="48"/>
  <c r="I16" i="48"/>
  <c r="I15" i="48"/>
  <c r="I14" i="48"/>
  <c r="I13" i="48"/>
  <c r="I12" i="48"/>
  <c r="I11" i="48"/>
  <c r="I10" i="48"/>
  <c r="I9" i="48"/>
  <c r="I8" i="48"/>
  <c r="I17" i="47"/>
  <c r="G17" i="47"/>
  <c r="F17" i="47"/>
  <c r="I16" i="47"/>
  <c r="I15" i="47"/>
  <c r="I14" i="47"/>
  <c r="I13" i="47"/>
  <c r="I12" i="47"/>
  <c r="I11" i="47"/>
  <c r="I10" i="47"/>
  <c r="I9" i="47"/>
  <c r="I8" i="47"/>
  <c r="I17" i="46"/>
  <c r="G17" i="46"/>
  <c r="F17" i="46"/>
  <c r="I16" i="46"/>
  <c r="I15" i="46"/>
  <c r="I14" i="46"/>
  <c r="I13" i="46"/>
  <c r="I12" i="46"/>
  <c r="I11" i="46"/>
  <c r="I10" i="46"/>
  <c r="I9" i="46"/>
  <c r="I8" i="46"/>
  <c r="I17" i="45"/>
  <c r="G17" i="45"/>
  <c r="F17" i="45"/>
  <c r="I16" i="45"/>
  <c r="I15" i="45"/>
  <c r="I14" i="45"/>
  <c r="I13" i="45"/>
  <c r="I12" i="45"/>
  <c r="I11" i="45"/>
  <c r="I10" i="45"/>
  <c r="I9" i="45"/>
  <c r="I8" i="45"/>
  <c r="I17" i="44"/>
  <c r="G17" i="44"/>
  <c r="F17" i="44"/>
  <c r="I16" i="44"/>
  <c r="I15" i="44"/>
  <c r="I14" i="44"/>
  <c r="I13" i="44"/>
  <c r="I12" i="44"/>
  <c r="I11" i="44"/>
  <c r="I10" i="44"/>
  <c r="I9" i="44"/>
  <c r="I8" i="44"/>
  <c r="I17" i="43"/>
  <c r="G17" i="43"/>
  <c r="F17" i="43"/>
  <c r="I16" i="43"/>
  <c r="I15" i="43"/>
  <c r="I14" i="43"/>
  <c r="I13" i="43"/>
  <c r="I12" i="43"/>
  <c r="I11" i="43"/>
  <c r="I10" i="43"/>
  <c r="I9" i="43"/>
  <c r="I8" i="43"/>
  <c r="I17" i="42"/>
  <c r="G17" i="42"/>
  <c r="F17" i="42"/>
  <c r="I16" i="42"/>
  <c r="I15" i="42"/>
  <c r="I14" i="42"/>
  <c r="I13" i="42"/>
  <c r="I12" i="42"/>
  <c r="I11" i="42"/>
  <c r="I10" i="42"/>
  <c r="I9" i="42"/>
  <c r="I8" i="42"/>
  <c r="I17" i="41"/>
  <c r="G17" i="41"/>
  <c r="F17" i="41"/>
  <c r="I16" i="41"/>
  <c r="I15" i="41"/>
  <c r="I14" i="41"/>
  <c r="I13" i="41"/>
  <c r="I12" i="41"/>
  <c r="I11" i="41"/>
  <c r="I10" i="41"/>
  <c r="I9" i="41"/>
  <c r="I8" i="41"/>
  <c r="I17" i="40"/>
  <c r="G17" i="40"/>
  <c r="F17" i="40"/>
  <c r="I16" i="40"/>
  <c r="I15" i="40"/>
  <c r="I14" i="40"/>
  <c r="I13" i="40"/>
  <c r="I12" i="40"/>
  <c r="I11" i="40"/>
  <c r="I10" i="40"/>
  <c r="I9" i="40"/>
  <c r="I8" i="40"/>
  <c r="I17" i="39"/>
  <c r="G17" i="39"/>
  <c r="F17" i="39"/>
  <c r="I16" i="39"/>
  <c r="I15" i="39"/>
  <c r="I14" i="39"/>
  <c r="I13" i="39"/>
  <c r="I12" i="39"/>
  <c r="I11" i="39"/>
  <c r="I10" i="39"/>
  <c r="I9" i="39"/>
  <c r="I8" i="39"/>
  <c r="I17" i="38"/>
  <c r="G17" i="38"/>
  <c r="F17" i="38"/>
  <c r="I16" i="38"/>
  <c r="I15" i="38"/>
  <c r="I14" i="38"/>
  <c r="I13" i="38"/>
  <c r="I12" i="38"/>
  <c r="I11" i="38"/>
  <c r="I10" i="38"/>
  <c r="I9" i="38"/>
  <c r="I8" i="38"/>
  <c r="I18" i="37"/>
  <c r="H18" i="37"/>
  <c r="G18" i="37"/>
  <c r="F18" i="37"/>
  <c r="I17" i="37"/>
  <c r="I16" i="37"/>
  <c r="I15" i="37"/>
  <c r="I14" i="37"/>
  <c r="I13" i="37"/>
  <c r="I12" i="37"/>
  <c r="I11" i="37"/>
  <c r="I10" i="37"/>
  <c r="I9" i="37"/>
  <c r="I8" i="37"/>
  <c r="I17" i="36"/>
  <c r="H17" i="36"/>
  <c r="G17" i="36"/>
  <c r="F17" i="36"/>
  <c r="I16" i="36"/>
  <c r="I15" i="36"/>
  <c r="I14" i="36"/>
  <c r="I13" i="36"/>
  <c r="I12" i="36"/>
  <c r="I11" i="36"/>
  <c r="I10" i="36"/>
  <c r="I9" i="36"/>
  <c r="I8" i="36"/>
  <c r="I18" i="35"/>
  <c r="H18" i="35"/>
  <c r="G18" i="35"/>
  <c r="F18" i="35"/>
  <c r="I17" i="35"/>
  <c r="I16" i="35"/>
  <c r="I15" i="35"/>
  <c r="I14" i="35"/>
  <c r="I13" i="35"/>
  <c r="I12" i="35"/>
  <c r="I11" i="35"/>
  <c r="I10" i="35"/>
  <c r="I9" i="35"/>
  <c r="I8" i="35"/>
  <c r="I18" i="34"/>
  <c r="H18" i="34"/>
  <c r="G18" i="34"/>
  <c r="F18" i="34"/>
  <c r="I17" i="34"/>
  <c r="I16" i="34"/>
  <c r="I15" i="34"/>
  <c r="I14" i="34"/>
  <c r="I13" i="34"/>
  <c r="I12" i="34"/>
  <c r="I11" i="34"/>
  <c r="I10" i="34"/>
  <c r="I9" i="34"/>
  <c r="I8" i="34"/>
  <c r="I18" i="33"/>
  <c r="H18" i="33"/>
  <c r="G18" i="33"/>
  <c r="F18" i="33"/>
  <c r="I17" i="33"/>
  <c r="I16" i="33"/>
  <c r="I15" i="33"/>
  <c r="I14" i="33"/>
  <c r="I13" i="33"/>
  <c r="I12" i="33"/>
  <c r="I11" i="33"/>
  <c r="I10" i="33"/>
  <c r="I9" i="33"/>
  <c r="I8" i="33"/>
  <c r="I18" i="32"/>
  <c r="H18" i="32"/>
  <c r="G18" i="32"/>
  <c r="F18" i="32"/>
  <c r="I17" i="32"/>
  <c r="I16" i="32"/>
  <c r="I15" i="32"/>
  <c r="I14" i="32"/>
  <c r="I13" i="32"/>
  <c r="I12" i="32"/>
  <c r="I11" i="32"/>
  <c r="I10" i="32"/>
  <c r="I9" i="32"/>
  <c r="I8" i="32"/>
  <c r="I18" i="31"/>
  <c r="H18" i="31"/>
  <c r="G18" i="31"/>
  <c r="F18" i="31"/>
  <c r="I17" i="31"/>
  <c r="I16" i="31"/>
  <c r="I15" i="31"/>
  <c r="I14" i="31"/>
  <c r="I13" i="31"/>
  <c r="I12" i="31"/>
  <c r="I11" i="31"/>
  <c r="I10" i="31"/>
  <c r="I9" i="31"/>
  <c r="I8" i="31"/>
  <c r="I18" i="30"/>
  <c r="G18" i="30"/>
  <c r="F18" i="30"/>
  <c r="I17" i="30"/>
  <c r="I16" i="30"/>
  <c r="I15" i="30"/>
  <c r="I14" i="30"/>
  <c r="I13" i="30"/>
  <c r="I12" i="30"/>
  <c r="I11" i="30"/>
  <c r="I10" i="30"/>
  <c r="I9" i="30"/>
  <c r="I8" i="30"/>
  <c r="I22" i="28"/>
  <c r="H22" i="28"/>
  <c r="G22" i="28"/>
  <c r="F22" i="28"/>
  <c r="I21" i="28"/>
  <c r="G21" i="28"/>
  <c r="F21" i="28"/>
  <c r="I20" i="28"/>
  <c r="I19" i="28"/>
  <c r="I18" i="28"/>
  <c r="G18" i="28"/>
  <c r="F18" i="28"/>
  <c r="I17" i="28"/>
  <c r="I16" i="28"/>
  <c r="I15" i="28"/>
  <c r="I14" i="28"/>
  <c r="I13" i="28"/>
  <c r="I12" i="28"/>
  <c r="I11" i="28"/>
  <c r="I10" i="28"/>
  <c r="I9" i="28"/>
  <c r="I8" i="28"/>
  <c r="I20" i="27"/>
  <c r="H20" i="27"/>
  <c r="G20" i="27"/>
  <c r="F20" i="27"/>
  <c r="I19" i="27"/>
  <c r="I18" i="27"/>
  <c r="H18" i="27"/>
  <c r="G18" i="27"/>
  <c r="F18" i="27"/>
  <c r="I17" i="27"/>
  <c r="I16" i="27"/>
  <c r="I15" i="27"/>
  <c r="I14" i="27"/>
  <c r="I13" i="27"/>
  <c r="I12" i="27"/>
  <c r="I11" i="27"/>
  <c r="I10" i="27"/>
  <c r="I9" i="27"/>
  <c r="I8" i="27"/>
  <c r="A16" i="75" a="1"/>
  <c r="A16" i="75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<sst xmlns="http://schemas.openxmlformats.org/spreadsheetml/2006/main" count="1783" uniqueCount="144">
  <si>
    <t xml:space="preserve">CÔNG TY </t>
  </si>
  <si>
    <t>CỘNG HÒA XÃ HỘI CHỦ NGHĨA VIỆT NAM</t>
  </si>
  <si>
    <t>ĐIỆN LỰC BÀ RỊA - VŨNG TÀU</t>
  </si>
  <si>
    <t>Độc Lập - Tự Do - Hạnh Phúc</t>
  </si>
  <si>
    <t>ĐIỆN LỰC THỊ XÃ PHÚ MỸ</t>
  </si>
  <si>
    <t>Phú Mỹ, ngày     tháng 01 năm 2020</t>
  </si>
  <si>
    <t>BẢNG KÊ SẢN LƯỢNG TIÊU THỤ VÀ TIỀN ĐIỆN CỦA 
Công Ty TNHH Nhôm Toàn Cầu Việt Nam Thuế GTGT 0%</t>
  </si>
  <si>
    <t>STT</t>
  </si>
  <si>
    <t>Mã Khách Hàng</t>
  </si>
  <si>
    <t>Danh Số</t>
  </si>
  <si>
    <t>Địa Chỉ</t>
  </si>
  <si>
    <t>Kỳ/Tháng/Năm</t>
  </si>
  <si>
    <t>Điện Tiêu
 Thụ</t>
  </si>
  <si>
    <t>Tiền PS</t>
  </si>
  <si>
    <t>Thuế PS</t>
  </si>
  <si>
    <t>Tổng Tiền</t>
  </si>
  <si>
    <t>PB15040046331</t>
  </si>
  <si>
    <t>AW06695</t>
  </si>
  <si>
    <t>KCN Mỹ Xuân, huyện Tân Thành, tỉnh BRVT</t>
  </si>
  <si>
    <t>PB15040049659</t>
  </si>
  <si>
    <t>AW06880</t>
  </si>
  <si>
    <t>PB15040050211</t>
  </si>
  <si>
    <t>AW06890</t>
  </si>
  <si>
    <t>PB15040053321</t>
  </si>
  <si>
    <t>AW06693</t>
  </si>
  <si>
    <t>-</t>
  </si>
  <si>
    <t>Tổng Tiền điện</t>
  </si>
  <si>
    <t>PB15040046331( VÔ CÔNG)</t>
  </si>
  <si>
    <t>Tổng Cộng</t>
  </si>
  <si>
    <t>Lập Biểu</t>
  </si>
  <si>
    <t>Tổ Trưởng Tổ TN</t>
  </si>
  <si>
    <t>Giám Đốc</t>
  </si>
  <si>
    <t>Huỳnh Thị Thái Diệu</t>
  </si>
  <si>
    <t>Trịnh Thuận Lễ</t>
  </si>
  <si>
    <t>Vũ Hồng Tráng</t>
  </si>
  <si>
    <t>Phú Mỹ, ngày     tháng 02 năm 2020</t>
  </si>
  <si>
    <t>PB15040050211( VÔ CÔNG)</t>
  </si>
  <si>
    <t>Tổng Tiền vô công</t>
  </si>
  <si>
    <t>Phú Mỹ, ngày     tháng 03 năm 2020</t>
  </si>
  <si>
    <t>Phú Mỹ, ngày     tháng 04 năm 2020</t>
  </si>
  <si>
    <t xml:space="preserve"> </t>
  </si>
  <si>
    <t>Phú Mỹ, ngày     tháng 05 năm 2020</t>
  </si>
  <si>
    <t>Phú Mỹ, ngày     tháng 06 năm 2020</t>
  </si>
  <si>
    <t>Phú Mỹ, ngày     tháng 07 năm 2020</t>
  </si>
  <si>
    <t>Phú Mỹ, ngày     tháng 08 năm 2020</t>
  </si>
  <si>
    <t>Phú Mỹ, ngày     tháng 09 năm 2020</t>
  </si>
  <si>
    <t>NV. Xóa Nợ</t>
  </si>
  <si>
    <t>Phú Mỹ, ngày     tháng 10 năm 2020</t>
  </si>
  <si>
    <t xml:space="preserve"> -   </t>
  </si>
  <si>
    <t xml:space="preserve">      Tổ Trưởng Tổ TN</t>
  </si>
  <si>
    <t xml:space="preserve">                                                                       Giám Đốc</t>
  </si>
  <si>
    <t xml:space="preserve">                                                       Vũ Hồng Tráng</t>
  </si>
  <si>
    <t>Phú Mỹ, ngày     tháng 11 năm 2020</t>
  </si>
  <si>
    <t xml:space="preserve">           Trịnh Thuận Lễ</t>
  </si>
  <si>
    <t xml:space="preserve">                                                   Vũ Hồng Tráng</t>
  </si>
  <si>
    <t>Phú Mỹ, ngày     tháng 12 năm 2020</t>
  </si>
  <si>
    <t>Phú Mỹ, ngày     tháng 01 năm 2021</t>
  </si>
  <si>
    <t>Phú Mỹ, ngày     tháng 02 năm 2021</t>
  </si>
  <si>
    <t>Phú Mỹ, ngày     tháng 03 năm 2021</t>
  </si>
  <si>
    <t>Phú Mỹ, ngày     tháng 04 năm 2021</t>
  </si>
  <si>
    <t>Phú Mỹ, ngày     tháng 05 năm 2021</t>
  </si>
  <si>
    <t>Phú Mỹ, ngày     tháng 06 năm 2021</t>
  </si>
  <si>
    <t>Phú Mỹ, ngày     tháng 07 năm 2021</t>
  </si>
  <si>
    <t>Phú Mỹ, ngày     tháng 08 năm 2021</t>
  </si>
  <si>
    <t>Phú Mỹ, ngày     tháng 09 năm 2021</t>
  </si>
  <si>
    <t>Phú Mỹ, ngày     tháng 10 năm 2021</t>
  </si>
  <si>
    <t>Phú Mỹ, ngày     tháng 11 năm 2021</t>
  </si>
  <si>
    <t>Phú Mỹ, ngày     tháng 12 năm 2021</t>
  </si>
  <si>
    <t>Phú Mỹ, ngày     tháng 01 năm 2022</t>
  </si>
  <si>
    <t xml:space="preserve">                                                                             Giám Đốc</t>
  </si>
  <si>
    <t>Phú Mỹ, ngày     tháng 02 năm 2022</t>
  </si>
  <si>
    <t xml:space="preserve">                                                                         Vũ Hồng Tráng</t>
  </si>
  <si>
    <t>Phú Mỹ, ngày     tháng 03 năm 2022</t>
  </si>
  <si>
    <t xml:space="preserve">                                                                       Vũ Hồng Tráng</t>
  </si>
  <si>
    <t>Phú Mỹ, ngày     tháng 04 năm 2022</t>
  </si>
  <si>
    <t xml:space="preserve">                                                                                     Giám Đốc</t>
  </si>
  <si>
    <t>Phú Mỹ, ngày     tháng 06 năm 2022</t>
  </si>
  <si>
    <t xml:space="preserve">                                                                                  Giám Đốc</t>
  </si>
  <si>
    <t xml:space="preserve">                                                                             Vũ Hồng Tráng</t>
  </si>
  <si>
    <t>Phú Mỹ, ngày     tháng 07 năm 2022</t>
  </si>
  <si>
    <t xml:space="preserve">      Lập Biểu</t>
  </si>
  <si>
    <t>Kế Toán</t>
  </si>
  <si>
    <t>Phó Giám Đốc</t>
  </si>
  <si>
    <t>Lê Vũ Hoà                                                    Nguyễn Văn Đại</t>
  </si>
  <si>
    <t>Phú Mỹ, ngày     tháng 08 năm 2022</t>
  </si>
  <si>
    <t xml:space="preserve">              Lê Vũ Hoà                                 Nguyễn Văn Đại</t>
  </si>
  <si>
    <t>Phú Mỹ, ngày     tháng 09 năm 2022</t>
  </si>
  <si>
    <t xml:space="preserve">       Trịnh Thuận Lễ</t>
  </si>
  <si>
    <t xml:space="preserve">                   Lê Vũ Hoà                                     Nguyễn Văn Đại</t>
  </si>
  <si>
    <t>Phú Mỹ, ngày     tháng 10 năm 2022</t>
  </si>
  <si>
    <t>Phú Mỹ, ngày     tháng 11 năm 2022</t>
  </si>
  <si>
    <t>Phú Mỹ, ngày     tháng 12 năm 2022</t>
  </si>
  <si>
    <t xml:space="preserve">                   Lê Vũ Hoà                           Nguyễn Văn Đại</t>
  </si>
  <si>
    <t>Phú Mỹ, ngày     tháng 01 năm 2023</t>
  </si>
  <si>
    <t>Phú Mỹ, ngày     tháng 02 năm 2023</t>
  </si>
  <si>
    <t>Phú Mỹ, ngày     tháng 03 năm 2023</t>
  </si>
  <si>
    <t>Phú Mỹ, ngày     tháng 12 năm 2023</t>
  </si>
  <si>
    <t xml:space="preserve">   Lê Phúc Hậu</t>
  </si>
  <si>
    <t>Nguyễn Văn Đại</t>
  </si>
  <si>
    <t>Phú Mỹ, ngày 28  tháng 02  năm 2025</t>
  </si>
  <si>
    <t xml:space="preserve">                             PP. Kinh Doanh</t>
  </si>
  <si>
    <t xml:space="preserve">                             Trịnh Thuận Lễ</t>
  </si>
  <si>
    <t>Phú Mỹ, ngày 05  tháng 05  năm 2025</t>
  </si>
  <si>
    <t>ĐIỆN LỰC THÀNH PHỐ PHÚ MỸ</t>
  </si>
  <si>
    <t>Phú Mỹ, ngày 30  tháng 06  năm 2025</t>
  </si>
  <si>
    <t>01/06/2025</t>
  </si>
  <si>
    <t>02/06/2025</t>
  </si>
  <si>
    <t>03/06/2025</t>
  </si>
  <si>
    <t>CÔNG TY ĐIỆN LỰC VŨNG TÀU</t>
  </si>
  <si>
    <t>ĐỘI QUẢN LÝ THU GHI</t>
  </si>
  <si>
    <t>Vũng Tàu, ngày 03  tháng 08  năm 2025</t>
  </si>
  <si>
    <t>01/07/2025</t>
  </si>
  <si>
    <t>02/07/2025</t>
  </si>
  <si>
    <t>03/07/2025</t>
  </si>
  <si>
    <t>Bằng chữ: Hai trăm ba mươi chín triệu, năm trăm linh hai nghìn, bốn trăm bảy mươi ba đồng chẵn.</t>
  </si>
  <si>
    <t>PHÓ GIÁM ĐỐC</t>
  </si>
  <si>
    <t>Phạm Quốc Việt</t>
  </si>
  <si>
    <t>Nguyễn Thành Phong</t>
  </si>
  <si>
    <t>Lại Xuân Phương</t>
  </si>
  <si>
    <t>Vũng Tàu, ngày 04  tháng 09  năm 2025</t>
  </si>
  <si>
    <t>01/08/2025</t>
  </si>
  <si>
    <t>02/08/2025</t>
  </si>
  <si>
    <t>03/08/2025</t>
  </si>
  <si>
    <t>LẬP BIỂU</t>
  </si>
  <si>
    <t>KT GIÁM ĐỐC</t>
  </si>
  <si>
    <t>Vũng Tàu, ngày 03 tháng 10  năm 2025</t>
  </si>
  <si>
    <t>01/09/2025</t>
  </si>
  <si>
    <t>02/09/2025</t>
  </si>
  <si>
    <t>03/09/2025</t>
  </si>
  <si>
    <t>Vũng Tàu, ngày 05 tháng 01  năm 2026</t>
  </si>
  <si>
    <t>Ngày phát hành</t>
  </si>
  <si>
    <t>Loại HĐ</t>
  </si>
  <si>
    <t>01/12/2025</t>
  </si>
  <si>
    <t>TD</t>
  </si>
  <si>
    <t>02/12/2025</t>
  </si>
  <si>
    <t>03/12/2025</t>
  </si>
  <si>
    <t>Kỳ-Tháng/Năm</t>
  </si>
  <si>
    <t>Nguyễn Xuân Quang</t>
  </si>
  <si>
    <t>Đặng Quang Trung</t>
  </si>
  <si>
    <t>Vũng Tàu, ngày 05 tháng 10  năm 2026</t>
  </si>
  <si>
    <t>01-09/2026</t>
  </si>
  <si>
    <t>02-09/2026</t>
  </si>
  <si>
    <t>03-09/2026</t>
  </si>
  <si>
    <t>21/09/2026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</si>
</sst>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 * #,##0_ ;_ * \-#,##0_ ;_ * &quot;-&quot;??_ ;_ @_ "/>
  </numFmts>
  <fonts count="26">
    <font>
      <sz val="10"/>
      <name val="Arial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color rgb="FFFF0000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b/>
      <sz val="11"/>
      <color rgb="FF212121"/>
      <name val="Times New Roman"/>
      <family val="1"/>
    </font>
    <font>
      <sz val="11"/>
      <color rgb="FF212121"/>
      <name val="Times New Roman"/>
      <family val="1"/>
    </font>
    <font>
      <sz val="13"/>
      <name val="Times New Roman"/>
      <family val="1"/>
    </font>
    <font>
      <b/>
      <sz val="12"/>
      <color rgb="FF212121"/>
      <name val="Times New Roman"/>
      <family val="1"/>
    </font>
    <font>
      <sz val="12"/>
      <color rgb="FF212121"/>
      <name val="Times New Roman"/>
      <family val="1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9"/>
      <color rgb="FF000000"/>
      <name val="Arial"/>
      <family val="2"/>
    </font>
    <font>
      <sz val="13"/>
      <color indexed="63"/>
      <name val="Times New Roman"/>
      <family val="1"/>
    </font>
    <font>
      <b/>
      <sz val="13"/>
      <name val="Times New Roman"/>
      <family val="1"/>
    </font>
    <font>
      <sz val="12"/>
      <name val="Arial"/>
      <family val="2"/>
    </font>
    <font>
      <b/>
      <sz val="13"/>
      <color indexed="63"/>
      <name val="Times New Roman"/>
      <family val="1"/>
    </font>
    <font>
      <sz val="9"/>
      <color indexed="63"/>
      <name val="Arial"/>
      <family val="2"/>
    </font>
    <font>
      <sz val="12"/>
      <color indexed="63"/>
      <name val="Times New Roman"/>
      <family val="1"/>
    </font>
    <font>
      <b/>
      <sz val="12"/>
      <color indexed="63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43" fontId="25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1" applyNumberFormat="1" applyFont="1"/>
    <xf numFmtId="0" fontId="4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Border="1"/>
    <xf numFmtId="164" fontId="9" fillId="2" borderId="2" xfId="1" applyNumberFormat="1" applyFont="1" applyFill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horizontal="center" vertical="center" wrapText="1"/>
    </xf>
    <xf numFmtId="164" fontId="6" fillId="0" borderId="2" xfId="1" applyNumberFormat="1" applyFont="1" applyBorder="1"/>
    <xf numFmtId="0" fontId="5" fillId="0" borderId="2" xfId="0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Alignment="1"/>
    <xf numFmtId="164" fontId="2" fillId="0" borderId="0" xfId="1" applyNumberFormat="1" applyFont="1" applyAlignment="1"/>
    <xf numFmtId="0" fontId="1" fillId="0" borderId="0" xfId="0" applyFont="1" applyAlignment="1">
      <alignment wrapText="1"/>
    </xf>
    <xf numFmtId="164" fontId="1" fillId="0" borderId="0" xfId="1" applyNumberFormat="1" applyFont="1" applyAlignment="1">
      <alignment wrapText="1"/>
    </xf>
    <xf numFmtId="14" fontId="6" fillId="2" borderId="3" xfId="0" applyNumberFormat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/>
    </xf>
    <xf numFmtId="164" fontId="11" fillId="0" borderId="2" xfId="1" applyNumberFormat="1" applyFont="1" applyBorder="1"/>
    <xf numFmtId="164" fontId="12" fillId="2" borderId="2" xfId="1" applyNumberFormat="1" applyFont="1" applyFill="1" applyBorder="1" applyAlignment="1">
      <alignment horizontal="center" vertical="center" wrapText="1"/>
    </xf>
    <xf numFmtId="164" fontId="13" fillId="2" borderId="2" xfId="1" applyNumberFormat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0" xfId="1" applyNumberFormat="1" applyFont="1" applyBorder="1"/>
    <xf numFmtId="164" fontId="2" fillId="0" borderId="0" xfId="0" applyNumberFormat="1" applyFont="1" applyBorder="1"/>
    <xf numFmtId="164" fontId="2" fillId="0" borderId="2" xfId="1" applyNumberFormat="1" applyFont="1" applyBorder="1" applyAlignment="1">
      <alignment horizontal="center" wrapText="1"/>
    </xf>
    <xf numFmtId="164" fontId="14" fillId="0" borderId="2" xfId="1" applyNumberFormat="1" applyFont="1" applyBorder="1"/>
    <xf numFmtId="164" fontId="12" fillId="2" borderId="5" xfId="1" applyNumberFormat="1" applyFont="1" applyFill="1" applyBorder="1" applyAlignment="1">
      <alignment horizontal="center" vertical="center" wrapText="1"/>
    </xf>
    <xf numFmtId="164" fontId="14" fillId="2" borderId="2" xfId="1" applyNumberFormat="1" applyFont="1" applyFill="1" applyBorder="1" applyAlignment="1">
      <alignment horizontal="left" vertical="center"/>
    </xf>
    <xf numFmtId="164" fontId="2" fillId="0" borderId="6" xfId="1" applyNumberFormat="1" applyFont="1" applyBorder="1" applyAlignment="1">
      <alignment horizontal="center"/>
    </xf>
    <xf numFmtId="14" fontId="13" fillId="2" borderId="2" xfId="0" applyNumberFormat="1" applyFont="1" applyFill="1" applyBorder="1" applyAlignment="1">
      <alignment horizontal="center" vertical="center" wrapText="1"/>
    </xf>
    <xf numFmtId="164" fontId="15" fillId="0" borderId="2" xfId="1" applyNumberFormat="1" applyFont="1" applyBorder="1" applyAlignment="1">
      <alignment vertical="center"/>
    </xf>
    <xf numFmtId="164" fontId="16" fillId="0" borderId="2" xfId="1" applyNumberFormat="1" applyFont="1" applyBorder="1" applyAlignment="1">
      <alignment horizontal="right" vertical="center" wrapText="1"/>
    </xf>
    <xf numFmtId="0" fontId="14" fillId="0" borderId="2" xfId="0" applyFont="1" applyBorder="1"/>
    <xf numFmtId="3" fontId="13" fillId="2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/>
    <xf numFmtId="0" fontId="1" fillId="0" borderId="2" xfId="0" applyFont="1" applyBorder="1" applyAlignment="1">
      <alignment horizontal="center" vertical="justify"/>
    </xf>
    <xf numFmtId="164" fontId="1" fillId="0" borderId="2" xfId="1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/>
    <xf numFmtId="164" fontId="2" fillId="0" borderId="2" xfId="1" applyNumberFormat="1" applyFont="1" applyBorder="1" applyAlignment="1">
      <alignment wrapText="1"/>
    </xf>
    <xf numFmtId="164" fontId="2" fillId="0" borderId="2" xfId="1" applyNumberFormat="1" applyFont="1" applyBorder="1" applyAlignment="1"/>
    <xf numFmtId="14" fontId="13" fillId="2" borderId="2" xfId="0" applyNumberFormat="1" applyFont="1" applyFill="1" applyBorder="1" applyAlignment="1">
      <alignment vertical="center" wrapText="1"/>
    </xf>
    <xf numFmtId="3" fontId="13" fillId="2" borderId="2" xfId="0" applyNumberFormat="1" applyFont="1" applyFill="1" applyBorder="1" applyAlignment="1">
      <alignment vertical="center" wrapText="1"/>
    </xf>
    <xf numFmtId="164" fontId="1" fillId="0" borderId="2" xfId="1" applyNumberFormat="1" applyFont="1" applyBorder="1" applyAlignment="1"/>
    <xf numFmtId="3" fontId="1" fillId="0" borderId="2" xfId="0" applyNumberFormat="1" applyFont="1" applyBorder="1" applyAlignment="1"/>
    <xf numFmtId="0" fontId="2" fillId="0" borderId="7" xfId="0" applyFont="1" applyBorder="1" applyAlignment="1"/>
    <xf numFmtId="164" fontId="2" fillId="0" borderId="7" xfId="1" applyNumberFormat="1" applyFont="1" applyBorder="1" applyAlignment="1">
      <alignment wrapText="1"/>
    </xf>
    <xf numFmtId="164" fontId="2" fillId="0" borderId="7" xfId="1" applyNumberFormat="1" applyFont="1" applyBorder="1" applyAlignment="1"/>
    <xf numFmtId="14" fontId="11" fillId="3" borderId="2" xfId="0" applyNumberFormat="1" applyFont="1" applyFill="1" applyBorder="1" applyAlignment="1">
      <alignment wrapText="1"/>
    </xf>
    <xf numFmtId="3" fontId="18" fillId="3" borderId="2" xfId="0" applyNumberFormat="1" applyFont="1" applyFill="1" applyBorder="1" applyAlignment="1">
      <alignment wrapText="1"/>
    </xf>
    <xf numFmtId="164" fontId="1" fillId="0" borderId="5" xfId="1" applyNumberFormat="1" applyFont="1" applyBorder="1" applyAlignment="1"/>
    <xf numFmtId="164" fontId="19" fillId="0" borderId="6" xfId="1" applyNumberFormat="1" applyFont="1" applyBorder="1" applyAlignment="1"/>
    <xf numFmtId="0" fontId="2" fillId="0" borderId="0" xfId="0" applyFont="1"/>
    <xf numFmtId="164" fontId="2" fillId="0" borderId="0" xfId="1" applyNumberFormat="1" applyFont="1" applyAlignment="1">
      <alignment horizontal="center"/>
    </xf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1" applyNumberFormat="1" applyFont="1" applyAlignment="1">
      <alignment wrapText="1"/>
    </xf>
    <xf numFmtId="164" fontId="2" fillId="0" borderId="0" xfId="1" applyNumberFormat="1" applyFont="1"/>
    <xf numFmtId="0" fontId="2" fillId="0" borderId="7" xfId="0" applyFont="1" applyBorder="1" applyAlignment="1">
      <alignment horizontal="center"/>
    </xf>
    <xf numFmtId="164" fontId="2" fillId="0" borderId="7" xfId="1" applyNumberFormat="1" applyFont="1" applyBorder="1" applyAlignment="1">
      <alignment horizontal="center" wrapText="1"/>
    </xf>
    <xf numFmtId="164" fontId="2" fillId="0" borderId="7" xfId="1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justify"/>
    </xf>
    <xf numFmtId="164" fontId="1" fillId="0" borderId="5" xfId="1" applyNumberFormat="1" applyFont="1" applyBorder="1"/>
    <xf numFmtId="3" fontId="1" fillId="0" borderId="2" xfId="0" applyNumberFormat="1" applyFont="1" applyBorder="1"/>
    <xf numFmtId="164" fontId="19" fillId="0" borderId="6" xfId="1" applyNumberFormat="1" applyFont="1" applyBorder="1"/>
    <xf numFmtId="3" fontId="11" fillId="3" borderId="2" xfId="0" applyNumberFormat="1" applyFont="1" applyFill="1" applyBorder="1" applyAlignment="1">
      <alignment wrapText="1"/>
    </xf>
    <xf numFmtId="0" fontId="11" fillId="0" borderId="6" xfId="0" applyFont="1" applyBorder="1" applyAlignment="1">
      <alignment horizontal="center" vertical="justify"/>
    </xf>
    <xf numFmtId="14" fontId="18" fillId="3" borderId="2" xfId="0" applyNumberFormat="1" applyFont="1" applyFill="1" applyBorder="1" applyAlignment="1">
      <alignment wrapText="1"/>
    </xf>
    <xf numFmtId="164" fontId="0" fillId="0" borderId="0" xfId="1" applyNumberFormat="1" applyFont="1"/>
    <xf numFmtId="0" fontId="0" fillId="0" borderId="0" xfId="0" applyBorder="1"/>
    <xf numFmtId="14" fontId="11" fillId="3" borderId="2" xfId="0" applyNumberFormat="1" applyFont="1" applyFill="1" applyBorder="1" applyAlignment="1">
      <alignment vertical="center" wrapText="1"/>
    </xf>
    <xf numFmtId="3" fontId="11" fillId="3" borderId="2" xfId="0" applyNumberFormat="1" applyFont="1" applyFill="1" applyBorder="1" applyAlignment="1">
      <alignment vertical="center" wrapText="1"/>
    </xf>
    <xf numFmtId="164" fontId="11" fillId="0" borderId="2" xfId="1" applyNumberFormat="1" applyFont="1" applyBorder="1" applyAlignment="1">
      <alignment vertical="center" wrapText="1"/>
    </xf>
    <xf numFmtId="3" fontId="18" fillId="3" borderId="2" xfId="0" applyNumberFormat="1" applyFont="1" applyFill="1" applyBorder="1" applyAlignment="1">
      <alignment vertical="center" wrapText="1"/>
    </xf>
    <xf numFmtId="3" fontId="18" fillId="3" borderId="6" xfId="0" applyNumberFormat="1" applyFont="1" applyFill="1" applyBorder="1" applyAlignment="1">
      <alignment vertical="center" wrapText="1"/>
    </xf>
    <xf numFmtId="164" fontId="11" fillId="0" borderId="6" xfId="1" applyNumberFormat="1" applyFont="1" applyBorder="1" applyAlignment="1">
      <alignment vertical="center" wrapText="1"/>
    </xf>
    <xf numFmtId="0" fontId="19" fillId="0" borderId="6" xfId="0" applyFont="1" applyBorder="1" applyAlignment="1">
      <alignment horizontal="center" vertical="justify"/>
    </xf>
    <xf numFmtId="14" fontId="18" fillId="3" borderId="6" xfId="0" applyNumberFormat="1" applyFont="1" applyFill="1" applyBorder="1" applyAlignment="1">
      <alignment vertical="center" wrapText="1"/>
    </xf>
    <xf numFmtId="3" fontId="21" fillId="3" borderId="6" xfId="0" applyNumberFormat="1" applyFont="1" applyFill="1" applyBorder="1" applyAlignment="1">
      <alignment vertical="center" wrapText="1"/>
    </xf>
    <xf numFmtId="0" fontId="22" fillId="3" borderId="0" xfId="0" applyFont="1" applyFill="1" applyBorder="1" applyAlignment="1">
      <alignment wrapText="1"/>
    </xf>
    <xf numFmtId="14" fontId="22" fillId="3" borderId="0" xfId="0" applyNumberFormat="1" applyFont="1" applyFill="1" applyBorder="1" applyAlignment="1">
      <alignment wrapText="1"/>
    </xf>
    <xf numFmtId="3" fontId="22" fillId="3" borderId="0" xfId="0" applyNumberFormat="1" applyFont="1" applyFill="1" applyBorder="1" applyAlignment="1">
      <alignment wrapText="1"/>
    </xf>
    <xf numFmtId="14" fontId="22" fillId="3" borderId="12" xfId="0" applyNumberFormat="1" applyFont="1" applyFill="1" applyBorder="1" applyAlignment="1">
      <alignment wrapText="1"/>
    </xf>
    <xf numFmtId="0" fontId="22" fillId="3" borderId="13" xfId="0" applyFont="1" applyFill="1" applyBorder="1" applyAlignment="1">
      <alignment wrapText="1"/>
    </xf>
    <xf numFmtId="0" fontId="0" fillId="3" borderId="0" xfId="0" applyFill="1" applyBorder="1"/>
    <xf numFmtId="0" fontId="0" fillId="3" borderId="0" xfId="0" applyFill="1"/>
    <xf numFmtId="14" fontId="1" fillId="3" borderId="2" xfId="0" applyNumberFormat="1" applyFont="1" applyFill="1" applyBorder="1" applyAlignment="1">
      <alignment vertical="center" wrapText="1"/>
    </xf>
    <xf numFmtId="3" fontId="1" fillId="3" borderId="2" xfId="0" applyNumberFormat="1" applyFont="1" applyFill="1" applyBorder="1" applyAlignment="1">
      <alignment vertical="center" wrapText="1"/>
    </xf>
    <xf numFmtId="164" fontId="1" fillId="0" borderId="2" xfId="1" applyNumberFormat="1" applyFont="1" applyBorder="1" applyAlignment="1">
      <alignment vertical="center" wrapText="1"/>
    </xf>
    <xf numFmtId="3" fontId="23" fillId="3" borderId="2" xfId="0" applyNumberFormat="1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justify"/>
    </xf>
    <xf numFmtId="14" fontId="23" fillId="3" borderId="6" xfId="0" applyNumberFormat="1" applyFont="1" applyFill="1" applyBorder="1" applyAlignment="1">
      <alignment vertical="center" wrapText="1"/>
    </xf>
    <xf numFmtId="3" fontId="23" fillId="3" borderId="6" xfId="0" applyNumberFormat="1" applyFont="1" applyFill="1" applyBorder="1" applyAlignment="1">
      <alignment vertical="center" wrapText="1"/>
    </xf>
    <xf numFmtId="164" fontId="1" fillId="0" borderId="6" xfId="1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justify"/>
    </xf>
    <xf numFmtId="3" fontId="24" fillId="3" borderId="6" xfId="0" applyNumberFormat="1" applyFont="1" applyFill="1" applyBorder="1" applyAlignment="1">
      <alignment vertical="center" wrapText="1"/>
    </xf>
    <xf numFmtId="14" fontId="1" fillId="3" borderId="6" xfId="0" applyNumberFormat="1" applyFont="1" applyFill="1" applyBorder="1" applyAlignment="1">
      <alignment vertical="center" wrapText="1"/>
    </xf>
    <xf numFmtId="3" fontId="1" fillId="3" borderId="6" xfId="0" applyNumberFormat="1" applyFont="1" applyFill="1" applyBorder="1" applyAlignment="1">
      <alignment vertical="center" wrapText="1"/>
    </xf>
    <xf numFmtId="3" fontId="2" fillId="3" borderId="6" xfId="0" applyNumberFormat="1" applyFont="1" applyFill="1" applyBorder="1" applyAlignment="1">
      <alignment vertical="center" wrapText="1"/>
    </xf>
    <xf numFmtId="164" fontId="2" fillId="0" borderId="6" xfId="1" applyNumberFormat="1" applyFont="1" applyBorder="1" applyAlignment="1">
      <alignment vertical="center" wrapText="1"/>
    </xf>
    <xf numFmtId="164" fontId="2" fillId="0" borderId="6" xfId="1" applyNumberFormat="1" applyFont="1" applyBorder="1"/>
    <xf numFmtId="14" fontId="18" fillId="3" borderId="2" xfId="0" applyNumberFormat="1" applyFont="1" applyFill="1" applyBorder="1" applyAlignment="1">
      <alignment vertical="center" wrapText="1"/>
    </xf>
    <xf numFmtId="164" fontId="11" fillId="0" borderId="6" xfId="1" quotePrefix="1" applyNumberFormat="1" applyFont="1" applyBorder="1" applyAlignment="1">
      <alignment vertical="center" wrapText="1"/>
    </xf>
    <xf numFmtId="164" fontId="1" fillId="0" borderId="6" xfId="1" quotePrefix="1" applyNumberFormat="1" applyFont="1" applyBorder="1" applyAlignment="1">
      <alignment vertical="center" wrapText="1"/>
    </xf>
    <xf numFmtId="14" fontId="13" fillId="2" borderId="3" xfId="0" quotePrefix="1" applyNumberFormat="1" applyFont="1" applyFill="1" applyBorder="1" applyAlignment="1">
      <alignment horizontal="center" vertical="center" wrapText="1"/>
    </xf>
    <xf numFmtId="14" fontId="1" fillId="2" borderId="3" xfId="0" quotePrefix="1" applyNumberFormat="1" applyFont="1" applyFill="1" applyBorder="1" applyAlignment="1">
      <alignment horizontal="center" vertical="center" wrapText="1"/>
    </xf>
    <xf numFmtId="14" fontId="6" fillId="2" borderId="3" xfId="0" quotePrefix="1" applyNumberFormat="1" applyFont="1" applyFill="1" applyBorder="1" applyAlignment="1">
      <alignment horizontal="center" vertical="center" wrapText="1"/>
    </xf>
    <xf numFmtId="14" fontId="7" fillId="2" borderId="3" xfId="0" quotePrefix="1" applyNumberFormat="1" applyFont="1" applyFill="1" applyBorder="1" applyAlignment="1">
      <alignment horizontal="center" vertical="center" wrapText="1"/>
    </xf>
    <xf numFmtId="14" fontId="6" fillId="2" borderId="2" xfId="0" quotePrefix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 vertical="justify"/>
    </xf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justify"/>
    </xf>
    <xf numFmtId="0" fontId="11" fillId="0" borderId="7" xfId="0" applyFont="1" applyBorder="1" applyAlignment="1">
      <alignment horizontal="center" vertical="justify"/>
    </xf>
    <xf numFmtId="0" fontId="11" fillId="0" borderId="9" xfId="0" applyFont="1" applyBorder="1" applyAlignment="1">
      <alignment horizontal="center" vertical="justify"/>
    </xf>
    <xf numFmtId="0" fontId="11" fillId="0" borderId="6" xfId="0" applyFont="1" applyBorder="1" applyAlignment="1">
      <alignment horizontal="center" vertical="justify"/>
    </xf>
    <xf numFmtId="0" fontId="11" fillId="0" borderId="8" xfId="0" applyFont="1" applyBorder="1" applyAlignment="1">
      <alignment horizontal="center" vertical="justify"/>
    </xf>
    <xf numFmtId="0" fontId="11" fillId="0" borderId="10" xfId="0" applyFont="1" applyBorder="1" applyAlignment="1">
      <alignment horizontal="center" vertical="justify"/>
    </xf>
    <xf numFmtId="0" fontId="11" fillId="0" borderId="11" xfId="0" applyFont="1" applyBorder="1" applyAlignment="1">
      <alignment horizontal="center" vertical="justify"/>
    </xf>
    <xf numFmtId="0" fontId="11" fillId="0" borderId="3" xfId="0" applyFont="1" applyBorder="1" applyAlignment="1">
      <alignment horizontal="center" vertical="justify"/>
    </xf>
    <xf numFmtId="0" fontId="19" fillId="0" borderId="6" xfId="0" applyFont="1" applyBorder="1" applyAlignment="1"/>
    <xf numFmtId="0" fontId="11" fillId="0" borderId="2" xfId="0" applyFont="1" applyBorder="1" applyAlignment="1">
      <alignment vertical="justify"/>
    </xf>
    <xf numFmtId="0" fontId="11" fillId="0" borderId="3" xfId="0" applyFont="1" applyBorder="1" applyAlignment="1">
      <alignment vertical="justify"/>
    </xf>
    <xf numFmtId="0" fontId="2" fillId="0" borderId="2" xfId="0" applyFont="1" applyBorder="1" applyAlignment="1"/>
    <xf numFmtId="0" fontId="2" fillId="0" borderId="0" xfId="0" applyFont="1" applyAlignment="1"/>
    <xf numFmtId="0" fontId="1" fillId="0" borderId="2" xfId="0" applyFont="1" applyBorder="1" applyAlignment="1">
      <alignment vertical="justify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27545" name="Line 1">
          <a:extLst>
            <a:ext uri="{FF2B5EF4-FFF2-40B4-BE49-F238E27FC236}">
              <a16:creationId xmlns:a16="http://schemas.microsoft.com/office/drawing/2014/main" id="{00000000-0008-0000-0000-0000996B00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27546" name="Line 2">
          <a:extLst>
            <a:ext uri="{FF2B5EF4-FFF2-40B4-BE49-F238E27FC236}">
              <a16:creationId xmlns:a16="http://schemas.microsoft.com/office/drawing/2014/main" id="{00000000-0008-0000-0000-00009A6B00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6272" name="Line 1">
          <a:extLst>
            <a:ext uri="{FF2B5EF4-FFF2-40B4-BE49-F238E27FC236}">
              <a16:creationId xmlns:a16="http://schemas.microsoft.com/office/drawing/2014/main" id="{00000000-0008-0000-0100-00008089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6273" name="Line 2">
          <a:extLst>
            <a:ext uri="{FF2B5EF4-FFF2-40B4-BE49-F238E27FC236}">
              <a16:creationId xmlns:a16="http://schemas.microsoft.com/office/drawing/2014/main" id="{00000000-0008-0000-0100-00008189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6274" name="Line 1">
          <a:extLst>
            <a:ext uri="{FF2B5EF4-FFF2-40B4-BE49-F238E27FC236}">
              <a16:creationId xmlns:a16="http://schemas.microsoft.com/office/drawing/2014/main" id="{00000000-0008-0000-0100-00008289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6275" name="Line 2">
          <a:extLst>
            <a:ext uri="{FF2B5EF4-FFF2-40B4-BE49-F238E27FC236}">
              <a16:creationId xmlns:a16="http://schemas.microsoft.com/office/drawing/2014/main" id="{00000000-0008-0000-0100-00008389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7680" name="Line 1">
          <a:extLst>
            <a:ext uri="{FF2B5EF4-FFF2-40B4-BE49-F238E27FC236}">
              <a16:creationId xmlns:a16="http://schemas.microsoft.com/office/drawing/2014/main" id="{00000000-0008-0000-0200-0000008F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7681" name="Line 2">
          <a:extLst>
            <a:ext uri="{FF2B5EF4-FFF2-40B4-BE49-F238E27FC236}">
              <a16:creationId xmlns:a16="http://schemas.microsoft.com/office/drawing/2014/main" id="{00000000-0008-0000-0200-0000018F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7682" name="Line 1">
          <a:extLst>
            <a:ext uri="{FF2B5EF4-FFF2-40B4-BE49-F238E27FC236}">
              <a16:creationId xmlns:a16="http://schemas.microsoft.com/office/drawing/2014/main" id="{00000000-0008-0000-0200-0000028F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7683" name="Line 2">
          <a:extLst>
            <a:ext uri="{FF2B5EF4-FFF2-40B4-BE49-F238E27FC236}">
              <a16:creationId xmlns:a16="http://schemas.microsoft.com/office/drawing/2014/main" id="{00000000-0008-0000-0200-0000038F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7684" name="Line 1">
          <a:extLst>
            <a:ext uri="{FF2B5EF4-FFF2-40B4-BE49-F238E27FC236}">
              <a16:creationId xmlns:a16="http://schemas.microsoft.com/office/drawing/2014/main" id="{00000000-0008-0000-0200-0000048F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7685" name="Line 2">
          <a:extLst>
            <a:ext uri="{FF2B5EF4-FFF2-40B4-BE49-F238E27FC236}">
              <a16:creationId xmlns:a16="http://schemas.microsoft.com/office/drawing/2014/main" id="{00000000-0008-0000-0200-0000058F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7686" name="Line 1">
          <a:extLst>
            <a:ext uri="{FF2B5EF4-FFF2-40B4-BE49-F238E27FC236}">
              <a16:creationId xmlns:a16="http://schemas.microsoft.com/office/drawing/2014/main" id="{00000000-0008-0000-0200-0000068F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7687" name="Line 2">
          <a:extLst>
            <a:ext uri="{FF2B5EF4-FFF2-40B4-BE49-F238E27FC236}">
              <a16:creationId xmlns:a16="http://schemas.microsoft.com/office/drawing/2014/main" id="{00000000-0008-0000-0200-0000078F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8320" name="Line 1">
          <a:extLst>
            <a:ext uri="{FF2B5EF4-FFF2-40B4-BE49-F238E27FC236}">
              <a16:creationId xmlns:a16="http://schemas.microsoft.com/office/drawing/2014/main" id="{00000000-0008-0000-0300-00008091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8321" name="Line 2">
          <a:extLst>
            <a:ext uri="{FF2B5EF4-FFF2-40B4-BE49-F238E27FC236}">
              <a16:creationId xmlns:a16="http://schemas.microsoft.com/office/drawing/2014/main" id="{00000000-0008-0000-0300-00008191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8322" name="Line 1">
          <a:extLst>
            <a:ext uri="{FF2B5EF4-FFF2-40B4-BE49-F238E27FC236}">
              <a16:creationId xmlns:a16="http://schemas.microsoft.com/office/drawing/2014/main" id="{00000000-0008-0000-0300-00008291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8323" name="Line 2">
          <a:extLst>
            <a:ext uri="{FF2B5EF4-FFF2-40B4-BE49-F238E27FC236}">
              <a16:creationId xmlns:a16="http://schemas.microsoft.com/office/drawing/2014/main" id="{00000000-0008-0000-0300-00008391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9344" name="Line 1">
          <a:extLst>
            <a:ext uri="{FF2B5EF4-FFF2-40B4-BE49-F238E27FC236}">
              <a16:creationId xmlns:a16="http://schemas.microsoft.com/office/drawing/2014/main" id="{00000000-0008-0000-0400-00008095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9345" name="Line 2">
          <a:extLst>
            <a:ext uri="{FF2B5EF4-FFF2-40B4-BE49-F238E27FC236}">
              <a16:creationId xmlns:a16="http://schemas.microsoft.com/office/drawing/2014/main" id="{00000000-0008-0000-0400-00008195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9346" name="Line 1">
          <a:extLst>
            <a:ext uri="{FF2B5EF4-FFF2-40B4-BE49-F238E27FC236}">
              <a16:creationId xmlns:a16="http://schemas.microsoft.com/office/drawing/2014/main" id="{00000000-0008-0000-0400-00008295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9347" name="Line 2">
          <a:extLst>
            <a:ext uri="{FF2B5EF4-FFF2-40B4-BE49-F238E27FC236}">
              <a16:creationId xmlns:a16="http://schemas.microsoft.com/office/drawing/2014/main" id="{00000000-0008-0000-0400-00008395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0368" name="Line 1">
          <a:extLst>
            <a:ext uri="{FF2B5EF4-FFF2-40B4-BE49-F238E27FC236}">
              <a16:creationId xmlns:a16="http://schemas.microsoft.com/office/drawing/2014/main" id="{00000000-0008-0000-0500-00008099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0369" name="Line 2">
          <a:extLst>
            <a:ext uri="{FF2B5EF4-FFF2-40B4-BE49-F238E27FC236}">
              <a16:creationId xmlns:a16="http://schemas.microsoft.com/office/drawing/2014/main" id="{00000000-0008-0000-0500-00008199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0370" name="Line 1">
          <a:extLst>
            <a:ext uri="{FF2B5EF4-FFF2-40B4-BE49-F238E27FC236}">
              <a16:creationId xmlns:a16="http://schemas.microsoft.com/office/drawing/2014/main" id="{00000000-0008-0000-0500-00008299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0371" name="Line 2">
          <a:extLst>
            <a:ext uri="{FF2B5EF4-FFF2-40B4-BE49-F238E27FC236}">
              <a16:creationId xmlns:a16="http://schemas.microsoft.com/office/drawing/2014/main" id="{00000000-0008-0000-0500-00008399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1392" name="Line 1">
          <a:extLst>
            <a:ext uri="{FF2B5EF4-FFF2-40B4-BE49-F238E27FC236}">
              <a16:creationId xmlns:a16="http://schemas.microsoft.com/office/drawing/2014/main" id="{00000000-0008-0000-0600-0000809D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1393" name="Line 2">
          <a:extLst>
            <a:ext uri="{FF2B5EF4-FFF2-40B4-BE49-F238E27FC236}">
              <a16:creationId xmlns:a16="http://schemas.microsoft.com/office/drawing/2014/main" id="{00000000-0008-0000-0600-0000819D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1394" name="Line 1">
          <a:extLst>
            <a:ext uri="{FF2B5EF4-FFF2-40B4-BE49-F238E27FC236}">
              <a16:creationId xmlns:a16="http://schemas.microsoft.com/office/drawing/2014/main" id="{00000000-0008-0000-0600-0000829D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1395" name="Line 2">
          <a:extLst>
            <a:ext uri="{FF2B5EF4-FFF2-40B4-BE49-F238E27FC236}">
              <a16:creationId xmlns:a16="http://schemas.microsoft.com/office/drawing/2014/main" id="{00000000-0008-0000-0600-0000839D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2416" name="Line 1">
          <a:extLst>
            <a:ext uri="{FF2B5EF4-FFF2-40B4-BE49-F238E27FC236}">
              <a16:creationId xmlns:a16="http://schemas.microsoft.com/office/drawing/2014/main" id="{00000000-0008-0000-0700-000080A1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2417" name="Line 2">
          <a:extLst>
            <a:ext uri="{FF2B5EF4-FFF2-40B4-BE49-F238E27FC236}">
              <a16:creationId xmlns:a16="http://schemas.microsoft.com/office/drawing/2014/main" id="{00000000-0008-0000-0700-000081A1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2418" name="Line 1">
          <a:extLst>
            <a:ext uri="{FF2B5EF4-FFF2-40B4-BE49-F238E27FC236}">
              <a16:creationId xmlns:a16="http://schemas.microsoft.com/office/drawing/2014/main" id="{00000000-0008-0000-0700-000082A1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2419" name="Line 2">
          <a:extLst>
            <a:ext uri="{FF2B5EF4-FFF2-40B4-BE49-F238E27FC236}">
              <a16:creationId xmlns:a16="http://schemas.microsoft.com/office/drawing/2014/main" id="{00000000-0008-0000-0700-000083A1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73440" name="Line 1">
          <a:extLst>
            <a:ext uri="{FF2B5EF4-FFF2-40B4-BE49-F238E27FC236}">
              <a16:creationId xmlns:a16="http://schemas.microsoft.com/office/drawing/2014/main" id="{00000000-0008-0000-0800-000080A50200}"/>
            </a:ext>
          </a:extLst>
        </xdr:cNvPr>
        <xdr:cNvSpPr>
          <a:spLocks noChangeShapeType="1"/>
        </xdr:cNvSpPr>
      </xdr:nvSpPr>
      <xdr:spPr>
        <a:xfrm>
          <a:off x="5543550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3441" name="Line 2">
          <a:extLst>
            <a:ext uri="{FF2B5EF4-FFF2-40B4-BE49-F238E27FC236}">
              <a16:creationId xmlns:a16="http://schemas.microsoft.com/office/drawing/2014/main" id="{00000000-0008-0000-0800-000081A5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3442" name="Line 1">
          <a:extLst>
            <a:ext uri="{FF2B5EF4-FFF2-40B4-BE49-F238E27FC236}">
              <a16:creationId xmlns:a16="http://schemas.microsoft.com/office/drawing/2014/main" id="{00000000-0008-0000-0800-000082A5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3443" name="Line 2">
          <a:extLst>
            <a:ext uri="{FF2B5EF4-FFF2-40B4-BE49-F238E27FC236}">
              <a16:creationId xmlns:a16="http://schemas.microsoft.com/office/drawing/2014/main" id="{00000000-0008-0000-0800-000083A5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74848" name="Line 1">
          <a:extLst>
            <a:ext uri="{FF2B5EF4-FFF2-40B4-BE49-F238E27FC236}">
              <a16:creationId xmlns:a16="http://schemas.microsoft.com/office/drawing/2014/main" id="{00000000-0008-0000-0900-000000AB0200}"/>
            </a:ext>
          </a:extLst>
        </xdr:cNvPr>
        <xdr:cNvSpPr>
          <a:spLocks noChangeShapeType="1"/>
        </xdr:cNvSpPr>
      </xdr:nvSpPr>
      <xdr:spPr>
        <a:xfrm>
          <a:off x="497205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4849" name="Line 2">
          <a:extLst>
            <a:ext uri="{FF2B5EF4-FFF2-40B4-BE49-F238E27FC236}">
              <a16:creationId xmlns:a16="http://schemas.microsoft.com/office/drawing/2014/main" id="{00000000-0008-0000-0900-000001AB0200}"/>
            </a:ext>
          </a:extLst>
        </xdr:cNvPr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4850" name="Line 1">
          <a:extLst>
            <a:ext uri="{FF2B5EF4-FFF2-40B4-BE49-F238E27FC236}">
              <a16:creationId xmlns:a16="http://schemas.microsoft.com/office/drawing/2014/main" id="{00000000-0008-0000-0900-000002AB0200}"/>
            </a:ext>
          </a:extLst>
        </xdr:cNvPr>
        <xdr:cNvSpPr>
          <a:spLocks noChangeShapeType="1"/>
        </xdr:cNvSpPr>
      </xdr:nvSpPr>
      <xdr:spPr>
        <a:xfrm>
          <a:off x="4943475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4851" name="Line 2">
          <a:extLst>
            <a:ext uri="{FF2B5EF4-FFF2-40B4-BE49-F238E27FC236}">
              <a16:creationId xmlns:a16="http://schemas.microsoft.com/office/drawing/2014/main" id="{00000000-0008-0000-0900-000003AB0200}"/>
            </a:ext>
          </a:extLst>
        </xdr:cNvPr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74852" name="Line 1">
          <a:extLst>
            <a:ext uri="{FF2B5EF4-FFF2-40B4-BE49-F238E27FC236}">
              <a16:creationId xmlns:a16="http://schemas.microsoft.com/office/drawing/2014/main" id="{00000000-0008-0000-0900-000004AB0200}"/>
            </a:ext>
          </a:extLst>
        </xdr:cNvPr>
        <xdr:cNvSpPr>
          <a:spLocks noChangeShapeType="1"/>
        </xdr:cNvSpPr>
      </xdr:nvSpPr>
      <xdr:spPr>
        <a:xfrm>
          <a:off x="497205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4853" name="Line 2">
          <a:extLst>
            <a:ext uri="{FF2B5EF4-FFF2-40B4-BE49-F238E27FC236}">
              <a16:creationId xmlns:a16="http://schemas.microsoft.com/office/drawing/2014/main" id="{00000000-0008-0000-0900-000005AB0200}"/>
            </a:ext>
          </a:extLst>
        </xdr:cNvPr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4854" name="Line 1">
          <a:extLst>
            <a:ext uri="{FF2B5EF4-FFF2-40B4-BE49-F238E27FC236}">
              <a16:creationId xmlns:a16="http://schemas.microsoft.com/office/drawing/2014/main" id="{00000000-0008-0000-0900-000006AB0200}"/>
            </a:ext>
          </a:extLst>
        </xdr:cNvPr>
        <xdr:cNvSpPr>
          <a:spLocks noChangeShapeType="1"/>
        </xdr:cNvSpPr>
      </xdr:nvSpPr>
      <xdr:spPr>
        <a:xfrm>
          <a:off x="4943475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4855" name="Line 2">
          <a:extLst>
            <a:ext uri="{FF2B5EF4-FFF2-40B4-BE49-F238E27FC236}">
              <a16:creationId xmlns:a16="http://schemas.microsoft.com/office/drawing/2014/main" id="{00000000-0008-0000-0900-000007AB0200}"/>
            </a:ext>
          </a:extLst>
        </xdr:cNvPr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38781" name="Line 1">
          <a:extLst>
            <a:ext uri="{FF2B5EF4-FFF2-40B4-BE49-F238E27FC236}">
              <a16:creationId xmlns:a16="http://schemas.microsoft.com/office/drawing/2014/main" id="{00000000-0008-0000-0A00-00007D970000}"/>
            </a:ext>
          </a:extLst>
        </xdr:cNvPr>
        <xdr:cNvSpPr>
          <a:spLocks noChangeShapeType="1"/>
        </xdr:cNvSpPr>
      </xdr:nvSpPr>
      <xdr:spPr>
        <a:xfrm>
          <a:off x="522922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38782" name="Line 2">
          <a:extLst>
            <a:ext uri="{FF2B5EF4-FFF2-40B4-BE49-F238E27FC236}">
              <a16:creationId xmlns:a16="http://schemas.microsoft.com/office/drawing/2014/main" id="{00000000-0008-0000-0A00-00007E970000}"/>
            </a:ext>
          </a:extLst>
        </xdr:cNvPr>
        <xdr:cNvSpPr>
          <a:spLocks noChangeShapeType="1"/>
        </xdr:cNvSpPr>
      </xdr:nvSpPr>
      <xdr:spPr>
        <a:xfrm>
          <a:off x="428625" y="628650"/>
          <a:ext cx="1714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39529" name="Line 1">
          <a:extLst>
            <a:ext uri="{FF2B5EF4-FFF2-40B4-BE49-F238E27FC236}">
              <a16:creationId xmlns:a16="http://schemas.microsoft.com/office/drawing/2014/main" id="{00000000-0008-0000-0B00-0000699A0000}"/>
            </a:ext>
          </a:extLst>
        </xdr:cNvPr>
        <xdr:cNvSpPr>
          <a:spLocks noChangeShapeType="1"/>
        </xdr:cNvSpPr>
      </xdr:nvSpPr>
      <xdr:spPr>
        <a:xfrm>
          <a:off x="4581525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39530" name="Line 2">
          <a:extLst>
            <a:ext uri="{FF2B5EF4-FFF2-40B4-BE49-F238E27FC236}">
              <a16:creationId xmlns:a16="http://schemas.microsoft.com/office/drawing/2014/main" id="{00000000-0008-0000-0B00-00006A9A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8478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1547" name="Line 1">
          <a:extLst>
            <a:ext uri="{FF2B5EF4-FFF2-40B4-BE49-F238E27FC236}">
              <a16:creationId xmlns:a16="http://schemas.microsoft.com/office/drawing/2014/main" id="{00000000-0008-0000-0C00-00004BA20000}"/>
            </a:ext>
          </a:extLst>
        </xdr:cNvPr>
        <xdr:cNvSpPr>
          <a:spLocks noChangeShapeType="1"/>
        </xdr:cNvSpPr>
      </xdr:nvSpPr>
      <xdr:spPr>
        <a:xfrm>
          <a:off x="5229225" y="485775"/>
          <a:ext cx="1600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1548" name="Line 2">
          <a:extLst>
            <a:ext uri="{FF2B5EF4-FFF2-40B4-BE49-F238E27FC236}">
              <a16:creationId xmlns:a16="http://schemas.microsoft.com/office/drawing/2014/main" id="{00000000-0008-0000-0C00-00004CA2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2555" name="Line 1">
          <a:extLst>
            <a:ext uri="{FF2B5EF4-FFF2-40B4-BE49-F238E27FC236}">
              <a16:creationId xmlns:a16="http://schemas.microsoft.com/office/drawing/2014/main" id="{00000000-0008-0000-0D00-00003BA60000}"/>
            </a:ext>
          </a:extLst>
        </xdr:cNvPr>
        <xdr:cNvSpPr>
          <a:spLocks noChangeShapeType="1"/>
        </xdr:cNvSpPr>
      </xdr:nvSpPr>
      <xdr:spPr>
        <a:xfrm>
          <a:off x="5305425" y="485775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2556" name="Line 2">
          <a:extLst>
            <a:ext uri="{FF2B5EF4-FFF2-40B4-BE49-F238E27FC236}">
              <a16:creationId xmlns:a16="http://schemas.microsoft.com/office/drawing/2014/main" id="{00000000-0008-0000-0D00-00003CA6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4595" name="Line 1">
          <a:extLst>
            <a:ext uri="{FF2B5EF4-FFF2-40B4-BE49-F238E27FC236}">
              <a16:creationId xmlns:a16="http://schemas.microsoft.com/office/drawing/2014/main" id="{00000000-0008-0000-0E00-000033AE0000}"/>
            </a:ext>
          </a:extLst>
        </xdr:cNvPr>
        <xdr:cNvSpPr>
          <a:spLocks noChangeShapeType="1"/>
        </xdr:cNvSpPr>
      </xdr:nvSpPr>
      <xdr:spPr>
        <a:xfrm>
          <a:off x="4953000" y="485775"/>
          <a:ext cx="16954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4596" name="Line 2">
          <a:extLst>
            <a:ext uri="{FF2B5EF4-FFF2-40B4-BE49-F238E27FC236}">
              <a16:creationId xmlns:a16="http://schemas.microsoft.com/office/drawing/2014/main" id="{00000000-0008-0000-0E00-000034AE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6954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5595" name="Line 1">
          <a:extLst>
            <a:ext uri="{FF2B5EF4-FFF2-40B4-BE49-F238E27FC236}">
              <a16:creationId xmlns:a16="http://schemas.microsoft.com/office/drawing/2014/main" id="{00000000-0008-0000-0F00-00001BB20000}"/>
            </a:ext>
          </a:extLst>
        </xdr:cNvPr>
        <xdr:cNvSpPr>
          <a:spLocks noChangeShapeType="1"/>
        </xdr:cNvSpPr>
      </xdr:nvSpPr>
      <xdr:spPr>
        <a:xfrm>
          <a:off x="5086350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5596" name="Line 2">
          <a:extLst>
            <a:ext uri="{FF2B5EF4-FFF2-40B4-BE49-F238E27FC236}">
              <a16:creationId xmlns:a16="http://schemas.microsoft.com/office/drawing/2014/main" id="{00000000-0008-0000-0F00-00001CB20000}"/>
            </a:ext>
          </a:extLst>
        </xdr:cNvPr>
        <xdr:cNvSpPr>
          <a:spLocks noChangeShapeType="1"/>
        </xdr:cNvSpPr>
      </xdr:nvSpPr>
      <xdr:spPr>
        <a:xfrm>
          <a:off x="561975" y="628650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6605" name="Line 1">
          <a:extLst>
            <a:ext uri="{FF2B5EF4-FFF2-40B4-BE49-F238E27FC236}">
              <a16:creationId xmlns:a16="http://schemas.microsoft.com/office/drawing/2014/main" id="{00000000-0008-0000-1000-00000DB60000}"/>
            </a:ext>
          </a:extLst>
        </xdr:cNvPr>
        <xdr:cNvSpPr>
          <a:spLocks noChangeShapeType="1"/>
        </xdr:cNvSpPr>
      </xdr:nvSpPr>
      <xdr:spPr>
        <a:xfrm>
          <a:off x="4914900" y="485775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6606" name="Line 2">
          <a:extLst>
            <a:ext uri="{FF2B5EF4-FFF2-40B4-BE49-F238E27FC236}">
              <a16:creationId xmlns:a16="http://schemas.microsoft.com/office/drawing/2014/main" id="{00000000-0008-0000-1000-00000EB6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8629" name="Line 1">
          <a:extLst>
            <a:ext uri="{FF2B5EF4-FFF2-40B4-BE49-F238E27FC236}">
              <a16:creationId xmlns:a16="http://schemas.microsoft.com/office/drawing/2014/main" id="{00000000-0008-0000-1100-0000F5BD0000}"/>
            </a:ext>
          </a:extLst>
        </xdr:cNvPr>
        <xdr:cNvSpPr>
          <a:spLocks noChangeShapeType="1"/>
        </xdr:cNvSpPr>
      </xdr:nvSpPr>
      <xdr:spPr>
        <a:xfrm>
          <a:off x="4772025" y="485775"/>
          <a:ext cx="1600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8630" name="Line 2">
          <a:extLst>
            <a:ext uri="{FF2B5EF4-FFF2-40B4-BE49-F238E27FC236}">
              <a16:creationId xmlns:a16="http://schemas.microsoft.com/office/drawing/2014/main" id="{00000000-0008-0000-1100-0000F6BD0000}"/>
            </a:ext>
          </a:extLst>
        </xdr:cNvPr>
        <xdr:cNvSpPr>
          <a:spLocks noChangeShapeType="1"/>
        </xdr:cNvSpPr>
      </xdr:nvSpPr>
      <xdr:spPr>
        <a:xfrm>
          <a:off x="504825" y="628650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9639" name="Line 1">
          <a:extLst>
            <a:ext uri="{FF2B5EF4-FFF2-40B4-BE49-F238E27FC236}">
              <a16:creationId xmlns:a16="http://schemas.microsoft.com/office/drawing/2014/main" id="{00000000-0008-0000-1200-0000E7C10000}"/>
            </a:ext>
          </a:extLst>
        </xdr:cNvPr>
        <xdr:cNvSpPr>
          <a:spLocks noChangeShapeType="1"/>
        </xdr:cNvSpPr>
      </xdr:nvSpPr>
      <xdr:spPr>
        <a:xfrm>
          <a:off x="4981575" y="485775"/>
          <a:ext cx="1609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9640" name="Line 2">
          <a:extLst>
            <a:ext uri="{FF2B5EF4-FFF2-40B4-BE49-F238E27FC236}">
              <a16:creationId xmlns:a16="http://schemas.microsoft.com/office/drawing/2014/main" id="{00000000-0008-0000-1200-0000E8C10000}"/>
            </a:ext>
          </a:extLst>
        </xdr:cNvPr>
        <xdr:cNvSpPr>
          <a:spLocks noChangeShapeType="1"/>
        </xdr:cNvSpPr>
      </xdr:nvSpPr>
      <xdr:spPr>
        <a:xfrm>
          <a:off x="457200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0653" name="Line 1">
          <a:extLst>
            <a:ext uri="{FF2B5EF4-FFF2-40B4-BE49-F238E27FC236}">
              <a16:creationId xmlns:a16="http://schemas.microsoft.com/office/drawing/2014/main" id="{00000000-0008-0000-1300-0000DDC50000}"/>
            </a:ext>
          </a:extLst>
        </xdr:cNvPr>
        <xdr:cNvSpPr>
          <a:spLocks noChangeShapeType="1"/>
        </xdr:cNvSpPr>
      </xdr:nvSpPr>
      <xdr:spPr>
        <a:xfrm>
          <a:off x="5238750" y="485775"/>
          <a:ext cx="1609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0654" name="Line 2">
          <a:extLst>
            <a:ext uri="{FF2B5EF4-FFF2-40B4-BE49-F238E27FC236}">
              <a16:creationId xmlns:a16="http://schemas.microsoft.com/office/drawing/2014/main" id="{00000000-0008-0000-1300-0000DEC50000}"/>
            </a:ext>
          </a:extLst>
        </xdr:cNvPr>
        <xdr:cNvSpPr>
          <a:spLocks noChangeShapeType="1"/>
        </xdr:cNvSpPr>
      </xdr:nvSpPr>
      <xdr:spPr>
        <a:xfrm>
          <a:off x="600075" y="628650"/>
          <a:ext cx="18288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1661" name="Line 1">
          <a:extLst>
            <a:ext uri="{FF2B5EF4-FFF2-40B4-BE49-F238E27FC236}">
              <a16:creationId xmlns:a16="http://schemas.microsoft.com/office/drawing/2014/main" id="{00000000-0008-0000-1400-0000CDC90000}"/>
            </a:ext>
          </a:extLst>
        </xdr:cNvPr>
        <xdr:cNvSpPr>
          <a:spLocks noChangeShapeType="1"/>
        </xdr:cNvSpPr>
      </xdr:nvSpPr>
      <xdr:spPr>
        <a:xfrm>
          <a:off x="5086350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1662" name="Line 2">
          <a:extLst>
            <a:ext uri="{FF2B5EF4-FFF2-40B4-BE49-F238E27FC236}">
              <a16:creationId xmlns:a16="http://schemas.microsoft.com/office/drawing/2014/main" id="{00000000-0008-0000-1400-0000CEC9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8669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2665" name="Line 1">
          <a:extLst>
            <a:ext uri="{FF2B5EF4-FFF2-40B4-BE49-F238E27FC236}">
              <a16:creationId xmlns:a16="http://schemas.microsoft.com/office/drawing/2014/main" id="{00000000-0008-0000-1500-0000B9CD0000}"/>
            </a:ext>
          </a:extLst>
        </xdr:cNvPr>
        <xdr:cNvSpPr>
          <a:spLocks noChangeShapeType="1"/>
        </xdr:cNvSpPr>
      </xdr:nvSpPr>
      <xdr:spPr>
        <a:xfrm>
          <a:off x="5238750" y="485775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2666" name="Line 2">
          <a:extLst>
            <a:ext uri="{FF2B5EF4-FFF2-40B4-BE49-F238E27FC236}">
              <a16:creationId xmlns:a16="http://schemas.microsoft.com/office/drawing/2014/main" id="{00000000-0008-0000-1500-0000BACD0000}"/>
            </a:ext>
          </a:extLst>
        </xdr:cNvPr>
        <xdr:cNvSpPr>
          <a:spLocks noChangeShapeType="1"/>
        </xdr:cNvSpPr>
      </xdr:nvSpPr>
      <xdr:spPr>
        <a:xfrm>
          <a:off x="457200" y="628650"/>
          <a:ext cx="1981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3675" name="Line 1">
          <a:extLst>
            <a:ext uri="{FF2B5EF4-FFF2-40B4-BE49-F238E27FC236}">
              <a16:creationId xmlns:a16="http://schemas.microsoft.com/office/drawing/2014/main" id="{00000000-0008-0000-1600-0000ABD10000}"/>
            </a:ext>
          </a:extLst>
        </xdr:cNvPr>
        <xdr:cNvSpPr>
          <a:spLocks noChangeShapeType="1"/>
        </xdr:cNvSpPr>
      </xdr:nvSpPr>
      <xdr:spPr>
        <a:xfrm>
          <a:off x="499110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3676" name="Line 2">
          <a:extLst>
            <a:ext uri="{FF2B5EF4-FFF2-40B4-BE49-F238E27FC236}">
              <a16:creationId xmlns:a16="http://schemas.microsoft.com/office/drawing/2014/main" id="{00000000-0008-0000-1600-0000ACD1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4688" name="Line 1">
          <a:extLst>
            <a:ext uri="{FF2B5EF4-FFF2-40B4-BE49-F238E27FC236}">
              <a16:creationId xmlns:a16="http://schemas.microsoft.com/office/drawing/2014/main" id="{00000000-0008-0000-1700-0000A0D50000}"/>
            </a:ext>
          </a:extLst>
        </xdr:cNvPr>
        <xdr:cNvSpPr>
          <a:spLocks noChangeShapeType="1"/>
        </xdr:cNvSpPr>
      </xdr:nvSpPr>
      <xdr:spPr>
        <a:xfrm>
          <a:off x="5153025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4689" name="Line 2">
          <a:extLst>
            <a:ext uri="{FF2B5EF4-FFF2-40B4-BE49-F238E27FC236}">
              <a16:creationId xmlns:a16="http://schemas.microsoft.com/office/drawing/2014/main" id="{00000000-0008-0000-1700-0000A1D5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5701" name="Line 1">
          <a:extLst>
            <a:ext uri="{FF2B5EF4-FFF2-40B4-BE49-F238E27FC236}">
              <a16:creationId xmlns:a16="http://schemas.microsoft.com/office/drawing/2014/main" id="{00000000-0008-0000-1800-000095D90000}"/>
            </a:ext>
          </a:extLst>
        </xdr:cNvPr>
        <xdr:cNvSpPr>
          <a:spLocks noChangeShapeType="1"/>
        </xdr:cNvSpPr>
      </xdr:nvSpPr>
      <xdr:spPr>
        <a:xfrm>
          <a:off x="4991100" y="48577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5702" name="Line 2">
          <a:extLst>
            <a:ext uri="{FF2B5EF4-FFF2-40B4-BE49-F238E27FC236}">
              <a16:creationId xmlns:a16="http://schemas.microsoft.com/office/drawing/2014/main" id="{00000000-0008-0000-1800-000096D90000}"/>
            </a:ext>
          </a:extLst>
        </xdr:cNvPr>
        <xdr:cNvSpPr>
          <a:spLocks noChangeShapeType="1"/>
        </xdr:cNvSpPr>
      </xdr:nvSpPr>
      <xdr:spPr>
        <a:xfrm>
          <a:off x="447675" y="628650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6709" name="Line 1">
          <a:extLst>
            <a:ext uri="{FF2B5EF4-FFF2-40B4-BE49-F238E27FC236}">
              <a16:creationId xmlns:a16="http://schemas.microsoft.com/office/drawing/2014/main" id="{00000000-0008-0000-1900-000085DD0000}"/>
            </a:ext>
          </a:extLst>
        </xdr:cNvPr>
        <xdr:cNvSpPr>
          <a:spLocks noChangeShapeType="1"/>
        </xdr:cNvSpPr>
      </xdr:nvSpPr>
      <xdr:spPr>
        <a:xfrm>
          <a:off x="4676775" y="485775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6710" name="Line 2">
          <a:extLst>
            <a:ext uri="{FF2B5EF4-FFF2-40B4-BE49-F238E27FC236}">
              <a16:creationId xmlns:a16="http://schemas.microsoft.com/office/drawing/2014/main" id="{00000000-0008-0000-1900-000086DD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7621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7715" name="Line 1">
          <a:extLst>
            <a:ext uri="{FF2B5EF4-FFF2-40B4-BE49-F238E27FC236}">
              <a16:creationId xmlns:a16="http://schemas.microsoft.com/office/drawing/2014/main" id="{00000000-0008-0000-1A00-000073E10000}"/>
            </a:ext>
          </a:extLst>
        </xdr:cNvPr>
        <xdr:cNvSpPr>
          <a:spLocks noChangeShapeType="1"/>
        </xdr:cNvSpPr>
      </xdr:nvSpPr>
      <xdr:spPr>
        <a:xfrm>
          <a:off x="5010150" y="485775"/>
          <a:ext cx="16573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7716" name="Line 2">
          <a:extLst>
            <a:ext uri="{FF2B5EF4-FFF2-40B4-BE49-F238E27FC236}">
              <a16:creationId xmlns:a16="http://schemas.microsoft.com/office/drawing/2014/main" id="{00000000-0008-0000-1A00-000074E10000}"/>
            </a:ext>
          </a:extLst>
        </xdr:cNvPr>
        <xdr:cNvSpPr>
          <a:spLocks noChangeShapeType="1"/>
        </xdr:cNvSpPr>
      </xdr:nvSpPr>
      <xdr:spPr>
        <a:xfrm>
          <a:off x="400050" y="628650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65891" name="Line 1">
          <a:extLst>
            <a:ext uri="{FF2B5EF4-FFF2-40B4-BE49-F238E27FC236}">
              <a16:creationId xmlns:a16="http://schemas.microsoft.com/office/drawing/2014/main" id="{00000000-0008-0000-1B00-000063010100}"/>
            </a:ext>
          </a:extLst>
        </xdr:cNvPr>
        <xdr:cNvSpPr>
          <a:spLocks noChangeShapeType="1"/>
        </xdr:cNvSpPr>
      </xdr:nvSpPr>
      <xdr:spPr>
        <a:xfrm>
          <a:off x="502920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65892" name="Line 2">
          <a:extLst>
            <a:ext uri="{FF2B5EF4-FFF2-40B4-BE49-F238E27FC236}">
              <a16:creationId xmlns:a16="http://schemas.microsoft.com/office/drawing/2014/main" id="{00000000-0008-0000-1B00-000064010100}"/>
            </a:ext>
          </a:extLst>
        </xdr:cNvPr>
        <xdr:cNvSpPr>
          <a:spLocks noChangeShapeType="1"/>
        </xdr:cNvSpPr>
      </xdr:nvSpPr>
      <xdr:spPr>
        <a:xfrm>
          <a:off x="542925" y="628650"/>
          <a:ext cx="18288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66901" name="Line 1">
          <a:extLst>
            <a:ext uri="{FF2B5EF4-FFF2-40B4-BE49-F238E27FC236}">
              <a16:creationId xmlns:a16="http://schemas.microsoft.com/office/drawing/2014/main" id="{00000000-0008-0000-1C00-000055050100}"/>
            </a:ext>
          </a:extLst>
        </xdr:cNvPr>
        <xdr:cNvSpPr>
          <a:spLocks noChangeShapeType="1"/>
        </xdr:cNvSpPr>
      </xdr:nvSpPr>
      <xdr:spPr>
        <a:xfrm>
          <a:off x="521970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66902" name="Line 2">
          <a:extLst>
            <a:ext uri="{FF2B5EF4-FFF2-40B4-BE49-F238E27FC236}">
              <a16:creationId xmlns:a16="http://schemas.microsoft.com/office/drawing/2014/main" id="{00000000-0008-0000-1C00-00005605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8002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67907" name="Line 1">
          <a:extLst>
            <a:ext uri="{FF2B5EF4-FFF2-40B4-BE49-F238E27FC236}">
              <a16:creationId xmlns:a16="http://schemas.microsoft.com/office/drawing/2014/main" id="{00000000-0008-0000-1D00-000043090100}"/>
            </a:ext>
          </a:extLst>
        </xdr:cNvPr>
        <xdr:cNvSpPr>
          <a:spLocks noChangeShapeType="1"/>
        </xdr:cNvSpPr>
      </xdr:nvSpPr>
      <xdr:spPr>
        <a:xfrm>
          <a:off x="4914900" y="485775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67908" name="Line 2">
          <a:extLst>
            <a:ext uri="{FF2B5EF4-FFF2-40B4-BE49-F238E27FC236}">
              <a16:creationId xmlns:a16="http://schemas.microsoft.com/office/drawing/2014/main" id="{00000000-0008-0000-1D00-000044090100}"/>
            </a:ext>
          </a:extLst>
        </xdr:cNvPr>
        <xdr:cNvSpPr>
          <a:spLocks noChangeShapeType="1"/>
        </xdr:cNvSpPr>
      </xdr:nvSpPr>
      <xdr:spPr>
        <a:xfrm>
          <a:off x="400050" y="628650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68924" name="Line 1">
          <a:extLst>
            <a:ext uri="{FF2B5EF4-FFF2-40B4-BE49-F238E27FC236}">
              <a16:creationId xmlns:a16="http://schemas.microsoft.com/office/drawing/2014/main" id="{00000000-0008-0000-1E00-00003C0D0100}"/>
            </a:ext>
          </a:extLst>
        </xdr:cNvPr>
        <xdr:cNvSpPr>
          <a:spLocks noChangeShapeType="1"/>
        </xdr:cNvSpPr>
      </xdr:nvSpPr>
      <xdr:spPr>
        <a:xfrm>
          <a:off x="4914900" y="485775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68925" name="Line 2">
          <a:extLst>
            <a:ext uri="{FF2B5EF4-FFF2-40B4-BE49-F238E27FC236}">
              <a16:creationId xmlns:a16="http://schemas.microsoft.com/office/drawing/2014/main" id="{00000000-0008-0000-1E00-00003D0D0100}"/>
            </a:ext>
          </a:extLst>
        </xdr:cNvPr>
        <xdr:cNvSpPr>
          <a:spLocks noChangeShapeType="1"/>
        </xdr:cNvSpPr>
      </xdr:nvSpPr>
      <xdr:spPr>
        <a:xfrm>
          <a:off x="400050" y="628650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89389" name="Line 1">
          <a:extLst>
            <a:ext uri="{FF2B5EF4-FFF2-40B4-BE49-F238E27FC236}">
              <a16:creationId xmlns:a16="http://schemas.microsoft.com/office/drawing/2014/main" id="{00000000-0008-0000-1F00-00002D5D0100}"/>
            </a:ext>
          </a:extLst>
        </xdr:cNvPr>
        <xdr:cNvSpPr>
          <a:spLocks noChangeShapeType="1"/>
        </xdr:cNvSpPr>
      </xdr:nvSpPr>
      <xdr:spPr>
        <a:xfrm>
          <a:off x="4257675" y="485775"/>
          <a:ext cx="1571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89390" name="Line 2">
          <a:extLst>
            <a:ext uri="{FF2B5EF4-FFF2-40B4-BE49-F238E27FC236}">
              <a16:creationId xmlns:a16="http://schemas.microsoft.com/office/drawing/2014/main" id="{00000000-0008-0000-1F00-00002E5D0100}"/>
            </a:ext>
          </a:extLst>
        </xdr:cNvPr>
        <xdr:cNvSpPr>
          <a:spLocks noChangeShapeType="1"/>
        </xdr:cNvSpPr>
      </xdr:nvSpPr>
      <xdr:spPr>
        <a:xfrm>
          <a:off x="438150" y="628650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0405" name="Line 1">
          <a:extLst>
            <a:ext uri="{FF2B5EF4-FFF2-40B4-BE49-F238E27FC236}">
              <a16:creationId xmlns:a16="http://schemas.microsoft.com/office/drawing/2014/main" id="{00000000-0008-0000-2000-000025610100}"/>
            </a:ext>
          </a:extLst>
        </xdr:cNvPr>
        <xdr:cNvSpPr>
          <a:spLocks noChangeShapeType="1"/>
        </xdr:cNvSpPr>
      </xdr:nvSpPr>
      <xdr:spPr>
        <a:xfrm>
          <a:off x="4933950" y="48577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0406" name="Line 2">
          <a:extLst>
            <a:ext uri="{FF2B5EF4-FFF2-40B4-BE49-F238E27FC236}">
              <a16:creationId xmlns:a16="http://schemas.microsoft.com/office/drawing/2014/main" id="{00000000-0008-0000-2000-00002661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1421" name="Line 1">
          <a:extLst>
            <a:ext uri="{FF2B5EF4-FFF2-40B4-BE49-F238E27FC236}">
              <a16:creationId xmlns:a16="http://schemas.microsoft.com/office/drawing/2014/main" id="{00000000-0008-0000-2100-00001D650100}"/>
            </a:ext>
          </a:extLst>
        </xdr:cNvPr>
        <xdr:cNvSpPr>
          <a:spLocks noChangeShapeType="1"/>
        </xdr:cNvSpPr>
      </xdr:nvSpPr>
      <xdr:spPr>
        <a:xfrm>
          <a:off x="4924425" y="485775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1422" name="Line 2">
          <a:extLst>
            <a:ext uri="{FF2B5EF4-FFF2-40B4-BE49-F238E27FC236}">
              <a16:creationId xmlns:a16="http://schemas.microsoft.com/office/drawing/2014/main" id="{00000000-0008-0000-2100-00001E65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6383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2441" name="Line 1">
          <a:extLst>
            <a:ext uri="{FF2B5EF4-FFF2-40B4-BE49-F238E27FC236}">
              <a16:creationId xmlns:a16="http://schemas.microsoft.com/office/drawing/2014/main" id="{00000000-0008-0000-2200-000019690100}"/>
            </a:ext>
          </a:extLst>
        </xdr:cNvPr>
        <xdr:cNvSpPr>
          <a:spLocks noChangeShapeType="1"/>
        </xdr:cNvSpPr>
      </xdr:nvSpPr>
      <xdr:spPr>
        <a:xfrm>
          <a:off x="4933950" y="485775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2442" name="Line 2">
          <a:extLst>
            <a:ext uri="{FF2B5EF4-FFF2-40B4-BE49-F238E27FC236}">
              <a16:creationId xmlns:a16="http://schemas.microsoft.com/office/drawing/2014/main" id="{00000000-0008-0000-2200-00001A69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8002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3457" name="Line 1">
          <a:extLst>
            <a:ext uri="{FF2B5EF4-FFF2-40B4-BE49-F238E27FC236}">
              <a16:creationId xmlns:a16="http://schemas.microsoft.com/office/drawing/2014/main" id="{00000000-0008-0000-2300-0000116D0100}"/>
            </a:ext>
          </a:extLst>
        </xdr:cNvPr>
        <xdr:cNvSpPr>
          <a:spLocks noChangeShapeType="1"/>
        </xdr:cNvSpPr>
      </xdr:nvSpPr>
      <xdr:spPr>
        <a:xfrm>
          <a:off x="4772025" y="485775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3458" name="Line 2">
          <a:extLst>
            <a:ext uri="{FF2B5EF4-FFF2-40B4-BE49-F238E27FC236}">
              <a16:creationId xmlns:a16="http://schemas.microsoft.com/office/drawing/2014/main" id="{00000000-0008-0000-2300-0000126D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4477" name="Line 1">
          <a:extLst>
            <a:ext uri="{FF2B5EF4-FFF2-40B4-BE49-F238E27FC236}">
              <a16:creationId xmlns:a16="http://schemas.microsoft.com/office/drawing/2014/main" id="{00000000-0008-0000-2400-00000D710100}"/>
            </a:ext>
          </a:extLst>
        </xdr:cNvPr>
        <xdr:cNvSpPr>
          <a:spLocks noChangeShapeType="1"/>
        </xdr:cNvSpPr>
      </xdr:nvSpPr>
      <xdr:spPr>
        <a:xfrm>
          <a:off x="4886325" y="485775"/>
          <a:ext cx="15525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4478" name="Line 2">
          <a:extLst>
            <a:ext uri="{FF2B5EF4-FFF2-40B4-BE49-F238E27FC236}">
              <a16:creationId xmlns:a16="http://schemas.microsoft.com/office/drawing/2014/main" id="{00000000-0008-0000-2400-00000E71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5497" name="Line 1">
          <a:extLst>
            <a:ext uri="{FF2B5EF4-FFF2-40B4-BE49-F238E27FC236}">
              <a16:creationId xmlns:a16="http://schemas.microsoft.com/office/drawing/2014/main" id="{00000000-0008-0000-2500-000009750100}"/>
            </a:ext>
          </a:extLst>
        </xdr:cNvPr>
        <xdr:cNvSpPr>
          <a:spLocks noChangeShapeType="1"/>
        </xdr:cNvSpPr>
      </xdr:nvSpPr>
      <xdr:spPr>
        <a:xfrm>
          <a:off x="466725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5498" name="Line 2">
          <a:extLst>
            <a:ext uri="{FF2B5EF4-FFF2-40B4-BE49-F238E27FC236}">
              <a16:creationId xmlns:a16="http://schemas.microsoft.com/office/drawing/2014/main" id="{00000000-0008-0000-2500-00000A750100}"/>
            </a:ext>
          </a:extLst>
        </xdr:cNvPr>
        <xdr:cNvSpPr>
          <a:spLocks noChangeShapeType="1"/>
        </xdr:cNvSpPr>
      </xdr:nvSpPr>
      <xdr:spPr>
        <a:xfrm>
          <a:off x="476250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6519" name="Line 1">
          <a:extLst>
            <a:ext uri="{FF2B5EF4-FFF2-40B4-BE49-F238E27FC236}">
              <a16:creationId xmlns:a16="http://schemas.microsoft.com/office/drawing/2014/main" id="{00000000-0008-0000-2600-000007790100}"/>
            </a:ext>
          </a:extLst>
        </xdr:cNvPr>
        <xdr:cNvSpPr>
          <a:spLocks noChangeShapeType="1"/>
        </xdr:cNvSpPr>
      </xdr:nvSpPr>
      <xdr:spPr>
        <a:xfrm>
          <a:off x="5076825" y="485775"/>
          <a:ext cx="18859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6520" name="Line 2">
          <a:extLst>
            <a:ext uri="{FF2B5EF4-FFF2-40B4-BE49-F238E27FC236}">
              <a16:creationId xmlns:a16="http://schemas.microsoft.com/office/drawing/2014/main" id="{00000000-0008-0000-2600-000008790100}"/>
            </a:ext>
          </a:extLst>
        </xdr:cNvPr>
        <xdr:cNvSpPr>
          <a:spLocks noChangeShapeType="1"/>
        </xdr:cNvSpPr>
      </xdr:nvSpPr>
      <xdr:spPr>
        <a:xfrm>
          <a:off x="514350" y="628650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7537" name="Line 1">
          <a:extLst>
            <a:ext uri="{FF2B5EF4-FFF2-40B4-BE49-F238E27FC236}">
              <a16:creationId xmlns:a16="http://schemas.microsoft.com/office/drawing/2014/main" id="{00000000-0008-0000-2700-0000017D0100}"/>
            </a:ext>
          </a:extLst>
        </xdr:cNvPr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7538" name="Line 2">
          <a:extLst>
            <a:ext uri="{FF2B5EF4-FFF2-40B4-BE49-F238E27FC236}">
              <a16:creationId xmlns:a16="http://schemas.microsoft.com/office/drawing/2014/main" id="{00000000-0008-0000-2700-0000027D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35399" name="Line 1">
          <a:extLst>
            <a:ext uri="{FF2B5EF4-FFF2-40B4-BE49-F238E27FC236}">
              <a16:creationId xmlns:a16="http://schemas.microsoft.com/office/drawing/2014/main" id="{00000000-0008-0000-2800-0000E7100200}"/>
            </a:ext>
          </a:extLst>
        </xdr:cNvPr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35400" name="Line 2">
          <a:extLst>
            <a:ext uri="{FF2B5EF4-FFF2-40B4-BE49-F238E27FC236}">
              <a16:creationId xmlns:a16="http://schemas.microsoft.com/office/drawing/2014/main" id="{00000000-0008-0000-2800-0000E8100200}"/>
            </a:ext>
          </a:extLst>
        </xdr:cNvPr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45619" name="Line 1">
          <a:extLst>
            <a:ext uri="{FF2B5EF4-FFF2-40B4-BE49-F238E27FC236}">
              <a16:creationId xmlns:a16="http://schemas.microsoft.com/office/drawing/2014/main" id="{00000000-0008-0000-2900-0000D3380200}"/>
            </a:ext>
          </a:extLst>
        </xdr:cNvPr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45620" name="Line 2">
          <a:extLst>
            <a:ext uri="{FF2B5EF4-FFF2-40B4-BE49-F238E27FC236}">
              <a16:creationId xmlns:a16="http://schemas.microsoft.com/office/drawing/2014/main" id="{00000000-0008-0000-2900-0000D4380200}"/>
            </a:ext>
          </a:extLst>
        </xdr:cNvPr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55851" name="Line 1">
          <a:extLst>
            <a:ext uri="{FF2B5EF4-FFF2-40B4-BE49-F238E27FC236}">
              <a16:creationId xmlns:a16="http://schemas.microsoft.com/office/drawing/2014/main" id="{00000000-0008-0000-2A00-0000CB600200}"/>
            </a:ext>
          </a:extLst>
        </xdr:cNvPr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55852" name="Line 2">
          <a:extLst>
            <a:ext uri="{FF2B5EF4-FFF2-40B4-BE49-F238E27FC236}">
              <a16:creationId xmlns:a16="http://schemas.microsoft.com/office/drawing/2014/main" id="{00000000-0008-0000-2A00-0000CC600200}"/>
            </a:ext>
          </a:extLst>
        </xdr:cNvPr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847725</xdr:colOff>
      <xdr:row>2</xdr:row>
      <xdr:rowOff>9525</xdr:rowOff>
    </xdr:from>
    <xdr:to>
      <xdr:col>6</xdr:col>
      <xdr:colOff>866775</xdr:colOff>
      <xdr:row>2</xdr:row>
      <xdr:rowOff>9525</xdr:rowOff>
    </xdr:to>
    <xdr:sp macro="" textlink="">
      <xdr:nvSpPr>
        <xdr:cNvPr id="175291" name="Line 1">
          <a:extLst>
            <a:ext uri="{FF2B5EF4-FFF2-40B4-BE49-F238E27FC236}">
              <a16:creationId xmlns:a16="http://schemas.microsoft.com/office/drawing/2014/main" id="{00000000-0008-0000-2B00-0000BBAC0200}"/>
            </a:ext>
          </a:extLst>
        </xdr:cNvPr>
        <xdr:cNvSpPr>
          <a:spLocks noChangeShapeType="1"/>
        </xdr:cNvSpPr>
      </xdr:nvSpPr>
      <xdr:spPr>
        <a:xfrm flipV="1">
          <a:off x="5391150" y="409575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2</xdr:row>
      <xdr:rowOff>19050</xdr:rowOff>
    </xdr:from>
    <xdr:to>
      <xdr:col>1</xdr:col>
      <xdr:colOff>1028700</xdr:colOff>
      <xdr:row>2</xdr:row>
      <xdr:rowOff>19050</xdr:rowOff>
    </xdr:to>
    <xdr:sp macro="" textlink="">
      <xdr:nvSpPr>
        <xdr:cNvPr id="175292" name="Line 2">
          <a:extLst>
            <a:ext uri="{FF2B5EF4-FFF2-40B4-BE49-F238E27FC236}">
              <a16:creationId xmlns:a16="http://schemas.microsoft.com/office/drawing/2014/main" id="{00000000-0008-0000-2B00-0000BCAC0200}"/>
            </a:ext>
          </a:extLst>
        </xdr:cNvPr>
        <xdr:cNvSpPr>
          <a:spLocks noChangeShapeType="1"/>
        </xdr:cNvSpPr>
      </xdr:nvSpPr>
      <xdr:spPr>
        <a:xfrm flipV="1">
          <a:off x="866775" y="41910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885825</xdr:colOff>
      <xdr:row>2</xdr:row>
      <xdr:rowOff>19050</xdr:rowOff>
    </xdr:from>
    <xdr:to>
      <xdr:col>6</xdr:col>
      <xdr:colOff>838200</xdr:colOff>
      <xdr:row>2</xdr:row>
      <xdr:rowOff>28575</xdr:rowOff>
    </xdr:to>
    <xdr:sp macro="" textlink="">
      <xdr:nvSpPr>
        <xdr:cNvPr id="176307" name="Line 1">
          <a:extLst>
            <a:ext uri="{FF2B5EF4-FFF2-40B4-BE49-F238E27FC236}">
              <a16:creationId xmlns:a16="http://schemas.microsoft.com/office/drawing/2014/main" id="{00000000-0008-0000-2C00-0000B3B00200}"/>
            </a:ext>
          </a:extLst>
        </xdr:cNvPr>
        <xdr:cNvSpPr>
          <a:spLocks noChangeShapeType="1"/>
        </xdr:cNvSpPr>
      </xdr:nvSpPr>
      <xdr:spPr>
        <a:xfrm flipV="1">
          <a:off x="5076825" y="419100"/>
          <a:ext cx="1885950" cy="95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 macro="" textlink="">
      <xdr:nvSpPr>
        <xdr:cNvPr id="176308" name="Line 2">
          <a:extLst>
            <a:ext uri="{FF2B5EF4-FFF2-40B4-BE49-F238E27FC236}">
              <a16:creationId xmlns:a16="http://schemas.microsoft.com/office/drawing/2014/main" id="{00000000-0008-0000-2C00-0000B4B00200}"/>
            </a:ext>
          </a:extLst>
        </xdr:cNvPr>
        <xdr:cNvSpPr>
          <a:spLocks noChangeShapeType="1"/>
        </xdr:cNvSpPr>
      </xdr:nvSpPr>
      <xdr:spPr>
        <a:xfrm flipV="1">
          <a:off x="762000" y="41910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885825</xdr:colOff>
      <xdr:row>2</xdr:row>
      <xdr:rowOff>19050</xdr:rowOff>
    </xdr:from>
    <xdr:to>
      <xdr:col>6</xdr:col>
      <xdr:colOff>838200</xdr:colOff>
      <xdr:row>2</xdr:row>
      <xdr:rowOff>28575</xdr:rowOff>
    </xdr:to>
    <xdr:sp macro="" textlink="">
      <xdr:nvSpPr>
        <xdr:cNvPr id="177291" name="Line 1">
          <a:extLst>
            <a:ext uri="{FF2B5EF4-FFF2-40B4-BE49-F238E27FC236}">
              <a16:creationId xmlns:a16="http://schemas.microsoft.com/office/drawing/2014/main" id="{00000000-0008-0000-2D00-00008BB40200}"/>
            </a:ext>
          </a:extLst>
        </xdr:cNvPr>
        <xdr:cNvSpPr>
          <a:spLocks noChangeShapeType="1"/>
        </xdr:cNvSpPr>
      </xdr:nvSpPr>
      <xdr:spPr>
        <a:xfrm flipV="1">
          <a:off x="5076825" y="419100"/>
          <a:ext cx="1885950" cy="95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 macro="" textlink="">
      <xdr:nvSpPr>
        <xdr:cNvPr id="177292" name="Line 2">
          <a:extLst>
            <a:ext uri="{FF2B5EF4-FFF2-40B4-BE49-F238E27FC236}">
              <a16:creationId xmlns:a16="http://schemas.microsoft.com/office/drawing/2014/main" id="{00000000-0008-0000-2D00-00008CB40200}"/>
            </a:ext>
          </a:extLst>
        </xdr:cNvPr>
        <xdr:cNvSpPr>
          <a:spLocks noChangeShapeType="1"/>
        </xdr:cNvSpPr>
      </xdr:nvSpPr>
      <xdr:spPr>
        <a:xfrm flipV="1">
          <a:off x="762000" y="41910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2</xdr:row>
      <xdr:rowOff>28575</xdr:rowOff>
    </xdr:from>
    <xdr:to>
      <xdr:col>8</xdr:col>
      <xdr:colOff>428625</xdr:colOff>
      <xdr:row>2</xdr:row>
      <xdr:rowOff>28575</xdr:rowOff>
    </xdr:to>
    <xdr:sp macro="" textlink="">
      <xdr:nvSpPr>
        <xdr:cNvPr id="178283" name="Line 1">
          <a:extLst>
            <a:ext uri="{FF2B5EF4-FFF2-40B4-BE49-F238E27FC236}">
              <a16:creationId xmlns:a16="http://schemas.microsoft.com/office/drawing/2014/main" id="{00000000-0008-0000-2E00-00006BB80200}"/>
            </a:ext>
          </a:extLst>
        </xdr:cNvPr>
        <xdr:cNvSpPr>
          <a:spLocks noChangeShapeType="1"/>
        </xdr:cNvSpPr>
      </xdr:nvSpPr>
      <xdr:spPr>
        <a:xfrm flipV="1">
          <a:off x="5743575" y="42862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 macro="" textlink="">
      <xdr:nvSpPr>
        <xdr:cNvPr id="178284" name="Line 2">
          <a:extLst>
            <a:ext uri="{FF2B5EF4-FFF2-40B4-BE49-F238E27FC236}">
              <a16:creationId xmlns:a16="http://schemas.microsoft.com/office/drawing/2014/main" id="{00000000-0008-0000-2E00-00006CB80200}"/>
            </a:ext>
          </a:extLst>
        </xdr:cNvPr>
        <xdr:cNvSpPr>
          <a:spLocks noChangeShapeType="1"/>
        </xdr:cNvSpPr>
      </xdr:nvSpPr>
      <xdr:spPr>
        <a:xfrm flipV="1">
          <a:off x="666750" y="41910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2</xdr:row>
      <xdr:rowOff>19050</xdr:rowOff>
    </xdr:from>
    <xdr:to>
      <xdr:col>7</xdr:col>
      <xdr:colOff>695325</xdr:colOff>
      <xdr:row>2</xdr:row>
      <xdr:rowOff>19050</xdr:rowOff>
    </xdr:to>
    <xdr:sp macro="" textlink="">
      <xdr:nvSpPr>
        <xdr:cNvPr id="179223" name="Line 1">
          <a:extLst>
            <a:ext uri="{FF2B5EF4-FFF2-40B4-BE49-F238E27FC236}">
              <a16:creationId xmlns:a16="http://schemas.microsoft.com/office/drawing/2014/main" id="{00000000-0008-0000-2F00-000017BC0200}"/>
            </a:ext>
          </a:extLst>
        </xdr:cNvPr>
        <xdr:cNvSpPr>
          <a:spLocks noChangeShapeType="1"/>
        </xdr:cNvSpPr>
      </xdr:nvSpPr>
      <xdr:spPr>
        <a:xfrm flipV="1">
          <a:off x="4962525" y="419100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311394</xdr:colOff>
      <xdr:row>2</xdr:row>
      <xdr:rowOff>19050</xdr:rowOff>
    </xdr:from>
    <xdr:to>
      <xdr:col>2</xdr:col>
      <xdr:colOff>25644</xdr:colOff>
      <xdr:row>2</xdr:row>
      <xdr:rowOff>19050</xdr:rowOff>
    </xdr:to>
    <xdr:sp macro="" textlink="">
      <xdr:nvSpPr>
        <xdr:cNvPr id="179224" name="Line 2">
          <a:extLst>
            <a:ext uri="{FF2B5EF4-FFF2-40B4-BE49-F238E27FC236}">
              <a16:creationId xmlns:a16="http://schemas.microsoft.com/office/drawing/2014/main" id="{00000000-0008-0000-2F00-000018BC0200}"/>
            </a:ext>
          </a:extLst>
        </xdr:cNvPr>
        <xdr:cNvSpPr>
          <a:spLocks noChangeShapeType="1"/>
        </xdr:cNvSpPr>
      </xdr:nvSpPr>
      <xdr:spPr>
        <a:xfrm flipV="1">
          <a:off x="644525" y="41910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\Doiso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\Soft\Dois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opLeftCell="A10" workbookViewId="0">
      <selection activeCell="D24" sqref="D24"/>
    </sheetView>
  </sheetViews>
  <sheetFormatPr defaultColWidth="9.140625" defaultRowHeight="15.75"/>
  <cols>
    <col min="1" max="1" width="5.28515625" style="3" customWidth="1"/>
    <col min="2" max="2" width="18.7109375" style="3" customWidth="1"/>
    <col min="3" max="3" width="11.5703125" style="3" customWidth="1"/>
    <col min="4" max="4" width="31.42578125" style="3" customWidth="1"/>
    <col min="5" max="5" width="15.7109375" style="3" customWidth="1"/>
    <col min="6" max="6" width="13.140625" style="5" customWidth="1"/>
    <col min="7" max="7" width="17.85546875" style="5" customWidth="1"/>
    <col min="8" max="8" width="9.85546875" style="3" customWidth="1"/>
    <col min="9" max="9" width="17.85546875" style="3" customWidth="1"/>
    <col min="10" max="10" width="11.5703125" style="3" customWidth="1"/>
    <col min="11" max="12" width="13" style="3" customWidth="1"/>
    <col min="13" max="13" width="3.85546875" style="3" customWidth="1"/>
    <col min="14" max="16384" width="9.140625" style="3"/>
  </cols>
  <sheetData>
    <row r="1" spans="1:9">
      <c r="A1" s="121" t="s">
        <v>0</v>
      </c>
      <c r="B1" s="121"/>
      <c r="C1" s="121"/>
      <c r="E1" s="122" t="s">
        <v>1</v>
      </c>
      <c r="F1" s="122"/>
      <c r="G1" s="122"/>
      <c r="H1" s="122"/>
    </row>
    <row r="2" spans="1:9">
      <c r="A2" s="121" t="s">
        <v>2</v>
      </c>
      <c r="B2" s="121"/>
      <c r="C2" s="121"/>
      <c r="E2" s="122" t="s">
        <v>3</v>
      </c>
      <c r="F2" s="122"/>
      <c r="G2" s="122"/>
      <c r="H2" s="122"/>
    </row>
    <row r="3" spans="1:9">
      <c r="A3" s="122" t="s">
        <v>4</v>
      </c>
      <c r="B3" s="122"/>
      <c r="C3" s="122"/>
    </row>
    <row r="4" spans="1:9">
      <c r="E4" s="123" t="s">
        <v>5</v>
      </c>
      <c r="F4" s="123"/>
      <c r="G4" s="123"/>
      <c r="H4" s="123"/>
    </row>
    <row r="5" spans="1:9" ht="53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7" spans="1:9" s="4" customFormat="1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0" t="s">
        <v>14</v>
      </c>
      <c r="I7" s="70" t="s">
        <v>15</v>
      </c>
    </row>
    <row r="8" spans="1:9" ht="15.75" customHeight="1">
      <c r="A8" s="126">
        <v>1</v>
      </c>
      <c r="B8" s="126" t="s">
        <v>16</v>
      </c>
      <c r="C8" s="126" t="s">
        <v>17</v>
      </c>
      <c r="D8" s="126" t="s">
        <v>18</v>
      </c>
      <c r="E8" s="82">
        <v>43831</v>
      </c>
      <c r="F8" s="83">
        <v>693700</v>
      </c>
      <c r="G8" s="83">
        <v>1143707100</v>
      </c>
      <c r="H8" s="84">
        <v>0</v>
      </c>
      <c r="I8" s="84">
        <f>G8</f>
        <v>1143707100</v>
      </c>
    </row>
    <row r="9" spans="1:9" ht="16.5">
      <c r="A9" s="126"/>
      <c r="B9" s="126"/>
      <c r="C9" s="126"/>
      <c r="D9" s="126"/>
      <c r="E9" s="82">
        <v>43832</v>
      </c>
      <c r="F9" s="83">
        <v>411000</v>
      </c>
      <c r="G9" s="83">
        <v>682172200</v>
      </c>
      <c r="H9" s="84">
        <v>0</v>
      </c>
      <c r="I9" s="84">
        <f t="shared" ref="I9:I17" si="0">G9</f>
        <v>682172200</v>
      </c>
    </row>
    <row r="10" spans="1:9" ht="16.5">
      <c r="A10" s="126"/>
      <c r="B10" s="126"/>
      <c r="C10" s="126"/>
      <c r="D10" s="126"/>
      <c r="E10" s="82">
        <v>43833</v>
      </c>
      <c r="F10" s="83">
        <v>38400</v>
      </c>
      <c r="G10" s="83">
        <v>61580400</v>
      </c>
      <c r="H10" s="84">
        <v>0</v>
      </c>
      <c r="I10" s="84">
        <f t="shared" si="0"/>
        <v>61580400</v>
      </c>
    </row>
    <row r="11" spans="1:9" ht="16.5">
      <c r="A11" s="126">
        <v>2</v>
      </c>
      <c r="B11" s="126" t="s">
        <v>19</v>
      </c>
      <c r="C11" s="126" t="s">
        <v>20</v>
      </c>
      <c r="D11" s="126" t="s">
        <v>18</v>
      </c>
      <c r="E11" s="113">
        <v>43831</v>
      </c>
      <c r="F11" s="85">
        <v>404600</v>
      </c>
      <c r="G11" s="85">
        <v>693566200</v>
      </c>
      <c r="H11" s="84">
        <v>0</v>
      </c>
      <c r="I11" s="84">
        <f t="shared" si="0"/>
        <v>693566200</v>
      </c>
    </row>
    <row r="12" spans="1:9" ht="16.5">
      <c r="A12" s="126"/>
      <c r="B12" s="126"/>
      <c r="C12" s="126"/>
      <c r="D12" s="126"/>
      <c r="E12" s="113">
        <v>43832</v>
      </c>
      <c r="F12" s="85">
        <v>215800</v>
      </c>
      <c r="G12" s="85">
        <v>366543800</v>
      </c>
      <c r="H12" s="84">
        <v>0</v>
      </c>
      <c r="I12" s="84">
        <f t="shared" si="0"/>
        <v>366543800</v>
      </c>
    </row>
    <row r="13" spans="1:9" ht="16.5">
      <c r="A13" s="126"/>
      <c r="B13" s="126"/>
      <c r="C13" s="126"/>
      <c r="D13" s="126"/>
      <c r="E13" s="113">
        <v>43833</v>
      </c>
      <c r="F13" s="85">
        <v>51100</v>
      </c>
      <c r="G13" s="85">
        <v>86318500</v>
      </c>
      <c r="H13" s="84"/>
      <c r="I13" s="84">
        <f t="shared" si="0"/>
        <v>86318500</v>
      </c>
    </row>
    <row r="14" spans="1:9" ht="16.5">
      <c r="A14" s="126">
        <v>3</v>
      </c>
      <c r="B14" s="126" t="s">
        <v>21</v>
      </c>
      <c r="C14" s="126" t="s">
        <v>22</v>
      </c>
      <c r="D14" s="126" t="s">
        <v>18</v>
      </c>
      <c r="E14" s="113">
        <v>43831</v>
      </c>
      <c r="F14" s="85">
        <v>359400</v>
      </c>
      <c r="G14" s="85">
        <v>607535000</v>
      </c>
      <c r="H14" s="84">
        <v>0</v>
      </c>
      <c r="I14" s="84">
        <f t="shared" si="0"/>
        <v>607535000</v>
      </c>
    </row>
    <row r="15" spans="1:9" ht="16.5">
      <c r="A15" s="126"/>
      <c r="B15" s="126"/>
      <c r="C15" s="126"/>
      <c r="D15" s="126"/>
      <c r="E15" s="113">
        <v>43832</v>
      </c>
      <c r="F15" s="85">
        <v>164600</v>
      </c>
      <c r="G15" s="85">
        <v>282089000</v>
      </c>
      <c r="H15" s="84">
        <v>0</v>
      </c>
      <c r="I15" s="84">
        <f t="shared" si="0"/>
        <v>282089000</v>
      </c>
    </row>
    <row r="16" spans="1:9" ht="16.5">
      <c r="A16" s="126"/>
      <c r="B16" s="126"/>
      <c r="C16" s="126"/>
      <c r="D16" s="126"/>
      <c r="E16" s="113">
        <v>43833</v>
      </c>
      <c r="F16" s="85">
        <v>37300</v>
      </c>
      <c r="G16" s="85">
        <v>60560700</v>
      </c>
      <c r="H16" s="84">
        <v>0</v>
      </c>
      <c r="I16" s="84">
        <f t="shared" si="0"/>
        <v>60560700</v>
      </c>
    </row>
    <row r="17" spans="1:9" ht="33">
      <c r="A17" s="78">
        <v>4</v>
      </c>
      <c r="B17" s="78" t="s">
        <v>23</v>
      </c>
      <c r="C17" s="78" t="s">
        <v>24</v>
      </c>
      <c r="D17" s="78" t="s">
        <v>18</v>
      </c>
      <c r="E17" s="89">
        <v>43831</v>
      </c>
      <c r="F17" s="86">
        <v>28200</v>
      </c>
      <c r="G17" s="86">
        <v>48557800</v>
      </c>
      <c r="H17" s="114" t="s">
        <v>25</v>
      </c>
      <c r="I17" s="87">
        <f t="shared" si="0"/>
        <v>48557800</v>
      </c>
    </row>
    <row r="18" spans="1:9" ht="16.5">
      <c r="A18" s="78"/>
      <c r="B18" s="88" t="s">
        <v>26</v>
      </c>
      <c r="C18" s="78"/>
      <c r="D18" s="78"/>
      <c r="E18" s="89"/>
      <c r="F18" s="90">
        <f>SUM(F8:F17)</f>
        <v>2404100</v>
      </c>
      <c r="G18" s="90">
        <f>SUM(G8:G17)</f>
        <v>4032630700</v>
      </c>
      <c r="H18" s="90">
        <f>SUM(H8:H17)</f>
        <v>0</v>
      </c>
      <c r="I18" s="90">
        <f>SUM(I8:I17)</f>
        <v>4032630700</v>
      </c>
    </row>
    <row r="19" spans="1:9" ht="40.5" customHeight="1">
      <c r="A19" s="73"/>
      <c r="B19" s="73" t="s">
        <v>27</v>
      </c>
      <c r="C19" s="73" t="s">
        <v>17</v>
      </c>
      <c r="D19" s="73" t="s">
        <v>18</v>
      </c>
      <c r="E19" s="82">
        <v>43833</v>
      </c>
      <c r="F19" s="83">
        <v>36100</v>
      </c>
      <c r="G19" s="83">
        <v>14342075</v>
      </c>
      <c r="H19" s="84">
        <v>0</v>
      </c>
      <c r="I19" s="84">
        <f>G19</f>
        <v>14342075</v>
      </c>
    </row>
    <row r="20" spans="1:9" ht="16.5">
      <c r="A20" s="125" t="s">
        <v>28</v>
      </c>
      <c r="B20" s="125"/>
      <c r="C20" s="125"/>
      <c r="D20" s="125"/>
      <c r="E20" s="125"/>
      <c r="F20" s="76">
        <f>F18+F19</f>
        <v>2440200</v>
      </c>
      <c r="G20" s="76">
        <f>G18+G19</f>
        <v>4046972775</v>
      </c>
      <c r="H20" s="76">
        <f>SUM(H8:H19)</f>
        <v>0</v>
      </c>
      <c r="I20" s="76">
        <f>I18+I19</f>
        <v>4046972775</v>
      </c>
    </row>
    <row r="21" spans="1:9">
      <c r="A21" s="33"/>
      <c r="B21" s="33"/>
      <c r="C21" s="33"/>
      <c r="D21" s="33"/>
      <c r="E21" s="33"/>
      <c r="F21" s="34"/>
      <c r="G21" s="34"/>
      <c r="H21" s="35"/>
      <c r="I21" s="35"/>
    </row>
    <row r="22" spans="1:9" s="64" customFormat="1">
      <c r="A22" s="122" t="s">
        <v>29</v>
      </c>
      <c r="B22" s="122"/>
      <c r="C22" s="122"/>
      <c r="D22" s="122" t="s">
        <v>30</v>
      </c>
      <c r="E22" s="122"/>
      <c r="F22" s="122" t="s">
        <v>31</v>
      </c>
      <c r="G22" s="122"/>
      <c r="H22" s="122"/>
    </row>
    <row r="23" spans="1:9" s="64" customFormat="1">
      <c r="A23" s="4"/>
      <c r="B23" s="4"/>
      <c r="C23" s="4"/>
      <c r="D23" s="4"/>
      <c r="E23" s="4"/>
      <c r="F23" s="122"/>
      <c r="G23" s="122"/>
      <c r="H23" s="122"/>
    </row>
    <row r="24" spans="1:9" s="64" customFormat="1">
      <c r="A24" s="4"/>
      <c r="B24" s="4"/>
      <c r="C24" s="4"/>
      <c r="D24" s="4"/>
      <c r="E24" s="4"/>
      <c r="F24" s="65"/>
      <c r="G24" s="65"/>
      <c r="H24" s="4"/>
    </row>
    <row r="25" spans="1:9" s="64" customFormat="1">
      <c r="A25" s="66"/>
      <c r="B25" s="67"/>
      <c r="C25" s="67"/>
      <c r="D25" s="67"/>
      <c r="E25" s="67"/>
      <c r="F25" s="68"/>
      <c r="G25" s="68"/>
      <c r="H25" s="67"/>
    </row>
    <row r="26" spans="1:9" s="64" customFormat="1">
      <c r="F26" s="69"/>
      <c r="G26" s="69"/>
    </row>
    <row r="27" spans="1:9" s="64" customFormat="1">
      <c r="A27" s="122" t="s">
        <v>32</v>
      </c>
      <c r="B27" s="122"/>
      <c r="C27" s="122"/>
      <c r="D27" s="122" t="s">
        <v>33</v>
      </c>
      <c r="E27" s="122"/>
      <c r="F27" s="122" t="s">
        <v>34</v>
      </c>
      <c r="G27" s="122"/>
      <c r="H27" s="122"/>
    </row>
  </sheetData>
  <mergeCells count="27">
    <mergeCell ref="F23:H23"/>
    <mergeCell ref="A27:C27"/>
    <mergeCell ref="D27:E27"/>
    <mergeCell ref="F27:H27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20:E20"/>
    <mergeCell ref="A22:C22"/>
    <mergeCell ref="D22:E22"/>
    <mergeCell ref="F22:H22"/>
    <mergeCell ref="A1:C1"/>
    <mergeCell ref="E1:H1"/>
    <mergeCell ref="A2:C2"/>
    <mergeCell ref="E2:H2"/>
    <mergeCell ref="A3:C3"/>
  </mergeCells>
  <pageMargins left="0.24" right="0.16" top="0.28999999999999998" bottom="0.2" header="0.25" footer="0.2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A11" workbookViewId="0">
      <selection activeCell="D24" sqref="D24:E24"/>
    </sheetView>
  </sheetViews>
  <sheetFormatPr defaultColWidth="9.140625" defaultRowHeight="15.75"/>
  <cols>
    <col min="1" max="1" width="5.28515625" style="3" customWidth="1"/>
    <col min="2" max="2" width="18.7109375" style="3" customWidth="1"/>
    <col min="3" max="3" width="11.5703125" style="3" customWidth="1"/>
    <col min="4" max="4" width="31.42578125" style="3" customWidth="1"/>
    <col min="5" max="5" width="15.7109375" style="3" customWidth="1"/>
    <col min="6" max="6" width="13.140625" style="5" customWidth="1"/>
    <col min="7" max="7" width="17.85546875" style="5" customWidth="1"/>
    <col min="8" max="8" width="9.85546875" style="3" customWidth="1"/>
    <col min="9" max="9" width="17.85546875" style="3" customWidth="1"/>
    <col min="10" max="10" width="11.5703125" style="3" customWidth="1"/>
    <col min="11" max="12" width="13" style="3" customWidth="1"/>
    <col min="13" max="13" width="3.85546875" style="3" customWidth="1"/>
    <col min="14" max="16384" width="9.140625" style="3"/>
  </cols>
  <sheetData>
    <row r="1" spans="1:9">
      <c r="A1" s="121" t="s">
        <v>0</v>
      </c>
      <c r="B1" s="121"/>
      <c r="C1" s="121"/>
      <c r="E1" s="122" t="s">
        <v>1</v>
      </c>
      <c r="F1" s="122"/>
      <c r="G1" s="122"/>
      <c r="H1" s="122"/>
    </row>
    <row r="2" spans="1:9">
      <c r="A2" s="121" t="s">
        <v>2</v>
      </c>
      <c r="B2" s="121"/>
      <c r="C2" s="121"/>
      <c r="E2" s="122" t="s">
        <v>3</v>
      </c>
      <c r="F2" s="122"/>
      <c r="G2" s="122"/>
      <c r="H2" s="122"/>
    </row>
    <row r="3" spans="1:9">
      <c r="A3" s="122" t="s">
        <v>4</v>
      </c>
      <c r="B3" s="122"/>
      <c r="C3" s="122"/>
    </row>
    <row r="4" spans="1:9">
      <c r="E4" s="123" t="s">
        <v>35</v>
      </c>
      <c r="F4" s="123"/>
      <c r="G4" s="123"/>
      <c r="H4" s="123"/>
    </row>
    <row r="5" spans="1:9" ht="53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7" spans="1:9" s="4" customFormat="1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0" t="s">
        <v>14</v>
      </c>
      <c r="I7" s="70" t="s">
        <v>15</v>
      </c>
    </row>
    <row r="8" spans="1:9" ht="15.75" customHeight="1">
      <c r="A8" s="128">
        <v>1</v>
      </c>
      <c r="B8" s="128" t="s">
        <v>16</v>
      </c>
      <c r="C8" s="128" t="s">
        <v>17</v>
      </c>
      <c r="D8" s="128" t="s">
        <v>18</v>
      </c>
      <c r="E8" s="98">
        <v>43862</v>
      </c>
      <c r="F8" s="99">
        <v>116900</v>
      </c>
      <c r="G8" s="99">
        <v>192822700</v>
      </c>
      <c r="H8" s="100">
        <v>0</v>
      </c>
      <c r="I8" s="100">
        <f>G8</f>
        <v>192822700</v>
      </c>
    </row>
    <row r="9" spans="1:9">
      <c r="A9" s="128"/>
      <c r="B9" s="128"/>
      <c r="C9" s="128"/>
      <c r="D9" s="128"/>
      <c r="E9" s="98">
        <v>43863</v>
      </c>
      <c r="F9" s="99">
        <v>296700</v>
      </c>
      <c r="G9" s="99">
        <v>496299700</v>
      </c>
      <c r="H9" s="100">
        <v>0</v>
      </c>
      <c r="I9" s="100">
        <f t="shared" ref="I9:I17" si="0">G9</f>
        <v>496299700</v>
      </c>
    </row>
    <row r="10" spans="1:9" ht="16.5" customHeight="1">
      <c r="A10" s="128"/>
      <c r="B10" s="128"/>
      <c r="C10" s="128"/>
      <c r="D10" s="128"/>
      <c r="E10" s="98">
        <v>43864</v>
      </c>
      <c r="F10" s="99">
        <v>564500</v>
      </c>
      <c r="G10" s="99">
        <v>928017500</v>
      </c>
      <c r="H10" s="100">
        <v>0</v>
      </c>
      <c r="I10" s="100">
        <f t="shared" si="0"/>
        <v>928017500</v>
      </c>
    </row>
    <row r="11" spans="1:9">
      <c r="A11" s="128">
        <v>2</v>
      </c>
      <c r="B11" s="128" t="s">
        <v>19</v>
      </c>
      <c r="C11" s="128" t="s">
        <v>20</v>
      </c>
      <c r="D11" s="128" t="s">
        <v>18</v>
      </c>
      <c r="E11" s="98">
        <v>43862</v>
      </c>
      <c r="F11" s="101">
        <v>73400</v>
      </c>
      <c r="G11" s="101">
        <v>121008600</v>
      </c>
      <c r="H11" s="100">
        <v>0</v>
      </c>
      <c r="I11" s="100">
        <f t="shared" si="0"/>
        <v>121008600</v>
      </c>
    </row>
    <row r="12" spans="1:9" ht="16.5" customHeight="1">
      <c r="A12" s="128"/>
      <c r="B12" s="128"/>
      <c r="C12" s="128"/>
      <c r="D12" s="128"/>
      <c r="E12" s="98">
        <v>43863</v>
      </c>
      <c r="F12" s="101">
        <v>209200</v>
      </c>
      <c r="G12" s="101">
        <v>352026800</v>
      </c>
      <c r="H12" s="100">
        <v>0</v>
      </c>
      <c r="I12" s="100">
        <f t="shared" si="0"/>
        <v>352026800</v>
      </c>
    </row>
    <row r="13" spans="1:9">
      <c r="A13" s="128"/>
      <c r="B13" s="128"/>
      <c r="C13" s="128"/>
      <c r="D13" s="128"/>
      <c r="E13" s="98">
        <v>43864</v>
      </c>
      <c r="F13" s="101">
        <v>285400</v>
      </c>
      <c r="G13" s="101">
        <v>480490600</v>
      </c>
      <c r="H13" s="100"/>
      <c r="I13" s="100">
        <f t="shared" si="0"/>
        <v>480490600</v>
      </c>
    </row>
    <row r="14" spans="1:9">
      <c r="A14" s="128">
        <v>3</v>
      </c>
      <c r="B14" s="128" t="s">
        <v>21</v>
      </c>
      <c r="C14" s="128" t="s">
        <v>22</v>
      </c>
      <c r="D14" s="128" t="s">
        <v>18</v>
      </c>
      <c r="E14" s="98">
        <v>43862</v>
      </c>
      <c r="F14" s="101">
        <v>54500</v>
      </c>
      <c r="G14" s="101">
        <v>83943100</v>
      </c>
      <c r="H14" s="100">
        <v>0</v>
      </c>
      <c r="I14" s="100">
        <f t="shared" si="0"/>
        <v>83943100</v>
      </c>
    </row>
    <row r="15" spans="1:9">
      <c r="A15" s="128"/>
      <c r="B15" s="128"/>
      <c r="C15" s="128"/>
      <c r="D15" s="128"/>
      <c r="E15" s="98">
        <v>43863</v>
      </c>
      <c r="F15" s="101">
        <v>213500</v>
      </c>
      <c r="G15" s="101">
        <v>360743300</v>
      </c>
      <c r="H15" s="100">
        <v>0</v>
      </c>
      <c r="I15" s="100">
        <f t="shared" si="0"/>
        <v>360743300</v>
      </c>
    </row>
    <row r="16" spans="1:9">
      <c r="A16" s="128"/>
      <c r="B16" s="128"/>
      <c r="C16" s="128"/>
      <c r="D16" s="128"/>
      <c r="E16" s="98">
        <v>43864</v>
      </c>
      <c r="F16" s="101">
        <v>322200</v>
      </c>
      <c r="G16" s="101">
        <v>550419000</v>
      </c>
      <c r="H16" s="100">
        <v>0</v>
      </c>
      <c r="I16" s="100">
        <f t="shared" si="0"/>
        <v>550419000</v>
      </c>
    </row>
    <row r="17" spans="1:9" s="64" customFormat="1" ht="31.5">
      <c r="A17" s="102">
        <v>4</v>
      </c>
      <c r="B17" s="102" t="s">
        <v>23</v>
      </c>
      <c r="C17" s="102" t="s">
        <v>24</v>
      </c>
      <c r="D17" s="102" t="s">
        <v>18</v>
      </c>
      <c r="E17" s="103">
        <v>43862</v>
      </c>
      <c r="F17" s="104">
        <v>33300</v>
      </c>
      <c r="G17" s="104">
        <v>57256300</v>
      </c>
      <c r="H17" s="115" t="s">
        <v>25</v>
      </c>
      <c r="I17" s="105">
        <f t="shared" si="0"/>
        <v>57256300</v>
      </c>
    </row>
    <row r="18" spans="1:9" s="64" customFormat="1">
      <c r="A18" s="102"/>
      <c r="B18" s="106" t="s">
        <v>26</v>
      </c>
      <c r="C18" s="102"/>
      <c r="D18" s="102"/>
      <c r="E18" s="103"/>
      <c r="F18" s="107">
        <f>SUM(F8:F17)</f>
        <v>2169600</v>
      </c>
      <c r="G18" s="107">
        <f>SUM(G8:G17)</f>
        <v>3623027600</v>
      </c>
      <c r="H18" s="107">
        <v>0</v>
      </c>
      <c r="I18" s="107">
        <f>SUM(I8:I17)</f>
        <v>3623027600</v>
      </c>
    </row>
    <row r="19" spans="1:9" s="64" customFormat="1" ht="31.5">
      <c r="A19" s="47"/>
      <c r="B19" s="47" t="s">
        <v>27</v>
      </c>
      <c r="C19" s="47" t="s">
        <v>17</v>
      </c>
      <c r="D19" s="47" t="s">
        <v>18</v>
      </c>
      <c r="E19" s="98">
        <v>43862</v>
      </c>
      <c r="F19" s="99">
        <v>68100</v>
      </c>
      <c r="G19" s="99">
        <v>8966256</v>
      </c>
      <c r="H19" s="100">
        <v>0</v>
      </c>
      <c r="I19" s="100">
        <f>G19</f>
        <v>8966256</v>
      </c>
    </row>
    <row r="20" spans="1:9" s="64" customFormat="1" ht="31.5">
      <c r="A20" s="102"/>
      <c r="B20" s="47" t="s">
        <v>36</v>
      </c>
      <c r="C20" s="102" t="s">
        <v>22</v>
      </c>
      <c r="D20" s="102" t="s">
        <v>18</v>
      </c>
      <c r="E20" s="108">
        <v>43862</v>
      </c>
      <c r="F20" s="109">
        <v>28900</v>
      </c>
      <c r="G20" s="109">
        <v>1905508</v>
      </c>
      <c r="H20" s="105">
        <v>0</v>
      </c>
      <c r="I20" s="105">
        <f>G20</f>
        <v>1905508</v>
      </c>
    </row>
    <row r="21" spans="1:9" s="64" customFormat="1" ht="29.25" customHeight="1">
      <c r="A21" s="102"/>
      <c r="B21" s="106" t="s">
        <v>37</v>
      </c>
      <c r="C21" s="102"/>
      <c r="D21" s="102"/>
      <c r="E21" s="108"/>
      <c r="F21" s="110">
        <f>F19+F20</f>
        <v>97000</v>
      </c>
      <c r="G21" s="110">
        <f>G19+G20</f>
        <v>10871764</v>
      </c>
      <c r="H21" s="111">
        <v>0</v>
      </c>
      <c r="I21" s="111">
        <f>I19+I20</f>
        <v>10871764</v>
      </c>
    </row>
    <row r="22" spans="1:9" s="64" customFormat="1">
      <c r="A22" s="127" t="s">
        <v>28</v>
      </c>
      <c r="B22" s="127"/>
      <c r="C22" s="127"/>
      <c r="D22" s="127"/>
      <c r="E22" s="127"/>
      <c r="F22" s="112">
        <f>F18+F21</f>
        <v>2266600</v>
      </c>
      <c r="G22" s="112">
        <f>G18+G21</f>
        <v>3633899364</v>
      </c>
      <c r="H22" s="112">
        <f>SUM(H8:H19)</f>
        <v>0</v>
      </c>
      <c r="I22" s="112">
        <f>I18+I21</f>
        <v>3633899364</v>
      </c>
    </row>
    <row r="23" spans="1:9" s="64" customFormat="1">
      <c r="A23" s="33"/>
      <c r="B23" s="33"/>
      <c r="C23" s="33"/>
      <c r="D23" s="33"/>
      <c r="E23" s="33"/>
      <c r="F23" s="34"/>
      <c r="G23" s="34"/>
      <c r="H23" s="35"/>
      <c r="I23" s="35"/>
    </row>
    <row r="24" spans="1:9" s="64" customFormat="1">
      <c r="A24" s="122" t="s">
        <v>29</v>
      </c>
      <c r="B24" s="122"/>
      <c r="C24" s="122"/>
      <c r="D24" s="122" t="s">
        <v>30</v>
      </c>
      <c r="E24" s="122"/>
      <c r="F24" s="122" t="s">
        <v>31</v>
      </c>
      <c r="G24" s="122"/>
      <c r="H24" s="122"/>
    </row>
    <row r="25" spans="1:9">
      <c r="A25" s="4"/>
      <c r="B25" s="4"/>
      <c r="C25" s="4"/>
      <c r="D25" s="4"/>
      <c r="E25" s="4"/>
      <c r="F25" s="122"/>
      <c r="G25" s="122"/>
      <c r="H25" s="122"/>
      <c r="I25" s="64"/>
    </row>
    <row r="26" spans="1:9">
      <c r="A26" s="4"/>
      <c r="B26" s="4"/>
      <c r="C26" s="4"/>
      <c r="D26" s="4"/>
      <c r="E26" s="4"/>
      <c r="F26" s="65"/>
      <c r="G26" s="65"/>
      <c r="H26" s="4"/>
      <c r="I26" s="64"/>
    </row>
    <row r="27" spans="1:9">
      <c r="A27" s="66"/>
      <c r="B27" s="67"/>
      <c r="C27" s="67"/>
      <c r="D27" s="67"/>
      <c r="E27" s="67"/>
      <c r="F27" s="68"/>
      <c r="G27" s="68"/>
      <c r="H27" s="67"/>
      <c r="I27" s="64"/>
    </row>
    <row r="28" spans="1:9">
      <c r="A28" s="64"/>
      <c r="B28" s="64"/>
      <c r="C28" s="64"/>
      <c r="D28" s="64"/>
      <c r="E28" s="64"/>
      <c r="F28" s="69"/>
      <c r="G28" s="69"/>
      <c r="H28" s="64"/>
      <c r="I28" s="64"/>
    </row>
    <row r="29" spans="1:9">
      <c r="A29" s="122" t="s">
        <v>32</v>
      </c>
      <c r="B29" s="122"/>
      <c r="C29" s="122"/>
      <c r="D29" s="122" t="s">
        <v>33</v>
      </c>
      <c r="E29" s="122"/>
      <c r="F29" s="122" t="s">
        <v>34</v>
      </c>
      <c r="G29" s="122"/>
      <c r="H29" s="122"/>
      <c r="I29" s="64"/>
    </row>
  </sheetData>
  <mergeCells count="27">
    <mergeCell ref="F25:H25"/>
    <mergeCell ref="A29:C29"/>
    <mergeCell ref="D29:E29"/>
    <mergeCell ref="F29:H29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22:E22"/>
    <mergeCell ref="A24:C24"/>
    <mergeCell ref="D24:E24"/>
    <mergeCell ref="F24:H24"/>
    <mergeCell ref="A1:C1"/>
    <mergeCell ref="E1:H1"/>
    <mergeCell ref="A2:C2"/>
    <mergeCell ref="E2:H2"/>
    <mergeCell ref="A3:C3"/>
  </mergeCells>
  <pageMargins left="0.24" right="0.16" top="0.3" bottom="0.2" header="0.24" footer="0.2"/>
  <pageSetup paperSize="9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topLeftCell="A4" workbookViewId="0">
      <selection activeCell="G19" sqref="G19"/>
    </sheetView>
  </sheetViews>
  <sheetFormatPr defaultColWidth="9.140625" defaultRowHeight="15.75"/>
  <cols>
    <col min="1" max="1" width="5.28515625" style="3" customWidth="1"/>
    <col min="2" max="2" width="18.7109375" style="3" customWidth="1"/>
    <col min="3" max="3" width="11.5703125" style="3" customWidth="1"/>
    <col min="4" max="4" width="31.42578125" style="3" customWidth="1"/>
    <col min="5" max="5" width="15.7109375" style="3" customWidth="1"/>
    <col min="6" max="6" width="13.140625" style="5" customWidth="1"/>
    <col min="7" max="7" width="17.85546875" style="5" customWidth="1"/>
    <col min="8" max="8" width="10.85546875" style="3" customWidth="1"/>
    <col min="9" max="9" width="17.85546875" style="3" customWidth="1"/>
    <col min="10" max="10" width="11.5703125" style="3" customWidth="1"/>
    <col min="11" max="12" width="13" style="3" customWidth="1"/>
    <col min="13" max="13" width="3.85546875" style="3" customWidth="1"/>
    <col min="14" max="16384" width="9.140625" style="3"/>
  </cols>
  <sheetData>
    <row r="1" spans="1:9">
      <c r="A1" s="121" t="s">
        <v>0</v>
      </c>
      <c r="B1" s="121"/>
      <c r="C1" s="121"/>
      <c r="E1" s="122" t="s">
        <v>1</v>
      </c>
      <c r="F1" s="122"/>
      <c r="G1" s="122"/>
      <c r="H1" s="122"/>
    </row>
    <row r="2" spans="1:9">
      <c r="A2" s="121" t="s">
        <v>2</v>
      </c>
      <c r="B2" s="121"/>
      <c r="C2" s="121"/>
      <c r="E2" s="122" t="s">
        <v>3</v>
      </c>
      <c r="F2" s="122"/>
      <c r="G2" s="122"/>
      <c r="H2" s="122"/>
    </row>
    <row r="3" spans="1:9">
      <c r="A3" s="122" t="s">
        <v>4</v>
      </c>
      <c r="B3" s="122"/>
      <c r="C3" s="122"/>
    </row>
    <row r="4" spans="1:9">
      <c r="E4" s="123" t="s">
        <v>38</v>
      </c>
      <c r="F4" s="123"/>
      <c r="G4" s="123"/>
      <c r="H4" s="123"/>
    </row>
    <row r="5" spans="1:9" ht="53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7" spans="1:9" s="4" customFormat="1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0" t="s">
        <v>14</v>
      </c>
      <c r="I7" s="70" t="s">
        <v>15</v>
      </c>
    </row>
    <row r="8" spans="1:9" ht="15.75" customHeight="1">
      <c r="A8" s="128">
        <v>1</v>
      </c>
      <c r="B8" s="128" t="s">
        <v>16</v>
      </c>
      <c r="C8" s="128" t="s">
        <v>17</v>
      </c>
      <c r="D8" s="128" t="s">
        <v>18</v>
      </c>
      <c r="E8" s="98">
        <v>43891</v>
      </c>
      <c r="F8" s="99">
        <v>549000</v>
      </c>
      <c r="G8" s="99">
        <v>908542600</v>
      </c>
      <c r="H8" s="100">
        <v>0</v>
      </c>
      <c r="I8" s="100">
        <f>G8</f>
        <v>908542600</v>
      </c>
    </row>
    <row r="9" spans="1:9">
      <c r="A9" s="128"/>
      <c r="B9" s="128"/>
      <c r="C9" s="128"/>
      <c r="D9" s="128"/>
      <c r="E9" s="98">
        <v>43892</v>
      </c>
      <c r="F9" s="99">
        <v>625100</v>
      </c>
      <c r="G9" s="99">
        <v>1014538100</v>
      </c>
      <c r="H9" s="100">
        <v>0</v>
      </c>
      <c r="I9" s="100">
        <f t="shared" ref="I9:I17" si="0">G9</f>
        <v>1014538100</v>
      </c>
    </row>
    <row r="10" spans="1:9">
      <c r="A10" s="128"/>
      <c r="B10" s="128"/>
      <c r="C10" s="128"/>
      <c r="D10" s="128"/>
      <c r="E10" s="98">
        <v>43893</v>
      </c>
      <c r="F10" s="99">
        <v>577700</v>
      </c>
      <c r="G10" s="99">
        <v>953436700</v>
      </c>
      <c r="H10" s="100">
        <v>0</v>
      </c>
      <c r="I10" s="100">
        <f t="shared" si="0"/>
        <v>953436700</v>
      </c>
    </row>
    <row r="11" spans="1:9" ht="16.5" customHeight="1">
      <c r="A11" s="128">
        <v>2</v>
      </c>
      <c r="B11" s="128" t="s">
        <v>19</v>
      </c>
      <c r="C11" s="128" t="s">
        <v>20</v>
      </c>
      <c r="D11" s="128" t="s">
        <v>18</v>
      </c>
      <c r="E11" s="98">
        <v>43891</v>
      </c>
      <c r="F11" s="101">
        <v>266100</v>
      </c>
      <c r="G11" s="101">
        <v>447638300</v>
      </c>
      <c r="H11" s="100">
        <v>0</v>
      </c>
      <c r="I11" s="100">
        <f t="shared" si="0"/>
        <v>447638300</v>
      </c>
    </row>
    <row r="12" spans="1:9">
      <c r="A12" s="128"/>
      <c r="B12" s="128"/>
      <c r="C12" s="128"/>
      <c r="D12" s="128"/>
      <c r="E12" s="98">
        <v>43892</v>
      </c>
      <c r="F12" s="101">
        <v>299400</v>
      </c>
      <c r="G12" s="101">
        <v>500529400</v>
      </c>
      <c r="H12" s="100">
        <v>0</v>
      </c>
      <c r="I12" s="100">
        <f t="shared" si="0"/>
        <v>500529400</v>
      </c>
    </row>
    <row r="13" spans="1:9">
      <c r="A13" s="128"/>
      <c r="B13" s="128"/>
      <c r="C13" s="128"/>
      <c r="D13" s="128"/>
      <c r="E13" s="98">
        <v>43893</v>
      </c>
      <c r="F13" s="101">
        <v>270000</v>
      </c>
      <c r="G13" s="101">
        <v>454843600</v>
      </c>
      <c r="H13" s="100"/>
      <c r="I13" s="100">
        <f t="shared" si="0"/>
        <v>454843600</v>
      </c>
    </row>
    <row r="14" spans="1:9" ht="16.5" customHeight="1">
      <c r="A14" s="128">
        <v>3</v>
      </c>
      <c r="B14" s="128" t="s">
        <v>21</v>
      </c>
      <c r="C14" s="128" t="s">
        <v>22</v>
      </c>
      <c r="D14" s="128" t="s">
        <v>18</v>
      </c>
      <c r="E14" s="98">
        <v>43891</v>
      </c>
      <c r="F14" s="101">
        <v>314700</v>
      </c>
      <c r="G14" s="101">
        <v>535872500</v>
      </c>
      <c r="H14" s="100">
        <v>0</v>
      </c>
      <c r="I14" s="100">
        <f t="shared" si="0"/>
        <v>535872500</v>
      </c>
    </row>
    <row r="15" spans="1:9">
      <c r="A15" s="128"/>
      <c r="B15" s="128"/>
      <c r="C15" s="128"/>
      <c r="D15" s="128"/>
      <c r="E15" s="98">
        <v>43892</v>
      </c>
      <c r="F15" s="101">
        <v>295900</v>
      </c>
      <c r="G15" s="101">
        <v>495178100</v>
      </c>
      <c r="H15" s="100">
        <v>0</v>
      </c>
      <c r="I15" s="100">
        <f t="shared" si="0"/>
        <v>495178100</v>
      </c>
    </row>
    <row r="16" spans="1:9">
      <c r="A16" s="128"/>
      <c r="B16" s="128"/>
      <c r="C16" s="128"/>
      <c r="D16" s="128"/>
      <c r="E16" s="98">
        <v>43893</v>
      </c>
      <c r="F16" s="101">
        <v>238200</v>
      </c>
      <c r="G16" s="101">
        <v>399680600</v>
      </c>
      <c r="H16" s="100">
        <v>0</v>
      </c>
      <c r="I16" s="100">
        <f t="shared" si="0"/>
        <v>399680600</v>
      </c>
    </row>
    <row r="17" spans="1:9" ht="31.5">
      <c r="A17" s="102">
        <v>4</v>
      </c>
      <c r="B17" s="102" t="s">
        <v>23</v>
      </c>
      <c r="C17" s="102" t="s">
        <v>24</v>
      </c>
      <c r="D17" s="102" t="s">
        <v>18</v>
      </c>
      <c r="E17" s="103">
        <v>43891</v>
      </c>
      <c r="F17" s="104">
        <v>25700</v>
      </c>
      <c r="G17" s="104">
        <v>44264300</v>
      </c>
      <c r="H17" s="115" t="s">
        <v>25</v>
      </c>
      <c r="I17" s="105">
        <f t="shared" si="0"/>
        <v>44264300</v>
      </c>
    </row>
    <row r="18" spans="1:9">
      <c r="A18" s="102"/>
      <c r="B18" s="106" t="s">
        <v>26</v>
      </c>
      <c r="C18" s="102"/>
      <c r="D18" s="102"/>
      <c r="E18" s="103"/>
      <c r="F18" s="107">
        <f>SUM(F8:F17)</f>
        <v>3461800</v>
      </c>
      <c r="G18" s="107">
        <f>SUM(G8:G17)</f>
        <v>5754524200</v>
      </c>
      <c r="H18" s="107">
        <v>0</v>
      </c>
      <c r="I18" s="107">
        <f>SUM(I8:I17)</f>
        <v>5754524200</v>
      </c>
    </row>
    <row r="19" spans="1:9" s="64" customFormat="1">
      <c r="A19" s="33"/>
      <c r="B19" s="33"/>
      <c r="C19" s="33"/>
      <c r="D19" s="33"/>
      <c r="E19" s="33"/>
      <c r="F19" s="34"/>
      <c r="G19" s="34"/>
      <c r="H19" s="35"/>
      <c r="I19" s="35"/>
    </row>
    <row r="20" spans="1:9" s="64" customFormat="1">
      <c r="A20" s="122" t="s">
        <v>29</v>
      </c>
      <c r="B20" s="122"/>
      <c r="C20" s="122"/>
      <c r="D20" s="122" t="s">
        <v>30</v>
      </c>
      <c r="E20" s="122"/>
      <c r="F20" s="122" t="s">
        <v>31</v>
      </c>
      <c r="G20" s="122"/>
      <c r="H20" s="122"/>
    </row>
    <row r="21" spans="1:9" s="64" customFormat="1">
      <c r="A21" s="4"/>
      <c r="B21" s="4"/>
      <c r="C21" s="4"/>
      <c r="D21" s="4"/>
      <c r="E21" s="4"/>
      <c r="F21" s="122"/>
      <c r="G21" s="122"/>
      <c r="H21" s="122"/>
    </row>
    <row r="22" spans="1:9">
      <c r="A22" s="4"/>
      <c r="B22" s="4"/>
      <c r="C22" s="4"/>
      <c r="D22" s="4"/>
      <c r="E22" s="4"/>
      <c r="F22" s="65"/>
      <c r="G22" s="65"/>
      <c r="H22" s="4"/>
      <c r="I22" s="64"/>
    </row>
    <row r="23" spans="1:9">
      <c r="A23" s="66"/>
      <c r="B23" s="67"/>
      <c r="C23" s="67"/>
      <c r="D23" s="67"/>
      <c r="E23" s="67"/>
      <c r="F23" s="68"/>
      <c r="G23" s="68"/>
      <c r="H23" s="67"/>
      <c r="I23" s="64"/>
    </row>
    <row r="24" spans="1:9">
      <c r="A24" s="64"/>
      <c r="B24" s="64"/>
      <c r="C24" s="64"/>
      <c r="D24" s="64"/>
      <c r="E24" s="64"/>
      <c r="F24" s="69"/>
      <c r="G24" s="69"/>
      <c r="H24" s="64"/>
      <c r="I24" s="64"/>
    </row>
    <row r="25" spans="1:9">
      <c r="A25" s="122" t="s">
        <v>32</v>
      </c>
      <c r="B25" s="122"/>
      <c r="C25" s="122"/>
      <c r="D25" s="122" t="s">
        <v>33</v>
      </c>
      <c r="E25" s="122"/>
      <c r="F25" s="122" t="s">
        <v>34</v>
      </c>
      <c r="G25" s="122"/>
      <c r="H25" s="122"/>
      <c r="I25" s="64"/>
    </row>
  </sheetData>
  <mergeCells count="26"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20:C20"/>
    <mergeCell ref="D20:E20"/>
    <mergeCell ref="F20:H20"/>
    <mergeCell ref="A1:C1"/>
    <mergeCell ref="E1:H1"/>
    <mergeCell ref="A2:C2"/>
    <mergeCell ref="E2:H2"/>
    <mergeCell ref="A3:C3"/>
  </mergeCells>
  <pageMargins left="0.24" right="0.16" top="0.81" bottom="1" header="0.5" footer="0.5"/>
  <pageSetup paperSize="9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topLeftCell="A5" workbookViewId="0">
      <selection activeCell="G10" sqref="G10"/>
    </sheetView>
  </sheetViews>
  <sheetFormatPr defaultColWidth="9.140625" defaultRowHeight="15.75"/>
  <cols>
    <col min="1" max="1" width="5.28515625" style="3" customWidth="1"/>
    <col min="2" max="2" width="18.7109375" style="3" customWidth="1"/>
    <col min="3" max="3" width="11.5703125" style="3" customWidth="1"/>
    <col min="4" max="4" width="31.42578125" style="3" customWidth="1"/>
    <col min="5" max="5" width="15.7109375" style="3" customWidth="1"/>
    <col min="6" max="6" width="13.140625" style="5" customWidth="1"/>
    <col min="7" max="7" width="17.85546875" style="5" customWidth="1"/>
    <col min="8" max="8" width="10.85546875" style="3" customWidth="1"/>
    <col min="9" max="9" width="17.85546875" style="3" customWidth="1"/>
    <col min="10" max="10" width="11.5703125" style="3" customWidth="1"/>
    <col min="11" max="12" width="13" style="3" customWidth="1"/>
    <col min="13" max="13" width="3.85546875" style="3" customWidth="1"/>
    <col min="14" max="16384" width="9.140625" style="3"/>
  </cols>
  <sheetData>
    <row r="1" spans="1:9">
      <c r="A1" s="121" t="s">
        <v>0</v>
      </c>
      <c r="B1" s="121"/>
      <c r="C1" s="121"/>
      <c r="E1" s="122" t="s">
        <v>1</v>
      </c>
      <c r="F1" s="122"/>
      <c r="G1" s="122"/>
      <c r="H1" s="122"/>
    </row>
    <row r="2" spans="1:9">
      <c r="A2" s="121" t="s">
        <v>2</v>
      </c>
      <c r="B2" s="121"/>
      <c r="C2" s="121"/>
      <c r="E2" s="122" t="s">
        <v>3</v>
      </c>
      <c r="F2" s="122"/>
      <c r="G2" s="122"/>
      <c r="H2" s="122"/>
    </row>
    <row r="3" spans="1:9">
      <c r="A3" s="122" t="s">
        <v>4</v>
      </c>
      <c r="B3" s="122"/>
      <c r="C3" s="122"/>
    </row>
    <row r="4" spans="1:9">
      <c r="E4" s="123" t="s">
        <v>39</v>
      </c>
      <c r="F4" s="123"/>
      <c r="G4" s="123"/>
      <c r="H4" s="123"/>
    </row>
    <row r="5" spans="1:9" ht="53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7" spans="1:9" s="4" customFormat="1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0" t="s">
        <v>14</v>
      </c>
      <c r="I7" s="70" t="s">
        <v>15</v>
      </c>
    </row>
    <row r="8" spans="1:9" ht="15.75" customHeight="1">
      <c r="A8" s="126">
        <v>1</v>
      </c>
      <c r="B8" s="126" t="s">
        <v>16</v>
      </c>
      <c r="C8" s="126" t="s">
        <v>17</v>
      </c>
      <c r="D8" s="126" t="s">
        <v>18</v>
      </c>
      <c r="E8" s="82">
        <v>43922</v>
      </c>
      <c r="F8" s="83">
        <v>797700</v>
      </c>
      <c r="G8" s="83">
        <v>1315469500</v>
      </c>
      <c r="H8" s="84">
        <v>0</v>
      </c>
      <c r="I8" s="84">
        <f>G8</f>
        <v>1315469500</v>
      </c>
    </row>
    <row r="9" spans="1:9" ht="16.5">
      <c r="A9" s="126"/>
      <c r="B9" s="126"/>
      <c r="C9" s="126"/>
      <c r="D9" s="126"/>
      <c r="E9" s="82">
        <v>43923</v>
      </c>
      <c r="F9" s="83">
        <v>686200</v>
      </c>
      <c r="G9" s="83">
        <v>1135257800</v>
      </c>
      <c r="H9" s="84">
        <v>0</v>
      </c>
      <c r="I9" s="84">
        <f t="shared" ref="I9:I17" si="0">G9</f>
        <v>1135257800</v>
      </c>
    </row>
    <row r="10" spans="1:9" ht="16.5">
      <c r="A10" s="126"/>
      <c r="B10" s="126"/>
      <c r="C10" s="126"/>
      <c r="D10" s="126"/>
      <c r="E10" s="82">
        <v>43924</v>
      </c>
      <c r="F10" s="83">
        <v>673700</v>
      </c>
      <c r="G10" s="83">
        <v>1006448000</v>
      </c>
      <c r="H10" s="84">
        <v>0</v>
      </c>
      <c r="I10" s="84">
        <f t="shared" si="0"/>
        <v>1006448000</v>
      </c>
    </row>
    <row r="11" spans="1:9" ht="16.5" customHeight="1">
      <c r="A11" s="126">
        <v>2</v>
      </c>
      <c r="B11" s="126" t="s">
        <v>19</v>
      </c>
      <c r="C11" s="126" t="s">
        <v>20</v>
      </c>
      <c r="D11" s="126" t="s">
        <v>18</v>
      </c>
      <c r="E11" s="82">
        <v>43922</v>
      </c>
      <c r="F11" s="85">
        <v>342200</v>
      </c>
      <c r="G11" s="85">
        <v>576429800</v>
      </c>
      <c r="H11" s="84">
        <v>0</v>
      </c>
      <c r="I11" s="84">
        <f t="shared" si="0"/>
        <v>576429800</v>
      </c>
    </row>
    <row r="12" spans="1:9" ht="16.5">
      <c r="A12" s="126"/>
      <c r="B12" s="126"/>
      <c r="C12" s="126"/>
      <c r="D12" s="126"/>
      <c r="E12" s="82">
        <v>43923</v>
      </c>
      <c r="F12" s="85">
        <v>286400</v>
      </c>
      <c r="G12" s="85">
        <v>483384800</v>
      </c>
      <c r="H12" s="84">
        <v>0</v>
      </c>
      <c r="I12" s="84">
        <f t="shared" si="0"/>
        <v>483384800</v>
      </c>
    </row>
    <row r="13" spans="1:9" ht="16.5">
      <c r="A13" s="126"/>
      <c r="B13" s="126"/>
      <c r="C13" s="126"/>
      <c r="D13" s="126"/>
      <c r="E13" s="82">
        <v>43924</v>
      </c>
      <c r="F13" s="85">
        <v>280400</v>
      </c>
      <c r="G13" s="85">
        <v>425204600</v>
      </c>
      <c r="H13" s="84"/>
      <c r="I13" s="84">
        <f t="shared" si="0"/>
        <v>425204600</v>
      </c>
    </row>
    <row r="14" spans="1:9" ht="16.5" customHeight="1">
      <c r="A14" s="126">
        <v>3</v>
      </c>
      <c r="B14" s="126" t="s">
        <v>21</v>
      </c>
      <c r="C14" s="126" t="s">
        <v>22</v>
      </c>
      <c r="D14" s="126" t="s">
        <v>18</v>
      </c>
      <c r="E14" s="82">
        <v>43922</v>
      </c>
      <c r="F14" s="85">
        <v>373200</v>
      </c>
      <c r="G14" s="85">
        <v>629806000</v>
      </c>
      <c r="H14" s="84">
        <v>0</v>
      </c>
      <c r="I14" s="84">
        <f t="shared" si="0"/>
        <v>629806000</v>
      </c>
    </row>
    <row r="15" spans="1:9" ht="16.5">
      <c r="A15" s="126"/>
      <c r="B15" s="126"/>
      <c r="C15" s="126"/>
      <c r="D15" s="126"/>
      <c r="E15" s="82">
        <v>43923</v>
      </c>
      <c r="F15" s="85">
        <v>283600</v>
      </c>
      <c r="G15" s="85">
        <v>482902000</v>
      </c>
      <c r="H15" s="84">
        <v>0</v>
      </c>
      <c r="I15" s="84">
        <f t="shared" si="0"/>
        <v>482902000</v>
      </c>
    </row>
    <row r="16" spans="1:9" ht="16.5">
      <c r="A16" s="126"/>
      <c r="B16" s="126"/>
      <c r="C16" s="126"/>
      <c r="D16" s="126"/>
      <c r="E16" s="82">
        <v>43924</v>
      </c>
      <c r="F16" s="85">
        <v>246200</v>
      </c>
      <c r="G16" s="85">
        <v>374692400</v>
      </c>
      <c r="H16" s="84">
        <v>0</v>
      </c>
      <c r="I16" s="84">
        <f t="shared" si="0"/>
        <v>374692400</v>
      </c>
    </row>
    <row r="17" spans="1:9" ht="33">
      <c r="A17" s="78">
        <v>4</v>
      </c>
      <c r="B17" s="78" t="s">
        <v>23</v>
      </c>
      <c r="C17" s="78" t="s">
        <v>24</v>
      </c>
      <c r="D17" s="78" t="s">
        <v>18</v>
      </c>
      <c r="E17" s="89">
        <v>43922</v>
      </c>
      <c r="F17" s="86">
        <v>30300</v>
      </c>
      <c r="G17" s="86">
        <v>52766500</v>
      </c>
      <c r="H17" s="114" t="s">
        <v>25</v>
      </c>
      <c r="I17" s="87">
        <f t="shared" si="0"/>
        <v>52766500</v>
      </c>
    </row>
    <row r="18" spans="1:9" ht="16.5">
      <c r="A18" s="78"/>
      <c r="B18" s="88" t="s">
        <v>26</v>
      </c>
      <c r="C18" s="78"/>
      <c r="D18" s="78"/>
      <c r="E18" s="89"/>
      <c r="F18" s="90">
        <f>SUM(F8:F17)</f>
        <v>3999900</v>
      </c>
      <c r="G18" s="90">
        <f>SUM(G8:G17)</f>
        <v>6482361400</v>
      </c>
      <c r="H18" s="90">
        <f>SUM(H8:H17)</f>
        <v>0</v>
      </c>
      <c r="I18" s="90">
        <f>SUM(I8:I17)</f>
        <v>6482361400</v>
      </c>
    </row>
    <row r="19" spans="1:9" s="64" customFormat="1">
      <c r="A19" s="33"/>
      <c r="B19" s="33"/>
      <c r="C19" s="33"/>
      <c r="D19" s="33"/>
      <c r="E19" s="33"/>
      <c r="F19" s="34"/>
      <c r="G19" s="34" t="s">
        <v>40</v>
      </c>
      <c r="H19" s="35"/>
      <c r="I19" s="35"/>
    </row>
    <row r="20" spans="1:9" s="64" customFormat="1">
      <c r="A20" s="122" t="s">
        <v>29</v>
      </c>
      <c r="B20" s="122"/>
      <c r="C20" s="122"/>
      <c r="D20" s="122" t="s">
        <v>30</v>
      </c>
      <c r="E20" s="122"/>
      <c r="F20" s="122" t="s">
        <v>31</v>
      </c>
      <c r="G20" s="122"/>
      <c r="H20" s="122"/>
    </row>
    <row r="21" spans="1:9" s="64" customFormat="1">
      <c r="A21" s="4"/>
      <c r="B21" s="4"/>
      <c r="C21" s="4"/>
      <c r="D21" s="4"/>
      <c r="E21" s="4"/>
      <c r="F21" s="122"/>
      <c r="G21" s="122"/>
      <c r="H21" s="122"/>
    </row>
    <row r="22" spans="1:9" s="64" customFormat="1">
      <c r="A22" s="4"/>
      <c r="B22" s="4"/>
      <c r="C22" s="4"/>
      <c r="D22" s="4"/>
      <c r="E22" s="4"/>
      <c r="F22" s="65"/>
      <c r="G22" s="65"/>
      <c r="H22" s="4"/>
    </row>
    <row r="23" spans="1:9" s="64" customFormat="1">
      <c r="A23" s="66"/>
      <c r="B23" s="67"/>
      <c r="C23" s="67"/>
      <c r="D23" s="67"/>
      <c r="E23" s="67"/>
      <c r="F23" s="68"/>
      <c r="G23" s="68"/>
      <c r="H23" s="67"/>
    </row>
    <row r="24" spans="1:9">
      <c r="A24" s="64"/>
      <c r="B24" s="64"/>
      <c r="C24" s="64"/>
      <c r="D24" s="64"/>
      <c r="E24" s="64"/>
      <c r="F24" s="69"/>
      <c r="G24" s="69"/>
      <c r="H24" s="64"/>
      <c r="I24" s="64"/>
    </row>
    <row r="25" spans="1:9">
      <c r="A25" s="122" t="s">
        <v>32</v>
      </c>
      <c r="B25" s="122"/>
      <c r="C25" s="122"/>
      <c r="D25" s="122" t="s">
        <v>33</v>
      </c>
      <c r="E25" s="122"/>
      <c r="F25" s="122" t="s">
        <v>34</v>
      </c>
      <c r="G25" s="122"/>
      <c r="H25" s="122"/>
      <c r="I25" s="64"/>
    </row>
  </sheetData>
  <mergeCells count="26"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20:C20"/>
    <mergeCell ref="D20:E20"/>
    <mergeCell ref="F20:H20"/>
    <mergeCell ref="A1:C1"/>
    <mergeCell ref="E1:H1"/>
    <mergeCell ref="A2:C2"/>
    <mergeCell ref="E2:H2"/>
    <mergeCell ref="A3:C3"/>
  </mergeCells>
  <pageMargins left="0.24" right="0.16" top="0.81" bottom="1" header="0.5" footer="0.5"/>
  <pageSetup paperSize="9" orientation="landscape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topLeftCell="A7" workbookViewId="0">
      <selection activeCell="G18" sqref="G18"/>
    </sheetView>
  </sheetViews>
  <sheetFormatPr defaultColWidth="9.140625" defaultRowHeight="15.75"/>
  <cols>
    <col min="1" max="1" width="5.28515625" style="3" customWidth="1"/>
    <col min="2" max="2" width="18.7109375" style="3" customWidth="1"/>
    <col min="3" max="3" width="11.5703125" style="3" customWidth="1"/>
    <col min="4" max="4" width="31.42578125" style="3" customWidth="1"/>
    <col min="5" max="5" width="15.7109375" style="3" customWidth="1"/>
    <col min="6" max="6" width="14.140625" style="5" customWidth="1"/>
    <col min="7" max="7" width="17.85546875" style="5" customWidth="1"/>
    <col min="8" max="8" width="10.85546875" style="3" customWidth="1"/>
    <col min="9" max="9" width="17.85546875" style="3" customWidth="1"/>
    <col min="10" max="10" width="11.5703125" style="3" customWidth="1"/>
    <col min="11" max="12" width="13" style="3" customWidth="1"/>
    <col min="13" max="13" width="3.85546875" style="3" customWidth="1"/>
    <col min="14" max="16384" width="9.140625" style="3"/>
  </cols>
  <sheetData>
    <row r="1" spans="1:9">
      <c r="A1" s="121" t="s">
        <v>0</v>
      </c>
      <c r="B1" s="121"/>
      <c r="C1" s="121"/>
      <c r="E1" s="122" t="s">
        <v>1</v>
      </c>
      <c r="F1" s="122"/>
      <c r="G1" s="122"/>
      <c r="H1" s="122"/>
    </row>
    <row r="2" spans="1:9">
      <c r="A2" s="121" t="s">
        <v>2</v>
      </c>
      <c r="B2" s="121"/>
      <c r="C2" s="121"/>
      <c r="E2" s="122" t="s">
        <v>3</v>
      </c>
      <c r="F2" s="122"/>
      <c r="G2" s="122"/>
      <c r="H2" s="122"/>
    </row>
    <row r="3" spans="1:9">
      <c r="A3" s="122" t="s">
        <v>4</v>
      </c>
      <c r="B3" s="122"/>
      <c r="C3" s="122"/>
    </row>
    <row r="4" spans="1:9">
      <c r="E4" s="123" t="s">
        <v>41</v>
      </c>
      <c r="F4" s="123"/>
      <c r="G4" s="123"/>
      <c r="H4" s="123"/>
    </row>
    <row r="5" spans="1:9" ht="53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7" spans="1:9" s="4" customFormat="1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0" t="s">
        <v>14</v>
      </c>
      <c r="I7" s="70" t="s">
        <v>15</v>
      </c>
    </row>
    <row r="8" spans="1:9" ht="15.75" customHeight="1">
      <c r="A8" s="126">
        <v>1</v>
      </c>
      <c r="B8" s="126" t="s">
        <v>16</v>
      </c>
      <c r="C8" s="126" t="s">
        <v>17</v>
      </c>
      <c r="D8" s="126" t="s">
        <v>18</v>
      </c>
      <c r="E8" s="82">
        <v>43952</v>
      </c>
      <c r="F8" s="83">
        <v>705400</v>
      </c>
      <c r="G8" s="83">
        <v>1038243800</v>
      </c>
      <c r="H8" s="84">
        <v>0</v>
      </c>
      <c r="I8" s="84">
        <f>G8</f>
        <v>1038243800</v>
      </c>
    </row>
    <row r="9" spans="1:9" ht="16.5">
      <c r="A9" s="126"/>
      <c r="B9" s="126"/>
      <c r="C9" s="126"/>
      <c r="D9" s="126"/>
      <c r="E9" s="82">
        <v>43953</v>
      </c>
      <c r="F9" s="83">
        <v>513000</v>
      </c>
      <c r="G9" s="83">
        <v>767792800</v>
      </c>
      <c r="H9" s="84">
        <v>0</v>
      </c>
      <c r="I9" s="84">
        <f t="shared" ref="I9:I17" si="0">G9</f>
        <v>767792800</v>
      </c>
    </row>
    <row r="10" spans="1:9" ht="16.5">
      <c r="A10" s="126"/>
      <c r="B10" s="126"/>
      <c r="C10" s="126"/>
      <c r="D10" s="126"/>
      <c r="E10" s="82">
        <v>43954</v>
      </c>
      <c r="F10" s="83">
        <v>604000</v>
      </c>
      <c r="G10" s="83">
        <v>888675200</v>
      </c>
      <c r="H10" s="84">
        <v>0</v>
      </c>
      <c r="I10" s="84">
        <f t="shared" si="0"/>
        <v>888675200</v>
      </c>
    </row>
    <row r="11" spans="1:9" ht="16.5" customHeight="1">
      <c r="A11" s="126">
        <v>2</v>
      </c>
      <c r="B11" s="126" t="s">
        <v>19</v>
      </c>
      <c r="C11" s="126" t="s">
        <v>20</v>
      </c>
      <c r="D11" s="126" t="s">
        <v>18</v>
      </c>
      <c r="E11" s="82">
        <v>43952</v>
      </c>
      <c r="F11" s="85">
        <v>219200</v>
      </c>
      <c r="G11" s="85">
        <v>323399600</v>
      </c>
      <c r="H11" s="84">
        <v>0</v>
      </c>
      <c r="I11" s="84">
        <f t="shared" si="0"/>
        <v>323399600</v>
      </c>
    </row>
    <row r="12" spans="1:9" ht="16.5">
      <c r="A12" s="126"/>
      <c r="B12" s="126"/>
      <c r="C12" s="126"/>
      <c r="D12" s="126"/>
      <c r="E12" s="82">
        <v>43953</v>
      </c>
      <c r="F12" s="85">
        <v>240900</v>
      </c>
      <c r="G12" s="85">
        <v>366405200</v>
      </c>
      <c r="H12" s="84">
        <v>0</v>
      </c>
      <c r="I12" s="84">
        <f t="shared" si="0"/>
        <v>366405200</v>
      </c>
    </row>
    <row r="13" spans="1:9" ht="16.5">
      <c r="A13" s="126"/>
      <c r="B13" s="126"/>
      <c r="C13" s="126"/>
      <c r="D13" s="126"/>
      <c r="E13" s="82">
        <v>43954</v>
      </c>
      <c r="F13" s="85">
        <v>247400</v>
      </c>
      <c r="G13" s="85">
        <v>370474400</v>
      </c>
      <c r="H13" s="84"/>
      <c r="I13" s="84">
        <f t="shared" si="0"/>
        <v>370474400</v>
      </c>
    </row>
    <row r="14" spans="1:9" ht="16.5" customHeight="1">
      <c r="A14" s="126">
        <v>3</v>
      </c>
      <c r="B14" s="126" t="s">
        <v>21</v>
      </c>
      <c r="C14" s="126" t="s">
        <v>22</v>
      </c>
      <c r="D14" s="126" t="s">
        <v>18</v>
      </c>
      <c r="E14" s="82">
        <v>43952</v>
      </c>
      <c r="F14" s="85">
        <v>169900</v>
      </c>
      <c r="G14" s="85">
        <v>253942200</v>
      </c>
      <c r="H14" s="84">
        <v>0</v>
      </c>
      <c r="I14" s="84">
        <f t="shared" si="0"/>
        <v>253942200</v>
      </c>
    </row>
    <row r="15" spans="1:9" ht="16.5">
      <c r="A15" s="126"/>
      <c r="B15" s="126"/>
      <c r="C15" s="126"/>
      <c r="D15" s="126"/>
      <c r="E15" s="82">
        <v>43953</v>
      </c>
      <c r="F15" s="85">
        <v>259400</v>
      </c>
      <c r="G15" s="85">
        <v>389417200</v>
      </c>
      <c r="H15" s="84">
        <v>0</v>
      </c>
      <c r="I15" s="84">
        <f t="shared" si="0"/>
        <v>389417200</v>
      </c>
    </row>
    <row r="16" spans="1:9" ht="16.5">
      <c r="A16" s="126"/>
      <c r="B16" s="126"/>
      <c r="C16" s="126"/>
      <c r="D16" s="126"/>
      <c r="E16" s="82">
        <v>43954</v>
      </c>
      <c r="F16" s="85">
        <v>244300</v>
      </c>
      <c r="G16" s="85">
        <v>372103000</v>
      </c>
      <c r="H16" s="84">
        <v>0</v>
      </c>
      <c r="I16" s="84">
        <f t="shared" si="0"/>
        <v>372103000</v>
      </c>
    </row>
    <row r="17" spans="1:9" ht="33">
      <c r="A17" s="78">
        <v>4</v>
      </c>
      <c r="B17" s="78" t="s">
        <v>23</v>
      </c>
      <c r="C17" s="78" t="s">
        <v>24</v>
      </c>
      <c r="D17" s="78" t="s">
        <v>18</v>
      </c>
      <c r="E17" s="82">
        <v>43952</v>
      </c>
      <c r="F17" s="86">
        <v>33800</v>
      </c>
      <c r="G17" s="86">
        <v>52998400</v>
      </c>
      <c r="H17" s="114" t="s">
        <v>25</v>
      </c>
      <c r="I17" s="87">
        <f t="shared" si="0"/>
        <v>52998400</v>
      </c>
    </row>
    <row r="18" spans="1:9" ht="16.5">
      <c r="A18" s="78"/>
      <c r="B18" s="88" t="s">
        <v>26</v>
      </c>
      <c r="C18" s="78"/>
      <c r="D18" s="78"/>
      <c r="E18" s="89"/>
      <c r="F18" s="90">
        <f>SUM(F8:F17)</f>
        <v>3237300</v>
      </c>
      <c r="G18" s="90">
        <f>SUM(G8:G17)</f>
        <v>4823451800</v>
      </c>
      <c r="H18" s="90">
        <f>SUM(H8:H17)</f>
        <v>0</v>
      </c>
      <c r="I18" s="90">
        <f>SUM(I8:I17)</f>
        <v>4823451800</v>
      </c>
    </row>
    <row r="19" spans="1:9" s="64" customFormat="1">
      <c r="A19" s="33"/>
      <c r="B19" s="33"/>
      <c r="C19" s="33"/>
      <c r="D19" s="33"/>
      <c r="E19" s="33"/>
      <c r="F19" s="34"/>
      <c r="G19" s="34"/>
      <c r="H19" s="35"/>
      <c r="I19" s="35"/>
    </row>
    <row r="20" spans="1:9" s="64" customFormat="1">
      <c r="A20" s="122" t="s">
        <v>29</v>
      </c>
      <c r="B20" s="122"/>
      <c r="C20" s="122"/>
      <c r="D20" s="122" t="s">
        <v>30</v>
      </c>
      <c r="E20" s="122"/>
      <c r="F20" s="122" t="s">
        <v>31</v>
      </c>
      <c r="G20" s="122"/>
      <c r="H20" s="122"/>
    </row>
    <row r="21" spans="1:9" s="64" customFormat="1">
      <c r="A21" s="4"/>
      <c r="B21" s="4"/>
      <c r="C21" s="4"/>
      <c r="D21" s="4"/>
      <c r="E21" s="4"/>
      <c r="F21" s="122"/>
      <c r="G21" s="122"/>
      <c r="H21" s="122"/>
    </row>
    <row r="22" spans="1:9" s="64" customFormat="1">
      <c r="A22" s="4"/>
      <c r="B22" s="4"/>
      <c r="C22" s="4"/>
      <c r="D22" s="4"/>
      <c r="E22" s="4"/>
      <c r="F22" s="65"/>
      <c r="G22" s="65"/>
      <c r="H22" s="4"/>
    </row>
    <row r="23" spans="1:9" s="64" customFormat="1">
      <c r="A23" s="66"/>
      <c r="B23" s="67"/>
      <c r="C23" s="67"/>
      <c r="D23" s="67"/>
      <c r="E23" s="67"/>
      <c r="F23" s="68"/>
      <c r="G23" s="68"/>
      <c r="H23" s="67"/>
    </row>
    <row r="24" spans="1:9">
      <c r="A24" s="64"/>
      <c r="B24" s="64"/>
      <c r="C24" s="64"/>
      <c r="D24" s="64"/>
      <c r="E24" s="64"/>
      <c r="F24" s="69"/>
      <c r="G24" s="69"/>
      <c r="H24" s="64"/>
      <c r="I24" s="64"/>
    </row>
    <row r="25" spans="1:9">
      <c r="A25" s="122" t="s">
        <v>32</v>
      </c>
      <c r="B25" s="122"/>
      <c r="C25" s="122"/>
      <c r="D25" s="122" t="s">
        <v>33</v>
      </c>
      <c r="E25" s="122"/>
      <c r="F25" s="122" t="s">
        <v>34</v>
      </c>
      <c r="G25" s="122"/>
      <c r="H25" s="122"/>
      <c r="I25" s="64"/>
    </row>
  </sheetData>
  <mergeCells count="26"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20:C20"/>
    <mergeCell ref="D20:E20"/>
    <mergeCell ref="F20:H20"/>
    <mergeCell ref="A1:C1"/>
    <mergeCell ref="E1:H1"/>
    <mergeCell ref="A2:C2"/>
    <mergeCell ref="E2:H2"/>
    <mergeCell ref="A3:C3"/>
  </mergeCells>
  <pageMargins left="0.24" right="0.16" top="0.81" bottom="1" header="0.5" footer="0.5"/>
  <pageSetup paperSize="9" orientation="landscape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topLeftCell="A7" workbookViewId="0">
      <selection activeCell="E21" sqref="E21"/>
    </sheetView>
  </sheetViews>
  <sheetFormatPr defaultColWidth="9.140625" defaultRowHeight="15.75"/>
  <cols>
    <col min="1" max="1" width="5.28515625" style="3" customWidth="1"/>
    <col min="2" max="2" width="18.7109375" style="3" customWidth="1"/>
    <col min="3" max="3" width="11.5703125" style="3" customWidth="1"/>
    <col min="4" max="4" width="31.42578125" style="3" customWidth="1"/>
    <col min="5" max="5" width="15.7109375" style="3" customWidth="1"/>
    <col min="6" max="6" width="13.140625" style="5" customWidth="1"/>
    <col min="7" max="7" width="17.85546875" style="5" customWidth="1"/>
    <col min="8" max="8" width="10.85546875" style="3" customWidth="1"/>
    <col min="9" max="9" width="17.85546875" style="3" customWidth="1"/>
    <col min="10" max="10" width="11.5703125" style="3" customWidth="1"/>
    <col min="11" max="12" width="13" style="3" customWidth="1"/>
    <col min="13" max="13" width="3.85546875" style="3" customWidth="1"/>
    <col min="14" max="16384" width="9.140625" style="3"/>
  </cols>
  <sheetData>
    <row r="1" spans="1:9">
      <c r="A1" s="121" t="s">
        <v>0</v>
      </c>
      <c r="B1" s="121"/>
      <c r="C1" s="121"/>
      <c r="E1" s="122" t="s">
        <v>1</v>
      </c>
      <c r="F1" s="122"/>
      <c r="G1" s="122"/>
      <c r="H1" s="122"/>
    </row>
    <row r="2" spans="1:9">
      <c r="A2" s="121" t="s">
        <v>2</v>
      </c>
      <c r="B2" s="121"/>
      <c r="C2" s="121"/>
      <c r="E2" s="122" t="s">
        <v>3</v>
      </c>
      <c r="F2" s="122"/>
      <c r="G2" s="122"/>
      <c r="H2" s="122"/>
    </row>
    <row r="3" spans="1:9">
      <c r="A3" s="122" t="s">
        <v>4</v>
      </c>
      <c r="B3" s="122"/>
      <c r="C3" s="122"/>
    </row>
    <row r="4" spans="1:9">
      <c r="E4" s="123" t="s">
        <v>42</v>
      </c>
      <c r="F4" s="123"/>
      <c r="G4" s="123"/>
      <c r="H4" s="123"/>
    </row>
    <row r="5" spans="1:9" ht="53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7" spans="1:9" s="4" customFormat="1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0" t="s">
        <v>14</v>
      </c>
      <c r="I7" s="70" t="s">
        <v>15</v>
      </c>
    </row>
    <row r="8" spans="1:9" ht="15.75" customHeight="1">
      <c r="A8" s="126">
        <v>1</v>
      </c>
      <c r="B8" s="126" t="s">
        <v>16</v>
      </c>
      <c r="C8" s="126" t="s">
        <v>17</v>
      </c>
      <c r="D8" s="126" t="s">
        <v>18</v>
      </c>
      <c r="E8" s="82">
        <v>43983</v>
      </c>
      <c r="F8" s="83">
        <v>776300</v>
      </c>
      <c r="G8" s="83">
        <v>1161320000</v>
      </c>
      <c r="H8" s="84">
        <v>0</v>
      </c>
      <c r="I8" s="84">
        <f>G8</f>
        <v>1161320000</v>
      </c>
    </row>
    <row r="9" spans="1:9" ht="16.5">
      <c r="A9" s="126"/>
      <c r="B9" s="126"/>
      <c r="C9" s="126"/>
      <c r="D9" s="126"/>
      <c r="E9" s="82">
        <v>43984</v>
      </c>
      <c r="F9" s="83">
        <v>684800</v>
      </c>
      <c r="G9" s="83">
        <v>1011414200</v>
      </c>
      <c r="H9" s="84">
        <v>0</v>
      </c>
      <c r="I9" s="84">
        <f t="shared" ref="I9:I17" si="0">G9</f>
        <v>1011414200</v>
      </c>
    </row>
    <row r="10" spans="1:9" ht="16.5">
      <c r="A10" s="126"/>
      <c r="B10" s="126"/>
      <c r="C10" s="126"/>
      <c r="D10" s="126"/>
      <c r="E10" s="82">
        <v>43985</v>
      </c>
      <c r="F10" s="83">
        <v>773200</v>
      </c>
      <c r="G10" s="83">
        <v>1151819800</v>
      </c>
      <c r="H10" s="84">
        <v>0</v>
      </c>
      <c r="I10" s="84">
        <f t="shared" si="0"/>
        <v>1151819800</v>
      </c>
    </row>
    <row r="11" spans="1:9" ht="16.5" customHeight="1">
      <c r="A11" s="126">
        <v>2</v>
      </c>
      <c r="B11" s="126" t="s">
        <v>19</v>
      </c>
      <c r="C11" s="126" t="s">
        <v>20</v>
      </c>
      <c r="D11" s="126" t="s">
        <v>18</v>
      </c>
      <c r="E11" s="82">
        <v>43983</v>
      </c>
      <c r="F11" s="85">
        <v>258200</v>
      </c>
      <c r="G11" s="85">
        <v>393932600</v>
      </c>
      <c r="H11" s="84">
        <v>0</v>
      </c>
      <c r="I11" s="84">
        <f t="shared" si="0"/>
        <v>393932600</v>
      </c>
    </row>
    <row r="12" spans="1:9" ht="16.5">
      <c r="A12" s="126"/>
      <c r="B12" s="126"/>
      <c r="C12" s="126"/>
      <c r="D12" s="126"/>
      <c r="E12" s="82">
        <v>43984</v>
      </c>
      <c r="F12" s="85">
        <v>234900</v>
      </c>
      <c r="G12" s="85">
        <v>355365200</v>
      </c>
      <c r="H12" s="84">
        <v>0</v>
      </c>
      <c r="I12" s="84">
        <f t="shared" si="0"/>
        <v>355365200</v>
      </c>
    </row>
    <row r="13" spans="1:9" ht="16.5">
      <c r="A13" s="126"/>
      <c r="B13" s="126"/>
      <c r="C13" s="126"/>
      <c r="D13" s="126"/>
      <c r="E13" s="82">
        <v>43985</v>
      </c>
      <c r="F13" s="85">
        <v>276800</v>
      </c>
      <c r="G13" s="85">
        <v>420628800</v>
      </c>
      <c r="H13" s="84"/>
      <c r="I13" s="84">
        <f t="shared" si="0"/>
        <v>420628800</v>
      </c>
    </row>
    <row r="14" spans="1:9" ht="16.5" customHeight="1">
      <c r="A14" s="126">
        <v>3</v>
      </c>
      <c r="B14" s="126" t="s">
        <v>21</v>
      </c>
      <c r="C14" s="126" t="s">
        <v>22</v>
      </c>
      <c r="D14" s="126" t="s">
        <v>18</v>
      </c>
      <c r="E14" s="82">
        <v>43983</v>
      </c>
      <c r="F14" s="85">
        <v>283300</v>
      </c>
      <c r="G14" s="85">
        <v>431323600</v>
      </c>
      <c r="H14" s="84">
        <v>0</v>
      </c>
      <c r="I14" s="84">
        <f t="shared" si="0"/>
        <v>431323600</v>
      </c>
    </row>
    <row r="15" spans="1:9" ht="16.5">
      <c r="A15" s="126"/>
      <c r="B15" s="126"/>
      <c r="C15" s="126"/>
      <c r="D15" s="126"/>
      <c r="E15" s="82">
        <v>43984</v>
      </c>
      <c r="F15" s="85">
        <v>267000</v>
      </c>
      <c r="G15" s="85">
        <v>404084400</v>
      </c>
      <c r="H15" s="84">
        <v>0</v>
      </c>
      <c r="I15" s="84">
        <f t="shared" si="0"/>
        <v>404084400</v>
      </c>
    </row>
    <row r="16" spans="1:9" ht="16.5">
      <c r="A16" s="126"/>
      <c r="B16" s="126"/>
      <c r="C16" s="126"/>
      <c r="D16" s="126"/>
      <c r="E16" s="82">
        <v>43985</v>
      </c>
      <c r="F16" s="85">
        <v>296100</v>
      </c>
      <c r="G16" s="85">
        <v>446662200</v>
      </c>
      <c r="H16" s="84">
        <v>0</v>
      </c>
      <c r="I16" s="84">
        <f t="shared" si="0"/>
        <v>446662200</v>
      </c>
    </row>
    <row r="17" spans="1:9" ht="33">
      <c r="A17" s="78">
        <v>4</v>
      </c>
      <c r="B17" s="78" t="s">
        <v>23</v>
      </c>
      <c r="C17" s="78" t="s">
        <v>24</v>
      </c>
      <c r="D17" s="78" t="s">
        <v>18</v>
      </c>
      <c r="E17" s="82">
        <v>43983</v>
      </c>
      <c r="F17" s="86">
        <v>36800</v>
      </c>
      <c r="G17" s="86">
        <v>57345800</v>
      </c>
      <c r="H17" s="114" t="s">
        <v>25</v>
      </c>
      <c r="I17" s="87">
        <f t="shared" si="0"/>
        <v>57345800</v>
      </c>
    </row>
    <row r="18" spans="1:9" ht="16.5">
      <c r="A18" s="78"/>
      <c r="B18" s="88" t="s">
        <v>26</v>
      </c>
      <c r="C18" s="78"/>
      <c r="D18" s="78"/>
      <c r="E18" s="89"/>
      <c r="F18" s="90">
        <f>SUM(F8:F17)</f>
        <v>3887400</v>
      </c>
      <c r="G18" s="90">
        <f>SUM(G8:G17)</f>
        <v>5833896600</v>
      </c>
      <c r="H18" s="90">
        <f>SUM(H8:H17)</f>
        <v>0</v>
      </c>
      <c r="I18" s="90">
        <f>SUM(I8:I17)</f>
        <v>5833896600</v>
      </c>
    </row>
    <row r="19" spans="1:9" s="64" customFormat="1">
      <c r="A19" s="33"/>
      <c r="B19" s="33"/>
      <c r="C19" s="33"/>
      <c r="D19" s="33"/>
      <c r="E19" s="33"/>
      <c r="F19" s="34"/>
      <c r="G19" s="34"/>
      <c r="H19" s="35"/>
      <c r="I19" s="35"/>
    </row>
    <row r="20" spans="1:9" s="64" customFormat="1">
      <c r="A20" s="122" t="s">
        <v>29</v>
      </c>
      <c r="B20" s="122"/>
      <c r="C20" s="122"/>
      <c r="D20" s="122" t="s">
        <v>30</v>
      </c>
      <c r="E20" s="122"/>
      <c r="F20" s="122" t="s">
        <v>31</v>
      </c>
      <c r="G20" s="122"/>
      <c r="H20" s="122"/>
    </row>
    <row r="21" spans="1:9" s="64" customFormat="1">
      <c r="A21" s="4"/>
      <c r="B21" s="4"/>
      <c r="C21" s="4"/>
      <c r="D21" s="4"/>
      <c r="E21" s="4"/>
      <c r="F21" s="122"/>
      <c r="G21" s="122"/>
      <c r="H21" s="122"/>
    </row>
    <row r="22" spans="1:9" s="64" customFormat="1">
      <c r="A22" s="4"/>
      <c r="B22" s="4"/>
      <c r="C22" s="4"/>
      <c r="D22" s="4"/>
      <c r="E22" s="4"/>
      <c r="F22" s="65"/>
      <c r="G22" s="65"/>
      <c r="H22" s="4"/>
    </row>
    <row r="23" spans="1:9" s="64" customFormat="1">
      <c r="A23" s="66"/>
      <c r="B23" s="67"/>
      <c r="C23" s="67"/>
      <c r="D23" s="67"/>
      <c r="E23" s="67"/>
      <c r="F23" s="68"/>
      <c r="G23" s="68"/>
      <c r="H23" s="67"/>
    </row>
    <row r="24" spans="1:9">
      <c r="A24" s="64"/>
      <c r="B24" s="64"/>
      <c r="C24" s="64"/>
      <c r="D24" s="64"/>
      <c r="E24" s="64"/>
      <c r="F24" s="69"/>
      <c r="G24" s="69"/>
      <c r="H24" s="64"/>
      <c r="I24" s="64"/>
    </row>
    <row r="25" spans="1:9">
      <c r="A25" s="122" t="s">
        <v>32</v>
      </c>
      <c r="B25" s="122"/>
      <c r="C25" s="122"/>
      <c r="D25" s="122" t="s">
        <v>33</v>
      </c>
      <c r="E25" s="122"/>
      <c r="F25" s="122" t="s">
        <v>34</v>
      </c>
      <c r="G25" s="122"/>
      <c r="H25" s="122"/>
      <c r="I25" s="64"/>
    </row>
  </sheetData>
  <mergeCells count="26"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20:C20"/>
    <mergeCell ref="D20:E20"/>
    <mergeCell ref="F20:H20"/>
    <mergeCell ref="A1:C1"/>
    <mergeCell ref="E1:H1"/>
    <mergeCell ref="A2:C2"/>
    <mergeCell ref="E2:H2"/>
    <mergeCell ref="A3:C3"/>
  </mergeCells>
  <pageMargins left="0.24" right="0.16" top="0.81" bottom="1" header="0.5" footer="0.5"/>
  <pageSetup paperSize="9" orientation="landscape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5"/>
  <sheetViews>
    <sheetView topLeftCell="A4" workbookViewId="0">
      <selection activeCell="G18" sqref="G18"/>
    </sheetView>
  </sheetViews>
  <sheetFormatPr defaultColWidth="9.140625" defaultRowHeight="15.75"/>
  <cols>
    <col min="1" max="1" width="5.28515625" style="3" customWidth="1"/>
    <col min="2" max="2" width="18.7109375" style="3" customWidth="1"/>
    <col min="3" max="3" width="11.5703125" style="3" customWidth="1"/>
    <col min="4" max="4" width="31.42578125" style="3" customWidth="1"/>
    <col min="5" max="5" width="15.7109375" style="3" customWidth="1"/>
    <col min="6" max="6" width="14.140625" style="5" customWidth="1"/>
    <col min="7" max="7" width="17.85546875" style="5" customWidth="1"/>
    <col min="8" max="8" width="10.85546875" style="3" customWidth="1"/>
    <col min="9" max="9" width="17.85546875" style="3" customWidth="1"/>
    <col min="10" max="10" width="11.5703125" style="3" customWidth="1"/>
    <col min="11" max="12" width="13" style="3" customWidth="1"/>
    <col min="13" max="13" width="3.85546875" style="3" customWidth="1"/>
    <col min="14" max="16384" width="9.140625" style="3"/>
  </cols>
  <sheetData>
    <row r="1" spans="1:9">
      <c r="A1" s="121" t="s">
        <v>0</v>
      </c>
      <c r="B1" s="121"/>
      <c r="C1" s="121"/>
      <c r="E1" s="122" t="s">
        <v>1</v>
      </c>
      <c r="F1" s="122"/>
      <c r="G1" s="122"/>
      <c r="H1" s="122"/>
    </row>
    <row r="2" spans="1:9">
      <c r="A2" s="121" t="s">
        <v>2</v>
      </c>
      <c r="B2" s="121"/>
      <c r="C2" s="121"/>
      <c r="E2" s="122" t="s">
        <v>3</v>
      </c>
      <c r="F2" s="122"/>
      <c r="G2" s="122"/>
      <c r="H2" s="122"/>
    </row>
    <row r="3" spans="1:9">
      <c r="A3" s="122" t="s">
        <v>4</v>
      </c>
      <c r="B3" s="122"/>
      <c r="C3" s="122"/>
    </row>
    <row r="4" spans="1:9">
      <c r="E4" s="123" t="s">
        <v>43</v>
      </c>
      <c r="F4" s="123"/>
      <c r="G4" s="123"/>
      <c r="H4" s="123"/>
    </row>
    <row r="5" spans="1:9" ht="53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7" spans="1:9" s="4" customFormat="1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0" t="s">
        <v>14</v>
      </c>
      <c r="I7" s="70" t="s">
        <v>15</v>
      </c>
    </row>
    <row r="8" spans="1:9" ht="15.75" customHeight="1">
      <c r="A8" s="126">
        <v>1</v>
      </c>
      <c r="B8" s="126" t="s">
        <v>16</v>
      </c>
      <c r="C8" s="126" t="s">
        <v>17</v>
      </c>
      <c r="D8" s="126" t="s">
        <v>18</v>
      </c>
      <c r="E8" s="82">
        <v>44013</v>
      </c>
      <c r="F8" s="83">
        <v>794500</v>
      </c>
      <c r="G8" s="83">
        <v>1167822200</v>
      </c>
      <c r="H8" s="84">
        <v>0</v>
      </c>
      <c r="I8" s="84">
        <f>G8</f>
        <v>1167822200</v>
      </c>
    </row>
    <row r="9" spans="1:9" ht="16.5">
      <c r="A9" s="126"/>
      <c r="B9" s="126"/>
      <c r="C9" s="126"/>
      <c r="D9" s="126"/>
      <c r="E9" s="82">
        <v>44014</v>
      </c>
      <c r="F9" s="83">
        <v>704300</v>
      </c>
      <c r="G9" s="83">
        <v>1064721400</v>
      </c>
      <c r="H9" s="84">
        <v>0</v>
      </c>
      <c r="I9" s="84">
        <f t="shared" ref="I9:I17" si="0">G9</f>
        <v>1064721400</v>
      </c>
    </row>
    <row r="10" spans="1:9" ht="16.5">
      <c r="A10" s="126"/>
      <c r="B10" s="126"/>
      <c r="C10" s="126"/>
      <c r="D10" s="126"/>
      <c r="E10" s="82">
        <v>44015</v>
      </c>
      <c r="F10" s="83">
        <v>784600</v>
      </c>
      <c r="G10" s="83">
        <v>1301919800</v>
      </c>
      <c r="H10" s="84">
        <v>0</v>
      </c>
      <c r="I10" s="84">
        <f t="shared" si="0"/>
        <v>1301919800</v>
      </c>
    </row>
    <row r="11" spans="1:9" ht="16.5" customHeight="1">
      <c r="A11" s="126">
        <v>2</v>
      </c>
      <c r="B11" s="126" t="s">
        <v>19</v>
      </c>
      <c r="C11" s="126" t="s">
        <v>20</v>
      </c>
      <c r="D11" s="126" t="s">
        <v>18</v>
      </c>
      <c r="E11" s="82">
        <v>44013</v>
      </c>
      <c r="F11" s="85">
        <v>287700</v>
      </c>
      <c r="G11" s="85">
        <v>434932200</v>
      </c>
      <c r="H11" s="84">
        <v>0</v>
      </c>
      <c r="I11" s="84">
        <f t="shared" si="0"/>
        <v>434932200</v>
      </c>
    </row>
    <row r="12" spans="1:9" ht="16.5">
      <c r="A12" s="126"/>
      <c r="B12" s="126"/>
      <c r="C12" s="126"/>
      <c r="D12" s="126"/>
      <c r="E12" s="82">
        <v>44014</v>
      </c>
      <c r="F12" s="85">
        <v>255800</v>
      </c>
      <c r="G12" s="85">
        <v>390559200</v>
      </c>
      <c r="H12" s="84">
        <v>0</v>
      </c>
      <c r="I12" s="84">
        <f t="shared" si="0"/>
        <v>390559200</v>
      </c>
    </row>
    <row r="13" spans="1:9" ht="16.5">
      <c r="A13" s="126"/>
      <c r="B13" s="126"/>
      <c r="C13" s="126"/>
      <c r="D13" s="126"/>
      <c r="E13" s="82">
        <v>44015</v>
      </c>
      <c r="F13" s="85">
        <v>309000</v>
      </c>
      <c r="G13" s="85">
        <v>522247000</v>
      </c>
      <c r="H13" s="84"/>
      <c r="I13" s="84">
        <f t="shared" si="0"/>
        <v>522247000</v>
      </c>
    </row>
    <row r="14" spans="1:9" ht="16.5" customHeight="1">
      <c r="A14" s="126">
        <v>3</v>
      </c>
      <c r="B14" s="126" t="s">
        <v>21</v>
      </c>
      <c r="C14" s="126" t="s">
        <v>22</v>
      </c>
      <c r="D14" s="126" t="s">
        <v>18</v>
      </c>
      <c r="E14" s="82">
        <v>44013</v>
      </c>
      <c r="F14" s="85">
        <v>262500</v>
      </c>
      <c r="G14" s="85">
        <v>392611600</v>
      </c>
      <c r="H14" s="84">
        <v>0</v>
      </c>
      <c r="I14" s="84">
        <f t="shared" si="0"/>
        <v>392611600</v>
      </c>
    </row>
    <row r="15" spans="1:9" ht="16.5">
      <c r="A15" s="126"/>
      <c r="B15" s="126"/>
      <c r="C15" s="126"/>
      <c r="D15" s="126"/>
      <c r="E15" s="82">
        <v>44014</v>
      </c>
      <c r="F15" s="85">
        <v>275000</v>
      </c>
      <c r="G15" s="85">
        <v>414265000</v>
      </c>
      <c r="H15" s="84">
        <v>0</v>
      </c>
      <c r="I15" s="84">
        <f t="shared" si="0"/>
        <v>414265000</v>
      </c>
    </row>
    <row r="16" spans="1:9" ht="16.5">
      <c r="A16" s="126"/>
      <c r="B16" s="126"/>
      <c r="C16" s="126"/>
      <c r="D16" s="126"/>
      <c r="E16" s="82">
        <v>44015</v>
      </c>
      <c r="F16" s="85">
        <v>310800</v>
      </c>
      <c r="G16" s="85">
        <v>524051200</v>
      </c>
      <c r="H16" s="84">
        <v>0</v>
      </c>
      <c r="I16" s="84">
        <f t="shared" si="0"/>
        <v>524051200</v>
      </c>
    </row>
    <row r="17" spans="1:17" ht="33">
      <c r="A17" s="78">
        <v>4</v>
      </c>
      <c r="B17" s="78" t="s">
        <v>23</v>
      </c>
      <c r="C17" s="78" t="s">
        <v>24</v>
      </c>
      <c r="D17" s="78" t="s">
        <v>18</v>
      </c>
      <c r="E17" s="82">
        <v>44013</v>
      </c>
      <c r="F17" s="86">
        <v>31000</v>
      </c>
      <c r="G17" s="86">
        <v>47855200</v>
      </c>
      <c r="H17" s="114" t="s">
        <v>25</v>
      </c>
      <c r="I17" s="87">
        <f t="shared" si="0"/>
        <v>47855200</v>
      </c>
    </row>
    <row r="18" spans="1:17" ht="16.5">
      <c r="A18" s="78"/>
      <c r="B18" s="88" t="s">
        <v>26</v>
      </c>
      <c r="C18" s="78"/>
      <c r="D18" s="78"/>
      <c r="E18" s="89"/>
      <c r="F18" s="90">
        <f>SUM(F8:F17)</f>
        <v>4015200</v>
      </c>
      <c r="G18" s="90">
        <f>SUM(G8:G17)</f>
        <v>6260984800</v>
      </c>
      <c r="H18" s="90">
        <f>SUM(H8:H17)</f>
        <v>0</v>
      </c>
      <c r="I18" s="90">
        <f>SUM(I8:I17)</f>
        <v>6260984800</v>
      </c>
    </row>
    <row r="19" spans="1:17" s="64" customFormat="1">
      <c r="A19" s="33"/>
      <c r="B19" s="33"/>
      <c r="C19" s="33"/>
      <c r="D19" s="33"/>
      <c r="E19" s="33"/>
      <c r="F19" s="34"/>
      <c r="G19" s="34"/>
      <c r="H19" s="35"/>
      <c r="I19" s="35"/>
    </row>
    <row r="20" spans="1:17" s="64" customFormat="1">
      <c r="A20" s="122" t="s">
        <v>29</v>
      </c>
      <c r="B20" s="122"/>
      <c r="C20" s="122"/>
      <c r="D20" s="122" t="s">
        <v>30</v>
      </c>
      <c r="E20" s="122"/>
      <c r="F20" s="122" t="s">
        <v>31</v>
      </c>
      <c r="G20" s="122"/>
      <c r="H20" s="122"/>
    </row>
    <row r="21" spans="1:17" s="64" customFormat="1">
      <c r="A21" s="4"/>
      <c r="B21" s="4"/>
      <c r="C21" s="4"/>
      <c r="D21" s="4"/>
      <c r="E21" s="4"/>
      <c r="F21" s="122"/>
      <c r="G21" s="122"/>
      <c r="H21" s="122"/>
    </row>
    <row r="22" spans="1:17" s="64" customFormat="1">
      <c r="A22" s="4"/>
      <c r="B22" s="4"/>
      <c r="C22" s="4"/>
      <c r="D22" s="4"/>
      <c r="E22" s="4"/>
      <c r="F22" s="65"/>
      <c r="G22" s="65"/>
      <c r="H22" s="4"/>
    </row>
    <row r="23" spans="1:17" s="64" customFormat="1">
      <c r="A23" s="66"/>
      <c r="B23" s="67"/>
      <c r="C23" s="67"/>
      <c r="D23" s="67"/>
      <c r="E23" s="67"/>
      <c r="F23" s="68"/>
      <c r="G23" s="68"/>
      <c r="H23" s="67"/>
    </row>
    <row r="24" spans="1:17" s="64" customFormat="1">
      <c r="F24" s="69"/>
      <c r="G24" s="69"/>
    </row>
    <row r="25" spans="1:17">
      <c r="A25" s="122" t="s">
        <v>32</v>
      </c>
      <c r="B25" s="122"/>
      <c r="C25" s="122"/>
      <c r="D25" s="122" t="s">
        <v>33</v>
      </c>
      <c r="E25" s="122"/>
      <c r="F25" s="122" t="s">
        <v>34</v>
      </c>
      <c r="G25" s="122"/>
      <c r="H25" s="122"/>
      <c r="I25" s="64"/>
    </row>
    <row r="27" spans="1:17">
      <c r="A27" s="91"/>
      <c r="B27" s="91"/>
      <c r="C27" s="91"/>
      <c r="D27" s="91"/>
      <c r="E27" s="92"/>
      <c r="F27" s="93"/>
      <c r="G27" s="93"/>
      <c r="H27" s="91"/>
      <c r="I27" s="93"/>
      <c r="J27" s="92"/>
      <c r="K27" s="92"/>
      <c r="L27" s="91"/>
      <c r="M27" s="91"/>
      <c r="N27" s="91"/>
      <c r="O27" s="94">
        <v>43686</v>
      </c>
      <c r="P27" s="95">
        <v>0</v>
      </c>
      <c r="Q27" s="95">
        <v>0.96</v>
      </c>
    </row>
    <row r="28" spans="1:17">
      <c r="A28" s="91"/>
      <c r="B28" s="91"/>
      <c r="C28" s="91"/>
      <c r="D28" s="91"/>
      <c r="E28" s="92"/>
      <c r="F28" s="93"/>
      <c r="G28" s="93"/>
      <c r="H28" s="96"/>
      <c r="I28" s="96"/>
      <c r="J28" s="96"/>
      <c r="K28" s="96"/>
      <c r="L28" s="96"/>
      <c r="M28" s="96"/>
      <c r="N28" s="96"/>
      <c r="O28" s="97"/>
      <c r="P28" s="97"/>
      <c r="Q28" s="97"/>
    </row>
    <row r="29" spans="1:17">
      <c r="A29" s="91"/>
      <c r="B29" s="91"/>
      <c r="C29" s="91"/>
      <c r="D29" s="91"/>
      <c r="E29" s="92"/>
      <c r="F29" s="93"/>
      <c r="G29" s="93"/>
      <c r="H29" s="91"/>
      <c r="I29" s="93"/>
      <c r="J29" s="92"/>
      <c r="K29" s="92"/>
      <c r="L29" s="91"/>
      <c r="M29" s="91"/>
      <c r="N29" s="91"/>
      <c r="O29" s="94">
        <v>43703</v>
      </c>
      <c r="P29" s="95">
        <v>0</v>
      </c>
      <c r="Q29" s="95">
        <v>0.96</v>
      </c>
    </row>
    <row r="30" spans="1:17">
      <c r="A30" s="91"/>
      <c r="B30" s="91"/>
      <c r="C30" s="91"/>
      <c r="D30" s="91"/>
      <c r="E30" s="92"/>
      <c r="F30" s="93"/>
      <c r="G30" s="93"/>
      <c r="H30" s="96"/>
      <c r="I30" s="96"/>
      <c r="J30" s="96"/>
      <c r="K30" s="96"/>
      <c r="L30" s="96"/>
      <c r="M30" s="96"/>
      <c r="N30" s="96"/>
      <c r="O30" s="97"/>
      <c r="P30" s="97"/>
      <c r="Q30" s="97"/>
    </row>
    <row r="31" spans="1:17">
      <c r="A31" s="91"/>
      <c r="B31" s="91"/>
      <c r="C31" s="91"/>
      <c r="D31" s="91"/>
      <c r="E31" s="92"/>
      <c r="F31" s="93"/>
      <c r="G31" s="93"/>
      <c r="H31" s="91"/>
      <c r="I31" s="93"/>
      <c r="J31" s="92"/>
      <c r="K31" s="92"/>
      <c r="L31" s="91"/>
      <c r="M31" s="91"/>
      <c r="N31" s="91"/>
      <c r="O31" s="94">
        <v>43693</v>
      </c>
      <c r="P31" s="95">
        <v>0</v>
      </c>
      <c r="Q31" s="95">
        <v>0.97</v>
      </c>
    </row>
    <row r="32" spans="1:17">
      <c r="A32" s="91"/>
      <c r="B32" s="91"/>
      <c r="C32" s="91"/>
      <c r="D32" s="91"/>
      <c r="E32" s="92"/>
      <c r="F32" s="93"/>
      <c r="G32" s="93"/>
      <c r="H32" s="91"/>
      <c r="I32" s="93"/>
      <c r="J32" s="92"/>
      <c r="K32" s="92"/>
      <c r="L32" s="91"/>
      <c r="M32" s="91"/>
      <c r="N32" s="91"/>
      <c r="O32" s="94">
        <v>43703</v>
      </c>
      <c r="P32" s="95">
        <v>0</v>
      </c>
      <c r="Q32" s="95">
        <v>0.97</v>
      </c>
    </row>
    <row r="33" spans="1:17" ht="15.75" customHeight="1">
      <c r="A33" s="91"/>
      <c r="B33" s="91"/>
      <c r="C33" s="91"/>
      <c r="D33" s="91"/>
      <c r="E33" s="92"/>
      <c r="F33" s="93"/>
      <c r="G33" s="93"/>
      <c r="H33" s="91"/>
      <c r="I33" s="93"/>
      <c r="J33" s="92"/>
      <c r="K33" s="92"/>
      <c r="L33" s="91"/>
      <c r="M33" s="91"/>
      <c r="N33" s="91"/>
      <c r="O33" s="94">
        <v>43686</v>
      </c>
      <c r="P33" s="95">
        <v>0</v>
      </c>
      <c r="Q33" s="95">
        <v>0.96</v>
      </c>
    </row>
    <row r="34" spans="1:17" ht="15.75" customHeight="1">
      <c r="A34" s="91"/>
      <c r="B34" s="91"/>
      <c r="C34" s="91"/>
      <c r="D34" s="91"/>
      <c r="E34" s="92"/>
      <c r="F34" s="93"/>
      <c r="G34" s="93"/>
      <c r="H34" s="96"/>
      <c r="I34" s="96"/>
      <c r="J34" s="96"/>
      <c r="K34" s="96"/>
      <c r="L34" s="96"/>
      <c r="M34" s="96"/>
      <c r="N34" s="96"/>
      <c r="O34" s="97"/>
      <c r="P34" s="97"/>
      <c r="Q34" s="97"/>
    </row>
    <row r="35" spans="1:17" ht="15.75" customHeight="1">
      <c r="A35" s="91"/>
      <c r="B35" s="91"/>
      <c r="C35" s="91"/>
      <c r="D35" s="91"/>
      <c r="E35" s="92"/>
      <c r="F35" s="93"/>
      <c r="G35" s="93"/>
      <c r="H35" s="91"/>
      <c r="I35" s="93"/>
      <c r="J35" s="92"/>
      <c r="K35" s="92"/>
      <c r="L35" s="91"/>
      <c r="M35" s="91"/>
      <c r="N35" s="91"/>
      <c r="O35" s="94">
        <v>43703</v>
      </c>
      <c r="P35" s="95">
        <v>0</v>
      </c>
      <c r="Q35" s="95">
        <v>0.97</v>
      </c>
    </row>
  </sheetData>
  <mergeCells count="26"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20:C20"/>
    <mergeCell ref="D20:E20"/>
    <mergeCell ref="F20:H20"/>
    <mergeCell ref="A1:C1"/>
    <mergeCell ref="E1:H1"/>
    <mergeCell ref="A2:C2"/>
    <mergeCell ref="E2:H2"/>
    <mergeCell ref="A3:C3"/>
  </mergeCells>
  <pageMargins left="0.24" right="0.16" top="0.81" bottom="0.64" header="0.5" footer="0.5"/>
  <pageSetup paperSize="9" orientation="landscape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topLeftCell="A5" workbookViewId="0">
      <selection activeCell="B18" sqref="B18"/>
    </sheetView>
  </sheetViews>
  <sheetFormatPr defaultColWidth="9.140625" defaultRowHeight="15.75"/>
  <cols>
    <col min="1" max="1" width="5.28515625" style="3" customWidth="1"/>
    <col min="2" max="2" width="18.7109375" style="3" customWidth="1"/>
    <col min="3" max="3" width="11.5703125" style="3" customWidth="1"/>
    <col min="4" max="4" width="31.42578125" style="3" customWidth="1"/>
    <col min="5" max="5" width="15.7109375" style="3" customWidth="1"/>
    <col min="6" max="6" width="13.140625" style="5" customWidth="1"/>
    <col min="7" max="7" width="17.85546875" style="5" customWidth="1"/>
    <col min="8" max="8" width="10.85546875" style="3" customWidth="1"/>
    <col min="9" max="9" width="17.85546875" style="3" customWidth="1"/>
    <col min="10" max="10" width="11.5703125" style="3" customWidth="1"/>
    <col min="11" max="12" width="13" style="3" customWidth="1"/>
    <col min="13" max="13" width="3.85546875" style="3" customWidth="1"/>
    <col min="14" max="16384" width="9.140625" style="3"/>
  </cols>
  <sheetData>
    <row r="1" spans="1:9">
      <c r="A1" s="121" t="s">
        <v>0</v>
      </c>
      <c r="B1" s="121"/>
      <c r="C1" s="121"/>
      <c r="E1" s="122" t="s">
        <v>1</v>
      </c>
      <c r="F1" s="122"/>
      <c r="G1" s="122"/>
      <c r="H1" s="122"/>
    </row>
    <row r="2" spans="1:9">
      <c r="A2" s="121" t="s">
        <v>2</v>
      </c>
      <c r="B2" s="121"/>
      <c r="C2" s="121"/>
      <c r="E2" s="122" t="s">
        <v>3</v>
      </c>
      <c r="F2" s="122"/>
      <c r="G2" s="122"/>
      <c r="H2" s="122"/>
    </row>
    <row r="3" spans="1:9">
      <c r="A3" s="122" t="s">
        <v>4</v>
      </c>
      <c r="B3" s="122"/>
      <c r="C3" s="122"/>
    </row>
    <row r="4" spans="1:9">
      <c r="E4" s="123" t="s">
        <v>44</v>
      </c>
      <c r="F4" s="123"/>
      <c r="G4" s="123"/>
      <c r="H4" s="123"/>
    </row>
    <row r="5" spans="1:9" ht="53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7" spans="1:9" s="4" customFormat="1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0" t="s">
        <v>14</v>
      </c>
      <c r="I7" s="70" t="s">
        <v>15</v>
      </c>
    </row>
    <row r="8" spans="1:9" ht="15.75" customHeight="1">
      <c r="A8" s="126">
        <v>1</v>
      </c>
      <c r="B8" s="126" t="s">
        <v>16</v>
      </c>
      <c r="C8" s="126" t="s">
        <v>17</v>
      </c>
      <c r="D8" s="126" t="s">
        <v>18</v>
      </c>
      <c r="E8" s="82">
        <v>44044</v>
      </c>
      <c r="F8" s="83">
        <v>866800</v>
      </c>
      <c r="G8" s="83">
        <v>1417794400</v>
      </c>
      <c r="H8" s="84">
        <v>0</v>
      </c>
      <c r="I8" s="84">
        <f>G8</f>
        <v>1417794400</v>
      </c>
    </row>
    <row r="9" spans="1:9" ht="16.5">
      <c r="A9" s="126"/>
      <c r="B9" s="126"/>
      <c r="C9" s="126"/>
      <c r="D9" s="126"/>
      <c r="E9" s="82">
        <v>44045</v>
      </c>
      <c r="F9" s="83">
        <v>784900</v>
      </c>
      <c r="G9" s="83">
        <v>1301706300</v>
      </c>
      <c r="H9" s="84">
        <v>0</v>
      </c>
      <c r="I9" s="84">
        <f t="shared" ref="I9:I17" si="0">G9</f>
        <v>1301706300</v>
      </c>
    </row>
    <row r="10" spans="1:9" ht="16.5">
      <c r="A10" s="126"/>
      <c r="B10" s="126"/>
      <c r="C10" s="126"/>
      <c r="D10" s="126"/>
      <c r="E10" s="82">
        <v>44046</v>
      </c>
      <c r="F10" s="83">
        <v>731400</v>
      </c>
      <c r="G10" s="83">
        <v>1192497400</v>
      </c>
      <c r="H10" s="84">
        <v>0</v>
      </c>
      <c r="I10" s="84">
        <f t="shared" si="0"/>
        <v>1192497400</v>
      </c>
    </row>
    <row r="11" spans="1:9" ht="16.5" customHeight="1">
      <c r="A11" s="126">
        <v>2</v>
      </c>
      <c r="B11" s="126" t="s">
        <v>19</v>
      </c>
      <c r="C11" s="126" t="s">
        <v>20</v>
      </c>
      <c r="D11" s="126" t="s">
        <v>18</v>
      </c>
      <c r="E11" s="82">
        <v>44044</v>
      </c>
      <c r="F11" s="85">
        <v>335900</v>
      </c>
      <c r="G11" s="85">
        <v>570371700</v>
      </c>
      <c r="H11" s="84">
        <v>0</v>
      </c>
      <c r="I11" s="84">
        <f t="shared" si="0"/>
        <v>570371700</v>
      </c>
    </row>
    <row r="12" spans="1:9" ht="16.5">
      <c r="A12" s="126"/>
      <c r="B12" s="126"/>
      <c r="C12" s="126"/>
      <c r="D12" s="126"/>
      <c r="E12" s="82">
        <v>44045</v>
      </c>
      <c r="F12" s="85">
        <v>297400</v>
      </c>
      <c r="G12" s="85">
        <v>504174600</v>
      </c>
      <c r="H12" s="84">
        <v>0</v>
      </c>
      <c r="I12" s="84">
        <f t="shared" si="0"/>
        <v>504174600</v>
      </c>
    </row>
    <row r="13" spans="1:9" ht="16.5">
      <c r="A13" s="126"/>
      <c r="B13" s="126"/>
      <c r="C13" s="126"/>
      <c r="D13" s="126"/>
      <c r="E13" s="82">
        <v>44046</v>
      </c>
      <c r="F13" s="85">
        <v>290900</v>
      </c>
      <c r="G13" s="85">
        <v>483002300</v>
      </c>
      <c r="H13" s="84"/>
      <c r="I13" s="84">
        <f t="shared" si="0"/>
        <v>483002300</v>
      </c>
    </row>
    <row r="14" spans="1:9" ht="16.5" customHeight="1">
      <c r="A14" s="126">
        <v>3</v>
      </c>
      <c r="B14" s="126" t="s">
        <v>21</v>
      </c>
      <c r="C14" s="126" t="s">
        <v>22</v>
      </c>
      <c r="D14" s="126" t="s">
        <v>18</v>
      </c>
      <c r="E14" s="82">
        <v>44044</v>
      </c>
      <c r="F14" s="85">
        <v>325100</v>
      </c>
      <c r="G14" s="85">
        <v>541496500</v>
      </c>
      <c r="H14" s="84">
        <v>0</v>
      </c>
      <c r="I14" s="84">
        <f t="shared" si="0"/>
        <v>541496500</v>
      </c>
    </row>
    <row r="15" spans="1:9" ht="16.5">
      <c r="A15" s="126"/>
      <c r="B15" s="126"/>
      <c r="C15" s="126"/>
      <c r="D15" s="126"/>
      <c r="E15" s="82">
        <v>44045</v>
      </c>
      <c r="F15" s="85">
        <v>312600</v>
      </c>
      <c r="G15" s="85">
        <v>530434200</v>
      </c>
      <c r="H15" s="84">
        <v>0</v>
      </c>
      <c r="I15" s="84">
        <f t="shared" si="0"/>
        <v>530434200</v>
      </c>
    </row>
    <row r="16" spans="1:9" ht="16.5">
      <c r="A16" s="126"/>
      <c r="B16" s="126"/>
      <c r="C16" s="126"/>
      <c r="D16" s="126"/>
      <c r="E16" s="82">
        <v>44046</v>
      </c>
      <c r="F16" s="85">
        <v>301000</v>
      </c>
      <c r="G16" s="85">
        <v>515157800</v>
      </c>
      <c r="H16" s="84">
        <v>0</v>
      </c>
      <c r="I16" s="84">
        <f t="shared" si="0"/>
        <v>515157800</v>
      </c>
    </row>
    <row r="17" spans="1:9" ht="33">
      <c r="A17" s="78">
        <v>4</v>
      </c>
      <c r="B17" s="78" t="s">
        <v>23</v>
      </c>
      <c r="C17" s="78" t="s">
        <v>24</v>
      </c>
      <c r="D17" s="78" t="s">
        <v>18</v>
      </c>
      <c r="E17" s="82">
        <v>44044</v>
      </c>
      <c r="F17" s="86">
        <v>31900</v>
      </c>
      <c r="G17" s="86">
        <v>54925700</v>
      </c>
      <c r="H17" s="114" t="s">
        <v>25</v>
      </c>
      <c r="I17" s="87">
        <f t="shared" si="0"/>
        <v>54925700</v>
      </c>
    </row>
    <row r="18" spans="1:9" ht="16.5">
      <c r="A18" s="78"/>
      <c r="B18" s="88" t="s">
        <v>26</v>
      </c>
      <c r="C18" s="78"/>
      <c r="D18" s="78"/>
      <c r="E18" s="89"/>
      <c r="F18" s="90">
        <f>SUM(F8:F17)</f>
        <v>4277900</v>
      </c>
      <c r="G18" s="90">
        <f>SUM(G8:G17)</f>
        <v>7111560900</v>
      </c>
      <c r="H18" s="90">
        <f>SUM(H8:H17)</f>
        <v>0</v>
      </c>
      <c r="I18" s="90">
        <f>SUM(I8:I17)</f>
        <v>7111560900</v>
      </c>
    </row>
    <row r="19" spans="1:9" s="64" customFormat="1">
      <c r="A19" s="33"/>
      <c r="B19" s="33"/>
      <c r="C19" s="33"/>
      <c r="D19" s="33"/>
      <c r="E19" s="33"/>
      <c r="F19" s="34"/>
      <c r="G19" s="34"/>
      <c r="H19" s="35"/>
      <c r="I19" s="35"/>
    </row>
    <row r="20" spans="1:9" s="64" customFormat="1">
      <c r="A20" s="122" t="s">
        <v>29</v>
      </c>
      <c r="B20" s="122"/>
      <c r="C20" s="122"/>
      <c r="D20" s="122" t="s">
        <v>30</v>
      </c>
      <c r="E20" s="122"/>
      <c r="F20" s="122" t="s">
        <v>31</v>
      </c>
      <c r="G20" s="122"/>
      <c r="H20" s="122"/>
    </row>
    <row r="21" spans="1:9" s="64" customFormat="1">
      <c r="A21" s="4"/>
      <c r="B21" s="4"/>
      <c r="C21" s="4"/>
      <c r="D21" s="4"/>
      <c r="E21" s="4"/>
      <c r="F21" s="122"/>
      <c r="G21" s="122"/>
      <c r="H21" s="122"/>
    </row>
    <row r="22" spans="1:9" s="64" customFormat="1">
      <c r="A22" s="4"/>
      <c r="B22" s="4"/>
      <c r="C22" s="4"/>
      <c r="D22" s="4"/>
      <c r="E22" s="4"/>
      <c r="F22" s="65"/>
      <c r="G22" s="65"/>
      <c r="H22" s="4"/>
    </row>
    <row r="23" spans="1:9" s="64" customFormat="1">
      <c r="A23" s="66"/>
      <c r="B23" s="67"/>
      <c r="C23" s="67"/>
      <c r="D23" s="67"/>
      <c r="E23" s="67"/>
      <c r="F23" s="68"/>
      <c r="G23" s="68"/>
      <c r="H23" s="67"/>
    </row>
    <row r="24" spans="1:9">
      <c r="A24" s="64"/>
      <c r="B24" s="64"/>
      <c r="C24" s="64"/>
      <c r="D24" s="64"/>
      <c r="E24" s="64"/>
      <c r="F24" s="69"/>
      <c r="G24" s="69"/>
      <c r="H24" s="64"/>
      <c r="I24" s="64"/>
    </row>
    <row r="25" spans="1:9">
      <c r="A25" s="122" t="s">
        <v>32</v>
      </c>
      <c r="B25" s="122"/>
      <c r="C25" s="122"/>
      <c r="D25" s="122" t="s">
        <v>33</v>
      </c>
      <c r="E25" s="122"/>
      <c r="F25" s="122" t="s">
        <v>34</v>
      </c>
      <c r="G25" s="122"/>
      <c r="H25" s="122"/>
      <c r="I25" s="64"/>
    </row>
  </sheetData>
  <mergeCells count="26"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20:C20"/>
    <mergeCell ref="D20:E20"/>
    <mergeCell ref="F20:H20"/>
    <mergeCell ref="A1:C1"/>
    <mergeCell ref="E1:H1"/>
    <mergeCell ref="A2:C2"/>
    <mergeCell ref="E2:H2"/>
    <mergeCell ref="A3:C3"/>
  </mergeCells>
  <pageMargins left="0.24" right="0.16" top="0.81" bottom="1" header="0.5" footer="0.5"/>
  <pageSetup paperSize="9" orientation="landscape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4"/>
  <sheetViews>
    <sheetView topLeftCell="A6" workbookViewId="0">
      <selection sqref="A1:I24"/>
    </sheetView>
  </sheetViews>
  <sheetFormatPr defaultColWidth="9.140625" defaultRowHeight="15.75"/>
  <cols>
    <col min="1" max="1" width="5.28515625" style="3" customWidth="1"/>
    <col min="2" max="2" width="18.7109375" style="3" customWidth="1"/>
    <col min="3" max="3" width="11.5703125" style="3" customWidth="1"/>
    <col min="4" max="4" width="31.42578125" style="3" customWidth="1"/>
    <col min="5" max="5" width="15.7109375" style="3" customWidth="1"/>
    <col min="6" max="6" width="13.140625" style="5" customWidth="1"/>
    <col min="7" max="7" width="17.85546875" style="5" customWidth="1"/>
    <col min="8" max="8" width="10.85546875" style="3" customWidth="1"/>
    <col min="9" max="9" width="17.85546875" style="3" customWidth="1"/>
    <col min="10" max="10" width="11.5703125" style="3" customWidth="1"/>
    <col min="11" max="12" width="13" style="3" customWidth="1"/>
    <col min="13" max="13" width="3.85546875" style="3" customWidth="1"/>
    <col min="14" max="16384" width="9.140625" style="3"/>
  </cols>
  <sheetData>
    <row r="1" spans="1:9">
      <c r="A1" s="121" t="s">
        <v>0</v>
      </c>
      <c r="B1" s="121"/>
      <c r="C1" s="121"/>
      <c r="E1" s="122" t="s">
        <v>1</v>
      </c>
      <c r="F1" s="122"/>
      <c r="G1" s="122"/>
      <c r="H1" s="122"/>
    </row>
    <row r="2" spans="1:9">
      <c r="A2" s="121" t="s">
        <v>2</v>
      </c>
      <c r="B2" s="121"/>
      <c r="C2" s="121"/>
      <c r="E2" s="122" t="s">
        <v>3</v>
      </c>
      <c r="F2" s="122"/>
      <c r="G2" s="122"/>
      <c r="H2" s="122"/>
    </row>
    <row r="3" spans="1:9">
      <c r="A3" s="122" t="s">
        <v>4</v>
      </c>
      <c r="B3" s="122"/>
      <c r="C3" s="122"/>
    </row>
    <row r="4" spans="1:9">
      <c r="E4" s="123" t="s">
        <v>45</v>
      </c>
      <c r="F4" s="123"/>
      <c r="G4" s="123"/>
      <c r="H4" s="123"/>
    </row>
    <row r="5" spans="1:9" ht="53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7" spans="1:9" s="4" customFormat="1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0" t="s">
        <v>14</v>
      </c>
      <c r="I7" s="70" t="s">
        <v>15</v>
      </c>
    </row>
    <row r="8" spans="1:9" ht="15.75" customHeight="1">
      <c r="A8" s="126">
        <v>1</v>
      </c>
      <c r="B8" s="126" t="s">
        <v>16</v>
      </c>
      <c r="C8" s="126" t="s">
        <v>17</v>
      </c>
      <c r="D8" s="126" t="s">
        <v>18</v>
      </c>
      <c r="E8" s="82">
        <v>44075</v>
      </c>
      <c r="F8" s="83">
        <v>931800</v>
      </c>
      <c r="G8" s="83">
        <v>1550228600</v>
      </c>
      <c r="H8" s="84">
        <v>0</v>
      </c>
      <c r="I8" s="84">
        <f>G8</f>
        <v>1550228600</v>
      </c>
    </row>
    <row r="9" spans="1:9" ht="16.5">
      <c r="A9" s="126"/>
      <c r="B9" s="126"/>
      <c r="C9" s="126"/>
      <c r="D9" s="126"/>
      <c r="E9" s="82">
        <v>44076</v>
      </c>
      <c r="F9" s="83">
        <v>795000</v>
      </c>
      <c r="G9" s="83">
        <v>1298837000</v>
      </c>
      <c r="H9" s="84">
        <v>0</v>
      </c>
      <c r="I9" s="84">
        <f t="shared" ref="I9:I16" si="0">G9</f>
        <v>1298837000</v>
      </c>
    </row>
    <row r="10" spans="1:9" ht="16.5">
      <c r="A10" s="126"/>
      <c r="B10" s="126"/>
      <c r="C10" s="126"/>
      <c r="D10" s="126"/>
      <c r="E10" s="82">
        <v>44077</v>
      </c>
      <c r="F10" s="83">
        <v>765200</v>
      </c>
      <c r="G10" s="83">
        <v>1268878400</v>
      </c>
      <c r="H10" s="84">
        <v>0</v>
      </c>
      <c r="I10" s="84">
        <f t="shared" si="0"/>
        <v>1268878400</v>
      </c>
    </row>
    <row r="11" spans="1:9" ht="16.5" customHeight="1">
      <c r="A11" s="126">
        <v>2</v>
      </c>
      <c r="B11" s="126" t="s">
        <v>19</v>
      </c>
      <c r="C11" s="126" t="s">
        <v>20</v>
      </c>
      <c r="D11" s="126" t="s">
        <v>18</v>
      </c>
      <c r="E11" s="82">
        <v>44075</v>
      </c>
      <c r="F11" s="85">
        <v>313300</v>
      </c>
      <c r="G11" s="85">
        <v>526795900</v>
      </c>
      <c r="H11" s="84">
        <v>0</v>
      </c>
      <c r="I11" s="84">
        <f t="shared" si="0"/>
        <v>526795900</v>
      </c>
    </row>
    <row r="12" spans="1:9" ht="16.5">
      <c r="A12" s="126"/>
      <c r="B12" s="126"/>
      <c r="C12" s="126"/>
      <c r="D12" s="126"/>
      <c r="E12" s="82">
        <v>44076</v>
      </c>
      <c r="F12" s="85">
        <v>311400</v>
      </c>
      <c r="G12" s="85">
        <v>519399800</v>
      </c>
      <c r="H12" s="84">
        <v>0</v>
      </c>
      <c r="I12" s="84">
        <f t="shared" si="0"/>
        <v>519399800</v>
      </c>
    </row>
    <row r="13" spans="1:9" ht="16.5">
      <c r="A13" s="126"/>
      <c r="B13" s="126"/>
      <c r="C13" s="126"/>
      <c r="D13" s="126"/>
      <c r="E13" s="82">
        <v>44077</v>
      </c>
      <c r="F13" s="85">
        <v>301400</v>
      </c>
      <c r="G13" s="85">
        <v>509133000</v>
      </c>
      <c r="H13" s="84"/>
      <c r="I13" s="84">
        <f t="shared" si="0"/>
        <v>509133000</v>
      </c>
    </row>
    <row r="14" spans="1:9" ht="16.5" customHeight="1">
      <c r="A14" s="126">
        <v>3</v>
      </c>
      <c r="B14" s="126" t="s">
        <v>21</v>
      </c>
      <c r="C14" s="126" t="s">
        <v>22</v>
      </c>
      <c r="D14" s="126" t="s">
        <v>18</v>
      </c>
      <c r="E14" s="82">
        <v>44075</v>
      </c>
      <c r="F14" s="85">
        <v>335900</v>
      </c>
      <c r="G14" s="85">
        <v>571678500</v>
      </c>
      <c r="H14" s="84">
        <v>0</v>
      </c>
      <c r="I14" s="84">
        <f t="shared" si="0"/>
        <v>571678500</v>
      </c>
    </row>
    <row r="15" spans="1:9" ht="16.5">
      <c r="A15" s="126"/>
      <c r="B15" s="126"/>
      <c r="C15" s="126"/>
      <c r="D15" s="126"/>
      <c r="E15" s="82">
        <v>44076</v>
      </c>
      <c r="F15" s="85">
        <v>269300</v>
      </c>
      <c r="G15" s="85">
        <v>460893500</v>
      </c>
      <c r="H15" s="84">
        <v>0</v>
      </c>
      <c r="I15" s="84">
        <f t="shared" si="0"/>
        <v>460893500</v>
      </c>
    </row>
    <row r="16" spans="1:9" ht="16.5">
      <c r="A16" s="126"/>
      <c r="B16" s="126"/>
      <c r="C16" s="126"/>
      <c r="D16" s="126"/>
      <c r="E16" s="82">
        <v>44077</v>
      </c>
      <c r="F16" s="85">
        <v>357400</v>
      </c>
      <c r="G16" s="85">
        <v>611232200</v>
      </c>
      <c r="H16" s="84">
        <v>0</v>
      </c>
      <c r="I16" s="84">
        <f t="shared" si="0"/>
        <v>611232200</v>
      </c>
    </row>
    <row r="17" spans="1:9" ht="16.5">
      <c r="A17" s="78"/>
      <c r="B17" s="88" t="s">
        <v>26</v>
      </c>
      <c r="C17" s="78"/>
      <c r="D17" s="78"/>
      <c r="E17" s="89"/>
      <c r="F17" s="90">
        <f>SUM(F8:F16)</f>
        <v>4380700</v>
      </c>
      <c r="G17" s="90">
        <f>SUM(G8:G16)</f>
        <v>7317076900</v>
      </c>
      <c r="H17" s="90">
        <f>SUM(H8:H16)</f>
        <v>0</v>
      </c>
      <c r="I17" s="90">
        <f>SUM(I8:I16)</f>
        <v>7317076900</v>
      </c>
    </row>
    <row r="18" spans="1:9" s="64" customFormat="1">
      <c r="A18" s="33"/>
      <c r="B18" s="33"/>
      <c r="C18" s="33"/>
      <c r="D18" s="33"/>
      <c r="E18" s="33"/>
      <c r="F18" s="34"/>
      <c r="G18" s="34"/>
      <c r="H18" s="35"/>
      <c r="I18" s="35"/>
    </row>
    <row r="19" spans="1:9" s="64" customFormat="1">
      <c r="A19" s="122" t="s">
        <v>46</v>
      </c>
      <c r="B19" s="122"/>
      <c r="C19" s="122"/>
      <c r="D19" s="122" t="s">
        <v>30</v>
      </c>
      <c r="E19" s="122"/>
      <c r="F19" s="122" t="s">
        <v>31</v>
      </c>
      <c r="G19" s="122"/>
      <c r="H19" s="122"/>
    </row>
    <row r="20" spans="1:9" s="64" customFormat="1">
      <c r="A20" s="4"/>
      <c r="B20" s="4"/>
      <c r="C20" s="4"/>
      <c r="D20" s="4"/>
      <c r="E20" s="4"/>
      <c r="F20" s="122"/>
      <c r="G20" s="122"/>
      <c r="H20" s="122"/>
    </row>
    <row r="21" spans="1:9" s="64" customFormat="1">
      <c r="A21" s="4"/>
      <c r="B21" s="4"/>
      <c r="C21" s="4"/>
      <c r="D21" s="4"/>
      <c r="E21" s="4"/>
      <c r="F21" s="65"/>
      <c r="G21" s="65"/>
      <c r="H21" s="4"/>
    </row>
    <row r="22" spans="1:9" s="64" customFormat="1">
      <c r="A22" s="66"/>
      <c r="B22" s="67"/>
      <c r="C22" s="67"/>
      <c r="D22" s="67"/>
      <c r="E22" s="67"/>
      <c r="F22" s="68"/>
      <c r="G22" s="68"/>
      <c r="H22" s="67"/>
    </row>
    <row r="23" spans="1:9">
      <c r="A23" s="64"/>
      <c r="B23" s="64"/>
      <c r="C23" s="64"/>
      <c r="D23" s="64"/>
      <c r="E23" s="64"/>
      <c r="F23" s="69"/>
      <c r="G23" s="69"/>
      <c r="H23" s="64"/>
      <c r="I23" s="64"/>
    </row>
    <row r="24" spans="1:9">
      <c r="A24" s="122" t="s">
        <v>32</v>
      </c>
      <c r="B24" s="122"/>
      <c r="C24" s="122"/>
      <c r="D24" s="122" t="s">
        <v>33</v>
      </c>
      <c r="E24" s="122"/>
      <c r="F24" s="122" t="s">
        <v>34</v>
      </c>
      <c r="G24" s="122"/>
      <c r="H24" s="122"/>
      <c r="I24" s="64"/>
    </row>
  </sheetData>
  <mergeCells count="26">
    <mergeCell ref="F20:H20"/>
    <mergeCell ref="A24:C24"/>
    <mergeCell ref="D24:E24"/>
    <mergeCell ref="F24:H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9:C19"/>
    <mergeCell ref="D19:E19"/>
    <mergeCell ref="F19:H19"/>
    <mergeCell ref="A1:C1"/>
    <mergeCell ref="E1:H1"/>
    <mergeCell ref="A2:C2"/>
    <mergeCell ref="E2:H2"/>
    <mergeCell ref="A3:C3"/>
  </mergeCells>
  <pageMargins left="0.24" right="0.16" top="0.36" bottom="0.35" header="0.24" footer="0.5"/>
  <pageSetup paperSize="9" orientation="landscape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topLeftCell="A10" workbookViewId="0">
      <selection activeCell="B17" sqref="B17"/>
    </sheetView>
  </sheetViews>
  <sheetFormatPr defaultColWidth="9" defaultRowHeight="12.75"/>
  <cols>
    <col min="1" max="1" width="6.7109375" customWidth="1"/>
    <col min="2" max="2" width="19.140625" customWidth="1"/>
    <col min="3" max="3" width="11.7109375" customWidth="1"/>
    <col min="4" max="4" width="20" customWidth="1"/>
    <col min="5" max="5" width="16.5703125" customWidth="1"/>
    <col min="6" max="6" width="14.5703125" customWidth="1"/>
    <col min="7" max="7" width="18.140625" customWidth="1"/>
    <col min="8" max="8" width="12.5703125" customWidth="1"/>
    <col min="9" max="9" width="18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3"/>
      <c r="I3" s="3"/>
    </row>
    <row r="4" spans="1:9" ht="15.75">
      <c r="A4" s="3"/>
      <c r="B4" s="3"/>
      <c r="C4" s="3"/>
      <c r="D4" s="3"/>
      <c r="E4" s="123" t="s">
        <v>45</v>
      </c>
      <c r="F4" s="123"/>
      <c r="G4" s="123"/>
      <c r="H4" s="123"/>
      <c r="I4" s="3"/>
    </row>
    <row r="5" spans="1:9" ht="36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3"/>
      <c r="I6" s="3"/>
    </row>
    <row r="7" spans="1:9" ht="31.5">
      <c r="A7" s="31" t="s">
        <v>7</v>
      </c>
      <c r="B7" s="31" t="s">
        <v>8</v>
      </c>
      <c r="C7" s="31" t="s">
        <v>9</v>
      </c>
      <c r="D7" s="31" t="s">
        <v>10</v>
      </c>
      <c r="E7" s="31" t="s">
        <v>11</v>
      </c>
      <c r="F7" s="36" t="s">
        <v>12</v>
      </c>
      <c r="G7" s="32" t="s">
        <v>13</v>
      </c>
      <c r="H7" s="31" t="s">
        <v>14</v>
      </c>
      <c r="I7" s="31" t="s">
        <v>15</v>
      </c>
    </row>
    <row r="8" spans="1:9" ht="16.5" customHeight="1">
      <c r="A8" s="126">
        <v>1</v>
      </c>
      <c r="B8" s="126" t="s">
        <v>16</v>
      </c>
      <c r="C8" s="126" t="s">
        <v>17</v>
      </c>
      <c r="D8" s="126" t="s">
        <v>18</v>
      </c>
      <c r="E8" s="82">
        <v>44075</v>
      </c>
      <c r="F8" s="83">
        <v>931800</v>
      </c>
      <c r="G8" s="83">
        <v>1550228600</v>
      </c>
      <c r="H8" s="84">
        <v>0</v>
      </c>
      <c r="I8" s="84">
        <f>G8</f>
        <v>1550228600</v>
      </c>
    </row>
    <row r="9" spans="1:9" ht="16.5">
      <c r="A9" s="126"/>
      <c r="B9" s="126"/>
      <c r="C9" s="126"/>
      <c r="D9" s="126"/>
      <c r="E9" s="82">
        <v>44076</v>
      </c>
      <c r="F9" s="83">
        <v>795000</v>
      </c>
      <c r="G9" s="83">
        <v>1298837000</v>
      </c>
      <c r="H9" s="84">
        <v>0</v>
      </c>
      <c r="I9" s="84">
        <f t="shared" ref="I9:I16" si="0">G9</f>
        <v>1298837000</v>
      </c>
    </row>
    <row r="10" spans="1:9" ht="16.5">
      <c r="A10" s="126"/>
      <c r="B10" s="126"/>
      <c r="C10" s="126"/>
      <c r="D10" s="126"/>
      <c r="E10" s="82">
        <v>44077</v>
      </c>
      <c r="F10" s="83">
        <v>765200</v>
      </c>
      <c r="G10" s="83">
        <v>1268878400</v>
      </c>
      <c r="H10" s="84">
        <v>0</v>
      </c>
      <c r="I10" s="84">
        <f t="shared" si="0"/>
        <v>1268878400</v>
      </c>
    </row>
    <row r="11" spans="1:9" ht="16.5" customHeight="1">
      <c r="A11" s="126">
        <v>2</v>
      </c>
      <c r="B11" s="126" t="s">
        <v>19</v>
      </c>
      <c r="C11" s="126" t="s">
        <v>20</v>
      </c>
      <c r="D11" s="126" t="s">
        <v>18</v>
      </c>
      <c r="E11" s="82">
        <v>44075</v>
      </c>
      <c r="F11" s="85">
        <v>313300</v>
      </c>
      <c r="G11" s="85">
        <v>526795900</v>
      </c>
      <c r="H11" s="84">
        <v>0</v>
      </c>
      <c r="I11" s="84">
        <f t="shared" si="0"/>
        <v>526795900</v>
      </c>
    </row>
    <row r="12" spans="1:9" ht="16.5">
      <c r="A12" s="126"/>
      <c r="B12" s="126"/>
      <c r="C12" s="126"/>
      <c r="D12" s="126"/>
      <c r="E12" s="82">
        <v>44076</v>
      </c>
      <c r="F12" s="85">
        <v>311400</v>
      </c>
      <c r="G12" s="85">
        <v>519399800</v>
      </c>
      <c r="H12" s="84">
        <v>0</v>
      </c>
      <c r="I12" s="84">
        <f t="shared" si="0"/>
        <v>519399800</v>
      </c>
    </row>
    <row r="13" spans="1:9" ht="16.5">
      <c r="A13" s="126"/>
      <c r="B13" s="126"/>
      <c r="C13" s="126"/>
      <c r="D13" s="126"/>
      <c r="E13" s="82">
        <v>44077</v>
      </c>
      <c r="F13" s="85">
        <v>301400</v>
      </c>
      <c r="G13" s="85">
        <v>509133000</v>
      </c>
      <c r="H13" s="84"/>
      <c r="I13" s="84">
        <f t="shared" si="0"/>
        <v>509133000</v>
      </c>
    </row>
    <row r="14" spans="1:9" ht="16.5" customHeight="1">
      <c r="A14" s="126">
        <v>3</v>
      </c>
      <c r="B14" s="126" t="s">
        <v>21</v>
      </c>
      <c r="C14" s="126" t="s">
        <v>22</v>
      </c>
      <c r="D14" s="126" t="s">
        <v>18</v>
      </c>
      <c r="E14" s="82">
        <v>44075</v>
      </c>
      <c r="F14" s="85">
        <v>335900</v>
      </c>
      <c r="G14" s="85">
        <v>571678500</v>
      </c>
      <c r="H14" s="84">
        <v>0</v>
      </c>
      <c r="I14" s="84">
        <f t="shared" si="0"/>
        <v>571678500</v>
      </c>
    </row>
    <row r="15" spans="1:9" ht="16.5">
      <c r="A15" s="126"/>
      <c r="B15" s="126"/>
      <c r="C15" s="126"/>
      <c r="D15" s="126"/>
      <c r="E15" s="82">
        <v>44076</v>
      </c>
      <c r="F15" s="85">
        <v>269300</v>
      </c>
      <c r="G15" s="85">
        <v>460893500</v>
      </c>
      <c r="H15" s="84">
        <v>0</v>
      </c>
      <c r="I15" s="84">
        <f t="shared" si="0"/>
        <v>460893500</v>
      </c>
    </row>
    <row r="16" spans="1:9" ht="16.5">
      <c r="A16" s="126"/>
      <c r="B16" s="126"/>
      <c r="C16" s="126"/>
      <c r="D16" s="126"/>
      <c r="E16" s="82">
        <v>44077</v>
      </c>
      <c r="F16" s="85">
        <v>357400</v>
      </c>
      <c r="G16" s="85">
        <v>611232200</v>
      </c>
      <c r="H16" s="84">
        <v>0</v>
      </c>
      <c r="I16" s="84">
        <f t="shared" si="0"/>
        <v>611232200</v>
      </c>
    </row>
    <row r="17" spans="1:9" ht="64.5" customHeight="1">
      <c r="A17" s="78">
        <v>4</v>
      </c>
      <c r="B17" s="78" t="s">
        <v>23</v>
      </c>
      <c r="C17" s="78" t="s">
        <v>24</v>
      </c>
      <c r="D17" s="78" t="s">
        <v>18</v>
      </c>
      <c r="E17" s="82">
        <v>44075</v>
      </c>
      <c r="F17" s="86">
        <v>32100</v>
      </c>
      <c r="G17" s="86">
        <v>71114340</v>
      </c>
      <c r="H17" s="87">
        <v>0</v>
      </c>
      <c r="I17" s="87">
        <f>G17+H17</f>
        <v>71114340</v>
      </c>
    </row>
    <row r="18" spans="1:9" s="81" customFormat="1" ht="36.75" customHeight="1">
      <c r="A18" s="78"/>
      <c r="B18" s="88" t="s">
        <v>26</v>
      </c>
      <c r="C18" s="78"/>
      <c r="D18" s="78"/>
      <c r="E18" s="82"/>
      <c r="F18" s="86">
        <f>SUM(F8:F17)</f>
        <v>4412800</v>
      </c>
      <c r="G18" s="86">
        <f>SUM(G8:G17)</f>
        <v>7388191240</v>
      </c>
      <c r="H18" s="87">
        <f>H17</f>
        <v>0</v>
      </c>
      <c r="I18" s="87">
        <f>SUM(I8:I17)</f>
        <v>7388191240</v>
      </c>
    </row>
    <row r="19" spans="1:9" ht="15.75">
      <c r="A19" s="122" t="s">
        <v>46</v>
      </c>
      <c r="B19" s="122"/>
      <c r="C19" s="122"/>
      <c r="D19" s="122" t="s">
        <v>30</v>
      </c>
      <c r="E19" s="122"/>
      <c r="F19" s="122" t="s">
        <v>31</v>
      </c>
      <c r="G19" s="122"/>
      <c r="H19" s="122"/>
      <c r="I19" s="64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4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7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4"/>
      <c r="I23" s="64"/>
    </row>
    <row r="24" spans="1:9" ht="15.75">
      <c r="A24" s="122" t="s">
        <v>32</v>
      </c>
      <c r="B24" s="122"/>
      <c r="C24" s="122"/>
      <c r="D24" s="122" t="s">
        <v>33</v>
      </c>
      <c r="E24" s="122"/>
      <c r="F24" s="122" t="s">
        <v>34</v>
      </c>
      <c r="G24" s="122"/>
      <c r="H24" s="122"/>
      <c r="I24" s="64"/>
    </row>
    <row r="25" spans="1:9" ht="15.75">
      <c r="A25" s="66"/>
      <c r="B25" s="67"/>
      <c r="C25" s="67"/>
      <c r="D25" s="67"/>
      <c r="E25" s="67"/>
      <c r="F25" s="68"/>
      <c r="G25" s="68"/>
      <c r="H25" s="67"/>
      <c r="I25" s="64"/>
    </row>
    <row r="26" spans="1:9" ht="15.75">
      <c r="A26" s="64"/>
      <c r="B26" s="64"/>
      <c r="C26" s="64"/>
      <c r="D26" s="64"/>
      <c r="E26" s="64"/>
      <c r="F26" s="69"/>
      <c r="G26" s="69"/>
      <c r="H26" s="64"/>
      <c r="I26" s="64"/>
    </row>
    <row r="27" spans="1:9" ht="15.75">
      <c r="A27" s="122"/>
      <c r="B27" s="122"/>
      <c r="C27" s="122"/>
      <c r="D27" s="122"/>
      <c r="E27" s="122"/>
      <c r="F27" s="122"/>
      <c r="G27" s="122"/>
      <c r="H27" s="122"/>
      <c r="I27" s="64"/>
    </row>
  </sheetData>
  <mergeCells count="29">
    <mergeCell ref="D14:D16"/>
    <mergeCell ref="F20:H20"/>
    <mergeCell ref="A24:C24"/>
    <mergeCell ref="D24:E24"/>
    <mergeCell ref="F24:H24"/>
    <mergeCell ref="C14:C16"/>
    <mergeCell ref="A27:C27"/>
    <mergeCell ref="D27:E27"/>
    <mergeCell ref="F27:H27"/>
    <mergeCell ref="E4:H4"/>
    <mergeCell ref="A5:I5"/>
    <mergeCell ref="A19:C19"/>
    <mergeCell ref="D19:E19"/>
    <mergeCell ref="F19:H19"/>
    <mergeCell ref="A8:A10"/>
    <mergeCell ref="A11:A13"/>
    <mergeCell ref="A14:A16"/>
    <mergeCell ref="B8:B10"/>
    <mergeCell ref="B11:B13"/>
    <mergeCell ref="B14:B16"/>
    <mergeCell ref="C8:C10"/>
    <mergeCell ref="C11:C13"/>
    <mergeCell ref="D8:D10"/>
    <mergeCell ref="D11:D13"/>
    <mergeCell ref="A1:C1"/>
    <mergeCell ref="E1:H1"/>
    <mergeCell ref="A2:C2"/>
    <mergeCell ref="E2:H2"/>
    <mergeCell ref="A3:C3"/>
  </mergeCells>
  <pageMargins left="0.31" right="0.75" top="0.48" bottom="0.43" header="0.5" footer="0.5"/>
  <pageSetup paperSize="9" orientation="landscape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4"/>
  <sheetViews>
    <sheetView topLeftCell="A5" workbookViewId="0">
      <selection sqref="A1:I24"/>
    </sheetView>
  </sheetViews>
  <sheetFormatPr defaultColWidth="9" defaultRowHeight="12.75"/>
  <cols>
    <col min="1" max="1" width="5.85546875" customWidth="1"/>
    <col min="2" max="2" width="18.5703125" customWidth="1"/>
    <col min="3" max="3" width="11.85546875" customWidth="1"/>
    <col min="4" max="4" width="27.42578125" customWidth="1"/>
    <col min="5" max="5" width="14.28515625" customWidth="1"/>
    <col min="6" max="6" width="13.140625" customWidth="1"/>
    <col min="7" max="7" width="17.7109375" customWidth="1"/>
    <col min="8" max="8" width="13" style="80" customWidth="1"/>
    <col min="9" max="9" width="18.57031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47</v>
      </c>
      <c r="F4" s="123"/>
      <c r="G4" s="123"/>
      <c r="H4" s="123"/>
      <c r="I4" s="3"/>
    </row>
    <row r="5" spans="1:9" ht="4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44105</v>
      </c>
      <c r="F8" s="77">
        <v>787300</v>
      </c>
      <c r="G8" s="77">
        <v>1289932700</v>
      </c>
      <c r="H8" s="74" t="s">
        <v>48</v>
      </c>
      <c r="I8" s="75">
        <f>G8</f>
        <v>1289932700</v>
      </c>
    </row>
    <row r="9" spans="1:9" ht="16.5">
      <c r="A9" s="130"/>
      <c r="B9" s="130"/>
      <c r="C9" s="130"/>
      <c r="D9" s="133"/>
      <c r="E9" s="79">
        <v>44106</v>
      </c>
      <c r="F9" s="61">
        <v>775300</v>
      </c>
      <c r="G9" s="61">
        <v>1280857100</v>
      </c>
      <c r="H9" s="74" t="s">
        <v>48</v>
      </c>
      <c r="I9" s="75">
        <f t="shared" ref="I9:I16" si="0">G9</f>
        <v>1280857100</v>
      </c>
    </row>
    <row r="10" spans="1:9" ht="16.5">
      <c r="A10" s="131"/>
      <c r="B10" s="131"/>
      <c r="C10" s="131"/>
      <c r="D10" s="134"/>
      <c r="E10" s="60">
        <v>44107</v>
      </c>
      <c r="F10" s="77">
        <v>741900</v>
      </c>
      <c r="G10" s="77">
        <v>1221580900</v>
      </c>
      <c r="H10" s="74" t="s">
        <v>48</v>
      </c>
      <c r="I10" s="75">
        <f t="shared" si="0"/>
        <v>1221580900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44105</v>
      </c>
      <c r="F11" s="61">
        <v>279700</v>
      </c>
      <c r="G11" s="61">
        <v>468293500</v>
      </c>
      <c r="H11" s="74" t="s">
        <v>48</v>
      </c>
      <c r="I11" s="75">
        <f t="shared" si="0"/>
        <v>468293500</v>
      </c>
    </row>
    <row r="12" spans="1:9" ht="16.5">
      <c r="A12" s="126"/>
      <c r="B12" s="126"/>
      <c r="C12" s="126"/>
      <c r="D12" s="135"/>
      <c r="E12" s="79">
        <v>44106</v>
      </c>
      <c r="F12" s="61">
        <v>269400</v>
      </c>
      <c r="G12" s="61">
        <v>450685400</v>
      </c>
      <c r="H12" s="74" t="s">
        <v>48</v>
      </c>
      <c r="I12" s="75">
        <f t="shared" si="0"/>
        <v>450685400</v>
      </c>
    </row>
    <row r="13" spans="1:9" ht="16.5">
      <c r="A13" s="126"/>
      <c r="B13" s="126"/>
      <c r="C13" s="126"/>
      <c r="D13" s="135"/>
      <c r="E13" s="60">
        <v>44107</v>
      </c>
      <c r="F13" s="61">
        <v>264100</v>
      </c>
      <c r="G13" s="61">
        <v>439439500</v>
      </c>
      <c r="H13" s="74"/>
      <c r="I13" s="75">
        <f t="shared" si="0"/>
        <v>439439500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44105</v>
      </c>
      <c r="F14" s="61">
        <v>288800</v>
      </c>
      <c r="G14" s="61">
        <v>484914000</v>
      </c>
      <c r="H14" s="74" t="s">
        <v>48</v>
      </c>
      <c r="I14" s="75">
        <f t="shared" si="0"/>
        <v>484914000</v>
      </c>
    </row>
    <row r="15" spans="1:9" ht="16.5">
      <c r="A15" s="126"/>
      <c r="B15" s="126"/>
      <c r="C15" s="126"/>
      <c r="D15" s="135"/>
      <c r="E15" s="79">
        <v>44106</v>
      </c>
      <c r="F15" s="61">
        <v>317900</v>
      </c>
      <c r="G15" s="61">
        <v>546725700</v>
      </c>
      <c r="H15" s="74" t="s">
        <v>48</v>
      </c>
      <c r="I15" s="75">
        <f t="shared" si="0"/>
        <v>546725700</v>
      </c>
    </row>
    <row r="16" spans="1:9" ht="16.5">
      <c r="A16" s="126"/>
      <c r="B16" s="126"/>
      <c r="C16" s="126"/>
      <c r="D16" s="135"/>
      <c r="E16" s="60">
        <v>44107</v>
      </c>
      <c r="F16" s="61">
        <v>262000</v>
      </c>
      <c r="G16" s="61">
        <v>442240400</v>
      </c>
      <c r="H16" s="74" t="s">
        <v>48</v>
      </c>
      <c r="I16" s="75">
        <f t="shared" si="0"/>
        <v>442240400</v>
      </c>
    </row>
    <row r="17" spans="1:11" ht="16.5">
      <c r="A17" s="125" t="s">
        <v>28</v>
      </c>
      <c r="B17" s="125"/>
      <c r="C17" s="125"/>
      <c r="D17" s="125"/>
      <c r="E17" s="125"/>
      <c r="F17" s="76">
        <f>SUM(F8:F16)</f>
        <v>3986400</v>
      </c>
      <c r="G17" s="76">
        <f>SUM(G8:G16)</f>
        <v>6624669200</v>
      </c>
      <c r="H17" s="76"/>
      <c r="I17" s="76">
        <f>SUM(I8:I16)</f>
        <v>6624669200</v>
      </c>
    </row>
    <row r="18" spans="1:11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11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  <c r="J19" s="18"/>
      <c r="K19" s="18"/>
    </row>
    <row r="20" spans="1:11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11" ht="15.75">
      <c r="A21" s="4"/>
      <c r="B21" s="4"/>
      <c r="C21" s="4"/>
      <c r="D21" s="4"/>
      <c r="E21" s="4"/>
      <c r="F21" s="65"/>
      <c r="G21" s="65"/>
      <c r="H21" s="65"/>
      <c r="I21" s="64"/>
    </row>
    <row r="22" spans="1:11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11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11" ht="15.75">
      <c r="A24" s="122" t="s">
        <v>32</v>
      </c>
      <c r="B24" s="122"/>
      <c r="C24" s="122"/>
      <c r="D24" s="122" t="s">
        <v>33</v>
      </c>
      <c r="E24" s="122"/>
      <c r="F24" s="122" t="s">
        <v>51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41" right="0.31" top="0.44" bottom="0.2" header="0.3" footer="0.3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8"/>
  <sheetViews>
    <sheetView topLeftCell="A6" workbookViewId="0">
      <selection sqref="A1:I25"/>
    </sheetView>
  </sheetViews>
  <sheetFormatPr defaultColWidth="9" defaultRowHeight="12.75"/>
  <cols>
    <col min="2" max="2" width="20.5703125" customWidth="1"/>
    <col min="3" max="3" width="13.140625" customWidth="1"/>
    <col min="4" max="4" width="12.28515625" customWidth="1"/>
    <col min="5" max="5" width="13.28515625" customWidth="1"/>
    <col min="6" max="6" width="13.7109375" customWidth="1"/>
    <col min="7" max="7" width="19.5703125" customWidth="1"/>
    <col min="9" max="9" width="21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52</v>
      </c>
      <c r="F4" s="123"/>
      <c r="G4" s="123"/>
      <c r="H4" s="123"/>
      <c r="I4" s="3"/>
    </row>
    <row r="5" spans="1:9" ht="35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44136</v>
      </c>
      <c r="F8" s="77">
        <v>910700</v>
      </c>
      <c r="G8" s="77">
        <v>1511965700</v>
      </c>
      <c r="H8" s="74" t="s">
        <v>48</v>
      </c>
      <c r="I8" s="75">
        <f>G8</f>
        <v>1511965700</v>
      </c>
    </row>
    <row r="9" spans="1:9" ht="16.5">
      <c r="A9" s="130"/>
      <c r="B9" s="130"/>
      <c r="C9" s="130"/>
      <c r="D9" s="133"/>
      <c r="E9" s="79">
        <v>44137</v>
      </c>
      <c r="F9" s="61">
        <v>788000</v>
      </c>
      <c r="G9" s="61">
        <v>1285581600</v>
      </c>
      <c r="H9" s="74" t="s">
        <v>48</v>
      </c>
      <c r="I9" s="75">
        <f t="shared" ref="I9:I16" si="0">G9</f>
        <v>1285581600</v>
      </c>
    </row>
    <row r="10" spans="1:9" ht="16.5">
      <c r="A10" s="131"/>
      <c r="B10" s="131"/>
      <c r="C10" s="131"/>
      <c r="D10" s="134"/>
      <c r="E10" s="60">
        <v>44138</v>
      </c>
      <c r="F10" s="77">
        <v>803500</v>
      </c>
      <c r="G10" s="77">
        <v>1332089700</v>
      </c>
      <c r="H10" s="74" t="s">
        <v>48</v>
      </c>
      <c r="I10" s="75">
        <f t="shared" si="0"/>
        <v>1332089700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44136</v>
      </c>
      <c r="F11" s="61">
        <v>303700</v>
      </c>
      <c r="G11" s="61">
        <v>513017500</v>
      </c>
      <c r="H11" s="74" t="s">
        <v>48</v>
      </c>
      <c r="I11" s="75">
        <f t="shared" si="0"/>
        <v>513017500</v>
      </c>
    </row>
    <row r="12" spans="1:9" ht="16.5">
      <c r="A12" s="126"/>
      <c r="B12" s="126"/>
      <c r="C12" s="126"/>
      <c r="D12" s="135"/>
      <c r="E12" s="79">
        <v>44137</v>
      </c>
      <c r="F12" s="61">
        <v>266400</v>
      </c>
      <c r="G12" s="61">
        <v>439902400</v>
      </c>
      <c r="H12" s="74" t="s">
        <v>48</v>
      </c>
      <c r="I12" s="75">
        <f t="shared" si="0"/>
        <v>439902400</v>
      </c>
    </row>
    <row r="13" spans="1:9" ht="16.5">
      <c r="A13" s="126"/>
      <c r="B13" s="126"/>
      <c r="C13" s="126"/>
      <c r="D13" s="135"/>
      <c r="E13" s="60">
        <v>44138</v>
      </c>
      <c r="F13" s="61">
        <v>276100</v>
      </c>
      <c r="G13" s="61">
        <v>464417100</v>
      </c>
      <c r="H13" s="74"/>
      <c r="I13" s="75">
        <f t="shared" si="0"/>
        <v>464417100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44136</v>
      </c>
      <c r="F14" s="61">
        <v>311600</v>
      </c>
      <c r="G14" s="61">
        <v>530579200</v>
      </c>
      <c r="H14" s="74" t="s">
        <v>48</v>
      </c>
      <c r="I14" s="75">
        <f t="shared" si="0"/>
        <v>530579200</v>
      </c>
    </row>
    <row r="15" spans="1:9" ht="16.5">
      <c r="A15" s="126"/>
      <c r="B15" s="126"/>
      <c r="C15" s="126"/>
      <c r="D15" s="135"/>
      <c r="E15" s="79">
        <v>44137</v>
      </c>
      <c r="F15" s="61">
        <v>316300</v>
      </c>
      <c r="G15" s="61">
        <v>535968500</v>
      </c>
      <c r="H15" s="74" t="s">
        <v>48</v>
      </c>
      <c r="I15" s="75">
        <f t="shared" si="0"/>
        <v>535968500</v>
      </c>
    </row>
    <row r="16" spans="1:9" ht="16.5">
      <c r="A16" s="126"/>
      <c r="B16" s="126"/>
      <c r="C16" s="126"/>
      <c r="D16" s="135"/>
      <c r="E16" s="60">
        <v>44138</v>
      </c>
      <c r="F16" s="61">
        <v>327600</v>
      </c>
      <c r="G16" s="61">
        <v>569287200</v>
      </c>
      <c r="H16" s="74" t="s">
        <v>48</v>
      </c>
      <c r="I16" s="75">
        <f t="shared" si="0"/>
        <v>569287200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4303900</v>
      </c>
      <c r="G17" s="76">
        <f>SUM(G8:G16)</f>
        <v>7182808900</v>
      </c>
      <c r="H17" s="76"/>
      <c r="I17" s="76">
        <f>SUM(I8:I16)</f>
        <v>7182808900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  <row r="28" spans="1:9">
      <c r="F28" t="s">
        <v>40</v>
      </c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7" right="0.7" top="0.75" bottom="0.75" header="0.3" footer="0.3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4"/>
  <sheetViews>
    <sheetView topLeftCell="A5" workbookViewId="0">
      <selection sqref="A1:I24"/>
    </sheetView>
  </sheetViews>
  <sheetFormatPr defaultColWidth="9" defaultRowHeight="12.75"/>
  <cols>
    <col min="2" max="2" width="20.42578125" customWidth="1"/>
    <col min="3" max="3" width="13.5703125" customWidth="1"/>
    <col min="4" max="4" width="18.5703125" customWidth="1"/>
    <col min="5" max="5" width="16.42578125" customWidth="1"/>
    <col min="6" max="6" width="13.42578125" customWidth="1"/>
    <col min="7" max="7" width="18.85546875" customWidth="1"/>
    <col min="9" max="9" width="17.855468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55</v>
      </c>
      <c r="F4" s="123"/>
      <c r="G4" s="123"/>
      <c r="H4" s="123"/>
      <c r="I4" s="3"/>
    </row>
    <row r="5" spans="1:9" ht="36.7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44166</v>
      </c>
      <c r="F8" s="77">
        <v>755300</v>
      </c>
      <c r="G8" s="77">
        <v>1240315100</v>
      </c>
      <c r="H8" s="74" t="s">
        <v>48</v>
      </c>
      <c r="I8" s="75">
        <f>G8</f>
        <v>1240315100</v>
      </c>
    </row>
    <row r="9" spans="1:9" ht="16.5">
      <c r="A9" s="130"/>
      <c r="B9" s="130"/>
      <c r="C9" s="130"/>
      <c r="D9" s="133"/>
      <c r="E9" s="79">
        <v>44167</v>
      </c>
      <c r="F9" s="61">
        <v>751900</v>
      </c>
      <c r="G9" s="61">
        <v>1231243700</v>
      </c>
      <c r="H9" s="74" t="s">
        <v>48</v>
      </c>
      <c r="I9" s="75">
        <f t="shared" ref="I9:I16" si="0">G9</f>
        <v>1231243700</v>
      </c>
    </row>
    <row r="10" spans="1:9" ht="16.5">
      <c r="A10" s="131"/>
      <c r="B10" s="131"/>
      <c r="C10" s="131"/>
      <c r="D10" s="134"/>
      <c r="E10" s="60">
        <v>44168</v>
      </c>
      <c r="F10" s="77">
        <v>782900</v>
      </c>
      <c r="G10" s="77">
        <v>1301403900</v>
      </c>
      <c r="H10" s="74" t="s">
        <v>48</v>
      </c>
      <c r="I10" s="75">
        <f t="shared" si="0"/>
        <v>1301403900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44166</v>
      </c>
      <c r="F11" s="61">
        <v>277600</v>
      </c>
      <c r="G11" s="61">
        <v>470588000</v>
      </c>
      <c r="H11" s="74" t="s">
        <v>48</v>
      </c>
      <c r="I11" s="75">
        <f t="shared" si="0"/>
        <v>470588000</v>
      </c>
    </row>
    <row r="12" spans="1:9" ht="16.5">
      <c r="A12" s="126"/>
      <c r="B12" s="126"/>
      <c r="C12" s="126"/>
      <c r="D12" s="135"/>
      <c r="E12" s="79">
        <v>44167</v>
      </c>
      <c r="F12" s="61">
        <v>293800</v>
      </c>
      <c r="G12" s="61">
        <v>487522200</v>
      </c>
      <c r="H12" s="74" t="s">
        <v>48</v>
      </c>
      <c r="I12" s="75">
        <f t="shared" si="0"/>
        <v>487522200</v>
      </c>
    </row>
    <row r="13" spans="1:9" ht="16.5">
      <c r="A13" s="126"/>
      <c r="B13" s="126"/>
      <c r="C13" s="126"/>
      <c r="D13" s="135"/>
      <c r="E13" s="60">
        <v>44168</v>
      </c>
      <c r="F13" s="61">
        <v>325600</v>
      </c>
      <c r="G13" s="61">
        <v>546910400</v>
      </c>
      <c r="H13" s="74"/>
      <c r="I13" s="75">
        <f t="shared" si="0"/>
        <v>546910400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44166</v>
      </c>
      <c r="F14" s="61">
        <v>337000</v>
      </c>
      <c r="G14" s="61">
        <v>579300200</v>
      </c>
      <c r="H14" s="74" t="s">
        <v>48</v>
      </c>
      <c r="I14" s="75">
        <f t="shared" si="0"/>
        <v>579300200</v>
      </c>
    </row>
    <row r="15" spans="1:9" ht="16.5">
      <c r="A15" s="126"/>
      <c r="B15" s="126"/>
      <c r="C15" s="126"/>
      <c r="D15" s="135"/>
      <c r="E15" s="79">
        <v>44167</v>
      </c>
      <c r="F15" s="61">
        <v>296000</v>
      </c>
      <c r="G15" s="61">
        <v>504060000</v>
      </c>
      <c r="H15" s="74" t="s">
        <v>48</v>
      </c>
      <c r="I15" s="75">
        <f t="shared" si="0"/>
        <v>504060000</v>
      </c>
    </row>
    <row r="16" spans="1:9" ht="16.5">
      <c r="A16" s="126"/>
      <c r="B16" s="126"/>
      <c r="C16" s="126"/>
      <c r="D16" s="135"/>
      <c r="E16" s="60">
        <v>44168</v>
      </c>
      <c r="F16" s="61">
        <v>292100</v>
      </c>
      <c r="G16" s="61">
        <v>503686300</v>
      </c>
      <c r="H16" s="74" t="s">
        <v>48</v>
      </c>
      <c r="I16" s="75">
        <f t="shared" si="0"/>
        <v>503686300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4112200</v>
      </c>
      <c r="G17" s="76">
        <f>SUM(G8:G16)</f>
        <v>6865029800</v>
      </c>
      <c r="H17" s="76"/>
      <c r="I17" s="76">
        <f>SUM(I8:I16)</f>
        <v>6865029800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24" right="0.7" top="0.3" bottom="0.48" header="0.3" footer="0.3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4"/>
  <sheetViews>
    <sheetView topLeftCell="A10" workbookViewId="0">
      <selection activeCell="G32" sqref="G32"/>
    </sheetView>
  </sheetViews>
  <sheetFormatPr defaultColWidth="9" defaultRowHeight="12.75"/>
  <cols>
    <col min="2" max="2" width="20.42578125" customWidth="1"/>
    <col min="3" max="3" width="14.140625" customWidth="1"/>
    <col min="4" max="4" width="20.7109375" customWidth="1"/>
    <col min="5" max="5" width="14.85546875" customWidth="1"/>
    <col min="6" max="6" width="12.85546875" customWidth="1"/>
    <col min="7" max="7" width="18.140625" customWidth="1"/>
    <col min="9" max="9" width="18.285156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56</v>
      </c>
      <c r="F4" s="123"/>
      <c r="G4" s="123"/>
      <c r="H4" s="123"/>
      <c r="I4" s="3"/>
    </row>
    <row r="5" spans="1:9" ht="37.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44197</v>
      </c>
      <c r="F8" s="77">
        <v>853300</v>
      </c>
      <c r="G8" s="77">
        <v>1397854300</v>
      </c>
      <c r="H8" s="74" t="s">
        <v>48</v>
      </c>
      <c r="I8" s="75">
        <f>G8</f>
        <v>1397854300</v>
      </c>
    </row>
    <row r="9" spans="1:9" ht="16.5">
      <c r="A9" s="130"/>
      <c r="B9" s="130"/>
      <c r="C9" s="130"/>
      <c r="D9" s="133"/>
      <c r="E9" s="79">
        <v>44198</v>
      </c>
      <c r="F9" s="61">
        <v>770300</v>
      </c>
      <c r="G9" s="61">
        <v>1275230500</v>
      </c>
      <c r="H9" s="74" t="s">
        <v>48</v>
      </c>
      <c r="I9" s="75">
        <f t="shared" ref="I9:I16" si="0">G9</f>
        <v>1275230500</v>
      </c>
    </row>
    <row r="10" spans="1:9" ht="16.5">
      <c r="A10" s="131"/>
      <c r="B10" s="131"/>
      <c r="C10" s="131"/>
      <c r="D10" s="134"/>
      <c r="E10" s="60">
        <v>44199</v>
      </c>
      <c r="F10" s="77">
        <v>767800</v>
      </c>
      <c r="G10" s="77">
        <v>1255419000</v>
      </c>
      <c r="H10" s="74" t="s">
        <v>48</v>
      </c>
      <c r="I10" s="75">
        <f t="shared" si="0"/>
        <v>1255419000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44197</v>
      </c>
      <c r="F11" s="61">
        <v>360800</v>
      </c>
      <c r="G11" s="61">
        <v>600541600</v>
      </c>
      <c r="H11" s="74" t="s">
        <v>48</v>
      </c>
      <c r="I11" s="75">
        <f t="shared" si="0"/>
        <v>600541600</v>
      </c>
    </row>
    <row r="12" spans="1:9" ht="16.5">
      <c r="A12" s="126"/>
      <c r="B12" s="126"/>
      <c r="C12" s="126"/>
      <c r="D12" s="135"/>
      <c r="E12" s="79">
        <v>44198</v>
      </c>
      <c r="F12" s="61">
        <v>287800</v>
      </c>
      <c r="G12" s="61">
        <v>482283400</v>
      </c>
      <c r="H12" s="74" t="s">
        <v>48</v>
      </c>
      <c r="I12" s="75">
        <f t="shared" si="0"/>
        <v>482283400</v>
      </c>
    </row>
    <row r="13" spans="1:9" ht="16.5">
      <c r="A13" s="126"/>
      <c r="B13" s="126"/>
      <c r="C13" s="126"/>
      <c r="D13" s="135"/>
      <c r="E13" s="60">
        <v>44199</v>
      </c>
      <c r="F13" s="61">
        <v>268800</v>
      </c>
      <c r="G13" s="61">
        <v>443612800</v>
      </c>
      <c r="H13" s="74"/>
      <c r="I13" s="75">
        <f t="shared" si="0"/>
        <v>443612800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44197</v>
      </c>
      <c r="F14" s="61">
        <v>249700</v>
      </c>
      <c r="G14" s="61">
        <v>421588300</v>
      </c>
      <c r="H14" s="74" t="s">
        <v>48</v>
      </c>
      <c r="I14" s="75">
        <f t="shared" si="0"/>
        <v>421588300</v>
      </c>
    </row>
    <row r="15" spans="1:9" ht="16.5">
      <c r="A15" s="126"/>
      <c r="B15" s="126"/>
      <c r="C15" s="126"/>
      <c r="D15" s="135"/>
      <c r="E15" s="79">
        <v>44198</v>
      </c>
      <c r="F15" s="61">
        <v>351700</v>
      </c>
      <c r="G15" s="61">
        <v>602279900</v>
      </c>
      <c r="H15" s="74" t="s">
        <v>48</v>
      </c>
      <c r="I15" s="75">
        <f t="shared" si="0"/>
        <v>602279900</v>
      </c>
    </row>
    <row r="16" spans="1:9" ht="16.5">
      <c r="A16" s="126"/>
      <c r="B16" s="126"/>
      <c r="C16" s="126"/>
      <c r="D16" s="135"/>
      <c r="E16" s="60">
        <v>44199</v>
      </c>
      <c r="F16" s="61">
        <v>252000</v>
      </c>
      <c r="G16" s="61">
        <v>424736400</v>
      </c>
      <c r="H16" s="74" t="s">
        <v>48</v>
      </c>
      <c r="I16" s="75">
        <f t="shared" si="0"/>
        <v>424736400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4162200</v>
      </c>
      <c r="G17" s="76">
        <f>SUM(G8:G16)</f>
        <v>6903546200</v>
      </c>
      <c r="H17" s="76"/>
      <c r="I17" s="76">
        <f>SUM(I8:I16)</f>
        <v>6903546200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27" right="0.7" top="0.39" bottom="0.2" header="0.3" footer="0.3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4"/>
  <sheetViews>
    <sheetView topLeftCell="A5" workbookViewId="0">
      <selection activeCell="K15" sqref="K15"/>
    </sheetView>
  </sheetViews>
  <sheetFormatPr defaultColWidth="9" defaultRowHeight="12.75"/>
  <cols>
    <col min="2" max="2" width="18.28515625" customWidth="1"/>
    <col min="3" max="4" width="15.7109375" customWidth="1"/>
    <col min="5" max="5" width="15.140625" customWidth="1"/>
    <col min="6" max="6" width="14.85546875" customWidth="1"/>
    <col min="7" max="7" width="18.28515625" customWidth="1"/>
    <col min="9" max="9" width="21.855468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57</v>
      </c>
      <c r="F4" s="123"/>
      <c r="G4" s="123"/>
      <c r="H4" s="123"/>
      <c r="I4" s="3"/>
    </row>
    <row r="5" spans="1:9" ht="38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44228</v>
      </c>
      <c r="F8" s="77">
        <v>491400</v>
      </c>
      <c r="G8" s="77">
        <v>813223800</v>
      </c>
      <c r="H8" s="74" t="s">
        <v>48</v>
      </c>
      <c r="I8" s="75">
        <f>G8</f>
        <v>813223800</v>
      </c>
    </row>
    <row r="9" spans="1:9" ht="16.5">
      <c r="A9" s="130"/>
      <c r="B9" s="130"/>
      <c r="C9" s="130"/>
      <c r="D9" s="133"/>
      <c r="E9" s="79">
        <v>44229</v>
      </c>
      <c r="F9" s="61">
        <v>55900</v>
      </c>
      <c r="G9" s="61">
        <v>90044500</v>
      </c>
      <c r="H9" s="74" t="s">
        <v>48</v>
      </c>
      <c r="I9" s="75">
        <f t="shared" ref="I9:I16" si="0">G9</f>
        <v>90044500</v>
      </c>
    </row>
    <row r="10" spans="1:9" ht="16.5">
      <c r="A10" s="131"/>
      <c r="B10" s="131"/>
      <c r="C10" s="131"/>
      <c r="D10" s="134"/>
      <c r="E10" s="60">
        <v>44230</v>
      </c>
      <c r="F10" s="77">
        <v>85200</v>
      </c>
      <c r="G10" s="77">
        <v>142210000</v>
      </c>
      <c r="H10" s="74" t="s">
        <v>48</v>
      </c>
      <c r="I10" s="75">
        <f t="shared" si="0"/>
        <v>142210000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44228</v>
      </c>
      <c r="F11" s="61">
        <v>245800</v>
      </c>
      <c r="G11" s="61">
        <v>412133800</v>
      </c>
      <c r="H11" s="74" t="s">
        <v>48</v>
      </c>
      <c r="I11" s="75">
        <f t="shared" si="0"/>
        <v>412133800</v>
      </c>
    </row>
    <row r="12" spans="1:9" ht="16.5">
      <c r="A12" s="126"/>
      <c r="B12" s="126"/>
      <c r="C12" s="126"/>
      <c r="D12" s="135"/>
      <c r="E12" s="79">
        <v>44229</v>
      </c>
      <c r="F12" s="61">
        <v>70300</v>
      </c>
      <c r="G12" s="61">
        <v>116439700</v>
      </c>
      <c r="H12" s="74" t="s">
        <v>48</v>
      </c>
      <c r="I12" s="75">
        <f t="shared" si="0"/>
        <v>116439700</v>
      </c>
    </row>
    <row r="13" spans="1:9" ht="16.5">
      <c r="A13" s="126"/>
      <c r="B13" s="126"/>
      <c r="C13" s="126"/>
      <c r="D13" s="135"/>
      <c r="E13" s="60">
        <v>44230</v>
      </c>
      <c r="F13" s="61">
        <v>128200</v>
      </c>
      <c r="G13" s="61">
        <v>212993800</v>
      </c>
      <c r="H13" s="74"/>
      <c r="I13" s="75">
        <f t="shared" si="0"/>
        <v>212993800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44228</v>
      </c>
      <c r="F14" s="61">
        <v>124100</v>
      </c>
      <c r="G14" s="61">
        <v>220760300</v>
      </c>
      <c r="H14" s="74" t="s">
        <v>48</v>
      </c>
      <c r="I14" s="75">
        <f t="shared" si="0"/>
        <v>220760300</v>
      </c>
    </row>
    <row r="15" spans="1:9" ht="16.5">
      <c r="A15" s="126"/>
      <c r="B15" s="126"/>
      <c r="C15" s="126"/>
      <c r="D15" s="135"/>
      <c r="E15" s="79">
        <v>44229</v>
      </c>
      <c r="F15" s="61">
        <v>44300</v>
      </c>
      <c r="G15" s="61">
        <v>69626500</v>
      </c>
      <c r="H15" s="74" t="s">
        <v>48</v>
      </c>
      <c r="I15" s="75">
        <f t="shared" si="0"/>
        <v>69626500</v>
      </c>
    </row>
    <row r="16" spans="1:9" ht="16.5">
      <c r="A16" s="126"/>
      <c r="B16" s="126"/>
      <c r="C16" s="126"/>
      <c r="D16" s="135"/>
      <c r="E16" s="60">
        <v>44230</v>
      </c>
      <c r="F16" s="61">
        <v>57900</v>
      </c>
      <c r="G16" s="61">
        <v>93922900</v>
      </c>
      <c r="H16" s="74" t="s">
        <v>48</v>
      </c>
      <c r="I16" s="75">
        <f t="shared" si="0"/>
        <v>93922900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1303100</v>
      </c>
      <c r="G17" s="76">
        <f>SUM(G8:G16)</f>
        <v>2171355300</v>
      </c>
      <c r="H17" s="76"/>
      <c r="I17" s="76">
        <f>SUM(I8:I16)</f>
        <v>2171355300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37" right="0.7" top="0.37" bottom="0.28999999999999998" header="0.3" footer="0.3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4"/>
  <sheetViews>
    <sheetView topLeftCell="A4" workbookViewId="0">
      <selection activeCell="G23" sqref="G23"/>
    </sheetView>
  </sheetViews>
  <sheetFormatPr defaultColWidth="9" defaultRowHeight="12.75"/>
  <cols>
    <col min="1" max="1" width="7.85546875" customWidth="1"/>
    <col min="2" max="2" width="19.42578125" customWidth="1"/>
    <col min="3" max="3" width="13.140625" customWidth="1"/>
    <col min="4" max="4" width="18.140625" customWidth="1"/>
    <col min="5" max="5" width="17.28515625" customWidth="1"/>
    <col min="6" max="6" width="13.140625" customWidth="1"/>
    <col min="7" max="7" width="19.5703125" customWidth="1"/>
    <col min="8" max="8" width="7.42578125" customWidth="1"/>
    <col min="9" max="9" width="20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58</v>
      </c>
      <c r="F4" s="123"/>
      <c r="G4" s="123"/>
      <c r="H4" s="123"/>
      <c r="I4" s="3"/>
    </row>
    <row r="5" spans="1:9" ht="32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44256</v>
      </c>
      <c r="F8" s="77">
        <v>202300</v>
      </c>
      <c r="G8" s="77">
        <v>338566100</v>
      </c>
      <c r="H8" s="74" t="s">
        <v>48</v>
      </c>
      <c r="I8" s="75">
        <f>G8</f>
        <v>338566100</v>
      </c>
    </row>
    <row r="9" spans="1:9" ht="16.5">
      <c r="A9" s="130"/>
      <c r="B9" s="130"/>
      <c r="C9" s="130"/>
      <c r="D9" s="133"/>
      <c r="E9" s="79">
        <v>44257</v>
      </c>
      <c r="F9" s="61">
        <v>542000</v>
      </c>
      <c r="G9" s="61">
        <v>887424000</v>
      </c>
      <c r="H9" s="74" t="s">
        <v>48</v>
      </c>
      <c r="I9" s="75">
        <f t="shared" ref="I9:I16" si="0">G9</f>
        <v>887424000</v>
      </c>
    </row>
    <row r="10" spans="1:9" ht="16.5">
      <c r="A10" s="131"/>
      <c r="B10" s="131"/>
      <c r="C10" s="131"/>
      <c r="D10" s="134"/>
      <c r="E10" s="60">
        <v>44258</v>
      </c>
      <c r="F10" s="77">
        <v>701500</v>
      </c>
      <c r="G10" s="77">
        <v>1164511700</v>
      </c>
      <c r="H10" s="74" t="s">
        <v>48</v>
      </c>
      <c r="I10" s="75">
        <f t="shared" si="0"/>
        <v>1164511700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44256</v>
      </c>
      <c r="F11" s="61">
        <v>152700</v>
      </c>
      <c r="G11" s="61">
        <v>255062500</v>
      </c>
      <c r="H11" s="74" t="s">
        <v>48</v>
      </c>
      <c r="I11" s="75">
        <f t="shared" si="0"/>
        <v>255062500</v>
      </c>
    </row>
    <row r="12" spans="1:9" ht="16.5">
      <c r="A12" s="126"/>
      <c r="B12" s="126"/>
      <c r="C12" s="126"/>
      <c r="D12" s="135"/>
      <c r="E12" s="79">
        <v>44257</v>
      </c>
      <c r="F12" s="61">
        <v>270500</v>
      </c>
      <c r="G12" s="61">
        <v>447856700</v>
      </c>
      <c r="H12" s="74" t="s">
        <v>48</v>
      </c>
      <c r="I12" s="75">
        <f t="shared" si="0"/>
        <v>447856700</v>
      </c>
    </row>
    <row r="13" spans="1:9" ht="16.5">
      <c r="A13" s="126"/>
      <c r="B13" s="126"/>
      <c r="C13" s="126"/>
      <c r="D13" s="135"/>
      <c r="E13" s="60">
        <v>44258</v>
      </c>
      <c r="F13" s="61">
        <v>270200</v>
      </c>
      <c r="G13" s="61">
        <v>451119400</v>
      </c>
      <c r="H13" s="74"/>
      <c r="I13" s="75">
        <f t="shared" si="0"/>
        <v>451119400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44256</v>
      </c>
      <c r="F14" s="61">
        <v>170200</v>
      </c>
      <c r="G14" s="61">
        <v>284415800</v>
      </c>
      <c r="H14" s="74" t="s">
        <v>48</v>
      </c>
      <c r="I14" s="75">
        <f t="shared" si="0"/>
        <v>284415800</v>
      </c>
    </row>
    <row r="15" spans="1:9" ht="16.5">
      <c r="A15" s="126"/>
      <c r="B15" s="126"/>
      <c r="C15" s="126"/>
      <c r="D15" s="135"/>
      <c r="E15" s="79">
        <v>44257</v>
      </c>
      <c r="F15" s="61">
        <v>290500</v>
      </c>
      <c r="G15" s="61">
        <v>502041900</v>
      </c>
      <c r="H15" s="74" t="s">
        <v>48</v>
      </c>
      <c r="I15" s="75">
        <f t="shared" si="0"/>
        <v>502041900</v>
      </c>
    </row>
    <row r="16" spans="1:9" ht="16.5">
      <c r="A16" s="126"/>
      <c r="B16" s="126"/>
      <c r="C16" s="126"/>
      <c r="D16" s="135"/>
      <c r="E16" s="60">
        <v>44258</v>
      </c>
      <c r="F16" s="61">
        <v>313000</v>
      </c>
      <c r="G16" s="61">
        <v>533502200</v>
      </c>
      <c r="H16" s="74" t="s">
        <v>48</v>
      </c>
      <c r="I16" s="75">
        <f t="shared" si="0"/>
        <v>533502200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2912900</v>
      </c>
      <c r="G17" s="76">
        <f>SUM(G8:G16)</f>
        <v>4864500300</v>
      </c>
      <c r="H17" s="76"/>
      <c r="I17" s="76">
        <f>SUM(I8:I16)</f>
        <v>4864500300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31" right="0.7" top="0.35" bottom="0.43" header="0.3" footer="0.3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4"/>
  <sheetViews>
    <sheetView topLeftCell="A5" workbookViewId="0">
      <selection activeCell="K18" sqref="K18"/>
    </sheetView>
  </sheetViews>
  <sheetFormatPr defaultColWidth="9" defaultRowHeight="12.75"/>
  <cols>
    <col min="2" max="2" width="19.42578125" customWidth="1"/>
    <col min="3" max="3" width="14.42578125" customWidth="1"/>
    <col min="4" max="4" width="15.42578125" customWidth="1"/>
    <col min="5" max="5" width="15" customWidth="1"/>
    <col min="6" max="6" width="15.42578125" customWidth="1"/>
    <col min="7" max="7" width="20.28515625" customWidth="1"/>
    <col min="9" max="9" width="17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59</v>
      </c>
      <c r="F4" s="123"/>
      <c r="G4" s="123"/>
      <c r="H4" s="123"/>
      <c r="I4" s="3"/>
    </row>
    <row r="5" spans="1:9" ht="35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44287</v>
      </c>
      <c r="F8" s="77">
        <v>853900</v>
      </c>
      <c r="G8" s="77">
        <v>1394346500</v>
      </c>
      <c r="H8" s="74" t="s">
        <v>48</v>
      </c>
      <c r="I8" s="75">
        <f>G8</f>
        <v>1394346500</v>
      </c>
    </row>
    <row r="9" spans="1:9" ht="16.5">
      <c r="A9" s="130"/>
      <c r="B9" s="130"/>
      <c r="C9" s="130"/>
      <c r="D9" s="133"/>
      <c r="E9" s="79">
        <v>44288</v>
      </c>
      <c r="F9" s="61">
        <v>812300</v>
      </c>
      <c r="G9" s="61">
        <v>1346893700</v>
      </c>
      <c r="H9" s="74" t="s">
        <v>48</v>
      </c>
      <c r="I9" s="75">
        <f t="shared" ref="I9:I16" si="0">G9</f>
        <v>1346893700</v>
      </c>
    </row>
    <row r="10" spans="1:9" ht="16.5">
      <c r="A10" s="131"/>
      <c r="B10" s="131"/>
      <c r="C10" s="131"/>
      <c r="D10" s="134"/>
      <c r="E10" s="60">
        <v>44289</v>
      </c>
      <c r="F10" s="77">
        <v>807200</v>
      </c>
      <c r="G10" s="77">
        <v>1315428400</v>
      </c>
      <c r="H10" s="74" t="s">
        <v>48</v>
      </c>
      <c r="I10" s="75">
        <f t="shared" si="0"/>
        <v>1315428400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44287</v>
      </c>
      <c r="F11" s="61">
        <v>324600</v>
      </c>
      <c r="G11" s="61">
        <v>535672600</v>
      </c>
      <c r="H11" s="74" t="s">
        <v>48</v>
      </c>
      <c r="I11" s="75">
        <f t="shared" si="0"/>
        <v>535672600</v>
      </c>
    </row>
    <row r="12" spans="1:9" ht="16.5">
      <c r="A12" s="126"/>
      <c r="B12" s="126"/>
      <c r="C12" s="126"/>
      <c r="D12" s="135"/>
      <c r="E12" s="79">
        <v>44288</v>
      </c>
      <c r="F12" s="61">
        <v>303100</v>
      </c>
      <c r="G12" s="61">
        <v>506920900</v>
      </c>
      <c r="H12" s="74" t="s">
        <v>48</v>
      </c>
      <c r="I12" s="75">
        <f t="shared" si="0"/>
        <v>506920900</v>
      </c>
    </row>
    <row r="13" spans="1:9" ht="16.5">
      <c r="A13" s="126"/>
      <c r="B13" s="126"/>
      <c r="C13" s="126"/>
      <c r="D13" s="135"/>
      <c r="E13" s="60">
        <v>44289</v>
      </c>
      <c r="F13" s="61">
        <v>320900</v>
      </c>
      <c r="G13" s="61">
        <v>530773900</v>
      </c>
      <c r="H13" s="74"/>
      <c r="I13" s="75">
        <f t="shared" si="0"/>
        <v>530773900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44287</v>
      </c>
      <c r="F14" s="61">
        <v>402700</v>
      </c>
      <c r="G14" s="61">
        <v>676623700</v>
      </c>
      <c r="H14" s="74" t="s">
        <v>48</v>
      </c>
      <c r="I14" s="75">
        <f t="shared" si="0"/>
        <v>676623700</v>
      </c>
    </row>
    <row r="15" spans="1:9" ht="16.5">
      <c r="A15" s="126"/>
      <c r="B15" s="126"/>
      <c r="C15" s="126"/>
      <c r="D15" s="135"/>
      <c r="E15" s="79">
        <v>44288</v>
      </c>
      <c r="F15" s="61">
        <v>373300</v>
      </c>
      <c r="G15" s="61">
        <v>629017900</v>
      </c>
      <c r="H15" s="74" t="s">
        <v>48</v>
      </c>
      <c r="I15" s="75">
        <f t="shared" si="0"/>
        <v>629017900</v>
      </c>
    </row>
    <row r="16" spans="1:9" ht="16.5">
      <c r="A16" s="126"/>
      <c r="B16" s="126"/>
      <c r="C16" s="126"/>
      <c r="D16" s="135"/>
      <c r="E16" s="60">
        <v>44289</v>
      </c>
      <c r="F16" s="61">
        <v>334400</v>
      </c>
      <c r="G16" s="61">
        <v>557582800</v>
      </c>
      <c r="H16" s="74" t="s">
        <v>48</v>
      </c>
      <c r="I16" s="75">
        <f t="shared" si="0"/>
        <v>557582800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4532400</v>
      </c>
      <c r="G17" s="76">
        <f>SUM(G8:G16)</f>
        <v>7493260400</v>
      </c>
      <c r="H17" s="76"/>
      <c r="I17" s="76">
        <f>SUM(I8:I16)</f>
        <v>7493260400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45" right="0.6" top="0.53" bottom="0.48" header="0.3" footer="0.3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4"/>
  <sheetViews>
    <sheetView topLeftCell="A6" workbookViewId="0">
      <selection activeCell="K17" sqref="K17"/>
    </sheetView>
  </sheetViews>
  <sheetFormatPr defaultColWidth="9" defaultRowHeight="12.75"/>
  <cols>
    <col min="1" max="1" width="7" customWidth="1"/>
    <col min="2" max="2" width="18.140625" customWidth="1"/>
    <col min="3" max="3" width="12" customWidth="1"/>
    <col min="4" max="4" width="18.85546875" customWidth="1"/>
    <col min="5" max="5" width="15.140625" customWidth="1"/>
    <col min="6" max="6" width="13.42578125" customWidth="1"/>
    <col min="7" max="7" width="20.28515625" customWidth="1"/>
    <col min="9" max="9" width="17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60</v>
      </c>
      <c r="F4" s="123"/>
      <c r="G4" s="123"/>
      <c r="H4" s="123"/>
      <c r="I4" s="3"/>
    </row>
    <row r="5" spans="1:9" ht="35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44317</v>
      </c>
      <c r="F8" s="77">
        <v>827300</v>
      </c>
      <c r="G8" s="77">
        <v>1371075500</v>
      </c>
      <c r="H8" s="74" t="s">
        <v>48</v>
      </c>
      <c r="I8" s="75">
        <f>G8</f>
        <v>1371075500</v>
      </c>
    </row>
    <row r="9" spans="1:9" ht="16.5">
      <c r="A9" s="130"/>
      <c r="B9" s="130"/>
      <c r="C9" s="130"/>
      <c r="D9" s="133"/>
      <c r="E9" s="79">
        <v>44318</v>
      </c>
      <c r="F9" s="61">
        <v>861600</v>
      </c>
      <c r="G9" s="61">
        <v>1422945600</v>
      </c>
      <c r="H9" s="74" t="s">
        <v>48</v>
      </c>
      <c r="I9" s="75">
        <f t="shared" ref="I9:I16" si="0">G9</f>
        <v>1422945600</v>
      </c>
    </row>
    <row r="10" spans="1:9" ht="30" customHeight="1">
      <c r="A10" s="131"/>
      <c r="B10" s="131"/>
      <c r="C10" s="131"/>
      <c r="D10" s="134"/>
      <c r="E10" s="60">
        <v>44319</v>
      </c>
      <c r="F10" s="77">
        <v>881500</v>
      </c>
      <c r="G10" s="77">
        <v>1425028100</v>
      </c>
      <c r="H10" s="74" t="s">
        <v>48</v>
      </c>
      <c r="I10" s="75">
        <f t="shared" si="0"/>
        <v>1425028100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44317</v>
      </c>
      <c r="F11" s="61">
        <v>304000</v>
      </c>
      <c r="G11" s="61">
        <v>509044400</v>
      </c>
      <c r="H11" s="74" t="s">
        <v>48</v>
      </c>
      <c r="I11" s="75">
        <f t="shared" si="0"/>
        <v>509044400</v>
      </c>
    </row>
    <row r="12" spans="1:9" ht="16.5">
      <c r="A12" s="126"/>
      <c r="B12" s="126"/>
      <c r="C12" s="126"/>
      <c r="D12" s="135"/>
      <c r="E12" s="79">
        <v>44318</v>
      </c>
      <c r="F12" s="61">
        <v>328600</v>
      </c>
      <c r="G12" s="61">
        <v>549449000</v>
      </c>
      <c r="H12" s="74" t="s">
        <v>48</v>
      </c>
      <c r="I12" s="75">
        <f t="shared" si="0"/>
        <v>549449000</v>
      </c>
    </row>
    <row r="13" spans="1:9" ht="29.25" customHeight="1">
      <c r="A13" s="126"/>
      <c r="B13" s="126"/>
      <c r="C13" s="126"/>
      <c r="D13" s="135"/>
      <c r="E13" s="60">
        <v>44319</v>
      </c>
      <c r="F13" s="61">
        <v>340700</v>
      </c>
      <c r="G13" s="61">
        <v>565226100</v>
      </c>
      <c r="H13" s="74"/>
      <c r="I13" s="75">
        <f t="shared" si="0"/>
        <v>565226100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44317</v>
      </c>
      <c r="F14" s="61">
        <v>282800</v>
      </c>
      <c r="G14" s="61">
        <v>480550400</v>
      </c>
      <c r="H14" s="74" t="s">
        <v>48</v>
      </c>
      <c r="I14" s="75">
        <f t="shared" si="0"/>
        <v>480550400</v>
      </c>
    </row>
    <row r="15" spans="1:9" ht="16.5">
      <c r="A15" s="126"/>
      <c r="B15" s="126"/>
      <c r="C15" s="126"/>
      <c r="D15" s="135"/>
      <c r="E15" s="79">
        <v>44318</v>
      </c>
      <c r="F15" s="61">
        <v>340200</v>
      </c>
      <c r="G15" s="61">
        <v>571941000</v>
      </c>
      <c r="H15" s="74" t="s">
        <v>48</v>
      </c>
      <c r="I15" s="75">
        <f t="shared" si="0"/>
        <v>571941000</v>
      </c>
    </row>
    <row r="16" spans="1:9" ht="32.25" customHeight="1">
      <c r="A16" s="126"/>
      <c r="B16" s="126"/>
      <c r="C16" s="126"/>
      <c r="D16" s="135"/>
      <c r="E16" s="60">
        <v>44319</v>
      </c>
      <c r="F16" s="61">
        <v>348800</v>
      </c>
      <c r="G16" s="61">
        <v>585183200</v>
      </c>
      <c r="H16" s="74" t="s">
        <v>48</v>
      </c>
      <c r="I16" s="75">
        <f t="shared" si="0"/>
        <v>585183200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4515500</v>
      </c>
      <c r="G17" s="76">
        <f>SUM(G8:G16)</f>
        <v>7480443300</v>
      </c>
      <c r="H17" s="76"/>
      <c r="I17" s="76">
        <f>SUM(I8:I16)</f>
        <v>7480443300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53" right="0.7" top="0.42" bottom="0.2" header="0.3" footer="0.3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4"/>
  <sheetViews>
    <sheetView topLeftCell="A5" workbookViewId="0">
      <selection sqref="A1:I24"/>
    </sheetView>
  </sheetViews>
  <sheetFormatPr defaultColWidth="9" defaultRowHeight="12.75"/>
  <cols>
    <col min="1" max="1" width="6.28515625" customWidth="1"/>
    <col min="2" max="2" width="20.42578125" customWidth="1"/>
    <col min="3" max="3" width="14.140625" customWidth="1"/>
    <col min="4" max="4" width="18.85546875" customWidth="1"/>
    <col min="5" max="5" width="14.5703125" customWidth="1"/>
    <col min="6" max="6" width="13.5703125" customWidth="1"/>
    <col min="7" max="7" width="17.7109375" customWidth="1"/>
    <col min="9" max="9" width="21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61</v>
      </c>
      <c r="F4" s="123"/>
      <c r="G4" s="123"/>
      <c r="H4" s="123"/>
      <c r="I4" s="3"/>
    </row>
    <row r="5" spans="1:9" ht="15.75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44348</v>
      </c>
      <c r="F8" s="77">
        <v>991200</v>
      </c>
      <c r="G8" s="77">
        <v>1643368800</v>
      </c>
      <c r="H8" s="74" t="s">
        <v>48</v>
      </c>
      <c r="I8" s="75">
        <f>G8</f>
        <v>1643368800</v>
      </c>
    </row>
    <row r="9" spans="1:9" ht="16.5">
      <c r="A9" s="130"/>
      <c r="B9" s="130"/>
      <c r="C9" s="130"/>
      <c r="D9" s="133"/>
      <c r="E9" s="79">
        <v>44349</v>
      </c>
      <c r="F9" s="61">
        <v>918400</v>
      </c>
      <c r="G9" s="61">
        <v>1503158800</v>
      </c>
      <c r="H9" s="74" t="s">
        <v>48</v>
      </c>
      <c r="I9" s="75">
        <f t="shared" ref="I9:I16" si="0">G9</f>
        <v>1503158800</v>
      </c>
    </row>
    <row r="10" spans="1:9" ht="16.5">
      <c r="A10" s="131"/>
      <c r="B10" s="131"/>
      <c r="C10" s="131"/>
      <c r="D10" s="134"/>
      <c r="E10" s="60">
        <v>44350</v>
      </c>
      <c r="F10" s="77">
        <v>918600</v>
      </c>
      <c r="G10" s="77">
        <v>1523111000</v>
      </c>
      <c r="H10" s="74" t="s">
        <v>48</v>
      </c>
      <c r="I10" s="75">
        <f t="shared" si="0"/>
        <v>1523111000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44348</v>
      </c>
      <c r="F11" s="61">
        <v>384600</v>
      </c>
      <c r="G11" s="61">
        <v>657509000</v>
      </c>
      <c r="H11" s="74" t="s">
        <v>48</v>
      </c>
      <c r="I11" s="75">
        <f t="shared" si="0"/>
        <v>657509000</v>
      </c>
    </row>
    <row r="12" spans="1:9" ht="16.5">
      <c r="A12" s="126"/>
      <c r="B12" s="126"/>
      <c r="C12" s="126"/>
      <c r="D12" s="135"/>
      <c r="E12" s="79">
        <v>44349</v>
      </c>
      <c r="F12" s="61">
        <v>319200</v>
      </c>
      <c r="G12" s="61">
        <v>530464800</v>
      </c>
      <c r="H12" s="74" t="s">
        <v>48</v>
      </c>
      <c r="I12" s="75">
        <f t="shared" si="0"/>
        <v>530464800</v>
      </c>
    </row>
    <row r="13" spans="1:9" ht="16.5">
      <c r="A13" s="126"/>
      <c r="B13" s="126"/>
      <c r="C13" s="126"/>
      <c r="D13" s="135"/>
      <c r="E13" s="60">
        <v>44350</v>
      </c>
      <c r="F13" s="61">
        <v>324000</v>
      </c>
      <c r="G13" s="61">
        <v>549158000</v>
      </c>
      <c r="H13" s="74"/>
      <c r="I13" s="75">
        <f t="shared" si="0"/>
        <v>549158000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44348</v>
      </c>
      <c r="F14" s="61">
        <v>441900</v>
      </c>
      <c r="G14" s="61">
        <v>743746100</v>
      </c>
      <c r="H14" s="74" t="s">
        <v>48</v>
      </c>
      <c r="I14" s="75">
        <f t="shared" si="0"/>
        <v>743746100</v>
      </c>
    </row>
    <row r="15" spans="1:9" ht="16.5">
      <c r="A15" s="126"/>
      <c r="B15" s="126"/>
      <c r="C15" s="126"/>
      <c r="D15" s="135"/>
      <c r="E15" s="79">
        <v>44349</v>
      </c>
      <c r="F15" s="61">
        <v>344700</v>
      </c>
      <c r="G15" s="61">
        <v>578456100</v>
      </c>
      <c r="H15" s="74" t="s">
        <v>48</v>
      </c>
      <c r="I15" s="75">
        <f t="shared" si="0"/>
        <v>578456100</v>
      </c>
    </row>
    <row r="16" spans="1:9" ht="16.5">
      <c r="A16" s="126"/>
      <c r="B16" s="126"/>
      <c r="C16" s="126"/>
      <c r="D16" s="135"/>
      <c r="E16" s="60">
        <v>44350</v>
      </c>
      <c r="F16" s="61">
        <v>384800</v>
      </c>
      <c r="G16" s="61">
        <v>641244800</v>
      </c>
      <c r="H16" s="74" t="s">
        <v>48</v>
      </c>
      <c r="I16" s="75">
        <f t="shared" si="0"/>
        <v>641244800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5027400</v>
      </c>
      <c r="G17" s="76">
        <f>SUM(G8:G16)</f>
        <v>8370217400</v>
      </c>
      <c r="H17" s="76"/>
      <c r="I17" s="76">
        <f>SUM(I8:I16)</f>
        <v>8370217400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4" right="0.7" top="0.33" bottom="0.35" header="0.3" footer="0.3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4"/>
  <sheetViews>
    <sheetView topLeftCell="A6" workbookViewId="0">
      <selection activeCell="K14" sqref="K14"/>
    </sheetView>
  </sheetViews>
  <sheetFormatPr defaultColWidth="9" defaultRowHeight="12.75"/>
  <cols>
    <col min="1" max="1" width="8.42578125" customWidth="1"/>
    <col min="2" max="2" width="20.28515625" customWidth="1"/>
    <col min="3" max="3" width="17.42578125" customWidth="1"/>
    <col min="4" max="4" width="16.140625" customWidth="1"/>
    <col min="5" max="5" width="15.85546875" customWidth="1"/>
    <col min="6" max="6" width="13.5703125" customWidth="1"/>
    <col min="7" max="7" width="18.7109375" customWidth="1"/>
    <col min="9" max="9" width="19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62</v>
      </c>
      <c r="F4" s="123"/>
      <c r="G4" s="123"/>
      <c r="H4" s="123"/>
      <c r="I4" s="3"/>
    </row>
    <row r="5" spans="1:9" ht="39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44378</v>
      </c>
      <c r="F8" s="77">
        <v>760200</v>
      </c>
      <c r="G8" s="77">
        <v>1247122200</v>
      </c>
      <c r="H8" s="74" t="s">
        <v>48</v>
      </c>
      <c r="I8" s="75">
        <f>G8</f>
        <v>1247122200</v>
      </c>
    </row>
    <row r="9" spans="1:9" ht="16.5">
      <c r="A9" s="130"/>
      <c r="B9" s="130"/>
      <c r="C9" s="130"/>
      <c r="D9" s="133"/>
      <c r="E9" s="79">
        <v>44379</v>
      </c>
      <c r="F9" s="61">
        <v>944500</v>
      </c>
      <c r="G9" s="61">
        <v>1565888300</v>
      </c>
      <c r="H9" s="74" t="s">
        <v>48</v>
      </c>
      <c r="I9" s="75">
        <f t="shared" ref="I9:I16" si="0">G9</f>
        <v>1565888300</v>
      </c>
    </row>
    <row r="10" spans="1:9" ht="16.5">
      <c r="A10" s="131"/>
      <c r="B10" s="131"/>
      <c r="C10" s="131"/>
      <c r="D10" s="134"/>
      <c r="E10" s="60">
        <v>44380</v>
      </c>
      <c r="F10" s="77">
        <v>987500</v>
      </c>
      <c r="G10" s="77">
        <v>1611711300</v>
      </c>
      <c r="H10" s="74" t="s">
        <v>48</v>
      </c>
      <c r="I10" s="75">
        <f t="shared" si="0"/>
        <v>1611711300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44378</v>
      </c>
      <c r="F11" s="61">
        <v>387500</v>
      </c>
      <c r="G11" s="61">
        <v>651260100</v>
      </c>
      <c r="H11" s="74" t="s">
        <v>48</v>
      </c>
      <c r="I11" s="75">
        <f t="shared" si="0"/>
        <v>651260100</v>
      </c>
    </row>
    <row r="12" spans="1:9" ht="16.5">
      <c r="A12" s="126"/>
      <c r="B12" s="126"/>
      <c r="C12" s="126"/>
      <c r="D12" s="135"/>
      <c r="E12" s="79">
        <v>44379</v>
      </c>
      <c r="F12" s="61">
        <v>388000</v>
      </c>
      <c r="G12" s="61">
        <v>653486000</v>
      </c>
      <c r="H12" s="74" t="s">
        <v>48</v>
      </c>
      <c r="I12" s="75">
        <f t="shared" si="0"/>
        <v>653486000</v>
      </c>
    </row>
    <row r="13" spans="1:9" ht="16.5">
      <c r="A13" s="126"/>
      <c r="B13" s="126"/>
      <c r="C13" s="126"/>
      <c r="D13" s="135"/>
      <c r="E13" s="60">
        <v>44380</v>
      </c>
      <c r="F13" s="61">
        <v>302400</v>
      </c>
      <c r="G13" s="61">
        <v>498614800</v>
      </c>
      <c r="H13" s="74"/>
      <c r="I13" s="75">
        <f t="shared" si="0"/>
        <v>498614800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44378</v>
      </c>
      <c r="F14" s="61">
        <v>332700</v>
      </c>
      <c r="G14" s="61">
        <v>552776100</v>
      </c>
      <c r="H14" s="74" t="s">
        <v>48</v>
      </c>
      <c r="I14" s="75">
        <f t="shared" si="0"/>
        <v>552776100</v>
      </c>
    </row>
    <row r="15" spans="1:9" ht="16.5">
      <c r="A15" s="126"/>
      <c r="B15" s="126"/>
      <c r="C15" s="126"/>
      <c r="D15" s="135"/>
      <c r="E15" s="79">
        <v>44379</v>
      </c>
      <c r="F15" s="61">
        <v>324700</v>
      </c>
      <c r="G15" s="61">
        <v>549382100</v>
      </c>
      <c r="H15" s="74" t="s">
        <v>48</v>
      </c>
      <c r="I15" s="75">
        <f t="shared" si="0"/>
        <v>549382100</v>
      </c>
    </row>
    <row r="16" spans="1:9" ht="16.5">
      <c r="A16" s="126"/>
      <c r="B16" s="126"/>
      <c r="C16" s="126"/>
      <c r="D16" s="135"/>
      <c r="E16" s="60">
        <v>44380</v>
      </c>
      <c r="F16" s="61">
        <v>381700</v>
      </c>
      <c r="G16" s="61">
        <v>639624700</v>
      </c>
      <c r="H16" s="74" t="s">
        <v>48</v>
      </c>
      <c r="I16" s="75">
        <f t="shared" si="0"/>
        <v>639624700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4809200</v>
      </c>
      <c r="G17" s="76">
        <f>SUM(G8:G16)</f>
        <v>7969865600</v>
      </c>
      <c r="H17" s="76"/>
      <c r="I17" s="76">
        <f>SUM(I8:I16)</f>
        <v>7969865600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24" right="0.59" top="0.36" bottom="0.35" header="0.3" footer="0.3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4"/>
  <sheetViews>
    <sheetView topLeftCell="A6" workbookViewId="0">
      <selection sqref="A1:I25"/>
    </sheetView>
  </sheetViews>
  <sheetFormatPr defaultColWidth="9" defaultRowHeight="12.75"/>
  <cols>
    <col min="2" max="2" width="20.85546875" customWidth="1"/>
    <col min="3" max="3" width="14.42578125" customWidth="1"/>
    <col min="4" max="4" width="18" customWidth="1"/>
    <col min="5" max="5" width="13.5703125" customWidth="1"/>
    <col min="6" max="6" width="13.7109375" customWidth="1"/>
    <col min="7" max="7" width="18.42578125" customWidth="1"/>
    <col min="8" max="8" width="9" customWidth="1"/>
    <col min="9" max="9" width="20.855468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63</v>
      </c>
      <c r="F4" s="123"/>
      <c r="G4" s="123"/>
      <c r="H4" s="123"/>
      <c r="I4" s="3"/>
    </row>
    <row r="5" spans="1:9" ht="32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44409</v>
      </c>
      <c r="F8" s="77">
        <v>1032700</v>
      </c>
      <c r="G8" s="77">
        <v>1714901300</v>
      </c>
      <c r="H8" s="74" t="s">
        <v>48</v>
      </c>
      <c r="I8" s="75">
        <f>G8</f>
        <v>1714901300</v>
      </c>
    </row>
    <row r="9" spans="1:9" ht="16.5">
      <c r="A9" s="130"/>
      <c r="B9" s="130"/>
      <c r="C9" s="130"/>
      <c r="D9" s="133"/>
      <c r="E9" s="60">
        <v>44410</v>
      </c>
      <c r="F9" s="61">
        <v>924600</v>
      </c>
      <c r="G9" s="61">
        <v>1511023000</v>
      </c>
      <c r="H9" s="74" t="s">
        <v>48</v>
      </c>
      <c r="I9" s="75">
        <f t="shared" ref="I9:I16" si="0">G9</f>
        <v>1511023000</v>
      </c>
    </row>
    <row r="10" spans="1:9" ht="16.5">
      <c r="A10" s="131"/>
      <c r="B10" s="131"/>
      <c r="C10" s="131"/>
      <c r="D10" s="134"/>
      <c r="E10" s="60">
        <v>44411</v>
      </c>
      <c r="F10" s="77">
        <v>962000</v>
      </c>
      <c r="G10" s="77">
        <v>1594560800</v>
      </c>
      <c r="H10" s="74" t="s">
        <v>48</v>
      </c>
      <c r="I10" s="75">
        <f t="shared" si="0"/>
        <v>1594560800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44409</v>
      </c>
      <c r="F11" s="61">
        <v>316600</v>
      </c>
      <c r="G11" s="61">
        <v>532815000</v>
      </c>
      <c r="H11" s="74" t="s">
        <v>48</v>
      </c>
      <c r="I11" s="75">
        <f t="shared" si="0"/>
        <v>532815000</v>
      </c>
    </row>
    <row r="12" spans="1:9" ht="16.5">
      <c r="A12" s="126"/>
      <c r="B12" s="126"/>
      <c r="C12" s="126"/>
      <c r="D12" s="135"/>
      <c r="E12" s="60">
        <v>44410</v>
      </c>
      <c r="F12" s="61">
        <v>308600</v>
      </c>
      <c r="G12" s="61">
        <v>512653400</v>
      </c>
      <c r="H12" s="74" t="s">
        <v>48</v>
      </c>
      <c r="I12" s="75">
        <f t="shared" si="0"/>
        <v>512653400</v>
      </c>
    </row>
    <row r="13" spans="1:9" ht="16.5">
      <c r="A13" s="126"/>
      <c r="B13" s="126"/>
      <c r="C13" s="126"/>
      <c r="D13" s="135"/>
      <c r="E13" s="60">
        <v>44411</v>
      </c>
      <c r="F13" s="61">
        <v>331600</v>
      </c>
      <c r="G13" s="61">
        <v>562105600</v>
      </c>
      <c r="H13" s="74"/>
      <c r="I13" s="75">
        <f t="shared" si="0"/>
        <v>562105600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44409</v>
      </c>
      <c r="F14" s="61">
        <v>381000</v>
      </c>
      <c r="G14" s="61">
        <v>648646200</v>
      </c>
      <c r="H14" s="74" t="s">
        <v>48</v>
      </c>
      <c r="I14" s="75">
        <f t="shared" si="0"/>
        <v>648646200</v>
      </c>
    </row>
    <row r="15" spans="1:9" ht="16.5">
      <c r="A15" s="126"/>
      <c r="B15" s="126"/>
      <c r="C15" s="126"/>
      <c r="D15" s="135"/>
      <c r="E15" s="60">
        <v>44410</v>
      </c>
      <c r="F15" s="61">
        <v>405300</v>
      </c>
      <c r="G15" s="61">
        <v>670338300</v>
      </c>
      <c r="H15" s="74" t="s">
        <v>48</v>
      </c>
      <c r="I15" s="75">
        <f t="shared" si="0"/>
        <v>670338300</v>
      </c>
    </row>
    <row r="16" spans="1:9" ht="24" customHeight="1">
      <c r="A16" s="126"/>
      <c r="B16" s="126"/>
      <c r="C16" s="126"/>
      <c r="D16" s="135"/>
      <c r="E16" s="60">
        <v>44411</v>
      </c>
      <c r="F16" s="61">
        <v>384200</v>
      </c>
      <c r="G16" s="61">
        <v>649279400</v>
      </c>
      <c r="H16" s="74" t="s">
        <v>48</v>
      </c>
      <c r="I16" s="75">
        <f t="shared" si="0"/>
        <v>649279400</v>
      </c>
    </row>
    <row r="17" spans="1:9" ht="21" customHeight="1">
      <c r="A17" s="125" t="s">
        <v>28</v>
      </c>
      <c r="B17" s="125"/>
      <c r="C17" s="125"/>
      <c r="D17" s="125"/>
      <c r="E17" s="125"/>
      <c r="F17" s="76">
        <f>SUM(F8:F16)</f>
        <v>5046600</v>
      </c>
      <c r="G17" s="76">
        <f>SUM(G8:G16)</f>
        <v>8396323000</v>
      </c>
      <c r="H17" s="76"/>
      <c r="I17" s="76">
        <f>SUM(I8:I16)</f>
        <v>8396323000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24" right="0.83" top="0.57999999999999996" bottom="0.2" header="0.3" footer="0.3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4"/>
  <sheetViews>
    <sheetView topLeftCell="A7" workbookViewId="0">
      <selection sqref="A1:I24"/>
    </sheetView>
  </sheetViews>
  <sheetFormatPr defaultColWidth="9" defaultRowHeight="12.75"/>
  <cols>
    <col min="1" max="1" width="6.28515625" customWidth="1"/>
    <col min="2" max="2" width="22.5703125" customWidth="1"/>
    <col min="3" max="3" width="15.42578125" customWidth="1"/>
    <col min="4" max="4" width="18.28515625" customWidth="1"/>
    <col min="5" max="5" width="15.5703125" customWidth="1"/>
    <col min="6" max="6" width="16.28515625" customWidth="1"/>
    <col min="7" max="7" width="18.85546875" customWidth="1"/>
    <col min="8" max="8" width="11.7109375" customWidth="1"/>
    <col min="9" max="9" width="19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64</v>
      </c>
      <c r="F4" s="123"/>
      <c r="G4" s="123"/>
      <c r="H4" s="123"/>
      <c r="I4" s="3"/>
    </row>
    <row r="5" spans="1:9" ht="4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44440</v>
      </c>
      <c r="F8" s="77">
        <v>1078400</v>
      </c>
      <c r="G8" s="77">
        <v>1767478800</v>
      </c>
      <c r="H8" s="74" t="s">
        <v>48</v>
      </c>
      <c r="I8" s="75">
        <f>G8</f>
        <v>1767478800</v>
      </c>
    </row>
    <row r="9" spans="1:9" ht="16.5">
      <c r="A9" s="130"/>
      <c r="B9" s="130"/>
      <c r="C9" s="130"/>
      <c r="D9" s="133"/>
      <c r="E9" s="60">
        <v>44441</v>
      </c>
      <c r="F9" s="61">
        <v>960800</v>
      </c>
      <c r="G9" s="61">
        <v>1591238000</v>
      </c>
      <c r="H9" s="74" t="s">
        <v>48</v>
      </c>
      <c r="I9" s="75">
        <f t="shared" ref="I9:I16" si="0">G9</f>
        <v>1591238000</v>
      </c>
    </row>
    <row r="10" spans="1:9" ht="16.5">
      <c r="A10" s="131"/>
      <c r="B10" s="131"/>
      <c r="C10" s="131"/>
      <c r="D10" s="134"/>
      <c r="E10" s="60">
        <v>44442</v>
      </c>
      <c r="F10" s="77">
        <v>968600</v>
      </c>
      <c r="G10" s="77">
        <v>1605822200</v>
      </c>
      <c r="H10" s="74" t="s">
        <v>48</v>
      </c>
      <c r="I10" s="75">
        <f t="shared" si="0"/>
        <v>1605822200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44440</v>
      </c>
      <c r="F11" s="61">
        <v>334200</v>
      </c>
      <c r="G11" s="61">
        <v>553122200</v>
      </c>
      <c r="H11" s="74" t="s">
        <v>48</v>
      </c>
      <c r="I11" s="75">
        <f t="shared" si="0"/>
        <v>553122200</v>
      </c>
    </row>
    <row r="12" spans="1:9" ht="16.5">
      <c r="A12" s="126"/>
      <c r="B12" s="126"/>
      <c r="C12" s="126"/>
      <c r="D12" s="135"/>
      <c r="E12" s="60">
        <v>44441</v>
      </c>
      <c r="F12" s="61">
        <v>294500</v>
      </c>
      <c r="G12" s="61">
        <v>492767500</v>
      </c>
      <c r="H12" s="74" t="s">
        <v>48</v>
      </c>
      <c r="I12" s="75">
        <f t="shared" si="0"/>
        <v>492767500</v>
      </c>
    </row>
    <row r="13" spans="1:9" ht="16.5">
      <c r="A13" s="126"/>
      <c r="B13" s="126"/>
      <c r="C13" s="126"/>
      <c r="D13" s="135"/>
      <c r="E13" s="60">
        <v>44442</v>
      </c>
      <c r="F13" s="61">
        <v>305200</v>
      </c>
      <c r="G13" s="61">
        <v>513420800</v>
      </c>
      <c r="H13" s="74"/>
      <c r="I13" s="75">
        <f t="shared" si="0"/>
        <v>513420800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44440</v>
      </c>
      <c r="F14" s="61">
        <v>406200</v>
      </c>
      <c r="G14" s="61">
        <v>681241800</v>
      </c>
      <c r="H14" s="74" t="s">
        <v>48</v>
      </c>
      <c r="I14" s="75">
        <f t="shared" si="0"/>
        <v>681241800</v>
      </c>
    </row>
    <row r="15" spans="1:9" ht="16.5">
      <c r="A15" s="126"/>
      <c r="B15" s="126"/>
      <c r="C15" s="126"/>
      <c r="D15" s="135"/>
      <c r="E15" s="60">
        <v>44441</v>
      </c>
      <c r="F15" s="61">
        <v>325100</v>
      </c>
      <c r="G15" s="61">
        <v>568731700</v>
      </c>
      <c r="H15" s="74" t="s">
        <v>48</v>
      </c>
      <c r="I15" s="75">
        <f t="shared" si="0"/>
        <v>568731700</v>
      </c>
    </row>
    <row r="16" spans="1:9" ht="16.5">
      <c r="A16" s="126"/>
      <c r="B16" s="126"/>
      <c r="C16" s="126"/>
      <c r="D16" s="135"/>
      <c r="E16" s="60">
        <v>44442</v>
      </c>
      <c r="F16" s="61">
        <v>365400</v>
      </c>
      <c r="G16" s="61">
        <v>634318600</v>
      </c>
      <c r="H16" s="74" t="s">
        <v>48</v>
      </c>
      <c r="I16" s="75">
        <f t="shared" si="0"/>
        <v>634318600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5038400</v>
      </c>
      <c r="G17" s="76">
        <f>SUM(G8:G16)</f>
        <v>8408141600</v>
      </c>
      <c r="H17" s="76"/>
      <c r="I17" s="76">
        <f>SUM(I8:I16)</f>
        <v>8408141600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4"/>
  <sheetViews>
    <sheetView topLeftCell="A6" workbookViewId="0">
      <selection activeCell="L16" sqref="L16"/>
    </sheetView>
  </sheetViews>
  <sheetFormatPr defaultColWidth="9" defaultRowHeight="12.75"/>
  <cols>
    <col min="2" max="2" width="19.7109375" customWidth="1"/>
    <col min="3" max="3" width="12" customWidth="1"/>
    <col min="4" max="4" width="20.5703125" customWidth="1"/>
    <col min="5" max="5" width="13.140625" customWidth="1"/>
    <col min="6" max="6" width="14.5703125" customWidth="1"/>
    <col min="7" max="7" width="18.7109375" customWidth="1"/>
    <col min="8" max="8" width="8.85546875" customWidth="1"/>
    <col min="9" max="9" width="21.425781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65</v>
      </c>
      <c r="F4" s="123"/>
      <c r="G4" s="123"/>
      <c r="H4" s="123"/>
      <c r="I4" s="3"/>
    </row>
    <row r="5" spans="1:9" ht="40.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44470</v>
      </c>
      <c r="F8" s="77">
        <v>979500</v>
      </c>
      <c r="G8" s="77">
        <v>1597440100</v>
      </c>
      <c r="H8" s="74" t="s">
        <v>48</v>
      </c>
      <c r="I8" s="75">
        <f>G8</f>
        <v>1597440100</v>
      </c>
    </row>
    <row r="9" spans="1:9" ht="16.5">
      <c r="A9" s="130"/>
      <c r="B9" s="130"/>
      <c r="C9" s="130"/>
      <c r="D9" s="133"/>
      <c r="E9" s="60">
        <v>44471</v>
      </c>
      <c r="F9" s="61">
        <v>979300</v>
      </c>
      <c r="G9" s="61">
        <v>1620773900</v>
      </c>
      <c r="H9" s="74" t="s">
        <v>48</v>
      </c>
      <c r="I9" s="75">
        <f t="shared" ref="I9:I16" si="0">G9</f>
        <v>1620773900</v>
      </c>
    </row>
    <row r="10" spans="1:9" ht="16.5">
      <c r="A10" s="131"/>
      <c r="B10" s="131"/>
      <c r="C10" s="131"/>
      <c r="D10" s="134"/>
      <c r="E10" s="60">
        <v>44472</v>
      </c>
      <c r="F10" s="77">
        <v>893700</v>
      </c>
      <c r="G10" s="77">
        <v>1466952300</v>
      </c>
      <c r="H10" s="74" t="s">
        <v>48</v>
      </c>
      <c r="I10" s="75">
        <f t="shared" si="0"/>
        <v>1466952300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44470</v>
      </c>
      <c r="F11" s="61">
        <v>287600</v>
      </c>
      <c r="G11" s="61">
        <v>475896400</v>
      </c>
      <c r="H11" s="74" t="s">
        <v>48</v>
      </c>
      <c r="I11" s="75">
        <f t="shared" si="0"/>
        <v>475896400</v>
      </c>
    </row>
    <row r="12" spans="1:9" ht="16.5">
      <c r="A12" s="126"/>
      <c r="B12" s="126"/>
      <c r="C12" s="126"/>
      <c r="D12" s="135"/>
      <c r="E12" s="60">
        <v>44471</v>
      </c>
      <c r="F12" s="61">
        <v>278700</v>
      </c>
      <c r="G12" s="61">
        <v>466991700</v>
      </c>
      <c r="H12" s="74" t="s">
        <v>48</v>
      </c>
      <c r="I12" s="75">
        <f t="shared" si="0"/>
        <v>466991700</v>
      </c>
    </row>
    <row r="13" spans="1:9" ht="16.5">
      <c r="A13" s="126"/>
      <c r="B13" s="126"/>
      <c r="C13" s="126"/>
      <c r="D13" s="135"/>
      <c r="E13" s="60">
        <v>44472</v>
      </c>
      <c r="F13" s="61">
        <v>283800</v>
      </c>
      <c r="G13" s="61">
        <v>471895400</v>
      </c>
      <c r="H13" s="74"/>
      <c r="I13" s="75">
        <f t="shared" si="0"/>
        <v>471895400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44470</v>
      </c>
      <c r="F14" s="61">
        <v>322400</v>
      </c>
      <c r="G14" s="61">
        <v>543347200</v>
      </c>
      <c r="H14" s="74" t="s">
        <v>48</v>
      </c>
      <c r="I14" s="75">
        <f t="shared" si="0"/>
        <v>543347200</v>
      </c>
    </row>
    <row r="15" spans="1:9" ht="16.5">
      <c r="A15" s="126"/>
      <c r="B15" s="126"/>
      <c r="C15" s="126"/>
      <c r="D15" s="135"/>
      <c r="E15" s="60">
        <v>44471</v>
      </c>
      <c r="F15" s="61">
        <v>354900</v>
      </c>
      <c r="G15" s="61">
        <v>599385500</v>
      </c>
      <c r="H15" s="74" t="s">
        <v>48</v>
      </c>
      <c r="I15" s="75">
        <f t="shared" si="0"/>
        <v>599385500</v>
      </c>
    </row>
    <row r="16" spans="1:9" ht="16.5">
      <c r="A16" s="126"/>
      <c r="B16" s="126"/>
      <c r="C16" s="126"/>
      <c r="D16" s="135"/>
      <c r="E16" s="60">
        <v>44472</v>
      </c>
      <c r="F16" s="61">
        <v>276100</v>
      </c>
      <c r="G16" s="61">
        <v>464791500</v>
      </c>
      <c r="H16" s="74" t="s">
        <v>48</v>
      </c>
      <c r="I16" s="75">
        <f t="shared" si="0"/>
        <v>464791500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4656000</v>
      </c>
      <c r="G17" s="76">
        <f>SUM(G8:G16)</f>
        <v>7707474000</v>
      </c>
      <c r="H17" s="76"/>
      <c r="I17" s="76">
        <f>SUM(I8:I16)</f>
        <v>7707474000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3" right="0.7" top="0.3" bottom="0.28999999999999998" header="0.3" footer="0.3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4"/>
  <sheetViews>
    <sheetView topLeftCell="A8" workbookViewId="0">
      <selection sqref="A1:I25"/>
    </sheetView>
  </sheetViews>
  <sheetFormatPr defaultColWidth="9" defaultRowHeight="12.75"/>
  <cols>
    <col min="2" max="2" width="20.7109375" customWidth="1"/>
    <col min="3" max="3" width="14" customWidth="1"/>
    <col min="4" max="4" width="15.5703125" customWidth="1"/>
    <col min="5" max="5" width="17.5703125" customWidth="1"/>
    <col min="6" max="6" width="13.7109375" customWidth="1"/>
    <col min="7" max="7" width="19" customWidth="1"/>
    <col min="9" max="9" width="19.1406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66</v>
      </c>
      <c r="F4" s="123"/>
      <c r="G4" s="123"/>
      <c r="H4" s="123"/>
      <c r="I4" s="3"/>
    </row>
    <row r="5" spans="1:9" ht="44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9">
        <v>1</v>
      </c>
      <c r="B8" s="129" t="s">
        <v>16</v>
      </c>
      <c r="C8" s="129" t="s">
        <v>17</v>
      </c>
      <c r="D8" s="132" t="s">
        <v>18</v>
      </c>
      <c r="E8" s="60">
        <v>44501</v>
      </c>
      <c r="F8" s="77">
        <v>1094000</v>
      </c>
      <c r="G8" s="77">
        <v>1821008800</v>
      </c>
      <c r="H8" s="74" t="s">
        <v>48</v>
      </c>
      <c r="I8" s="75">
        <f>G8</f>
        <v>1821008800</v>
      </c>
    </row>
    <row r="9" spans="1:9" ht="16.5">
      <c r="A9" s="130"/>
      <c r="B9" s="130"/>
      <c r="C9" s="130"/>
      <c r="D9" s="133"/>
      <c r="E9" s="60">
        <v>44502</v>
      </c>
      <c r="F9" s="61">
        <v>811900</v>
      </c>
      <c r="G9" s="61">
        <v>1332763300</v>
      </c>
      <c r="H9" s="74" t="s">
        <v>48</v>
      </c>
      <c r="I9" s="75">
        <f t="shared" ref="I9:I16" si="0">G9</f>
        <v>1332763300</v>
      </c>
    </row>
    <row r="10" spans="1:9" ht="16.5">
      <c r="A10" s="131"/>
      <c r="B10" s="131"/>
      <c r="C10" s="131"/>
      <c r="D10" s="134"/>
      <c r="E10" s="60">
        <v>44503</v>
      </c>
      <c r="F10" s="77">
        <v>0</v>
      </c>
      <c r="G10" s="77">
        <v>0</v>
      </c>
      <c r="H10" s="74" t="s">
        <v>48</v>
      </c>
      <c r="I10" s="75">
        <f t="shared" si="0"/>
        <v>0</v>
      </c>
    </row>
    <row r="11" spans="1:9" ht="16.5">
      <c r="A11" s="126">
        <v>2</v>
      </c>
      <c r="B11" s="126" t="s">
        <v>19</v>
      </c>
      <c r="C11" s="126" t="s">
        <v>20</v>
      </c>
      <c r="D11" s="135" t="s">
        <v>18</v>
      </c>
      <c r="E11" s="60">
        <v>44501</v>
      </c>
      <c r="F11" s="61">
        <v>329200</v>
      </c>
      <c r="G11" s="61">
        <v>555601200</v>
      </c>
      <c r="H11" s="74" t="s">
        <v>48</v>
      </c>
      <c r="I11" s="75">
        <f t="shared" si="0"/>
        <v>555601200</v>
      </c>
    </row>
    <row r="12" spans="1:9" ht="16.5">
      <c r="A12" s="126"/>
      <c r="B12" s="126"/>
      <c r="C12" s="126"/>
      <c r="D12" s="135"/>
      <c r="E12" s="60">
        <v>44502</v>
      </c>
      <c r="F12" s="61">
        <v>321400</v>
      </c>
      <c r="G12" s="61">
        <v>540508600</v>
      </c>
      <c r="H12" s="74" t="s">
        <v>48</v>
      </c>
      <c r="I12" s="75">
        <f t="shared" si="0"/>
        <v>540508600</v>
      </c>
    </row>
    <row r="13" spans="1:9" ht="16.5">
      <c r="A13" s="126"/>
      <c r="B13" s="126"/>
      <c r="C13" s="126"/>
      <c r="D13" s="135"/>
      <c r="E13" s="60">
        <v>44503</v>
      </c>
      <c r="F13" s="61">
        <v>286500</v>
      </c>
      <c r="G13" s="61">
        <v>480459500</v>
      </c>
      <c r="H13" s="74"/>
      <c r="I13" s="75">
        <f t="shared" si="0"/>
        <v>480459500</v>
      </c>
    </row>
    <row r="14" spans="1:9" ht="16.5">
      <c r="A14" s="126">
        <v>3</v>
      </c>
      <c r="B14" s="126" t="s">
        <v>21</v>
      </c>
      <c r="C14" s="126" t="s">
        <v>22</v>
      </c>
      <c r="D14" s="135" t="s">
        <v>18</v>
      </c>
      <c r="E14" s="60">
        <v>44501</v>
      </c>
      <c r="F14" s="61">
        <v>385100</v>
      </c>
      <c r="G14" s="61">
        <v>651700900</v>
      </c>
      <c r="H14" s="74" t="s">
        <v>48</v>
      </c>
      <c r="I14" s="75">
        <f t="shared" si="0"/>
        <v>651700900</v>
      </c>
    </row>
    <row r="15" spans="1:9" ht="16.5">
      <c r="A15" s="126"/>
      <c r="B15" s="126"/>
      <c r="C15" s="126"/>
      <c r="D15" s="135"/>
      <c r="E15" s="60">
        <v>44502</v>
      </c>
      <c r="F15" s="61">
        <v>433100</v>
      </c>
      <c r="G15" s="61">
        <v>729284500</v>
      </c>
      <c r="H15" s="74" t="s">
        <v>48</v>
      </c>
      <c r="I15" s="75">
        <f t="shared" si="0"/>
        <v>729284500</v>
      </c>
    </row>
    <row r="16" spans="1:9" ht="16.5">
      <c r="A16" s="126"/>
      <c r="B16" s="126"/>
      <c r="C16" s="126"/>
      <c r="D16" s="135"/>
      <c r="E16" s="60">
        <v>44503</v>
      </c>
      <c r="F16" s="61">
        <v>1379600</v>
      </c>
      <c r="G16" s="61">
        <v>2305169200</v>
      </c>
      <c r="H16" s="74" t="s">
        <v>48</v>
      </c>
      <c r="I16" s="75">
        <f t="shared" si="0"/>
        <v>2305169200</v>
      </c>
    </row>
    <row r="17" spans="1:9" ht="16.5">
      <c r="A17" s="125" t="s">
        <v>28</v>
      </c>
      <c r="B17" s="125"/>
      <c r="C17" s="125"/>
      <c r="D17" s="125"/>
      <c r="E17" s="125"/>
      <c r="F17" s="76">
        <f>SUM(F8:F16)</f>
        <v>5040800</v>
      </c>
      <c r="G17" s="76">
        <f>SUM(G8:G16)</f>
        <v>8416496000</v>
      </c>
      <c r="H17" s="76"/>
      <c r="I17" s="76">
        <f>SUM(I8:I16)</f>
        <v>8416496000</v>
      </c>
    </row>
    <row r="18" spans="1:9" ht="15.75">
      <c r="A18" s="33"/>
      <c r="B18" s="33"/>
      <c r="C18" s="33"/>
      <c r="D18" s="33"/>
      <c r="E18" s="33"/>
      <c r="F18" s="34"/>
      <c r="G18" s="34"/>
      <c r="H18" s="34"/>
      <c r="I18" s="35"/>
    </row>
    <row r="19" spans="1:9" ht="15.75">
      <c r="A19" s="122" t="s">
        <v>29</v>
      </c>
      <c r="B19" s="122"/>
      <c r="C19" s="122"/>
      <c r="D19" s="122" t="s">
        <v>49</v>
      </c>
      <c r="E19" s="122"/>
      <c r="F19" s="18" t="s">
        <v>50</v>
      </c>
      <c r="G19" s="18"/>
      <c r="H19" s="18"/>
      <c r="I19" s="18"/>
    </row>
    <row r="20" spans="1:9" ht="15.75">
      <c r="A20" s="4"/>
      <c r="B20" s="4"/>
      <c r="C20" s="4"/>
      <c r="D20" s="4"/>
      <c r="E20" s="4"/>
      <c r="F20" s="122"/>
      <c r="G20" s="122"/>
      <c r="H20" s="122"/>
      <c r="I20" s="64"/>
    </row>
    <row r="21" spans="1:9" ht="15.75">
      <c r="A21" s="4"/>
      <c r="B21" s="4"/>
      <c r="C21" s="4"/>
      <c r="D21" s="4"/>
      <c r="E21" s="4"/>
      <c r="F21" s="65"/>
      <c r="G21" s="65"/>
      <c r="H21" s="65"/>
      <c r="I21" s="64"/>
    </row>
    <row r="22" spans="1:9" ht="15.75">
      <c r="A22" s="66"/>
      <c r="B22" s="67"/>
      <c r="C22" s="67"/>
      <c r="D22" s="67"/>
      <c r="E22" s="67"/>
      <c r="F22" s="68"/>
      <c r="G22" s="68"/>
      <c r="H22" s="68"/>
      <c r="I22" s="64"/>
    </row>
    <row r="23" spans="1:9" ht="15.75">
      <c r="A23" s="64"/>
      <c r="B23" s="64"/>
      <c r="C23" s="64"/>
      <c r="D23" s="64"/>
      <c r="E23" s="64"/>
      <c r="F23" s="69"/>
      <c r="G23" s="69"/>
      <c r="H23" s="69"/>
      <c r="I23" s="64"/>
    </row>
    <row r="24" spans="1:9" ht="15.75">
      <c r="A24" s="122" t="s">
        <v>32</v>
      </c>
      <c r="B24" s="122"/>
      <c r="C24" s="122"/>
      <c r="D24" s="122" t="s">
        <v>53</v>
      </c>
      <c r="E24" s="122"/>
      <c r="F24" s="122" t="s">
        <v>54</v>
      </c>
      <c r="G24" s="122"/>
      <c r="H24" s="122"/>
      <c r="I24" s="122"/>
    </row>
  </sheetData>
  <mergeCells count="26"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  <mergeCell ref="E4:H4"/>
    <mergeCell ref="A5:I5"/>
    <mergeCell ref="A17:E17"/>
    <mergeCell ref="A19:C19"/>
    <mergeCell ref="D19:E19"/>
    <mergeCell ref="A1:C1"/>
    <mergeCell ref="E1:H1"/>
    <mergeCell ref="A2:C2"/>
    <mergeCell ref="E2:H2"/>
    <mergeCell ref="A3:C3"/>
  </mergeCells>
  <pageMargins left="0.25" right="0.7" top="0.36" bottom="0.33" header="0.3" footer="0.3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1"/>
  <sheetViews>
    <sheetView workbookViewId="0">
      <selection sqref="A1:I22"/>
    </sheetView>
  </sheetViews>
  <sheetFormatPr defaultColWidth="9" defaultRowHeight="12.75"/>
  <cols>
    <col min="1" max="1" width="6.140625" customWidth="1"/>
    <col min="2" max="2" width="19" customWidth="1"/>
    <col min="3" max="3" width="12.140625" customWidth="1"/>
    <col min="4" max="4" width="20.85546875" customWidth="1"/>
    <col min="5" max="5" width="16.28515625" customWidth="1"/>
    <col min="6" max="6" width="15.5703125" customWidth="1"/>
    <col min="7" max="7" width="19.5703125" customWidth="1"/>
    <col min="8" max="8" width="6.5703125" customWidth="1"/>
    <col min="9" max="9" width="21.57031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67</v>
      </c>
      <c r="F4" s="123"/>
      <c r="G4" s="123"/>
      <c r="H4" s="123"/>
      <c r="I4" s="3"/>
    </row>
    <row r="5" spans="1:9" ht="36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6">
        <v>2</v>
      </c>
      <c r="B8" s="126" t="s">
        <v>19</v>
      </c>
      <c r="C8" s="126" t="s">
        <v>20</v>
      </c>
      <c r="D8" s="135" t="s">
        <v>18</v>
      </c>
      <c r="E8" s="60">
        <v>44531</v>
      </c>
      <c r="F8" s="61">
        <v>261400</v>
      </c>
      <c r="G8" s="61">
        <v>430933000</v>
      </c>
      <c r="H8" s="74" t="s">
        <v>48</v>
      </c>
      <c r="I8" s="75">
        <f t="shared" ref="I8:I13" si="0">G8</f>
        <v>430933000</v>
      </c>
    </row>
    <row r="9" spans="1:9" ht="16.5">
      <c r="A9" s="126"/>
      <c r="B9" s="126"/>
      <c r="C9" s="126"/>
      <c r="D9" s="135"/>
      <c r="E9" s="60">
        <v>44532</v>
      </c>
      <c r="F9" s="61">
        <v>283300</v>
      </c>
      <c r="G9" s="61">
        <v>474540300</v>
      </c>
      <c r="H9" s="74" t="s">
        <v>48</v>
      </c>
      <c r="I9" s="75">
        <f t="shared" si="0"/>
        <v>474540300</v>
      </c>
    </row>
    <row r="10" spans="1:9" ht="16.5">
      <c r="A10" s="126"/>
      <c r="B10" s="126"/>
      <c r="C10" s="126"/>
      <c r="D10" s="135"/>
      <c r="E10" s="60">
        <v>44533</v>
      </c>
      <c r="F10" s="61">
        <v>287200</v>
      </c>
      <c r="G10" s="61">
        <v>481504400</v>
      </c>
      <c r="H10" s="74"/>
      <c r="I10" s="75">
        <f t="shared" si="0"/>
        <v>481504400</v>
      </c>
    </row>
    <row r="11" spans="1:9" ht="16.5">
      <c r="A11" s="126">
        <v>3</v>
      </c>
      <c r="B11" s="126" t="s">
        <v>21</v>
      </c>
      <c r="C11" s="126" t="s">
        <v>22</v>
      </c>
      <c r="D11" s="135" t="s">
        <v>18</v>
      </c>
      <c r="E11" s="60">
        <v>44531</v>
      </c>
      <c r="F11" s="61">
        <v>1241700</v>
      </c>
      <c r="G11" s="61">
        <v>2056224700</v>
      </c>
      <c r="H11" s="74" t="s">
        <v>48</v>
      </c>
      <c r="I11" s="75">
        <f t="shared" si="0"/>
        <v>2056224700</v>
      </c>
    </row>
    <row r="12" spans="1:9" ht="16.5">
      <c r="A12" s="126"/>
      <c r="B12" s="126"/>
      <c r="C12" s="126"/>
      <c r="D12" s="135"/>
      <c r="E12" s="60">
        <v>44532</v>
      </c>
      <c r="F12" s="61">
        <v>1192900</v>
      </c>
      <c r="G12" s="61">
        <v>1993952300</v>
      </c>
      <c r="H12" s="74" t="s">
        <v>48</v>
      </c>
      <c r="I12" s="75">
        <f t="shared" si="0"/>
        <v>1993952300</v>
      </c>
    </row>
    <row r="13" spans="1:9" ht="16.5">
      <c r="A13" s="126"/>
      <c r="B13" s="126"/>
      <c r="C13" s="126"/>
      <c r="D13" s="135"/>
      <c r="E13" s="60">
        <v>44533</v>
      </c>
      <c r="F13" s="61">
        <v>1278700</v>
      </c>
      <c r="G13" s="61">
        <v>2131810500</v>
      </c>
      <c r="H13" s="74" t="s">
        <v>48</v>
      </c>
      <c r="I13" s="75">
        <f t="shared" si="0"/>
        <v>2131810500</v>
      </c>
    </row>
    <row r="14" spans="1:9" ht="16.5">
      <c r="A14" s="125" t="s">
        <v>28</v>
      </c>
      <c r="B14" s="125"/>
      <c r="C14" s="125"/>
      <c r="D14" s="125"/>
      <c r="E14" s="125"/>
      <c r="F14" s="76">
        <f>SUM(F8:F13)</f>
        <v>4545200</v>
      </c>
      <c r="G14" s="76">
        <f>SUM(G8:G13)</f>
        <v>7568965200</v>
      </c>
      <c r="H14" s="76"/>
      <c r="I14" s="76">
        <f>SUM(I8:I13)</f>
        <v>7568965200</v>
      </c>
    </row>
    <row r="15" spans="1:9" ht="15.75">
      <c r="A15" s="33"/>
      <c r="B15" s="33"/>
      <c r="C15" s="33"/>
      <c r="D15" s="33"/>
      <c r="E15" s="33"/>
      <c r="F15" s="34"/>
      <c r="G15" s="34"/>
      <c r="H15" s="34"/>
      <c r="I15" s="35"/>
    </row>
    <row r="16" spans="1:9" ht="15.75">
      <c r="A16" s="122" t="s">
        <v>29</v>
      </c>
      <c r="B16" s="122"/>
      <c r="C16" s="122"/>
      <c r="D16" s="122" t="s">
        <v>49</v>
      </c>
      <c r="E16" s="122"/>
      <c r="F16" s="18" t="s">
        <v>50</v>
      </c>
      <c r="G16" s="18"/>
      <c r="H16" s="18"/>
      <c r="I16" s="18"/>
    </row>
    <row r="17" spans="1:9" ht="15.75">
      <c r="A17" s="4"/>
      <c r="B17" s="4"/>
      <c r="C17" s="4"/>
      <c r="D17" s="4"/>
      <c r="E17" s="4"/>
      <c r="F17" s="122"/>
      <c r="G17" s="122"/>
      <c r="H17" s="122"/>
      <c r="I17" s="64"/>
    </row>
    <row r="18" spans="1:9" ht="15.75">
      <c r="A18" s="4"/>
      <c r="B18" s="4"/>
      <c r="C18" s="4"/>
      <c r="D18" s="4"/>
      <c r="E18" s="4"/>
      <c r="F18" s="65"/>
      <c r="G18" s="65"/>
      <c r="H18" s="65"/>
      <c r="I18" s="64"/>
    </row>
    <row r="19" spans="1:9" ht="15.75">
      <c r="A19" s="66"/>
      <c r="B19" s="67"/>
      <c r="C19" s="67"/>
      <c r="D19" s="67"/>
      <c r="E19" s="67"/>
      <c r="F19" s="68"/>
      <c r="G19" s="68"/>
      <c r="H19" s="68"/>
      <c r="I19" s="64"/>
    </row>
    <row r="20" spans="1:9" ht="15.75">
      <c r="A20" s="64"/>
      <c r="B20" s="64"/>
      <c r="C20" s="64"/>
      <c r="D20" s="64"/>
      <c r="E20" s="64"/>
      <c r="F20" s="69"/>
      <c r="G20" s="69"/>
      <c r="H20" s="69"/>
      <c r="I20" s="64"/>
    </row>
    <row r="21" spans="1:9" ht="15.75">
      <c r="A21" s="122" t="s">
        <v>32</v>
      </c>
      <c r="B21" s="122"/>
      <c r="C21" s="122"/>
      <c r="D21" s="122" t="s">
        <v>53</v>
      </c>
      <c r="E21" s="122"/>
      <c r="F21" s="122" t="s">
        <v>54</v>
      </c>
      <c r="G21" s="122"/>
      <c r="H21" s="122"/>
      <c r="I21" s="122"/>
    </row>
  </sheetData>
  <mergeCells count="22"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  <mergeCell ref="E4:H4"/>
    <mergeCell ref="A5:I5"/>
    <mergeCell ref="A14:E14"/>
    <mergeCell ref="A16:C16"/>
    <mergeCell ref="D16:E16"/>
    <mergeCell ref="A1:C1"/>
    <mergeCell ref="E1:H1"/>
    <mergeCell ref="A2:C2"/>
    <mergeCell ref="E2:H2"/>
    <mergeCell ref="A3:C3"/>
  </mergeCells>
  <pageMargins left="0.28000000000000003" right="0.7" top="0.2" bottom="0.75" header="0.3" footer="0.3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1"/>
  <sheetViews>
    <sheetView workbookViewId="0">
      <selection sqref="A1:I22"/>
    </sheetView>
  </sheetViews>
  <sheetFormatPr defaultColWidth="9" defaultRowHeight="12.75"/>
  <cols>
    <col min="2" max="2" width="19.28515625" customWidth="1"/>
    <col min="3" max="3" width="11.42578125" customWidth="1"/>
    <col min="4" max="4" width="13.5703125" customWidth="1"/>
    <col min="5" max="5" width="16.42578125" customWidth="1"/>
    <col min="6" max="6" width="14.7109375" customWidth="1"/>
    <col min="7" max="7" width="21.28515625" customWidth="1"/>
    <col min="8" max="8" width="11.28515625" customWidth="1"/>
    <col min="9" max="9" width="18.855468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68</v>
      </c>
      <c r="F4" s="123"/>
      <c r="G4" s="123"/>
      <c r="H4" s="123"/>
      <c r="I4" s="3"/>
    </row>
    <row r="5" spans="1:9" ht="38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6">
        <v>1</v>
      </c>
      <c r="B8" s="126" t="s">
        <v>19</v>
      </c>
      <c r="C8" s="126" t="s">
        <v>20</v>
      </c>
      <c r="D8" s="135" t="s">
        <v>18</v>
      </c>
      <c r="E8" s="60">
        <v>44562</v>
      </c>
      <c r="F8" s="61">
        <v>321300</v>
      </c>
      <c r="G8" s="61">
        <v>529236700</v>
      </c>
      <c r="H8" s="74" t="s">
        <v>48</v>
      </c>
      <c r="I8" s="75">
        <f t="shared" ref="I8:I13" si="0">G8</f>
        <v>529236700</v>
      </c>
    </row>
    <row r="9" spans="1:9" ht="16.5">
      <c r="A9" s="126"/>
      <c r="B9" s="126"/>
      <c r="C9" s="126"/>
      <c r="D9" s="135"/>
      <c r="E9" s="60">
        <v>44563</v>
      </c>
      <c r="F9" s="61">
        <v>317200</v>
      </c>
      <c r="G9" s="61">
        <v>532949200</v>
      </c>
      <c r="H9" s="74" t="s">
        <v>48</v>
      </c>
      <c r="I9" s="75">
        <f t="shared" si="0"/>
        <v>532949200</v>
      </c>
    </row>
    <row r="10" spans="1:9" ht="16.5">
      <c r="A10" s="126"/>
      <c r="B10" s="126"/>
      <c r="C10" s="126"/>
      <c r="D10" s="135"/>
      <c r="E10" s="60">
        <v>44564</v>
      </c>
      <c r="F10" s="61">
        <v>285600</v>
      </c>
      <c r="G10" s="61">
        <v>471262400</v>
      </c>
      <c r="H10" s="74"/>
      <c r="I10" s="75">
        <f t="shared" si="0"/>
        <v>471262400</v>
      </c>
    </row>
    <row r="11" spans="1:9" ht="16.5">
      <c r="A11" s="126">
        <v>2</v>
      </c>
      <c r="B11" s="126" t="s">
        <v>21</v>
      </c>
      <c r="C11" s="126" t="s">
        <v>22</v>
      </c>
      <c r="D11" s="135" t="s">
        <v>18</v>
      </c>
      <c r="E11" s="60">
        <v>44562</v>
      </c>
      <c r="F11" s="61">
        <v>1391000</v>
      </c>
      <c r="G11" s="61">
        <v>2299767000</v>
      </c>
      <c r="H11" s="74" t="s">
        <v>48</v>
      </c>
      <c r="I11" s="75">
        <f t="shared" si="0"/>
        <v>2299767000</v>
      </c>
    </row>
    <row r="12" spans="1:9" ht="16.5">
      <c r="A12" s="126"/>
      <c r="B12" s="126"/>
      <c r="C12" s="126"/>
      <c r="D12" s="135"/>
      <c r="E12" s="60">
        <v>44563</v>
      </c>
      <c r="F12" s="61">
        <v>1309400</v>
      </c>
      <c r="G12" s="61">
        <v>2190407400</v>
      </c>
      <c r="H12" s="74" t="s">
        <v>48</v>
      </c>
      <c r="I12" s="75">
        <f t="shared" si="0"/>
        <v>2190407400</v>
      </c>
    </row>
    <row r="13" spans="1:9" ht="16.5">
      <c r="A13" s="126"/>
      <c r="B13" s="126"/>
      <c r="C13" s="126"/>
      <c r="D13" s="135"/>
      <c r="E13" s="60">
        <v>44564</v>
      </c>
      <c r="F13" s="61">
        <v>1037000</v>
      </c>
      <c r="G13" s="61">
        <v>1725485400</v>
      </c>
      <c r="H13" s="74" t="s">
        <v>48</v>
      </c>
      <c r="I13" s="75">
        <f t="shared" si="0"/>
        <v>1725485400</v>
      </c>
    </row>
    <row r="14" spans="1:9" ht="16.5">
      <c r="A14" s="125" t="s">
        <v>28</v>
      </c>
      <c r="B14" s="125"/>
      <c r="C14" s="125"/>
      <c r="D14" s="125"/>
      <c r="E14" s="125"/>
      <c r="F14" s="76">
        <f>SUM(F8:F13)</f>
        <v>4661500</v>
      </c>
      <c r="G14" s="76">
        <f>SUM(G8:G13)</f>
        <v>7749108100</v>
      </c>
      <c r="H14" s="76"/>
      <c r="I14" s="76">
        <f>SUM(I8:I13)</f>
        <v>7749108100</v>
      </c>
    </row>
    <row r="15" spans="1:9" ht="15.75">
      <c r="A15" s="33"/>
      <c r="B15" s="33"/>
      <c r="C15" s="33"/>
      <c r="D15" s="33"/>
      <c r="E15" s="33"/>
      <c r="F15" s="34"/>
      <c r="G15" s="34"/>
      <c r="H15" s="34"/>
      <c r="I15" s="35"/>
    </row>
    <row r="16" spans="1:9" ht="15.75">
      <c r="A16" s="122" t="s">
        <v>29</v>
      </c>
      <c r="B16" s="122"/>
      <c r="C16" s="122"/>
      <c r="D16" s="122" t="s">
        <v>49</v>
      </c>
      <c r="E16" s="122"/>
      <c r="F16" s="18" t="s">
        <v>69</v>
      </c>
      <c r="G16" s="18"/>
      <c r="H16" s="18"/>
      <c r="I16" s="18"/>
    </row>
    <row r="17" spans="1:9" ht="15.75">
      <c r="A17" s="4"/>
      <c r="B17" s="4"/>
      <c r="C17" s="4"/>
      <c r="D17" s="4"/>
      <c r="E17" s="4"/>
      <c r="F17" s="122"/>
      <c r="G17" s="122"/>
      <c r="H17" s="122"/>
      <c r="I17" s="64"/>
    </row>
    <row r="18" spans="1:9" ht="15.75">
      <c r="A18" s="4"/>
      <c r="B18" s="4"/>
      <c r="C18" s="4"/>
      <c r="D18" s="4"/>
      <c r="E18" s="4"/>
      <c r="F18" s="65"/>
      <c r="G18" s="65"/>
      <c r="H18" s="65"/>
      <c r="I18" s="64"/>
    </row>
    <row r="19" spans="1:9" ht="15.75">
      <c r="A19" s="66"/>
      <c r="B19" s="67"/>
      <c r="C19" s="67"/>
      <c r="D19" s="67"/>
      <c r="E19" s="67"/>
      <c r="F19" s="68"/>
      <c r="G19" s="68"/>
      <c r="H19" s="68"/>
      <c r="I19" s="64"/>
    </row>
    <row r="20" spans="1:9" ht="15.75">
      <c r="A20" s="64"/>
      <c r="B20" s="64"/>
      <c r="C20" s="64"/>
      <c r="D20" s="64"/>
      <c r="E20" s="64"/>
      <c r="F20" s="69"/>
      <c r="G20" s="69"/>
      <c r="H20" s="69"/>
      <c r="I20" s="64"/>
    </row>
    <row r="21" spans="1:9" ht="15.75">
      <c r="A21" s="122" t="s">
        <v>32</v>
      </c>
      <c r="B21" s="122"/>
      <c r="C21" s="122"/>
      <c r="D21" s="122" t="s">
        <v>53</v>
      </c>
      <c r="E21" s="122"/>
      <c r="F21" s="122" t="s">
        <v>54</v>
      </c>
      <c r="G21" s="122"/>
      <c r="H21" s="122"/>
      <c r="I21" s="122"/>
    </row>
  </sheetData>
  <mergeCells count="22"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  <mergeCell ref="E4:H4"/>
    <mergeCell ref="A5:I5"/>
    <mergeCell ref="A14:E14"/>
    <mergeCell ref="A16:C16"/>
    <mergeCell ref="D16:E16"/>
    <mergeCell ref="A1:C1"/>
    <mergeCell ref="E1:H1"/>
    <mergeCell ref="A2:C2"/>
    <mergeCell ref="E2:H2"/>
    <mergeCell ref="A3:C3"/>
  </mergeCells>
  <pageMargins left="0.43" right="0.7" top="0.43" bottom="0.43" header="0.3" footer="0.3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1"/>
  <sheetViews>
    <sheetView workbookViewId="0">
      <selection sqref="A1:I21"/>
    </sheetView>
  </sheetViews>
  <sheetFormatPr defaultColWidth="9" defaultRowHeight="12.75"/>
  <cols>
    <col min="1" max="1" width="5.42578125" customWidth="1"/>
    <col min="2" max="2" width="20.7109375" customWidth="1"/>
    <col min="3" max="3" width="14.42578125" customWidth="1"/>
    <col min="4" max="4" width="19" customWidth="1"/>
    <col min="5" max="5" width="15.140625" customWidth="1"/>
    <col min="6" max="6" width="14.28515625" customWidth="1"/>
    <col min="7" max="7" width="19.28515625" customWidth="1"/>
    <col min="8" max="8" width="6.85546875" customWidth="1"/>
    <col min="9" max="9" width="19.855468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70</v>
      </c>
      <c r="F4" s="123"/>
      <c r="G4" s="123"/>
      <c r="H4" s="123"/>
      <c r="I4" s="3"/>
    </row>
    <row r="5" spans="1:9" ht="37.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6">
        <v>1</v>
      </c>
      <c r="B8" s="126" t="s">
        <v>19</v>
      </c>
      <c r="C8" s="126" t="s">
        <v>20</v>
      </c>
      <c r="D8" s="135" t="s">
        <v>18</v>
      </c>
      <c r="E8" s="60">
        <v>44593</v>
      </c>
      <c r="F8" s="61">
        <v>264000</v>
      </c>
      <c r="G8" s="61">
        <v>443189200</v>
      </c>
      <c r="H8" s="74" t="s">
        <v>48</v>
      </c>
      <c r="I8" s="75">
        <f t="shared" ref="I8:I13" si="0">G8</f>
        <v>443189200</v>
      </c>
    </row>
    <row r="9" spans="1:9" ht="16.5">
      <c r="A9" s="126"/>
      <c r="B9" s="126"/>
      <c r="C9" s="126"/>
      <c r="D9" s="135"/>
      <c r="E9" s="60">
        <v>44594</v>
      </c>
      <c r="F9" s="61">
        <v>264100</v>
      </c>
      <c r="G9" s="61">
        <v>445930700</v>
      </c>
      <c r="H9" s="74" t="s">
        <v>48</v>
      </c>
      <c r="I9" s="75">
        <f t="shared" si="0"/>
        <v>445930700</v>
      </c>
    </row>
    <row r="10" spans="1:9" ht="16.5">
      <c r="A10" s="126"/>
      <c r="B10" s="126"/>
      <c r="C10" s="126"/>
      <c r="D10" s="135"/>
      <c r="E10" s="60">
        <v>44595</v>
      </c>
      <c r="F10" s="61">
        <v>312700</v>
      </c>
      <c r="G10" s="61">
        <v>533460500</v>
      </c>
      <c r="H10" s="74"/>
      <c r="I10" s="75">
        <f t="shared" si="0"/>
        <v>533460500</v>
      </c>
    </row>
    <row r="11" spans="1:9" ht="16.5">
      <c r="A11" s="126">
        <v>2</v>
      </c>
      <c r="B11" s="126" t="s">
        <v>21</v>
      </c>
      <c r="C11" s="126" t="s">
        <v>22</v>
      </c>
      <c r="D11" s="135" t="s">
        <v>18</v>
      </c>
      <c r="E11" s="60">
        <v>44593</v>
      </c>
      <c r="F11" s="61">
        <v>505900</v>
      </c>
      <c r="G11" s="61">
        <v>840817300</v>
      </c>
      <c r="H11" s="74" t="s">
        <v>48</v>
      </c>
      <c r="I11" s="75">
        <f t="shared" si="0"/>
        <v>840817300</v>
      </c>
    </row>
    <row r="12" spans="1:9" ht="16.5">
      <c r="A12" s="126"/>
      <c r="B12" s="126"/>
      <c r="C12" s="126"/>
      <c r="D12" s="135"/>
      <c r="E12" s="60">
        <v>44594</v>
      </c>
      <c r="F12" s="61">
        <v>780900</v>
      </c>
      <c r="G12" s="61">
        <v>1311523500</v>
      </c>
      <c r="H12" s="74" t="s">
        <v>48</v>
      </c>
      <c r="I12" s="75">
        <f t="shared" si="0"/>
        <v>1311523500</v>
      </c>
    </row>
    <row r="13" spans="1:9" ht="16.5">
      <c r="A13" s="126"/>
      <c r="B13" s="126"/>
      <c r="C13" s="126"/>
      <c r="D13" s="135"/>
      <c r="E13" s="60">
        <v>44595</v>
      </c>
      <c r="F13" s="61">
        <v>1249300</v>
      </c>
      <c r="G13" s="61">
        <v>2086418700</v>
      </c>
      <c r="H13" s="74" t="s">
        <v>48</v>
      </c>
      <c r="I13" s="75">
        <f t="shared" si="0"/>
        <v>2086418700</v>
      </c>
    </row>
    <row r="14" spans="1:9" ht="16.5">
      <c r="A14" s="125" t="s">
        <v>28</v>
      </c>
      <c r="B14" s="125"/>
      <c r="C14" s="125"/>
      <c r="D14" s="125"/>
      <c r="E14" s="125"/>
      <c r="F14" s="76">
        <f>SUM(F8:F13)</f>
        <v>3376900</v>
      </c>
      <c r="G14" s="76">
        <f>SUM(G8:G13)</f>
        <v>5661339900</v>
      </c>
      <c r="H14" s="76"/>
      <c r="I14" s="76">
        <f>SUM(I8:I13)</f>
        <v>5661339900</v>
      </c>
    </row>
    <row r="15" spans="1:9" ht="15.75">
      <c r="A15" s="33"/>
      <c r="B15" s="33"/>
      <c r="C15" s="33"/>
      <c r="D15" s="33"/>
      <c r="E15" s="33"/>
      <c r="F15" s="34"/>
      <c r="G15" s="34"/>
      <c r="H15" s="34"/>
      <c r="I15" s="35"/>
    </row>
    <row r="16" spans="1:9" ht="15.75">
      <c r="A16" s="122" t="s">
        <v>29</v>
      </c>
      <c r="B16" s="122"/>
      <c r="C16" s="122"/>
      <c r="D16" s="122" t="s">
        <v>49</v>
      </c>
      <c r="E16" s="122"/>
      <c r="F16" s="18" t="s">
        <v>69</v>
      </c>
      <c r="G16" s="18"/>
      <c r="H16" s="18"/>
      <c r="I16" s="18"/>
    </row>
    <row r="17" spans="1:9" ht="15.75">
      <c r="A17" s="4"/>
      <c r="B17" s="4"/>
      <c r="C17" s="4"/>
      <c r="D17" s="4"/>
      <c r="E17" s="4"/>
      <c r="F17" s="122"/>
      <c r="G17" s="122"/>
      <c r="H17" s="122"/>
      <c r="I17" s="64"/>
    </row>
    <row r="18" spans="1:9" ht="15.75">
      <c r="A18" s="4"/>
      <c r="B18" s="4"/>
      <c r="C18" s="4"/>
      <c r="D18" s="4"/>
      <c r="E18" s="4"/>
      <c r="F18" s="65"/>
      <c r="G18" s="65"/>
      <c r="H18" s="65"/>
      <c r="I18" s="64"/>
    </row>
    <row r="19" spans="1:9" ht="15.75">
      <c r="A19" s="66"/>
      <c r="B19" s="67"/>
      <c r="C19" s="67"/>
      <c r="D19" s="67"/>
      <c r="E19" s="67"/>
      <c r="F19" s="68"/>
      <c r="G19" s="68"/>
      <c r="H19" s="68"/>
      <c r="I19" s="64"/>
    </row>
    <row r="20" spans="1:9" ht="15.75">
      <c r="A20" s="64"/>
      <c r="B20" s="64"/>
      <c r="C20" s="64"/>
      <c r="D20" s="64"/>
      <c r="E20" s="64"/>
      <c r="F20" s="69"/>
      <c r="G20" s="69"/>
      <c r="H20" s="69"/>
      <c r="I20" s="64"/>
    </row>
    <row r="21" spans="1:9" ht="15.75">
      <c r="A21" s="122" t="s">
        <v>32</v>
      </c>
      <c r="B21" s="122"/>
      <c r="C21" s="122"/>
      <c r="D21" s="122" t="s">
        <v>53</v>
      </c>
      <c r="E21" s="122"/>
      <c r="F21" s="122" t="s">
        <v>71</v>
      </c>
      <c r="G21" s="122"/>
      <c r="H21" s="122"/>
      <c r="I21" s="122"/>
    </row>
  </sheetData>
  <mergeCells count="22"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  <mergeCell ref="E4:H4"/>
    <mergeCell ref="A5:I5"/>
    <mergeCell ref="A14:E14"/>
    <mergeCell ref="A16:C16"/>
    <mergeCell ref="D16:E16"/>
    <mergeCell ref="A1:C1"/>
    <mergeCell ref="E1:H1"/>
    <mergeCell ref="A2:C2"/>
    <mergeCell ref="E2:H2"/>
    <mergeCell ref="A3:C3"/>
  </mergeCells>
  <pageMargins left="0.41" right="0.7" top="0.26" bottom="0.2" header="0.3" footer="0.3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1"/>
  <sheetViews>
    <sheetView workbookViewId="0">
      <selection activeCell="L15" sqref="L15"/>
    </sheetView>
  </sheetViews>
  <sheetFormatPr defaultColWidth="9" defaultRowHeight="12.75"/>
  <cols>
    <col min="1" max="1" width="7.5703125" customWidth="1"/>
    <col min="2" max="2" width="20.28515625" customWidth="1"/>
    <col min="3" max="3" width="13.7109375" customWidth="1"/>
    <col min="4" max="4" width="18.7109375" customWidth="1"/>
    <col min="5" max="5" width="14.7109375" customWidth="1"/>
    <col min="6" max="6" width="13.28515625" customWidth="1"/>
    <col min="7" max="7" width="19" customWidth="1"/>
    <col min="9" max="9" width="18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72</v>
      </c>
      <c r="F4" s="123"/>
      <c r="G4" s="123"/>
      <c r="H4" s="123"/>
      <c r="I4" s="3"/>
    </row>
    <row r="5" spans="1:9" ht="38.2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6">
        <v>1</v>
      </c>
      <c r="B8" s="126" t="s">
        <v>19</v>
      </c>
      <c r="C8" s="126" t="s">
        <v>20</v>
      </c>
      <c r="D8" s="135" t="s">
        <v>18</v>
      </c>
      <c r="E8" s="60">
        <v>44621</v>
      </c>
      <c r="F8" s="61">
        <v>250900</v>
      </c>
      <c r="G8" s="61">
        <v>427530700</v>
      </c>
      <c r="H8" s="74" t="s">
        <v>48</v>
      </c>
      <c r="I8" s="75">
        <f t="shared" ref="I8:I13" si="0">G8</f>
        <v>427530700</v>
      </c>
    </row>
    <row r="9" spans="1:9" ht="16.5">
      <c r="A9" s="126"/>
      <c r="B9" s="126"/>
      <c r="C9" s="126"/>
      <c r="D9" s="135"/>
      <c r="E9" s="60">
        <v>44622</v>
      </c>
      <c r="F9" s="61">
        <v>287200</v>
      </c>
      <c r="G9" s="61">
        <v>477128000</v>
      </c>
      <c r="H9" s="74" t="s">
        <v>48</v>
      </c>
      <c r="I9" s="75">
        <f t="shared" si="0"/>
        <v>477128000</v>
      </c>
    </row>
    <row r="10" spans="1:9" ht="16.5">
      <c r="A10" s="126"/>
      <c r="B10" s="126"/>
      <c r="C10" s="126"/>
      <c r="D10" s="135"/>
      <c r="E10" s="60">
        <v>44623</v>
      </c>
      <c r="F10" s="61">
        <v>284200</v>
      </c>
      <c r="G10" s="61">
        <v>474427000</v>
      </c>
      <c r="H10" s="74"/>
      <c r="I10" s="75">
        <f t="shared" si="0"/>
        <v>474427000</v>
      </c>
    </row>
    <row r="11" spans="1:9" ht="16.5">
      <c r="A11" s="126">
        <v>2</v>
      </c>
      <c r="B11" s="126" t="s">
        <v>21</v>
      </c>
      <c r="C11" s="126" t="s">
        <v>22</v>
      </c>
      <c r="D11" s="135" t="s">
        <v>18</v>
      </c>
      <c r="E11" s="60">
        <v>44621</v>
      </c>
      <c r="F11" s="61">
        <v>1002400</v>
      </c>
      <c r="G11" s="61">
        <v>1669360400</v>
      </c>
      <c r="H11" s="74" t="s">
        <v>48</v>
      </c>
      <c r="I11" s="75">
        <f t="shared" si="0"/>
        <v>1669360400</v>
      </c>
    </row>
    <row r="12" spans="1:9" ht="16.5">
      <c r="A12" s="126"/>
      <c r="B12" s="126"/>
      <c r="C12" s="126"/>
      <c r="D12" s="135"/>
      <c r="E12" s="60">
        <v>44622</v>
      </c>
      <c r="F12" s="61">
        <v>1266800</v>
      </c>
      <c r="G12" s="61">
        <v>2088762400</v>
      </c>
      <c r="H12" s="74" t="s">
        <v>48</v>
      </c>
      <c r="I12" s="75">
        <f t="shared" si="0"/>
        <v>2088762400</v>
      </c>
    </row>
    <row r="13" spans="1:9" ht="16.5">
      <c r="A13" s="126"/>
      <c r="B13" s="126"/>
      <c r="C13" s="126"/>
      <c r="D13" s="135"/>
      <c r="E13" s="60">
        <v>44623</v>
      </c>
      <c r="F13" s="61">
        <v>1379000</v>
      </c>
      <c r="G13" s="61">
        <v>2289684600</v>
      </c>
      <c r="H13" s="74" t="s">
        <v>48</v>
      </c>
      <c r="I13" s="75">
        <f t="shared" si="0"/>
        <v>2289684600</v>
      </c>
    </row>
    <row r="14" spans="1:9" ht="16.5">
      <c r="A14" s="125" t="s">
        <v>28</v>
      </c>
      <c r="B14" s="125"/>
      <c r="C14" s="125"/>
      <c r="D14" s="125"/>
      <c r="E14" s="125"/>
      <c r="F14" s="76">
        <f>SUM(F8:F13)</f>
        <v>4470500</v>
      </c>
      <c r="G14" s="76">
        <f>SUM(G8:G13)</f>
        <v>7426893100</v>
      </c>
      <c r="H14" s="76"/>
      <c r="I14" s="76">
        <f>SUM(I8:I13)</f>
        <v>7426893100</v>
      </c>
    </row>
    <row r="15" spans="1:9" ht="15.75">
      <c r="A15" s="33"/>
      <c r="B15" s="33"/>
      <c r="C15" s="33"/>
      <c r="D15" s="33"/>
      <c r="E15" s="33"/>
      <c r="F15" s="34"/>
      <c r="G15" s="34"/>
      <c r="H15" s="34"/>
      <c r="I15" s="35"/>
    </row>
    <row r="16" spans="1:9" ht="15.75">
      <c r="A16" s="122" t="s">
        <v>29</v>
      </c>
      <c r="B16" s="122"/>
      <c r="C16" s="122"/>
      <c r="D16" s="122" t="s">
        <v>49</v>
      </c>
      <c r="E16" s="122"/>
      <c r="F16" s="18" t="s">
        <v>69</v>
      </c>
      <c r="G16" s="18"/>
      <c r="H16" s="18"/>
      <c r="I16" s="18"/>
    </row>
    <row r="17" spans="1:9" ht="15.75">
      <c r="A17" s="4"/>
      <c r="B17" s="4"/>
      <c r="C17" s="4"/>
      <c r="D17" s="4"/>
      <c r="E17" s="4"/>
      <c r="F17" s="122"/>
      <c r="G17" s="122"/>
      <c r="H17" s="122"/>
      <c r="I17" s="64"/>
    </row>
    <row r="18" spans="1:9" ht="15.75">
      <c r="A18" s="4"/>
      <c r="B18" s="4"/>
      <c r="C18" s="4"/>
      <c r="D18" s="4"/>
      <c r="E18" s="4"/>
      <c r="F18" s="65"/>
      <c r="G18" s="65"/>
      <c r="H18" s="65"/>
      <c r="I18" s="64"/>
    </row>
    <row r="19" spans="1:9" ht="15.75">
      <c r="A19" s="66"/>
      <c r="B19" s="67"/>
      <c r="C19" s="67"/>
      <c r="D19" s="67"/>
      <c r="E19" s="67"/>
      <c r="F19" s="68"/>
      <c r="G19" s="68"/>
      <c r="H19" s="68"/>
      <c r="I19" s="64"/>
    </row>
    <row r="20" spans="1:9" ht="15.75">
      <c r="A20" s="64"/>
      <c r="B20" s="64"/>
      <c r="C20" s="64"/>
      <c r="D20" s="64"/>
      <c r="E20" s="64"/>
      <c r="F20" s="69"/>
      <c r="G20" s="69"/>
      <c r="H20" s="69"/>
      <c r="I20" s="64"/>
    </row>
    <row r="21" spans="1:9" ht="15.75">
      <c r="A21" s="122" t="s">
        <v>32</v>
      </c>
      <c r="B21" s="122"/>
      <c r="C21" s="122"/>
      <c r="D21" s="122" t="s">
        <v>53</v>
      </c>
      <c r="E21" s="122"/>
      <c r="F21" s="122" t="s">
        <v>73</v>
      </c>
      <c r="G21" s="122"/>
      <c r="H21" s="122"/>
      <c r="I21" s="122"/>
    </row>
  </sheetData>
  <mergeCells count="22"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  <mergeCell ref="E4:H4"/>
    <mergeCell ref="A5:I5"/>
    <mergeCell ref="A14:E14"/>
    <mergeCell ref="A16:C16"/>
    <mergeCell ref="D16:E16"/>
    <mergeCell ref="A1:C1"/>
    <mergeCell ref="E1:H1"/>
    <mergeCell ref="A2:C2"/>
    <mergeCell ref="E2:H2"/>
    <mergeCell ref="A3:C3"/>
  </mergeCells>
  <pageMargins left="0.46" right="0.44" top="0.32" bottom="0.36" header="0.3" footer="0.3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"/>
  <sheetViews>
    <sheetView topLeftCell="A6" workbookViewId="0">
      <selection sqref="A1:I21"/>
    </sheetView>
  </sheetViews>
  <sheetFormatPr defaultColWidth="9" defaultRowHeight="12.75"/>
  <cols>
    <col min="2" max="2" width="19.85546875" customWidth="1"/>
    <col min="3" max="3" width="16.140625" customWidth="1"/>
    <col min="4" max="4" width="15.28515625" customWidth="1"/>
    <col min="5" max="5" width="17.5703125" customWidth="1"/>
    <col min="6" max="6" width="13.28515625" customWidth="1"/>
    <col min="7" max="7" width="20.42578125" customWidth="1"/>
    <col min="8" max="8" width="10.85546875" customWidth="1"/>
    <col min="9" max="9" width="19.1406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74</v>
      </c>
      <c r="F4" s="123"/>
      <c r="G4" s="123"/>
      <c r="H4" s="123"/>
      <c r="I4" s="3"/>
    </row>
    <row r="5" spans="1:9" ht="39.75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spans="1:9" ht="16.5">
      <c r="A8" s="126">
        <v>1</v>
      </c>
      <c r="B8" s="126" t="s">
        <v>19</v>
      </c>
      <c r="C8" s="126" t="s">
        <v>20</v>
      </c>
      <c r="D8" s="135" t="s">
        <v>18</v>
      </c>
      <c r="E8" s="60">
        <v>44652</v>
      </c>
      <c r="F8" s="61">
        <v>307500</v>
      </c>
      <c r="G8" s="61">
        <v>507611300</v>
      </c>
      <c r="H8" s="74" t="s">
        <v>48</v>
      </c>
      <c r="I8" s="75">
        <f t="shared" ref="I8:I13" si="0">G8</f>
        <v>507611300</v>
      </c>
    </row>
    <row r="9" spans="1:9" ht="16.5">
      <c r="A9" s="126"/>
      <c r="B9" s="126"/>
      <c r="C9" s="126"/>
      <c r="D9" s="135"/>
      <c r="E9" s="60">
        <v>44653</v>
      </c>
      <c r="F9" s="61">
        <v>283000</v>
      </c>
      <c r="G9" s="61">
        <v>473021400</v>
      </c>
      <c r="H9" s="74" t="s">
        <v>48</v>
      </c>
      <c r="I9" s="75">
        <f t="shared" si="0"/>
        <v>473021400</v>
      </c>
    </row>
    <row r="10" spans="1:9" ht="16.5">
      <c r="A10" s="126"/>
      <c r="B10" s="126"/>
      <c r="C10" s="126"/>
      <c r="D10" s="135"/>
      <c r="E10" s="60">
        <v>44654</v>
      </c>
      <c r="F10" s="61">
        <v>292800</v>
      </c>
      <c r="G10" s="61">
        <v>482273200</v>
      </c>
      <c r="H10" s="74"/>
      <c r="I10" s="75">
        <f t="shared" si="0"/>
        <v>482273200</v>
      </c>
    </row>
    <row r="11" spans="1:9" ht="16.5">
      <c r="A11" s="126">
        <v>2</v>
      </c>
      <c r="B11" s="126" t="s">
        <v>21</v>
      </c>
      <c r="C11" s="126" t="s">
        <v>22</v>
      </c>
      <c r="D11" s="135" t="s">
        <v>18</v>
      </c>
      <c r="E11" s="60">
        <v>44652</v>
      </c>
      <c r="F11" s="61">
        <v>1462900</v>
      </c>
      <c r="G11" s="61">
        <v>2417116700</v>
      </c>
      <c r="H11" s="74" t="s">
        <v>48</v>
      </c>
      <c r="I11" s="75">
        <f t="shared" si="0"/>
        <v>2417116700</v>
      </c>
    </row>
    <row r="12" spans="1:9" ht="16.5">
      <c r="A12" s="126"/>
      <c r="B12" s="126"/>
      <c r="C12" s="126"/>
      <c r="D12" s="135"/>
      <c r="E12" s="60">
        <v>44653</v>
      </c>
      <c r="F12" s="61">
        <v>1349100</v>
      </c>
      <c r="G12" s="61">
        <v>2254338900</v>
      </c>
      <c r="H12" s="74" t="s">
        <v>48</v>
      </c>
      <c r="I12" s="75">
        <f t="shared" si="0"/>
        <v>2254338900</v>
      </c>
    </row>
    <row r="13" spans="1:9" ht="16.5">
      <c r="A13" s="126"/>
      <c r="B13" s="126"/>
      <c r="C13" s="126"/>
      <c r="D13" s="135"/>
      <c r="E13" s="60">
        <v>44654</v>
      </c>
      <c r="F13" s="61">
        <v>1342200</v>
      </c>
      <c r="G13" s="61">
        <v>2212177800</v>
      </c>
      <c r="H13" s="74" t="s">
        <v>48</v>
      </c>
      <c r="I13" s="75">
        <f t="shared" si="0"/>
        <v>2212177800</v>
      </c>
    </row>
    <row r="14" spans="1:9" ht="16.5">
      <c r="A14" s="125" t="s">
        <v>28</v>
      </c>
      <c r="B14" s="125"/>
      <c r="C14" s="125"/>
      <c r="D14" s="125"/>
      <c r="E14" s="125"/>
      <c r="F14" s="76">
        <f>SUM(F8:F13)</f>
        <v>5037500</v>
      </c>
      <c r="G14" s="76">
        <f>SUM(G8:G13)</f>
        <v>8346539300</v>
      </c>
      <c r="H14" s="76"/>
      <c r="I14" s="76">
        <f>SUM(I8:I13)</f>
        <v>8346539300</v>
      </c>
    </row>
    <row r="15" spans="1:9" ht="15.75">
      <c r="A15" s="33"/>
      <c r="B15" s="33"/>
      <c r="C15" s="33"/>
      <c r="D15" s="33"/>
      <c r="E15" s="33"/>
      <c r="F15" s="34"/>
      <c r="G15" s="34"/>
      <c r="H15" s="34"/>
      <c r="I15" s="35"/>
    </row>
    <row r="16" spans="1:9" ht="15.75">
      <c r="A16" s="122" t="s">
        <v>29</v>
      </c>
      <c r="B16" s="122"/>
      <c r="C16" s="122"/>
      <c r="D16" s="122" t="s">
        <v>49</v>
      </c>
      <c r="E16" s="122"/>
      <c r="F16" s="18" t="s">
        <v>75</v>
      </c>
      <c r="G16" s="18"/>
      <c r="H16" s="18"/>
      <c r="I16" s="4"/>
    </row>
    <row r="17" spans="1:9" ht="15.75">
      <c r="A17" s="4"/>
      <c r="B17" s="4"/>
      <c r="C17" s="4"/>
      <c r="D17" s="4"/>
      <c r="E17" s="4"/>
      <c r="F17" s="122"/>
      <c r="G17" s="122"/>
      <c r="H17" s="122"/>
      <c r="I17" s="64"/>
    </row>
    <row r="18" spans="1:9" ht="15.75">
      <c r="A18" s="4"/>
      <c r="B18" s="4"/>
      <c r="C18" s="4"/>
      <c r="D18" s="4"/>
      <c r="E18" s="4"/>
      <c r="F18" s="65"/>
      <c r="G18" s="65"/>
      <c r="H18" s="65"/>
      <c r="I18" s="64"/>
    </row>
    <row r="19" spans="1:9" ht="15.75">
      <c r="A19" s="66"/>
      <c r="B19" s="67"/>
      <c r="C19" s="67"/>
      <c r="D19" s="67"/>
      <c r="E19" s="67"/>
      <c r="F19" s="68"/>
      <c r="G19" s="68"/>
      <c r="H19" s="68"/>
      <c r="I19" s="64"/>
    </row>
    <row r="20" spans="1:9" ht="15.75">
      <c r="A20" s="64"/>
      <c r="B20" s="64"/>
      <c r="C20" s="64"/>
      <c r="D20" s="64"/>
      <c r="E20" s="64"/>
      <c r="F20" s="69"/>
      <c r="G20" s="69"/>
      <c r="H20" s="69"/>
      <c r="I20" s="64"/>
    </row>
    <row r="21" spans="1:9" ht="15.75">
      <c r="A21" s="122" t="s">
        <v>32</v>
      </c>
      <c r="B21" s="122"/>
      <c r="C21" s="122"/>
      <c r="D21" s="122" t="s">
        <v>53</v>
      </c>
      <c r="E21" s="122"/>
      <c r="F21" s="122" t="s">
        <v>73</v>
      </c>
      <c r="G21" s="122"/>
      <c r="H21" s="122"/>
      <c r="I21" s="122"/>
    </row>
  </sheetData>
  <mergeCells count="22"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  <mergeCell ref="E4:H4"/>
    <mergeCell ref="A5:I5"/>
    <mergeCell ref="A14:E14"/>
    <mergeCell ref="A16:C16"/>
    <mergeCell ref="D16:E16"/>
    <mergeCell ref="A1:C1"/>
    <mergeCell ref="E1:H1"/>
    <mergeCell ref="A2:C2"/>
    <mergeCell ref="E2:H2"/>
    <mergeCell ref="A3:C3"/>
  </mergeCells>
  <pageMargins left="0.24" right="0.48" top="0.32" bottom="0.27" header="0.3" footer="0.3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1"/>
  <sheetViews>
    <sheetView workbookViewId="0">
      <selection activeCell="A7" sqref="A7"/>
    </sheetView>
  </sheetViews>
  <sheetFormatPr defaultColWidth="9" defaultRowHeight="12.75"/>
  <cols>
    <col min="1" max="1" width="5.42578125" customWidth="1"/>
    <col min="2" max="2" width="18.85546875" customWidth="1"/>
    <col min="3" max="3" width="13" customWidth="1"/>
    <col min="4" max="4" width="22" customWidth="1"/>
    <col min="5" max="5" width="14" customWidth="1"/>
    <col min="6" max="6" width="13.85546875" customWidth="1"/>
    <col min="7" max="7" width="17.5703125" customWidth="1"/>
    <col min="8" max="8" width="8.5703125" customWidth="1"/>
    <col min="9" max="9" width="18.285156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76</v>
      </c>
      <c r="F4" s="123"/>
      <c r="G4" s="123"/>
      <c r="H4" s="123"/>
      <c r="I4" s="3"/>
    </row>
    <row r="5" spans="1:9" ht="33" customHeight="1">
      <c r="A5" s="124" t="s">
        <v>6</v>
      </c>
      <c r="B5" s="124"/>
      <c r="C5" s="124"/>
      <c r="D5" s="124"/>
      <c r="E5" s="124"/>
      <c r="F5" s="124"/>
      <c r="G5" s="124"/>
      <c r="H5" s="124"/>
      <c r="I5" s="124"/>
    </row>
    <row r="6" spans="1:9" ht="15.75">
      <c r="A6" s="3"/>
      <c r="B6" s="3"/>
      <c r="C6" s="3"/>
      <c r="D6" s="3"/>
      <c r="E6" s="3"/>
      <c r="F6" s="5"/>
      <c r="G6" s="5"/>
      <c r="H6" s="5"/>
      <c r="I6" s="3"/>
    </row>
    <row r="7" spans="1:9" ht="31.5">
      <c r="A7" s="57" t="s">
        <v>7</v>
      </c>
      <c r="B7" s="57" t="s">
        <v>8</v>
      </c>
      <c r="C7" s="57" t="s">
        <v>9</v>
      </c>
      <c r="D7" s="57" t="s">
        <v>10</v>
      </c>
      <c r="E7" s="57" t="s">
        <v>11</v>
      </c>
      <c r="F7" s="58" t="s">
        <v>12</v>
      </c>
      <c r="G7" s="59" t="s">
        <v>13</v>
      </c>
      <c r="H7" s="59" t="s">
        <v>14</v>
      </c>
      <c r="I7" s="57" t="s">
        <v>15</v>
      </c>
    </row>
    <row r="8" spans="1:9" ht="16.5">
      <c r="A8" s="137">
        <v>1</v>
      </c>
      <c r="B8" s="137" t="s">
        <v>19</v>
      </c>
      <c r="C8" s="137" t="s">
        <v>20</v>
      </c>
      <c r="D8" s="138" t="s">
        <v>18</v>
      </c>
      <c r="E8" s="60">
        <v>44567</v>
      </c>
      <c r="F8" s="61">
        <v>344200</v>
      </c>
      <c r="G8" s="61">
        <v>571471000</v>
      </c>
      <c r="H8" s="62" t="s">
        <v>48</v>
      </c>
      <c r="I8" s="56">
        <f t="shared" ref="I8:I13" si="0">G8</f>
        <v>571471000</v>
      </c>
    </row>
    <row r="9" spans="1:9" ht="16.5">
      <c r="A9" s="137"/>
      <c r="B9" s="137"/>
      <c r="C9" s="137"/>
      <c r="D9" s="138"/>
      <c r="E9" s="60">
        <v>44598</v>
      </c>
      <c r="F9" s="61">
        <v>338500</v>
      </c>
      <c r="G9" s="61">
        <v>566829500</v>
      </c>
      <c r="H9" s="62" t="s">
        <v>48</v>
      </c>
      <c r="I9" s="56">
        <f t="shared" si="0"/>
        <v>566829500</v>
      </c>
    </row>
    <row r="10" spans="1:9" ht="27.75" customHeight="1">
      <c r="A10" s="137"/>
      <c r="B10" s="137"/>
      <c r="C10" s="137"/>
      <c r="D10" s="138"/>
      <c r="E10" s="60">
        <v>44626</v>
      </c>
      <c r="F10" s="61">
        <v>339300</v>
      </c>
      <c r="G10" s="61">
        <v>563819500</v>
      </c>
      <c r="H10" s="62"/>
      <c r="I10" s="56">
        <f t="shared" si="0"/>
        <v>563819500</v>
      </c>
    </row>
    <row r="11" spans="1:9" ht="16.5">
      <c r="A11" s="137">
        <v>2</v>
      </c>
      <c r="B11" s="137" t="s">
        <v>21</v>
      </c>
      <c r="C11" s="137" t="s">
        <v>22</v>
      </c>
      <c r="D11" s="138" t="s">
        <v>18</v>
      </c>
      <c r="E11" s="60">
        <v>44567</v>
      </c>
      <c r="F11" s="61">
        <v>1422800</v>
      </c>
      <c r="G11" s="61">
        <v>2350306400</v>
      </c>
      <c r="H11" s="62" t="s">
        <v>48</v>
      </c>
      <c r="I11" s="56">
        <f t="shared" si="0"/>
        <v>2350306400</v>
      </c>
    </row>
    <row r="12" spans="1:9" ht="16.5">
      <c r="A12" s="137"/>
      <c r="B12" s="137"/>
      <c r="C12" s="137"/>
      <c r="D12" s="138"/>
      <c r="E12" s="60">
        <v>44598</v>
      </c>
      <c r="F12" s="61">
        <v>1273600</v>
      </c>
      <c r="G12" s="61">
        <v>2130711200</v>
      </c>
      <c r="H12" s="62" t="s">
        <v>48</v>
      </c>
      <c r="I12" s="56">
        <f t="shared" si="0"/>
        <v>2130711200</v>
      </c>
    </row>
    <row r="13" spans="1:9" ht="27" customHeight="1">
      <c r="A13" s="137"/>
      <c r="B13" s="137"/>
      <c r="C13" s="137"/>
      <c r="D13" s="138"/>
      <c r="E13" s="60">
        <v>44626</v>
      </c>
      <c r="F13" s="61">
        <v>1273100</v>
      </c>
      <c r="G13" s="61">
        <v>2133003300</v>
      </c>
      <c r="H13" s="62" t="s">
        <v>48</v>
      </c>
      <c r="I13" s="56">
        <f t="shared" si="0"/>
        <v>2133003300</v>
      </c>
    </row>
    <row r="14" spans="1:9" ht="16.5">
      <c r="A14" s="136" t="s">
        <v>28</v>
      </c>
      <c r="B14" s="136"/>
      <c r="C14" s="136"/>
      <c r="D14" s="136"/>
      <c r="E14" s="136"/>
      <c r="F14" s="63">
        <f>SUM(F8:F13)</f>
        <v>4991500</v>
      </c>
      <c r="G14" s="63">
        <f>SUM(G8:G13)</f>
        <v>8316140900</v>
      </c>
      <c r="H14" s="63"/>
      <c r="I14" s="63">
        <f>SUM(I8:I13)</f>
        <v>8316140900</v>
      </c>
    </row>
    <row r="15" spans="1:9" ht="15.75">
      <c r="A15" s="33"/>
      <c r="B15" s="33"/>
      <c r="C15" s="33"/>
      <c r="D15" s="33"/>
      <c r="E15" s="33"/>
      <c r="F15" s="34"/>
      <c r="G15" s="34"/>
      <c r="H15" s="34"/>
      <c r="I15" s="35"/>
    </row>
    <row r="16" spans="1:9" ht="15.75">
      <c r="A16" s="122" t="s">
        <v>29</v>
      </c>
      <c r="B16" s="122"/>
      <c r="C16" s="122"/>
      <c r="D16" s="122" t="s">
        <v>49</v>
      </c>
      <c r="E16" s="122"/>
      <c r="F16" s="18" t="s">
        <v>77</v>
      </c>
      <c r="G16" s="18"/>
      <c r="H16" s="18"/>
      <c r="I16" s="4"/>
    </row>
    <row r="17" spans="1:9" ht="15.75">
      <c r="A17" s="4"/>
      <c r="B17" s="4"/>
      <c r="C17" s="4"/>
      <c r="D17" s="4"/>
      <c r="E17" s="4"/>
      <c r="F17" s="122"/>
      <c r="G17" s="122"/>
      <c r="H17" s="122"/>
      <c r="I17" s="64"/>
    </row>
    <row r="18" spans="1:9" ht="15.75">
      <c r="A18" s="4"/>
      <c r="B18" s="4"/>
      <c r="C18" s="4"/>
      <c r="D18" s="4"/>
      <c r="E18" s="4"/>
      <c r="F18" s="65"/>
      <c r="G18" s="65"/>
      <c r="H18" s="65"/>
      <c r="I18" s="64"/>
    </row>
    <row r="19" spans="1:9" ht="15.75">
      <c r="A19" s="66"/>
      <c r="B19" s="67"/>
      <c r="C19" s="67"/>
      <c r="D19" s="67"/>
      <c r="E19" s="67"/>
      <c r="F19" s="68"/>
      <c r="G19" s="68"/>
      <c r="H19" s="68"/>
      <c r="I19" s="64"/>
    </row>
    <row r="20" spans="1:9" ht="15.75">
      <c r="A20" s="64"/>
      <c r="B20" s="64"/>
      <c r="C20" s="64"/>
      <c r="D20" s="64"/>
      <c r="E20" s="64"/>
      <c r="F20" s="69"/>
      <c r="G20" s="69"/>
      <c r="H20" s="69"/>
      <c r="I20" s="64"/>
    </row>
    <row r="21" spans="1:9" ht="15.75">
      <c r="A21" s="122" t="s">
        <v>32</v>
      </c>
      <c r="B21" s="122"/>
      <c r="C21" s="122"/>
      <c r="D21" s="122" t="s">
        <v>53</v>
      </c>
      <c r="E21" s="122"/>
      <c r="F21" s="122" t="s">
        <v>78</v>
      </c>
      <c r="G21" s="122"/>
      <c r="H21" s="122"/>
      <c r="I21" s="122"/>
    </row>
  </sheetData>
  <mergeCells count="22"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  <mergeCell ref="E4:H4"/>
    <mergeCell ref="A5:I5"/>
    <mergeCell ref="A14:E14"/>
    <mergeCell ref="A16:C16"/>
    <mergeCell ref="D16:E16"/>
    <mergeCell ref="A1:C1"/>
    <mergeCell ref="E1:H1"/>
    <mergeCell ref="A2:C2"/>
    <mergeCell ref="E2:H2"/>
    <mergeCell ref="A3:C3"/>
  </mergeCells>
  <pageMargins left="0.24" right="0.7" top="0.38" bottom="0.25" header="0.3" footer="0.3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2"/>
  <sheetViews>
    <sheetView topLeftCell="A7" workbookViewId="0">
      <selection sqref="A1:I22"/>
    </sheetView>
  </sheetViews>
  <sheetFormatPr defaultColWidth="8.7109375" defaultRowHeight="15.75"/>
  <cols>
    <col min="1" max="1" width="5.42578125" style="3" customWidth="1"/>
    <col min="2" max="2" width="18.85546875" style="3" customWidth="1"/>
    <col min="3" max="3" width="13" style="3" customWidth="1"/>
    <col min="4" max="4" width="22" style="3" customWidth="1"/>
    <col min="5" max="5" width="14" style="3" customWidth="1"/>
    <col min="6" max="6" width="13.85546875" style="3" customWidth="1"/>
    <col min="7" max="7" width="17.5703125" style="3" customWidth="1"/>
    <col min="8" max="8" width="8.5703125" style="3" customWidth="1"/>
    <col min="9" max="9" width="18.28515625" style="3" customWidth="1"/>
    <col min="10" max="16384" width="8.7109375" style="3"/>
  </cols>
  <sheetData>
    <row r="1" spans="1:9">
      <c r="A1" s="121" t="s">
        <v>0</v>
      </c>
      <c r="B1" s="121"/>
      <c r="C1" s="121"/>
      <c r="E1" s="122" t="s">
        <v>1</v>
      </c>
      <c r="F1" s="122"/>
      <c r="G1" s="122"/>
      <c r="H1" s="122"/>
    </row>
    <row r="2" spans="1:9">
      <c r="A2" s="121" t="s">
        <v>2</v>
      </c>
      <c r="B2" s="121"/>
      <c r="C2" s="121"/>
      <c r="E2" s="122" t="s">
        <v>3</v>
      </c>
      <c r="F2" s="122"/>
      <c r="G2" s="122"/>
      <c r="H2" s="122"/>
    </row>
    <row r="3" spans="1:9">
      <c r="A3" s="122" t="s">
        <v>4</v>
      </c>
      <c r="B3" s="122"/>
      <c r="C3" s="122"/>
      <c r="F3" s="5"/>
      <c r="G3" s="5"/>
      <c r="H3" s="5"/>
    </row>
    <row r="4" spans="1:9">
      <c r="E4" s="123" t="s">
        <v>79</v>
      </c>
      <c r="F4" s="123"/>
      <c r="G4" s="123"/>
      <c r="H4" s="123"/>
    </row>
    <row r="5" spans="1:9">
      <c r="E5" s="6"/>
      <c r="F5" s="6"/>
      <c r="G5" s="6"/>
      <c r="H5" s="6"/>
    </row>
    <row r="6" spans="1:9" ht="33" customHeight="1">
      <c r="A6" s="124" t="s">
        <v>6</v>
      </c>
      <c r="B6" s="124"/>
      <c r="C6" s="124"/>
      <c r="D6" s="124"/>
      <c r="E6" s="124"/>
      <c r="F6" s="124"/>
      <c r="G6" s="124"/>
      <c r="H6" s="124"/>
      <c r="I6" s="124"/>
    </row>
    <row r="7" spans="1:9">
      <c r="F7" s="5"/>
      <c r="G7" s="5"/>
      <c r="H7" s="5"/>
    </row>
    <row r="8" spans="1:9" s="2" customFormat="1" ht="40.5" customHeight="1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ht="24" customHeight="1">
      <c r="A9" s="141">
        <v>1</v>
      </c>
      <c r="B9" s="141" t="s">
        <v>19</v>
      </c>
      <c r="C9" s="141" t="s">
        <v>20</v>
      </c>
      <c r="D9" s="141" t="s">
        <v>18</v>
      </c>
      <c r="E9" s="53">
        <v>44743</v>
      </c>
      <c r="F9" s="54">
        <v>355500</v>
      </c>
      <c r="G9" s="54">
        <v>588177300</v>
      </c>
      <c r="H9" s="55" t="s">
        <v>48</v>
      </c>
      <c r="I9" s="56">
        <f t="shared" ref="I9:I14" si="0">G9</f>
        <v>588177300</v>
      </c>
    </row>
    <row r="10" spans="1:9" ht="24" customHeight="1">
      <c r="A10" s="141"/>
      <c r="B10" s="141"/>
      <c r="C10" s="141"/>
      <c r="D10" s="141"/>
      <c r="E10" s="53">
        <v>44744</v>
      </c>
      <c r="F10" s="54">
        <v>301600</v>
      </c>
      <c r="G10" s="54">
        <v>505093200</v>
      </c>
      <c r="H10" s="55" t="s">
        <v>48</v>
      </c>
      <c r="I10" s="56">
        <f t="shared" si="0"/>
        <v>505093200</v>
      </c>
    </row>
    <row r="11" spans="1:9" ht="24" customHeight="1">
      <c r="A11" s="141"/>
      <c r="B11" s="141"/>
      <c r="C11" s="141"/>
      <c r="D11" s="141"/>
      <c r="E11" s="53">
        <v>44745</v>
      </c>
      <c r="F11" s="54">
        <v>311200</v>
      </c>
      <c r="G11" s="54">
        <v>511610800</v>
      </c>
      <c r="H11" s="55"/>
      <c r="I11" s="56">
        <f t="shared" si="0"/>
        <v>511610800</v>
      </c>
    </row>
    <row r="12" spans="1:9" ht="24" customHeight="1">
      <c r="A12" s="141">
        <v>2</v>
      </c>
      <c r="B12" s="141" t="s">
        <v>21</v>
      </c>
      <c r="C12" s="141" t="s">
        <v>22</v>
      </c>
      <c r="D12" s="141" t="s">
        <v>18</v>
      </c>
      <c r="E12" s="53">
        <v>44743</v>
      </c>
      <c r="F12" s="54">
        <v>1240500</v>
      </c>
      <c r="G12" s="54">
        <v>2043924700</v>
      </c>
      <c r="H12" s="55" t="s">
        <v>48</v>
      </c>
      <c r="I12" s="56">
        <f t="shared" si="0"/>
        <v>2043924700</v>
      </c>
    </row>
    <row r="13" spans="1:9" ht="24" customHeight="1">
      <c r="A13" s="141"/>
      <c r="B13" s="141"/>
      <c r="C13" s="141"/>
      <c r="D13" s="141"/>
      <c r="E13" s="53">
        <v>44744</v>
      </c>
      <c r="F13" s="54">
        <v>1365100</v>
      </c>
      <c r="G13" s="54">
        <v>2281226100</v>
      </c>
      <c r="H13" s="55" t="s">
        <v>48</v>
      </c>
      <c r="I13" s="56">
        <f t="shared" si="0"/>
        <v>2281226100</v>
      </c>
    </row>
    <row r="14" spans="1:9" ht="24" customHeight="1">
      <c r="A14" s="141"/>
      <c r="B14" s="141"/>
      <c r="C14" s="141"/>
      <c r="D14" s="141"/>
      <c r="E14" s="53">
        <v>44745</v>
      </c>
      <c r="F14" s="54">
        <v>1318500</v>
      </c>
      <c r="G14" s="54">
        <v>2166627500</v>
      </c>
      <c r="H14" s="55" t="s">
        <v>48</v>
      </c>
      <c r="I14" s="56">
        <f t="shared" si="0"/>
        <v>2166627500</v>
      </c>
    </row>
    <row r="15" spans="1:9">
      <c r="A15" s="139" t="s">
        <v>28</v>
      </c>
      <c r="B15" s="139"/>
      <c r="C15" s="139"/>
      <c r="D15" s="139"/>
      <c r="E15" s="139"/>
      <c r="F15" s="52">
        <f>SUM(F9:F14)</f>
        <v>4892400</v>
      </c>
      <c r="G15" s="52">
        <f>SUM(G9:G14)</f>
        <v>8096659600</v>
      </c>
      <c r="H15" s="52"/>
      <c r="I15" s="52">
        <f>SUM(I9:I14)</f>
        <v>8096659600</v>
      </c>
    </row>
    <row r="16" spans="1:9">
      <c r="A16" s="33"/>
      <c r="B16" s="33"/>
      <c r="C16" s="33"/>
      <c r="D16" s="33"/>
      <c r="E16" s="33"/>
      <c r="F16" s="34"/>
      <c r="G16" s="34"/>
      <c r="H16" s="34"/>
      <c r="I16" s="35"/>
    </row>
    <row r="17" spans="1:9">
      <c r="A17" s="140" t="s">
        <v>80</v>
      </c>
      <c r="B17" s="140"/>
      <c r="C17" s="140"/>
      <c r="D17" s="140" t="s">
        <v>49</v>
      </c>
      <c r="E17" s="140"/>
      <c r="F17" s="18" t="s">
        <v>81</v>
      </c>
      <c r="G17" s="18"/>
      <c r="H17" s="18"/>
      <c r="I17" s="18" t="s">
        <v>82</v>
      </c>
    </row>
    <row r="18" spans="1:9">
      <c r="A18" s="18"/>
      <c r="B18" s="18"/>
      <c r="C18" s="18"/>
      <c r="D18" s="18"/>
      <c r="E18" s="18"/>
      <c r="F18" s="140"/>
      <c r="G18" s="140"/>
      <c r="H18" s="140"/>
      <c r="I18" s="18"/>
    </row>
    <row r="19" spans="1:9">
      <c r="A19" s="18"/>
      <c r="B19" s="18"/>
      <c r="C19" s="18"/>
      <c r="D19" s="18"/>
      <c r="E19" s="18"/>
      <c r="F19" s="19"/>
      <c r="G19" s="19"/>
      <c r="H19" s="19"/>
      <c r="I19" s="18"/>
    </row>
    <row r="20" spans="1:9">
      <c r="A20" s="20"/>
      <c r="B20" s="20"/>
      <c r="C20" s="20"/>
      <c r="D20" s="20"/>
      <c r="E20" s="20"/>
      <c r="F20" s="21"/>
      <c r="G20" s="21"/>
      <c r="H20" s="21"/>
      <c r="I20" s="18"/>
    </row>
    <row r="21" spans="1:9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4.45" customHeight="1">
      <c r="A22" s="140" t="s">
        <v>32</v>
      </c>
      <c r="B22" s="140"/>
      <c r="C22" s="140"/>
      <c r="D22" s="140" t="s">
        <v>53</v>
      </c>
      <c r="E22" s="140"/>
      <c r="F22" s="140" t="s">
        <v>83</v>
      </c>
      <c r="G22" s="140"/>
      <c r="H22" s="140"/>
      <c r="I22" s="140"/>
    </row>
  </sheetData>
  <mergeCells count="22"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6:I6"/>
    <mergeCell ref="A15:E15"/>
    <mergeCell ref="A17:C17"/>
    <mergeCell ref="D17:E17"/>
    <mergeCell ref="A1:C1"/>
    <mergeCell ref="E1:H1"/>
    <mergeCell ref="A2:C2"/>
    <mergeCell ref="E2:H2"/>
    <mergeCell ref="A3:C3"/>
  </mergeCells>
  <pageMargins left="0.56000000000000005" right="0.7" top="0.38" bottom="0.25" header="0.3" footer="0.3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2"/>
  <sheetViews>
    <sheetView topLeftCell="A7" workbookViewId="0">
      <selection activeCell="M18" sqref="M18"/>
    </sheetView>
  </sheetViews>
  <sheetFormatPr defaultColWidth="9" defaultRowHeight="12.75"/>
  <cols>
    <col min="1" max="1" width="6" customWidth="1"/>
    <col min="2" max="2" width="16.28515625" customWidth="1"/>
    <col min="3" max="3" width="12.5703125" customWidth="1"/>
    <col min="4" max="4" width="14.140625" customWidth="1"/>
    <col min="5" max="5" width="14.42578125" customWidth="1"/>
    <col min="6" max="6" width="13" customWidth="1"/>
    <col min="7" max="7" width="15.28515625" customWidth="1"/>
    <col min="9" max="9" width="16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84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6.75" customHeight="1">
      <c r="A6" s="124" t="s">
        <v>6</v>
      </c>
      <c r="B6" s="124"/>
      <c r="C6" s="124"/>
      <c r="D6" s="124"/>
      <c r="E6" s="124"/>
      <c r="F6" s="124"/>
      <c r="G6" s="124"/>
      <c r="H6" s="124"/>
      <c r="I6" s="124"/>
    </row>
    <row r="7" spans="1:9" ht="15.75">
      <c r="A7" s="3"/>
      <c r="B7" s="3"/>
      <c r="C7" s="3"/>
      <c r="D7" s="3"/>
      <c r="E7" s="3"/>
      <c r="F7" s="5"/>
      <c r="G7" s="5"/>
      <c r="H7" s="5"/>
      <c r="I7" s="3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ht="15.75">
      <c r="A9" s="141">
        <v>1</v>
      </c>
      <c r="B9" s="141" t="s">
        <v>19</v>
      </c>
      <c r="C9" s="141" t="s">
        <v>20</v>
      </c>
      <c r="D9" s="141" t="s">
        <v>18</v>
      </c>
      <c r="E9" s="53">
        <v>44569</v>
      </c>
      <c r="F9" s="54">
        <v>374000</v>
      </c>
      <c r="G9" s="54">
        <v>625511600</v>
      </c>
      <c r="H9" s="55" t="s">
        <v>48</v>
      </c>
      <c r="I9" s="56">
        <f t="shared" ref="I9:I14" si="0">G9</f>
        <v>625511600</v>
      </c>
    </row>
    <row r="10" spans="1:9" ht="15.75">
      <c r="A10" s="141"/>
      <c r="B10" s="141"/>
      <c r="C10" s="141"/>
      <c r="D10" s="141"/>
      <c r="E10" s="53">
        <v>44600</v>
      </c>
      <c r="F10" s="54">
        <v>294100</v>
      </c>
      <c r="G10" s="54">
        <v>484086300</v>
      </c>
      <c r="H10" s="55" t="s">
        <v>48</v>
      </c>
      <c r="I10" s="56">
        <f t="shared" si="0"/>
        <v>484086300</v>
      </c>
    </row>
    <row r="11" spans="1:9" ht="31.5" customHeight="1">
      <c r="A11" s="141"/>
      <c r="B11" s="141"/>
      <c r="C11" s="141"/>
      <c r="D11" s="141"/>
      <c r="E11" s="53">
        <v>44628</v>
      </c>
      <c r="F11" s="54">
        <v>369900</v>
      </c>
      <c r="G11" s="54">
        <v>616471300</v>
      </c>
      <c r="H11" s="55"/>
      <c r="I11" s="56">
        <f t="shared" si="0"/>
        <v>616471300</v>
      </c>
    </row>
    <row r="12" spans="1:9" ht="15.75">
      <c r="A12" s="141">
        <v>2</v>
      </c>
      <c r="B12" s="141" t="s">
        <v>21</v>
      </c>
      <c r="C12" s="141" t="s">
        <v>22</v>
      </c>
      <c r="D12" s="141" t="s">
        <v>18</v>
      </c>
      <c r="E12" s="53">
        <v>44569</v>
      </c>
      <c r="F12" s="54">
        <v>1267200</v>
      </c>
      <c r="G12" s="54">
        <v>2119902400</v>
      </c>
      <c r="H12" s="55" t="s">
        <v>48</v>
      </c>
      <c r="I12" s="56">
        <f t="shared" si="0"/>
        <v>2119902400</v>
      </c>
    </row>
    <row r="13" spans="1:9" ht="15.75">
      <c r="A13" s="141"/>
      <c r="B13" s="141"/>
      <c r="C13" s="141"/>
      <c r="D13" s="141"/>
      <c r="E13" s="53">
        <v>44600</v>
      </c>
      <c r="F13" s="54">
        <v>1162800</v>
      </c>
      <c r="G13" s="54">
        <v>1915242000</v>
      </c>
      <c r="H13" s="55" t="s">
        <v>48</v>
      </c>
      <c r="I13" s="56">
        <f t="shared" si="0"/>
        <v>1915242000</v>
      </c>
    </row>
    <row r="14" spans="1:9" ht="29.25" customHeight="1">
      <c r="A14" s="141"/>
      <c r="B14" s="141"/>
      <c r="C14" s="141"/>
      <c r="D14" s="141"/>
      <c r="E14" s="53">
        <v>44628</v>
      </c>
      <c r="F14" s="54">
        <v>1166000</v>
      </c>
      <c r="G14" s="54">
        <v>1947559200</v>
      </c>
      <c r="H14" s="55" t="s">
        <v>48</v>
      </c>
      <c r="I14" s="56">
        <f t="shared" si="0"/>
        <v>1947559200</v>
      </c>
    </row>
    <row r="15" spans="1:9" ht="15.75">
      <c r="A15" s="139" t="s">
        <v>28</v>
      </c>
      <c r="B15" s="139"/>
      <c r="C15" s="139"/>
      <c r="D15" s="139"/>
      <c r="E15" s="139"/>
      <c r="F15" s="52">
        <f>SUM(F9:F14)</f>
        <v>4634000</v>
      </c>
      <c r="G15" s="52">
        <f>SUM(G9:G14)</f>
        <v>7708772800</v>
      </c>
      <c r="H15" s="52"/>
      <c r="I15" s="52">
        <f>SUM(I9:I14)</f>
        <v>7708772800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49</v>
      </c>
      <c r="E17" s="140"/>
      <c r="F17" s="122" t="s">
        <v>81</v>
      </c>
      <c r="G17" s="122"/>
      <c r="H17" s="18"/>
      <c r="I17" s="18" t="s">
        <v>82</v>
      </c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40" t="s">
        <v>32</v>
      </c>
      <c r="B22" s="140"/>
      <c r="C22" s="140"/>
      <c r="D22" s="140" t="s">
        <v>53</v>
      </c>
      <c r="E22" s="140"/>
      <c r="F22" s="140" t="s">
        <v>85</v>
      </c>
      <c r="G22" s="140"/>
      <c r="H22" s="140"/>
      <c r="I22" s="140"/>
    </row>
  </sheetData>
  <mergeCells count="23"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6:I6"/>
    <mergeCell ref="A15:E15"/>
    <mergeCell ref="A17:C17"/>
    <mergeCell ref="D17:E17"/>
    <mergeCell ref="F17:G17"/>
    <mergeCell ref="A1:C1"/>
    <mergeCell ref="E1:H1"/>
    <mergeCell ref="A2:C2"/>
    <mergeCell ref="E2:H2"/>
    <mergeCell ref="A3:C3"/>
  </mergeCells>
  <pageMargins left="0.88" right="0.7" top="0.41" bottom="0.47" header="0.3" footer="0.3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2"/>
  <sheetViews>
    <sheetView topLeftCell="A7" workbookViewId="0">
      <selection sqref="A1:I23"/>
    </sheetView>
  </sheetViews>
  <sheetFormatPr defaultColWidth="9" defaultRowHeight="12.75"/>
  <cols>
    <col min="2" max="2" width="17.140625" customWidth="1"/>
    <col min="3" max="3" width="14.28515625" customWidth="1"/>
    <col min="4" max="4" width="16.140625" customWidth="1"/>
    <col min="5" max="5" width="17" customWidth="1"/>
    <col min="6" max="6" width="15.5703125" customWidth="1"/>
    <col min="7" max="7" width="19" customWidth="1"/>
    <col min="8" max="8" width="9.7109375" customWidth="1"/>
    <col min="9" max="9" width="17.57031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86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6" customHeight="1">
      <c r="A6" s="124" t="s">
        <v>6</v>
      </c>
      <c r="B6" s="124"/>
      <c r="C6" s="124"/>
      <c r="D6" s="124"/>
      <c r="E6" s="124"/>
      <c r="F6" s="124"/>
      <c r="G6" s="124"/>
      <c r="H6" s="124"/>
      <c r="I6" s="124"/>
    </row>
    <row r="7" spans="1:9" ht="15.75">
      <c r="A7" s="3"/>
      <c r="B7" s="3"/>
      <c r="C7" s="3"/>
      <c r="D7" s="3"/>
      <c r="E7" s="3"/>
      <c r="F7" s="5"/>
      <c r="G7" s="5"/>
      <c r="H7" s="5"/>
      <c r="I7" s="3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ht="15.75">
      <c r="A9" s="141">
        <v>1</v>
      </c>
      <c r="B9" s="141" t="s">
        <v>19</v>
      </c>
      <c r="C9" s="141" t="s">
        <v>20</v>
      </c>
      <c r="D9" s="141" t="s">
        <v>18</v>
      </c>
      <c r="E9" s="53">
        <v>44570</v>
      </c>
      <c r="F9" s="54">
        <v>525800</v>
      </c>
      <c r="G9" s="54">
        <v>874009400</v>
      </c>
      <c r="H9" s="55" t="s">
        <v>48</v>
      </c>
      <c r="I9" s="56">
        <f t="shared" ref="I9:I14" si="0">G9</f>
        <v>874009400</v>
      </c>
    </row>
    <row r="10" spans="1:9" ht="15.75">
      <c r="A10" s="141"/>
      <c r="B10" s="141"/>
      <c r="C10" s="141"/>
      <c r="D10" s="141"/>
      <c r="E10" s="53">
        <v>44601</v>
      </c>
      <c r="F10" s="54">
        <v>342000</v>
      </c>
      <c r="G10" s="54">
        <v>559365600</v>
      </c>
      <c r="H10" s="55" t="s">
        <v>48</v>
      </c>
      <c r="I10" s="56">
        <f t="shared" si="0"/>
        <v>559365600</v>
      </c>
    </row>
    <row r="11" spans="1:9" ht="15.75">
      <c r="A11" s="141"/>
      <c r="B11" s="141"/>
      <c r="C11" s="141"/>
      <c r="D11" s="141"/>
      <c r="E11" s="53">
        <v>44629</v>
      </c>
      <c r="F11" s="54">
        <v>334300</v>
      </c>
      <c r="G11" s="54">
        <v>557282500</v>
      </c>
      <c r="H11" s="55"/>
      <c r="I11" s="56">
        <f t="shared" si="0"/>
        <v>557282500</v>
      </c>
    </row>
    <row r="12" spans="1:9" ht="15.75">
      <c r="A12" s="141">
        <v>2</v>
      </c>
      <c r="B12" s="141" t="s">
        <v>21</v>
      </c>
      <c r="C12" s="141" t="s">
        <v>22</v>
      </c>
      <c r="D12" s="141" t="s">
        <v>18</v>
      </c>
      <c r="E12" s="53">
        <v>44570</v>
      </c>
      <c r="F12" s="54">
        <v>1824700</v>
      </c>
      <c r="G12" s="54">
        <v>3027143700</v>
      </c>
      <c r="H12" s="55" t="s">
        <v>48</v>
      </c>
      <c r="I12" s="56">
        <f t="shared" si="0"/>
        <v>3027143700</v>
      </c>
    </row>
    <row r="13" spans="1:9" ht="15.75">
      <c r="A13" s="141"/>
      <c r="B13" s="141"/>
      <c r="C13" s="141"/>
      <c r="D13" s="141"/>
      <c r="E13" s="53">
        <v>44601</v>
      </c>
      <c r="F13" s="54">
        <v>1072100</v>
      </c>
      <c r="G13" s="54">
        <v>1760115900</v>
      </c>
      <c r="H13" s="55" t="s">
        <v>48</v>
      </c>
      <c r="I13" s="56">
        <f t="shared" si="0"/>
        <v>1760115900</v>
      </c>
    </row>
    <row r="14" spans="1:9" ht="15.75">
      <c r="A14" s="141"/>
      <c r="B14" s="141"/>
      <c r="C14" s="141"/>
      <c r="D14" s="141"/>
      <c r="E14" s="53">
        <v>44629</v>
      </c>
      <c r="F14" s="54">
        <v>1129800</v>
      </c>
      <c r="G14" s="54">
        <v>1885091400</v>
      </c>
      <c r="H14" s="55" t="s">
        <v>48</v>
      </c>
      <c r="I14" s="56">
        <f t="shared" si="0"/>
        <v>1885091400</v>
      </c>
    </row>
    <row r="15" spans="1:9" ht="15.75">
      <c r="A15" s="139" t="s">
        <v>28</v>
      </c>
      <c r="B15" s="139"/>
      <c r="C15" s="139"/>
      <c r="D15" s="139"/>
      <c r="E15" s="139"/>
      <c r="F15" s="52">
        <f>SUM(F9:F14)</f>
        <v>5228700</v>
      </c>
      <c r="G15" s="52">
        <f>SUM(G9:G14)</f>
        <v>8663008500</v>
      </c>
      <c r="H15" s="52"/>
      <c r="I15" s="52">
        <f>SUM(I9:I14)</f>
        <v>8663008500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49</v>
      </c>
      <c r="E17" s="140"/>
      <c r="F17" s="122" t="s">
        <v>81</v>
      </c>
      <c r="G17" s="122"/>
      <c r="H17" s="18"/>
      <c r="I17" s="18" t="s">
        <v>82</v>
      </c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40" t="s">
        <v>32</v>
      </c>
      <c r="B22" s="140"/>
      <c r="C22" s="140"/>
      <c r="D22" s="140" t="s">
        <v>87</v>
      </c>
      <c r="E22" s="140"/>
      <c r="F22" s="140" t="s">
        <v>88</v>
      </c>
      <c r="G22" s="140"/>
      <c r="H22" s="140"/>
      <c r="I22" s="140"/>
    </row>
  </sheetData>
  <mergeCells count="23"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6:I6"/>
    <mergeCell ref="A15:E15"/>
    <mergeCell ref="A17:C17"/>
    <mergeCell ref="D17:E17"/>
    <mergeCell ref="F17:G17"/>
    <mergeCell ref="A1:C1"/>
    <mergeCell ref="E1:H1"/>
    <mergeCell ref="A2:C2"/>
    <mergeCell ref="E2:H2"/>
    <mergeCell ref="A3:C3"/>
  </mergeCells>
  <pageMargins left="0.39" right="0.7" top="0.32" bottom="0.41" header="0.3" footer="0.3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2"/>
  <sheetViews>
    <sheetView topLeftCell="A7" workbookViewId="0">
      <selection activeCell="L17" sqref="L17"/>
    </sheetView>
  </sheetViews>
  <sheetFormatPr defaultColWidth="9" defaultRowHeight="12.75"/>
  <cols>
    <col min="2" max="2" width="17.42578125" customWidth="1"/>
    <col min="3" max="3" width="13.28515625" customWidth="1"/>
    <col min="4" max="4" width="18.85546875" customWidth="1"/>
    <col min="5" max="5" width="14.85546875" customWidth="1"/>
    <col min="6" max="6" width="15.42578125" customWidth="1"/>
    <col min="7" max="7" width="16.42578125" customWidth="1"/>
    <col min="9" max="9" width="17.855468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89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1.5" customHeight="1">
      <c r="A6" s="124" t="s">
        <v>6</v>
      </c>
      <c r="B6" s="124"/>
      <c r="C6" s="124"/>
      <c r="D6" s="124"/>
      <c r="E6" s="124"/>
      <c r="F6" s="124"/>
      <c r="G6" s="124"/>
      <c r="H6" s="124"/>
      <c r="I6" s="124"/>
    </row>
    <row r="7" spans="1:9" ht="15.75">
      <c r="A7" s="3"/>
      <c r="B7" s="3"/>
      <c r="C7" s="3"/>
      <c r="D7" s="3"/>
      <c r="E7" s="3"/>
      <c r="F7" s="5"/>
      <c r="G7" s="5"/>
      <c r="H7" s="5"/>
      <c r="I7" s="3"/>
    </row>
    <row r="8" spans="1:9" ht="31.5">
      <c r="A8" s="50" t="s">
        <v>7</v>
      </c>
      <c r="B8" s="50" t="s">
        <v>8</v>
      </c>
      <c r="C8" s="50" t="s">
        <v>9</v>
      </c>
      <c r="D8" s="50" t="s">
        <v>10</v>
      </c>
      <c r="E8" s="50" t="s">
        <v>11</v>
      </c>
      <c r="F8" s="51" t="s">
        <v>12</v>
      </c>
      <c r="G8" s="52" t="s">
        <v>13</v>
      </c>
      <c r="H8" s="52" t="s">
        <v>14</v>
      </c>
      <c r="I8" s="50" t="s">
        <v>15</v>
      </c>
    </row>
    <row r="9" spans="1:9" ht="15.75">
      <c r="A9" s="141">
        <v>1</v>
      </c>
      <c r="B9" s="141" t="s">
        <v>19</v>
      </c>
      <c r="C9" s="141" t="s">
        <v>20</v>
      </c>
      <c r="D9" s="141" t="s">
        <v>18</v>
      </c>
      <c r="E9" s="53">
        <v>44571</v>
      </c>
      <c r="F9" s="54">
        <v>304800</v>
      </c>
      <c r="G9" s="54">
        <v>508236000</v>
      </c>
      <c r="H9" s="55" t="s">
        <v>48</v>
      </c>
      <c r="I9" s="56">
        <f t="shared" ref="I9:I14" si="0">G9</f>
        <v>508236000</v>
      </c>
    </row>
    <row r="10" spans="1:9" ht="15.75">
      <c r="A10" s="141"/>
      <c r="B10" s="141"/>
      <c r="C10" s="141"/>
      <c r="D10" s="141"/>
      <c r="E10" s="53">
        <v>44602</v>
      </c>
      <c r="F10" s="54">
        <v>306500</v>
      </c>
      <c r="G10" s="54">
        <v>517405100</v>
      </c>
      <c r="H10" s="55" t="s">
        <v>48</v>
      </c>
      <c r="I10" s="56">
        <f t="shared" si="0"/>
        <v>517405100</v>
      </c>
    </row>
    <row r="11" spans="1:9" ht="15.75">
      <c r="A11" s="141"/>
      <c r="B11" s="141"/>
      <c r="C11" s="141"/>
      <c r="D11" s="141"/>
      <c r="E11" s="53">
        <v>44630</v>
      </c>
      <c r="F11" s="54">
        <v>349400</v>
      </c>
      <c r="G11" s="54">
        <v>582396200</v>
      </c>
      <c r="H11" s="55"/>
      <c r="I11" s="56">
        <f t="shared" si="0"/>
        <v>582396200</v>
      </c>
    </row>
    <row r="12" spans="1:9" ht="15.75">
      <c r="A12" s="141">
        <v>2</v>
      </c>
      <c r="B12" s="141" t="s">
        <v>21</v>
      </c>
      <c r="C12" s="141" t="s">
        <v>22</v>
      </c>
      <c r="D12" s="141" t="s">
        <v>18</v>
      </c>
      <c r="E12" s="53">
        <v>44571</v>
      </c>
      <c r="F12" s="54">
        <v>1092200</v>
      </c>
      <c r="G12" s="54">
        <v>1805966200</v>
      </c>
      <c r="H12" s="55" t="s">
        <v>48</v>
      </c>
      <c r="I12" s="56">
        <f t="shared" si="0"/>
        <v>1805966200</v>
      </c>
    </row>
    <row r="13" spans="1:9" ht="15.75">
      <c r="A13" s="141"/>
      <c r="B13" s="141"/>
      <c r="C13" s="141"/>
      <c r="D13" s="141"/>
      <c r="E13" s="53">
        <v>44602</v>
      </c>
      <c r="F13" s="54">
        <v>1084600</v>
      </c>
      <c r="G13" s="54">
        <v>1819733000</v>
      </c>
      <c r="H13" s="55" t="s">
        <v>48</v>
      </c>
      <c r="I13" s="56">
        <f t="shared" si="0"/>
        <v>1819733000</v>
      </c>
    </row>
    <row r="14" spans="1:9" ht="15.75">
      <c r="A14" s="141"/>
      <c r="B14" s="141"/>
      <c r="C14" s="141"/>
      <c r="D14" s="141"/>
      <c r="E14" s="53">
        <v>44630</v>
      </c>
      <c r="F14" s="54">
        <v>1227500</v>
      </c>
      <c r="G14" s="54">
        <v>2038015700</v>
      </c>
      <c r="H14" s="55" t="s">
        <v>48</v>
      </c>
      <c r="I14" s="56">
        <f t="shared" si="0"/>
        <v>2038015700</v>
      </c>
    </row>
    <row r="15" spans="1:9" ht="15.75">
      <c r="A15" s="139" t="s">
        <v>28</v>
      </c>
      <c r="B15" s="139"/>
      <c r="C15" s="139"/>
      <c r="D15" s="139"/>
      <c r="E15" s="139"/>
      <c r="F15" s="52">
        <f>SUM(F9:F14)</f>
        <v>4365000</v>
      </c>
      <c r="G15" s="52">
        <f>SUM(G9:G14)</f>
        <v>7271752200</v>
      </c>
      <c r="H15" s="52"/>
      <c r="I15" s="52">
        <f>SUM(I9:I14)</f>
        <v>7271752200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49</v>
      </c>
      <c r="E17" s="140"/>
      <c r="F17" s="122" t="s">
        <v>81</v>
      </c>
      <c r="G17" s="122"/>
      <c r="H17" s="18"/>
      <c r="I17" s="18" t="s">
        <v>82</v>
      </c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40" t="s">
        <v>32</v>
      </c>
      <c r="B22" s="140"/>
      <c r="C22" s="140"/>
      <c r="D22" s="140" t="s">
        <v>87</v>
      </c>
      <c r="E22" s="140"/>
      <c r="F22" s="140" t="s">
        <v>88</v>
      </c>
      <c r="G22" s="140"/>
      <c r="H22" s="140"/>
      <c r="I22" s="140"/>
    </row>
  </sheetData>
  <mergeCells count="23"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6:I6"/>
    <mergeCell ref="A15:E15"/>
    <mergeCell ref="A17:C17"/>
    <mergeCell ref="D17:E17"/>
    <mergeCell ref="F17:G17"/>
    <mergeCell ref="A1:C1"/>
    <mergeCell ref="E1:H1"/>
    <mergeCell ref="A2:C2"/>
    <mergeCell ref="E2:H2"/>
    <mergeCell ref="A3:C3"/>
  </mergeCells>
  <pageMargins left="0.7" right="0.7" top="0.75" bottom="0.75" header="0.3" footer="0.3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2"/>
  <sheetViews>
    <sheetView topLeftCell="A7" workbookViewId="0">
      <selection sqref="A1:I22"/>
    </sheetView>
  </sheetViews>
  <sheetFormatPr defaultColWidth="9" defaultRowHeight="12.75"/>
  <cols>
    <col min="2" max="2" width="19.85546875" customWidth="1"/>
    <col min="3" max="3" width="10.85546875" customWidth="1"/>
    <col min="4" max="4" width="18.5703125" customWidth="1"/>
    <col min="5" max="5" width="15.28515625" customWidth="1"/>
    <col min="6" max="6" width="17.28515625" customWidth="1"/>
    <col min="7" max="7" width="16.28515625" customWidth="1"/>
    <col min="8" max="8" width="9.85546875" customWidth="1"/>
    <col min="9" max="9" width="18.57031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90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7.5" customHeight="1">
      <c r="A6" s="124" t="s">
        <v>6</v>
      </c>
      <c r="B6" s="124"/>
      <c r="C6" s="124"/>
      <c r="D6" s="124"/>
      <c r="E6" s="124"/>
      <c r="F6" s="124"/>
      <c r="G6" s="124"/>
      <c r="H6" s="124"/>
      <c r="I6" s="124"/>
    </row>
    <row r="7" spans="1:9" ht="15.75">
      <c r="A7" s="3"/>
      <c r="B7" s="3"/>
      <c r="C7" s="3"/>
      <c r="D7" s="3"/>
      <c r="E7" s="3"/>
      <c r="F7" s="5"/>
      <c r="G7" s="5"/>
      <c r="H7" s="5"/>
      <c r="I7" s="3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ht="15.75">
      <c r="A9" s="128">
        <v>1</v>
      </c>
      <c r="B9" s="128" t="s">
        <v>19</v>
      </c>
      <c r="C9" s="128" t="s">
        <v>20</v>
      </c>
      <c r="D9" s="128" t="s">
        <v>18</v>
      </c>
      <c r="E9" s="41">
        <v>44572</v>
      </c>
      <c r="F9" s="45">
        <v>309100</v>
      </c>
      <c r="G9" s="45">
        <v>522369300</v>
      </c>
      <c r="H9" s="48" t="s">
        <v>48</v>
      </c>
      <c r="I9" s="49">
        <f t="shared" ref="I9:I14" si="0">G9</f>
        <v>522369300</v>
      </c>
    </row>
    <row r="10" spans="1:9" ht="15.75">
      <c r="A10" s="128"/>
      <c r="B10" s="128"/>
      <c r="C10" s="128"/>
      <c r="D10" s="128"/>
      <c r="E10" s="41">
        <v>44603</v>
      </c>
      <c r="F10" s="45">
        <v>326000</v>
      </c>
      <c r="G10" s="45">
        <v>544131600</v>
      </c>
      <c r="H10" s="48" t="s">
        <v>48</v>
      </c>
      <c r="I10" s="49">
        <f t="shared" si="0"/>
        <v>544131600</v>
      </c>
    </row>
    <row r="11" spans="1:9" ht="20.25" customHeight="1">
      <c r="A11" s="128"/>
      <c r="B11" s="128"/>
      <c r="C11" s="128"/>
      <c r="D11" s="128"/>
      <c r="E11" s="41">
        <v>44631</v>
      </c>
      <c r="F11" s="45">
        <v>301600</v>
      </c>
      <c r="G11" s="45">
        <v>506101600</v>
      </c>
      <c r="H11" s="48"/>
      <c r="I11" s="49">
        <f t="shared" si="0"/>
        <v>506101600</v>
      </c>
    </row>
    <row r="12" spans="1:9" ht="15.75">
      <c r="A12" s="128">
        <v>2</v>
      </c>
      <c r="B12" s="128" t="s">
        <v>21</v>
      </c>
      <c r="C12" s="128" t="s">
        <v>22</v>
      </c>
      <c r="D12" s="128" t="s">
        <v>18</v>
      </c>
      <c r="E12" s="41">
        <v>44572</v>
      </c>
      <c r="F12" s="45">
        <v>1102600</v>
      </c>
      <c r="G12" s="45">
        <v>1858370600</v>
      </c>
      <c r="H12" s="48" t="s">
        <v>48</v>
      </c>
      <c r="I12" s="49">
        <f t="shared" si="0"/>
        <v>1858370600</v>
      </c>
    </row>
    <row r="13" spans="1:9" ht="15.75">
      <c r="A13" s="128"/>
      <c r="B13" s="128"/>
      <c r="C13" s="128"/>
      <c r="D13" s="128"/>
      <c r="E13" s="41">
        <v>44603</v>
      </c>
      <c r="F13" s="45">
        <v>1064100</v>
      </c>
      <c r="G13" s="45">
        <v>1750009900</v>
      </c>
      <c r="H13" s="48" t="s">
        <v>48</v>
      </c>
      <c r="I13" s="49">
        <f t="shared" si="0"/>
        <v>1750009900</v>
      </c>
    </row>
    <row r="14" spans="1:9" ht="15.75">
      <c r="A14" s="128"/>
      <c r="B14" s="128"/>
      <c r="C14" s="128"/>
      <c r="D14" s="128"/>
      <c r="E14" s="41">
        <v>44631</v>
      </c>
      <c r="F14" s="45">
        <v>1146100</v>
      </c>
      <c r="G14" s="45">
        <v>1936027500</v>
      </c>
      <c r="H14" s="48" t="s">
        <v>48</v>
      </c>
      <c r="I14" s="49">
        <f t="shared" si="0"/>
        <v>1936027500</v>
      </c>
    </row>
    <row r="15" spans="1:9" ht="15.75">
      <c r="A15" s="142" t="s">
        <v>28</v>
      </c>
      <c r="B15" s="142"/>
      <c r="C15" s="142"/>
      <c r="D15" s="142"/>
      <c r="E15" s="142"/>
      <c r="F15" s="32">
        <f>SUM(F9:F14)</f>
        <v>4249500</v>
      </c>
      <c r="G15" s="32">
        <f>SUM(G9:G14)</f>
        <v>7117010500</v>
      </c>
      <c r="H15" s="32"/>
      <c r="I15" s="32">
        <f>SUM(I9:I14)</f>
        <v>7117010500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49</v>
      </c>
      <c r="E17" s="140"/>
      <c r="F17" s="122" t="s">
        <v>81</v>
      </c>
      <c r="G17" s="122"/>
      <c r="H17" s="18"/>
      <c r="I17" s="18" t="s">
        <v>82</v>
      </c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40" t="s">
        <v>32</v>
      </c>
      <c r="B22" s="140"/>
      <c r="C22" s="140"/>
      <c r="D22" s="140" t="s">
        <v>87</v>
      </c>
      <c r="E22" s="140"/>
      <c r="F22" s="140" t="s">
        <v>88</v>
      </c>
      <c r="G22" s="140"/>
      <c r="H22" s="140"/>
      <c r="I22" s="140"/>
    </row>
  </sheetData>
  <mergeCells count="23"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6:I6"/>
    <mergeCell ref="A15:E15"/>
    <mergeCell ref="A17:C17"/>
    <mergeCell ref="D17:E17"/>
    <mergeCell ref="F17:G17"/>
    <mergeCell ref="A1:C1"/>
    <mergeCell ref="E1:H1"/>
    <mergeCell ref="A2:C2"/>
    <mergeCell ref="E2:H2"/>
    <mergeCell ref="A3:C3"/>
  </mergeCells>
  <pageMargins left="0.32" right="0.7" top="0.75" bottom="0.37" header="0.3" footer="0.3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2"/>
  <sheetViews>
    <sheetView topLeftCell="A7" workbookViewId="0">
      <selection sqref="A1:I23"/>
    </sheetView>
  </sheetViews>
  <sheetFormatPr defaultColWidth="9" defaultRowHeight="12.75"/>
  <cols>
    <col min="2" max="2" width="16.5703125" customWidth="1"/>
    <col min="3" max="3" width="14.42578125" customWidth="1"/>
    <col min="4" max="4" width="16.5703125" customWidth="1"/>
    <col min="5" max="5" width="14.5703125" customWidth="1"/>
    <col min="6" max="6" width="12.28515625" customWidth="1"/>
    <col min="7" max="7" width="15.42578125" customWidth="1"/>
    <col min="8" max="8" width="8.42578125" customWidth="1"/>
    <col min="9" max="9" width="19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91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9" customHeight="1">
      <c r="A6" s="124" t="s">
        <v>6</v>
      </c>
      <c r="B6" s="124"/>
      <c r="C6" s="124"/>
      <c r="D6" s="124"/>
      <c r="E6" s="124"/>
      <c r="F6" s="124"/>
      <c r="G6" s="124"/>
      <c r="H6" s="124"/>
      <c r="I6" s="124"/>
    </row>
    <row r="7" spans="1:9" ht="15.75">
      <c r="A7" s="3"/>
      <c r="B7" s="3"/>
      <c r="C7" s="3"/>
      <c r="D7" s="3"/>
      <c r="E7" s="3"/>
      <c r="F7" s="5"/>
      <c r="G7" s="5"/>
      <c r="H7" s="5"/>
      <c r="I7" s="3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ht="15.75">
      <c r="A9" s="128">
        <v>1</v>
      </c>
      <c r="B9" s="128" t="s">
        <v>19</v>
      </c>
      <c r="C9" s="128" t="s">
        <v>20</v>
      </c>
      <c r="D9" s="128" t="s">
        <v>18</v>
      </c>
      <c r="E9" s="41">
        <v>44573</v>
      </c>
      <c r="F9" s="45">
        <v>316300</v>
      </c>
      <c r="G9" s="45">
        <v>536011300</v>
      </c>
      <c r="H9" s="48" t="s">
        <v>48</v>
      </c>
      <c r="I9" s="49">
        <f>G9</f>
        <v>536011300</v>
      </c>
    </row>
    <row r="10" spans="1:9" ht="15.75">
      <c r="A10" s="128"/>
      <c r="B10" s="128"/>
      <c r="C10" s="128"/>
      <c r="D10" s="128"/>
      <c r="E10" s="41">
        <v>44604</v>
      </c>
      <c r="F10" s="45">
        <v>296600</v>
      </c>
      <c r="G10" s="45">
        <v>500935000</v>
      </c>
      <c r="H10" s="48" t="s">
        <v>48</v>
      </c>
      <c r="I10" s="49">
        <f>G10</f>
        <v>500935000</v>
      </c>
    </row>
    <row r="11" spans="1:9" ht="21" customHeight="1">
      <c r="A11" s="128"/>
      <c r="B11" s="128"/>
      <c r="C11" s="128"/>
      <c r="D11" s="128"/>
      <c r="E11" s="41">
        <v>44632</v>
      </c>
      <c r="F11" s="45">
        <v>309700</v>
      </c>
      <c r="G11" s="45">
        <v>518654300</v>
      </c>
      <c r="H11" s="48">
        <v>0</v>
      </c>
      <c r="I11" s="49">
        <f>G11</f>
        <v>518654300</v>
      </c>
    </row>
    <row r="12" spans="1:9" ht="15.75">
      <c r="A12" s="128">
        <v>2</v>
      </c>
      <c r="B12" s="128" t="s">
        <v>21</v>
      </c>
      <c r="C12" s="128" t="s">
        <v>22</v>
      </c>
      <c r="D12" s="128" t="s">
        <v>18</v>
      </c>
      <c r="E12" s="41">
        <v>44573</v>
      </c>
      <c r="F12" s="45">
        <v>1122500</v>
      </c>
      <c r="G12" s="45">
        <v>1894317500</v>
      </c>
      <c r="H12" s="48" t="s">
        <v>48</v>
      </c>
      <c r="I12" s="49">
        <f>G12</f>
        <v>1894317500</v>
      </c>
    </row>
    <row r="13" spans="1:9" ht="15.75">
      <c r="A13" s="128"/>
      <c r="B13" s="128"/>
      <c r="C13" s="128"/>
      <c r="D13" s="128"/>
      <c r="E13" s="41">
        <v>44604</v>
      </c>
      <c r="F13" s="45">
        <v>1007200</v>
      </c>
      <c r="G13" s="45">
        <v>1692162400</v>
      </c>
      <c r="H13" s="48" t="s">
        <v>48</v>
      </c>
      <c r="I13" s="49">
        <f>G13</f>
        <v>1692162400</v>
      </c>
    </row>
    <row r="14" spans="1:9" ht="21" customHeight="1">
      <c r="A14" s="128"/>
      <c r="B14" s="128"/>
      <c r="C14" s="128"/>
      <c r="D14" s="128"/>
      <c r="E14" s="41">
        <v>44632</v>
      </c>
      <c r="F14" s="45">
        <v>1123000</v>
      </c>
      <c r="G14" s="45">
        <v>1906991000</v>
      </c>
      <c r="H14" s="48">
        <v>0</v>
      </c>
      <c r="I14" s="49">
        <v>1906991000</v>
      </c>
    </row>
    <row r="15" spans="1:9" ht="15.75">
      <c r="A15" s="142" t="s">
        <v>28</v>
      </c>
      <c r="B15" s="142"/>
      <c r="C15" s="142"/>
      <c r="D15" s="142"/>
      <c r="E15" s="142"/>
      <c r="F15" s="32">
        <f>SUM(F9:F14)</f>
        <v>4175300</v>
      </c>
      <c r="G15" s="32">
        <f>SUM(G9:G14)</f>
        <v>7049071500</v>
      </c>
      <c r="H15" s="32"/>
      <c r="I15" s="32">
        <f>SUM(I9:I14)</f>
        <v>7049071500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49</v>
      </c>
      <c r="E17" s="140"/>
      <c r="F17" s="122" t="s">
        <v>81</v>
      </c>
      <c r="G17" s="122"/>
      <c r="H17" s="18"/>
      <c r="I17" s="18" t="s">
        <v>82</v>
      </c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40" t="s">
        <v>32</v>
      </c>
      <c r="B22" s="140"/>
      <c r="C22" s="140"/>
      <c r="D22" s="140" t="s">
        <v>87</v>
      </c>
      <c r="E22" s="140"/>
      <c r="F22" s="140" t="s">
        <v>92</v>
      </c>
      <c r="G22" s="140"/>
      <c r="H22" s="140"/>
      <c r="I22" s="140"/>
    </row>
  </sheetData>
  <mergeCells count="23"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6:I6"/>
    <mergeCell ref="A15:E15"/>
    <mergeCell ref="A17:C17"/>
    <mergeCell ref="D17:E17"/>
    <mergeCell ref="F17:G17"/>
    <mergeCell ref="A1:C1"/>
    <mergeCell ref="E1:H1"/>
    <mergeCell ref="A2:C2"/>
    <mergeCell ref="E2:H2"/>
    <mergeCell ref="A3:C3"/>
  </mergeCells>
  <pageMargins left="0.3" right="0.7" top="0.42" bottom="0.61" header="0.3" footer="0.3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2"/>
  <sheetViews>
    <sheetView topLeftCell="A6" workbookViewId="0">
      <selection sqref="A1:I23"/>
    </sheetView>
  </sheetViews>
  <sheetFormatPr defaultColWidth="9" defaultRowHeight="12.75"/>
  <cols>
    <col min="2" max="2" width="16.7109375" customWidth="1"/>
    <col min="3" max="3" width="12" customWidth="1"/>
    <col min="4" max="4" width="20" customWidth="1"/>
    <col min="5" max="5" width="15.140625" customWidth="1"/>
    <col min="6" max="6" width="12.7109375" customWidth="1"/>
    <col min="7" max="7" width="17.140625" customWidth="1"/>
    <col min="9" max="9" width="15.57031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93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3.75" customHeight="1">
      <c r="A6" s="124" t="s">
        <v>6</v>
      </c>
      <c r="B6" s="124"/>
      <c r="C6" s="124"/>
      <c r="D6" s="124"/>
      <c r="E6" s="124"/>
      <c r="F6" s="124"/>
      <c r="G6" s="124"/>
      <c r="H6" s="124"/>
      <c r="I6" s="124"/>
    </row>
    <row r="7" spans="1:9" ht="15.75">
      <c r="A7" s="3"/>
      <c r="B7" s="3"/>
      <c r="C7" s="3"/>
      <c r="D7" s="3"/>
      <c r="E7" s="3"/>
      <c r="F7" s="5"/>
      <c r="G7" s="5"/>
      <c r="H7" s="5"/>
      <c r="I7" s="3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ht="15.75">
      <c r="A9" s="128">
        <v>1</v>
      </c>
      <c r="B9" s="128" t="s">
        <v>19</v>
      </c>
      <c r="C9" s="128" t="s">
        <v>20</v>
      </c>
      <c r="D9" s="128" t="s">
        <v>18</v>
      </c>
      <c r="E9" s="41">
        <v>44927</v>
      </c>
      <c r="F9" s="45">
        <v>152800</v>
      </c>
      <c r="G9" s="45">
        <v>252092400</v>
      </c>
      <c r="H9" s="48" t="s">
        <v>48</v>
      </c>
      <c r="I9" s="49">
        <f t="shared" ref="I9:I14" si="0">G9</f>
        <v>252092400</v>
      </c>
    </row>
    <row r="10" spans="1:9" ht="15.75">
      <c r="A10" s="128"/>
      <c r="B10" s="128"/>
      <c r="C10" s="128"/>
      <c r="D10" s="128"/>
      <c r="E10" s="41">
        <v>44958</v>
      </c>
      <c r="F10" s="45">
        <v>183400</v>
      </c>
      <c r="G10" s="45">
        <v>304953800</v>
      </c>
      <c r="H10" s="48" t="s">
        <v>48</v>
      </c>
      <c r="I10" s="49">
        <f t="shared" si="0"/>
        <v>304953800</v>
      </c>
    </row>
    <row r="11" spans="1:9" ht="15.75">
      <c r="A11" s="128"/>
      <c r="B11" s="128"/>
      <c r="C11" s="128"/>
      <c r="D11" s="128"/>
      <c r="E11" s="41">
        <v>44986</v>
      </c>
      <c r="F11" s="45">
        <v>154900</v>
      </c>
      <c r="G11" s="45">
        <v>255994700</v>
      </c>
      <c r="H11" s="48">
        <v>0</v>
      </c>
      <c r="I11" s="49">
        <f t="shared" si="0"/>
        <v>255994700</v>
      </c>
    </row>
    <row r="12" spans="1:9" ht="15.75">
      <c r="A12" s="128">
        <v>2</v>
      </c>
      <c r="B12" s="128" t="s">
        <v>21</v>
      </c>
      <c r="C12" s="128" t="s">
        <v>22</v>
      </c>
      <c r="D12" s="128" t="s">
        <v>18</v>
      </c>
      <c r="E12" s="41">
        <v>44927</v>
      </c>
      <c r="F12" s="45">
        <v>154800</v>
      </c>
      <c r="G12" s="45">
        <v>255390000</v>
      </c>
      <c r="H12" s="48" t="s">
        <v>48</v>
      </c>
      <c r="I12" s="49">
        <f t="shared" si="0"/>
        <v>255390000</v>
      </c>
    </row>
    <row r="13" spans="1:9" ht="15.75">
      <c r="A13" s="128"/>
      <c r="B13" s="128"/>
      <c r="C13" s="128"/>
      <c r="D13" s="128"/>
      <c r="E13" s="41">
        <v>44958</v>
      </c>
      <c r="F13" s="45">
        <v>150200</v>
      </c>
      <c r="G13" s="45">
        <v>252075400</v>
      </c>
      <c r="H13" s="48" t="s">
        <v>48</v>
      </c>
      <c r="I13" s="49">
        <f t="shared" si="0"/>
        <v>252075400</v>
      </c>
    </row>
    <row r="14" spans="1:9" ht="15.75">
      <c r="A14" s="128"/>
      <c r="B14" s="128"/>
      <c r="C14" s="128"/>
      <c r="D14" s="128"/>
      <c r="E14" s="41">
        <v>44986</v>
      </c>
      <c r="F14" s="45">
        <v>215600</v>
      </c>
      <c r="G14" s="45">
        <v>356311200</v>
      </c>
      <c r="H14" s="48">
        <v>0</v>
      </c>
      <c r="I14" s="49">
        <f t="shared" si="0"/>
        <v>356311200</v>
      </c>
    </row>
    <row r="15" spans="1:9" ht="15.75">
      <c r="A15" s="142" t="s">
        <v>28</v>
      </c>
      <c r="B15" s="142"/>
      <c r="C15" s="142"/>
      <c r="D15" s="142"/>
      <c r="E15" s="142"/>
      <c r="F15" s="32">
        <f>SUM(F9:F14)</f>
        <v>1011700</v>
      </c>
      <c r="G15" s="32">
        <f>SUM(G9:G14)</f>
        <v>1676817500</v>
      </c>
      <c r="H15" s="32"/>
      <c r="I15" s="32">
        <f>SUM(I9:I14)</f>
        <v>1676817500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49</v>
      </c>
      <c r="E17" s="140"/>
      <c r="F17" s="122" t="s">
        <v>81</v>
      </c>
      <c r="G17" s="122"/>
      <c r="H17" s="18"/>
      <c r="I17" s="18" t="s">
        <v>82</v>
      </c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40" t="s">
        <v>32</v>
      </c>
      <c r="B22" s="140"/>
      <c r="C22" s="140"/>
      <c r="D22" s="140" t="s">
        <v>87</v>
      </c>
      <c r="E22" s="140"/>
      <c r="F22" s="140" t="s">
        <v>92</v>
      </c>
      <c r="G22" s="140"/>
      <c r="H22" s="140"/>
      <c r="I22" s="140"/>
    </row>
  </sheetData>
  <mergeCells count="23"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6:I6"/>
    <mergeCell ref="A15:E15"/>
    <mergeCell ref="A17:C17"/>
    <mergeCell ref="D17:E17"/>
    <mergeCell ref="F17:G17"/>
    <mergeCell ref="A1:C1"/>
    <mergeCell ref="E1:H1"/>
    <mergeCell ref="A2:C2"/>
    <mergeCell ref="E2:H2"/>
    <mergeCell ref="A3:C3"/>
  </mergeCells>
  <pageMargins left="0.7" right="0.7" top="0.51" bottom="0.39" header="0.3" footer="0.3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2"/>
  <sheetViews>
    <sheetView workbookViewId="0">
      <selection activeCell="J9" sqref="J9"/>
    </sheetView>
  </sheetViews>
  <sheetFormatPr defaultColWidth="9" defaultRowHeight="12.75"/>
  <cols>
    <col min="1" max="1" width="6.5703125" customWidth="1"/>
    <col min="2" max="2" width="19.140625" customWidth="1"/>
    <col min="3" max="3" width="14.42578125" customWidth="1"/>
    <col min="4" max="4" width="16" customWidth="1"/>
    <col min="5" max="5" width="13.42578125" customWidth="1"/>
    <col min="6" max="6" width="13.28515625" customWidth="1"/>
    <col min="7" max="7" width="15.5703125" customWidth="1"/>
    <col min="9" max="9" width="19.570312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94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6.75" customHeight="1">
      <c r="A6" s="124" t="s">
        <v>6</v>
      </c>
      <c r="B6" s="124"/>
      <c r="C6" s="124"/>
      <c r="D6" s="124"/>
      <c r="E6" s="124"/>
      <c r="F6" s="124"/>
      <c r="G6" s="124"/>
      <c r="H6" s="124"/>
      <c r="I6" s="124"/>
    </row>
    <row r="7" spans="1:9" ht="15.75">
      <c r="A7" s="3"/>
      <c r="B7" s="3"/>
      <c r="C7" s="3"/>
      <c r="D7" s="3"/>
      <c r="E7" s="3"/>
      <c r="F7" s="5"/>
      <c r="G7" s="5"/>
      <c r="H7" s="5"/>
      <c r="I7" s="3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ht="15.75">
      <c r="A9" s="128">
        <v>1</v>
      </c>
      <c r="B9" s="128" t="s">
        <v>19</v>
      </c>
      <c r="C9" s="128" t="s">
        <v>20</v>
      </c>
      <c r="D9" s="128" t="s">
        <v>18</v>
      </c>
      <c r="E9" s="41">
        <v>44928</v>
      </c>
      <c r="F9" s="45">
        <v>196800</v>
      </c>
      <c r="G9" s="45">
        <v>328445200</v>
      </c>
      <c r="H9" s="48" t="s">
        <v>48</v>
      </c>
      <c r="I9" s="49">
        <f t="shared" ref="I9:I14" si="0">G9</f>
        <v>328445200</v>
      </c>
    </row>
    <row r="10" spans="1:9" ht="15.75">
      <c r="A10" s="128"/>
      <c r="B10" s="128"/>
      <c r="C10" s="128"/>
      <c r="D10" s="128"/>
      <c r="E10" s="41">
        <v>44959</v>
      </c>
      <c r="F10" s="45">
        <v>245500</v>
      </c>
      <c r="G10" s="45">
        <v>403168900</v>
      </c>
      <c r="H10" s="48" t="s">
        <v>48</v>
      </c>
      <c r="I10" s="49">
        <f t="shared" si="0"/>
        <v>403168900</v>
      </c>
    </row>
    <row r="11" spans="1:9" ht="15.75">
      <c r="A11" s="128"/>
      <c r="B11" s="128"/>
      <c r="C11" s="128"/>
      <c r="D11" s="128"/>
      <c r="E11" s="41">
        <v>44987</v>
      </c>
      <c r="F11" s="45">
        <v>224280</v>
      </c>
      <c r="G11" s="45">
        <v>374541400</v>
      </c>
      <c r="H11" s="48">
        <v>0</v>
      </c>
      <c r="I11" s="49">
        <f t="shared" si="0"/>
        <v>374541400</v>
      </c>
    </row>
    <row r="12" spans="1:9" ht="15.75">
      <c r="A12" s="128">
        <v>2</v>
      </c>
      <c r="B12" s="128" t="s">
        <v>21</v>
      </c>
      <c r="C12" s="128" t="s">
        <v>22</v>
      </c>
      <c r="D12" s="128" t="s">
        <v>18</v>
      </c>
      <c r="E12" s="41">
        <v>44928</v>
      </c>
      <c r="F12" s="45">
        <v>632600</v>
      </c>
      <c r="G12" s="45">
        <v>1058023000</v>
      </c>
      <c r="H12" s="48" t="s">
        <v>48</v>
      </c>
      <c r="I12" s="49">
        <f t="shared" si="0"/>
        <v>1058023000</v>
      </c>
    </row>
    <row r="13" spans="1:9" ht="15.75">
      <c r="A13" s="128"/>
      <c r="B13" s="128"/>
      <c r="C13" s="128"/>
      <c r="D13" s="128"/>
      <c r="E13" s="41">
        <v>44959</v>
      </c>
      <c r="F13" s="45">
        <v>1025700</v>
      </c>
      <c r="G13" s="45">
        <v>1694448700</v>
      </c>
      <c r="H13" s="48" t="s">
        <v>48</v>
      </c>
      <c r="I13" s="49">
        <f t="shared" si="0"/>
        <v>1694448700</v>
      </c>
    </row>
    <row r="14" spans="1:9" ht="15.75">
      <c r="A14" s="128"/>
      <c r="B14" s="128"/>
      <c r="C14" s="128"/>
      <c r="D14" s="128"/>
      <c r="E14" s="41">
        <v>44987</v>
      </c>
      <c r="F14" s="45">
        <v>992900</v>
      </c>
      <c r="G14" s="45">
        <v>1691763500</v>
      </c>
      <c r="H14" s="48">
        <v>0</v>
      </c>
      <c r="I14" s="49">
        <f t="shared" si="0"/>
        <v>1691763500</v>
      </c>
    </row>
    <row r="15" spans="1:9" ht="15.75">
      <c r="A15" s="142" t="s">
        <v>28</v>
      </c>
      <c r="B15" s="142"/>
      <c r="C15" s="142"/>
      <c r="D15" s="142"/>
      <c r="E15" s="142"/>
      <c r="F15" s="32">
        <f>SUM(F9:F14)</f>
        <v>3317780</v>
      </c>
      <c r="G15" s="32">
        <f>SUM(G9:G14)</f>
        <v>5550390700</v>
      </c>
      <c r="H15" s="32"/>
      <c r="I15" s="32">
        <f>SUM(I9:I14)</f>
        <v>5550390700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49</v>
      </c>
      <c r="E17" s="140"/>
      <c r="F17" s="122" t="s">
        <v>81</v>
      </c>
      <c r="G17" s="122"/>
      <c r="H17" s="18"/>
      <c r="I17" s="18" t="s">
        <v>82</v>
      </c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40" t="s">
        <v>32</v>
      </c>
      <c r="B22" s="140"/>
      <c r="C22" s="140"/>
      <c r="D22" s="140" t="s">
        <v>87</v>
      </c>
      <c r="E22" s="140"/>
      <c r="F22" s="140" t="s">
        <v>92</v>
      </c>
      <c r="G22" s="140"/>
      <c r="H22" s="140"/>
      <c r="I22" s="140"/>
    </row>
  </sheetData>
  <mergeCells count="23"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6:I6"/>
    <mergeCell ref="A15:E15"/>
    <mergeCell ref="A17:C17"/>
    <mergeCell ref="D17:E17"/>
    <mergeCell ref="F17:G17"/>
    <mergeCell ref="A1:C1"/>
    <mergeCell ref="E1:H1"/>
    <mergeCell ref="A2:C2"/>
    <mergeCell ref="E2:H2"/>
    <mergeCell ref="A3:C3"/>
  </mergeCells>
  <pageMargins left="0.44" right="0.7" top="0.39" bottom="0.52" header="0.3" footer="0.3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2"/>
  <sheetViews>
    <sheetView topLeftCell="A16" workbookViewId="0">
      <selection activeCell="L14" sqref="L14"/>
    </sheetView>
  </sheetViews>
  <sheetFormatPr defaultColWidth="9" defaultRowHeight="12.75"/>
  <cols>
    <col min="1" max="1" width="7.140625" customWidth="1"/>
    <col min="2" max="2" width="16.28515625" customWidth="1"/>
    <col min="3" max="3" width="10.85546875" customWidth="1"/>
    <col min="4" max="4" width="24.42578125" customWidth="1"/>
    <col min="5" max="5" width="17" customWidth="1"/>
    <col min="6" max="7" width="17.7109375" customWidth="1"/>
    <col min="9" max="9" width="17.855468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95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7.5" customHeight="1">
      <c r="A6" s="124" t="s">
        <v>6</v>
      </c>
      <c r="B6" s="124"/>
      <c r="C6" s="124"/>
      <c r="D6" s="124"/>
      <c r="E6" s="124"/>
      <c r="F6" s="124"/>
      <c r="G6" s="124"/>
      <c r="H6" s="124"/>
      <c r="I6" s="124"/>
    </row>
    <row r="7" spans="1:9" ht="15.75">
      <c r="A7" s="3"/>
      <c r="B7" s="3"/>
      <c r="C7" s="3"/>
      <c r="D7" s="3"/>
      <c r="E7" s="3"/>
      <c r="F7" s="5"/>
      <c r="G7" s="5"/>
      <c r="H7" s="5"/>
      <c r="I7" s="3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ht="15.75">
      <c r="A9" s="128">
        <v>1</v>
      </c>
      <c r="B9" s="128" t="s">
        <v>19</v>
      </c>
      <c r="C9" s="128" t="s">
        <v>20</v>
      </c>
      <c r="D9" s="128" t="s">
        <v>18</v>
      </c>
      <c r="E9" s="41">
        <v>44929</v>
      </c>
      <c r="F9" s="45">
        <v>292900</v>
      </c>
      <c r="G9" s="45">
        <v>490346300</v>
      </c>
      <c r="H9" s="48" t="s">
        <v>48</v>
      </c>
      <c r="I9" s="49">
        <f t="shared" ref="I9:I14" si="0">G9</f>
        <v>490346300</v>
      </c>
    </row>
    <row r="10" spans="1:9" ht="15.75">
      <c r="A10" s="128"/>
      <c r="B10" s="128"/>
      <c r="C10" s="128"/>
      <c r="D10" s="128"/>
      <c r="E10" s="41">
        <v>44960</v>
      </c>
      <c r="F10" s="45">
        <v>322900</v>
      </c>
      <c r="G10" s="45">
        <v>542731900</v>
      </c>
      <c r="H10" s="48" t="s">
        <v>48</v>
      </c>
      <c r="I10" s="49">
        <f t="shared" si="0"/>
        <v>542731900</v>
      </c>
    </row>
    <row r="11" spans="1:9" ht="21.75" customHeight="1">
      <c r="A11" s="128"/>
      <c r="B11" s="128"/>
      <c r="C11" s="128"/>
      <c r="D11" s="128"/>
      <c r="E11" s="41">
        <v>44988</v>
      </c>
      <c r="F11" s="45">
        <v>349600</v>
      </c>
      <c r="G11" s="45">
        <v>597642400</v>
      </c>
      <c r="H11" s="48">
        <v>0</v>
      </c>
      <c r="I11" s="49">
        <f t="shared" si="0"/>
        <v>597642400</v>
      </c>
    </row>
    <row r="12" spans="1:9" ht="15.75">
      <c r="A12" s="128">
        <v>2</v>
      </c>
      <c r="B12" s="128" t="s">
        <v>21</v>
      </c>
      <c r="C12" s="128" t="s">
        <v>22</v>
      </c>
      <c r="D12" s="128" t="s">
        <v>18</v>
      </c>
      <c r="E12" s="41">
        <v>44929</v>
      </c>
      <c r="F12" s="45">
        <v>1238900</v>
      </c>
      <c r="G12" s="45">
        <v>2107477900</v>
      </c>
      <c r="H12" s="48" t="s">
        <v>48</v>
      </c>
      <c r="I12" s="49">
        <f t="shared" si="0"/>
        <v>2107477900</v>
      </c>
    </row>
    <row r="13" spans="1:9" ht="15.75">
      <c r="A13" s="128"/>
      <c r="B13" s="128"/>
      <c r="C13" s="128"/>
      <c r="D13" s="128"/>
      <c r="E13" s="41">
        <v>44960</v>
      </c>
      <c r="F13" s="45">
        <v>1239000</v>
      </c>
      <c r="G13" s="45">
        <v>2066467400</v>
      </c>
      <c r="H13" s="48" t="s">
        <v>48</v>
      </c>
      <c r="I13" s="49">
        <f t="shared" si="0"/>
        <v>2066467400</v>
      </c>
    </row>
    <row r="14" spans="1:9" ht="15.75">
      <c r="A14" s="128"/>
      <c r="B14" s="128"/>
      <c r="C14" s="128"/>
      <c r="D14" s="128"/>
      <c r="E14" s="41">
        <v>44988</v>
      </c>
      <c r="F14" s="45">
        <v>1424000</v>
      </c>
      <c r="G14" s="45">
        <v>2416434800</v>
      </c>
      <c r="H14" s="48">
        <v>0</v>
      </c>
      <c r="I14" s="49">
        <f t="shared" si="0"/>
        <v>2416434800</v>
      </c>
    </row>
    <row r="15" spans="1:9" ht="15.75">
      <c r="A15" s="142" t="s">
        <v>28</v>
      </c>
      <c r="B15" s="142"/>
      <c r="C15" s="142"/>
      <c r="D15" s="142"/>
      <c r="E15" s="142"/>
      <c r="F15" s="32">
        <f>SUM(F9:F14)</f>
        <v>4867300</v>
      </c>
      <c r="G15" s="32">
        <f>SUM(G9:G14)</f>
        <v>8221100700</v>
      </c>
      <c r="H15" s="32"/>
      <c r="I15" s="32">
        <f>SUM(I9:I14)</f>
        <v>8221100700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49</v>
      </c>
      <c r="E17" s="140"/>
      <c r="F17" s="122" t="s">
        <v>81</v>
      </c>
      <c r="G17" s="122"/>
      <c r="H17" s="18"/>
      <c r="I17" s="18" t="s">
        <v>82</v>
      </c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40" t="s">
        <v>32</v>
      </c>
      <c r="B22" s="140"/>
      <c r="C22" s="140"/>
      <c r="D22" s="140" t="s">
        <v>87</v>
      </c>
      <c r="E22" s="140"/>
      <c r="F22" s="140" t="s">
        <v>88</v>
      </c>
      <c r="G22" s="140"/>
      <c r="H22" s="140"/>
      <c r="I22" s="140"/>
    </row>
  </sheetData>
  <mergeCells count="23"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6:I6"/>
    <mergeCell ref="A15:E15"/>
    <mergeCell ref="A17:C17"/>
    <mergeCell ref="D17:E17"/>
    <mergeCell ref="F17:G17"/>
    <mergeCell ref="A1:C1"/>
    <mergeCell ref="E1:H1"/>
    <mergeCell ref="A2:C2"/>
    <mergeCell ref="E2:H2"/>
    <mergeCell ref="A3:C3"/>
  </mergeCells>
  <pageMargins left="0.43" right="0.59" top="0.27" bottom="0.28000000000000003" header="0.3" footer="0.3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I22"/>
  <sheetViews>
    <sheetView zoomScale="85" zoomScaleNormal="85" workbookViewId="0">
      <selection activeCell="G13" sqref="A1:IV65536"/>
    </sheetView>
  </sheetViews>
  <sheetFormatPr defaultColWidth="9" defaultRowHeight="12.75"/>
  <cols>
    <col min="2" max="2" width="18" customWidth="1"/>
    <col min="3" max="3" width="10.7109375" customWidth="1"/>
    <col min="4" max="4" width="30.42578125" customWidth="1"/>
    <col min="5" max="5" width="16.5703125" customWidth="1"/>
    <col min="6" max="6" width="12.42578125" customWidth="1"/>
    <col min="7" max="7" width="16.7109375" customWidth="1"/>
    <col min="9" max="9" width="16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96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43" t="s">
        <v>6</v>
      </c>
      <c r="B6" s="143"/>
      <c r="C6" s="143"/>
      <c r="D6" s="143"/>
      <c r="E6" s="143"/>
      <c r="F6" s="143"/>
      <c r="G6" s="143"/>
      <c r="H6" s="143"/>
      <c r="I6" s="143"/>
    </row>
    <row r="7" spans="1:9" ht="19.5" customHeight="1">
      <c r="A7" s="144"/>
      <c r="B7" s="144"/>
      <c r="C7" s="144"/>
      <c r="D7" s="144"/>
      <c r="E7" s="144"/>
      <c r="F7" s="144"/>
      <c r="G7" s="144"/>
      <c r="H7" s="144"/>
      <c r="I7" s="144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ht="15.75">
      <c r="A9" s="128">
        <v>1</v>
      </c>
      <c r="B9" s="128" t="s">
        <v>19</v>
      </c>
      <c r="C9" s="128" t="s">
        <v>20</v>
      </c>
      <c r="D9" s="128" t="s">
        <v>18</v>
      </c>
      <c r="E9" s="41">
        <v>45231</v>
      </c>
      <c r="F9" s="45">
        <v>143800</v>
      </c>
      <c r="G9" s="45">
        <v>248578500</v>
      </c>
      <c r="H9" s="45" t="s">
        <v>48</v>
      </c>
      <c r="I9" s="45">
        <f t="shared" ref="I9:I14" si="0">G9</f>
        <v>248578500</v>
      </c>
    </row>
    <row r="10" spans="1:9" ht="15.75">
      <c r="A10" s="128"/>
      <c r="B10" s="128"/>
      <c r="C10" s="128"/>
      <c r="D10" s="128"/>
      <c r="E10" s="41">
        <v>45232</v>
      </c>
      <c r="F10" s="45">
        <v>133200</v>
      </c>
      <c r="G10" s="45">
        <v>234506200</v>
      </c>
      <c r="H10" s="45" t="s">
        <v>48</v>
      </c>
      <c r="I10" s="45">
        <f t="shared" si="0"/>
        <v>234506200</v>
      </c>
    </row>
    <row r="11" spans="1:9" ht="15.75">
      <c r="A11" s="128"/>
      <c r="B11" s="128"/>
      <c r="C11" s="128"/>
      <c r="D11" s="128"/>
      <c r="E11" s="41">
        <v>45233</v>
      </c>
      <c r="F11" s="45">
        <v>140300</v>
      </c>
      <c r="G11" s="45">
        <v>250569600</v>
      </c>
      <c r="H11" s="45" t="s">
        <v>48</v>
      </c>
      <c r="I11" s="45">
        <f t="shared" si="0"/>
        <v>250569600</v>
      </c>
    </row>
    <row r="12" spans="1:9" ht="15.75">
      <c r="A12" s="128">
        <v>2</v>
      </c>
      <c r="B12" s="128" t="s">
        <v>21</v>
      </c>
      <c r="C12" s="128" t="s">
        <v>22</v>
      </c>
      <c r="D12" s="128" t="s">
        <v>18</v>
      </c>
      <c r="E12" s="41">
        <v>45231</v>
      </c>
      <c r="F12" s="45">
        <v>313000</v>
      </c>
      <c r="G12" s="45">
        <v>540829500</v>
      </c>
      <c r="H12" s="45" t="s">
        <v>48</v>
      </c>
      <c r="I12" s="45">
        <f t="shared" si="0"/>
        <v>540829500</v>
      </c>
    </row>
    <row r="13" spans="1:9" ht="15.75">
      <c r="A13" s="128"/>
      <c r="B13" s="128"/>
      <c r="C13" s="128"/>
      <c r="D13" s="128"/>
      <c r="E13" s="41">
        <v>45232</v>
      </c>
      <c r="F13" s="45">
        <v>286600</v>
      </c>
      <c r="G13" s="45">
        <v>506661800</v>
      </c>
      <c r="H13" s="45" t="s">
        <v>48</v>
      </c>
      <c r="I13" s="45">
        <f t="shared" si="0"/>
        <v>506661800</v>
      </c>
    </row>
    <row r="14" spans="1:9" ht="15.75">
      <c r="A14" s="128"/>
      <c r="B14" s="128"/>
      <c r="C14" s="128"/>
      <c r="D14" s="128"/>
      <c r="E14" s="41">
        <v>45233</v>
      </c>
      <c r="F14" s="45">
        <v>288700</v>
      </c>
      <c r="G14" s="45">
        <v>514596500</v>
      </c>
      <c r="H14" s="45" t="s">
        <v>48</v>
      </c>
      <c r="I14" s="45">
        <f t="shared" si="0"/>
        <v>514596500</v>
      </c>
    </row>
    <row r="15" spans="1:9" ht="15.75">
      <c r="A15" s="142" t="s">
        <v>28</v>
      </c>
      <c r="B15" s="142"/>
      <c r="C15" s="142"/>
      <c r="D15" s="142"/>
      <c r="E15" s="142"/>
      <c r="F15" s="32">
        <f>SUM(F9:F14)</f>
        <v>1305600</v>
      </c>
      <c r="G15" s="32">
        <f>SUM(G9:G14)</f>
        <v>2295742100</v>
      </c>
      <c r="H15" s="32"/>
      <c r="I15" s="32">
        <f>SUM(I9:I14)</f>
        <v>2295742100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49</v>
      </c>
      <c r="E17" s="140"/>
      <c r="F17" s="122" t="s">
        <v>82</v>
      </c>
      <c r="G17" s="122"/>
      <c r="H17" s="122"/>
      <c r="I17" s="122"/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8" t="s">
        <v>97</v>
      </c>
      <c r="B22" s="18"/>
      <c r="C22" s="18"/>
      <c r="D22" s="140" t="s">
        <v>87</v>
      </c>
      <c r="E22" s="140"/>
      <c r="F22" s="122" t="s">
        <v>98</v>
      </c>
      <c r="G22" s="122"/>
      <c r="H22" s="122"/>
      <c r="I22" s="122"/>
    </row>
  </sheetData>
  <mergeCells count="22"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15:E15"/>
    <mergeCell ref="A17:C17"/>
    <mergeCell ref="D17:E17"/>
    <mergeCell ref="F17:I17"/>
    <mergeCell ref="A6:I7"/>
    <mergeCell ref="A1:C1"/>
    <mergeCell ref="E1:H1"/>
    <mergeCell ref="A2:C2"/>
    <mergeCell ref="E2:H2"/>
    <mergeCell ref="A3:C3"/>
  </mergeCells>
  <pageMargins left="0.7" right="0.7" top="0.75" bottom="0.75" header="0.3" footer="0.3"/>
  <pageSetup paperSize="9" scale="95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I22"/>
  <sheetViews>
    <sheetView topLeftCell="A4" workbookViewId="0">
      <selection activeCell="E20" sqref="A1:IV65536"/>
    </sheetView>
  </sheetViews>
  <sheetFormatPr defaultColWidth="9" defaultRowHeight="12.75"/>
  <cols>
    <col min="2" max="2" width="18" customWidth="1"/>
    <col min="3" max="3" width="10.7109375" customWidth="1"/>
    <col min="4" max="4" width="30.42578125" customWidth="1"/>
    <col min="5" max="5" width="16.5703125" customWidth="1"/>
    <col min="6" max="6" width="12.42578125" customWidth="1"/>
    <col min="7" max="7" width="16.7109375" customWidth="1"/>
    <col min="9" max="9" width="16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99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43" t="s">
        <v>6</v>
      </c>
      <c r="B6" s="143"/>
      <c r="C6" s="143"/>
      <c r="D6" s="143"/>
      <c r="E6" s="143"/>
      <c r="F6" s="143"/>
      <c r="G6" s="143"/>
      <c r="H6" s="143"/>
      <c r="I6" s="143"/>
    </row>
    <row r="7" spans="1:9" ht="19.5" customHeight="1">
      <c r="A7" s="144"/>
      <c r="B7" s="144"/>
      <c r="C7" s="144"/>
      <c r="D7" s="144"/>
      <c r="E7" s="144"/>
      <c r="F7" s="144"/>
      <c r="G7" s="144"/>
      <c r="H7" s="144"/>
      <c r="I7" s="144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s="1" customFormat="1" ht="12.75" customHeight="1">
      <c r="A9" s="145">
        <v>1</v>
      </c>
      <c r="B9" s="145" t="s">
        <v>19</v>
      </c>
      <c r="C9" s="145" t="s">
        <v>20</v>
      </c>
      <c r="D9" s="146" t="s">
        <v>18</v>
      </c>
      <c r="E9" s="41">
        <v>45689</v>
      </c>
      <c r="F9" s="44">
        <v>16554</v>
      </c>
      <c r="G9" s="37">
        <v>30173828</v>
      </c>
      <c r="H9" s="45" t="s">
        <v>48</v>
      </c>
      <c r="I9" s="45">
        <f t="shared" ref="I9:I14" si="0">G9</f>
        <v>30173828</v>
      </c>
    </row>
    <row r="10" spans="1:9" s="1" customFormat="1" ht="15.75">
      <c r="A10" s="145"/>
      <c r="B10" s="145"/>
      <c r="C10" s="145"/>
      <c r="D10" s="146"/>
      <c r="E10" s="41">
        <v>45690</v>
      </c>
      <c r="F10" s="46">
        <v>16174</v>
      </c>
      <c r="G10" s="37">
        <v>29934266</v>
      </c>
      <c r="H10" s="45" t="s">
        <v>48</v>
      </c>
      <c r="I10" s="45">
        <f t="shared" si="0"/>
        <v>29934266</v>
      </c>
    </row>
    <row r="11" spans="1:9" s="1" customFormat="1" ht="15.75">
      <c r="A11" s="145"/>
      <c r="B11" s="145"/>
      <c r="C11" s="145"/>
      <c r="D11" s="146"/>
      <c r="E11" s="41">
        <v>45691</v>
      </c>
      <c r="F11" s="44">
        <v>12962</v>
      </c>
      <c r="G11" s="37">
        <v>23896186</v>
      </c>
      <c r="H11" s="45" t="s">
        <v>48</v>
      </c>
      <c r="I11" s="45">
        <f t="shared" si="0"/>
        <v>23896186</v>
      </c>
    </row>
    <row r="12" spans="1:9" s="1" customFormat="1" ht="15.75">
      <c r="A12" s="145">
        <v>2</v>
      </c>
      <c r="B12" s="145" t="s">
        <v>21</v>
      </c>
      <c r="C12" s="145" t="s">
        <v>22</v>
      </c>
      <c r="D12" s="146" t="s">
        <v>18</v>
      </c>
      <c r="E12" s="41">
        <v>45689</v>
      </c>
      <c r="F12" s="44">
        <v>25979</v>
      </c>
      <c r="G12" s="37">
        <v>46976007</v>
      </c>
      <c r="H12" s="45" t="s">
        <v>48</v>
      </c>
      <c r="I12" s="45">
        <f t="shared" si="0"/>
        <v>46976007</v>
      </c>
    </row>
    <row r="13" spans="1:9" s="1" customFormat="1" ht="15.75">
      <c r="A13" s="145"/>
      <c r="B13" s="145"/>
      <c r="C13" s="145"/>
      <c r="D13" s="146"/>
      <c r="E13" s="41">
        <v>45690</v>
      </c>
      <c r="F13" s="44">
        <v>26538</v>
      </c>
      <c r="G13" s="37">
        <v>48996888</v>
      </c>
      <c r="H13" s="45" t="s">
        <v>48</v>
      </c>
      <c r="I13" s="45">
        <f t="shared" si="0"/>
        <v>48996888</v>
      </c>
    </row>
    <row r="14" spans="1:9" s="1" customFormat="1" ht="15.75">
      <c r="A14" s="145"/>
      <c r="B14" s="145"/>
      <c r="C14" s="145"/>
      <c r="D14" s="146"/>
      <c r="E14" s="41">
        <v>45691</v>
      </c>
      <c r="F14" s="44">
        <v>23638</v>
      </c>
      <c r="G14" s="37">
        <v>43992807</v>
      </c>
      <c r="H14" s="45" t="s">
        <v>48</v>
      </c>
      <c r="I14" s="45">
        <f t="shared" si="0"/>
        <v>43992807</v>
      </c>
    </row>
    <row r="15" spans="1:9" ht="15.75">
      <c r="A15" s="142" t="s">
        <v>28</v>
      </c>
      <c r="B15" s="142"/>
      <c r="C15" s="142"/>
      <c r="D15" s="142"/>
      <c r="E15" s="142"/>
      <c r="F15" s="32">
        <f>SUM(F9:F14)</f>
        <v>121845</v>
      </c>
      <c r="G15" s="32">
        <f>SUM(G9:G14)</f>
        <v>223969982</v>
      </c>
      <c r="H15" s="32"/>
      <c r="I15" s="32">
        <f>SUM(I9:I14)</f>
        <v>223969982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100</v>
      </c>
      <c r="E17" s="140"/>
      <c r="F17" s="122" t="s">
        <v>82</v>
      </c>
      <c r="G17" s="122"/>
      <c r="H17" s="122"/>
      <c r="I17" s="122"/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8" t="s">
        <v>97</v>
      </c>
      <c r="B22" s="18"/>
      <c r="C22" s="18"/>
      <c r="D22" s="140" t="s">
        <v>101</v>
      </c>
      <c r="E22" s="140"/>
      <c r="F22" s="122" t="s">
        <v>98</v>
      </c>
      <c r="G22" s="122"/>
      <c r="H22" s="122"/>
      <c r="I22" s="122"/>
    </row>
  </sheetData>
  <mergeCells count="22"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15:E15"/>
    <mergeCell ref="A17:C17"/>
    <mergeCell ref="D17:E17"/>
    <mergeCell ref="F17:I17"/>
    <mergeCell ref="A6:I7"/>
    <mergeCell ref="A1:C1"/>
    <mergeCell ref="E1:H1"/>
    <mergeCell ref="A2:C2"/>
    <mergeCell ref="E2:H2"/>
    <mergeCell ref="A3:C3"/>
  </mergeCells>
  <pageMargins left="0.7" right="0.7" top="0.75" bottom="0.75" header="0.3" footer="0.3"/>
  <pageSetup paperSize="9" scale="95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I22"/>
  <sheetViews>
    <sheetView workbookViewId="0">
      <selection activeCell="A6" sqref="A6:I7"/>
    </sheetView>
  </sheetViews>
  <sheetFormatPr defaultColWidth="9" defaultRowHeight="12.75"/>
  <cols>
    <col min="2" max="2" width="18" customWidth="1"/>
    <col min="3" max="3" width="10.7109375" customWidth="1"/>
    <col min="4" max="4" width="30.42578125" customWidth="1"/>
    <col min="5" max="5" width="16.5703125" customWidth="1"/>
    <col min="6" max="6" width="12.42578125" customWidth="1"/>
    <col min="7" max="7" width="16.7109375" customWidth="1"/>
    <col min="9" max="9" width="16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4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102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43" t="s">
        <v>6</v>
      </c>
      <c r="B6" s="143"/>
      <c r="C6" s="143"/>
      <c r="D6" s="143"/>
      <c r="E6" s="143"/>
      <c r="F6" s="143"/>
      <c r="G6" s="143"/>
      <c r="H6" s="143"/>
      <c r="I6" s="143"/>
    </row>
    <row r="7" spans="1:9" ht="19.5" customHeight="1">
      <c r="A7" s="144"/>
      <c r="B7" s="144"/>
      <c r="C7" s="144"/>
      <c r="D7" s="144"/>
      <c r="E7" s="144"/>
      <c r="F7" s="144"/>
      <c r="G7" s="144"/>
      <c r="H7" s="144"/>
      <c r="I7" s="144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s="1" customFormat="1" ht="12.75" customHeight="1">
      <c r="A9" s="145">
        <v>1</v>
      </c>
      <c r="B9" s="145" t="s">
        <v>19</v>
      </c>
      <c r="C9" s="145" t="s">
        <v>20</v>
      </c>
      <c r="D9" s="146" t="s">
        <v>18</v>
      </c>
      <c r="E9" s="41">
        <v>45748</v>
      </c>
      <c r="F9" s="42">
        <v>15764</v>
      </c>
      <c r="G9" s="42">
        <v>29142346</v>
      </c>
      <c r="H9" s="28" t="s">
        <v>48</v>
      </c>
      <c r="I9" s="28">
        <f t="shared" ref="I9:I14" si="0">G9</f>
        <v>29142346</v>
      </c>
    </row>
    <row r="10" spans="1:9" s="1" customFormat="1" ht="15.75">
      <c r="A10" s="145"/>
      <c r="B10" s="145"/>
      <c r="C10" s="145"/>
      <c r="D10" s="146"/>
      <c r="E10" s="41">
        <v>45749</v>
      </c>
      <c r="F10" s="43">
        <v>16095</v>
      </c>
      <c r="G10" s="42">
        <v>29369165</v>
      </c>
      <c r="H10" s="28" t="s">
        <v>48</v>
      </c>
      <c r="I10" s="28">
        <f t="shared" si="0"/>
        <v>29369165</v>
      </c>
    </row>
    <row r="11" spans="1:9" s="1" customFormat="1" ht="15.75">
      <c r="A11" s="145"/>
      <c r="B11" s="145"/>
      <c r="C11" s="145"/>
      <c r="D11" s="146"/>
      <c r="E11" s="41">
        <v>45750</v>
      </c>
      <c r="F11" s="42">
        <v>15926</v>
      </c>
      <c r="G11" s="42">
        <v>29486284</v>
      </c>
      <c r="H11" s="28" t="s">
        <v>48</v>
      </c>
      <c r="I11" s="28">
        <f t="shared" si="0"/>
        <v>29486284</v>
      </c>
    </row>
    <row r="12" spans="1:9" s="1" customFormat="1" ht="15.75">
      <c r="A12" s="145">
        <v>2</v>
      </c>
      <c r="B12" s="145" t="s">
        <v>21</v>
      </c>
      <c r="C12" s="145" t="s">
        <v>22</v>
      </c>
      <c r="D12" s="146" t="s">
        <v>18</v>
      </c>
      <c r="E12" s="41">
        <v>45748</v>
      </c>
      <c r="F12" s="42">
        <v>26902</v>
      </c>
      <c r="G12" s="42">
        <v>50034770</v>
      </c>
      <c r="H12" s="28" t="s">
        <v>48</v>
      </c>
      <c r="I12" s="28">
        <f t="shared" si="0"/>
        <v>50034770</v>
      </c>
    </row>
    <row r="13" spans="1:9" s="1" customFormat="1" ht="15.75">
      <c r="A13" s="145"/>
      <c r="B13" s="145"/>
      <c r="C13" s="145"/>
      <c r="D13" s="146"/>
      <c r="E13" s="41">
        <v>45749</v>
      </c>
      <c r="F13" s="42">
        <v>27859</v>
      </c>
      <c r="G13" s="42">
        <v>51274291</v>
      </c>
      <c r="H13" s="28" t="s">
        <v>48</v>
      </c>
      <c r="I13" s="28">
        <f t="shared" si="0"/>
        <v>51274291</v>
      </c>
    </row>
    <row r="14" spans="1:9" s="1" customFormat="1" ht="15.75">
      <c r="A14" s="145"/>
      <c r="B14" s="145"/>
      <c r="C14" s="145"/>
      <c r="D14" s="146"/>
      <c r="E14" s="41">
        <v>45750</v>
      </c>
      <c r="F14" s="42">
        <v>28054</v>
      </c>
      <c r="G14" s="42">
        <v>52186484</v>
      </c>
      <c r="H14" s="28" t="s">
        <v>48</v>
      </c>
      <c r="I14" s="28">
        <f t="shared" si="0"/>
        <v>52186484</v>
      </c>
    </row>
    <row r="15" spans="1:9" ht="15.75">
      <c r="A15" s="142" t="s">
        <v>28</v>
      </c>
      <c r="B15" s="142"/>
      <c r="C15" s="142"/>
      <c r="D15" s="142"/>
      <c r="E15" s="142"/>
      <c r="F15" s="32">
        <f>SUM(F9:F14)</f>
        <v>130600</v>
      </c>
      <c r="G15" s="32">
        <f>SUM(G9:G14)</f>
        <v>241493340</v>
      </c>
      <c r="H15" s="32"/>
      <c r="I15" s="32">
        <f>SUM(I9:I14)</f>
        <v>241493340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100</v>
      </c>
      <c r="E17" s="140"/>
      <c r="F17" s="122" t="s">
        <v>82</v>
      </c>
      <c r="G17" s="122"/>
      <c r="H17" s="122"/>
      <c r="I17" s="122"/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8" t="s">
        <v>97</v>
      </c>
      <c r="B22" s="18"/>
      <c r="C22" s="18"/>
      <c r="D22" s="140" t="s">
        <v>101</v>
      </c>
      <c r="E22" s="140"/>
      <c r="F22" s="122" t="s">
        <v>98</v>
      </c>
      <c r="G22" s="122"/>
      <c r="H22" s="122"/>
      <c r="I22" s="122"/>
    </row>
  </sheetData>
  <mergeCells count="22"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15:E15"/>
    <mergeCell ref="A17:C17"/>
    <mergeCell ref="D17:E17"/>
    <mergeCell ref="F17:I17"/>
    <mergeCell ref="A6:I7"/>
    <mergeCell ref="A1:C1"/>
    <mergeCell ref="E1:H1"/>
    <mergeCell ref="A2:C2"/>
    <mergeCell ref="E2:H2"/>
    <mergeCell ref="A3:C3"/>
  </mergeCells>
  <pageMargins left="0.7" right="0.7" top="0.75" bottom="0.75" header="0.3" footer="0.3"/>
  <pageSetup paperSize="9" scale="95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2"/>
  <sheetViews>
    <sheetView workbookViewId="0">
      <selection activeCell="O18" sqref="O18"/>
    </sheetView>
  </sheetViews>
  <sheetFormatPr defaultColWidth="9" defaultRowHeight="12.75"/>
  <cols>
    <col min="2" max="2" width="18" customWidth="1"/>
    <col min="3" max="3" width="10.7109375" customWidth="1"/>
    <col min="4" max="4" width="30.42578125" customWidth="1"/>
    <col min="5" max="5" width="16.5703125" customWidth="1"/>
    <col min="6" max="6" width="12.42578125" customWidth="1"/>
    <col min="7" max="7" width="16.7109375" customWidth="1"/>
    <col min="9" max="9" width="16.7109375" customWidth="1"/>
  </cols>
  <sheetData>
    <row r="1" spans="1:9" ht="15.75">
      <c r="A1" s="121" t="s">
        <v>0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1" t="s">
        <v>2</v>
      </c>
      <c r="B2" s="121"/>
      <c r="C2" s="121"/>
      <c r="D2" s="3"/>
      <c r="E2" s="122" t="s">
        <v>3</v>
      </c>
      <c r="F2" s="122"/>
      <c r="G2" s="122"/>
      <c r="H2" s="122"/>
      <c r="I2" s="3"/>
    </row>
    <row r="3" spans="1:9" ht="15.75">
      <c r="A3" s="122" t="s">
        <v>103</v>
      </c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104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43" t="s">
        <v>6</v>
      </c>
      <c r="B6" s="143"/>
      <c r="C6" s="143"/>
      <c r="D6" s="143"/>
      <c r="E6" s="143"/>
      <c r="F6" s="143"/>
      <c r="G6" s="143"/>
      <c r="H6" s="143"/>
      <c r="I6" s="143"/>
    </row>
    <row r="7" spans="1:9" ht="19.5" customHeight="1">
      <c r="A7" s="144"/>
      <c r="B7" s="144"/>
      <c r="C7" s="144"/>
      <c r="D7" s="144"/>
      <c r="E7" s="144"/>
      <c r="F7" s="144"/>
      <c r="G7" s="144"/>
      <c r="H7" s="144"/>
      <c r="I7" s="144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s="1" customFormat="1" ht="12.75" customHeight="1">
      <c r="A9" s="145">
        <v>1</v>
      </c>
      <c r="B9" s="145" t="s">
        <v>19</v>
      </c>
      <c r="C9" s="145" t="s">
        <v>20</v>
      </c>
      <c r="D9" s="146" t="s">
        <v>18</v>
      </c>
      <c r="E9" s="116" t="s">
        <v>105</v>
      </c>
      <c r="F9" s="37">
        <v>15907</v>
      </c>
      <c r="G9" s="37">
        <v>30452847</v>
      </c>
      <c r="H9" s="38" t="s">
        <v>48</v>
      </c>
      <c r="I9" s="28">
        <f t="shared" ref="I9:I14" si="0">G9</f>
        <v>30452847</v>
      </c>
    </row>
    <row r="10" spans="1:9" s="1" customFormat="1" ht="15.75">
      <c r="A10" s="145"/>
      <c r="B10" s="145"/>
      <c r="C10" s="145"/>
      <c r="D10" s="146"/>
      <c r="E10" s="116" t="s">
        <v>106</v>
      </c>
      <c r="F10" s="37">
        <v>15730</v>
      </c>
      <c r="G10" s="37">
        <v>30588771</v>
      </c>
      <c r="H10" s="38" t="s">
        <v>48</v>
      </c>
      <c r="I10" s="28">
        <f t="shared" si="0"/>
        <v>30588771</v>
      </c>
    </row>
    <row r="11" spans="1:9" s="1" customFormat="1" ht="15.75">
      <c r="A11" s="145"/>
      <c r="B11" s="145"/>
      <c r="C11" s="145"/>
      <c r="D11" s="146"/>
      <c r="E11" s="116" t="s">
        <v>107</v>
      </c>
      <c r="F11" s="37">
        <v>15190</v>
      </c>
      <c r="G11" s="37">
        <v>29072943</v>
      </c>
      <c r="H11" s="38" t="s">
        <v>48</v>
      </c>
      <c r="I11" s="28">
        <f t="shared" si="0"/>
        <v>29072943</v>
      </c>
    </row>
    <row r="12" spans="1:9" s="1" customFormat="1" ht="15.75">
      <c r="A12" s="145">
        <v>2</v>
      </c>
      <c r="B12" s="145" t="s">
        <v>21</v>
      </c>
      <c r="C12" s="145" t="s">
        <v>22</v>
      </c>
      <c r="D12" s="146" t="s">
        <v>18</v>
      </c>
      <c r="E12" s="116" t="s">
        <v>105</v>
      </c>
      <c r="F12" s="39">
        <v>25457</v>
      </c>
      <c r="G12" s="39">
        <v>48719585</v>
      </c>
      <c r="H12" s="38" t="s">
        <v>48</v>
      </c>
      <c r="I12" s="28">
        <f t="shared" si="0"/>
        <v>48719585</v>
      </c>
    </row>
    <row r="13" spans="1:9" s="1" customFormat="1" ht="15.75">
      <c r="A13" s="145"/>
      <c r="B13" s="145"/>
      <c r="C13" s="145"/>
      <c r="D13" s="146"/>
      <c r="E13" s="116" t="s">
        <v>106</v>
      </c>
      <c r="F13" s="39">
        <v>24814</v>
      </c>
      <c r="G13" s="39">
        <v>48270805</v>
      </c>
      <c r="H13" s="38" t="s">
        <v>48</v>
      </c>
      <c r="I13" s="28">
        <f t="shared" si="0"/>
        <v>48270805</v>
      </c>
    </row>
    <row r="14" spans="1:9" s="1" customFormat="1" ht="15.75">
      <c r="A14" s="145"/>
      <c r="B14" s="145"/>
      <c r="C14" s="145"/>
      <c r="D14" s="146"/>
      <c r="E14" s="116" t="s">
        <v>107</v>
      </c>
      <c r="F14" s="39">
        <v>24405</v>
      </c>
      <c r="G14" s="39">
        <v>46601191</v>
      </c>
      <c r="H14" s="38" t="s">
        <v>48</v>
      </c>
      <c r="I14" s="28">
        <f t="shared" si="0"/>
        <v>46601191</v>
      </c>
    </row>
    <row r="15" spans="1:9" ht="17.25" customHeight="1">
      <c r="A15" s="142" t="s">
        <v>28</v>
      </c>
      <c r="B15" s="142"/>
      <c r="C15" s="142"/>
      <c r="D15" s="142"/>
      <c r="E15" s="142"/>
      <c r="F15" s="40">
        <f>SUM(F9:F14)</f>
        <v>121503</v>
      </c>
      <c r="G15" s="40">
        <f>SUM(G9:G14)</f>
        <v>233706142</v>
      </c>
      <c r="H15" s="32"/>
      <c r="I15" s="32">
        <f>SUM(I9:I14)</f>
        <v>233706142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40" t="s">
        <v>80</v>
      </c>
      <c r="B17" s="140"/>
      <c r="C17" s="140"/>
      <c r="D17" s="140" t="s">
        <v>100</v>
      </c>
      <c r="E17" s="140"/>
      <c r="F17" s="122" t="s">
        <v>82</v>
      </c>
      <c r="G17" s="122"/>
      <c r="H17" s="122"/>
      <c r="I17" s="122"/>
    </row>
    <row r="18" spans="1:9" ht="15.75">
      <c r="A18" s="18"/>
      <c r="B18" s="18"/>
      <c r="C18" s="18"/>
      <c r="D18" s="18"/>
      <c r="E18" s="18"/>
      <c r="F18" s="140"/>
      <c r="G18" s="140"/>
      <c r="H18" s="140"/>
      <c r="I18" s="18"/>
    </row>
    <row r="19" spans="1:9" ht="15.75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75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18" t="s">
        <v>97</v>
      </c>
      <c r="B22" s="18"/>
      <c r="C22" s="18"/>
      <c r="D22" s="140" t="s">
        <v>101</v>
      </c>
      <c r="E22" s="140"/>
      <c r="F22" s="122" t="s">
        <v>98</v>
      </c>
      <c r="G22" s="122"/>
      <c r="H22" s="122"/>
      <c r="I22" s="122"/>
    </row>
  </sheetData>
  <mergeCells count="22"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15:E15"/>
    <mergeCell ref="A17:C17"/>
    <mergeCell ref="D17:E17"/>
    <mergeCell ref="F17:I17"/>
    <mergeCell ref="A6:I7"/>
    <mergeCell ref="A1:C1"/>
    <mergeCell ref="E1:H1"/>
    <mergeCell ref="A2:C2"/>
    <mergeCell ref="E2:H2"/>
    <mergeCell ref="A3:C3"/>
  </mergeCells>
  <pageMargins left="0.7" right="0.7" top="0.75" bottom="0.75" header="0.3" footer="0.3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3"/>
  <sheetViews>
    <sheetView workbookViewId="0">
      <selection activeCell="D18" sqref="D18:E18"/>
    </sheetView>
  </sheetViews>
  <sheetFormatPr defaultColWidth="9" defaultRowHeight="12.75"/>
  <cols>
    <col min="2" max="2" width="18" customWidth="1"/>
    <col min="3" max="3" width="10.7109375" customWidth="1"/>
    <col min="4" max="4" width="30.42578125" customWidth="1"/>
    <col min="5" max="5" width="16.5703125" customWidth="1"/>
    <col min="6" max="6" width="12.42578125" customWidth="1"/>
    <col min="7" max="7" width="16.7109375" customWidth="1"/>
    <col min="9" max="9" width="16.7109375" customWidth="1"/>
  </cols>
  <sheetData>
    <row r="1" spans="1:9" ht="15.75">
      <c r="A1" s="121" t="s">
        <v>108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2" t="s">
        <v>109</v>
      </c>
      <c r="B2" s="122"/>
      <c r="C2" s="122"/>
      <c r="D2" s="3"/>
      <c r="E2" s="122" t="s">
        <v>3</v>
      </c>
      <c r="F2" s="122"/>
      <c r="G2" s="122"/>
      <c r="H2" s="122"/>
      <c r="I2" s="3"/>
    </row>
    <row r="3" spans="1:9" ht="15.75">
      <c r="A3" s="122"/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110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43" t="s">
        <v>6</v>
      </c>
      <c r="B6" s="143"/>
      <c r="C6" s="143"/>
      <c r="D6" s="143"/>
      <c r="E6" s="143"/>
      <c r="F6" s="143"/>
      <c r="G6" s="143"/>
      <c r="H6" s="143"/>
      <c r="I6" s="143"/>
    </row>
    <row r="7" spans="1:9" ht="19.5" customHeight="1">
      <c r="A7" s="144"/>
      <c r="B7" s="144"/>
      <c r="C7" s="144"/>
      <c r="D7" s="144"/>
      <c r="E7" s="144"/>
      <c r="F7" s="144"/>
      <c r="G7" s="144"/>
      <c r="H7" s="144"/>
      <c r="I7" s="144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s="1" customFormat="1" ht="12.75" customHeight="1">
      <c r="A9" s="145">
        <v>1</v>
      </c>
      <c r="B9" s="145" t="s">
        <v>19</v>
      </c>
      <c r="C9" s="145" t="s">
        <v>20</v>
      </c>
      <c r="D9" s="146" t="s">
        <v>18</v>
      </c>
      <c r="E9" s="116" t="s">
        <v>111</v>
      </c>
      <c r="F9" s="27">
        <v>14698</v>
      </c>
      <c r="G9" s="27">
        <v>28584827</v>
      </c>
      <c r="H9" s="28">
        <v>0</v>
      </c>
      <c r="I9" s="29">
        <f t="shared" ref="I9:I14" si="0">G9</f>
        <v>28584827</v>
      </c>
    </row>
    <row r="10" spans="1:9" s="1" customFormat="1" ht="16.5">
      <c r="A10" s="145"/>
      <c r="B10" s="145"/>
      <c r="C10" s="145"/>
      <c r="D10" s="146"/>
      <c r="E10" s="116" t="s">
        <v>112</v>
      </c>
      <c r="F10" s="27">
        <v>14824</v>
      </c>
      <c r="G10" s="27">
        <v>28221048</v>
      </c>
      <c r="H10" s="28"/>
      <c r="I10" s="29">
        <f t="shared" si="0"/>
        <v>28221048</v>
      </c>
    </row>
    <row r="11" spans="1:9" s="1" customFormat="1" ht="16.5">
      <c r="A11" s="145"/>
      <c r="B11" s="145"/>
      <c r="C11" s="145"/>
      <c r="D11" s="146"/>
      <c r="E11" s="116" t="s">
        <v>113</v>
      </c>
      <c r="F11" s="27">
        <v>16100</v>
      </c>
      <c r="G11" s="27">
        <v>31312800</v>
      </c>
      <c r="H11" s="28"/>
      <c r="I11" s="29">
        <f t="shared" si="0"/>
        <v>31312800</v>
      </c>
    </row>
    <row r="12" spans="1:9" s="1" customFormat="1" ht="16.5">
      <c r="A12" s="145">
        <v>2</v>
      </c>
      <c r="B12" s="145" t="s">
        <v>21</v>
      </c>
      <c r="C12" s="145" t="s">
        <v>22</v>
      </c>
      <c r="D12" s="146" t="s">
        <v>18</v>
      </c>
      <c r="E12" s="116" t="s">
        <v>111</v>
      </c>
      <c r="F12" s="30">
        <v>25601</v>
      </c>
      <c r="G12" s="30">
        <v>49767456</v>
      </c>
      <c r="H12" s="28"/>
      <c r="I12" s="29">
        <f t="shared" si="0"/>
        <v>49767456</v>
      </c>
    </row>
    <row r="13" spans="1:9" s="1" customFormat="1" ht="16.5">
      <c r="A13" s="145"/>
      <c r="B13" s="145"/>
      <c r="C13" s="145"/>
      <c r="D13" s="146"/>
      <c r="E13" s="116" t="s">
        <v>112</v>
      </c>
      <c r="F13" s="30">
        <v>23744</v>
      </c>
      <c r="G13" s="30">
        <v>45179142</v>
      </c>
      <c r="H13" s="28"/>
      <c r="I13" s="29">
        <f t="shared" si="0"/>
        <v>45179142</v>
      </c>
    </row>
    <row r="14" spans="1:9" s="1" customFormat="1" ht="16.5">
      <c r="A14" s="145"/>
      <c r="B14" s="145"/>
      <c r="C14" s="145"/>
      <c r="D14" s="146"/>
      <c r="E14" s="116" t="s">
        <v>113</v>
      </c>
      <c r="F14" s="30">
        <v>28900</v>
      </c>
      <c r="G14" s="30">
        <v>56437200</v>
      </c>
      <c r="H14" s="28"/>
      <c r="I14" s="29">
        <f t="shared" si="0"/>
        <v>56437200</v>
      </c>
    </row>
    <row r="15" spans="1:9" ht="17.25" customHeight="1">
      <c r="A15" s="142" t="s">
        <v>28</v>
      </c>
      <c r="B15" s="142"/>
      <c r="C15" s="142"/>
      <c r="D15" s="142"/>
      <c r="E15" s="142"/>
      <c r="F15" s="32">
        <f>SUM(F9:F14)</f>
        <v>123867</v>
      </c>
      <c r="G15" s="32">
        <f>SUM(G9:G14)</f>
        <v>239502473</v>
      </c>
      <c r="H15" s="32"/>
      <c r="I15" s="32">
        <f>SUM(I9:I14)</f>
        <v>239502473</v>
      </c>
    </row>
    <row r="16" spans="1:9" ht="15.75">
      <c r="A16" s="147" t="s">
        <v>114</v>
      </c>
      <c r="B16" s="147"/>
      <c r="C16" s="147"/>
      <c r="D16" s="147"/>
      <c r="E16" s="147"/>
      <c r="F16" s="147"/>
      <c r="G16" s="147"/>
      <c r="H16" s="147"/>
      <c r="I16" s="147"/>
    </row>
    <row r="17" spans="1:9" ht="15.75">
      <c r="A17" s="33"/>
      <c r="B17" s="33"/>
      <c r="C17" s="33"/>
      <c r="D17" s="33"/>
      <c r="E17" s="33"/>
      <c r="F17" s="34"/>
      <c r="G17" s="34"/>
      <c r="H17" s="34"/>
      <c r="I17" s="35"/>
    </row>
    <row r="18" spans="1:9" ht="15.75">
      <c r="A18" s="122" t="s">
        <v>29</v>
      </c>
      <c r="B18" s="122"/>
      <c r="C18" s="122"/>
      <c r="D18" s="122" t="s">
        <v>109</v>
      </c>
      <c r="E18" s="122"/>
      <c r="F18" s="122" t="s">
        <v>115</v>
      </c>
      <c r="G18" s="122"/>
      <c r="H18" s="122"/>
      <c r="I18" s="122"/>
    </row>
    <row r="19" spans="1:9" ht="15.75">
      <c r="A19" s="18"/>
      <c r="B19" s="18"/>
      <c r="C19" s="18"/>
      <c r="D19" s="18"/>
      <c r="E19" s="18"/>
      <c r="F19" s="140"/>
      <c r="G19" s="140"/>
      <c r="H19" s="140"/>
      <c r="I19" s="18"/>
    </row>
    <row r="20" spans="1:9" ht="15.75">
      <c r="A20" s="18"/>
      <c r="B20" s="18"/>
      <c r="C20" s="18"/>
      <c r="D20" s="18"/>
      <c r="E20" s="18"/>
      <c r="F20" s="19"/>
      <c r="G20" s="19"/>
      <c r="H20" s="19"/>
      <c r="I20" s="18"/>
    </row>
    <row r="21" spans="1:9" ht="15.75">
      <c r="A21" s="20"/>
      <c r="B21" s="20"/>
      <c r="C21" s="20"/>
      <c r="D21" s="20"/>
      <c r="E21" s="20"/>
      <c r="F21" s="21"/>
      <c r="G21" s="21"/>
      <c r="H21" s="21"/>
      <c r="I21" s="18"/>
    </row>
    <row r="22" spans="1:9" ht="15.75">
      <c r="A22" s="18"/>
      <c r="B22" s="18"/>
      <c r="C22" s="18"/>
      <c r="D22" s="18"/>
      <c r="E22" s="18"/>
      <c r="F22" s="19"/>
      <c r="G22" s="19"/>
      <c r="H22" s="19"/>
      <c r="I22" s="18"/>
    </row>
    <row r="23" spans="1:9" ht="15.75">
      <c r="A23" s="122" t="s">
        <v>116</v>
      </c>
      <c r="B23" s="122"/>
      <c r="C23" s="122"/>
      <c r="D23" s="122" t="s">
        <v>117</v>
      </c>
      <c r="E23" s="122"/>
      <c r="F23" s="122" t="s">
        <v>118</v>
      </c>
      <c r="G23" s="122"/>
      <c r="H23" s="122"/>
      <c r="I23" s="122"/>
    </row>
  </sheetData>
  <mergeCells count="24">
    <mergeCell ref="F19:H19"/>
    <mergeCell ref="A23:C23"/>
    <mergeCell ref="D23:E23"/>
    <mergeCell ref="F23:I23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15:E15"/>
    <mergeCell ref="A16:I16"/>
    <mergeCell ref="A18:C18"/>
    <mergeCell ref="D18:E18"/>
    <mergeCell ref="F18:I18"/>
    <mergeCell ref="A6:I7"/>
    <mergeCell ref="A1:C1"/>
    <mergeCell ref="E1:H1"/>
    <mergeCell ref="A2:C2"/>
    <mergeCell ref="E2:H2"/>
    <mergeCell ref="A3:C3"/>
  </mergeCells>
  <pageMargins left="0.7" right="0.24" top="0.45" bottom="0.51" header="0.3" footer="0.3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24"/>
  <sheetViews>
    <sheetView workbookViewId="0">
      <selection activeCell="F8" sqref="F8:G8"/>
    </sheetView>
  </sheetViews>
  <sheetFormatPr defaultColWidth="9" defaultRowHeight="12.75"/>
  <cols>
    <col min="1" max="1" width="6.42578125" customWidth="1"/>
    <col min="2" max="2" width="18" customWidth="1"/>
    <col min="3" max="3" width="10.7109375" customWidth="1"/>
    <col min="4" max="4" width="27.7109375" customWidth="1"/>
    <col min="5" max="5" width="16.5703125" customWidth="1"/>
    <col min="6" max="6" width="12.42578125" customWidth="1"/>
    <col min="7" max="7" width="16.7109375" customWidth="1"/>
    <col min="9" max="9" width="16.7109375" customWidth="1"/>
  </cols>
  <sheetData>
    <row r="1" spans="1:9" ht="15.75">
      <c r="A1" s="121" t="s">
        <v>108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2" t="s">
        <v>109</v>
      </c>
      <c r="B2" s="122"/>
      <c r="C2" s="122"/>
      <c r="D2" s="3"/>
      <c r="E2" s="122" t="s">
        <v>3</v>
      </c>
      <c r="F2" s="122"/>
      <c r="G2" s="122"/>
      <c r="H2" s="122"/>
      <c r="I2" s="3"/>
    </row>
    <row r="3" spans="1:9" ht="15.75">
      <c r="A3" s="122"/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23" t="s">
        <v>119</v>
      </c>
      <c r="F4" s="123"/>
      <c r="G4" s="123"/>
      <c r="H4" s="123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43" t="s">
        <v>6</v>
      </c>
      <c r="B6" s="143"/>
      <c r="C6" s="143"/>
      <c r="D6" s="143"/>
      <c r="E6" s="143"/>
      <c r="F6" s="143"/>
      <c r="G6" s="143"/>
      <c r="H6" s="143"/>
      <c r="I6" s="143"/>
    </row>
    <row r="7" spans="1:9" ht="19.5" customHeight="1">
      <c r="A7" s="144"/>
      <c r="B7" s="144"/>
      <c r="C7" s="144"/>
      <c r="D7" s="144"/>
      <c r="E7" s="144"/>
      <c r="F7" s="144"/>
      <c r="G7" s="144"/>
      <c r="H7" s="144"/>
      <c r="I7" s="144"/>
    </row>
    <row r="8" spans="1:9" ht="31.5">
      <c r="A8" s="31" t="s">
        <v>7</v>
      </c>
      <c r="B8" s="31" t="s">
        <v>8</v>
      </c>
      <c r="C8" s="31" t="s">
        <v>9</v>
      </c>
      <c r="D8" s="31" t="s">
        <v>10</v>
      </c>
      <c r="E8" s="31" t="s">
        <v>11</v>
      </c>
      <c r="F8" s="36" t="s">
        <v>12</v>
      </c>
      <c r="G8" s="32" t="s">
        <v>13</v>
      </c>
      <c r="H8" s="32" t="s">
        <v>14</v>
      </c>
      <c r="I8" s="31" t="s">
        <v>15</v>
      </c>
    </row>
    <row r="9" spans="1:9" s="1" customFormat="1" ht="12.75" customHeight="1">
      <c r="A9" s="145">
        <v>1</v>
      </c>
      <c r="B9" s="145" t="s">
        <v>19</v>
      </c>
      <c r="C9" s="145" t="s">
        <v>20</v>
      </c>
      <c r="D9" s="148" t="s">
        <v>18</v>
      </c>
      <c r="E9" s="117" t="s">
        <v>120</v>
      </c>
      <c r="F9" s="27">
        <v>12100</v>
      </c>
      <c r="G9" s="27">
        <v>23058800</v>
      </c>
      <c r="H9" s="28">
        <v>0</v>
      </c>
      <c r="I9" s="29">
        <f t="shared" ref="I9:I14" si="0">G9</f>
        <v>23058800</v>
      </c>
    </row>
    <row r="10" spans="1:9" s="1" customFormat="1" ht="16.5">
      <c r="A10" s="145"/>
      <c r="B10" s="145"/>
      <c r="C10" s="145"/>
      <c r="D10" s="148"/>
      <c r="E10" s="117" t="s">
        <v>121</v>
      </c>
      <c r="F10" s="27">
        <v>11400</v>
      </c>
      <c r="G10" s="27">
        <v>22125100</v>
      </c>
      <c r="H10" s="28">
        <v>0</v>
      </c>
      <c r="I10" s="29">
        <f t="shared" si="0"/>
        <v>22125100</v>
      </c>
    </row>
    <row r="11" spans="1:9" s="1" customFormat="1" ht="16.5">
      <c r="A11" s="145"/>
      <c r="B11" s="145"/>
      <c r="C11" s="145"/>
      <c r="D11" s="148"/>
      <c r="E11" s="117" t="s">
        <v>122</v>
      </c>
      <c r="F11" s="27">
        <v>13000</v>
      </c>
      <c r="G11" s="27">
        <v>24892900</v>
      </c>
      <c r="H11" s="28">
        <v>0</v>
      </c>
      <c r="I11" s="29">
        <f t="shared" si="0"/>
        <v>24892900</v>
      </c>
    </row>
    <row r="12" spans="1:9" s="1" customFormat="1" ht="16.5">
      <c r="A12" s="145">
        <v>2</v>
      </c>
      <c r="B12" s="145" t="s">
        <v>21</v>
      </c>
      <c r="C12" s="145" t="s">
        <v>22</v>
      </c>
      <c r="D12" s="148" t="s">
        <v>18</v>
      </c>
      <c r="E12" s="117" t="s">
        <v>120</v>
      </c>
      <c r="F12" s="30">
        <v>23700</v>
      </c>
      <c r="G12" s="30">
        <v>45606300</v>
      </c>
      <c r="H12" s="28">
        <v>0</v>
      </c>
      <c r="I12" s="29">
        <f t="shared" si="0"/>
        <v>45606300</v>
      </c>
    </row>
    <row r="13" spans="1:9" s="1" customFormat="1" ht="16.5">
      <c r="A13" s="145"/>
      <c r="B13" s="145"/>
      <c r="C13" s="145"/>
      <c r="D13" s="148"/>
      <c r="E13" s="116" t="s">
        <v>121</v>
      </c>
      <c r="F13" s="30">
        <v>26900</v>
      </c>
      <c r="G13" s="30">
        <v>52290800</v>
      </c>
      <c r="H13" s="28">
        <v>0</v>
      </c>
      <c r="I13" s="29">
        <f t="shared" si="0"/>
        <v>52290800</v>
      </c>
    </row>
    <row r="14" spans="1:9" s="1" customFormat="1" ht="16.5">
      <c r="A14" s="145"/>
      <c r="B14" s="145"/>
      <c r="C14" s="145"/>
      <c r="D14" s="148"/>
      <c r="E14" s="116" t="s">
        <v>122</v>
      </c>
      <c r="F14" s="30">
        <v>26400</v>
      </c>
      <c r="G14" s="30">
        <v>50675500</v>
      </c>
      <c r="H14" s="28">
        <v>0</v>
      </c>
      <c r="I14" s="29">
        <f t="shared" si="0"/>
        <v>50675500</v>
      </c>
    </row>
    <row r="15" spans="1:9" ht="17.25" customHeight="1">
      <c r="A15" s="142" t="s">
        <v>28</v>
      </c>
      <c r="B15" s="142"/>
      <c r="C15" s="142"/>
      <c r="D15" s="142"/>
      <c r="E15" s="142"/>
      <c r="F15" s="32">
        <f>SUM(F9:F14)</f>
        <v>113500</v>
      </c>
      <c r="G15" s="32">
        <f>SUM(G9:G14)</f>
        <v>218649400</v>
      </c>
      <c r="H15" s="32"/>
      <c r="I15" s="32">
        <f>SUM(I9:I14)</f>
        <v>218649400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22" t="s">
        <v>123</v>
      </c>
      <c r="B17" s="122"/>
      <c r="C17" s="18"/>
      <c r="D17" s="122" t="s">
        <v>109</v>
      </c>
      <c r="E17" s="122"/>
      <c r="G17" s="122" t="s">
        <v>124</v>
      </c>
      <c r="H17" s="122"/>
      <c r="I17" s="122"/>
    </row>
    <row r="18" spans="1:9" ht="15.75">
      <c r="A18" s="18"/>
      <c r="B18" s="18"/>
      <c r="C18" s="18"/>
      <c r="D18" s="18"/>
      <c r="E18" s="18"/>
      <c r="G18" s="122" t="s">
        <v>115</v>
      </c>
      <c r="H18" s="122"/>
      <c r="I18" s="122"/>
    </row>
    <row r="19" spans="1:9" ht="15.75">
      <c r="A19" s="18"/>
      <c r="B19" s="18"/>
      <c r="C19" s="18"/>
      <c r="D19" s="18"/>
      <c r="E19" s="18"/>
      <c r="F19" s="4"/>
      <c r="G19" s="4"/>
      <c r="H19" s="4"/>
      <c r="I19" s="4"/>
    </row>
    <row r="20" spans="1:9" ht="15.75">
      <c r="A20" s="18"/>
      <c r="B20" s="18"/>
      <c r="C20" s="18"/>
      <c r="D20" s="18"/>
      <c r="E20" s="18"/>
      <c r="F20" s="4"/>
      <c r="G20" s="4"/>
      <c r="H20" s="4"/>
      <c r="I20" s="4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20"/>
      <c r="B22" s="20"/>
      <c r="C22" s="20"/>
      <c r="D22" s="20"/>
      <c r="E22" s="20"/>
      <c r="F22" s="21"/>
      <c r="G22" s="21"/>
      <c r="H22" s="21"/>
      <c r="I22" s="18"/>
    </row>
    <row r="23" spans="1:9" ht="15.75">
      <c r="A23" s="18"/>
      <c r="B23" s="18"/>
      <c r="C23" s="18"/>
      <c r="D23" s="18"/>
      <c r="E23" s="18"/>
      <c r="F23" s="19"/>
      <c r="G23" s="19"/>
      <c r="H23" s="19"/>
      <c r="I23" s="18"/>
    </row>
    <row r="24" spans="1:9" ht="15.75">
      <c r="A24" s="122" t="s">
        <v>116</v>
      </c>
      <c r="B24" s="122"/>
      <c r="C24" s="18"/>
      <c r="D24" s="122" t="s">
        <v>117</v>
      </c>
      <c r="E24" s="122"/>
      <c r="G24" s="122" t="s">
        <v>118</v>
      </c>
      <c r="H24" s="122"/>
      <c r="I24" s="122"/>
    </row>
  </sheetData>
  <mergeCells count="23">
    <mergeCell ref="G18:I18"/>
    <mergeCell ref="A24:B24"/>
    <mergeCell ref="D24:E24"/>
    <mergeCell ref="G24:I24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15:E15"/>
    <mergeCell ref="A17:B17"/>
    <mergeCell ref="D17:E17"/>
    <mergeCell ref="G17:I17"/>
    <mergeCell ref="A6:I7"/>
    <mergeCell ref="A1:C1"/>
    <mergeCell ref="E1:H1"/>
    <mergeCell ref="A2:C2"/>
    <mergeCell ref="E2:H2"/>
    <mergeCell ref="A3:C3"/>
  </mergeCells>
  <pageMargins left="0.7" right="0.34" top="0.75" bottom="0.75" header="0.3" footer="0.3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24"/>
  <sheetViews>
    <sheetView workbookViewId="0">
      <selection activeCell="G14" sqref="G14"/>
    </sheetView>
  </sheetViews>
  <sheetFormatPr defaultColWidth="9" defaultRowHeight="12.75"/>
  <cols>
    <col min="1" max="1" width="6.42578125" customWidth="1"/>
    <col min="2" max="2" width="18" customWidth="1"/>
    <col min="3" max="3" width="10.7109375" customWidth="1"/>
    <col min="4" max="4" width="27.7109375" customWidth="1"/>
    <col min="5" max="5" width="16.5703125" customWidth="1"/>
    <col min="6" max="6" width="12.42578125" customWidth="1"/>
    <col min="7" max="7" width="16.7109375" customWidth="1"/>
    <col min="9" max="9" width="16.7109375" customWidth="1"/>
  </cols>
  <sheetData>
    <row r="1" spans="1:9" ht="15.75">
      <c r="A1" s="121" t="s">
        <v>108</v>
      </c>
      <c r="B1" s="121"/>
      <c r="C1" s="121"/>
      <c r="D1" s="3"/>
      <c r="E1" s="122" t="s">
        <v>1</v>
      </c>
      <c r="F1" s="122"/>
      <c r="G1" s="122"/>
      <c r="H1" s="122"/>
      <c r="I1" s="3"/>
    </row>
    <row r="2" spans="1:9" ht="15.75">
      <c r="A2" s="122" t="s">
        <v>109</v>
      </c>
      <c r="B2" s="122"/>
      <c r="C2" s="122"/>
      <c r="D2" s="3"/>
      <c r="E2" s="122" t="s">
        <v>3</v>
      </c>
      <c r="F2" s="122"/>
      <c r="G2" s="122"/>
      <c r="H2" s="122"/>
      <c r="I2" s="3"/>
    </row>
    <row r="3" spans="1:9" ht="15.75">
      <c r="A3" s="122"/>
      <c r="B3" s="122"/>
      <c r="C3" s="122"/>
      <c r="D3" s="3"/>
      <c r="E3" s="3"/>
      <c r="F3" s="5"/>
      <c r="G3" s="5"/>
      <c r="H3" s="5"/>
      <c r="I3" s="3"/>
    </row>
    <row r="4" spans="1:9" ht="15.75">
      <c r="A4" s="3"/>
      <c r="B4" s="3"/>
      <c r="C4" s="3"/>
      <c r="D4" s="3"/>
      <c r="E4" s="149" t="s">
        <v>125</v>
      </c>
      <c r="F4" s="149"/>
      <c r="G4" s="149"/>
      <c r="H4" s="149"/>
      <c r="I4" s="3"/>
    </row>
    <row r="5" spans="1:9" ht="15.75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43" t="s">
        <v>6</v>
      </c>
      <c r="B6" s="143"/>
      <c r="C6" s="143"/>
      <c r="D6" s="143"/>
      <c r="E6" s="143"/>
      <c r="F6" s="143"/>
      <c r="G6" s="143"/>
      <c r="H6" s="143"/>
      <c r="I6" s="143"/>
    </row>
    <row r="7" spans="1:9" ht="19.5" customHeight="1">
      <c r="A7" s="144"/>
      <c r="B7" s="144"/>
      <c r="C7" s="144"/>
      <c r="D7" s="144"/>
      <c r="E7" s="144"/>
      <c r="F7" s="144"/>
      <c r="G7" s="144"/>
      <c r="H7" s="144"/>
      <c r="I7" s="144"/>
    </row>
    <row r="8" spans="1:9" s="1" customFormat="1" ht="31.5">
      <c r="A8" s="24" t="s">
        <v>7</v>
      </c>
      <c r="B8" s="24" t="s">
        <v>8</v>
      </c>
      <c r="C8" s="24" t="s">
        <v>9</v>
      </c>
      <c r="D8" s="24" t="s">
        <v>10</v>
      </c>
      <c r="E8" s="24" t="s">
        <v>11</v>
      </c>
      <c r="F8" s="25" t="s">
        <v>12</v>
      </c>
      <c r="G8" s="26" t="s">
        <v>13</v>
      </c>
      <c r="H8" s="26" t="s">
        <v>14</v>
      </c>
      <c r="I8" s="24" t="s">
        <v>15</v>
      </c>
    </row>
    <row r="9" spans="1:9" s="1" customFormat="1" ht="12.75" customHeight="1">
      <c r="A9" s="145">
        <v>1</v>
      </c>
      <c r="B9" s="145" t="s">
        <v>19</v>
      </c>
      <c r="C9" s="145" t="s">
        <v>20</v>
      </c>
      <c r="D9" s="148" t="s">
        <v>18</v>
      </c>
      <c r="E9" s="117" t="s">
        <v>126</v>
      </c>
      <c r="F9" s="27">
        <v>11491</v>
      </c>
      <c r="G9" s="27">
        <v>22260359</v>
      </c>
      <c r="H9" s="28">
        <v>0</v>
      </c>
      <c r="I9" s="29">
        <f t="shared" ref="I9:I14" si="0">G9</f>
        <v>22260359</v>
      </c>
    </row>
    <row r="10" spans="1:9" s="1" customFormat="1" ht="16.5">
      <c r="A10" s="145"/>
      <c r="B10" s="145"/>
      <c r="C10" s="145"/>
      <c r="D10" s="148"/>
      <c r="E10" s="117" t="s">
        <v>127</v>
      </c>
      <c r="F10" s="27">
        <v>10909</v>
      </c>
      <c r="G10" s="27">
        <v>21100141</v>
      </c>
      <c r="H10" s="28">
        <v>0</v>
      </c>
      <c r="I10" s="29">
        <f t="shared" si="0"/>
        <v>21100141</v>
      </c>
    </row>
    <row r="11" spans="1:9" s="1" customFormat="1" ht="16.5">
      <c r="A11" s="145"/>
      <c r="B11" s="145"/>
      <c r="C11" s="145"/>
      <c r="D11" s="148"/>
      <c r="E11" s="117" t="s">
        <v>128</v>
      </c>
      <c r="F11" s="27">
        <v>12400</v>
      </c>
      <c r="G11" s="27">
        <v>23195000</v>
      </c>
      <c r="H11" s="28">
        <v>0</v>
      </c>
      <c r="I11" s="29">
        <f t="shared" si="0"/>
        <v>23195000</v>
      </c>
    </row>
    <row r="12" spans="1:9" s="1" customFormat="1" ht="16.5">
      <c r="A12" s="145">
        <v>2</v>
      </c>
      <c r="B12" s="145" t="s">
        <v>21</v>
      </c>
      <c r="C12" s="145" t="s">
        <v>22</v>
      </c>
      <c r="D12" s="148" t="s">
        <v>18</v>
      </c>
      <c r="E12" s="117" t="s">
        <v>126</v>
      </c>
      <c r="F12" s="30">
        <v>24252</v>
      </c>
      <c r="G12" s="30">
        <v>47167034</v>
      </c>
      <c r="H12" s="28">
        <v>0</v>
      </c>
      <c r="I12" s="29">
        <f t="shared" si="0"/>
        <v>47167034</v>
      </c>
    </row>
    <row r="13" spans="1:9" s="1" customFormat="1" ht="16.5">
      <c r="A13" s="145"/>
      <c r="B13" s="145"/>
      <c r="C13" s="145"/>
      <c r="D13" s="148"/>
      <c r="E13" s="116" t="s">
        <v>127</v>
      </c>
      <c r="F13" s="30">
        <v>24048</v>
      </c>
      <c r="G13" s="30">
        <v>46707066</v>
      </c>
      <c r="H13" s="28">
        <v>0</v>
      </c>
      <c r="I13" s="29">
        <f t="shared" si="0"/>
        <v>46707066</v>
      </c>
    </row>
    <row r="14" spans="1:9" s="1" customFormat="1" ht="16.5">
      <c r="A14" s="145"/>
      <c r="B14" s="145"/>
      <c r="C14" s="145"/>
      <c r="D14" s="148"/>
      <c r="E14" s="116" t="s">
        <v>128</v>
      </c>
      <c r="F14" s="30">
        <v>25700</v>
      </c>
      <c r="G14" s="30">
        <v>49143700</v>
      </c>
      <c r="H14" s="28">
        <v>0</v>
      </c>
      <c r="I14" s="29">
        <f t="shared" si="0"/>
        <v>49143700</v>
      </c>
    </row>
    <row r="15" spans="1:9" ht="17.25" customHeight="1">
      <c r="A15" s="142" t="s">
        <v>28</v>
      </c>
      <c r="B15" s="142"/>
      <c r="C15" s="142"/>
      <c r="D15" s="142"/>
      <c r="E15" s="142"/>
      <c r="F15" s="32">
        <f>SUM(F9:F14)</f>
        <v>108800</v>
      </c>
      <c r="G15" s="32">
        <f>SUM(G9:G14)</f>
        <v>209573300</v>
      </c>
      <c r="H15" s="32"/>
      <c r="I15" s="32">
        <f>SUM(I9:I14)</f>
        <v>209573300</v>
      </c>
    </row>
    <row r="16" spans="1:9" ht="15.75">
      <c r="A16" s="33"/>
      <c r="B16" s="33"/>
      <c r="C16" s="33"/>
      <c r="D16" s="33"/>
      <c r="E16" s="33"/>
      <c r="F16" s="34"/>
      <c r="G16" s="34"/>
      <c r="H16" s="34"/>
      <c r="I16" s="35"/>
    </row>
    <row r="17" spans="1:9" ht="15.75">
      <c r="A17" s="122" t="s">
        <v>123</v>
      </c>
      <c r="B17" s="122"/>
      <c r="C17" s="18"/>
      <c r="D17" s="122" t="s">
        <v>109</v>
      </c>
      <c r="E17" s="122"/>
      <c r="G17" s="122" t="s">
        <v>124</v>
      </c>
      <c r="H17" s="122"/>
      <c r="I17" s="122"/>
    </row>
    <row r="18" spans="1:9" ht="15.75">
      <c r="A18" s="18"/>
      <c r="B18" s="18"/>
      <c r="C18" s="18"/>
      <c r="D18" s="18"/>
      <c r="E18" s="18"/>
      <c r="G18" s="122" t="s">
        <v>115</v>
      </c>
      <c r="H18" s="122"/>
      <c r="I18" s="122"/>
    </row>
    <row r="19" spans="1:9" ht="15.75">
      <c r="A19" s="18"/>
      <c r="B19" s="18"/>
      <c r="C19" s="18"/>
      <c r="D19" s="18"/>
      <c r="E19" s="18"/>
      <c r="F19" s="4"/>
      <c r="G19" s="4"/>
      <c r="H19" s="4"/>
      <c r="I19" s="4"/>
    </row>
    <row r="20" spans="1:9" ht="15.75">
      <c r="A20" s="18"/>
      <c r="B20" s="18"/>
      <c r="C20" s="18"/>
      <c r="D20" s="18"/>
      <c r="E20" s="18"/>
      <c r="F20" s="4"/>
      <c r="G20" s="4"/>
      <c r="H20" s="4"/>
      <c r="I20" s="4"/>
    </row>
    <row r="21" spans="1:9" ht="15.75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75">
      <c r="A22" s="20"/>
      <c r="B22" s="20"/>
      <c r="C22" s="20"/>
      <c r="D22" s="20"/>
      <c r="E22" s="20"/>
      <c r="F22" s="21"/>
      <c r="G22" s="21"/>
      <c r="H22" s="21"/>
      <c r="I22" s="18"/>
    </row>
    <row r="23" spans="1:9" ht="15.75">
      <c r="A23" s="18"/>
      <c r="B23" s="18"/>
      <c r="C23" s="18"/>
      <c r="D23" s="18"/>
      <c r="E23" s="18"/>
      <c r="F23" s="19"/>
      <c r="G23" s="19"/>
      <c r="H23" s="19"/>
      <c r="I23" s="18"/>
    </row>
    <row r="24" spans="1:9" ht="15.75">
      <c r="A24" s="122" t="s">
        <v>116</v>
      </c>
      <c r="B24" s="122"/>
      <c r="C24" s="18"/>
      <c r="D24" s="122" t="s">
        <v>117</v>
      </c>
      <c r="E24" s="122"/>
      <c r="G24" s="122" t="s">
        <v>118</v>
      </c>
      <c r="H24" s="122"/>
      <c r="I24" s="122"/>
    </row>
  </sheetData>
  <mergeCells count="23">
    <mergeCell ref="G18:I18"/>
    <mergeCell ref="A24:B24"/>
    <mergeCell ref="D24:E24"/>
    <mergeCell ref="G24:I24"/>
    <mergeCell ref="A9:A11"/>
    <mergeCell ref="A12:A14"/>
    <mergeCell ref="B9:B11"/>
    <mergeCell ref="B12:B14"/>
    <mergeCell ref="C9:C11"/>
    <mergeCell ref="C12:C14"/>
    <mergeCell ref="D9:D11"/>
    <mergeCell ref="D12:D14"/>
    <mergeCell ref="E4:H4"/>
    <mergeCell ref="A15:E15"/>
    <mergeCell ref="A17:B17"/>
    <mergeCell ref="D17:E17"/>
    <mergeCell ref="G17:I17"/>
    <mergeCell ref="A6:I7"/>
    <mergeCell ref="A1:C1"/>
    <mergeCell ref="E1:H1"/>
    <mergeCell ref="A2:C2"/>
    <mergeCell ref="E2:H2"/>
    <mergeCell ref="A3:C3"/>
  </mergeCells>
  <pageMargins left="0.7" right="0.34" top="0.75" bottom="0.75" header="0.3" footer="0.3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25"/>
  <sheetViews>
    <sheetView workbookViewId="0">
      <selection activeCell="G12" sqref="G12"/>
    </sheetView>
  </sheetViews>
  <sheetFormatPr defaultColWidth="9" defaultRowHeight="12.75"/>
  <cols>
    <col min="1" max="1" width="5" customWidth="1"/>
    <col min="2" max="2" width="16.42578125" customWidth="1"/>
    <col min="3" max="3" width="10.7109375" customWidth="1"/>
    <col min="4" max="4" width="21.7109375" customWidth="1"/>
    <col min="5" max="5" width="15.140625" customWidth="1"/>
    <col min="6" max="6" width="15.42578125" customWidth="1"/>
    <col min="7" max="7" width="9" customWidth="1"/>
    <col min="8" max="8" width="12.42578125" customWidth="1"/>
    <col min="9" max="9" width="14" customWidth="1"/>
    <col min="11" max="11" width="14" customWidth="1"/>
  </cols>
  <sheetData>
    <row r="1" spans="1:11" ht="15.75">
      <c r="A1" s="121" t="s">
        <v>108</v>
      </c>
      <c r="B1" s="121"/>
      <c r="C1" s="121"/>
      <c r="D1" s="3"/>
      <c r="E1" s="122" t="s">
        <v>1</v>
      </c>
      <c r="F1" s="122"/>
      <c r="G1" s="122"/>
      <c r="H1" s="122"/>
      <c r="I1" s="122"/>
      <c r="J1" s="122"/>
      <c r="K1" s="3"/>
    </row>
    <row r="2" spans="1:11" ht="15.75">
      <c r="A2" s="122" t="s">
        <v>109</v>
      </c>
      <c r="B2" s="122"/>
      <c r="C2" s="122"/>
      <c r="D2" s="3"/>
      <c r="E2" s="122" t="s">
        <v>3</v>
      </c>
      <c r="F2" s="122"/>
      <c r="G2" s="122"/>
      <c r="H2" s="122"/>
      <c r="I2" s="122"/>
      <c r="J2" s="122"/>
      <c r="K2" s="3"/>
    </row>
    <row r="3" spans="1:11" ht="15.75">
      <c r="A3" s="122"/>
      <c r="B3" s="122"/>
      <c r="C3" s="122"/>
      <c r="D3" s="3"/>
      <c r="E3" s="3"/>
      <c r="F3" s="3"/>
      <c r="G3" s="3"/>
      <c r="H3" s="5"/>
      <c r="I3" s="5"/>
      <c r="J3" s="5"/>
      <c r="K3" s="3"/>
    </row>
    <row r="4" spans="1:11" ht="15.75">
      <c r="A4" s="3"/>
      <c r="B4" s="3"/>
      <c r="C4" s="3"/>
      <c r="D4" s="3"/>
      <c r="E4" s="149" t="s">
        <v>129</v>
      </c>
      <c r="F4" s="149"/>
      <c r="G4" s="149"/>
      <c r="H4" s="149"/>
      <c r="I4" s="149"/>
      <c r="J4" s="149"/>
      <c r="K4" s="3"/>
    </row>
    <row r="5" spans="1:11" ht="15.75">
      <c r="A5" s="3"/>
      <c r="B5" s="3"/>
      <c r="C5" s="3"/>
      <c r="D5" s="3"/>
      <c r="E5" s="6"/>
      <c r="F5" s="6"/>
      <c r="G5" s="6"/>
      <c r="H5" s="6"/>
      <c r="I5" s="6"/>
      <c r="J5" s="6"/>
      <c r="K5" s="3"/>
    </row>
    <row r="6" spans="1:11" ht="30.75" customHeight="1">
      <c r="A6" s="143" t="s">
        <v>6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</row>
    <row r="7" spans="1:11" ht="19.5" customHeight="1">
      <c r="A7" s="144"/>
      <c r="B7" s="144"/>
      <c r="C7" s="144"/>
      <c r="D7" s="144"/>
      <c r="E7" s="144"/>
      <c r="F7" s="144"/>
      <c r="G7" s="144"/>
      <c r="H7" s="144"/>
      <c r="I7" s="144"/>
      <c r="J7" s="144"/>
      <c r="K7" s="144"/>
    </row>
    <row r="8" spans="1:11" s="1" customFormat="1" ht="28.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130</v>
      </c>
      <c r="G8" s="7" t="s">
        <v>131</v>
      </c>
      <c r="H8" s="8" t="s">
        <v>12</v>
      </c>
      <c r="I8" s="9" t="s">
        <v>13</v>
      </c>
      <c r="J8" s="9" t="s">
        <v>14</v>
      </c>
      <c r="K8" s="7" t="s">
        <v>15</v>
      </c>
    </row>
    <row r="9" spans="1:11" s="1" customFormat="1" ht="12.75" customHeight="1">
      <c r="A9" s="152">
        <v>1</v>
      </c>
      <c r="B9" s="152" t="s">
        <v>19</v>
      </c>
      <c r="C9" s="152" t="s">
        <v>20</v>
      </c>
      <c r="D9" s="153" t="s">
        <v>18</v>
      </c>
      <c r="E9" s="118" t="s">
        <v>132</v>
      </c>
      <c r="F9" s="22">
        <v>46002</v>
      </c>
      <c r="G9" s="118" t="s">
        <v>133</v>
      </c>
      <c r="H9" s="14">
        <v>11592</v>
      </c>
      <c r="I9" s="14">
        <v>22276862</v>
      </c>
      <c r="J9" s="12">
        <v>0</v>
      </c>
      <c r="K9" s="13">
        <f t="shared" ref="K9:K14" si="0">I9</f>
        <v>22276862</v>
      </c>
    </row>
    <row r="10" spans="1:11" s="1" customFormat="1" ht="15">
      <c r="A10" s="152"/>
      <c r="B10" s="152"/>
      <c r="C10" s="152"/>
      <c r="D10" s="153"/>
      <c r="E10" s="118" t="s">
        <v>134</v>
      </c>
      <c r="F10" s="22">
        <v>46012</v>
      </c>
      <c r="G10" s="118" t="s">
        <v>133</v>
      </c>
      <c r="H10" s="14">
        <v>10948</v>
      </c>
      <c r="I10" s="14">
        <v>21298855</v>
      </c>
      <c r="J10" s="12">
        <v>0</v>
      </c>
      <c r="K10" s="13">
        <f t="shared" si="0"/>
        <v>21298855</v>
      </c>
    </row>
    <row r="11" spans="1:11" s="1" customFormat="1" ht="15">
      <c r="A11" s="152"/>
      <c r="B11" s="152"/>
      <c r="C11" s="152"/>
      <c r="D11" s="153"/>
      <c r="E11" s="118" t="s">
        <v>135</v>
      </c>
      <c r="F11" s="22">
        <v>46024</v>
      </c>
      <c r="G11" s="118" t="s">
        <v>133</v>
      </c>
      <c r="H11" s="14">
        <v>7152</v>
      </c>
      <c r="I11" s="14">
        <v>13735745</v>
      </c>
      <c r="J11" s="12">
        <v>0</v>
      </c>
      <c r="K11" s="13">
        <f t="shared" si="0"/>
        <v>13735745</v>
      </c>
    </row>
    <row r="12" spans="1:11" s="1" customFormat="1" ht="15">
      <c r="A12" s="152">
        <v>2</v>
      </c>
      <c r="B12" s="152" t="s">
        <v>21</v>
      </c>
      <c r="C12" s="152" t="s">
        <v>22</v>
      </c>
      <c r="D12" s="153" t="s">
        <v>18</v>
      </c>
      <c r="E12" s="118" t="s">
        <v>132</v>
      </c>
      <c r="F12" s="22">
        <v>46002</v>
      </c>
      <c r="G12" s="118" t="s">
        <v>133</v>
      </c>
      <c r="H12" s="23">
        <v>29259</v>
      </c>
      <c r="I12" s="23">
        <v>56875216</v>
      </c>
      <c r="J12" s="12">
        <v>0</v>
      </c>
      <c r="K12" s="13">
        <f t="shared" si="0"/>
        <v>56875216</v>
      </c>
    </row>
    <row r="13" spans="1:11" s="1" customFormat="1" ht="15">
      <c r="A13" s="152"/>
      <c r="B13" s="152"/>
      <c r="C13" s="152"/>
      <c r="D13" s="153"/>
      <c r="E13" s="118" t="s">
        <v>134</v>
      </c>
      <c r="F13" s="22">
        <v>46012</v>
      </c>
      <c r="G13" s="118" t="s">
        <v>133</v>
      </c>
      <c r="H13" s="23">
        <v>26152</v>
      </c>
      <c r="I13" s="23">
        <v>50754993</v>
      </c>
      <c r="J13" s="12">
        <v>0</v>
      </c>
      <c r="K13" s="13">
        <f t="shared" si="0"/>
        <v>50754993</v>
      </c>
    </row>
    <row r="14" spans="1:11" s="1" customFormat="1" ht="15">
      <c r="A14" s="152"/>
      <c r="B14" s="152"/>
      <c r="C14" s="152"/>
      <c r="D14" s="153"/>
      <c r="E14" s="118" t="s">
        <v>135</v>
      </c>
      <c r="F14" s="22">
        <v>46024</v>
      </c>
      <c r="G14" s="118" t="s">
        <v>133</v>
      </c>
      <c r="H14" s="23">
        <v>16848</v>
      </c>
      <c r="I14" s="23">
        <v>31358807</v>
      </c>
      <c r="J14" s="12">
        <v>0</v>
      </c>
      <c r="K14" s="13">
        <f t="shared" si="0"/>
        <v>31358807</v>
      </c>
    </row>
    <row r="15" spans="1:11" ht="17.25" customHeight="1">
      <c r="A15" s="150" t="s">
        <v>28</v>
      </c>
      <c r="B15" s="150"/>
      <c r="C15" s="150"/>
      <c r="D15" s="150"/>
      <c r="E15" s="150"/>
      <c r="F15" s="15"/>
      <c r="G15" s="15"/>
      <c r="H15" s="16">
        <f>SUM(H9:H14)</f>
        <v>101951</v>
      </c>
      <c r="I15" s="16">
        <f>SUM(I9:I14)</f>
        <v>196300478</v>
      </c>
      <c r="J15" s="16"/>
      <c r="K15" s="16">
        <f>SUM(K9:K14)</f>
        <v>196300478</v>
      </c>
    </row>
    <row r="16" spans="1:11" ht="15.75">
      <c r="A16" s="147" t="e">
        <f t="array" ref="A16">"Bằng chữ: "&amp;[1]!vnd(K15)</f>
        <v>#NAME?</v>
      </c>
      <c r="B16" s="147"/>
      <c r="C16" s="147"/>
      <c r="D16" s="147"/>
      <c r="E16" s="147"/>
      <c r="F16" s="147"/>
      <c r="G16" s="147"/>
      <c r="H16" s="147"/>
      <c r="I16" s="147"/>
      <c r="J16" s="147"/>
      <c r="K16" s="151"/>
    </row>
    <row r="17" spans="1:11" ht="15.7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15.75">
      <c r="A18" s="122" t="s">
        <v>123</v>
      </c>
      <c r="B18" s="122"/>
      <c r="C18" s="18"/>
      <c r="E18" s="122" t="s">
        <v>109</v>
      </c>
      <c r="F18" s="122"/>
      <c r="G18" s="4"/>
      <c r="I18" s="122" t="s">
        <v>124</v>
      </c>
      <c r="J18" s="122"/>
      <c r="K18" s="122"/>
    </row>
    <row r="19" spans="1:11" ht="15.75">
      <c r="A19" s="18"/>
      <c r="B19" s="18"/>
      <c r="C19" s="18"/>
      <c r="D19" s="18"/>
      <c r="E19" s="18"/>
      <c r="F19" s="18"/>
      <c r="G19" s="18"/>
      <c r="I19" s="122" t="s">
        <v>115</v>
      </c>
      <c r="J19" s="122"/>
      <c r="K19" s="122"/>
    </row>
    <row r="20" spans="1:11" ht="15.75">
      <c r="A20" s="18"/>
      <c r="B20" s="18"/>
      <c r="C20" s="18"/>
      <c r="D20" s="18"/>
      <c r="E20" s="18"/>
      <c r="F20" s="18"/>
      <c r="G20" s="18"/>
      <c r="H20" s="4"/>
      <c r="I20" s="4"/>
      <c r="J20" s="4"/>
      <c r="K20" s="4"/>
    </row>
    <row r="21" spans="1:11" ht="15.75">
      <c r="A21" s="18"/>
      <c r="B21" s="18"/>
      <c r="C21" s="18"/>
      <c r="D21" s="18"/>
      <c r="E21" s="18"/>
      <c r="F21" s="18"/>
      <c r="G21" s="18"/>
      <c r="H21" s="4"/>
      <c r="I21" s="4"/>
      <c r="J21" s="4"/>
      <c r="K21" s="4"/>
    </row>
    <row r="22" spans="1:11" ht="15.75">
      <c r="A22" s="18"/>
      <c r="B22" s="18"/>
      <c r="C22" s="18"/>
      <c r="D22" s="18"/>
      <c r="E22" s="18"/>
      <c r="F22" s="18"/>
      <c r="G22" s="18"/>
      <c r="H22" s="19"/>
      <c r="I22" s="19"/>
      <c r="J22" s="19"/>
      <c r="K22" s="18"/>
    </row>
    <row r="23" spans="1:11" ht="15.75">
      <c r="A23" s="20"/>
      <c r="B23" s="20"/>
      <c r="C23" s="20"/>
      <c r="D23" s="20"/>
      <c r="E23" s="20"/>
      <c r="F23" s="20"/>
      <c r="G23" s="20"/>
      <c r="H23" s="21"/>
      <c r="I23" s="21"/>
      <c r="J23" s="21"/>
      <c r="K23" s="18"/>
    </row>
    <row r="24" spans="1:11" ht="15.75">
      <c r="A24" s="18"/>
      <c r="B24" s="18"/>
      <c r="C24" s="18"/>
      <c r="D24" s="18"/>
      <c r="E24" s="18"/>
      <c r="F24" s="18"/>
      <c r="G24" s="18"/>
      <c r="H24" s="19"/>
      <c r="I24" s="19"/>
      <c r="J24" s="19"/>
      <c r="K24" s="18"/>
    </row>
    <row r="25" spans="1:11" ht="15.75">
      <c r="A25" s="122" t="s">
        <v>116</v>
      </c>
      <c r="B25" s="122"/>
      <c r="C25" s="18"/>
      <c r="E25" s="122" t="s">
        <v>117</v>
      </c>
      <c r="F25" s="122"/>
      <c r="G25" s="4"/>
      <c r="I25" s="122" t="s">
        <v>118</v>
      </c>
      <c r="J25" s="122"/>
      <c r="K25" s="122"/>
    </row>
  </sheetData>
  <mergeCells count="24">
    <mergeCell ref="I19:K19"/>
    <mergeCell ref="A25:B25"/>
    <mergeCell ref="E25:F25"/>
    <mergeCell ref="I25:K25"/>
    <mergeCell ref="A9:A11"/>
    <mergeCell ref="A12:A14"/>
    <mergeCell ref="B9:B11"/>
    <mergeCell ref="B12:B14"/>
    <mergeCell ref="C9:C11"/>
    <mergeCell ref="C12:C14"/>
    <mergeCell ref="D9:D11"/>
    <mergeCell ref="D12:D14"/>
    <mergeCell ref="E4:J4"/>
    <mergeCell ref="A15:E15"/>
    <mergeCell ref="A16:K16"/>
    <mergeCell ref="A18:B18"/>
    <mergeCell ref="E18:F18"/>
    <mergeCell ref="I18:K18"/>
    <mergeCell ref="A6:K7"/>
    <mergeCell ref="A1:C1"/>
    <mergeCell ref="E1:J1"/>
    <mergeCell ref="A2:C2"/>
    <mergeCell ref="E2:J2"/>
    <mergeCell ref="A3:C3"/>
  </mergeCells>
  <pageMargins left="0.49" right="0.17" top="0.45" bottom="0.38" header="0.3" footer="0.3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25"/>
  <sheetViews>
    <sheetView tabSelected="1" zoomScale="130" zoomScaleNormal="130" workbookViewId="0">
      <selection activeCell="R19" sqref="R19"/>
    </sheetView>
  </sheetViews>
  <sheetFormatPr defaultColWidth="9" defaultRowHeight="12.75"/>
  <cols>
    <col min="1" max="1" width="5" customWidth="1"/>
    <col min="2" max="2" width="16.42578125" customWidth="1"/>
    <col min="3" max="3" width="13.28515625" customWidth="1"/>
    <col min="4" max="4" width="19.5703125" customWidth="1"/>
    <col min="5" max="5" width="15.140625" customWidth="1"/>
    <col min="6" max="6" width="15.42578125" customWidth="1"/>
    <col min="7" max="7" width="9" customWidth="1"/>
    <col min="8" max="8" width="10.85546875" customWidth="1"/>
    <col min="9" max="9" width="14" customWidth="1"/>
    <col min="10" max="10" width="10.28515625" customWidth="1"/>
    <col min="11" max="11" width="14" customWidth="1"/>
  </cols>
  <sheetData>
    <row r="1" spans="1:11" ht="15.75">
      <c r="A1" s="121" t="s">
        <v>108</v>
      </c>
      <c r="B1" s="121"/>
      <c r="C1" s="121"/>
      <c r="D1" s="3"/>
      <c r="E1" s="122" t="s">
        <v>1</v>
      </c>
      <c r="F1" s="122"/>
      <c r="G1" s="122"/>
      <c r="H1" s="122"/>
      <c r="I1" s="122"/>
      <c r="J1" s="122"/>
      <c r="K1" s="3"/>
    </row>
    <row r="2" spans="1:11" ht="15.75">
      <c r="A2" s="122" t="s">
        <v>109</v>
      </c>
      <c r="B2" s="122"/>
      <c r="C2" s="122"/>
      <c r="D2" s="3"/>
      <c r="E2" s="122" t="s">
        <v>3</v>
      </c>
      <c r="F2" s="122"/>
      <c r="G2" s="122"/>
      <c r="H2" s="122"/>
      <c r="I2" s="122"/>
      <c r="J2" s="122"/>
      <c r="K2" s="3"/>
    </row>
    <row r="3" spans="1:11" ht="15.75">
      <c r="A3" s="122"/>
      <c r="B3" s="122"/>
      <c r="C3" s="122"/>
      <c r="D3" s="3"/>
      <c r="E3" s="3"/>
      <c r="F3" s="3"/>
      <c r="G3" s="3"/>
      <c r="H3" s="5"/>
      <c r="I3" s="5"/>
      <c r="J3" s="5"/>
      <c r="K3" s="3"/>
    </row>
    <row r="4" spans="1:11" ht="15.75">
      <c r="A4" s="3"/>
      <c r="B4" s="3"/>
      <c r="C4" s="3"/>
      <c r="D4" s="3"/>
      <c r="E4" s="154" t="s">
        <v>139</v>
      </c>
      <c r="F4" s="154"/>
      <c r="G4" s="154"/>
      <c r="H4" s="154"/>
      <c r="I4" s="154"/>
      <c r="J4" s="154"/>
      <c r="K4" s="3"/>
    </row>
    <row r="5" spans="1:11" ht="15.75">
      <c r="A5" s="3"/>
      <c r="B5" s="3"/>
      <c r="C5" s="3"/>
      <c r="D5" s="3"/>
      <c r="E5" s="6"/>
      <c r="F5" s="6"/>
      <c r="G5" s="6"/>
      <c r="H5" s="6"/>
      <c r="I5" s="6"/>
      <c r="J5" s="6"/>
      <c r="K5" s="3"/>
    </row>
    <row r="6" spans="1:11" ht="30.75" customHeight="1">
      <c r="A6" s="143" t="s">
        <v>6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</row>
    <row r="7" spans="1:11" ht="19.5" customHeight="1">
      <c r="A7" s="144"/>
      <c r="B7" s="144"/>
      <c r="C7" s="144"/>
      <c r="D7" s="144"/>
      <c r="E7" s="144"/>
      <c r="F7" s="144"/>
      <c r="G7" s="144"/>
      <c r="H7" s="144"/>
      <c r="I7" s="144"/>
      <c r="J7" s="144"/>
      <c r="K7" s="144"/>
    </row>
    <row r="8" spans="1:11" s="1" customFormat="1" ht="28.5">
      <c r="A8" s="7" t="s">
        <v>7</v>
      </c>
      <c r="B8" s="7" t="s">
        <v>8</v>
      </c>
      <c r="C8" s="7" t="s">
        <v>9</v>
      </c>
      <c r="D8" s="7" t="s">
        <v>10</v>
      </c>
      <c r="E8" s="7" t="s">
        <v>136</v>
      </c>
      <c r="F8" s="7" t="s">
        <v>130</v>
      </c>
      <c r="G8" s="7" t="s">
        <v>131</v>
      </c>
      <c r="H8" s="8" t="s">
        <v>12</v>
      </c>
      <c r="I8" s="9" t="s">
        <v>13</v>
      </c>
      <c r="J8" s="9" t="s">
        <v>14</v>
      </c>
      <c r="K8" s="7" t="s">
        <v>15</v>
      </c>
    </row>
    <row r="9" spans="1:11" s="1" customFormat="1" ht="12.75" customHeight="1">
      <c r="A9" s="152">
        <v>1</v>
      </c>
      <c r="B9" s="152" t="s">
        <v>19</v>
      </c>
      <c r="C9" s="152" t="s">
        <v>20</v>
      </c>
      <c r="D9" s="153" t="s">
        <v>18</v>
      </c>
      <c r="E9" s="119" t="s">
        <v>140</v>
      </c>
      <c r="F9" s="10">
        <v>46276</v>
      </c>
      <c r="G9" s="120" t="s">
        <v>133</v>
      </c>
      <c r="H9" s="11">
        <v>19000</v>
      </c>
      <c r="I9" s="11">
        <v>39001500</v>
      </c>
      <c r="J9" s="12">
        <v>0</v>
      </c>
      <c r="K9" s="13">
        <f t="shared" ref="K9:K14" si="0">I9</f>
        <v>39001500</v>
      </c>
    </row>
    <row r="10" spans="1:11" s="1" customFormat="1" ht="15">
      <c r="A10" s="152"/>
      <c r="B10" s="152"/>
      <c r="C10" s="152"/>
      <c r="D10" s="153"/>
      <c r="E10" s="119" t="s">
        <v>141</v>
      </c>
      <c r="F10" s="119" t="s">
        <v>143</v>
      </c>
      <c r="G10" s="120" t="s">
        <v>133</v>
      </c>
      <c r="H10" s="14">
        <v>20116</v>
      </c>
      <c r="I10" s="14">
        <v>40643157</v>
      </c>
      <c r="J10" s="12">
        <v>0</v>
      </c>
      <c r="K10" s="13">
        <f t="shared" si="0"/>
        <v>40643157</v>
      </c>
    </row>
    <row r="11" spans="1:11" s="1" customFormat="1" ht="15">
      <c r="A11" s="152"/>
      <c r="B11" s="152"/>
      <c r="C11" s="152"/>
      <c r="D11" s="153"/>
      <c r="E11" s="119" t="s">
        <v>142</v>
      </c>
      <c r="F11" s="10">
        <v>46297</v>
      </c>
      <c r="G11" s="120" t="s">
        <v>133</v>
      </c>
      <c r="H11" s="11">
        <v>23050</v>
      </c>
      <c r="I11" s="11">
        <v>47607749</v>
      </c>
      <c r="J11" s="12">
        <v>0</v>
      </c>
      <c r="K11" s="13">
        <f t="shared" si="0"/>
        <v>47607749</v>
      </c>
    </row>
    <row r="12" spans="1:11" s="1" customFormat="1" ht="15">
      <c r="A12" s="152">
        <v>2</v>
      </c>
      <c r="B12" s="152" t="s">
        <v>21</v>
      </c>
      <c r="C12" s="152" t="s">
        <v>22</v>
      </c>
      <c r="D12" s="153" t="s">
        <v>18</v>
      </c>
      <c r="E12" s="119" t="s">
        <v>140</v>
      </c>
      <c r="F12" s="10">
        <v>46276</v>
      </c>
      <c r="G12" s="120" t="s">
        <v>133</v>
      </c>
      <c r="H12" s="14">
        <v>33200</v>
      </c>
      <c r="I12" s="14">
        <v>66711500</v>
      </c>
      <c r="J12" s="12">
        <v>0</v>
      </c>
      <c r="K12" s="13">
        <f t="shared" si="0"/>
        <v>66711500</v>
      </c>
    </row>
    <row r="13" spans="1:11" s="1" customFormat="1" ht="15">
      <c r="A13" s="152"/>
      <c r="B13" s="152"/>
      <c r="C13" s="152"/>
      <c r="D13" s="153"/>
      <c r="E13" s="119" t="s">
        <v>141</v>
      </c>
      <c r="F13" s="119" t="s">
        <v>143</v>
      </c>
      <c r="G13" s="120" t="s">
        <v>133</v>
      </c>
      <c r="H13" s="11">
        <v>30200</v>
      </c>
      <c r="I13" s="11">
        <v>59840400</v>
      </c>
      <c r="J13" s="12">
        <v>0</v>
      </c>
      <c r="K13" s="13">
        <f t="shared" si="0"/>
        <v>59840400</v>
      </c>
    </row>
    <row r="14" spans="1:11" s="1" customFormat="1" ht="15">
      <c r="A14" s="152"/>
      <c r="B14" s="152"/>
      <c r="C14" s="152"/>
      <c r="D14" s="153"/>
      <c r="E14" s="119" t="s">
        <v>142</v>
      </c>
      <c r="F14" s="10">
        <v>46297</v>
      </c>
      <c r="G14" s="120" t="s">
        <v>133</v>
      </c>
      <c r="H14" s="14">
        <v>33400</v>
      </c>
      <c r="I14" s="11">
        <v>67832700</v>
      </c>
      <c r="J14" s="12">
        <v>0</v>
      </c>
      <c r="K14" s="13">
        <f t="shared" si="0"/>
        <v>67832700</v>
      </c>
    </row>
    <row r="15" spans="1:11" s="1" customFormat="1" ht="17.25" customHeight="1">
      <c r="A15" s="155" t="s">
        <v>28</v>
      </c>
      <c r="B15" s="155"/>
      <c r="C15" s="155"/>
      <c r="D15" s="155"/>
      <c r="E15" s="155"/>
      <c r="F15" s="7"/>
      <c r="G15" s="7"/>
      <c r="H15" s="9">
        <f>SUM(H9:H14)</f>
        <v>158966</v>
      </c>
      <c r="I15" s="9">
        <f>SUM(I9:I14)</f>
        <v>321637006</v>
      </c>
      <c r="J15" s="9"/>
      <c r="K15" s="9">
        <f>SUM(K9:K14)</f>
        <v>321637006</v>
      </c>
    </row>
    <row r="16" spans="1:11" ht="15.75">
      <c r="A16" s="147" t="str" cm="1">
        <f t="array" ref="A16">[2]!VND(K15)</f>
        <v>Ba trăm hai mươi mốt triệu, sáu trăm ba mươi bảy ngàn, sáu đồng chẵn</v>
      </c>
      <c r="B16" s="147"/>
      <c r="C16" s="147"/>
      <c r="D16" s="147"/>
      <c r="E16" s="147"/>
      <c r="F16" s="147"/>
      <c r="G16" s="147"/>
      <c r="H16" s="147"/>
      <c r="I16" s="147"/>
      <c r="J16" s="147"/>
      <c r="K16" s="151"/>
    </row>
    <row r="17" spans="1:11" ht="15.7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15.75">
      <c r="A18" s="122" t="s">
        <v>123</v>
      </c>
      <c r="B18" s="122"/>
      <c r="C18" s="18"/>
      <c r="E18" s="122" t="s">
        <v>109</v>
      </c>
      <c r="F18" s="122"/>
      <c r="G18" s="4"/>
      <c r="I18" s="122" t="s">
        <v>124</v>
      </c>
      <c r="J18" s="122"/>
      <c r="K18" s="122"/>
    </row>
    <row r="19" spans="1:11" ht="15.75">
      <c r="A19" s="18"/>
      <c r="B19" s="18"/>
      <c r="C19" s="18"/>
      <c r="D19" s="18"/>
      <c r="E19" s="18"/>
      <c r="F19" s="18"/>
      <c r="G19" s="18"/>
      <c r="I19" s="122" t="s">
        <v>115</v>
      </c>
      <c r="J19" s="122"/>
      <c r="K19" s="122"/>
    </row>
    <row r="20" spans="1:11" ht="15.75">
      <c r="A20" s="18"/>
      <c r="B20" s="18"/>
      <c r="C20" s="18"/>
      <c r="D20" s="18"/>
      <c r="E20" s="18"/>
      <c r="F20" s="18"/>
      <c r="G20" s="18"/>
      <c r="H20" s="4"/>
      <c r="I20" s="4"/>
      <c r="J20" s="4"/>
      <c r="K20" s="4"/>
    </row>
    <row r="21" spans="1:11" ht="15.75">
      <c r="A21" s="18"/>
      <c r="B21" s="18"/>
      <c r="C21" s="18"/>
      <c r="D21" s="18"/>
      <c r="E21" s="18"/>
      <c r="F21" s="18"/>
      <c r="G21" s="18"/>
      <c r="H21" s="4"/>
      <c r="I21" s="4"/>
      <c r="J21" s="4"/>
      <c r="K21" s="4"/>
    </row>
    <row r="22" spans="1:11" ht="15.75">
      <c r="A22" s="18"/>
      <c r="B22" s="18"/>
      <c r="C22" s="18"/>
      <c r="D22" s="18"/>
      <c r="E22" s="18"/>
      <c r="F22" s="18"/>
      <c r="G22" s="18"/>
      <c r="H22" s="19"/>
      <c r="I22" s="19"/>
      <c r="J22" s="19"/>
      <c r="K22" s="18"/>
    </row>
    <row r="23" spans="1:11" ht="15.75">
      <c r="A23" s="20"/>
      <c r="B23" s="20"/>
      <c r="C23" s="20"/>
      <c r="D23" s="20"/>
      <c r="E23" s="20"/>
      <c r="F23" s="20"/>
      <c r="G23" s="20"/>
      <c r="H23" s="21"/>
      <c r="I23" s="21"/>
      <c r="J23" s="21"/>
      <c r="K23" s="18"/>
    </row>
    <row r="24" spans="1:11" ht="15.75">
      <c r="A24" s="18"/>
      <c r="B24" s="18"/>
      <c r="C24" s="18"/>
      <c r="D24" s="18"/>
      <c r="E24" s="18"/>
      <c r="F24" s="18"/>
      <c r="G24" s="18"/>
      <c r="H24" s="19"/>
      <c r="I24" s="19"/>
      <c r="J24" s="19"/>
      <c r="K24" s="18"/>
    </row>
    <row r="25" spans="1:11" ht="15.75">
      <c r="A25" s="122" t="s">
        <v>116</v>
      </c>
      <c r="B25" s="122"/>
      <c r="C25" s="18"/>
      <c r="E25" s="122" t="s">
        <v>137</v>
      </c>
      <c r="F25" s="122"/>
      <c r="G25" s="4"/>
      <c r="I25" s="122" t="s">
        <v>138</v>
      </c>
      <c r="J25" s="122"/>
      <c r="K25" s="122"/>
    </row>
  </sheetData>
  <mergeCells count="24">
    <mergeCell ref="I19:K19"/>
    <mergeCell ref="A25:B25"/>
    <mergeCell ref="E25:F25"/>
    <mergeCell ref="I25:K25"/>
    <mergeCell ref="A9:A11"/>
    <mergeCell ref="A12:A14"/>
    <mergeCell ref="B9:B11"/>
    <mergeCell ref="B12:B14"/>
    <mergeCell ref="C9:C11"/>
    <mergeCell ref="C12:C14"/>
    <mergeCell ref="D9:D11"/>
    <mergeCell ref="D12:D14"/>
    <mergeCell ref="E4:J4"/>
    <mergeCell ref="A15:E15"/>
    <mergeCell ref="A16:K16"/>
    <mergeCell ref="A18:B18"/>
    <mergeCell ref="E18:F18"/>
    <mergeCell ref="I18:K18"/>
    <mergeCell ref="A6:K7"/>
    <mergeCell ref="A1:C1"/>
    <mergeCell ref="E1:J1"/>
    <mergeCell ref="A2:C2"/>
    <mergeCell ref="E2:J2"/>
    <mergeCell ref="A3:C3"/>
  </mergeCells>
  <pageMargins left="0.49" right="0.17" top="0.45" bottom="0.38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01.2020</vt:lpstr>
      <vt:lpstr>02.2020</vt:lpstr>
      <vt:lpstr>03.2020</vt:lpstr>
      <vt:lpstr>04.2020</vt:lpstr>
      <vt:lpstr> 05.2020</vt:lpstr>
      <vt:lpstr>06.2020</vt:lpstr>
      <vt:lpstr>07.2020</vt:lpstr>
      <vt:lpstr>08.2020</vt:lpstr>
      <vt:lpstr>09.2020</vt:lpstr>
      <vt:lpstr>09.2020 NGUYÊN</vt:lpstr>
      <vt:lpstr>10.2020</vt:lpstr>
      <vt:lpstr>11.2020</vt:lpstr>
      <vt:lpstr>12.2020</vt:lpstr>
      <vt:lpstr>01.2021</vt:lpstr>
      <vt:lpstr>02.2021</vt:lpstr>
      <vt:lpstr>03.2021</vt:lpstr>
      <vt:lpstr>04.2021</vt:lpstr>
      <vt:lpstr>05.2021</vt:lpstr>
      <vt:lpstr>06.2021</vt:lpstr>
      <vt:lpstr>07.2021</vt:lpstr>
      <vt:lpstr>08.2021</vt:lpstr>
      <vt:lpstr>09.2021</vt:lpstr>
      <vt:lpstr>10.2021</vt:lpstr>
      <vt:lpstr>11.2021</vt:lpstr>
      <vt:lpstr>12.2021</vt:lpstr>
      <vt:lpstr>01.2022</vt:lpstr>
      <vt:lpstr>02.2022</vt:lpstr>
      <vt:lpstr>03.2022</vt:lpstr>
      <vt:lpstr>04.2022</vt:lpstr>
      <vt:lpstr>6.2022</vt:lpstr>
      <vt:lpstr>07.02022</vt:lpstr>
      <vt:lpstr>08.2022</vt:lpstr>
      <vt:lpstr>09.2022</vt:lpstr>
      <vt:lpstr>10.2022</vt:lpstr>
      <vt:lpstr>11.2022</vt:lpstr>
      <vt:lpstr>12.2022</vt:lpstr>
      <vt:lpstr>01.2023</vt:lpstr>
      <vt:lpstr>02.2023</vt:lpstr>
      <vt:lpstr>03.2023</vt:lpstr>
      <vt:lpstr>11.2023</vt:lpstr>
      <vt:lpstr>12-2023</vt:lpstr>
      <vt:lpstr>04-2025</vt:lpstr>
      <vt:lpstr>06-2025</vt:lpstr>
      <vt:lpstr>07-2025</vt:lpstr>
      <vt:lpstr>08-2025</vt:lpstr>
      <vt:lpstr>09-2025</vt:lpstr>
      <vt:lpstr>10-2025</vt:lpstr>
      <vt:lpstr>092026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 Ngoc Quyen</cp:lastModifiedBy>
  <cp:lastPrinted>2026-08-05T00:49:14Z</cp:lastPrinted>
  <dcterms:created xsi:type="dcterms:W3CDTF">2013-02-04T07:19:00Z</dcterms:created>
  <dcterms:modified xsi:type="dcterms:W3CDTF">2026-10-03T03:44:53Z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FDFFAAA928D94C37900397B446245CF8_12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