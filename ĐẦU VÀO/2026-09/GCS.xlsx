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o thu ngan HCM\To thu ngan HCM\10-2026\"/>
    </mc:Choice>
  </mc:AlternateContent>
  <xr:revisionPtr revIDLastSave="0" documentId="13_ncr:1_{E3520C8E-A2EC-43D6-8E61-E542DFD2A57E}" xr6:coauthVersionLast="36" xr6:coauthVersionMax="36" xr10:uidLastSave="{00000000-0000-0000-0000-000000000000}"/>
  <bookViews>
    <workbookView xWindow="0" yWindow="0" windowWidth="27945" windowHeight="12180" tabRatio="500" firstSheet="1" activeTab="1" xr2:uid="{00000000-000D-0000-FFFF-FFFF00000000}"/>
  </bookViews>
  <sheets>
    <sheet name="Sheet1" sheetId="1" state="hidden" r:id="rId1"/>
    <sheet name="BC" sheetId="2" r:id="rId2"/>
    <sheet name="1,8-PH_GCS" sheetId="3" r:id="rId3"/>
    <sheet name="3,3-HDSS" sheetId="4" r:id="rId4"/>
  </sheets>
  <definedNames>
    <definedName name="_xlnm.Print_Area" localSheetId="1">BC!$A:$O</definedName>
  </definedNames>
  <calcPr calcId="191029"/>
</workbook>
</file>

<file path=xl/calcChain.xml><?xml version="1.0" encoding="utf-8"?>
<calcChain xmlns="http://schemas.openxmlformats.org/spreadsheetml/2006/main">
  <c r="B27" i="2" l="1"/>
  <c r="C27" i="2"/>
  <c r="D27" i="2"/>
  <c r="F27" i="2"/>
  <c r="G27" i="2"/>
  <c r="H27" i="2"/>
  <c r="I27" i="2"/>
  <c r="J27" i="2"/>
  <c r="K27" i="2"/>
  <c r="L27" i="2"/>
  <c r="M27" i="2"/>
  <c r="N27" i="2"/>
  <c r="O27" i="2"/>
  <c r="B28" i="2"/>
  <c r="C28" i="2"/>
  <c r="D28" i="2"/>
  <c r="F28" i="2"/>
  <c r="G28" i="2"/>
  <c r="H28" i="2"/>
  <c r="I28" i="2"/>
  <c r="J28" i="2"/>
  <c r="K28" i="2"/>
  <c r="L28" i="2"/>
  <c r="M28" i="2"/>
  <c r="N28" i="2"/>
  <c r="O28" i="2"/>
  <c r="O26" i="2" l="1"/>
  <c r="O29" i="2" s="1"/>
  <c r="N26" i="2"/>
  <c r="N29" i="2" s="1"/>
  <c r="M26" i="2"/>
  <c r="M29" i="2" s="1"/>
  <c r="L26" i="2"/>
  <c r="L29" i="2" s="1"/>
  <c r="K26" i="2"/>
  <c r="K29" i="2" s="1"/>
  <c r="J26" i="2"/>
  <c r="J29" i="2" s="1"/>
  <c r="I26" i="2"/>
  <c r="I29" i="2" s="1"/>
  <c r="H26" i="2"/>
  <c r="H29" i="2" s="1"/>
  <c r="G26" i="2"/>
  <c r="G29" i="2" s="1"/>
  <c r="F26" i="2"/>
  <c r="F29" i="2" s="1"/>
  <c r="D26" i="2"/>
  <c r="D29" i="2" s="1"/>
  <c r="C26" i="2"/>
  <c r="C29" i="2" s="1"/>
  <c r="O23" i="2"/>
  <c r="N23" i="2"/>
  <c r="M23" i="2"/>
  <c r="L23" i="2"/>
  <c r="K23" i="2"/>
  <c r="J23" i="2"/>
  <c r="I23" i="2"/>
  <c r="H23" i="2"/>
  <c r="G23" i="2"/>
  <c r="F23" i="2"/>
  <c r="D23" i="2"/>
  <c r="C23" i="2"/>
  <c r="O20" i="2"/>
  <c r="N20" i="2"/>
  <c r="M20" i="2"/>
  <c r="L20" i="2"/>
  <c r="K20" i="2"/>
  <c r="J20" i="2"/>
  <c r="I20" i="2"/>
  <c r="H20" i="2"/>
  <c r="G20" i="2"/>
  <c r="F20" i="2"/>
  <c r="D20" i="2"/>
  <c r="C20" i="2"/>
  <c r="O19" i="2"/>
  <c r="N19" i="2"/>
  <c r="M19" i="2"/>
  <c r="L19" i="2"/>
  <c r="K19" i="2"/>
  <c r="J19" i="2"/>
  <c r="I19" i="2"/>
  <c r="H19" i="2"/>
  <c r="G19" i="2"/>
  <c r="F19" i="2"/>
  <c r="D19" i="2"/>
  <c r="C19" i="2"/>
  <c r="O18" i="2"/>
  <c r="N18" i="2"/>
  <c r="M18" i="2"/>
  <c r="L18" i="2"/>
  <c r="K18" i="2"/>
  <c r="J18" i="2"/>
  <c r="I18" i="2"/>
  <c r="H18" i="2"/>
  <c r="G18" i="2"/>
  <c r="F18" i="2"/>
  <c r="D18" i="2"/>
  <c r="C18" i="2"/>
  <c r="O17" i="2"/>
  <c r="N17" i="2"/>
  <c r="M17" i="2"/>
  <c r="L17" i="2"/>
  <c r="K17" i="2"/>
  <c r="J17" i="2"/>
  <c r="I17" i="2"/>
  <c r="H17" i="2"/>
  <c r="G17" i="2"/>
  <c r="F17" i="2"/>
  <c r="D17" i="2"/>
  <c r="C17" i="2"/>
  <c r="O14" i="2"/>
  <c r="N14" i="2"/>
  <c r="M14" i="2"/>
  <c r="L14" i="2"/>
  <c r="K14" i="2"/>
  <c r="J14" i="2"/>
  <c r="I14" i="2"/>
  <c r="H14" i="2"/>
  <c r="G14" i="2"/>
  <c r="F14" i="2"/>
  <c r="D14" i="2"/>
  <c r="C14" i="2"/>
  <c r="B26" i="2"/>
  <c r="B23" i="2"/>
  <c r="B20" i="2"/>
  <c r="B19" i="2"/>
  <c r="B18" i="2"/>
  <c r="B17" i="2"/>
  <c r="B14" i="2"/>
  <c r="O24" i="2" l="1"/>
  <c r="N24" i="2"/>
  <c r="M24" i="2"/>
  <c r="L24" i="2"/>
  <c r="K24" i="2"/>
  <c r="J24" i="2"/>
  <c r="I24" i="2"/>
  <c r="H24" i="2"/>
  <c r="G24" i="2"/>
  <c r="F24" i="2"/>
  <c r="D24" i="2"/>
  <c r="C24" i="2"/>
  <c r="F15" i="2"/>
  <c r="D15" i="2"/>
  <c r="C15" i="2"/>
  <c r="O11" i="2"/>
  <c r="O12" i="2" s="1"/>
  <c r="N11" i="2"/>
  <c r="N12" i="2" s="1"/>
  <c r="M11" i="2"/>
  <c r="M12" i="2" s="1"/>
  <c r="L11" i="2"/>
  <c r="L12" i="2" s="1"/>
  <c r="K11" i="2"/>
  <c r="K12" i="2" s="1"/>
  <c r="J11" i="2"/>
  <c r="J12" i="2" s="1"/>
  <c r="I11" i="2"/>
  <c r="I12" i="2" s="1"/>
  <c r="H11" i="2"/>
  <c r="H12" i="2" s="1"/>
  <c r="G11" i="2"/>
  <c r="G12" i="2" s="1"/>
  <c r="F11" i="2"/>
  <c r="F12" i="2" s="1"/>
  <c r="D11" i="2"/>
  <c r="D12" i="2" s="1"/>
  <c r="C11" i="2"/>
  <c r="C12" i="2" s="1"/>
  <c r="B11" i="2"/>
  <c r="O27" i="1"/>
  <c r="D27" i="1"/>
  <c r="O25" i="1"/>
  <c r="N25" i="1"/>
  <c r="M25" i="1"/>
  <c r="L25" i="1"/>
  <c r="K25" i="1"/>
  <c r="J25" i="1"/>
  <c r="I25" i="1"/>
  <c r="H25" i="1"/>
  <c r="G25" i="1"/>
  <c r="F25" i="1"/>
  <c r="D25" i="1"/>
  <c r="C25" i="1"/>
  <c r="O20" i="1"/>
  <c r="N20" i="1"/>
  <c r="M20" i="1"/>
  <c r="L20" i="1"/>
  <c r="K20" i="1"/>
  <c r="J20" i="1"/>
  <c r="I20" i="1"/>
  <c r="H20" i="1"/>
  <c r="G20" i="1"/>
  <c r="F20" i="1"/>
  <c r="D20" i="1"/>
  <c r="C20" i="1"/>
  <c r="O16" i="1"/>
  <c r="N16" i="1"/>
  <c r="M16" i="1"/>
  <c r="L16" i="1"/>
  <c r="K16" i="1"/>
  <c r="J16" i="1"/>
  <c r="I16" i="1"/>
  <c r="H16" i="1"/>
  <c r="G16" i="1"/>
  <c r="F16" i="1"/>
  <c r="D16" i="1"/>
  <c r="C16" i="1"/>
  <c r="M21" i="2" l="1"/>
  <c r="N21" i="2"/>
  <c r="O21" i="2"/>
  <c r="I15" i="2"/>
  <c r="H15" i="2"/>
  <c r="C21" i="2"/>
  <c r="D21" i="2"/>
  <c r="D30" i="2" s="1"/>
  <c r="L15" i="2"/>
  <c r="G21" i="2"/>
  <c r="O15" i="2"/>
  <c r="K21" i="2"/>
  <c r="J15" i="2"/>
  <c r="K15" i="2"/>
  <c r="F21" i="2"/>
  <c r="M15" i="2"/>
  <c r="H21" i="2"/>
  <c r="J21" i="2"/>
  <c r="L21" i="2"/>
  <c r="G15" i="2"/>
  <c r="N15" i="2"/>
  <c r="I21" i="2"/>
  <c r="G30" i="2" l="1"/>
  <c r="I30" i="2"/>
  <c r="F30" i="2"/>
  <c r="C30" i="2"/>
  <c r="L30" i="2"/>
  <c r="M30" i="2"/>
  <c r="J30" i="2"/>
  <c r="N30" i="2"/>
  <c r="O30" i="2"/>
  <c r="K30" i="2"/>
  <c r="H30" i="2"/>
</calcChain>
</file>

<file path=xl/sharedStrings.xml><?xml version="1.0" encoding="utf-8"?>
<sst xmlns="http://schemas.openxmlformats.org/spreadsheetml/2006/main" count="115" uniqueCount="71">
  <si>
    <t>TỔNG CÔNG TY ĐIỆN LỰC THÀNH PHỐ HỒ CHÍ MINH TNHH</t>
  </si>
  <si>
    <t>CÔNG TY ĐIỆN LỰC VŨNG TÀU</t>
  </si>
  <si>
    <t>BÁO CÁO TỔNG HỢP THEO NGÀY GHI CHỈ SỐ</t>
  </si>
  <si>
    <t>Tháng năm: 7/2025.Loại khách hàng: Tất cả.Loại hợp đồng: Tất cả</t>
  </si>
  <si>
    <t>STT</t>
  </si>
  <si>
    <t>Ngày ghi</t>
  </si>
  <si>
    <t>Số sổ GCS</t>
  </si>
  <si>
    <t>Số hóa đơn</t>
  </si>
  <si>
    <t>Ngày phát hành hóa đơn</t>
  </si>
  <si>
    <t>Điện năng tiêu thụ</t>
  </si>
  <si>
    <t>Tiền điện tác dụng</t>
  </si>
  <si>
    <t>Thuế điện tác dụng</t>
  </si>
  <si>
    <t>Tổng tiền điện tác dụng</t>
  </si>
  <si>
    <t>Tiền CSPK</t>
  </si>
  <si>
    <t>Thuế CSPK</t>
  </si>
  <si>
    <t>Tổng tiền CSPK</t>
  </si>
  <si>
    <t>Tổng cộng</t>
  </si>
  <si>
    <t>SH</t>
  </si>
  <si>
    <t>Ngoài SH</t>
  </si>
  <si>
    <t>Tổng</t>
  </si>
  <si>
    <t>Loại hoá đơn : Phát sinh</t>
  </si>
  <si>
    <t>10/07/2025</t>
  </si>
  <si>
    <t>15/07/2025</t>
  </si>
  <si>
    <t>20/07/2025</t>
  </si>
  <si>
    <t>31/07/2025</t>
  </si>
  <si>
    <t>Tổng số:</t>
  </si>
  <si>
    <t>Loại hoá đơn : Thoái hoàn</t>
  </si>
  <si>
    <t>Loại hoá đơn : Truy thu</t>
  </si>
  <si>
    <t>NV LẬP BIỂU</t>
  </si>
  <si>
    <t>Tổ trưởng Tổ KTKT</t>
  </si>
  <si>
    <t>TP Kinh doanh</t>
  </si>
  <si>
    <t>Hoàng Mỹ Duyên</t>
  </si>
  <si>
    <t>Huỳnh Thanh Liêm</t>
  </si>
  <si>
    <t>Lê Xuân Tuấn Tú</t>
  </si>
  <si>
    <t>BÁO CÁO TỔNG HỢP THEO NGÀY GHI CHỈ SỐ VÀ PHÁT HÀNH HÓA ĐƠN</t>
  </si>
  <si>
    <t>Stt</t>
  </si>
  <si>
    <t>Loại hoá đơn : Hủy bỏ</t>
  </si>
  <si>
    <t>Tổng số</t>
  </si>
  <si>
    <t>Loại hoá đơn : Lặp lại</t>
  </si>
  <si>
    <t>LẬP BIỂU</t>
  </si>
  <si>
    <t>ĐỘI QUẢN LÝ THU GHI</t>
  </si>
  <si>
    <t>KT GIÁM ĐỐC</t>
  </si>
  <si>
    <t>PHÓ GIÁM ĐỐC</t>
  </si>
  <si>
    <t>Phạm Quốc Việt</t>
  </si>
  <si>
    <t>Nguyễn Xuân Quang</t>
  </si>
  <si>
    <t>Đặng Quang Trung</t>
  </si>
  <si>
    <t>LOAI_PSINH</t>
  </si>
  <si>
    <t>SO_SOGCS</t>
  </si>
  <si>
    <t>NGAY_GCS</t>
  </si>
  <si>
    <t>SO_HDON</t>
  </si>
  <si>
    <t>DIEN_TTHU</t>
  </si>
  <si>
    <t>DIEN_TTHU_SH</t>
  </si>
  <si>
    <t>DIEN_TTHU_NSH</t>
  </si>
  <si>
    <t>SO_TIEN_HC</t>
  </si>
  <si>
    <t>TIEN_GTGT_HC</t>
  </si>
  <si>
    <t>TONG_TIEN_HC</t>
  </si>
  <si>
    <t>SO_TIEN_VC</t>
  </si>
  <si>
    <t>TIEN_GTGT_VC</t>
  </si>
  <si>
    <t>TONG_TIEN_VC</t>
  </si>
  <si>
    <t>TONG_TIEN</t>
  </si>
  <si>
    <t>Huy bo</t>
  </si>
  <si>
    <t>Lap lai</t>
  </si>
  <si>
    <t>Phat sinh</t>
  </si>
  <si>
    <t>Thoai hoan</t>
  </si>
  <si>
    <t>Truy thu</t>
  </si>
  <si>
    <t>30/09/2026</t>
  </si>
  <si>
    <t>10/09/2026</t>
  </si>
  <si>
    <t>15/09/2026</t>
  </si>
  <si>
    <t>20/09/2026</t>
  </si>
  <si>
    <t>Tháng năm: 09/2026</t>
  </si>
  <si>
    <t>Vủng Tàu, ngày 05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</si>
</sst>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11">
    <font>
      <sz val="10"/>
      <color indexed="8"/>
      <name val="Arial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15"/>
      <color indexed="8"/>
      <name val="Times New Roman"/>
      <charset val="134"/>
    </font>
    <font>
      <sz val="15"/>
      <color indexed="8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0"/>
      <color indexed="8"/>
      <name val="Arial"/>
      <charset val="134"/>
    </font>
    <font>
      <i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top"/>
    </xf>
    <xf numFmtId="0" fontId="9" fillId="0" borderId="0" applyNumberFormat="0" applyFill="0" applyBorder="0" applyAlignment="0" applyProtection="0">
      <alignment vertical="top"/>
    </xf>
  </cellStyleXfs>
  <cellXfs count="84">
    <xf numFmtId="0" fontId="0" fillId="0" borderId="0" xfId="0" applyFont="1">
      <alignment vertical="top"/>
    </xf>
    <xf numFmtId="3" fontId="1" fillId="0" borderId="0" xfId="1" applyNumberFormat="1" applyFont="1">
      <alignment vertical="top"/>
    </xf>
    <xf numFmtId="3" fontId="2" fillId="0" borderId="0" xfId="1" applyNumberFormat="1" applyFo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>
      <alignment vertical="top"/>
    </xf>
    <xf numFmtId="3" fontId="1" fillId="0" borderId="0" xfId="1" applyNumberFormat="1" applyFont="1" applyAlignment="1">
      <alignment horizontal="right" vertical="top"/>
    </xf>
    <xf numFmtId="3" fontId="1" fillId="0" borderId="0" xfId="0" applyNumberFormat="1" applyFont="1">
      <alignment vertical="top"/>
    </xf>
    <xf numFmtId="0" fontId="1" fillId="0" borderId="0" xfId="0" applyFont="1" applyAlignment="1">
      <alignment vertical="top"/>
    </xf>
    <xf numFmtId="3" fontId="1" fillId="0" borderId="0" xfId="1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1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 readingOrder="1"/>
    </xf>
    <xf numFmtId="3" fontId="1" fillId="0" borderId="0" xfId="1" applyNumberFormat="1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3" fontId="2" fillId="0" borderId="2" xfId="1" applyNumberFormat="1" applyFont="1" applyBorder="1" applyAlignment="1">
      <alignment horizontal="center" vertical="center"/>
    </xf>
    <xf numFmtId="3" fontId="1" fillId="0" borderId="2" xfId="1" applyNumberFormat="1" applyFont="1" applyBorder="1">
      <alignment vertical="top"/>
    </xf>
    <xf numFmtId="3" fontId="1" fillId="0" borderId="2" xfId="1" applyNumberFormat="1" applyFont="1" applyFill="1" applyBorder="1" applyAlignment="1">
      <alignment horizontal="right" vertical="top"/>
    </xf>
    <xf numFmtId="0" fontId="1" fillId="0" borderId="2" xfId="0" applyFont="1" applyBorder="1">
      <alignment vertical="top"/>
    </xf>
    <xf numFmtId="3" fontId="1" fillId="0" borderId="2" xfId="0" applyNumberFormat="1" applyFont="1" applyBorder="1">
      <alignment vertical="top"/>
    </xf>
    <xf numFmtId="164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>
      <alignment vertical="top"/>
    </xf>
    <xf numFmtId="14" fontId="5" fillId="0" borderId="2" xfId="1" applyNumberFormat="1" applyFont="1" applyFill="1" applyBorder="1" applyAlignment="1">
      <alignment horizontal="right" vertical="top"/>
    </xf>
    <xf numFmtId="1" fontId="1" fillId="0" borderId="2" xfId="1" applyNumberFormat="1" applyFont="1" applyBorder="1">
      <alignment vertical="top"/>
    </xf>
    <xf numFmtId="3" fontId="2" fillId="0" borderId="6" xfId="1" applyNumberFormat="1" applyFont="1" applyBorder="1">
      <alignment vertical="top"/>
    </xf>
    <xf numFmtId="3" fontId="5" fillId="0" borderId="2" xfId="1" applyNumberFormat="1" applyFont="1" applyFill="1" applyBorder="1" applyAlignment="1">
      <alignment horizontal="right" vertical="top"/>
    </xf>
    <xf numFmtId="3" fontId="1" fillId="0" borderId="2" xfId="1" applyNumberFormat="1" applyFont="1" applyBorder="1" applyAlignment="1">
      <alignment horizontal="center" vertical="top"/>
    </xf>
    <xf numFmtId="3" fontId="2" fillId="0" borderId="2" xfId="1" applyNumberFormat="1" applyFont="1" applyBorder="1">
      <alignment vertical="top"/>
    </xf>
    <xf numFmtId="3" fontId="6" fillId="0" borderId="2" xfId="1" applyNumberFormat="1" applyFont="1" applyFill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3" fontId="2" fillId="0" borderId="2" xfId="1" applyNumberFormat="1" applyFont="1" applyFill="1" applyBorder="1" applyAlignment="1">
      <alignment horizontal="right" vertical="top"/>
    </xf>
    <xf numFmtId="3" fontId="2" fillId="0" borderId="0" xfId="1" applyNumberFormat="1" applyFont="1" applyBorder="1">
      <alignment vertical="top"/>
    </xf>
    <xf numFmtId="3" fontId="2" fillId="0" borderId="0" xfId="1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top"/>
    </xf>
    <xf numFmtId="0" fontId="7" fillId="0" borderId="2" xfId="0" applyFont="1" applyBorder="1">
      <alignment vertical="top"/>
    </xf>
    <xf numFmtId="0" fontId="7" fillId="0" borderId="0" xfId="0" applyFont="1">
      <alignment vertical="top"/>
    </xf>
    <xf numFmtId="164" fontId="7" fillId="0" borderId="2" xfId="0" applyNumberFormat="1" applyFont="1" applyBorder="1">
      <alignment vertical="top"/>
    </xf>
    <xf numFmtId="1" fontId="7" fillId="0" borderId="2" xfId="0" applyNumberFormat="1" applyFont="1" applyBorder="1">
      <alignment vertical="top"/>
    </xf>
    <xf numFmtId="14" fontId="7" fillId="0" borderId="2" xfId="0" applyNumberFormat="1" applyFont="1" applyBorder="1">
      <alignment vertical="top"/>
    </xf>
    <xf numFmtId="3" fontId="7" fillId="0" borderId="2" xfId="0" applyNumberFormat="1" applyFont="1" applyBorder="1">
      <alignment vertical="top"/>
    </xf>
    <xf numFmtId="3" fontId="7" fillId="0" borderId="0" xfId="0" applyNumberFormat="1" applyFont="1">
      <alignment vertical="top"/>
    </xf>
    <xf numFmtId="1" fontId="8" fillId="0" borderId="2" xfId="0" applyNumberFormat="1" applyFont="1" applyBorder="1">
      <alignment vertical="top"/>
    </xf>
    <xf numFmtId="3" fontId="8" fillId="0" borderId="2" xfId="0" applyNumberFormat="1" applyFont="1" applyBorder="1">
      <alignment vertical="top"/>
    </xf>
    <xf numFmtId="1" fontId="7" fillId="0" borderId="0" xfId="0" applyNumberFormat="1" applyFont="1">
      <alignment vertical="top"/>
    </xf>
    <xf numFmtId="0" fontId="8" fillId="0" borderId="0" xfId="0" applyFont="1" applyAlignment="1">
      <alignment horizontal="center" vertical="top"/>
    </xf>
    <xf numFmtId="0" fontId="0" fillId="0" borderId="0" xfId="0" applyNumberFormat="1" applyAlignment="1"/>
    <xf numFmtId="0" fontId="7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center" vertical="top"/>
    </xf>
    <xf numFmtId="14" fontId="2" fillId="0" borderId="5" xfId="0" applyNumberFormat="1" applyFont="1" applyBorder="1" applyAlignment="1">
      <alignment horizontal="center" vertical="top"/>
    </xf>
    <xf numFmtId="3" fontId="2" fillId="0" borderId="2" xfId="1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/>
    </xf>
    <xf numFmtId="3" fontId="2" fillId="0" borderId="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521805</xdr:colOff>
      <xdr:row>2</xdr:row>
      <xdr:rowOff>182218</xdr:rowOff>
    </xdr:from>
    <xdr:to>
      <xdr:col>4</xdr:col>
      <xdr:colOff>149087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ED88E2-9029-406F-BB79-DE1E97484938}"/>
            </a:ext>
          </a:extLst>
        </xdr:cNvPr>
        <xdr:cNvCxnSpPr/>
      </xdr:nvCxnSpPr>
      <xdr:spPr>
        <a:xfrm flipV="1">
          <a:off x="1639957" y="538370"/>
          <a:ext cx="1184413" cy="82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34"/>
  <sheetViews>
    <sheetView showOutlineSymbols="0" topLeftCell="A2" workbookViewId="0">
      <selection activeCell="H26" sqref="H26"/>
    </sheetView>
  </sheetViews>
  <sheetFormatPr defaultColWidth="6.85546875" defaultRowHeight="12.75" customHeight="1"/>
  <cols>
    <col min="1" max="1" width="9.28515625" customWidth="1"/>
    <col min="2" max="2" width="12.42578125" customWidth="1"/>
    <col min="3" max="3" width="11.28515625" customWidth="1"/>
    <col min="4" max="5" width="11.5703125" customWidth="1"/>
    <col min="6" max="6" width="12.85546875" customWidth="1"/>
    <col min="7" max="7" width="14" customWidth="1"/>
    <col min="8" max="8" width="12.42578125" customWidth="1"/>
    <col min="9" max="9" width="18.7109375" customWidth="1"/>
    <col min="10" max="10" width="18.42578125" customWidth="1"/>
    <col min="11" max="11" width="23.5703125" customWidth="1"/>
    <col min="12" max="13" width="12.42578125" customWidth="1"/>
    <col min="14" max="15" width="18.42578125" customWidth="1"/>
  </cols>
  <sheetData>
    <row r="1" spans="1:17" ht="12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2.75" customHeight="1">
      <c r="A2" s="35"/>
      <c r="B2" s="55" t="s">
        <v>0</v>
      </c>
      <c r="C2" s="55"/>
      <c r="D2" s="55"/>
      <c r="E2" s="55"/>
      <c r="F2" s="55"/>
      <c r="G2" s="55"/>
      <c r="H2" s="55"/>
      <c r="I2" s="55"/>
      <c r="J2" s="35"/>
      <c r="K2" s="35"/>
      <c r="L2" s="35"/>
      <c r="M2" s="35"/>
      <c r="N2" s="35"/>
      <c r="O2" s="35"/>
      <c r="P2" s="35"/>
      <c r="Q2" s="35"/>
    </row>
    <row r="3" spans="1:17" ht="12.75" customHeight="1">
      <c r="A3" s="35"/>
      <c r="B3" s="56" t="s">
        <v>1</v>
      </c>
      <c r="C3" s="56"/>
      <c r="D3" s="56"/>
      <c r="E3" s="56"/>
      <c r="F3" s="56"/>
      <c r="G3" s="56"/>
      <c r="H3" s="56"/>
      <c r="I3" s="56"/>
      <c r="J3" s="35"/>
      <c r="K3" s="35"/>
      <c r="L3" s="35"/>
      <c r="M3" s="35"/>
      <c r="N3" s="35"/>
      <c r="O3" s="35"/>
      <c r="P3" s="35"/>
      <c r="Q3" s="35"/>
    </row>
    <row r="4" spans="1:17" ht="12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ht="15.75">
      <c r="A5" s="35"/>
      <c r="B5" s="57" t="s">
        <v>2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ht="15.75">
      <c r="A6" s="35"/>
      <c r="B6" s="58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</row>
    <row r="7" spans="1:17" ht="15.7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7" ht="15.7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ht="15.75">
      <c r="A9" s="53" t="s">
        <v>4</v>
      </c>
      <c r="B9" s="53" t="s">
        <v>5</v>
      </c>
      <c r="C9" s="53" t="s">
        <v>6</v>
      </c>
      <c r="D9" s="53" t="s">
        <v>7</v>
      </c>
      <c r="E9" s="60" t="s">
        <v>8</v>
      </c>
      <c r="F9" s="59" t="s">
        <v>9</v>
      </c>
      <c r="G9" s="59"/>
      <c r="H9" s="59"/>
      <c r="I9" s="53" t="s">
        <v>10</v>
      </c>
      <c r="J9" s="53" t="s">
        <v>11</v>
      </c>
      <c r="K9" s="53" t="s">
        <v>12</v>
      </c>
      <c r="L9" s="53" t="s">
        <v>13</v>
      </c>
      <c r="M9" s="53" t="s">
        <v>14</v>
      </c>
      <c r="N9" s="53" t="s">
        <v>15</v>
      </c>
      <c r="O9" s="53" t="s">
        <v>16</v>
      </c>
      <c r="P9" s="36"/>
      <c r="Q9" s="36"/>
    </row>
    <row r="10" spans="1:17" ht="15.75">
      <c r="A10" s="54"/>
      <c r="B10" s="54"/>
      <c r="C10" s="54"/>
      <c r="D10" s="54"/>
      <c r="E10" s="61"/>
      <c r="F10" s="37" t="s">
        <v>17</v>
      </c>
      <c r="G10" s="37" t="s">
        <v>18</v>
      </c>
      <c r="H10" s="37" t="s">
        <v>19</v>
      </c>
      <c r="I10" s="54"/>
      <c r="J10" s="54"/>
      <c r="K10" s="54"/>
      <c r="L10" s="54"/>
      <c r="M10" s="54"/>
      <c r="N10" s="54"/>
      <c r="O10" s="54"/>
      <c r="P10" s="36"/>
      <c r="Q10" s="36"/>
    </row>
    <row r="11" spans="1:17" ht="15.75">
      <c r="A11" s="38" t="s">
        <v>20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0"/>
      <c r="Q11" s="40"/>
    </row>
    <row r="12" spans="1:17" ht="15.75">
      <c r="A12" s="41">
        <v>1</v>
      </c>
      <c r="B12" s="39" t="s">
        <v>21</v>
      </c>
      <c r="C12" s="42">
        <v>11</v>
      </c>
      <c r="D12" s="42">
        <v>370</v>
      </c>
      <c r="E12" s="43"/>
      <c r="F12" s="44">
        <v>1721</v>
      </c>
      <c r="G12" s="44">
        <v>144453493</v>
      </c>
      <c r="H12" s="44">
        <v>144455214</v>
      </c>
      <c r="I12" s="44">
        <v>276825212202</v>
      </c>
      <c r="J12" s="44">
        <v>22139748798</v>
      </c>
      <c r="K12" s="44">
        <v>298964961000</v>
      </c>
      <c r="L12" s="44">
        <v>58230767</v>
      </c>
      <c r="M12" s="44">
        <v>4658459</v>
      </c>
      <c r="N12" s="44">
        <v>62889226</v>
      </c>
      <c r="O12" s="44">
        <v>299027850226</v>
      </c>
      <c r="P12" s="40"/>
      <c r="Q12" s="40"/>
    </row>
    <row r="13" spans="1:17" ht="15.75">
      <c r="A13" s="41">
        <v>2</v>
      </c>
      <c r="B13" s="39" t="s">
        <v>22</v>
      </c>
      <c r="C13" s="42">
        <v>6</v>
      </c>
      <c r="D13" s="42">
        <v>110</v>
      </c>
      <c r="E13" s="42"/>
      <c r="F13" s="44">
        <v>9397</v>
      </c>
      <c r="G13" s="44">
        <v>3957595</v>
      </c>
      <c r="H13" s="44">
        <v>3966992</v>
      </c>
      <c r="I13" s="44">
        <v>9197290753</v>
      </c>
      <c r="J13" s="44">
        <v>735783264</v>
      </c>
      <c r="K13" s="44">
        <v>9933074017</v>
      </c>
      <c r="L13" s="44">
        <v>124315758</v>
      </c>
      <c r="M13" s="44">
        <v>9945261</v>
      </c>
      <c r="N13" s="44">
        <v>134261019</v>
      </c>
      <c r="O13" s="44">
        <v>10067335036</v>
      </c>
      <c r="P13" s="40"/>
      <c r="Q13" s="40"/>
    </row>
    <row r="14" spans="1:17" ht="15.75">
      <c r="A14" s="41">
        <v>3</v>
      </c>
      <c r="B14" s="39" t="s">
        <v>23</v>
      </c>
      <c r="C14" s="42">
        <v>11</v>
      </c>
      <c r="D14" s="42">
        <v>376</v>
      </c>
      <c r="E14" s="42"/>
      <c r="F14" s="44">
        <v>1783</v>
      </c>
      <c r="G14" s="44">
        <v>161438677</v>
      </c>
      <c r="H14" s="44">
        <v>161440460</v>
      </c>
      <c r="I14" s="44">
        <v>303878864231</v>
      </c>
      <c r="J14" s="44">
        <v>24304437120</v>
      </c>
      <c r="K14" s="44">
        <v>328183301351</v>
      </c>
      <c r="L14" s="44">
        <v>50250253</v>
      </c>
      <c r="M14" s="44">
        <v>4020022</v>
      </c>
      <c r="N14" s="44">
        <v>54270275</v>
      </c>
      <c r="O14" s="44">
        <v>328237571626</v>
      </c>
      <c r="P14" s="40"/>
      <c r="Q14" s="40"/>
    </row>
    <row r="15" spans="1:17" ht="15.75">
      <c r="A15" s="41">
        <v>4</v>
      </c>
      <c r="B15" s="39" t="s">
        <v>24</v>
      </c>
      <c r="C15" s="42">
        <v>2003</v>
      </c>
      <c r="D15" s="42">
        <v>233057</v>
      </c>
      <c r="E15" s="42"/>
      <c r="F15" s="44">
        <v>77731741</v>
      </c>
      <c r="G15" s="44">
        <v>218505264</v>
      </c>
      <c r="H15" s="44">
        <v>296237005</v>
      </c>
      <c r="I15" s="44">
        <v>674020164992</v>
      </c>
      <c r="J15" s="44">
        <v>53914593286</v>
      </c>
      <c r="K15" s="44">
        <v>727934758278</v>
      </c>
      <c r="L15" s="44">
        <v>490526540</v>
      </c>
      <c r="M15" s="44">
        <v>39242120</v>
      </c>
      <c r="N15" s="44">
        <v>529768660</v>
      </c>
      <c r="O15" s="44">
        <v>728464526938</v>
      </c>
      <c r="P15" s="40"/>
      <c r="Q15" s="40"/>
    </row>
    <row r="16" spans="1:17" ht="15.75">
      <c r="A16" s="51" t="s">
        <v>25</v>
      </c>
      <c r="B16" s="51"/>
      <c r="C16" s="42">
        <f>SUM(C12:C15)</f>
        <v>2031</v>
      </c>
      <c r="D16" s="42">
        <f>SUM(D12:D15)</f>
        <v>233913</v>
      </c>
      <c r="E16" s="42"/>
      <c r="F16" s="44">
        <f t="shared" ref="F16:O16" si="0">SUM(F12:F15)</f>
        <v>77744642</v>
      </c>
      <c r="G16" s="44">
        <f t="shared" si="0"/>
        <v>528355029</v>
      </c>
      <c r="H16" s="44">
        <f t="shared" si="0"/>
        <v>606099671</v>
      </c>
      <c r="I16" s="44">
        <f t="shared" si="0"/>
        <v>1263921532178</v>
      </c>
      <c r="J16" s="44">
        <f t="shared" si="0"/>
        <v>101094562468</v>
      </c>
      <c r="K16" s="44">
        <f t="shared" si="0"/>
        <v>1365016094646</v>
      </c>
      <c r="L16" s="44">
        <f t="shared" si="0"/>
        <v>723323318</v>
      </c>
      <c r="M16" s="44">
        <f t="shared" si="0"/>
        <v>57865862</v>
      </c>
      <c r="N16" s="44">
        <f t="shared" si="0"/>
        <v>781189180</v>
      </c>
      <c r="O16" s="44">
        <f t="shared" si="0"/>
        <v>1365797283826</v>
      </c>
      <c r="P16" s="40"/>
      <c r="Q16" s="40"/>
    </row>
    <row r="17" spans="1:17" ht="15.75">
      <c r="A17" s="38" t="s">
        <v>26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40"/>
    </row>
    <row r="18" spans="1:17" ht="15.75">
      <c r="A18" s="41">
        <v>5</v>
      </c>
      <c r="B18" s="39" t="s">
        <v>22</v>
      </c>
      <c r="C18" s="42">
        <v>1</v>
      </c>
      <c r="D18" s="42">
        <v>2</v>
      </c>
      <c r="E18" s="42"/>
      <c r="F18" s="44">
        <v>0</v>
      </c>
      <c r="G18" s="44">
        <v>-26126</v>
      </c>
      <c r="H18" s="44">
        <v>-26126</v>
      </c>
      <c r="I18" s="44">
        <v>-53458751</v>
      </c>
      <c r="J18" s="44">
        <v>-4276700</v>
      </c>
      <c r="K18" s="44">
        <v>-57735451</v>
      </c>
      <c r="L18" s="44">
        <v>0</v>
      </c>
      <c r="M18" s="44">
        <v>0</v>
      </c>
      <c r="N18" s="44">
        <v>0</v>
      </c>
      <c r="O18" s="44">
        <v>-57735451</v>
      </c>
      <c r="P18" s="40"/>
      <c r="Q18" s="40"/>
    </row>
    <row r="19" spans="1:17" ht="15.75">
      <c r="A19" s="41">
        <v>6</v>
      </c>
      <c r="B19" s="39" t="s">
        <v>24</v>
      </c>
      <c r="C19" s="42">
        <v>55</v>
      </c>
      <c r="D19" s="42">
        <v>68</v>
      </c>
      <c r="E19" s="42"/>
      <c r="F19" s="44">
        <v>-48870</v>
      </c>
      <c r="G19" s="44">
        <v>-1130817</v>
      </c>
      <c r="H19" s="44">
        <v>-1179687</v>
      </c>
      <c r="I19" s="44">
        <v>-484796981</v>
      </c>
      <c r="J19" s="44">
        <v>-38783757</v>
      </c>
      <c r="K19" s="44">
        <v>-523580738</v>
      </c>
      <c r="L19" s="44">
        <v>-735643</v>
      </c>
      <c r="M19" s="44">
        <v>-58851</v>
      </c>
      <c r="N19" s="44">
        <v>-794494</v>
      </c>
      <c r="O19" s="44">
        <v>-524375232</v>
      </c>
      <c r="P19" s="40"/>
      <c r="Q19" s="40"/>
    </row>
    <row r="20" spans="1:17" ht="15.75">
      <c r="A20" s="51" t="s">
        <v>25</v>
      </c>
      <c r="B20" s="51"/>
      <c r="C20" s="42">
        <f>SUM(C18:C19)</f>
        <v>56</v>
      </c>
      <c r="D20" s="42">
        <f>SUM(D18:D19)</f>
        <v>70</v>
      </c>
      <c r="E20" s="42"/>
      <c r="F20" s="44">
        <f t="shared" ref="F20:O20" si="1">SUM(F18:F19)</f>
        <v>-48870</v>
      </c>
      <c r="G20" s="44">
        <f t="shared" si="1"/>
        <v>-1156943</v>
      </c>
      <c r="H20" s="44">
        <f t="shared" si="1"/>
        <v>-1205813</v>
      </c>
      <c r="I20" s="44">
        <f t="shared" si="1"/>
        <v>-538255732</v>
      </c>
      <c r="J20" s="44">
        <f t="shared" si="1"/>
        <v>-43060457</v>
      </c>
      <c r="K20" s="44">
        <f t="shared" si="1"/>
        <v>-581316189</v>
      </c>
      <c r="L20" s="44">
        <f t="shared" si="1"/>
        <v>-735643</v>
      </c>
      <c r="M20" s="44">
        <f t="shared" si="1"/>
        <v>-58851</v>
      </c>
      <c r="N20" s="44">
        <f t="shared" si="1"/>
        <v>-794494</v>
      </c>
      <c r="O20" s="44">
        <f t="shared" si="1"/>
        <v>-582110683</v>
      </c>
      <c r="P20" s="40"/>
      <c r="Q20" s="40"/>
    </row>
    <row r="21" spans="1:17" ht="15.75">
      <c r="A21" s="38" t="s">
        <v>27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40"/>
    </row>
    <row r="22" spans="1:17" ht="15.75">
      <c r="A22" s="41">
        <v>7</v>
      </c>
      <c r="B22" s="39" t="s">
        <v>21</v>
      </c>
      <c r="C22" s="42">
        <v>2</v>
      </c>
      <c r="D22" s="42">
        <v>2</v>
      </c>
      <c r="E22" s="42"/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0"/>
      <c r="Q22" s="40"/>
    </row>
    <row r="23" spans="1:17" ht="15.75">
      <c r="A23" s="41">
        <v>8</v>
      </c>
      <c r="B23" s="39" t="s">
        <v>22</v>
      </c>
      <c r="C23" s="42">
        <v>1</v>
      </c>
      <c r="D23" s="42">
        <v>2</v>
      </c>
      <c r="E23" s="42"/>
      <c r="F23" s="44">
        <v>0</v>
      </c>
      <c r="G23" s="44">
        <v>26126</v>
      </c>
      <c r="H23" s="44">
        <v>26126</v>
      </c>
      <c r="I23" s="44">
        <v>53458751</v>
      </c>
      <c r="J23" s="44">
        <v>4276700</v>
      </c>
      <c r="K23" s="44">
        <v>57735451</v>
      </c>
      <c r="L23" s="44">
        <v>0</v>
      </c>
      <c r="M23" s="44">
        <v>0</v>
      </c>
      <c r="N23" s="44">
        <v>0</v>
      </c>
      <c r="O23" s="44">
        <v>57735451</v>
      </c>
      <c r="P23" s="45"/>
      <c r="Q23" s="40"/>
    </row>
    <row r="24" spans="1:17" ht="15.75">
      <c r="A24" s="41">
        <v>9</v>
      </c>
      <c r="B24" s="39" t="s">
        <v>24</v>
      </c>
      <c r="C24" s="42">
        <v>89</v>
      </c>
      <c r="D24" s="42">
        <v>113</v>
      </c>
      <c r="E24" s="42"/>
      <c r="F24" s="44">
        <v>55456</v>
      </c>
      <c r="G24" s="44">
        <v>1102029</v>
      </c>
      <c r="H24" s="44">
        <v>1157485</v>
      </c>
      <c r="I24" s="44">
        <v>417369892</v>
      </c>
      <c r="J24" s="44">
        <v>33389590</v>
      </c>
      <c r="K24" s="44">
        <v>450759482</v>
      </c>
      <c r="L24" s="44">
        <v>735643</v>
      </c>
      <c r="M24" s="44">
        <v>58851</v>
      </c>
      <c r="N24" s="44">
        <v>794494</v>
      </c>
      <c r="O24" s="44">
        <v>451553976</v>
      </c>
      <c r="P24" s="40"/>
      <c r="Q24" s="40"/>
    </row>
    <row r="25" spans="1:17" ht="15.75">
      <c r="A25" s="51" t="s">
        <v>25</v>
      </c>
      <c r="B25" s="51"/>
      <c r="C25" s="42">
        <f>SUM(C22:C24)</f>
        <v>92</v>
      </c>
      <c r="D25" s="42">
        <f>SUM(D22:D24)</f>
        <v>117</v>
      </c>
      <c r="E25" s="42"/>
      <c r="F25" s="44">
        <f t="shared" ref="F25:O25" si="2">SUM(F22:F24)</f>
        <v>55456</v>
      </c>
      <c r="G25" s="44">
        <f t="shared" si="2"/>
        <v>1128155</v>
      </c>
      <c r="H25" s="44">
        <f t="shared" si="2"/>
        <v>1183611</v>
      </c>
      <c r="I25" s="44">
        <f t="shared" si="2"/>
        <v>470828643</v>
      </c>
      <c r="J25" s="44">
        <f t="shared" si="2"/>
        <v>37666290</v>
      </c>
      <c r="K25" s="44">
        <f t="shared" si="2"/>
        <v>508494933</v>
      </c>
      <c r="L25" s="44">
        <f t="shared" si="2"/>
        <v>735643</v>
      </c>
      <c r="M25" s="44">
        <f t="shared" si="2"/>
        <v>58851</v>
      </c>
      <c r="N25" s="44">
        <f t="shared" si="2"/>
        <v>794494</v>
      </c>
      <c r="O25" s="44">
        <f t="shared" si="2"/>
        <v>509289427</v>
      </c>
      <c r="P25" s="40"/>
      <c r="Q25" s="40"/>
    </row>
    <row r="26" spans="1:17" ht="15.75">
      <c r="A26" s="52" t="s">
        <v>25</v>
      </c>
      <c r="B26" s="52"/>
      <c r="C26" s="46">
        <v>2179</v>
      </c>
      <c r="D26" s="46">
        <v>234100</v>
      </c>
      <c r="E26" s="46"/>
      <c r="F26" s="47">
        <v>77751228</v>
      </c>
      <c r="G26" s="47">
        <v>528326241</v>
      </c>
      <c r="H26" s="47">
        <v>606077469</v>
      </c>
      <c r="I26" s="47">
        <v>1263854105089</v>
      </c>
      <c r="J26" s="47">
        <v>101089168301</v>
      </c>
      <c r="K26" s="47">
        <v>1364943273390</v>
      </c>
      <c r="L26" s="47">
        <v>723323318</v>
      </c>
      <c r="M26" s="47">
        <v>57865862</v>
      </c>
      <c r="N26" s="47">
        <v>781189180</v>
      </c>
      <c r="O26" s="47">
        <v>1365724462570</v>
      </c>
      <c r="P26" s="40"/>
      <c r="Q26" s="40"/>
    </row>
    <row r="27" spans="1:17" ht="15.75">
      <c r="A27" s="40"/>
      <c r="B27" s="40"/>
      <c r="C27" s="40"/>
      <c r="D27" s="48">
        <f>D20+D25</f>
        <v>187</v>
      </c>
      <c r="E27" s="40"/>
      <c r="F27" s="45"/>
      <c r="G27" s="40"/>
      <c r="H27" s="45"/>
      <c r="I27" s="40"/>
      <c r="J27" s="40"/>
      <c r="K27" s="40"/>
      <c r="L27" s="40"/>
      <c r="M27" s="40"/>
      <c r="N27" s="40"/>
      <c r="O27" s="45">
        <f>O20+O25</f>
        <v>-72821256</v>
      </c>
      <c r="P27" s="40"/>
      <c r="Q27" s="40"/>
    </row>
    <row r="29" spans="1:17" ht="15.75">
      <c r="C29" s="49" t="s">
        <v>28</v>
      </c>
      <c r="D29" s="49"/>
      <c r="E29" s="49"/>
      <c r="F29" s="49"/>
      <c r="G29" s="49"/>
      <c r="H29" s="49"/>
      <c r="I29" s="49"/>
      <c r="J29" s="49" t="s">
        <v>29</v>
      </c>
      <c r="K29" s="49"/>
      <c r="L29" s="49"/>
      <c r="M29" s="49"/>
      <c r="N29" s="49" t="s">
        <v>30</v>
      </c>
    </row>
    <row r="30" spans="1:17" ht="12.75" customHeight="1"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7" ht="12.75" customHeight="1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1:17" ht="12.75" customHeight="1"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3:14" ht="12.75" customHeigh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3:14" ht="15.75">
      <c r="C34" s="49" t="s">
        <v>31</v>
      </c>
      <c r="D34" s="49"/>
      <c r="E34" s="49"/>
      <c r="F34" s="49"/>
      <c r="G34" s="49"/>
      <c r="H34" s="49"/>
      <c r="I34" s="49"/>
      <c r="J34" s="49" t="s">
        <v>32</v>
      </c>
      <c r="K34" s="49"/>
      <c r="L34" s="49"/>
      <c r="M34" s="49"/>
      <c r="N34" s="49" t="s">
        <v>33</v>
      </c>
    </row>
  </sheetData>
  <mergeCells count="21">
    <mergeCell ref="B2:I2"/>
    <mergeCell ref="B3:I3"/>
    <mergeCell ref="B5:Q5"/>
    <mergeCell ref="B6:Q6"/>
    <mergeCell ref="F9:H9"/>
    <mergeCell ref="C9:C10"/>
    <mergeCell ref="D9:D10"/>
    <mergeCell ref="E9:E10"/>
    <mergeCell ref="I9:I10"/>
    <mergeCell ref="J9:J10"/>
    <mergeCell ref="K9:K10"/>
    <mergeCell ref="L9:L10"/>
    <mergeCell ref="M9:M10"/>
    <mergeCell ref="N9:N10"/>
    <mergeCell ref="O9:O10"/>
    <mergeCell ref="A16:B16"/>
    <mergeCell ref="A20:B20"/>
    <mergeCell ref="A25:B25"/>
    <mergeCell ref="A26:B26"/>
    <mergeCell ref="A9:A10"/>
    <mergeCell ref="B9:B10"/>
  </mergeCells>
  <pageMargins left="0.5" right="0.5" top="0.5" bottom="0.5" header="0" footer="0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4"/>
  <sheetViews>
    <sheetView tabSelected="1" topLeftCell="A19" zoomScale="115" zoomScaleNormal="115" workbookViewId="0">
      <selection activeCell="L33" sqref="L33"/>
    </sheetView>
  </sheetViews>
  <sheetFormatPr defaultColWidth="6.85546875" defaultRowHeight="15"/>
  <cols>
    <col min="1" max="1" width="4.28515625" style="3" customWidth="1"/>
    <col min="2" max="2" width="12.42578125" style="4" customWidth="1"/>
    <col min="3" max="3" width="10.85546875" style="1" customWidth="1"/>
    <col min="4" max="4" width="12.5703125" style="1" customWidth="1"/>
    <col min="5" max="5" width="14.28515625" style="5" customWidth="1"/>
    <col min="6" max="6" width="12.42578125" style="1" customWidth="1"/>
    <col min="7" max="8" width="13.28515625" style="1" bestFit="1" customWidth="1"/>
    <col min="9" max="9" width="18.85546875" style="1" customWidth="1"/>
    <col min="10" max="10" width="19.5703125" style="1" customWidth="1"/>
    <col min="11" max="11" width="22.7109375" style="1" customWidth="1"/>
    <col min="12" max="12" width="13" style="1" customWidth="1"/>
    <col min="13" max="13" width="12.5703125" style="1" customWidth="1"/>
    <col min="14" max="14" width="16.42578125" style="4" customWidth="1"/>
    <col min="15" max="15" width="18.5703125" style="6" customWidth="1"/>
    <col min="16" max="16384" width="6.85546875" style="4"/>
  </cols>
  <sheetData>
    <row r="1" spans="1:17" ht="12.75" customHeight="1">
      <c r="B1" s="7"/>
      <c r="C1" s="8"/>
      <c r="D1" s="8"/>
      <c r="F1" s="8"/>
      <c r="G1" s="8"/>
      <c r="H1" s="8"/>
      <c r="I1" s="8"/>
      <c r="J1" s="8"/>
      <c r="K1" s="8"/>
      <c r="L1" s="8"/>
      <c r="M1" s="8"/>
      <c r="N1" s="7"/>
      <c r="O1" s="9"/>
      <c r="P1" s="7"/>
      <c r="Q1" s="7"/>
    </row>
    <row r="2" spans="1:17">
      <c r="A2" s="74" t="s">
        <v>0</v>
      </c>
      <c r="B2" s="74"/>
      <c r="C2" s="74"/>
      <c r="D2" s="74"/>
      <c r="E2" s="74"/>
      <c r="F2" s="74"/>
      <c r="G2" s="10"/>
      <c r="H2" s="10"/>
      <c r="I2" s="10"/>
      <c r="J2" s="8"/>
      <c r="K2" s="8"/>
      <c r="L2" s="8"/>
      <c r="M2" s="8"/>
      <c r="N2" s="7"/>
      <c r="O2" s="9"/>
      <c r="P2" s="7"/>
      <c r="Q2" s="7"/>
    </row>
    <row r="3" spans="1:17">
      <c r="A3" s="64" t="s">
        <v>1</v>
      </c>
      <c r="B3" s="64"/>
      <c r="C3" s="64"/>
      <c r="D3" s="64"/>
      <c r="E3" s="64"/>
      <c r="F3" s="64"/>
      <c r="G3" s="10"/>
      <c r="H3" s="10"/>
      <c r="I3" s="10"/>
      <c r="J3" s="8"/>
      <c r="K3" s="8"/>
      <c r="L3" s="8"/>
      <c r="M3" s="8"/>
      <c r="N3" s="7"/>
      <c r="O3" s="9"/>
      <c r="P3" s="7"/>
      <c r="Q3" s="7"/>
    </row>
    <row r="4" spans="1:17" ht="12.75" customHeight="1">
      <c r="B4" s="7"/>
      <c r="C4" s="8"/>
      <c r="D4" s="8"/>
      <c r="F4" s="8"/>
      <c r="G4" s="8"/>
      <c r="H4" s="8"/>
      <c r="I4" s="8"/>
      <c r="J4" s="8"/>
      <c r="K4" s="8"/>
      <c r="L4" s="8"/>
      <c r="M4" s="8"/>
      <c r="N4" s="7"/>
      <c r="O4" s="9"/>
      <c r="P4" s="7"/>
      <c r="Q4" s="7"/>
    </row>
    <row r="5" spans="1:17" ht="19.5">
      <c r="A5" s="75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12"/>
      <c r="Q5" s="12"/>
    </row>
    <row r="6" spans="1:17" ht="19.5">
      <c r="A6" s="76" t="s">
        <v>69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"/>
      <c r="Q6" s="7"/>
    </row>
    <row r="7" spans="1:17">
      <c r="B7" s="3"/>
      <c r="C7" s="13"/>
      <c r="D7" s="13"/>
      <c r="F7" s="13"/>
      <c r="G7" s="13"/>
      <c r="H7" s="13"/>
      <c r="I7" s="13"/>
      <c r="J7" s="13"/>
      <c r="K7" s="13"/>
      <c r="L7" s="13"/>
      <c r="M7" s="13"/>
      <c r="N7" s="3"/>
      <c r="O7" s="14"/>
      <c r="P7" s="3"/>
      <c r="Q7" s="3"/>
    </row>
    <row r="8" spans="1:17">
      <c r="A8" s="78" t="s">
        <v>35</v>
      </c>
      <c r="B8" s="78" t="s">
        <v>5</v>
      </c>
      <c r="C8" s="80" t="s">
        <v>6</v>
      </c>
      <c r="D8" s="80" t="s">
        <v>7</v>
      </c>
      <c r="E8" s="82" t="s">
        <v>8</v>
      </c>
      <c r="F8" s="77" t="s">
        <v>9</v>
      </c>
      <c r="G8" s="77"/>
      <c r="H8" s="77"/>
      <c r="I8" s="80" t="s">
        <v>10</v>
      </c>
      <c r="J8" s="80" t="s">
        <v>11</v>
      </c>
      <c r="K8" s="80" t="s">
        <v>12</v>
      </c>
      <c r="L8" s="80" t="s">
        <v>13</v>
      </c>
      <c r="M8" s="80" t="s">
        <v>14</v>
      </c>
      <c r="N8" s="78" t="s">
        <v>15</v>
      </c>
      <c r="O8" s="62" t="s">
        <v>16</v>
      </c>
      <c r="P8" s="3"/>
      <c r="Q8" s="3"/>
    </row>
    <row r="9" spans="1:17" ht="21.95" customHeight="1">
      <c r="A9" s="79"/>
      <c r="B9" s="79"/>
      <c r="C9" s="81"/>
      <c r="D9" s="81"/>
      <c r="E9" s="83"/>
      <c r="F9" s="15" t="s">
        <v>17</v>
      </c>
      <c r="G9" s="15" t="s">
        <v>18</v>
      </c>
      <c r="H9" s="15" t="s">
        <v>19</v>
      </c>
      <c r="I9" s="81"/>
      <c r="J9" s="81"/>
      <c r="K9" s="81"/>
      <c r="L9" s="81"/>
      <c r="M9" s="81"/>
      <c r="N9" s="79"/>
      <c r="O9" s="63"/>
      <c r="P9" s="3"/>
      <c r="Q9" s="3"/>
    </row>
    <row r="10" spans="1:17">
      <c r="A10" s="66" t="s">
        <v>36</v>
      </c>
      <c r="B10" s="67"/>
      <c r="C10" s="68"/>
      <c r="D10" s="16"/>
      <c r="E10" s="17"/>
      <c r="F10" s="16"/>
      <c r="G10" s="16"/>
      <c r="H10" s="16"/>
      <c r="I10" s="16"/>
      <c r="J10" s="16"/>
      <c r="K10" s="16"/>
      <c r="L10" s="16"/>
      <c r="M10" s="16"/>
      <c r="N10" s="18"/>
      <c r="O10" s="19"/>
    </row>
    <row r="11" spans="1:17">
      <c r="A11" s="20">
        <v>1</v>
      </c>
      <c r="B11" s="21" t="str">
        <f>INDEX('1,8-PH_GCS'!C2:C12,1,1)</f>
        <v>30/09/2026</v>
      </c>
      <c r="C11" s="16">
        <f>INDEX('1,8-PH_GCS'!$B2:$N12,1,1)</f>
        <v>8</v>
      </c>
      <c r="D11" s="16">
        <f>INDEX('1,8-PH_GCS'!$B2:$N12,1,3)</f>
        <v>9</v>
      </c>
      <c r="E11" s="22">
        <v>46295</v>
      </c>
      <c r="F11" s="16">
        <f>INDEX('1,8-PH_GCS'!$B2:$N12,1,5)</f>
        <v>-8593</v>
      </c>
      <c r="G11" s="16">
        <f>INDEX('1,8-PH_GCS'!$B2:$N12,1,6)</f>
        <v>-18326</v>
      </c>
      <c r="H11" s="16">
        <f>INDEX('1,8-PH_GCS'!$B2:$N12,1,4)</f>
        <v>-26919</v>
      </c>
      <c r="I11" s="16">
        <f>INDEX('1,8-PH_GCS'!$B2:$N12,1,7)</f>
        <v>-90228084</v>
      </c>
      <c r="J11" s="16">
        <f>INDEX('1,8-PH_GCS'!$B2:$N12,1,8)</f>
        <v>-7218247</v>
      </c>
      <c r="K11" s="16">
        <f>INDEX('1,8-PH_GCS'!$B2:$N12,1,9)</f>
        <v>-97446331</v>
      </c>
      <c r="L11" s="16">
        <f>INDEX('1,8-PH_GCS'!$B2:$N12,1,10)</f>
        <v>-896068</v>
      </c>
      <c r="M11" s="16">
        <f>INDEX('1,8-PH_GCS'!$B2:$N12,1,11)</f>
        <v>-71685</v>
      </c>
      <c r="N11" s="23">
        <f>INDEX('1,8-PH_GCS'!$B2:$N12,1,12)</f>
        <v>-967753</v>
      </c>
      <c r="O11" s="16">
        <f>INDEX('1,8-PH_GCS'!$B2:$N12,1,13)</f>
        <v>-98414084</v>
      </c>
    </row>
    <row r="12" spans="1:17">
      <c r="A12" s="69" t="s">
        <v>37</v>
      </c>
      <c r="B12" s="70"/>
      <c r="C12" s="24">
        <f>SUM(C11:C11)</f>
        <v>8</v>
      </c>
      <c r="D12" s="24">
        <f>SUM(D11:D11)</f>
        <v>9</v>
      </c>
      <c r="E12" s="24"/>
      <c r="F12" s="24">
        <f t="shared" ref="F12:O12" si="0">SUM(F11:F11)</f>
        <v>-8593</v>
      </c>
      <c r="G12" s="24">
        <f t="shared" si="0"/>
        <v>-18326</v>
      </c>
      <c r="H12" s="24">
        <f t="shared" si="0"/>
        <v>-26919</v>
      </c>
      <c r="I12" s="24">
        <f t="shared" si="0"/>
        <v>-90228084</v>
      </c>
      <c r="J12" s="24">
        <f t="shared" si="0"/>
        <v>-7218247</v>
      </c>
      <c r="K12" s="24">
        <f t="shared" si="0"/>
        <v>-97446331</v>
      </c>
      <c r="L12" s="24">
        <f t="shared" si="0"/>
        <v>-896068</v>
      </c>
      <c r="M12" s="24">
        <f t="shared" si="0"/>
        <v>-71685</v>
      </c>
      <c r="N12" s="24">
        <f t="shared" si="0"/>
        <v>-967753</v>
      </c>
      <c r="O12" s="24">
        <f t="shared" si="0"/>
        <v>-98414084</v>
      </c>
    </row>
    <row r="13" spans="1:17" s="1" customFormat="1">
      <c r="A13" s="66" t="s">
        <v>38</v>
      </c>
      <c r="B13" s="67"/>
      <c r="C13" s="68"/>
      <c r="D13" s="16"/>
      <c r="E13" s="25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7" s="1" customFormat="1">
      <c r="A14" s="26">
        <v>2</v>
      </c>
      <c r="B14" s="21" t="str">
        <f>INDEX('1,8-PH_GCS'!C3:C16,1,1)</f>
        <v>30/09/2026</v>
      </c>
      <c r="C14" s="16">
        <f>INDEX('1,8-PH_GCS'!$B3:$N16,1,1)</f>
        <v>8</v>
      </c>
      <c r="D14" s="16">
        <f>INDEX('1,8-PH_GCS'!$B3:$N16,1,3)</f>
        <v>9</v>
      </c>
      <c r="E14" s="22">
        <v>46295</v>
      </c>
      <c r="F14" s="16">
        <f>INDEX('1,8-PH_GCS'!$B3:$N16,1,5)</f>
        <v>1812</v>
      </c>
      <c r="G14" s="16">
        <f>INDEX('1,8-PH_GCS'!$B3:$N16,1,6)</f>
        <v>13634</v>
      </c>
      <c r="H14" s="16">
        <f>INDEX('1,8-PH_GCS'!$B3:$N16,1,4)</f>
        <v>15446</v>
      </c>
      <c r="I14" s="16">
        <f>INDEX('1,8-PH_GCS'!$B3:$N16,1,7)</f>
        <v>54987416</v>
      </c>
      <c r="J14" s="16">
        <f>INDEX('1,8-PH_GCS'!$B3:$N16,1,8)</f>
        <v>4398992</v>
      </c>
      <c r="K14" s="16">
        <f>INDEX('1,8-PH_GCS'!$B3:$N16,1,9)</f>
        <v>59386408</v>
      </c>
      <c r="L14" s="16">
        <f>INDEX('1,8-PH_GCS'!$B3:$N16,1,10)</f>
        <v>0</v>
      </c>
      <c r="M14" s="16">
        <f>INDEX('1,8-PH_GCS'!$B3:$N16,1,11)</f>
        <v>0</v>
      </c>
      <c r="N14" s="23">
        <f>INDEX('1,8-PH_GCS'!$B3:$N16,1,12)</f>
        <v>0</v>
      </c>
      <c r="O14" s="16">
        <f>INDEX('1,8-PH_GCS'!$B3:$N16,1,13)</f>
        <v>59386408</v>
      </c>
    </row>
    <row r="15" spans="1:17" s="1" customFormat="1">
      <c r="A15" s="71" t="s">
        <v>25</v>
      </c>
      <c r="B15" s="71"/>
      <c r="C15" s="27">
        <f>SUM(C14:C14)</f>
        <v>8</v>
      </c>
      <c r="D15" s="27">
        <f>SUM(D14:D14)</f>
        <v>9</v>
      </c>
      <c r="E15" s="27"/>
      <c r="F15" s="27">
        <f t="shared" ref="F15:O15" si="1">SUM(F14:F14)</f>
        <v>1812</v>
      </c>
      <c r="G15" s="27">
        <f t="shared" si="1"/>
        <v>13634</v>
      </c>
      <c r="H15" s="27">
        <f t="shared" si="1"/>
        <v>15446</v>
      </c>
      <c r="I15" s="27">
        <f t="shared" si="1"/>
        <v>54987416</v>
      </c>
      <c r="J15" s="27">
        <f t="shared" si="1"/>
        <v>4398992</v>
      </c>
      <c r="K15" s="27">
        <f t="shared" si="1"/>
        <v>59386408</v>
      </c>
      <c r="L15" s="27">
        <f t="shared" si="1"/>
        <v>0</v>
      </c>
      <c r="M15" s="27">
        <f t="shared" si="1"/>
        <v>0</v>
      </c>
      <c r="N15" s="27">
        <f t="shared" si="1"/>
        <v>0</v>
      </c>
      <c r="O15" s="27">
        <f t="shared" si="1"/>
        <v>59386408</v>
      </c>
    </row>
    <row r="16" spans="1:17" s="1" customFormat="1">
      <c r="A16" s="66" t="s">
        <v>20</v>
      </c>
      <c r="B16" s="67"/>
      <c r="C16" s="68"/>
      <c r="D16" s="16"/>
      <c r="E16" s="25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6" s="1" customFormat="1">
      <c r="A17" s="26">
        <v>3</v>
      </c>
      <c r="B17" s="21" t="str">
        <f>INDEX('1,8-PH_GCS'!C4:C21,1,1)</f>
        <v>10/09/2026</v>
      </c>
      <c r="C17" s="16">
        <f>INDEX('1,8-PH_GCS'!$B4:$N21,1,1)</f>
        <v>21</v>
      </c>
      <c r="D17" s="16">
        <f>INDEX('1,8-PH_GCS'!$B4:$N21,1,3)</f>
        <v>450</v>
      </c>
      <c r="E17" s="22">
        <v>46276</v>
      </c>
      <c r="F17" s="16">
        <f>INDEX('1,8-PH_GCS'!$B4:$N21,1,5)</f>
        <v>1677</v>
      </c>
      <c r="G17" s="16">
        <f>INDEX('1,8-PH_GCS'!$B4:$N21,1,6)</f>
        <v>158599806</v>
      </c>
      <c r="H17" s="16">
        <f>INDEX('1,8-PH_GCS'!$B4:$N21,1,4)</f>
        <v>158601483</v>
      </c>
      <c r="I17" s="16">
        <f>INDEX('1,8-PH_GCS'!$B4:$N21,1,7)</f>
        <v>305939385736</v>
      </c>
      <c r="J17" s="16">
        <f>INDEX('1,8-PH_GCS'!$B4:$N21,1,8)</f>
        <v>24466693819</v>
      </c>
      <c r="K17" s="16">
        <f>INDEX('1,8-PH_GCS'!$B4:$N21,1,9)</f>
        <v>330406079555</v>
      </c>
      <c r="L17" s="16">
        <f>INDEX('1,8-PH_GCS'!$B4:$N21,1,10)</f>
        <v>188521298</v>
      </c>
      <c r="M17" s="16">
        <f>INDEX('1,8-PH_GCS'!$B4:$N21,1,11)</f>
        <v>15081702</v>
      </c>
      <c r="N17" s="23">
        <f>INDEX('1,8-PH_GCS'!$B4:$N21,1,12)</f>
        <v>203603000</v>
      </c>
      <c r="O17" s="16">
        <f>INDEX('1,8-PH_GCS'!$B4:$N21,1,13)</f>
        <v>330609682555</v>
      </c>
    </row>
    <row r="18" spans="1:16" s="1" customFormat="1">
      <c r="A18" s="26">
        <v>4</v>
      </c>
      <c r="B18" s="21" t="str">
        <f>INDEX('1,8-PH_GCS'!C5:C22,1,1)</f>
        <v>15/09/2026</v>
      </c>
      <c r="C18" s="16">
        <f>INDEX('1,8-PH_GCS'!$B5:$N22,1,1)</f>
        <v>9</v>
      </c>
      <c r="D18" s="16">
        <f>INDEX('1,8-PH_GCS'!$B5:$N22,1,3)</f>
        <v>190</v>
      </c>
      <c r="E18" s="22">
        <v>46281</v>
      </c>
      <c r="F18" s="16">
        <f>INDEX('1,8-PH_GCS'!$B5:$N22,1,5)</f>
        <v>9285</v>
      </c>
      <c r="G18" s="16">
        <f>INDEX('1,8-PH_GCS'!$B5:$N22,1,6)</f>
        <v>4567698</v>
      </c>
      <c r="H18" s="16">
        <f>INDEX('1,8-PH_GCS'!$B5:$N22,1,4)</f>
        <v>4576983</v>
      </c>
      <c r="I18" s="16">
        <f>INDEX('1,8-PH_GCS'!$B5:$N22,1,7)</f>
        <v>11196063409</v>
      </c>
      <c r="J18" s="16">
        <f>INDEX('1,8-PH_GCS'!$B5:$N22,1,8)</f>
        <v>895685075</v>
      </c>
      <c r="K18" s="16">
        <f>INDEX('1,8-PH_GCS'!$B5:$N22,1,9)</f>
        <v>12091748484</v>
      </c>
      <c r="L18" s="16">
        <f>INDEX('1,8-PH_GCS'!$B5:$N22,1,10)</f>
        <v>47189941</v>
      </c>
      <c r="M18" s="16">
        <f>INDEX('1,8-PH_GCS'!$B5:$N22,1,11)</f>
        <v>3775196</v>
      </c>
      <c r="N18" s="23">
        <f>INDEX('1,8-PH_GCS'!$B5:$N22,1,12)</f>
        <v>50965137</v>
      </c>
      <c r="O18" s="16">
        <f>INDEX('1,8-PH_GCS'!$B5:$N22,1,13)</f>
        <v>12142713621</v>
      </c>
    </row>
    <row r="19" spans="1:16" s="1" customFormat="1">
      <c r="A19" s="26">
        <v>5</v>
      </c>
      <c r="B19" s="21" t="str">
        <f>INDEX('1,8-PH_GCS'!C6:C23,1,1)</f>
        <v>20/09/2026</v>
      </c>
      <c r="C19" s="16">
        <f>INDEX('1,8-PH_GCS'!$B6:$N23,1,1)</f>
        <v>21</v>
      </c>
      <c r="D19" s="16">
        <f>INDEX('1,8-PH_GCS'!$B6:$N23,1,3)</f>
        <v>456</v>
      </c>
      <c r="E19" s="22">
        <v>46286</v>
      </c>
      <c r="F19" s="16">
        <f>INDEX('1,8-PH_GCS'!$B6:$N23,1,5)</f>
        <v>1382</v>
      </c>
      <c r="G19" s="16">
        <f>INDEX('1,8-PH_GCS'!$B6:$N23,1,6)</f>
        <v>179974564</v>
      </c>
      <c r="H19" s="16">
        <f>INDEX('1,8-PH_GCS'!$B6:$N23,1,4)</f>
        <v>179975946</v>
      </c>
      <c r="I19" s="16">
        <f>INDEX('1,8-PH_GCS'!$B6:$N23,1,7)</f>
        <v>340503392283</v>
      </c>
      <c r="J19" s="16">
        <f>INDEX('1,8-PH_GCS'!$B6:$N23,1,8)</f>
        <v>27232232700</v>
      </c>
      <c r="K19" s="16">
        <f>INDEX('1,8-PH_GCS'!$B6:$N23,1,9)</f>
        <v>367735624983</v>
      </c>
      <c r="L19" s="16">
        <f>INDEX('1,8-PH_GCS'!$B6:$N23,1,10)</f>
        <v>122527217</v>
      </c>
      <c r="M19" s="16">
        <f>INDEX('1,8-PH_GCS'!$B6:$N23,1,11)</f>
        <v>9802181</v>
      </c>
      <c r="N19" s="23">
        <f>INDEX('1,8-PH_GCS'!$B6:$N23,1,12)</f>
        <v>132329398</v>
      </c>
      <c r="O19" s="16">
        <f>INDEX('1,8-PH_GCS'!$B6:$N23,1,13)</f>
        <v>367867954381</v>
      </c>
    </row>
    <row r="20" spans="1:16" s="1" customFormat="1">
      <c r="A20" s="26">
        <v>6</v>
      </c>
      <c r="B20" s="21" t="str">
        <f>INDEX('1,8-PH_GCS'!C7:C24,1,1)</f>
        <v>30/09/2026</v>
      </c>
      <c r="C20" s="16">
        <f>INDEX('1,8-PH_GCS'!$B7:$N24,1,1)</f>
        <v>2030</v>
      </c>
      <c r="D20" s="16">
        <f>INDEX('1,8-PH_GCS'!$B7:$N24,1,3)</f>
        <v>237539</v>
      </c>
      <c r="E20" s="22">
        <v>46297</v>
      </c>
      <c r="F20" s="16">
        <f>INDEX('1,8-PH_GCS'!$B7:$N24,1,5)</f>
        <v>77607796</v>
      </c>
      <c r="G20" s="16">
        <f>INDEX('1,8-PH_GCS'!$B7:$N24,1,6)</f>
        <v>224896711</v>
      </c>
      <c r="H20" s="16">
        <f>INDEX('1,8-PH_GCS'!$B7:$N24,1,4)</f>
        <v>302504507</v>
      </c>
      <c r="I20" s="16">
        <f>INDEX('1,8-PH_GCS'!$B7:$N24,1,7)</f>
        <v>678922434286</v>
      </c>
      <c r="J20" s="16">
        <f>INDEX('1,8-PH_GCS'!$B7:$N24,1,8)</f>
        <v>54304559408</v>
      </c>
      <c r="K20" s="16">
        <f>INDEX('1,8-PH_GCS'!$B7:$N24,1,9)</f>
        <v>733226993694</v>
      </c>
      <c r="L20" s="16">
        <f>INDEX('1,8-PH_GCS'!$B7:$N24,1,10)</f>
        <v>556214881</v>
      </c>
      <c r="M20" s="16">
        <f>INDEX('1,8-PH_GCS'!$B7:$N24,1,11)</f>
        <v>44497199</v>
      </c>
      <c r="N20" s="23">
        <f>INDEX('1,8-PH_GCS'!$B7:$N24,1,12)</f>
        <v>600712080</v>
      </c>
      <c r="O20" s="16">
        <f>INDEX('1,8-PH_GCS'!$B7:$N24,1,13)</f>
        <v>733827705774</v>
      </c>
    </row>
    <row r="21" spans="1:16" s="1" customFormat="1">
      <c r="A21" s="71" t="s">
        <v>25</v>
      </c>
      <c r="B21" s="71"/>
      <c r="C21" s="27">
        <f>SUM(C17:C20)</f>
        <v>2081</v>
      </c>
      <c r="D21" s="27">
        <f t="shared" ref="D21:O21" si="2">SUM(D17:D20)</f>
        <v>238635</v>
      </c>
      <c r="E21" s="28"/>
      <c r="F21" s="27">
        <f t="shared" si="2"/>
        <v>77620140</v>
      </c>
      <c r="G21" s="27">
        <f t="shared" si="2"/>
        <v>568038779</v>
      </c>
      <c r="H21" s="27">
        <f t="shared" si="2"/>
        <v>645658919</v>
      </c>
      <c r="I21" s="27">
        <f t="shared" si="2"/>
        <v>1336561275714</v>
      </c>
      <c r="J21" s="27">
        <f t="shared" si="2"/>
        <v>106899171002</v>
      </c>
      <c r="K21" s="27">
        <f t="shared" si="2"/>
        <v>1443460446716</v>
      </c>
      <c r="L21" s="27">
        <f t="shared" si="2"/>
        <v>914453337</v>
      </c>
      <c r="M21" s="27">
        <f t="shared" si="2"/>
        <v>73156278</v>
      </c>
      <c r="N21" s="27">
        <f t="shared" si="2"/>
        <v>987609615</v>
      </c>
      <c r="O21" s="27">
        <f t="shared" si="2"/>
        <v>1444448056331</v>
      </c>
    </row>
    <row r="22" spans="1:16">
      <c r="A22" s="29" t="s">
        <v>26</v>
      </c>
      <c r="B22" s="30"/>
      <c r="C22" s="31"/>
      <c r="D22" s="16"/>
      <c r="E22" s="25"/>
      <c r="F22" s="16"/>
      <c r="G22" s="16"/>
      <c r="H22" s="16"/>
      <c r="I22" s="16"/>
      <c r="J22" s="16"/>
      <c r="K22" s="16"/>
      <c r="L22" s="16"/>
      <c r="M22" s="16"/>
      <c r="N22" s="18"/>
      <c r="O22" s="19"/>
    </row>
    <row r="23" spans="1:16" s="1" customFormat="1">
      <c r="A23" s="26">
        <v>7</v>
      </c>
      <c r="B23" s="21" t="str">
        <f>INDEX('1,8-PH_GCS'!C8:C27,1,1)</f>
        <v>30/09/2026</v>
      </c>
      <c r="C23" s="16">
        <f>INDEX('1,8-PH_GCS'!$B8:$N27,1,1)</f>
        <v>6</v>
      </c>
      <c r="D23" s="16">
        <f>INDEX('1,8-PH_GCS'!$B8:$N27,1,3)</f>
        <v>6</v>
      </c>
      <c r="E23" s="22">
        <v>46295</v>
      </c>
      <c r="F23" s="16">
        <f>INDEX('1,8-PH_GCS'!$B8:$N27,1,5)</f>
        <v>-3191</v>
      </c>
      <c r="G23" s="16">
        <f>INDEX('1,8-PH_GCS'!$B8:$N27,1,6)</f>
        <v>-800</v>
      </c>
      <c r="H23" s="16">
        <f>INDEX('1,8-PH_GCS'!$B8:$N27,1,4)</f>
        <v>-3991</v>
      </c>
      <c r="I23" s="16">
        <f>INDEX('1,8-PH_GCS'!$B8:$N27,1,7)</f>
        <v>-12575260</v>
      </c>
      <c r="J23" s="16">
        <f>INDEX('1,8-PH_GCS'!$B8:$N27,1,8)</f>
        <v>-1006021</v>
      </c>
      <c r="K23" s="16">
        <f>INDEX('1,8-PH_GCS'!$B8:$N27,1,9)</f>
        <v>-13581281</v>
      </c>
      <c r="L23" s="16">
        <f>INDEX('1,8-PH_GCS'!$B8:$N27,1,10)</f>
        <v>0</v>
      </c>
      <c r="M23" s="16">
        <f>INDEX('1,8-PH_GCS'!$B8:$N27,1,11)</f>
        <v>0</v>
      </c>
      <c r="N23" s="23">
        <f>INDEX('1,8-PH_GCS'!$B8:$N27,1,12)</f>
        <v>0</v>
      </c>
      <c r="O23" s="16">
        <f>INDEX('1,8-PH_GCS'!$B8:$N27,1,13)</f>
        <v>-13581281</v>
      </c>
    </row>
    <row r="24" spans="1:16">
      <c r="A24" s="72" t="s">
        <v>25</v>
      </c>
      <c r="B24" s="72"/>
      <c r="C24" s="27">
        <f>SUM(C23:C23)</f>
        <v>6</v>
      </c>
      <c r="D24" s="27">
        <f t="shared" ref="D24:O24" si="3">SUM(D23:D23)</f>
        <v>6</v>
      </c>
      <c r="E24" s="27"/>
      <c r="F24" s="27">
        <f t="shared" si="3"/>
        <v>-3191</v>
      </c>
      <c r="G24" s="27">
        <f t="shared" si="3"/>
        <v>-800</v>
      </c>
      <c r="H24" s="27">
        <f t="shared" si="3"/>
        <v>-3991</v>
      </c>
      <c r="I24" s="27">
        <f t="shared" si="3"/>
        <v>-12575260</v>
      </c>
      <c r="J24" s="27">
        <f t="shared" si="3"/>
        <v>-1006021</v>
      </c>
      <c r="K24" s="27">
        <f t="shared" si="3"/>
        <v>-13581281</v>
      </c>
      <c r="L24" s="27">
        <f t="shared" si="3"/>
        <v>0</v>
      </c>
      <c r="M24" s="27">
        <f t="shared" si="3"/>
        <v>0</v>
      </c>
      <c r="N24" s="27">
        <f t="shared" si="3"/>
        <v>0</v>
      </c>
      <c r="O24" s="27">
        <f t="shared" si="3"/>
        <v>-13581281</v>
      </c>
    </row>
    <row r="25" spans="1:16">
      <c r="A25" s="29" t="s">
        <v>27</v>
      </c>
      <c r="B25" s="31"/>
      <c r="C25" s="16"/>
      <c r="D25" s="16"/>
      <c r="E25" s="25"/>
      <c r="F25" s="16"/>
      <c r="G25" s="16"/>
      <c r="H25" s="16"/>
      <c r="I25" s="16"/>
      <c r="J25" s="16"/>
      <c r="K25" s="16"/>
      <c r="L25" s="16"/>
      <c r="M25" s="16"/>
      <c r="N25" s="18"/>
      <c r="O25" s="19"/>
    </row>
    <row r="26" spans="1:16">
      <c r="A26" s="20">
        <v>8</v>
      </c>
      <c r="B26" s="21" t="str">
        <f>INDEX('1,8-PH_GCS'!C9:C33,1,1)</f>
        <v>10/09/2026</v>
      </c>
      <c r="C26" s="16">
        <f>INDEX('1,8-PH_GCS'!$B9:$N33,1,1)</f>
        <v>3</v>
      </c>
      <c r="D26" s="16">
        <f>INDEX('1,8-PH_GCS'!$B9:$N33,1,3)</f>
        <v>6</v>
      </c>
      <c r="E26" s="22">
        <v>46276</v>
      </c>
      <c r="F26" s="16">
        <f>INDEX('1,8-PH_GCS'!$B9:$N33,1,5)</f>
        <v>0</v>
      </c>
      <c r="G26" s="16">
        <f>INDEX('1,8-PH_GCS'!$B9:$N33,1,6)</f>
        <v>35252</v>
      </c>
      <c r="H26" s="16">
        <f>INDEX('1,8-PH_GCS'!$B9:$N33,1,4)</f>
        <v>35252</v>
      </c>
      <c r="I26" s="16">
        <f>INDEX('1,8-PH_GCS'!$B9:$N33,1,7)</f>
        <v>82523432</v>
      </c>
      <c r="J26" s="16">
        <f>INDEX('1,8-PH_GCS'!$B9:$N33,1,8)</f>
        <v>6601875</v>
      </c>
      <c r="K26" s="16">
        <f>INDEX('1,8-PH_GCS'!$B9:$N33,1,9)</f>
        <v>89125307</v>
      </c>
      <c r="L26" s="16">
        <f>INDEX('1,8-PH_GCS'!$B9:$N33,1,10)</f>
        <v>0</v>
      </c>
      <c r="M26" s="16">
        <f>INDEX('1,8-PH_GCS'!$B9:$N33,1,11)</f>
        <v>0</v>
      </c>
      <c r="N26" s="23">
        <f>INDEX('1,8-PH_GCS'!$B9:$N33,1,12)</f>
        <v>0</v>
      </c>
      <c r="O26" s="16">
        <f>INDEX('1,8-PH_GCS'!$B9:$N33,1,13)</f>
        <v>89125307</v>
      </c>
      <c r="P26" s="6"/>
    </row>
    <row r="27" spans="1:16">
      <c r="A27" s="20">
        <v>9</v>
      </c>
      <c r="B27" s="21" t="str">
        <f>INDEX('1,8-PH_GCS'!C10:C34,1,1)</f>
        <v>15/09/2026</v>
      </c>
      <c r="C27" s="16">
        <f>INDEX('1,8-PH_GCS'!$B10:$N34,1,1)</f>
        <v>1</v>
      </c>
      <c r="D27" s="16">
        <f>INDEX('1,8-PH_GCS'!$B10:$N34,1,3)</f>
        <v>1</v>
      </c>
      <c r="E27" s="22">
        <v>46281</v>
      </c>
      <c r="F27" s="16">
        <f>INDEX('1,8-PH_GCS'!$B10:$N34,1,5)</f>
        <v>0</v>
      </c>
      <c r="G27" s="16">
        <f>INDEX('1,8-PH_GCS'!$B10:$N34,1,6)</f>
        <v>0</v>
      </c>
      <c r="H27" s="16">
        <f>INDEX('1,8-PH_GCS'!$B10:$N34,1,4)</f>
        <v>0</v>
      </c>
      <c r="I27" s="16">
        <f>INDEX('1,8-PH_GCS'!$B10:$N34,1,7)</f>
        <v>0</v>
      </c>
      <c r="J27" s="16">
        <f>INDEX('1,8-PH_GCS'!$B10:$N34,1,8)</f>
        <v>0</v>
      </c>
      <c r="K27" s="16">
        <f>INDEX('1,8-PH_GCS'!$B10:$N34,1,9)</f>
        <v>0</v>
      </c>
      <c r="L27" s="16">
        <f>INDEX('1,8-PH_GCS'!$B10:$N34,1,10)</f>
        <v>0</v>
      </c>
      <c r="M27" s="16">
        <f>INDEX('1,8-PH_GCS'!$B10:$N34,1,11)</f>
        <v>0</v>
      </c>
      <c r="N27" s="23">
        <f>INDEX('1,8-PH_GCS'!$B10:$N34,1,12)</f>
        <v>0</v>
      </c>
      <c r="O27" s="16">
        <f>INDEX('1,8-PH_GCS'!$B10:$N34,1,13)</f>
        <v>0</v>
      </c>
      <c r="P27" s="6"/>
    </row>
    <row r="28" spans="1:16">
      <c r="A28" s="20">
        <v>10</v>
      </c>
      <c r="B28" s="21" t="str">
        <f>INDEX('1,8-PH_GCS'!C11:C35,1,1)</f>
        <v>30/09/2026</v>
      </c>
      <c r="C28" s="16">
        <f>INDEX('1,8-PH_GCS'!$B11:$N35,1,1)</f>
        <v>17</v>
      </c>
      <c r="D28" s="16">
        <f>INDEX('1,8-PH_GCS'!$B11:$N35,1,3)</f>
        <v>24</v>
      </c>
      <c r="E28" s="22">
        <v>46297</v>
      </c>
      <c r="F28" s="16">
        <f>INDEX('1,8-PH_GCS'!$B11:$N35,1,5)</f>
        <v>20532</v>
      </c>
      <c r="G28" s="16">
        <f>INDEX('1,8-PH_GCS'!$B11:$N35,1,6)</f>
        <v>102389</v>
      </c>
      <c r="H28" s="16">
        <f>INDEX('1,8-PH_GCS'!$B11:$N35,1,4)</f>
        <v>122921</v>
      </c>
      <c r="I28" s="16">
        <f>INDEX('1,8-PH_GCS'!$B11:$N35,1,7)</f>
        <v>414704832</v>
      </c>
      <c r="J28" s="16">
        <f>INDEX('1,8-PH_GCS'!$B11:$N35,1,8)</f>
        <v>33176388</v>
      </c>
      <c r="K28" s="16">
        <f>INDEX('1,8-PH_GCS'!$B11:$N35,1,9)</f>
        <v>447881220</v>
      </c>
      <c r="L28" s="16">
        <f>INDEX('1,8-PH_GCS'!$B11:$N35,1,10)</f>
        <v>0</v>
      </c>
      <c r="M28" s="16">
        <f>INDEX('1,8-PH_GCS'!$B11:$N35,1,11)</f>
        <v>0</v>
      </c>
      <c r="N28" s="23">
        <f>INDEX('1,8-PH_GCS'!$B11:$N35,1,12)</f>
        <v>0</v>
      </c>
      <c r="O28" s="16">
        <f>INDEX('1,8-PH_GCS'!$B11:$N35,1,13)</f>
        <v>447881220</v>
      </c>
      <c r="P28" s="6"/>
    </row>
    <row r="29" spans="1:16">
      <c r="A29" s="72" t="s">
        <v>25</v>
      </c>
      <c r="B29" s="72"/>
      <c r="C29" s="27">
        <f>SUM(C26:C28)</f>
        <v>21</v>
      </c>
      <c r="D29" s="27">
        <f t="shared" ref="D29:O29" si="4">SUM(D26:D28)</f>
        <v>31</v>
      </c>
      <c r="E29" s="27"/>
      <c r="F29" s="27">
        <f t="shared" si="4"/>
        <v>20532</v>
      </c>
      <c r="G29" s="27">
        <f t="shared" si="4"/>
        <v>137641</v>
      </c>
      <c r="H29" s="27">
        <f t="shared" si="4"/>
        <v>158173</v>
      </c>
      <c r="I29" s="27">
        <f t="shared" si="4"/>
        <v>497228264</v>
      </c>
      <c r="J29" s="27">
        <f t="shared" si="4"/>
        <v>39778263</v>
      </c>
      <c r="K29" s="27">
        <f t="shared" si="4"/>
        <v>537006527</v>
      </c>
      <c r="L29" s="27">
        <f t="shared" si="4"/>
        <v>0</v>
      </c>
      <c r="M29" s="27">
        <f t="shared" si="4"/>
        <v>0</v>
      </c>
      <c r="N29" s="27">
        <f t="shared" si="4"/>
        <v>0</v>
      </c>
      <c r="O29" s="27">
        <f t="shared" si="4"/>
        <v>537006527</v>
      </c>
    </row>
    <row r="30" spans="1:16" s="2" customFormat="1" ht="14.25">
      <c r="A30" s="71" t="s">
        <v>25</v>
      </c>
      <c r="B30" s="71"/>
      <c r="C30" s="27">
        <f>C12+C15+C21+C24+C29</f>
        <v>2124</v>
      </c>
      <c r="D30" s="27">
        <f>D12+D15+D21+D24+D29</f>
        <v>238690</v>
      </c>
      <c r="E30" s="32"/>
      <c r="F30" s="27">
        <f t="shared" ref="F30:O30" si="5">F12+F15+F21+F24+F29</f>
        <v>77630700</v>
      </c>
      <c r="G30" s="27">
        <f t="shared" si="5"/>
        <v>568170928</v>
      </c>
      <c r="H30" s="27">
        <f t="shared" si="5"/>
        <v>645801628</v>
      </c>
      <c r="I30" s="27">
        <f t="shared" si="5"/>
        <v>1337010688050</v>
      </c>
      <c r="J30" s="27">
        <f t="shared" si="5"/>
        <v>106935123989</v>
      </c>
      <c r="K30" s="27">
        <f t="shared" si="5"/>
        <v>1443945812039</v>
      </c>
      <c r="L30" s="27">
        <f t="shared" si="5"/>
        <v>913557269</v>
      </c>
      <c r="M30" s="27">
        <f t="shared" si="5"/>
        <v>73084593</v>
      </c>
      <c r="N30" s="27">
        <f t="shared" si="5"/>
        <v>986641862</v>
      </c>
      <c r="O30" s="27">
        <f t="shared" si="5"/>
        <v>1444932453901</v>
      </c>
      <c r="P30" s="33"/>
    </row>
    <row r="32" spans="1:16">
      <c r="L32" s="73" t="s">
        <v>70</v>
      </c>
      <c r="M32" s="73"/>
      <c r="N32" s="73"/>
      <c r="O32" s="73"/>
    </row>
    <row r="33" spans="2:15" ht="12.75" customHeight="1"/>
    <row r="34" spans="2:15">
      <c r="B34" s="64" t="s">
        <v>39</v>
      </c>
      <c r="C34" s="64"/>
      <c r="F34" s="8"/>
      <c r="G34" s="8"/>
      <c r="H34" s="8"/>
      <c r="I34" s="65" t="s">
        <v>40</v>
      </c>
      <c r="J34" s="65"/>
      <c r="K34" s="8"/>
      <c r="L34" s="13"/>
      <c r="M34" s="64" t="s">
        <v>41</v>
      </c>
      <c r="N34" s="64"/>
      <c r="O34" s="64"/>
    </row>
    <row r="35" spans="2:15">
      <c r="D35" s="13"/>
      <c r="F35" s="13"/>
      <c r="G35" s="13"/>
      <c r="H35" s="13"/>
      <c r="I35" s="34"/>
      <c r="J35" s="2"/>
      <c r="K35" s="13"/>
      <c r="L35" s="13"/>
      <c r="M35" s="64" t="s">
        <v>42</v>
      </c>
      <c r="N35" s="64"/>
      <c r="O35" s="64"/>
    </row>
    <row r="36" spans="2:15">
      <c r="D36" s="13"/>
      <c r="F36" s="13"/>
      <c r="G36" s="13"/>
      <c r="H36" s="13"/>
      <c r="I36" s="34"/>
      <c r="J36" s="2"/>
      <c r="K36" s="13"/>
      <c r="L36" s="13"/>
      <c r="M36" s="11"/>
      <c r="N36" s="11"/>
      <c r="O36" s="11"/>
    </row>
    <row r="37" spans="2:15">
      <c r="D37" s="13"/>
      <c r="F37" s="13"/>
      <c r="G37" s="13"/>
      <c r="H37" s="13"/>
      <c r="I37" s="34"/>
      <c r="J37" s="2"/>
      <c r="K37" s="13"/>
      <c r="L37" s="13"/>
      <c r="M37" s="11"/>
      <c r="N37" s="11"/>
      <c r="O37" s="11"/>
    </row>
    <row r="38" spans="2:15" ht="12.75" customHeight="1">
      <c r="D38" s="13"/>
      <c r="F38" s="13"/>
      <c r="G38" s="13"/>
      <c r="H38" s="13"/>
      <c r="I38" s="34"/>
      <c r="J38" s="2"/>
      <c r="K38" s="13"/>
      <c r="L38" s="13"/>
      <c r="M38" s="13"/>
    </row>
    <row r="39" spans="2:15" ht="12.75" customHeight="1">
      <c r="D39" s="13"/>
      <c r="F39" s="13"/>
      <c r="G39" s="13"/>
      <c r="H39" s="13"/>
      <c r="I39" s="34"/>
      <c r="J39" s="2"/>
      <c r="K39" s="13"/>
      <c r="L39" s="13"/>
      <c r="M39" s="13"/>
    </row>
    <row r="40" spans="2:15" ht="12.75" customHeight="1">
      <c r="D40" s="13"/>
      <c r="F40" s="13"/>
      <c r="G40" s="13"/>
      <c r="H40" s="13"/>
      <c r="I40" s="34"/>
      <c r="J40" s="2"/>
      <c r="K40" s="13"/>
      <c r="L40" s="13"/>
      <c r="M40" s="13"/>
    </row>
    <row r="41" spans="2:15" ht="12.75" customHeight="1">
      <c r="D41" s="13"/>
      <c r="F41" s="13"/>
      <c r="G41" s="13"/>
      <c r="H41" s="13"/>
      <c r="I41" s="34"/>
      <c r="J41" s="2"/>
      <c r="K41" s="13"/>
      <c r="L41" s="13"/>
      <c r="M41" s="13"/>
    </row>
    <row r="42" spans="2:15">
      <c r="D42" s="13"/>
      <c r="F42" s="13"/>
      <c r="G42" s="13"/>
      <c r="H42" s="13"/>
      <c r="I42" s="34"/>
      <c r="J42" s="2"/>
      <c r="K42" s="13"/>
      <c r="L42" s="13"/>
      <c r="M42" s="13"/>
    </row>
    <row r="43" spans="2:15">
      <c r="B43" s="64" t="s">
        <v>43</v>
      </c>
      <c r="C43" s="64"/>
      <c r="F43" s="8"/>
      <c r="G43" s="8"/>
      <c r="H43" s="8"/>
      <c r="I43" s="65" t="s">
        <v>44</v>
      </c>
      <c r="J43" s="65"/>
      <c r="K43" s="8"/>
      <c r="L43" s="13"/>
      <c r="M43" s="64" t="s">
        <v>45</v>
      </c>
      <c r="N43" s="64"/>
      <c r="O43" s="64"/>
    </row>
    <row r="44" spans="2:15">
      <c r="D44" s="13"/>
      <c r="F44" s="13"/>
      <c r="G44" s="13"/>
      <c r="H44" s="13"/>
      <c r="I44" s="34"/>
      <c r="J44" s="2"/>
      <c r="K44" s="13"/>
      <c r="L44" s="13"/>
      <c r="M44" s="13"/>
    </row>
  </sheetData>
  <mergeCells count="34">
    <mergeCell ref="A2:F2"/>
    <mergeCell ref="A3:F3"/>
    <mergeCell ref="A5:O5"/>
    <mergeCell ref="A6:O6"/>
    <mergeCell ref="F8:H8"/>
    <mergeCell ref="A8:A9"/>
    <mergeCell ref="B8:B9"/>
    <mergeCell ref="C8:C9"/>
    <mergeCell ref="D8:D9"/>
    <mergeCell ref="E8:E9"/>
    <mergeCell ref="I8:I9"/>
    <mergeCell ref="J8:J9"/>
    <mergeCell ref="K8:K9"/>
    <mergeCell ref="L8:L9"/>
    <mergeCell ref="M8:M9"/>
    <mergeCell ref="N8:N9"/>
    <mergeCell ref="B43:C43"/>
    <mergeCell ref="I43:J43"/>
    <mergeCell ref="M43:O43"/>
    <mergeCell ref="A21:B21"/>
    <mergeCell ref="A24:B24"/>
    <mergeCell ref="A29:B29"/>
    <mergeCell ref="A30:B30"/>
    <mergeCell ref="L32:O32"/>
    <mergeCell ref="O8:O9"/>
    <mergeCell ref="B34:C34"/>
    <mergeCell ref="I34:J34"/>
    <mergeCell ref="M34:O34"/>
    <mergeCell ref="M35:O35"/>
    <mergeCell ref="A10:C10"/>
    <mergeCell ref="A12:B12"/>
    <mergeCell ref="A13:C13"/>
    <mergeCell ref="A15:B15"/>
    <mergeCell ref="A16:C16"/>
  </mergeCells>
  <pageMargins left="0.46" right="0.25" top="0.75" bottom="0.75" header="0.3" footer="0.3"/>
  <pageSetup paperSize="9"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zoomScale="115" zoomScaleNormal="115" workbookViewId="0">
      <selection activeCell="B2" sqref="B2:N11"/>
    </sheetView>
  </sheetViews>
  <sheetFormatPr defaultRowHeight="12.75"/>
  <cols>
    <col min="1" max="1" width="15" style="50" customWidth="1"/>
    <col min="2" max="16384" width="9.140625" style="50"/>
  </cols>
  <sheetData>
    <row r="1" spans="1:14">
      <c r="A1" s="50" t="s">
        <v>46</v>
      </c>
      <c r="B1" s="50" t="s">
        <v>47</v>
      </c>
      <c r="C1" s="50" t="s">
        <v>48</v>
      </c>
      <c r="D1" s="50" t="s">
        <v>49</v>
      </c>
      <c r="E1" s="50" t="s">
        <v>50</v>
      </c>
      <c r="F1" s="50" t="s">
        <v>51</v>
      </c>
      <c r="G1" s="50" t="s">
        <v>52</v>
      </c>
      <c r="H1" s="50" t="s">
        <v>53</v>
      </c>
      <c r="I1" s="50" t="s">
        <v>54</v>
      </c>
      <c r="J1" s="50" t="s">
        <v>55</v>
      </c>
      <c r="K1" s="50" t="s">
        <v>56</v>
      </c>
      <c r="L1" s="50" t="s">
        <v>57</v>
      </c>
      <c r="M1" s="50" t="s">
        <v>58</v>
      </c>
      <c r="N1" s="50" t="s">
        <v>59</v>
      </c>
    </row>
    <row r="2" spans="1:14">
      <c r="A2" s="50" t="s">
        <v>60</v>
      </c>
      <c r="B2" s="50">
        <v>8</v>
      </c>
      <c r="C2" s="50" t="s">
        <v>65</v>
      </c>
      <c r="D2" s="50">
        <v>9</v>
      </c>
      <c r="E2" s="50">
        <v>-26919</v>
      </c>
      <c r="F2" s="50">
        <v>-8593</v>
      </c>
      <c r="G2" s="50">
        <v>-18326</v>
      </c>
      <c r="H2" s="50">
        <v>-90228084</v>
      </c>
      <c r="I2" s="50">
        <v>-7218247</v>
      </c>
      <c r="J2" s="50">
        <v>-97446331</v>
      </c>
      <c r="K2" s="50">
        <v>-896068</v>
      </c>
      <c r="L2" s="50">
        <v>-71685</v>
      </c>
      <c r="M2" s="50">
        <v>-967753</v>
      </c>
      <c r="N2" s="50">
        <v>-98414084</v>
      </c>
    </row>
    <row r="3" spans="1:14">
      <c r="A3" s="50" t="s">
        <v>61</v>
      </c>
      <c r="B3" s="50">
        <v>8</v>
      </c>
      <c r="C3" s="50" t="s">
        <v>65</v>
      </c>
      <c r="D3" s="50">
        <v>9</v>
      </c>
      <c r="E3" s="50">
        <v>15446</v>
      </c>
      <c r="F3" s="50">
        <v>1812</v>
      </c>
      <c r="G3" s="50">
        <v>13634</v>
      </c>
      <c r="H3" s="50">
        <v>54987416</v>
      </c>
      <c r="I3" s="50">
        <v>4398992</v>
      </c>
      <c r="J3" s="50">
        <v>59386408</v>
      </c>
      <c r="K3" s="50">
        <v>0</v>
      </c>
      <c r="L3" s="50">
        <v>0</v>
      </c>
      <c r="M3" s="50">
        <v>0</v>
      </c>
      <c r="N3" s="50">
        <v>59386408</v>
      </c>
    </row>
    <row r="4" spans="1:14">
      <c r="A4" s="50" t="s">
        <v>62</v>
      </c>
      <c r="B4" s="50">
        <v>21</v>
      </c>
      <c r="C4" s="50" t="s">
        <v>66</v>
      </c>
      <c r="D4" s="50">
        <v>450</v>
      </c>
      <c r="E4" s="50">
        <v>158601483</v>
      </c>
      <c r="F4" s="50">
        <v>1677</v>
      </c>
      <c r="G4" s="50">
        <v>158599806</v>
      </c>
      <c r="H4" s="50">
        <v>305939385736</v>
      </c>
      <c r="I4" s="50">
        <v>24466693819</v>
      </c>
      <c r="J4" s="50">
        <v>330406079555</v>
      </c>
      <c r="K4" s="50">
        <v>188521298</v>
      </c>
      <c r="L4" s="50">
        <v>15081702</v>
      </c>
      <c r="M4" s="50">
        <v>203603000</v>
      </c>
      <c r="N4" s="50">
        <v>330609682555</v>
      </c>
    </row>
    <row r="5" spans="1:14">
      <c r="A5" s="50" t="s">
        <v>62</v>
      </c>
      <c r="B5" s="50">
        <v>9</v>
      </c>
      <c r="C5" s="50" t="s">
        <v>67</v>
      </c>
      <c r="D5" s="50">
        <v>190</v>
      </c>
      <c r="E5" s="50">
        <v>4576983</v>
      </c>
      <c r="F5" s="50">
        <v>9285</v>
      </c>
      <c r="G5" s="50">
        <v>4567698</v>
      </c>
      <c r="H5" s="50">
        <v>11196063409</v>
      </c>
      <c r="I5" s="50">
        <v>895685075</v>
      </c>
      <c r="J5" s="50">
        <v>12091748484</v>
      </c>
      <c r="K5" s="50">
        <v>47189941</v>
      </c>
      <c r="L5" s="50">
        <v>3775196</v>
      </c>
      <c r="M5" s="50">
        <v>50965137</v>
      </c>
      <c r="N5" s="50">
        <v>12142713621</v>
      </c>
    </row>
    <row r="6" spans="1:14">
      <c r="A6" s="50" t="s">
        <v>62</v>
      </c>
      <c r="B6" s="50">
        <v>21</v>
      </c>
      <c r="C6" s="50" t="s">
        <v>68</v>
      </c>
      <c r="D6" s="50">
        <v>456</v>
      </c>
      <c r="E6" s="50">
        <v>179975946</v>
      </c>
      <c r="F6" s="50">
        <v>1382</v>
      </c>
      <c r="G6" s="50">
        <v>179974564</v>
      </c>
      <c r="H6" s="50">
        <v>340503392283</v>
      </c>
      <c r="I6" s="50">
        <v>27232232700</v>
      </c>
      <c r="J6" s="50">
        <v>367735624983</v>
      </c>
      <c r="K6" s="50">
        <v>122527217</v>
      </c>
      <c r="L6" s="50">
        <v>9802181</v>
      </c>
      <c r="M6" s="50">
        <v>132329398</v>
      </c>
      <c r="N6" s="50">
        <v>367867954381</v>
      </c>
    </row>
    <row r="7" spans="1:14">
      <c r="A7" s="50" t="s">
        <v>62</v>
      </c>
      <c r="B7" s="50">
        <v>2030</v>
      </c>
      <c r="C7" s="50" t="s">
        <v>65</v>
      </c>
      <c r="D7" s="50">
        <v>237539</v>
      </c>
      <c r="E7" s="50">
        <v>302504507</v>
      </c>
      <c r="F7" s="50">
        <v>77607796</v>
      </c>
      <c r="G7" s="50">
        <v>224896711</v>
      </c>
      <c r="H7" s="50">
        <v>678922434286</v>
      </c>
      <c r="I7" s="50">
        <v>54304559408</v>
      </c>
      <c r="J7" s="50">
        <v>733226993694</v>
      </c>
      <c r="K7" s="50">
        <v>556214881</v>
      </c>
      <c r="L7" s="50">
        <v>44497199</v>
      </c>
      <c r="M7" s="50">
        <v>600712080</v>
      </c>
      <c r="N7" s="50">
        <v>733827705774</v>
      </c>
    </row>
    <row r="8" spans="1:14">
      <c r="A8" s="50" t="s">
        <v>63</v>
      </c>
      <c r="B8" s="50">
        <v>6</v>
      </c>
      <c r="C8" s="50" t="s">
        <v>65</v>
      </c>
      <c r="D8" s="50">
        <v>6</v>
      </c>
      <c r="E8" s="50">
        <v>-3991</v>
      </c>
      <c r="F8" s="50">
        <v>-3191</v>
      </c>
      <c r="G8" s="50">
        <v>-800</v>
      </c>
      <c r="H8" s="50">
        <v>-12575260</v>
      </c>
      <c r="I8" s="50">
        <v>-1006021</v>
      </c>
      <c r="J8" s="50">
        <v>-13581281</v>
      </c>
      <c r="K8" s="50">
        <v>0</v>
      </c>
      <c r="L8" s="50">
        <v>0</v>
      </c>
      <c r="M8" s="50">
        <v>0</v>
      </c>
      <c r="N8" s="50">
        <v>-13581281</v>
      </c>
    </row>
    <row r="9" spans="1:14">
      <c r="A9" s="50" t="s">
        <v>64</v>
      </c>
      <c r="B9" s="50">
        <v>3</v>
      </c>
      <c r="C9" s="50" t="s">
        <v>66</v>
      </c>
      <c r="D9" s="50">
        <v>6</v>
      </c>
      <c r="E9" s="50">
        <v>35252</v>
      </c>
      <c r="F9" s="50">
        <v>0</v>
      </c>
      <c r="G9" s="50">
        <v>35252</v>
      </c>
      <c r="H9" s="50">
        <v>82523432</v>
      </c>
      <c r="I9" s="50">
        <v>6601875</v>
      </c>
      <c r="J9" s="50">
        <v>89125307</v>
      </c>
      <c r="K9" s="50">
        <v>0</v>
      </c>
      <c r="L9" s="50">
        <v>0</v>
      </c>
      <c r="M9" s="50">
        <v>0</v>
      </c>
      <c r="N9" s="50">
        <v>89125307</v>
      </c>
    </row>
    <row r="10" spans="1:14">
      <c r="A10" s="50" t="s">
        <v>64</v>
      </c>
      <c r="B10" s="50">
        <v>1</v>
      </c>
      <c r="C10" s="50" t="s">
        <v>67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</row>
    <row r="11" spans="1:14">
      <c r="A11" s="50" t="s">
        <v>64</v>
      </c>
      <c r="B11" s="50">
        <v>17</v>
      </c>
      <c r="C11" s="50" t="s">
        <v>65</v>
      </c>
      <c r="D11" s="50">
        <v>24</v>
      </c>
      <c r="E11" s="50">
        <v>122921</v>
      </c>
      <c r="F11" s="50">
        <v>20532</v>
      </c>
      <c r="G11" s="50">
        <v>102389</v>
      </c>
      <c r="H11" s="50">
        <v>414704832</v>
      </c>
      <c r="I11" s="50">
        <v>33176388</v>
      </c>
      <c r="J11" s="50">
        <v>447881220</v>
      </c>
      <c r="K11" s="50">
        <v>0</v>
      </c>
      <c r="L11" s="50">
        <v>0</v>
      </c>
      <c r="M11" s="50">
        <v>0</v>
      </c>
      <c r="N11" s="50">
        <v>447881220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32" sqref="J32"/>
    </sheetView>
  </sheetViews>
  <sheetFormatPr defaultColWidth="9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BC</vt:lpstr>
      <vt:lpstr>1,8-PH_GCS</vt:lpstr>
      <vt:lpstr>3,3-HDSS</vt:lpstr>
      <vt:lpstr>BC!Print_Area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Quoc Viet</dc:creator>
  <cp:lastModifiedBy>Pham Quoc Viet</cp:lastModifiedBy>
  <cp:revision>0</cp:revision>
  <cp:lastPrinted>2026-07-06T07:08:57Z</cp:lastPrinted>
  <dcterms:created xsi:type="dcterms:W3CDTF">2113-01-01T00:00:00Z</dcterms:created>
  <dcterms:modified xsi:type="dcterms:W3CDTF">2026-10-03T03:37:56Z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3EA3939205A44BD78B5B74C38811515E_12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