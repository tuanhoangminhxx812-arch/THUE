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FF1B72B9-15CC-407C-9016-BC0232B8FAC5}" xr6:coauthVersionLast="47" xr6:coauthVersionMax="47" xr10:uidLastSave="{00000000-0000-0000-0000-000000000000}"/>
  <bookViews>
    <workbookView xWindow="-108" yWindow="-108" windowWidth="30936" windowHeight="16776" xr2:uid="{4DF38FE5-7323-4021-BC68-5123C67810CF}"/>
  </bookViews>
  <sheets>
    <sheet name="EVN_GL_0903___Báo_cáo_đối_071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</calcChain>
</file>

<file path=xl/sharedStrings.xml><?xml version="1.0" encoding="utf-8"?>
<sst xmlns="http://schemas.openxmlformats.org/spreadsheetml/2006/main" count="50" uniqueCount="36">
  <si>
    <t>HCMC - Công ty Điện lực Vũng Tàu</t>
  </si>
  <si>
    <t>Báo cáo liệt kê giao dịch phát sinh theo tài khoản</t>
  </si>
  <si>
    <r>
      <t xml:space="preserve">Từ ngày </t>
    </r>
    <r>
      <rPr>
        <sz val="10"/>
        <color rgb="FF000000"/>
        <rFont val="Times New Roman"/>
        <family val="1"/>
      </rPr>
      <t xml:space="preserve">01/09/2026 </t>
    </r>
    <r>
      <rPr>
        <sz val="11"/>
        <color rgb="FF000000"/>
        <rFont val="Times New Roman"/>
        <family val="1"/>
      </rPr>
      <t xml:space="preserve">đến ngày </t>
    </r>
    <r>
      <rPr>
        <sz val="10"/>
        <color rgb="FF000000"/>
        <rFont val="Times New Roman"/>
        <family val="1"/>
      </rPr>
      <t>30/09/2026</t>
    </r>
  </si>
  <si>
    <t>Nguồn phát sinh</t>
  </si>
  <si>
    <t>Số giao dịch</t>
  </si>
  <si>
    <t>Ngày giao dịch</t>
  </si>
  <si>
    <t>Chi nhánh</t>
  </si>
  <si>
    <t>Trung tâm chi phí</t>
  </si>
  <si>
    <t>Tài khoản</t>
  </si>
  <si>
    <t>Loại hình</t>
  </si>
  <si>
    <t>Sản phẩm</t>
  </si>
  <si>
    <t>Yếu tố</t>
  </si>
  <si>
    <t>Đơn vị nội bộ</t>
  </si>
  <si>
    <t>Dự phòng đơn vị</t>
  </si>
  <si>
    <t>Dự phòng EVN</t>
  </si>
  <si>
    <t>Loại tiền</t>
  </si>
  <si>
    <t>Nợ nguyên tệ</t>
  </si>
  <si>
    <t>Có nguyên tệ</t>
  </si>
  <si>
    <t>Nợ quy đổi</t>
  </si>
  <si>
    <t>Có quy đổi</t>
  </si>
  <si>
    <t>Nội dung</t>
  </si>
  <si>
    <t>Trạng thái hạch toán</t>
  </si>
  <si>
    <t>Người tạo</t>
  </si>
  <si>
    <t>Người cập nhật</t>
  </si>
  <si>
    <t>GL</t>
  </si>
  <si>
    <t>VND</t>
  </si>
  <si>
    <t>K/c 51511 &gt; 911511 (LÃI TIỀN CHO VAY)</t>
  </si>
  <si>
    <t>P</t>
  </si>
  <si>
    <t>DUYENTT.HCM.VTA</t>
  </si>
  <si>
    <t>Điều chỉnh hạch toán TK  theo G0926VC0011-25/9/26</t>
  </si>
  <si>
    <t>HUENT.HCM.VTA</t>
  </si>
  <si>
    <t>AR_RECEIPTS</t>
  </si>
  <si>
    <t>G0926VC0011</t>
  </si>
  <si>
    <t>Nhập lãi TK NH VCB T9/26</t>
  </si>
  <si>
    <t>F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</si>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</sst>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33" borderId="10" xfId="0" applyFill="1" applyBorder="1" applyAlignment="1">
      <alignment vertical="top" wrapText="1"/>
    </xf>
    <xf numFmtId="0" fontId="22" fillId="33" borderId="11" xfId="0" applyFont="1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15" fontId="21" fillId="33" borderId="11" xfId="0" applyNumberFormat="1" applyFont="1" applyFill="1" applyBorder="1" applyAlignment="1">
      <alignment vertical="top" wrapText="1"/>
    </xf>
    <xf numFmtId="3" fontId="21" fillId="33" borderId="11" xfId="0" applyNumberFormat="1" applyFont="1" applyFill="1" applyBorder="1" applyAlignment="1">
      <alignment horizontal="right" vertical="top" wrapText="1"/>
    </xf>
    <xf numFmtId="3" fontId="22" fillId="33" borderId="11" xfId="0" applyNumberFormat="1" applyFont="1" applyFill="1" applyBorder="1" applyAlignment="1">
      <alignment horizontal="right" vertical="top" wrapText="1"/>
    </xf>
    <xf numFmtId="0" fontId="18" fillId="33" borderId="0" xfId="0" applyFont="1" applyFill="1" applyAlignment="1">
      <alignment vertical="top" wrapText="1"/>
    </xf>
    <xf numFmtId="0" fontId="0" fillId="33" borderId="0" xfId="0" applyFill="1" applyAlignment="1">
      <alignment vertical="top" wrapText="1"/>
    </xf>
    <xf numFmtId="0" fontId="19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0" xfId="0" applyFill="1" applyBorder="1" applyAlignment="1">
      <alignment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2" fillId="33" borderId="14" xfId="0" applyFont="1" applyFill="1" applyBorder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B29C-3DC2-40FC-8F5E-F60247C8B7C3}">
  <dimension ref="A1:U11"/>
  <sheetViews>
    <sheetView showGridLines="0" tabSelected="1" workbookViewId="0">
      <selection sqref="A1:U1"/>
    </sheetView>
  </sheetViews>
  <sheetFormatPr defaultRowHeight="15.6" x14ac:dyDescent="0.3"/>
  <cols>
    <col min="1" max="1" width="9.19921875" customWidth="1"/>
    <col min="2" max="3" width="9.09765625" customWidth="1"/>
    <col min="4" max="11" width="9.5" customWidth="1"/>
    <col min="12" max="12" width="12.19921875" customWidth="1"/>
    <col min="13" max="13" width="9.09765625" customWidth="1"/>
    <col min="14" max="14" width="9.5" customWidth="1"/>
    <col min="15" max="16" width="9.09765625" customWidth="1"/>
    <col min="17" max="17" width="9.5" customWidth="1"/>
    <col min="18" max="20" width="9.09765625" customWidth="1"/>
    <col min="21" max="21" width="11.796875" customWidth="1"/>
  </cols>
  <sheetData>
    <row r="1" spans="1:21" ht="13.8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3.0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ht="16.2" customHeight="1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3.0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3.65" customHeight="1" x14ac:dyDescent="0.3">
      <c r="A5" s="1"/>
      <c r="B5" s="1"/>
      <c r="C5" s="1"/>
      <c r="D5" s="13"/>
      <c r="E5" s="13"/>
      <c r="F5" s="13"/>
      <c r="G5" s="13"/>
      <c r="H5" s="13"/>
      <c r="I5" s="13"/>
      <c r="J5" s="13"/>
      <c r="K5" s="13"/>
      <c r="L5" s="13"/>
      <c r="M5" s="1"/>
      <c r="N5" s="1"/>
      <c r="O5" s="1"/>
      <c r="P5" s="1"/>
      <c r="Q5" s="1"/>
      <c r="R5" s="1"/>
      <c r="S5" s="1"/>
      <c r="T5" s="1"/>
      <c r="U5" s="1"/>
    </row>
    <row r="6" spans="1:21" ht="13.2" customHeight="1" x14ac:dyDescent="0.3">
      <c r="A6" s="2" t="s">
        <v>3</v>
      </c>
      <c r="B6" s="2" t="s">
        <v>4</v>
      </c>
      <c r="C6" s="2" t="s">
        <v>5</v>
      </c>
      <c r="D6" s="2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ht="13.05" customHeight="1" x14ac:dyDescent="0.3">
      <c r="A7" s="5" t="s">
        <v>24</v>
      </c>
      <c r="B7" s="5">
        <v>3188</v>
      </c>
      <c r="C7" s="6">
        <v>46295</v>
      </c>
      <c r="D7" s="5" t="str">
        <f>"000000"</f>
        <v>000000</v>
      </c>
      <c r="E7" s="5" t="str">
        <f>"000"</f>
        <v>000</v>
      </c>
      <c r="F7" s="5" t="str">
        <f>"51511110000"</f>
        <v>51511110000</v>
      </c>
      <c r="G7" s="5" t="str">
        <f>"0000"</f>
        <v>0000</v>
      </c>
      <c r="H7" s="5" t="str">
        <f>"0000"</f>
        <v>0000</v>
      </c>
      <c r="I7" s="5" t="str">
        <f>"999"</f>
        <v>999</v>
      </c>
      <c r="J7" s="5" t="str">
        <f>"000000"</f>
        <v>000000</v>
      </c>
      <c r="K7" s="5" t="str">
        <f t="shared" ref="K7:L10" si="0">"0000"</f>
        <v>0000</v>
      </c>
      <c r="L7" s="5" t="str">
        <f t="shared" si="0"/>
        <v>0000</v>
      </c>
      <c r="M7" s="5" t="s">
        <v>25</v>
      </c>
      <c r="N7" s="4"/>
      <c r="O7" s="7">
        <v>30437</v>
      </c>
      <c r="P7" s="4"/>
      <c r="Q7" s="7">
        <v>30437</v>
      </c>
      <c r="R7" s="5" t="s">
        <v>26</v>
      </c>
      <c r="S7" s="5" t="s">
        <v>27</v>
      </c>
      <c r="T7" s="5" t="s">
        <v>28</v>
      </c>
      <c r="U7" s="5" t="s">
        <v>28</v>
      </c>
    </row>
    <row r="8" spans="1:21" ht="13.05" customHeight="1" x14ac:dyDescent="0.3">
      <c r="A8" s="5" t="s">
        <v>24</v>
      </c>
      <c r="B8" s="5">
        <v>3103</v>
      </c>
      <c r="C8" s="6">
        <v>46295</v>
      </c>
      <c r="D8" s="5" t="str">
        <f>"000000"</f>
        <v>000000</v>
      </c>
      <c r="E8" s="5" t="str">
        <f>"000"</f>
        <v>000</v>
      </c>
      <c r="F8" s="5" t="str">
        <f>"51511110000"</f>
        <v>51511110000</v>
      </c>
      <c r="G8" s="5" t="str">
        <f>"0000"</f>
        <v>0000</v>
      </c>
      <c r="H8" s="5" t="str">
        <f>"0000"</f>
        <v>0000</v>
      </c>
      <c r="I8" s="5" t="str">
        <f>"999"</f>
        <v>999</v>
      </c>
      <c r="J8" s="5" t="str">
        <f>"000000"</f>
        <v>000000</v>
      </c>
      <c r="K8" s="5" t="str">
        <f t="shared" si="0"/>
        <v>0000</v>
      </c>
      <c r="L8" s="5" t="str">
        <f t="shared" si="0"/>
        <v>0000</v>
      </c>
      <c r="M8" s="5" t="s">
        <v>25</v>
      </c>
      <c r="N8" s="7">
        <v>30437</v>
      </c>
      <c r="O8" s="4"/>
      <c r="P8" s="7">
        <v>30437</v>
      </c>
      <c r="Q8" s="4"/>
      <c r="R8" s="5" t="s">
        <v>26</v>
      </c>
      <c r="S8" s="5" t="s">
        <v>27</v>
      </c>
      <c r="T8" s="5" t="s">
        <v>28</v>
      </c>
      <c r="U8" s="5" t="s">
        <v>28</v>
      </c>
    </row>
    <row r="9" spans="1:21" ht="13.05" customHeight="1" x14ac:dyDescent="0.3">
      <c r="A9" s="5" t="s">
        <v>24</v>
      </c>
      <c r="B9" s="5">
        <v>3181</v>
      </c>
      <c r="C9" s="6">
        <v>46295</v>
      </c>
      <c r="D9" s="5" t="str">
        <f>"000000"</f>
        <v>000000</v>
      </c>
      <c r="E9" s="5" t="str">
        <f>"000"</f>
        <v>000</v>
      </c>
      <c r="F9" s="5" t="str">
        <f>"51511110000"</f>
        <v>51511110000</v>
      </c>
      <c r="G9" s="5" t="str">
        <f>"1310"</f>
        <v>1310</v>
      </c>
      <c r="H9" s="5" t="str">
        <f>"0000"</f>
        <v>0000</v>
      </c>
      <c r="I9" s="5" t="str">
        <f>"000"</f>
        <v>000</v>
      </c>
      <c r="J9" s="5" t="str">
        <f>"000000"</f>
        <v>000000</v>
      </c>
      <c r="K9" s="5" t="str">
        <f t="shared" si="0"/>
        <v>0000</v>
      </c>
      <c r="L9" s="5" t="str">
        <f t="shared" si="0"/>
        <v>0000</v>
      </c>
      <c r="M9" s="5" t="s">
        <v>25</v>
      </c>
      <c r="N9" s="4"/>
      <c r="O9" s="7">
        <v>-30437</v>
      </c>
      <c r="P9" s="4"/>
      <c r="Q9" s="7">
        <v>-30437</v>
      </c>
      <c r="R9" s="5" t="s">
        <v>29</v>
      </c>
      <c r="S9" s="5" t="s">
        <v>27</v>
      </c>
      <c r="T9" s="5" t="s">
        <v>30</v>
      </c>
      <c r="U9" s="5" t="s">
        <v>28</v>
      </c>
    </row>
    <row r="10" spans="1:21" ht="13.05" customHeight="1" x14ac:dyDescent="0.3">
      <c r="A10" s="5" t="s">
        <v>31</v>
      </c>
      <c r="B10" s="5" t="s">
        <v>32</v>
      </c>
      <c r="C10" s="6">
        <v>46290</v>
      </c>
      <c r="D10" s="5" t="str">
        <f>"000000"</f>
        <v>000000</v>
      </c>
      <c r="E10" s="5" t="str">
        <f>"000"</f>
        <v>000</v>
      </c>
      <c r="F10" s="5" t="str">
        <f>"51511110000"</f>
        <v>51511110000</v>
      </c>
      <c r="G10" s="5" t="str">
        <f>"1310"</f>
        <v>1310</v>
      </c>
      <c r="H10" s="5" t="str">
        <f>"0000"</f>
        <v>0000</v>
      </c>
      <c r="I10" s="5" t="str">
        <f>"000"</f>
        <v>000</v>
      </c>
      <c r="J10" s="5" t="str">
        <f>"000000"</f>
        <v>000000</v>
      </c>
      <c r="K10" s="5" t="str">
        <f t="shared" si="0"/>
        <v>0000</v>
      </c>
      <c r="L10" s="5" t="str">
        <f t="shared" si="0"/>
        <v>0000</v>
      </c>
      <c r="M10" s="5" t="s">
        <v>25</v>
      </c>
      <c r="N10" s="4"/>
      <c r="O10" s="7">
        <v>30437</v>
      </c>
      <c r="P10" s="4"/>
      <c r="Q10" s="7">
        <v>30437</v>
      </c>
      <c r="R10" s="5" t="s">
        <v>33</v>
      </c>
      <c r="S10" s="5" t="s">
        <v>34</v>
      </c>
      <c r="T10" s="5" t="s">
        <v>30</v>
      </c>
      <c r="U10" s="5" t="s">
        <v>30</v>
      </c>
    </row>
    <row r="11" spans="1:21" ht="13.05" customHeight="1" x14ac:dyDescent="0.3">
      <c r="A11" s="14" t="s">
        <v>35</v>
      </c>
      <c r="B11" s="15"/>
      <c r="C11" s="15"/>
      <c r="D11" s="16"/>
      <c r="E11" s="4"/>
      <c r="F11" s="4"/>
      <c r="G11" s="4"/>
      <c r="H11" s="4"/>
      <c r="I11" s="4"/>
      <c r="J11" s="4"/>
      <c r="K11" s="4"/>
      <c r="L11" s="4"/>
      <c r="M11" s="4"/>
      <c r="N11" s="8">
        <v>30437</v>
      </c>
      <c r="O11" s="8">
        <v>30437</v>
      </c>
      <c r="P11" s="8">
        <v>30437</v>
      </c>
      <c r="Q11" s="8">
        <v>30437</v>
      </c>
      <c r="R11" s="4"/>
      <c r="S11" s="4"/>
      <c r="T11" s="4"/>
      <c r="U11" s="4"/>
    </row>
  </sheetData>
  <mergeCells count="6">
    <mergeCell ref="A1:U1"/>
    <mergeCell ref="A2:U2"/>
    <mergeCell ref="A3:U3"/>
    <mergeCell ref="A4:U4"/>
    <mergeCell ref="D5:L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EVN_GL_0903___Báo_cáo_đối_07102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2026-10-07T03:25:37Z</dcterms:created>
  <dcterms:modified xsi:type="dcterms:W3CDTF">2026-10-07T03:25:37Z</dcterms:modified>
</cp:coreProperties>
</file>