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500" firstSheet="1" activeTab="1"/>
  </bookViews>
  <sheets>
    <sheet name="Sheet1" sheetId="1" state="hidden" r:id="rId1"/>
    <sheet name="BC" sheetId="2" r:id="rId2"/>
    <sheet name="1,8-PH_GCS" sheetId="3" r:id="rId3"/>
    <sheet name="3,3-HDSS" sheetId="4" r:id="rId4"/>
  </sheets>
  <definedNames>
    <definedName name="_xlnm.Print_Area" localSheetId="1">BC!$A:$O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<sst xmlns="http://schemas.openxmlformats.org/spreadsheetml/2006/main" count="117" uniqueCount="71">
  <si>
    <t>TỔNG CÔNG TY ĐIỆN LỰC THÀNH PHỐ HỒ CHÍ MINH TNHH</t>
  </si>
  <si>
    <t>CÔNG TY ĐIỆN LỰC VŨNG TÀU</t>
  </si>
  <si>
    <t>BÁO CÁO TỔNG HỢP THEO NGÀY GHI CHỈ SỐ</t>
  </si>
  <si>
    <t>Tháng năm: 7/2025.Loại khách hàng: Tất cả.Loại hợp đồng: Tất cả</t>
  </si>
  <si>
    <t>STT</t>
  </si>
  <si>
    <t>Ngày ghi</t>
  </si>
  <si>
    <t>Số sổ GCS</t>
  </si>
  <si>
    <t>Số hóa đơn</t>
  </si>
  <si>
    <t>Ngày phát hành hóa đơn</t>
  </si>
  <si>
    <t>Điện năng tiêu thụ</t>
  </si>
  <si>
    <t>Tiền điện tác dụng</t>
  </si>
  <si>
    <t>Thuế điện tác dụng</t>
  </si>
  <si>
    <t>Tổng tiền điện tác dụng</t>
  </si>
  <si>
    <t>Tiền CSPK</t>
  </si>
  <si>
    <t>Thuế CSPK</t>
  </si>
  <si>
    <t>Tổng tiền CSPK</t>
  </si>
  <si>
    <t>Tổng cộng</t>
  </si>
  <si>
    <t>SH</t>
  </si>
  <si>
    <t>Ngoài SH</t>
  </si>
  <si>
    <t>Tổng</t>
  </si>
  <si>
    <t>Loại hoá đơn : Phát sinh</t>
  </si>
  <si>
    <t>10/07/2025</t>
  </si>
  <si>
    <t>15/07/2025</t>
  </si>
  <si>
    <t>20/07/2025</t>
  </si>
  <si>
    <t>31/07/2025</t>
  </si>
  <si>
    <t>Tổng số:</t>
  </si>
  <si>
    <t>Loại hoá đơn : Thoái hoàn</t>
  </si>
  <si>
    <t>Loại hoá đơn : Truy thu</t>
  </si>
  <si>
    <t>NV LẬP BIỂU</t>
  </si>
  <si>
    <t>Tổ trưởng Tổ KTKT</t>
  </si>
  <si>
    <t>TP Kinh doanh</t>
  </si>
  <si>
    <t>Hoàng Mỹ Duyên</t>
  </si>
  <si>
    <t>Huỳnh Thanh Liêm</t>
  </si>
  <si>
    <t>Lê Xuân Tuấn Tú</t>
  </si>
  <si>
    <t>BÁO CÁO TỔNG HỢP THEO NGÀY GHI CHỈ SỐ VÀ PHÁT HÀNH HÓA ĐƠN</t>
  </si>
  <si>
    <t>Tháng năm: 06/2026</t>
  </si>
  <si>
    <t>Stt</t>
  </si>
  <si>
    <t>Loại hoá đơn : Hủy bỏ</t>
  </si>
  <si>
    <t>Tổng số</t>
  </si>
  <si>
    <t>Loại hoá đơn : Lặp lại</t>
  </si>
  <si>
    <t>Vủng Tàu, ngày 03 tháng 07 năm 2026</t>
  </si>
  <si>
    <t>LẬP BIỂU</t>
  </si>
  <si>
    <t>ĐỘI QUẢN LÝ THU GHI</t>
  </si>
  <si>
    <t>KT GIÁM ĐỐC</t>
  </si>
  <si>
    <t>PHÓ GIÁM ĐỐC</t>
  </si>
  <si>
    <t>Phạm Quốc Việt</t>
  </si>
  <si>
    <t>Nguyễn Xuân Quang</t>
  </si>
  <si>
    <t>Đặng Quang Trung</t>
  </si>
  <si>
    <t>LOAI_PSINH</t>
  </si>
  <si>
    <t>SO_SOGCS</t>
  </si>
  <si>
    <t>NGAY_GCS</t>
  </si>
  <si>
    <t>SO_HDON</t>
  </si>
  <si>
    <t>DIEN_TTHU</t>
  </si>
  <si>
    <t>DIEN_TTHU_SH</t>
  </si>
  <si>
    <t>DIEN_TTHU_NSH</t>
  </si>
  <si>
    <t>SO_TIEN_HC</t>
  </si>
  <si>
    <t>TIEN_GTGT_HC</t>
  </si>
  <si>
    <t>TONG_TIEN_HC</t>
  </si>
  <si>
    <t>SO_TIEN_VC</t>
  </si>
  <si>
    <t>TIEN_GTGT_VC</t>
  </si>
  <si>
    <t>TONG_TIEN_VC</t>
  </si>
  <si>
    <t>TONG_TIEN</t>
  </si>
  <si>
    <t>Huy bo</t>
  </si>
  <si>
    <t>10/06/2026</t>
  </si>
  <si>
    <t>30/06/2026</t>
  </si>
  <si>
    <t>Lap lai</t>
  </si>
  <si>
    <t>Phat sinh</t>
  </si>
  <si>
    <t>15/06/2026</t>
  </si>
  <si>
    <t>20/06/2026</t>
  </si>
  <si>
    <t>Thoai hoan</t>
  </si>
  <si>
    <t>Truy thu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</si>
</sst>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\ _₫_-;\-* #,##0\ _₫_-;_-* &quot;-&quot;\ _₫_-;_-@_-"/>
    <numFmt numFmtId="176" formatCode="_-* #,##0.00\ &quot;₫&quot;_-;\-* #,##0.00\ &quot;₫&quot;_-;_-* &quot;-&quot;??\ &quot;₫&quot;_-;_-@_-"/>
    <numFmt numFmtId="177" formatCode="_-* #,##0\ &quot;₫&quot;_-;\-* #,##0\ &quot;₫&quot;_-;_-* &quot;-&quot;\ &quot;₫&quot;_-;_-@_-"/>
    <numFmt numFmtId="178" formatCode="#,##0;#,##0"/>
  </numFmts>
  <fonts count="31">
    <font>
      <sz val="10"/>
      <color indexed="8"/>
      <name val="Arial"/>
      <charset val="134"/>
    </font>
    <font>
      <sz val="12"/>
      <color theme="1"/>
      <name val="Calibri"/>
      <charset val="134"/>
      <scheme val="minor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15"/>
      <color indexed="8"/>
      <name val="Times New Roman"/>
      <charset val="134"/>
    </font>
    <font>
      <sz val="15"/>
      <color indexed="8"/>
      <name val="Times New Roman"/>
      <charset val="134"/>
    </font>
    <font>
      <sz val="11"/>
      <color rgb="FFFF0000"/>
      <name val="Times New Roman"/>
      <charset val="134"/>
    </font>
    <font>
      <b/>
      <sz val="11"/>
      <color rgb="FFFF0000"/>
      <name val="Times New Roman"/>
      <charset val="134"/>
    </font>
    <font>
      <i/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12"/>
      <color indexed="8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</xf>
    <xf numFmtId="0" fontId="0" fillId="0" borderId="0" applyNumberFormat="0" applyFill="0" applyBorder="0" applyAlignment="0" applyProtection="0">
      <alignment vertical="top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177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0" applyNumberFormat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4" borderId="10" applyNumberFormat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79">
    <xf numFmtId="0" fontId="0" fillId="0" borderId="0" xfId="0" applyFont="1">
      <alignment vertical="top"/>
    </xf>
    <xf numFmtId="0" fontId="1" fillId="0" borderId="0" xfId="0" applyNumberFormat="1" applyFont="1" applyFill="1" applyAlignment="1"/>
    <xf numFmtId="3" fontId="2" fillId="0" borderId="0" xfId="1" applyNumberFormat="1" applyFont="1">
      <alignment vertical="top"/>
    </xf>
    <xf numFmtId="3" fontId="3" fillId="0" borderId="0" xfId="1" applyNumberFormat="1" applyFo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>
      <alignment vertical="top"/>
    </xf>
    <xf numFmtId="3" fontId="2" fillId="0" borderId="0" xfId="1" applyNumberFormat="1" applyFont="1" applyAlignment="1">
      <alignment horizontal="right" vertical="top"/>
    </xf>
    <xf numFmtId="3" fontId="2" fillId="0" borderId="0" xfId="0" applyNumberFormat="1" applyFont="1">
      <alignment vertical="top"/>
    </xf>
    <xf numFmtId="0" fontId="2" fillId="0" borderId="0" xfId="0" applyFont="1" applyAlignment="1">
      <alignment vertical="top"/>
    </xf>
    <xf numFmtId="3" fontId="2" fillId="0" borderId="0" xfId="1" applyNumberFormat="1" applyFont="1" applyAlignment="1">
      <alignment vertical="top"/>
    </xf>
    <xf numFmtId="3" fontId="2" fillId="0" borderId="0" xfId="0" applyNumberFormat="1" applyFont="1" applyAlignment="1">
      <alignment vertical="top"/>
    </xf>
    <xf numFmtId="3" fontId="2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/>
    </xf>
    <xf numFmtId="3" fontId="2" fillId="0" borderId="0" xfId="1" applyNumberFormat="1" applyFont="1" applyAlignment="1">
      <alignment horizontal="center" vertical="top"/>
    </xf>
    <xf numFmtId="3" fontId="2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3" xfId="1" applyNumberFormat="1" applyFont="1" applyBorder="1" applyAlignment="1">
      <alignment horizontal="center" vertical="center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3" fontId="2" fillId="0" borderId="2" xfId="1" applyNumberFormat="1" applyFont="1" applyBorder="1">
      <alignment vertical="top"/>
    </xf>
    <xf numFmtId="3" fontId="2" fillId="0" borderId="2" xfId="1" applyNumberFormat="1" applyFont="1" applyFill="1" applyBorder="1" applyAlignment="1">
      <alignment horizontal="right" vertical="top"/>
    </xf>
    <xf numFmtId="0" fontId="2" fillId="0" borderId="2" xfId="0" applyFont="1" applyBorder="1">
      <alignment vertical="top"/>
    </xf>
    <xf numFmtId="3" fontId="2" fillId="0" borderId="2" xfId="0" applyNumberFormat="1" applyFont="1" applyBorder="1">
      <alignment vertical="top"/>
    </xf>
    <xf numFmtId="178" fontId="2" fillId="0" borderId="2" xfId="0" applyNumberFormat="1" applyFont="1" applyBorder="1" applyAlignment="1">
      <alignment horizontal="center" vertical="top"/>
    </xf>
    <xf numFmtId="58" fontId="2" fillId="0" borderId="2" xfId="0" applyNumberFormat="1" applyFont="1" applyBorder="1">
      <alignment vertical="top"/>
    </xf>
    <xf numFmtId="58" fontId="6" fillId="0" borderId="2" xfId="1" applyNumberFormat="1" applyFont="1" applyFill="1" applyBorder="1" applyAlignment="1">
      <alignment horizontal="right" vertical="top"/>
    </xf>
    <xf numFmtId="1" fontId="2" fillId="0" borderId="2" xfId="1" applyNumberFormat="1" applyFont="1" applyBorder="1">
      <alignment vertical="top"/>
    </xf>
    <xf numFmtId="178" fontId="2" fillId="0" borderId="4" xfId="0" applyNumberFormat="1" applyFont="1" applyBorder="1" applyAlignment="1">
      <alignment horizontal="center" vertical="top"/>
    </xf>
    <xf numFmtId="58" fontId="3" fillId="0" borderId="4" xfId="0" applyNumberFormat="1" applyFont="1" applyBorder="1" applyAlignment="1">
      <alignment horizontal="center" vertical="top"/>
    </xf>
    <xf numFmtId="58" fontId="3" fillId="0" borderId="5" xfId="0" applyNumberFormat="1" applyFont="1" applyBorder="1" applyAlignment="1">
      <alignment horizontal="center" vertical="top"/>
    </xf>
    <xf numFmtId="3" fontId="3" fillId="0" borderId="6" xfId="1" applyNumberFormat="1" applyFont="1" applyBorder="1">
      <alignment vertical="top"/>
    </xf>
    <xf numFmtId="3" fontId="6" fillId="0" borderId="2" xfId="1" applyNumberFormat="1" applyFont="1" applyFill="1" applyBorder="1" applyAlignment="1">
      <alignment horizontal="right" vertical="top"/>
    </xf>
    <xf numFmtId="3" fontId="2" fillId="0" borderId="2" xfId="1" applyNumberFormat="1" applyFont="1" applyBorder="1" applyAlignment="1">
      <alignment horizontal="center" vertical="top"/>
    </xf>
    <xf numFmtId="3" fontId="3" fillId="0" borderId="2" xfId="1" applyNumberFormat="1" applyFont="1" applyBorder="1" applyAlignment="1">
      <alignment horizontal="center" vertical="top"/>
    </xf>
    <xf numFmtId="3" fontId="3" fillId="0" borderId="2" xfId="1" applyNumberFormat="1" applyFont="1" applyBorder="1">
      <alignment vertical="top"/>
    </xf>
    <xf numFmtId="3" fontId="7" fillId="0" borderId="2" xfId="1" applyNumberFormat="1" applyFont="1" applyFill="1" applyBorder="1" applyAlignment="1">
      <alignment horizontal="right"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3" fontId="3" fillId="0" borderId="2" xfId="1" applyNumberFormat="1" applyFont="1" applyFill="1" applyBorder="1" applyAlignment="1">
      <alignment horizontal="right" vertical="top"/>
    </xf>
    <xf numFmtId="3" fontId="3" fillId="0" borderId="0" xfId="1" applyNumberFormat="1" applyFont="1" applyBorder="1">
      <alignment vertical="top"/>
    </xf>
    <xf numFmtId="0" fontId="8" fillId="0" borderId="0" xfId="0" applyFont="1" applyAlignment="1">
      <alignment horizontal="center" vertical="top"/>
    </xf>
    <xf numFmtId="3" fontId="3" fillId="0" borderId="0" xfId="1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>
      <alignment vertical="top"/>
    </xf>
    <xf numFmtId="0" fontId="9" fillId="0" borderId="2" xfId="0" applyFont="1" applyBorder="1">
      <alignment vertical="top"/>
    </xf>
    <xf numFmtId="0" fontId="9" fillId="0" borderId="0" xfId="0" applyFont="1">
      <alignment vertical="top"/>
    </xf>
    <xf numFmtId="178" fontId="9" fillId="0" borderId="2" xfId="0" applyNumberFormat="1" applyFont="1" applyBorder="1">
      <alignment vertical="top"/>
    </xf>
    <xf numFmtId="1" fontId="9" fillId="0" borderId="2" xfId="0" applyNumberFormat="1" applyFont="1" applyBorder="1">
      <alignment vertical="top"/>
    </xf>
    <xf numFmtId="58" fontId="9" fillId="0" borderId="2" xfId="0" applyNumberFormat="1" applyFont="1" applyBorder="1">
      <alignment vertical="top"/>
    </xf>
    <xf numFmtId="3" fontId="9" fillId="0" borderId="2" xfId="0" applyNumberFormat="1" applyFont="1" applyBorder="1">
      <alignment vertical="top"/>
    </xf>
    <xf numFmtId="0" fontId="9" fillId="0" borderId="2" xfId="0" applyFont="1" applyBorder="1" applyAlignment="1">
      <alignment horizontal="center" vertical="top"/>
    </xf>
    <xf numFmtId="3" fontId="9" fillId="0" borderId="0" xfId="0" applyNumberFormat="1" applyFont="1">
      <alignment vertical="top"/>
    </xf>
    <xf numFmtId="0" fontId="10" fillId="0" borderId="2" xfId="0" applyFont="1" applyBorder="1" applyAlignment="1">
      <alignment horizontal="center" vertical="top"/>
    </xf>
    <xf numFmtId="1" fontId="10" fillId="0" borderId="2" xfId="0" applyNumberFormat="1" applyFont="1" applyBorder="1">
      <alignment vertical="top"/>
    </xf>
    <xf numFmtId="3" fontId="10" fillId="0" borderId="2" xfId="0" applyNumberFormat="1" applyFont="1" applyBorder="1">
      <alignment vertical="top"/>
    </xf>
    <xf numFmtId="1" fontId="9" fillId="0" borderId="0" xfId="0" applyNumberFormat="1" applyFont="1">
      <alignment vertical="top"/>
    </xf>
    <xf numFmtId="0" fontId="10" fillId="0" borderId="0" xfId="0" applyFont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Q34"/>
  <sheetViews>
    <sheetView showOutlineSymbols="0" topLeftCell="A2" workbookViewId="0">
      <selection activeCell="H26" sqref="H26"/>
    </sheetView>
  </sheetViews>
  <sheetFormatPr defaultColWidth="6.85714285714286" defaultRowHeight="12.75" customHeight="1"/>
  <cols>
    <col min="1" max="1" width="9.28571428571429" customWidth="1"/>
    <col min="2" max="2" width="12.4285714285714" customWidth="1"/>
    <col min="3" max="3" width="11.2857142857143" customWidth="1"/>
    <col min="4" max="5" width="11.5714285714286" customWidth="1"/>
    <col min="6" max="6" width="12.8571428571429" customWidth="1"/>
    <col min="7" max="7" width="14" customWidth="1"/>
    <col min="8" max="8" width="12.4285714285714" customWidth="1"/>
    <col min="9" max="9" width="18.7142857142857" customWidth="1"/>
    <col min="10" max="10" width="18.4285714285714" customWidth="1"/>
    <col min="11" max="11" width="23.5714285714286" customWidth="1"/>
    <col min="12" max="13" width="12.4285714285714" customWidth="1"/>
    <col min="14" max="15" width="18.4285714285714" customWidth="1"/>
  </cols>
  <sheetData>
    <row r="1" customHeight="1" spans="1:17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customHeight="1" spans="1:17">
      <c r="A2" s="55"/>
      <c r="B2" s="56" t="s">
        <v>0</v>
      </c>
      <c r="C2" s="56"/>
      <c r="D2" s="56"/>
      <c r="E2" s="56"/>
      <c r="F2" s="56"/>
      <c r="G2" s="56"/>
      <c r="H2" s="56"/>
      <c r="I2" s="56"/>
      <c r="J2" s="55"/>
      <c r="K2" s="55"/>
      <c r="L2" s="55"/>
      <c r="M2" s="55"/>
      <c r="N2" s="55"/>
      <c r="O2" s="55"/>
      <c r="P2" s="55"/>
      <c r="Q2" s="55"/>
    </row>
    <row r="3" customHeight="1" spans="1:17">
      <c r="A3" s="55"/>
      <c r="B3" s="57" t="s">
        <v>1</v>
      </c>
      <c r="C3" s="57"/>
      <c r="D3" s="57"/>
      <c r="E3" s="57"/>
      <c r="F3" s="57"/>
      <c r="G3" s="57"/>
      <c r="H3" s="57"/>
      <c r="I3" s="57"/>
      <c r="J3" s="55"/>
      <c r="K3" s="55"/>
      <c r="L3" s="55"/>
      <c r="M3" s="55"/>
      <c r="N3" s="55"/>
      <c r="O3" s="55"/>
      <c r="P3" s="55"/>
      <c r="Q3" s="55"/>
    </row>
    <row r="4" customHeight="1" spans="1:17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</row>
    <row r="5" ht="15.75" spans="1:17">
      <c r="A5" s="55"/>
      <c r="B5" s="58" t="s">
        <v>2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</row>
    <row r="6" ht="15.75" spans="1:17">
      <c r="A6" s="55"/>
      <c r="B6" s="59" t="s">
        <v>3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</row>
    <row r="7" ht="15.75" spans="1:17">
      <c r="A7" s="55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</row>
    <row r="8" ht="15.75" spans="1:17">
      <c r="A8" s="55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</row>
    <row r="9" ht="15.75" spans="1:17">
      <c r="A9" s="60" t="s">
        <v>4</v>
      </c>
      <c r="B9" s="60" t="s">
        <v>5</v>
      </c>
      <c r="C9" s="60" t="s">
        <v>6</v>
      </c>
      <c r="D9" s="60" t="s">
        <v>7</v>
      </c>
      <c r="E9" s="61" t="s">
        <v>8</v>
      </c>
      <c r="F9" s="62" t="s">
        <v>9</v>
      </c>
      <c r="G9" s="62"/>
      <c r="H9" s="62"/>
      <c r="I9" s="60" t="s">
        <v>10</v>
      </c>
      <c r="J9" s="60" t="s">
        <v>11</v>
      </c>
      <c r="K9" s="60" t="s">
        <v>12</v>
      </c>
      <c r="L9" s="60" t="s">
        <v>13</v>
      </c>
      <c r="M9" s="60" t="s">
        <v>14</v>
      </c>
      <c r="N9" s="60" t="s">
        <v>15</v>
      </c>
      <c r="O9" s="60" t="s">
        <v>16</v>
      </c>
      <c r="P9" s="59"/>
      <c r="Q9" s="59"/>
    </row>
    <row r="10" ht="15.75" spans="1:17">
      <c r="A10" s="63"/>
      <c r="B10" s="63"/>
      <c r="C10" s="63"/>
      <c r="D10" s="63"/>
      <c r="E10" s="64"/>
      <c r="F10" s="62" t="s">
        <v>17</v>
      </c>
      <c r="G10" s="62" t="s">
        <v>18</v>
      </c>
      <c r="H10" s="62" t="s">
        <v>19</v>
      </c>
      <c r="I10" s="63"/>
      <c r="J10" s="63"/>
      <c r="K10" s="63"/>
      <c r="L10" s="63"/>
      <c r="M10" s="63"/>
      <c r="N10" s="63"/>
      <c r="O10" s="63"/>
      <c r="P10" s="59"/>
      <c r="Q10" s="59"/>
    </row>
    <row r="11" ht="15.75" spans="1:17">
      <c r="A11" s="65" t="s">
        <v>20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7"/>
      <c r="Q11" s="67"/>
    </row>
    <row r="12" ht="15.75" spans="1:17">
      <c r="A12" s="68">
        <v>1</v>
      </c>
      <c r="B12" s="66" t="s">
        <v>21</v>
      </c>
      <c r="C12" s="69">
        <v>11</v>
      </c>
      <c r="D12" s="69">
        <v>370</v>
      </c>
      <c r="E12" s="70"/>
      <c r="F12" s="71">
        <v>1721</v>
      </c>
      <c r="G12" s="71">
        <v>144453493</v>
      </c>
      <c r="H12" s="71">
        <v>144455214</v>
      </c>
      <c r="I12" s="71">
        <v>276825212202</v>
      </c>
      <c r="J12" s="71">
        <v>22139748798</v>
      </c>
      <c r="K12" s="71">
        <v>298964961000</v>
      </c>
      <c r="L12" s="71">
        <v>58230767</v>
      </c>
      <c r="M12" s="71">
        <v>4658459</v>
      </c>
      <c r="N12" s="71">
        <v>62889226</v>
      </c>
      <c r="O12" s="71">
        <v>299027850226</v>
      </c>
      <c r="P12" s="67"/>
      <c r="Q12" s="67"/>
    </row>
    <row r="13" ht="15.75" spans="1:17">
      <c r="A13" s="68">
        <v>2</v>
      </c>
      <c r="B13" s="66" t="s">
        <v>22</v>
      </c>
      <c r="C13" s="69">
        <v>6</v>
      </c>
      <c r="D13" s="69">
        <v>110</v>
      </c>
      <c r="E13" s="69"/>
      <c r="F13" s="71">
        <v>9397</v>
      </c>
      <c r="G13" s="71">
        <v>3957595</v>
      </c>
      <c r="H13" s="71">
        <v>3966992</v>
      </c>
      <c r="I13" s="71">
        <v>9197290753</v>
      </c>
      <c r="J13" s="71">
        <v>735783264</v>
      </c>
      <c r="K13" s="71">
        <v>9933074017</v>
      </c>
      <c r="L13" s="71">
        <v>124315758</v>
      </c>
      <c r="M13" s="71">
        <v>9945261</v>
      </c>
      <c r="N13" s="71">
        <v>134261019</v>
      </c>
      <c r="O13" s="71">
        <v>10067335036</v>
      </c>
      <c r="P13" s="67"/>
      <c r="Q13" s="67"/>
    </row>
    <row r="14" ht="15.75" spans="1:17">
      <c r="A14" s="68">
        <v>3</v>
      </c>
      <c r="B14" s="66" t="s">
        <v>23</v>
      </c>
      <c r="C14" s="69">
        <v>11</v>
      </c>
      <c r="D14" s="69">
        <v>376</v>
      </c>
      <c r="E14" s="69"/>
      <c r="F14" s="71">
        <v>1783</v>
      </c>
      <c r="G14" s="71">
        <v>161438677</v>
      </c>
      <c r="H14" s="71">
        <v>161440460</v>
      </c>
      <c r="I14" s="71">
        <v>303878864231</v>
      </c>
      <c r="J14" s="71">
        <v>24304437120</v>
      </c>
      <c r="K14" s="71">
        <v>328183301351</v>
      </c>
      <c r="L14" s="71">
        <v>50250253</v>
      </c>
      <c r="M14" s="71">
        <v>4020022</v>
      </c>
      <c r="N14" s="71">
        <v>54270275</v>
      </c>
      <c r="O14" s="71">
        <v>328237571626</v>
      </c>
      <c r="P14" s="67"/>
      <c r="Q14" s="67"/>
    </row>
    <row r="15" ht="15.75" spans="1:17">
      <c r="A15" s="68">
        <v>4</v>
      </c>
      <c r="B15" s="66" t="s">
        <v>24</v>
      </c>
      <c r="C15" s="69">
        <v>2003</v>
      </c>
      <c r="D15" s="69">
        <v>233057</v>
      </c>
      <c r="E15" s="69"/>
      <c r="F15" s="71">
        <v>77731741</v>
      </c>
      <c r="G15" s="71">
        <v>218505264</v>
      </c>
      <c r="H15" s="71">
        <v>296237005</v>
      </c>
      <c r="I15" s="71">
        <v>674020164992</v>
      </c>
      <c r="J15" s="71">
        <v>53914593286</v>
      </c>
      <c r="K15" s="71">
        <v>727934758278</v>
      </c>
      <c r="L15" s="71">
        <v>490526540</v>
      </c>
      <c r="M15" s="71">
        <v>39242120</v>
      </c>
      <c r="N15" s="71">
        <v>529768660</v>
      </c>
      <c r="O15" s="71">
        <v>728464526938</v>
      </c>
      <c r="P15" s="67"/>
      <c r="Q15" s="67"/>
    </row>
    <row r="16" ht="15.75" spans="1:17">
      <c r="A16" s="72" t="s">
        <v>25</v>
      </c>
      <c r="B16" s="72"/>
      <c r="C16" s="69">
        <f>SUM(C12:C15)</f>
        <v>2031</v>
      </c>
      <c r="D16" s="69">
        <f>SUM(D12:D15)</f>
        <v>233913</v>
      </c>
      <c r="E16" s="69"/>
      <c r="F16" s="71">
        <f t="shared" ref="F16:O16" si="0">SUM(F12:F15)</f>
        <v>77744642</v>
      </c>
      <c r="G16" s="71">
        <f t="shared" si="0"/>
        <v>528355029</v>
      </c>
      <c r="H16" s="71">
        <f t="shared" si="0"/>
        <v>606099671</v>
      </c>
      <c r="I16" s="71">
        <f t="shared" si="0"/>
        <v>1263921532178</v>
      </c>
      <c r="J16" s="71">
        <f t="shared" si="0"/>
        <v>101094562468</v>
      </c>
      <c r="K16" s="71">
        <f t="shared" si="0"/>
        <v>1365016094646</v>
      </c>
      <c r="L16" s="71">
        <f t="shared" si="0"/>
        <v>723323318</v>
      </c>
      <c r="M16" s="71">
        <f t="shared" si="0"/>
        <v>57865862</v>
      </c>
      <c r="N16" s="71">
        <f t="shared" si="0"/>
        <v>781189180</v>
      </c>
      <c r="O16" s="71">
        <f t="shared" si="0"/>
        <v>1365797283826</v>
      </c>
      <c r="P16" s="67"/>
      <c r="Q16" s="67"/>
    </row>
    <row r="17" ht="15.75" spans="1:17">
      <c r="A17" s="65" t="s">
        <v>26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7"/>
      <c r="Q17" s="67"/>
    </row>
    <row r="18" ht="15.75" spans="1:17">
      <c r="A18" s="68">
        <v>5</v>
      </c>
      <c r="B18" s="66" t="s">
        <v>22</v>
      </c>
      <c r="C18" s="69">
        <v>1</v>
      </c>
      <c r="D18" s="69">
        <v>2</v>
      </c>
      <c r="E18" s="69"/>
      <c r="F18" s="71">
        <v>0</v>
      </c>
      <c r="G18" s="71">
        <v>-26126</v>
      </c>
      <c r="H18" s="71">
        <v>-26126</v>
      </c>
      <c r="I18" s="71">
        <v>-53458751</v>
      </c>
      <c r="J18" s="71">
        <v>-4276700</v>
      </c>
      <c r="K18" s="71">
        <v>-57735451</v>
      </c>
      <c r="L18" s="71">
        <v>0</v>
      </c>
      <c r="M18" s="71">
        <v>0</v>
      </c>
      <c r="N18" s="71">
        <v>0</v>
      </c>
      <c r="O18" s="71">
        <v>-57735451</v>
      </c>
      <c r="P18" s="67"/>
      <c r="Q18" s="67"/>
    </row>
    <row r="19" ht="15.75" spans="1:17">
      <c r="A19" s="68">
        <v>6</v>
      </c>
      <c r="B19" s="66" t="s">
        <v>24</v>
      </c>
      <c r="C19" s="69">
        <v>55</v>
      </c>
      <c r="D19" s="69">
        <v>68</v>
      </c>
      <c r="E19" s="69"/>
      <c r="F19" s="71">
        <v>-48870</v>
      </c>
      <c r="G19" s="71">
        <v>-1130817</v>
      </c>
      <c r="H19" s="71">
        <v>-1179687</v>
      </c>
      <c r="I19" s="71">
        <v>-484796981</v>
      </c>
      <c r="J19" s="71">
        <v>-38783757</v>
      </c>
      <c r="K19" s="71">
        <v>-523580738</v>
      </c>
      <c r="L19" s="71">
        <v>-735643</v>
      </c>
      <c r="M19" s="71">
        <v>-58851</v>
      </c>
      <c r="N19" s="71">
        <v>-794494</v>
      </c>
      <c r="O19" s="71">
        <v>-524375232</v>
      </c>
      <c r="P19" s="67"/>
      <c r="Q19" s="67"/>
    </row>
    <row r="20" ht="15.75" spans="1:17">
      <c r="A20" s="72" t="s">
        <v>25</v>
      </c>
      <c r="B20" s="72"/>
      <c r="C20" s="69">
        <f>SUM(C18:C19)</f>
        <v>56</v>
      </c>
      <c r="D20" s="69">
        <f>SUM(D18:D19)</f>
        <v>70</v>
      </c>
      <c r="E20" s="69"/>
      <c r="F20" s="71">
        <f t="shared" ref="F20:O20" si="1">SUM(F18:F19)</f>
        <v>-48870</v>
      </c>
      <c r="G20" s="71">
        <f t="shared" si="1"/>
        <v>-1156943</v>
      </c>
      <c r="H20" s="71">
        <f t="shared" si="1"/>
        <v>-1205813</v>
      </c>
      <c r="I20" s="71">
        <f t="shared" si="1"/>
        <v>-538255732</v>
      </c>
      <c r="J20" s="71">
        <f t="shared" si="1"/>
        <v>-43060457</v>
      </c>
      <c r="K20" s="71">
        <f t="shared" si="1"/>
        <v>-581316189</v>
      </c>
      <c r="L20" s="71">
        <f t="shared" si="1"/>
        <v>-735643</v>
      </c>
      <c r="M20" s="71">
        <f t="shared" si="1"/>
        <v>-58851</v>
      </c>
      <c r="N20" s="71">
        <f t="shared" si="1"/>
        <v>-794494</v>
      </c>
      <c r="O20" s="71">
        <f t="shared" si="1"/>
        <v>-582110683</v>
      </c>
      <c r="P20" s="67"/>
      <c r="Q20" s="67"/>
    </row>
    <row r="21" ht="15.75" spans="1:17">
      <c r="A21" s="65" t="s">
        <v>27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7"/>
      <c r="Q21" s="67"/>
    </row>
    <row r="22" ht="15.75" spans="1:17">
      <c r="A22" s="68">
        <v>7</v>
      </c>
      <c r="B22" s="66" t="s">
        <v>21</v>
      </c>
      <c r="C22" s="69">
        <v>2</v>
      </c>
      <c r="D22" s="69">
        <v>2</v>
      </c>
      <c r="E22" s="69"/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67"/>
      <c r="Q22" s="67"/>
    </row>
    <row r="23" ht="15.75" spans="1:17">
      <c r="A23" s="68">
        <v>8</v>
      </c>
      <c r="B23" s="66" t="s">
        <v>22</v>
      </c>
      <c r="C23" s="69">
        <v>1</v>
      </c>
      <c r="D23" s="69">
        <v>2</v>
      </c>
      <c r="E23" s="69"/>
      <c r="F23" s="71">
        <v>0</v>
      </c>
      <c r="G23" s="71">
        <v>26126</v>
      </c>
      <c r="H23" s="71">
        <v>26126</v>
      </c>
      <c r="I23" s="71">
        <v>53458751</v>
      </c>
      <c r="J23" s="71">
        <v>4276700</v>
      </c>
      <c r="K23" s="71">
        <v>57735451</v>
      </c>
      <c r="L23" s="71">
        <v>0</v>
      </c>
      <c r="M23" s="71">
        <v>0</v>
      </c>
      <c r="N23" s="71">
        <v>0</v>
      </c>
      <c r="O23" s="71">
        <v>57735451</v>
      </c>
      <c r="P23" s="73"/>
      <c r="Q23" s="67"/>
    </row>
    <row r="24" ht="15.75" spans="1:17">
      <c r="A24" s="68">
        <v>9</v>
      </c>
      <c r="B24" s="66" t="s">
        <v>24</v>
      </c>
      <c r="C24" s="69">
        <v>89</v>
      </c>
      <c r="D24" s="69">
        <v>113</v>
      </c>
      <c r="E24" s="69"/>
      <c r="F24" s="71">
        <v>55456</v>
      </c>
      <c r="G24" s="71">
        <v>1102029</v>
      </c>
      <c r="H24" s="71">
        <v>1157485</v>
      </c>
      <c r="I24" s="71">
        <v>417369892</v>
      </c>
      <c r="J24" s="71">
        <v>33389590</v>
      </c>
      <c r="K24" s="71">
        <v>450759482</v>
      </c>
      <c r="L24" s="71">
        <v>735643</v>
      </c>
      <c r="M24" s="71">
        <v>58851</v>
      </c>
      <c r="N24" s="71">
        <v>794494</v>
      </c>
      <c r="O24" s="71">
        <v>451553976</v>
      </c>
      <c r="P24" s="67"/>
      <c r="Q24" s="67"/>
    </row>
    <row r="25" ht="15.75" spans="1:17">
      <c r="A25" s="72" t="s">
        <v>25</v>
      </c>
      <c r="B25" s="72"/>
      <c r="C25" s="69">
        <f>SUM(C22:C24)</f>
        <v>92</v>
      </c>
      <c r="D25" s="69">
        <f>SUM(D22:D24)</f>
        <v>117</v>
      </c>
      <c r="E25" s="69"/>
      <c r="F25" s="71">
        <f t="shared" ref="F25:O25" si="2">SUM(F22:F24)</f>
        <v>55456</v>
      </c>
      <c r="G25" s="71">
        <f t="shared" si="2"/>
        <v>1128155</v>
      </c>
      <c r="H25" s="71">
        <f t="shared" si="2"/>
        <v>1183611</v>
      </c>
      <c r="I25" s="71">
        <f t="shared" si="2"/>
        <v>470828643</v>
      </c>
      <c r="J25" s="71">
        <f t="shared" si="2"/>
        <v>37666290</v>
      </c>
      <c r="K25" s="71">
        <f t="shared" si="2"/>
        <v>508494933</v>
      </c>
      <c r="L25" s="71">
        <f t="shared" si="2"/>
        <v>735643</v>
      </c>
      <c r="M25" s="71">
        <f t="shared" si="2"/>
        <v>58851</v>
      </c>
      <c r="N25" s="71">
        <f t="shared" si="2"/>
        <v>794494</v>
      </c>
      <c r="O25" s="71">
        <f t="shared" si="2"/>
        <v>509289427</v>
      </c>
      <c r="P25" s="67"/>
      <c r="Q25" s="67"/>
    </row>
    <row r="26" ht="15.75" spans="1:17">
      <c r="A26" s="74" t="s">
        <v>25</v>
      </c>
      <c r="B26" s="74"/>
      <c r="C26" s="75">
        <v>2179</v>
      </c>
      <c r="D26" s="75">
        <v>234100</v>
      </c>
      <c r="E26" s="75"/>
      <c r="F26" s="76">
        <v>77751228</v>
      </c>
      <c r="G26" s="76">
        <v>528326241</v>
      </c>
      <c r="H26" s="76">
        <v>606077469</v>
      </c>
      <c r="I26" s="76">
        <v>1263854105089</v>
      </c>
      <c r="J26" s="76">
        <v>101089168301</v>
      </c>
      <c r="K26" s="76">
        <v>1364943273390</v>
      </c>
      <c r="L26" s="76">
        <v>723323318</v>
      </c>
      <c r="M26" s="76">
        <v>57865862</v>
      </c>
      <c r="N26" s="76">
        <v>781189180</v>
      </c>
      <c r="O26" s="76">
        <v>1365724462570</v>
      </c>
      <c r="P26" s="67"/>
      <c r="Q26" s="67"/>
    </row>
    <row r="27" ht="15.75" spans="1:17">
      <c r="A27" s="67"/>
      <c r="B27" s="67"/>
      <c r="C27" s="67"/>
      <c r="D27" s="77">
        <f>D20+D25</f>
        <v>187</v>
      </c>
      <c r="E27" s="67"/>
      <c r="F27" s="73"/>
      <c r="G27" s="67"/>
      <c r="H27" s="73"/>
      <c r="I27" s="67"/>
      <c r="J27" s="67"/>
      <c r="K27" s="67"/>
      <c r="L27" s="67"/>
      <c r="M27" s="67"/>
      <c r="N27" s="67"/>
      <c r="O27" s="73">
        <f>O20+O25</f>
        <v>-72821256</v>
      </c>
      <c r="P27" s="67"/>
      <c r="Q27" s="67"/>
    </row>
    <row r="29" ht="15.75" spans="1:17">
      <c r="C29" s="78" t="s">
        <v>28</v>
      </c>
      <c r="D29" s="78"/>
      <c r="E29" s="78"/>
      <c r="F29" s="78"/>
      <c r="G29" s="78"/>
      <c r="H29" s="78"/>
      <c r="I29" s="78"/>
      <c r="J29" s="78" t="s">
        <v>29</v>
      </c>
      <c r="K29" s="78"/>
      <c r="L29" s="78"/>
      <c r="M29" s="78"/>
      <c r="N29" s="78" t="s">
        <v>30</v>
      </c>
    </row>
    <row r="30" customHeight="1" spans="1:17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</row>
    <row r="31" customHeight="1" spans="1:17"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</row>
    <row r="32" customHeight="1" spans="1:17"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</row>
    <row r="33" customHeight="1" spans="3:14"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</row>
    <row r="34" ht="15.75" spans="3:14">
      <c r="C34" s="78" t="s">
        <v>31</v>
      </c>
      <c r="D34" s="78"/>
      <c r="E34" s="78"/>
      <c r="F34" s="78"/>
      <c r="G34" s="78"/>
      <c r="H34" s="78"/>
      <c r="I34" s="78"/>
      <c r="J34" s="78" t="s">
        <v>32</v>
      </c>
      <c r="K34" s="78"/>
      <c r="L34" s="78"/>
      <c r="M34" s="78"/>
      <c r="N34" s="78" t="s">
        <v>33</v>
      </c>
    </row>
  </sheetData>
  <mergeCells count="21">
    <mergeCell ref="B2:I2"/>
    <mergeCell ref="B3:I3"/>
    <mergeCell ref="B5:Q5"/>
    <mergeCell ref="B6:Q6"/>
    <mergeCell ref="F9:H9"/>
    <mergeCell ref="A16:B16"/>
    <mergeCell ref="A20:B20"/>
    <mergeCell ref="A25:B25"/>
    <mergeCell ref="A26:B26"/>
    <mergeCell ref="A9:A10"/>
    <mergeCell ref="B9:B10"/>
    <mergeCell ref="C9:C10"/>
    <mergeCell ref="D9:D10"/>
    <mergeCell ref="E9:E10"/>
    <mergeCell ref="I9:I10"/>
    <mergeCell ref="J9:J10"/>
    <mergeCell ref="K9:K10"/>
    <mergeCell ref="L9:L10"/>
    <mergeCell ref="M9:M10"/>
    <mergeCell ref="N9:N10"/>
    <mergeCell ref="O9:O10"/>
  </mergeCells>
  <pageMargins left="0.5" right="0.5" top="0.5" bottom="0.5" header="0" footer="0"/>
  <pageSetup paperSize="1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5"/>
  <sheetViews>
    <sheetView tabSelected="1" zoomScale="115" zoomScaleNormal="115" workbookViewId="0">
      <selection activeCell="O31" sqref="O31"/>
    </sheetView>
  </sheetViews>
  <sheetFormatPr defaultColWidth="6.85714285714286" defaultRowHeight="15"/>
  <cols>
    <col min="1" max="1" width="4.28571428571429" style="4" customWidth="1"/>
    <col min="2" max="2" width="12.4285714285714" style="5" customWidth="1"/>
    <col min="3" max="3" width="10.8571428571429" style="2" customWidth="1"/>
    <col min="4" max="4" width="12.5714285714286" style="2" customWidth="1"/>
    <col min="5" max="5" width="15.2857142857143" style="6" customWidth="1"/>
    <col min="6" max="6" width="12.4285714285714" style="2" customWidth="1"/>
    <col min="7" max="8" width="12.5714285714286" style="2" customWidth="1"/>
    <col min="9" max="9" width="18.8571428571429" style="2" customWidth="1"/>
    <col min="10" max="10" width="19.5714285714286" style="2" customWidth="1"/>
    <col min="11" max="11" width="22.7142857142857" style="2" customWidth="1"/>
    <col min="12" max="12" width="13" style="2" customWidth="1"/>
    <col min="13" max="13" width="12.5714285714286" style="2" customWidth="1"/>
    <col min="14" max="14" width="16.4285714285714" style="5" customWidth="1"/>
    <col min="15" max="15" width="18.5714285714286" style="7" customWidth="1"/>
    <col min="16" max="16384" width="6.85714285714286" style="5"/>
  </cols>
  <sheetData>
    <row r="1" ht="12.75" customHeight="1" spans="1:17">
      <c r="B1" s="8"/>
      <c r="C1" s="9"/>
      <c r="D1" s="9"/>
      <c r="F1" s="9"/>
      <c r="G1" s="9"/>
      <c r="H1" s="9"/>
      <c r="I1" s="9"/>
      <c r="J1" s="9"/>
      <c r="K1" s="9"/>
      <c r="L1" s="9"/>
      <c r="M1" s="9"/>
      <c r="N1" s="8"/>
      <c r="O1" s="10"/>
      <c r="P1" s="8"/>
      <c r="Q1" s="8"/>
    </row>
    <row r="2" spans="1:17">
      <c r="A2" s="4" t="s">
        <v>0</v>
      </c>
      <c r="B2" s="4"/>
      <c r="C2" s="4"/>
      <c r="D2" s="4"/>
      <c r="E2" s="4"/>
      <c r="F2" s="4"/>
      <c r="G2" s="11"/>
      <c r="H2" s="11"/>
      <c r="I2" s="11"/>
      <c r="J2" s="9"/>
      <c r="K2" s="9"/>
      <c r="L2" s="9"/>
      <c r="M2" s="9"/>
      <c r="N2" s="8"/>
      <c r="O2" s="10"/>
      <c r="P2" s="8"/>
      <c r="Q2" s="8"/>
    </row>
    <row r="3" spans="1:17">
      <c r="A3" s="12" t="s">
        <v>1</v>
      </c>
      <c r="B3" s="12"/>
      <c r="C3" s="12"/>
      <c r="D3" s="12"/>
      <c r="E3" s="12"/>
      <c r="F3" s="12"/>
      <c r="G3" s="11"/>
      <c r="H3" s="11"/>
      <c r="I3" s="11"/>
      <c r="J3" s="9"/>
      <c r="K3" s="9"/>
      <c r="L3" s="9"/>
      <c r="M3" s="9"/>
      <c r="N3" s="8"/>
      <c r="O3" s="10"/>
      <c r="P3" s="8"/>
      <c r="Q3" s="8"/>
    </row>
    <row r="4" ht="12.75" customHeight="1" spans="1:17">
      <c r="B4" s="8"/>
      <c r="C4" s="9"/>
      <c r="D4" s="9"/>
      <c r="F4" s="9"/>
      <c r="G4" s="9"/>
      <c r="H4" s="9"/>
      <c r="I4" s="9"/>
      <c r="J4" s="9"/>
      <c r="K4" s="9"/>
      <c r="L4" s="9"/>
      <c r="M4" s="9"/>
      <c r="N4" s="8"/>
      <c r="O4" s="10"/>
      <c r="P4" s="8"/>
      <c r="Q4" s="8"/>
    </row>
    <row r="5" ht="19.5" spans="1:17">
      <c r="A5" s="13" t="s">
        <v>34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4"/>
      <c r="Q5" s="14"/>
    </row>
    <row r="6" ht="19.5" spans="1:17">
      <c r="A6" s="15" t="s">
        <v>35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8"/>
      <c r="Q6" s="8"/>
    </row>
    <row r="7" spans="1:17">
      <c r="B7" s="4"/>
      <c r="C7" s="16"/>
      <c r="D7" s="16"/>
      <c r="F7" s="16"/>
      <c r="G7" s="16"/>
      <c r="H7" s="16"/>
      <c r="I7" s="16"/>
      <c r="J7" s="16"/>
      <c r="K7" s="16"/>
      <c r="L7" s="16"/>
      <c r="M7" s="16"/>
      <c r="N7" s="4"/>
      <c r="O7" s="17"/>
      <c r="P7" s="4"/>
      <c r="Q7" s="4"/>
    </row>
    <row r="8" spans="1:17">
      <c r="A8" s="18" t="s">
        <v>36</v>
      </c>
      <c r="B8" s="18" t="s">
        <v>5</v>
      </c>
      <c r="C8" s="19" t="s">
        <v>6</v>
      </c>
      <c r="D8" s="19" t="s">
        <v>7</v>
      </c>
      <c r="E8" s="20" t="s">
        <v>8</v>
      </c>
      <c r="F8" s="21" t="s">
        <v>9</v>
      </c>
      <c r="G8" s="21"/>
      <c r="H8" s="21"/>
      <c r="I8" s="19" t="s">
        <v>10</v>
      </c>
      <c r="J8" s="19" t="s">
        <v>11</v>
      </c>
      <c r="K8" s="19" t="s">
        <v>12</v>
      </c>
      <c r="L8" s="19" t="s">
        <v>13</v>
      </c>
      <c r="M8" s="19" t="s">
        <v>14</v>
      </c>
      <c r="N8" s="18" t="s">
        <v>15</v>
      </c>
      <c r="O8" s="22" t="s">
        <v>16</v>
      </c>
      <c r="P8" s="4"/>
      <c r="Q8" s="4"/>
    </row>
    <row r="9" ht="21.95" customHeight="1" spans="1:17">
      <c r="A9" s="23"/>
      <c r="B9" s="23"/>
      <c r="C9" s="24"/>
      <c r="D9" s="24"/>
      <c r="E9" s="25"/>
      <c r="F9" s="21" t="s">
        <v>17</v>
      </c>
      <c r="G9" s="21" t="s">
        <v>18</v>
      </c>
      <c r="H9" s="21" t="s">
        <v>19</v>
      </c>
      <c r="I9" s="24"/>
      <c r="J9" s="24"/>
      <c r="K9" s="24"/>
      <c r="L9" s="24"/>
      <c r="M9" s="24"/>
      <c r="N9" s="23"/>
      <c r="O9" s="26"/>
      <c r="P9" s="4"/>
      <c r="Q9" s="4"/>
    </row>
    <row r="10" spans="1:17">
      <c r="A10" s="27" t="s">
        <v>37</v>
      </c>
      <c r="B10" s="28"/>
      <c r="C10" s="29"/>
      <c r="D10" s="30"/>
      <c r="E10" s="31"/>
      <c r="F10" s="30"/>
      <c r="G10" s="30"/>
      <c r="H10" s="30"/>
      <c r="I10" s="30"/>
      <c r="J10" s="30"/>
      <c r="K10" s="30"/>
      <c r="L10" s="30"/>
      <c r="M10" s="30"/>
      <c r="N10" s="32"/>
      <c r="O10" s="33"/>
    </row>
    <row r="11" spans="1:17">
      <c r="A11" s="34">
        <v>1</v>
      </c>
      <c r="B11" s="35" t="str">
        <f>INDEX('1,8-PH_GCS'!C2:C12,1,1)</f>
        <v>10/06/2026</v>
      </c>
      <c r="C11" s="30">
        <f>INDEX('1,8-PH_GCS'!$B2:$N12,1,1)</f>
        <v>1</v>
      </c>
      <c r="D11" s="30">
        <f>INDEX('1,8-PH_GCS'!$B2:$N12,1,3)</f>
        <v>1</v>
      </c>
      <c r="E11" s="36">
        <v>46184</v>
      </c>
      <c r="F11" s="30">
        <f>INDEX('1,8-PH_GCS'!$B2:$N12,1,5)</f>
        <v>0</v>
      </c>
      <c r="G11" s="30">
        <f>INDEX('1,8-PH_GCS'!$B2:$N12,1,6)</f>
        <v>-208867110</v>
      </c>
      <c r="H11" s="30">
        <f>INDEX('1,8-PH_GCS'!$B2:$N12,1,4)</f>
        <v>-208867110</v>
      </c>
      <c r="I11" s="30">
        <f>INDEX('1,8-PH_GCS'!$B2:$N12,1,7)</f>
        <v>-441229063072</v>
      </c>
      <c r="J11" s="30">
        <f>INDEX('1,8-PH_GCS'!$B2:$N12,1,8)</f>
        <v>-35298325046</v>
      </c>
      <c r="K11" s="30">
        <f>INDEX('1,8-PH_GCS'!$B2:$N12,1,9)</f>
        <v>-476527388118</v>
      </c>
      <c r="L11" s="30">
        <f>INDEX('1,8-PH_GCS'!$B2:$N12,1,10)</f>
        <v>0</v>
      </c>
      <c r="M11" s="30">
        <f>INDEX('1,8-PH_GCS'!$B2:$N12,1,11)</f>
        <v>0</v>
      </c>
      <c r="N11" s="37">
        <f>INDEX('1,8-PH_GCS'!$B2:$N12,1,12)</f>
        <v>0</v>
      </c>
      <c r="O11" s="30">
        <f>INDEX('1,8-PH_GCS'!$B2:$N12,1,13)</f>
        <v>-476527388118</v>
      </c>
    </row>
    <row r="12" spans="1:17">
      <c r="A12" s="38">
        <v>2</v>
      </c>
      <c r="B12" s="35" t="str">
        <f>INDEX('1,8-PH_GCS'!C3:C13,1,1)</f>
        <v>30/06/2026</v>
      </c>
      <c r="C12" s="30">
        <f>INDEX('1,8-PH_GCS'!$B3:$N13,1,1)</f>
        <v>31</v>
      </c>
      <c r="D12" s="30">
        <f>INDEX('1,8-PH_GCS'!$B3:$N13,1,3)</f>
        <v>37</v>
      </c>
      <c r="E12" s="36" t="str">
        <f>B12</f>
        <v>30/06/2026</v>
      </c>
      <c r="F12" s="30">
        <f>INDEX('1,8-PH_GCS'!$B3:$N13,1,5)</f>
        <v>-37609</v>
      </c>
      <c r="G12" s="30">
        <f>INDEX('1,8-PH_GCS'!$B3:$N13,1,6)</f>
        <v>-32304</v>
      </c>
      <c r="H12" s="30">
        <f>INDEX('1,8-PH_GCS'!$B3:$N13,1,4)</f>
        <v>-69913</v>
      </c>
      <c r="I12" s="30">
        <f>INDEX('1,8-PH_GCS'!$B3:$N13,1,7)</f>
        <v>-206330420</v>
      </c>
      <c r="J12" s="30">
        <f>INDEX('1,8-PH_GCS'!$B3:$N13,1,8)</f>
        <v>-16506435</v>
      </c>
      <c r="K12" s="30">
        <f>INDEX('1,8-PH_GCS'!$B3:$N13,1,9)</f>
        <v>-222836855</v>
      </c>
      <c r="L12" s="30">
        <f>INDEX('1,8-PH_GCS'!$B3:$N13,1,10)</f>
        <v>0</v>
      </c>
      <c r="M12" s="30">
        <f>INDEX('1,8-PH_GCS'!$B3:$N13,1,11)</f>
        <v>0</v>
      </c>
      <c r="N12" s="37">
        <f>INDEX('1,8-PH_GCS'!$B3:$N13,1,12)</f>
        <v>0</v>
      </c>
      <c r="O12" s="30">
        <f>INDEX('1,8-PH_GCS'!$B3:$N13,1,13)</f>
        <v>-222836855</v>
      </c>
    </row>
    <row r="13" spans="1:17">
      <c r="A13" s="39" t="s">
        <v>38</v>
      </c>
      <c r="B13" s="40"/>
      <c r="C13" s="41">
        <f>SUM(C11:C12)</f>
        <v>32</v>
      </c>
      <c r="D13" s="41">
        <f t="shared" ref="D13:O13" si="0">SUM(D11:D12)</f>
        <v>38</v>
      </c>
      <c r="E13" s="41"/>
      <c r="F13" s="41">
        <f t="shared" si="0"/>
        <v>-37609</v>
      </c>
      <c r="G13" s="41">
        <f t="shared" si="0"/>
        <v>-208899414</v>
      </c>
      <c r="H13" s="41">
        <f t="shared" si="0"/>
        <v>-208937023</v>
      </c>
      <c r="I13" s="41">
        <f t="shared" si="0"/>
        <v>-441435393492</v>
      </c>
      <c r="J13" s="41">
        <f t="shared" si="0"/>
        <v>-35314831481</v>
      </c>
      <c r="K13" s="41">
        <f t="shared" si="0"/>
        <v>-476750224973</v>
      </c>
      <c r="L13" s="41">
        <f t="shared" si="0"/>
        <v>0</v>
      </c>
      <c r="M13" s="41">
        <f t="shared" si="0"/>
        <v>0</v>
      </c>
      <c r="N13" s="41">
        <f t="shared" si="0"/>
        <v>0</v>
      </c>
      <c r="O13" s="41">
        <f t="shared" si="0"/>
        <v>-476750224973</v>
      </c>
    </row>
    <row r="14" s="2" customFormat="1" spans="1:17">
      <c r="A14" s="27" t="s">
        <v>39</v>
      </c>
      <c r="B14" s="28"/>
      <c r="C14" s="29"/>
      <c r="D14" s="30"/>
      <c r="E14" s="42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="2" customFormat="1" spans="1:17">
      <c r="A15" s="43">
        <v>3</v>
      </c>
      <c r="B15" s="35" t="str">
        <f>INDEX('1,8-PH_GCS'!C4:C16,1,1)</f>
        <v>10/06/2026</v>
      </c>
      <c r="C15" s="30">
        <f>INDEX('1,8-PH_GCS'!$B4:$N16,1,1)</f>
        <v>1</v>
      </c>
      <c r="D15" s="30">
        <f>INDEX('1,8-PH_GCS'!$B4:$N16,1,3)</f>
        <v>1</v>
      </c>
      <c r="E15" s="36">
        <v>46184</v>
      </c>
      <c r="F15" s="30">
        <f>INDEX('1,8-PH_GCS'!$B4:$N16,1,5)</f>
        <v>0</v>
      </c>
      <c r="G15" s="30">
        <f>INDEX('1,8-PH_GCS'!$B4:$N16,1,6)</f>
        <v>14384</v>
      </c>
      <c r="H15" s="30">
        <f>INDEX('1,8-PH_GCS'!$B4:$N16,1,4)</f>
        <v>14384</v>
      </c>
      <c r="I15" s="30">
        <f>INDEX('1,8-PH_GCS'!$B4:$N16,1,7)</f>
        <v>28557815</v>
      </c>
      <c r="J15" s="30">
        <f>INDEX('1,8-PH_GCS'!$B4:$N16,1,8)</f>
        <v>2284625</v>
      </c>
      <c r="K15" s="30">
        <f>INDEX('1,8-PH_GCS'!$B4:$N16,1,9)</f>
        <v>30842440</v>
      </c>
      <c r="L15" s="30">
        <f>INDEX('1,8-PH_GCS'!$B4:$N16,1,10)</f>
        <v>0</v>
      </c>
      <c r="M15" s="30">
        <f>INDEX('1,8-PH_GCS'!$B4:$N16,1,11)</f>
        <v>0</v>
      </c>
      <c r="N15" s="37">
        <f>INDEX('1,8-PH_GCS'!$B4:$N16,1,12)</f>
        <v>0</v>
      </c>
      <c r="O15" s="30">
        <f>INDEX('1,8-PH_GCS'!$B4:$N16,1,13)</f>
        <v>30842440</v>
      </c>
    </row>
    <row r="16" s="2" customFormat="1" spans="1:17">
      <c r="A16" s="43">
        <v>4</v>
      </c>
      <c r="B16" s="35" t="str">
        <f>INDEX('1,8-PH_GCS'!C5:C17,1,1)</f>
        <v>30/06/2026</v>
      </c>
      <c r="C16" s="30">
        <f>INDEX('1,8-PH_GCS'!$B5:$N17,1,1)</f>
        <v>31</v>
      </c>
      <c r="D16" s="30">
        <f>INDEX('1,8-PH_GCS'!$B5:$N17,1,3)</f>
        <v>37</v>
      </c>
      <c r="E16" s="36" t="str">
        <f>B16</f>
        <v>30/06/2026</v>
      </c>
      <c r="F16" s="30">
        <f>INDEX('1,8-PH_GCS'!$B5:$N17,1,5)</f>
        <v>13750</v>
      </c>
      <c r="G16" s="30">
        <f>INDEX('1,8-PH_GCS'!$B5:$N17,1,6)</f>
        <v>17324</v>
      </c>
      <c r="H16" s="30">
        <f>INDEX('1,8-PH_GCS'!$B5:$N17,1,4)</f>
        <v>31074</v>
      </c>
      <c r="I16" s="30">
        <f>INDEX('1,8-PH_GCS'!$B5:$N17,1,7)</f>
        <v>85070064</v>
      </c>
      <c r="J16" s="30">
        <f>INDEX('1,8-PH_GCS'!$B5:$N17,1,8)</f>
        <v>6805606</v>
      </c>
      <c r="K16" s="30">
        <f>INDEX('1,8-PH_GCS'!$B5:$N17,1,9)</f>
        <v>91875670</v>
      </c>
      <c r="L16" s="30">
        <f>INDEX('1,8-PH_GCS'!$B5:$N17,1,10)</f>
        <v>0</v>
      </c>
      <c r="M16" s="30">
        <f>INDEX('1,8-PH_GCS'!$B5:$N17,1,11)</f>
        <v>0</v>
      </c>
      <c r="N16" s="37">
        <f>INDEX('1,8-PH_GCS'!$B5:$N17,1,12)</f>
        <v>0</v>
      </c>
      <c r="O16" s="30">
        <f>INDEX('1,8-PH_GCS'!$B5:$N17,1,13)</f>
        <v>91875670</v>
      </c>
    </row>
    <row r="17" s="2" customFormat="1" spans="1:16">
      <c r="A17" s="44" t="s">
        <v>25</v>
      </c>
      <c r="B17" s="44"/>
      <c r="C17" s="45">
        <f>SUM(C15:C16)</f>
        <v>32</v>
      </c>
      <c r="D17" s="45">
        <f t="shared" ref="D17:O17" si="1">SUM(D15:D16)</f>
        <v>38</v>
      </c>
      <c r="E17" s="45"/>
      <c r="F17" s="45">
        <f t="shared" si="1"/>
        <v>13750</v>
      </c>
      <c r="G17" s="45">
        <f t="shared" si="1"/>
        <v>31708</v>
      </c>
      <c r="H17" s="45">
        <f t="shared" si="1"/>
        <v>45458</v>
      </c>
      <c r="I17" s="45">
        <f t="shared" si="1"/>
        <v>113627879</v>
      </c>
      <c r="J17" s="45">
        <f t="shared" si="1"/>
        <v>9090231</v>
      </c>
      <c r="K17" s="45">
        <f t="shared" si="1"/>
        <v>122718110</v>
      </c>
      <c r="L17" s="45">
        <f t="shared" si="1"/>
        <v>0</v>
      </c>
      <c r="M17" s="45">
        <f t="shared" si="1"/>
        <v>0</v>
      </c>
      <c r="N17" s="45">
        <f t="shared" si="1"/>
        <v>0</v>
      </c>
      <c r="O17" s="45">
        <f t="shared" si="1"/>
        <v>122718110</v>
      </c>
    </row>
    <row r="18" s="2" customFormat="1" spans="1:16">
      <c r="A18" s="27" t="s">
        <v>20</v>
      </c>
      <c r="B18" s="28"/>
      <c r="C18" s="29"/>
      <c r="D18" s="30"/>
      <c r="E18" s="42"/>
      <c r="F18" s="30"/>
      <c r="G18" s="30"/>
      <c r="H18" s="30"/>
      <c r="I18" s="30"/>
      <c r="J18" s="30"/>
      <c r="K18" s="30"/>
      <c r="L18" s="30"/>
      <c r="M18" s="30"/>
      <c r="N18" s="30"/>
      <c r="O18" s="30"/>
    </row>
    <row r="19" s="2" customFormat="1" spans="1:16">
      <c r="A19" s="43">
        <v>5</v>
      </c>
      <c r="B19" s="35" t="str">
        <f>INDEX('1,8-PH_GCS'!C6:C21,1,1)</f>
        <v>10/06/2026</v>
      </c>
      <c r="C19" s="30">
        <f>INDEX('1,8-PH_GCS'!$B6:$N21,1,1)</f>
        <v>21</v>
      </c>
      <c r="D19" s="30">
        <f>INDEX('1,8-PH_GCS'!$B6:$N21,1,3)</f>
        <v>434</v>
      </c>
      <c r="E19" s="36">
        <v>46184</v>
      </c>
      <c r="F19" s="30">
        <f>INDEX('1,8-PH_GCS'!$B6:$N21,1,5)</f>
        <v>1540</v>
      </c>
      <c r="G19" s="30">
        <f>INDEX('1,8-PH_GCS'!$B6:$N21,1,6)</f>
        <v>374533889</v>
      </c>
      <c r="H19" s="30">
        <f>INDEX('1,8-PH_GCS'!$B6:$N21,1,4)</f>
        <v>374535429</v>
      </c>
      <c r="I19" s="30">
        <f>INDEX('1,8-PH_GCS'!$B6:$N21,1,7)</f>
        <v>758382895049</v>
      </c>
      <c r="J19" s="30">
        <f>INDEX('1,8-PH_GCS'!$B6:$N21,1,8)</f>
        <v>60663311376</v>
      </c>
      <c r="K19" s="30">
        <f>INDEX('1,8-PH_GCS'!$B6:$N21,1,9)</f>
        <v>819046206425</v>
      </c>
      <c r="L19" s="30">
        <f>INDEX('1,8-PH_GCS'!$B6:$N21,1,10)</f>
        <v>83370229</v>
      </c>
      <c r="M19" s="30">
        <f>INDEX('1,8-PH_GCS'!$B6:$N21,1,11)</f>
        <v>6669618</v>
      </c>
      <c r="N19" s="37">
        <f>INDEX('1,8-PH_GCS'!$B6:$N21,1,12)</f>
        <v>90039847</v>
      </c>
      <c r="O19" s="30">
        <f>INDEX('1,8-PH_GCS'!$B6:$N21,1,13)</f>
        <v>819136246272</v>
      </c>
    </row>
    <row r="20" s="2" customFormat="1" spans="1:16">
      <c r="A20" s="43">
        <v>6</v>
      </c>
      <c r="B20" s="35" t="str">
        <f>INDEX('1,8-PH_GCS'!C7:C22,1,1)</f>
        <v>15/06/2026</v>
      </c>
      <c r="C20" s="30">
        <f>INDEX('1,8-PH_GCS'!$B7:$N22,1,1)</f>
        <v>9</v>
      </c>
      <c r="D20" s="30">
        <f>INDEX('1,8-PH_GCS'!$B7:$N22,1,3)</f>
        <v>192</v>
      </c>
      <c r="E20" s="36">
        <v>46189</v>
      </c>
      <c r="F20" s="30">
        <f>INDEX('1,8-PH_GCS'!$B7:$N22,1,5)</f>
        <v>8550</v>
      </c>
      <c r="G20" s="30">
        <f>INDEX('1,8-PH_GCS'!$B7:$N22,1,6)</f>
        <v>6944844</v>
      </c>
      <c r="H20" s="30">
        <f>INDEX('1,8-PH_GCS'!$B7:$N22,1,4)</f>
        <v>6953394</v>
      </c>
      <c r="I20" s="30">
        <f>INDEX('1,8-PH_GCS'!$B7:$N22,1,7)</f>
        <v>16267718710</v>
      </c>
      <c r="J20" s="30">
        <f>INDEX('1,8-PH_GCS'!$B7:$N22,1,8)</f>
        <v>1301417493</v>
      </c>
      <c r="K20" s="30">
        <f>INDEX('1,8-PH_GCS'!$B7:$N22,1,9)</f>
        <v>17569136203</v>
      </c>
      <c r="L20" s="30">
        <f>INDEX('1,8-PH_GCS'!$B7:$N22,1,10)</f>
        <v>27790004</v>
      </c>
      <c r="M20" s="30">
        <f>INDEX('1,8-PH_GCS'!$B7:$N22,1,11)</f>
        <v>2223200</v>
      </c>
      <c r="N20" s="37">
        <f>INDEX('1,8-PH_GCS'!$B7:$N22,1,12)</f>
        <v>30013204</v>
      </c>
      <c r="O20" s="30">
        <f>INDEX('1,8-PH_GCS'!$B7:$N22,1,13)</f>
        <v>17599149407</v>
      </c>
    </row>
    <row r="21" s="2" customFormat="1" spans="1:16">
      <c r="A21" s="43">
        <v>7</v>
      </c>
      <c r="B21" s="35" t="str">
        <f>INDEX('1,8-PH_GCS'!C8:C23,1,1)</f>
        <v>20/06/2026</v>
      </c>
      <c r="C21" s="30">
        <f>INDEX('1,8-PH_GCS'!$B8:$N23,1,1)</f>
        <v>22</v>
      </c>
      <c r="D21" s="30">
        <f>INDEX('1,8-PH_GCS'!$B8:$N23,1,3)</f>
        <v>434</v>
      </c>
      <c r="E21" s="36">
        <v>46194</v>
      </c>
      <c r="F21" s="30">
        <f>INDEX('1,8-PH_GCS'!$B8:$N23,1,5)</f>
        <v>1505</v>
      </c>
      <c r="G21" s="30">
        <f>INDEX('1,8-PH_GCS'!$B8:$N23,1,6)</f>
        <v>174937575</v>
      </c>
      <c r="H21" s="30">
        <f>INDEX('1,8-PH_GCS'!$B8:$N23,1,4)</f>
        <v>174939080</v>
      </c>
      <c r="I21" s="30">
        <f>INDEX('1,8-PH_GCS'!$B8:$N23,1,7)</f>
        <v>335703622824</v>
      </c>
      <c r="J21" s="30">
        <f>INDEX('1,8-PH_GCS'!$B8:$N23,1,8)</f>
        <v>26848898122</v>
      </c>
      <c r="K21" s="30">
        <f>INDEX('1,8-PH_GCS'!$B8:$N23,1,9)</f>
        <v>362552520946</v>
      </c>
      <c r="L21" s="30">
        <f>INDEX('1,8-PH_GCS'!$B8:$N23,1,10)</f>
        <v>83295658</v>
      </c>
      <c r="M21" s="30">
        <f>INDEX('1,8-PH_GCS'!$B8:$N23,1,11)</f>
        <v>6663649</v>
      </c>
      <c r="N21" s="37">
        <f>INDEX('1,8-PH_GCS'!$B8:$N23,1,12)</f>
        <v>89959307</v>
      </c>
      <c r="O21" s="30">
        <f>INDEX('1,8-PH_GCS'!$B8:$N23,1,13)</f>
        <v>362642480253</v>
      </c>
    </row>
    <row r="22" s="2" customFormat="1" spans="1:16">
      <c r="A22" s="43">
        <v>8</v>
      </c>
      <c r="B22" s="35" t="str">
        <f>INDEX('1,8-PH_GCS'!C9:C24,1,1)</f>
        <v>30/06/2026</v>
      </c>
      <c r="C22" s="30">
        <f>INDEX('1,8-PH_GCS'!$B9:$N24,1,1)</f>
        <v>2027</v>
      </c>
      <c r="D22" s="30">
        <f>INDEX('1,8-PH_GCS'!$B9:$N24,1,3)</f>
        <v>235849</v>
      </c>
      <c r="E22" s="36">
        <v>46205</v>
      </c>
      <c r="F22" s="30">
        <f>INDEX('1,8-PH_GCS'!$B9:$N24,1,5)</f>
        <v>87043871</v>
      </c>
      <c r="G22" s="30">
        <f>INDEX('1,8-PH_GCS'!$B9:$N24,1,6)</f>
        <v>215723154</v>
      </c>
      <c r="H22" s="30">
        <f>INDEX('1,8-PH_GCS'!$B9:$N24,1,4)</f>
        <v>302767025</v>
      </c>
      <c r="I22" s="30">
        <f>INDEX('1,8-PH_GCS'!$B9:$N24,1,7)</f>
        <v>693112663943</v>
      </c>
      <c r="J22" s="30">
        <f>INDEX('1,8-PH_GCS'!$B9:$N24,1,8)</f>
        <v>55441397333</v>
      </c>
      <c r="K22" s="30">
        <f>INDEX('1,8-PH_GCS'!$B9:$N24,1,9)</f>
        <v>748554061276</v>
      </c>
      <c r="L22" s="30">
        <f>INDEX('1,8-PH_GCS'!$B9:$N24,1,10)</f>
        <v>538950224</v>
      </c>
      <c r="M22" s="30">
        <f>INDEX('1,8-PH_GCS'!$B9:$N24,1,11)</f>
        <v>43116020</v>
      </c>
      <c r="N22" s="37">
        <f>INDEX('1,8-PH_GCS'!$B9:$N24,1,12)</f>
        <v>582066244</v>
      </c>
      <c r="O22" s="30">
        <f>INDEX('1,8-PH_GCS'!$B9:$N24,1,13)</f>
        <v>749136127520</v>
      </c>
    </row>
    <row r="23" s="2" customFormat="1" spans="1:16">
      <c r="A23" s="44" t="s">
        <v>25</v>
      </c>
      <c r="B23" s="44"/>
      <c r="C23" s="45">
        <f>SUM(C19:C22)</f>
        <v>2079</v>
      </c>
      <c r="D23" s="45">
        <f t="shared" ref="D23:O23" si="2">SUM(D19:D22)</f>
        <v>236909</v>
      </c>
      <c r="E23" s="46"/>
      <c r="F23" s="45">
        <f t="shared" si="2"/>
        <v>87055466</v>
      </c>
      <c r="G23" s="45">
        <f t="shared" si="2"/>
        <v>772139462</v>
      </c>
      <c r="H23" s="45">
        <f t="shared" si="2"/>
        <v>859194928</v>
      </c>
      <c r="I23" s="45">
        <f t="shared" si="2"/>
        <v>1803466900526</v>
      </c>
      <c r="J23" s="45">
        <f t="shared" si="2"/>
        <v>144255024324</v>
      </c>
      <c r="K23" s="45">
        <f t="shared" si="2"/>
        <v>1947721924850</v>
      </c>
      <c r="L23" s="45">
        <f t="shared" si="2"/>
        <v>733406115</v>
      </c>
      <c r="M23" s="45">
        <f t="shared" si="2"/>
        <v>58672487</v>
      </c>
      <c r="N23" s="45">
        <f t="shared" si="2"/>
        <v>792078602</v>
      </c>
      <c r="O23" s="45">
        <f t="shared" si="2"/>
        <v>1948514003452</v>
      </c>
    </row>
    <row r="24" spans="1:16">
      <c r="A24" s="47" t="s">
        <v>26</v>
      </c>
      <c r="B24" s="48"/>
      <c r="C24" s="49"/>
      <c r="D24" s="30"/>
      <c r="E24" s="42"/>
      <c r="F24" s="30"/>
      <c r="G24" s="30"/>
      <c r="H24" s="30"/>
      <c r="I24" s="30"/>
      <c r="J24" s="30"/>
      <c r="K24" s="30"/>
      <c r="L24" s="30"/>
      <c r="M24" s="30"/>
      <c r="N24" s="32"/>
      <c r="O24" s="33"/>
    </row>
    <row r="25" s="2" customFormat="1" spans="1:16">
      <c r="A25" s="43">
        <v>9</v>
      </c>
      <c r="B25" s="35" t="str">
        <f>INDEX('1,8-PH_GCS'!C10:C27,1,1)</f>
        <v>30/06/2026</v>
      </c>
      <c r="C25" s="30">
        <f>INDEX('1,8-PH_GCS'!$B10:$N27,1,1)</f>
        <v>13</v>
      </c>
      <c r="D25" s="30">
        <f>INDEX('1,8-PH_GCS'!$B10:$N27,1,3)</f>
        <v>13</v>
      </c>
      <c r="E25" s="36">
        <v>46203</v>
      </c>
      <c r="F25" s="30">
        <f>INDEX('1,8-PH_GCS'!$B10:$N27,1,5)</f>
        <v>-2455</v>
      </c>
      <c r="G25" s="30">
        <f>INDEX('1,8-PH_GCS'!$B10:$N27,1,6)</f>
        <v>0</v>
      </c>
      <c r="H25" s="30">
        <f>INDEX('1,8-PH_GCS'!$B10:$N27,1,4)</f>
        <v>-2455</v>
      </c>
      <c r="I25" s="30">
        <f>INDEX('1,8-PH_GCS'!$B10:$N27,1,7)</f>
        <v>-9946090</v>
      </c>
      <c r="J25" s="30">
        <f>INDEX('1,8-PH_GCS'!$B10:$N27,1,8)</f>
        <v>-795686</v>
      </c>
      <c r="K25" s="30">
        <f>INDEX('1,8-PH_GCS'!$B10:$N27,1,9)</f>
        <v>-10741776</v>
      </c>
      <c r="L25" s="30">
        <f>INDEX('1,8-PH_GCS'!$B10:$N27,1,10)</f>
        <v>-22775005</v>
      </c>
      <c r="M25" s="30">
        <f>INDEX('1,8-PH_GCS'!$B10:$N27,1,11)</f>
        <v>-1822000</v>
      </c>
      <c r="N25" s="37">
        <f>INDEX('1,8-PH_GCS'!$B10:$N27,1,12)</f>
        <v>-24597005</v>
      </c>
      <c r="O25" s="30">
        <f>INDEX('1,8-PH_GCS'!$B10:$N27,1,13)</f>
        <v>-35338781</v>
      </c>
    </row>
    <row r="26" spans="1:16">
      <c r="A26" s="50" t="s">
        <v>25</v>
      </c>
      <c r="B26" s="50"/>
      <c r="C26" s="45">
        <f>SUM(C25:C25)</f>
        <v>13</v>
      </c>
      <c r="D26" s="45">
        <f t="shared" ref="D26:O26" si="3">SUM(D25:D25)</f>
        <v>13</v>
      </c>
      <c r="E26" s="45">
        <f t="shared" si="3"/>
        <v>46203</v>
      </c>
      <c r="F26" s="45">
        <f t="shared" si="3"/>
        <v>-2455</v>
      </c>
      <c r="G26" s="45">
        <f t="shared" si="3"/>
        <v>0</v>
      </c>
      <c r="H26" s="45">
        <f t="shared" si="3"/>
        <v>-2455</v>
      </c>
      <c r="I26" s="45">
        <f t="shared" si="3"/>
        <v>-9946090</v>
      </c>
      <c r="J26" s="45">
        <f t="shared" si="3"/>
        <v>-795686</v>
      </c>
      <c r="K26" s="45">
        <f t="shared" si="3"/>
        <v>-10741776</v>
      </c>
      <c r="L26" s="45">
        <f t="shared" si="3"/>
        <v>-22775005</v>
      </c>
      <c r="M26" s="45">
        <f t="shared" si="3"/>
        <v>-1822000</v>
      </c>
      <c r="N26" s="45">
        <f t="shared" si="3"/>
        <v>-24597005</v>
      </c>
      <c r="O26" s="45">
        <f t="shared" si="3"/>
        <v>-35338781</v>
      </c>
    </row>
    <row r="27" spans="1:16">
      <c r="A27" s="47" t="s">
        <v>27</v>
      </c>
      <c r="B27" s="49"/>
      <c r="C27" s="30"/>
      <c r="D27" s="30"/>
      <c r="E27" s="42"/>
      <c r="F27" s="30"/>
      <c r="G27" s="30"/>
      <c r="H27" s="30"/>
      <c r="I27" s="30"/>
      <c r="J27" s="30"/>
      <c r="K27" s="30"/>
      <c r="L27" s="30"/>
      <c r="M27" s="30"/>
      <c r="N27" s="32"/>
      <c r="O27" s="33"/>
    </row>
    <row r="28" spans="1:16">
      <c r="A28" s="34">
        <v>10</v>
      </c>
      <c r="B28" s="35" t="str">
        <f>INDEX('1,8-PH_GCS'!C11:C33,1,1)</f>
        <v>15/06/2026</v>
      </c>
      <c r="C28" s="30">
        <f>INDEX('1,8-PH_GCS'!$B11:$N33,1,1)</f>
        <v>1</v>
      </c>
      <c r="D28" s="30">
        <f>INDEX('1,8-PH_GCS'!$B11:$N33,1,3)</f>
        <v>1</v>
      </c>
      <c r="E28" s="36">
        <v>46184</v>
      </c>
      <c r="F28" s="30">
        <f>INDEX('1,8-PH_GCS'!$B11:$N33,1,5)</f>
        <v>0</v>
      </c>
      <c r="G28" s="30">
        <f>INDEX('1,8-PH_GCS'!$B11:$N33,1,6)</f>
        <v>0</v>
      </c>
      <c r="H28" s="30">
        <f>INDEX('1,8-PH_GCS'!$B11:$N33,1,4)</f>
        <v>0</v>
      </c>
      <c r="I28" s="30">
        <f>INDEX('1,8-PH_GCS'!$B11:$N33,1,7)</f>
        <v>0</v>
      </c>
      <c r="J28" s="30">
        <f>INDEX('1,8-PH_GCS'!$B11:$N33,1,8)</f>
        <v>0</v>
      </c>
      <c r="K28" s="30">
        <f>INDEX('1,8-PH_GCS'!$B11:$N33,1,9)</f>
        <v>0</v>
      </c>
      <c r="L28" s="30">
        <f>INDEX('1,8-PH_GCS'!$B11:$N33,1,10)</f>
        <v>0</v>
      </c>
      <c r="M28" s="30">
        <f>INDEX('1,8-PH_GCS'!$B11:$N33,1,11)</f>
        <v>0</v>
      </c>
      <c r="N28" s="37">
        <f>INDEX('1,8-PH_GCS'!$B11:$N33,1,12)</f>
        <v>0</v>
      </c>
      <c r="O28" s="30">
        <f>INDEX('1,8-PH_GCS'!$B11:$N33,1,13)</f>
        <v>0</v>
      </c>
      <c r="P28" s="7"/>
    </row>
    <row r="29" spans="1:16">
      <c r="A29" s="34">
        <v>11</v>
      </c>
      <c r="B29" s="35" t="str">
        <f>INDEX('1,8-PH_GCS'!C12:C34,1,1)</f>
        <v>30/06/2026</v>
      </c>
      <c r="C29" s="30">
        <f>INDEX('1,8-PH_GCS'!$B12:$N34,1,1)</f>
        <v>25</v>
      </c>
      <c r="D29" s="30">
        <f>INDEX('1,8-PH_GCS'!$B12:$N34,1,3)</f>
        <v>48</v>
      </c>
      <c r="E29" s="36">
        <v>46203</v>
      </c>
      <c r="F29" s="30">
        <f>INDEX('1,8-PH_GCS'!$B12:$N34,1,5)</f>
        <v>20553</v>
      </c>
      <c r="G29" s="30">
        <f>INDEX('1,8-PH_GCS'!$B12:$N34,1,6)</f>
        <v>92187</v>
      </c>
      <c r="H29" s="30">
        <f>INDEX('1,8-PH_GCS'!$B12:$N34,1,4)</f>
        <v>112740</v>
      </c>
      <c r="I29" s="30">
        <f>INDEX('1,8-PH_GCS'!$B12:$N34,1,7)</f>
        <v>272273547</v>
      </c>
      <c r="J29" s="30">
        <f>INDEX('1,8-PH_GCS'!$B12:$N34,1,8)</f>
        <v>21781883</v>
      </c>
      <c r="K29" s="30">
        <f>INDEX('1,8-PH_GCS'!$B12:$N34,1,9)</f>
        <v>294055430</v>
      </c>
      <c r="L29" s="30">
        <f>INDEX('1,8-PH_GCS'!$B12:$N34,1,10)</f>
        <v>0</v>
      </c>
      <c r="M29" s="30">
        <f>INDEX('1,8-PH_GCS'!$B12:$N34,1,11)</f>
        <v>0</v>
      </c>
      <c r="N29" s="37">
        <f>INDEX('1,8-PH_GCS'!$B12:$N34,1,12)</f>
        <v>0</v>
      </c>
      <c r="O29" s="30">
        <f>INDEX('1,8-PH_GCS'!$B12:$N34,1,13)</f>
        <v>294055430</v>
      </c>
      <c r="P29" s="7"/>
    </row>
    <row r="30" spans="1:16">
      <c r="A30" s="50" t="s">
        <v>25</v>
      </c>
      <c r="B30" s="50"/>
      <c r="C30" s="45">
        <f>SUM(C28:C29)</f>
        <v>26</v>
      </c>
      <c r="D30" s="45">
        <f t="shared" ref="D30:O30" si="4">SUM(D28:D29)</f>
        <v>49</v>
      </c>
      <c r="E30" s="45">
        <f t="shared" si="4"/>
        <v>92387</v>
      </c>
      <c r="F30" s="45">
        <f t="shared" si="4"/>
        <v>20553</v>
      </c>
      <c r="G30" s="45">
        <f t="shared" si="4"/>
        <v>92187</v>
      </c>
      <c r="H30" s="45">
        <f t="shared" si="4"/>
        <v>112740</v>
      </c>
      <c r="I30" s="45">
        <f t="shared" si="4"/>
        <v>272273547</v>
      </c>
      <c r="J30" s="45">
        <f t="shared" si="4"/>
        <v>21781883</v>
      </c>
      <c r="K30" s="45">
        <f t="shared" si="4"/>
        <v>294055430</v>
      </c>
      <c r="L30" s="45">
        <f t="shared" si="4"/>
        <v>0</v>
      </c>
      <c r="M30" s="45">
        <f t="shared" si="4"/>
        <v>0</v>
      </c>
      <c r="N30" s="45">
        <f t="shared" si="4"/>
        <v>0</v>
      </c>
      <c r="O30" s="45">
        <f t="shared" si="4"/>
        <v>294055430</v>
      </c>
    </row>
    <row r="31" s="3" customFormat="1" ht="14.25" spans="1:16">
      <c r="A31" s="44" t="s">
        <v>25</v>
      </c>
      <c r="B31" s="44"/>
      <c r="C31" s="45">
        <f>C13+C17+C23+C26+C30</f>
        <v>2182</v>
      </c>
      <c r="D31" s="45">
        <f>D13+D17+D23+D26+D30</f>
        <v>237047</v>
      </c>
      <c r="E31" s="51"/>
      <c r="F31" s="45">
        <f t="shared" ref="F31:O31" si="5">F13+F17+F23+F26+F30</f>
        <v>87049705</v>
      </c>
      <c r="G31" s="45">
        <f t="shared" si="5"/>
        <v>563363943</v>
      </c>
      <c r="H31" s="45">
        <f t="shared" si="5"/>
        <v>650413648</v>
      </c>
      <c r="I31" s="45">
        <f t="shared" si="5"/>
        <v>1362407462370</v>
      </c>
      <c r="J31" s="45">
        <f t="shared" si="5"/>
        <v>108970269271</v>
      </c>
      <c r="K31" s="45">
        <f t="shared" si="5"/>
        <v>1471377731641</v>
      </c>
      <c r="L31" s="45">
        <f t="shared" si="5"/>
        <v>710631110</v>
      </c>
      <c r="M31" s="45">
        <f t="shared" si="5"/>
        <v>56850487</v>
      </c>
      <c r="N31" s="45">
        <f t="shared" si="5"/>
        <v>767481597</v>
      </c>
      <c r="O31" s="45">
        <f t="shared" si="5"/>
        <v>1472145213238</v>
      </c>
      <c r="P31" s="52"/>
    </row>
    <row r="33" spans="2:15">
      <c r="L33" s="53" t="s">
        <v>40</v>
      </c>
      <c r="M33" s="53"/>
      <c r="N33" s="53"/>
      <c r="O33" s="53"/>
    </row>
    <row r="34" ht="12.75" customHeight="1"/>
    <row r="35" spans="2:15">
      <c r="B35" s="12" t="s">
        <v>41</v>
      </c>
      <c r="C35" s="12"/>
      <c r="F35" s="9"/>
      <c r="G35" s="9"/>
      <c r="H35" s="9"/>
      <c r="I35" s="54" t="s">
        <v>42</v>
      </c>
      <c r="J35" s="54"/>
      <c r="K35" s="9"/>
      <c r="L35" s="16"/>
      <c r="M35" s="12" t="s">
        <v>43</v>
      </c>
      <c r="N35" s="12"/>
      <c r="O35" s="12"/>
    </row>
    <row r="36" spans="2:15">
      <c r="D36" s="16"/>
      <c r="F36" s="16"/>
      <c r="G36" s="16"/>
      <c r="H36" s="16"/>
      <c r="I36" s="54"/>
      <c r="J36" s="3"/>
      <c r="K36" s="16"/>
      <c r="L36" s="16"/>
      <c r="M36" s="12" t="s">
        <v>44</v>
      </c>
      <c r="N36" s="12"/>
      <c r="O36" s="12"/>
    </row>
    <row r="37" spans="2:15">
      <c r="D37" s="16"/>
      <c r="F37" s="16"/>
      <c r="G37" s="16"/>
      <c r="H37" s="16"/>
      <c r="I37" s="54"/>
      <c r="J37" s="3"/>
      <c r="K37" s="16"/>
      <c r="L37" s="16"/>
      <c r="M37" s="12"/>
      <c r="N37" s="12"/>
      <c r="O37" s="12"/>
    </row>
    <row r="38" spans="2:15">
      <c r="D38" s="16"/>
      <c r="F38" s="16"/>
      <c r="G38" s="16"/>
      <c r="H38" s="16"/>
      <c r="I38" s="54"/>
      <c r="J38" s="3"/>
      <c r="K38" s="16"/>
      <c r="L38" s="16"/>
      <c r="M38" s="12"/>
      <c r="N38" s="12"/>
      <c r="O38" s="12"/>
    </row>
    <row r="39" ht="12.75" customHeight="1" spans="2:15">
      <c r="D39" s="16"/>
      <c r="F39" s="16"/>
      <c r="G39" s="16"/>
      <c r="H39" s="16"/>
      <c r="I39" s="54"/>
      <c r="J39" s="3"/>
      <c r="K39" s="16"/>
      <c r="L39" s="16"/>
      <c r="M39" s="16"/>
    </row>
    <row r="40" ht="12.75" customHeight="1" spans="2:15">
      <c r="D40" s="16"/>
      <c r="F40" s="16"/>
      <c r="G40" s="16"/>
      <c r="H40" s="16"/>
      <c r="I40" s="54"/>
      <c r="J40" s="3"/>
      <c r="K40" s="16"/>
      <c r="L40" s="16"/>
      <c r="M40" s="16"/>
    </row>
    <row r="41" ht="12.75" customHeight="1" spans="2:15">
      <c r="D41" s="16"/>
      <c r="F41" s="16"/>
      <c r="G41" s="16"/>
      <c r="H41" s="16"/>
      <c r="I41" s="54"/>
      <c r="J41" s="3"/>
      <c r="K41" s="16"/>
      <c r="L41" s="16"/>
      <c r="M41" s="16"/>
    </row>
    <row r="42" ht="12.75" customHeight="1" spans="2:15">
      <c r="D42" s="16"/>
      <c r="F42" s="16"/>
      <c r="G42" s="16"/>
      <c r="H42" s="16"/>
      <c r="I42" s="54"/>
      <c r="J42" s="3"/>
      <c r="K42" s="16"/>
      <c r="L42" s="16"/>
      <c r="M42" s="16"/>
    </row>
    <row r="43" spans="2:15">
      <c r="D43" s="16"/>
      <c r="F43" s="16"/>
      <c r="G43" s="16"/>
      <c r="H43" s="16"/>
      <c r="I43" s="54"/>
      <c r="J43" s="3"/>
      <c r="K43" s="16"/>
      <c r="L43" s="16"/>
      <c r="M43" s="16"/>
    </row>
    <row r="44" spans="2:15">
      <c r="B44" s="12" t="s">
        <v>45</v>
      </c>
      <c r="C44" s="12"/>
      <c r="F44" s="9"/>
      <c r="G44" s="9"/>
      <c r="H44" s="9"/>
      <c r="I44" s="54" t="s">
        <v>46</v>
      </c>
      <c r="J44" s="54"/>
      <c r="K44" s="9"/>
      <c r="L44" s="16"/>
      <c r="M44" s="12" t="s">
        <v>47</v>
      </c>
      <c r="N44" s="12"/>
      <c r="O44" s="12"/>
    </row>
    <row r="45" spans="2:15">
      <c r="D45" s="16"/>
      <c r="F45" s="16"/>
      <c r="G45" s="16"/>
      <c r="H45" s="16"/>
      <c r="I45" s="54"/>
      <c r="J45" s="3"/>
      <c r="K45" s="16"/>
      <c r="L45" s="16"/>
      <c r="M45" s="16"/>
    </row>
  </sheetData>
  <mergeCells count="34">
    <mergeCell ref="A2:F2"/>
    <mergeCell ref="A3:F3"/>
    <mergeCell ref="A5:O5"/>
    <mergeCell ref="A6:O6"/>
    <mergeCell ref="F8:H8"/>
    <mergeCell ref="A10:C10"/>
    <mergeCell ref="A13:B13"/>
    <mergeCell ref="A14:C14"/>
    <mergeCell ref="A17:B17"/>
    <mergeCell ref="A18:C18"/>
    <mergeCell ref="A23:B23"/>
    <mergeCell ref="A26:B26"/>
    <mergeCell ref="A30:B30"/>
    <mergeCell ref="A31:B31"/>
    <mergeCell ref="L33:O33"/>
    <mergeCell ref="B35:C35"/>
    <mergeCell ref="I35:J35"/>
    <mergeCell ref="M35:O35"/>
    <mergeCell ref="M36:O36"/>
    <mergeCell ref="B44:C44"/>
    <mergeCell ref="I44:J44"/>
    <mergeCell ref="M44:O44"/>
    <mergeCell ref="A8:A9"/>
    <mergeCell ref="B8:B9"/>
    <mergeCell ref="C8:C9"/>
    <mergeCell ref="D8:D9"/>
    <mergeCell ref="E8:E9"/>
    <mergeCell ref="I8:I9"/>
    <mergeCell ref="J8:J9"/>
    <mergeCell ref="K8:K9"/>
    <mergeCell ref="L8:L9"/>
    <mergeCell ref="M8:M9"/>
    <mergeCell ref="N8:N9"/>
    <mergeCell ref="O8:O9"/>
  </mergeCells>
  <pageMargins left="0.46" right="0.25" top="0.75" bottom="0.75" header="0.3" footer="0.3"/>
  <pageSetup paperSize="9" scale="66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zoomScale="115" zoomScaleNormal="115" workbookViewId="0">
      <selection activeCell="A12" sqref="A12"/>
    </sheetView>
  </sheetViews>
  <sheetFormatPr defaultColWidth="10.2857142857143" defaultRowHeight="15.75"/>
  <cols>
    <col min="1" max="4" width="10.2857142857143" style="1"/>
    <col min="5" max="5" width="13.2857142857143" style="1"/>
    <col min="6" max="6" width="10.7142857142857" style="1"/>
    <col min="7" max="7" width="13.2857142857143" style="1"/>
    <col min="8" max="10" width="15.8571428571429" style="1"/>
    <col min="11" max="11" width="12" style="1"/>
    <col min="12" max="12" width="10.7142857142857" style="1"/>
    <col min="13" max="13" width="12" style="1"/>
    <col min="14" max="14" width="15.8571428571429" style="1"/>
    <col min="15" max="16384" width="10.2857142857143" style="1"/>
  </cols>
  <sheetData>
    <row r="1" s="1" customFormat="1" spans="1:14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="1" customFormat="1" spans="1:14">
      <c r="A2" s="1" t="s">
        <v>62</v>
      </c>
      <c r="B2" s="1">
        <v>1</v>
      </c>
      <c r="C2" s="1" t="s">
        <v>63</v>
      </c>
      <c r="D2" s="1">
        <v>1</v>
      </c>
      <c r="E2" s="1">
        <v>-208867110</v>
      </c>
      <c r="F2" s="1">
        <v>0</v>
      </c>
      <c r="G2" s="1">
        <v>-208867110</v>
      </c>
      <c r="H2" s="1">
        <v>-441229063072</v>
      </c>
      <c r="I2" s="1">
        <v>-35298325046</v>
      </c>
      <c r="J2" s="1">
        <v>-476527388118</v>
      </c>
      <c r="K2" s="1">
        <v>0</v>
      </c>
      <c r="L2" s="1">
        <v>0</v>
      </c>
      <c r="M2" s="1">
        <v>0</v>
      </c>
      <c r="N2" s="1">
        <v>-476527388118</v>
      </c>
    </row>
    <row r="3" s="1" customFormat="1" spans="1:14">
      <c r="A3" s="1" t="s">
        <v>62</v>
      </c>
      <c r="B3" s="1">
        <v>31</v>
      </c>
      <c r="C3" s="1" t="s">
        <v>64</v>
      </c>
      <c r="D3" s="1">
        <v>37</v>
      </c>
      <c r="E3" s="1">
        <v>-69913</v>
      </c>
      <c r="F3" s="1">
        <v>-37609</v>
      </c>
      <c r="G3" s="1">
        <v>-32304</v>
      </c>
      <c r="H3" s="1">
        <v>-206330420</v>
      </c>
      <c r="I3" s="1">
        <v>-16506435</v>
      </c>
      <c r="J3" s="1">
        <v>-222836855</v>
      </c>
      <c r="K3" s="1">
        <v>0</v>
      </c>
      <c r="L3" s="1">
        <v>0</v>
      </c>
      <c r="M3" s="1">
        <v>0</v>
      </c>
      <c r="N3" s="1">
        <v>-222836855</v>
      </c>
    </row>
    <row r="4" s="1" customFormat="1" spans="1:14">
      <c r="A4" s="1" t="s">
        <v>65</v>
      </c>
      <c r="B4" s="1">
        <v>1</v>
      </c>
      <c r="C4" s="1" t="s">
        <v>63</v>
      </c>
      <c r="D4" s="1">
        <v>1</v>
      </c>
      <c r="E4" s="1">
        <v>14384</v>
      </c>
      <c r="F4" s="1">
        <v>0</v>
      </c>
      <c r="G4" s="1">
        <v>14384</v>
      </c>
      <c r="H4" s="1">
        <v>28557815</v>
      </c>
      <c r="I4" s="1">
        <v>2284625</v>
      </c>
      <c r="J4" s="1">
        <v>30842440</v>
      </c>
      <c r="K4" s="1">
        <v>0</v>
      </c>
      <c r="L4" s="1">
        <v>0</v>
      </c>
      <c r="M4" s="1">
        <v>0</v>
      </c>
      <c r="N4" s="1">
        <v>30842440</v>
      </c>
    </row>
    <row r="5" s="1" customFormat="1" spans="1:14">
      <c r="A5" s="1" t="s">
        <v>65</v>
      </c>
      <c r="B5" s="1">
        <v>31</v>
      </c>
      <c r="C5" s="1" t="s">
        <v>64</v>
      </c>
      <c r="D5" s="1">
        <v>37</v>
      </c>
      <c r="E5" s="1">
        <v>31074</v>
      </c>
      <c r="F5" s="1">
        <v>13750</v>
      </c>
      <c r="G5" s="1">
        <v>17324</v>
      </c>
      <c r="H5" s="1">
        <v>85070064</v>
      </c>
      <c r="I5" s="1">
        <v>6805606</v>
      </c>
      <c r="J5" s="1">
        <v>91875670</v>
      </c>
      <c r="K5" s="1">
        <v>0</v>
      </c>
      <c r="L5" s="1">
        <v>0</v>
      </c>
      <c r="M5" s="1">
        <v>0</v>
      </c>
      <c r="N5" s="1">
        <v>91875670</v>
      </c>
    </row>
    <row r="6" s="1" customFormat="1" spans="1:14">
      <c r="A6" s="1" t="s">
        <v>66</v>
      </c>
      <c r="B6" s="1">
        <v>21</v>
      </c>
      <c r="C6" s="1" t="s">
        <v>63</v>
      </c>
      <c r="D6" s="1">
        <v>434</v>
      </c>
      <c r="E6" s="1">
        <v>374535429</v>
      </c>
      <c r="F6" s="1">
        <v>1540</v>
      </c>
      <c r="G6" s="1">
        <v>374533889</v>
      </c>
      <c r="H6" s="1">
        <v>758382895049</v>
      </c>
      <c r="I6" s="1">
        <v>60663311376</v>
      </c>
      <c r="J6" s="1">
        <v>819046206425</v>
      </c>
      <c r="K6" s="1">
        <v>83370229</v>
      </c>
      <c r="L6" s="1">
        <v>6669618</v>
      </c>
      <c r="M6" s="1">
        <v>90039847</v>
      </c>
      <c r="N6" s="1">
        <v>819136246272</v>
      </c>
    </row>
    <row r="7" s="1" customFormat="1" spans="1:14">
      <c r="A7" s="1" t="s">
        <v>66</v>
      </c>
      <c r="B7" s="1">
        <v>9</v>
      </c>
      <c r="C7" s="1" t="s">
        <v>67</v>
      </c>
      <c r="D7" s="1">
        <v>192</v>
      </c>
      <c r="E7" s="1">
        <v>6953394</v>
      </c>
      <c r="F7" s="1">
        <v>8550</v>
      </c>
      <c r="G7" s="1">
        <v>6944844</v>
      </c>
      <c r="H7" s="1">
        <v>16267718710</v>
      </c>
      <c r="I7" s="1">
        <v>1301417493</v>
      </c>
      <c r="J7" s="1">
        <v>17569136203</v>
      </c>
      <c r="K7" s="1">
        <v>27790004</v>
      </c>
      <c r="L7" s="1">
        <v>2223200</v>
      </c>
      <c r="M7" s="1">
        <v>30013204</v>
      </c>
      <c r="N7" s="1">
        <v>17599149407</v>
      </c>
    </row>
    <row r="8" s="1" customFormat="1" spans="1:14">
      <c r="A8" s="1" t="s">
        <v>66</v>
      </c>
      <c r="B8" s="1">
        <v>22</v>
      </c>
      <c r="C8" s="1" t="s">
        <v>68</v>
      </c>
      <c r="D8" s="1">
        <v>434</v>
      </c>
      <c r="E8" s="1">
        <v>174939080</v>
      </c>
      <c r="F8" s="1">
        <v>1505</v>
      </c>
      <c r="G8" s="1">
        <v>174937575</v>
      </c>
      <c r="H8" s="1">
        <v>335703622824</v>
      </c>
      <c r="I8" s="1">
        <v>26848898122</v>
      </c>
      <c r="J8" s="1">
        <v>362552520946</v>
      </c>
      <c r="K8" s="1">
        <v>83295658</v>
      </c>
      <c r="L8" s="1">
        <v>6663649</v>
      </c>
      <c r="M8" s="1">
        <v>89959307</v>
      </c>
      <c r="N8" s="1">
        <v>362642480253</v>
      </c>
    </row>
    <row r="9" s="1" customFormat="1" spans="1:14">
      <c r="A9" s="1" t="s">
        <v>66</v>
      </c>
      <c r="B9" s="1">
        <v>2027</v>
      </c>
      <c r="C9" s="1" t="s">
        <v>64</v>
      </c>
      <c r="D9" s="1">
        <v>235849</v>
      </c>
      <c r="E9" s="1">
        <v>302767025</v>
      </c>
      <c r="F9" s="1">
        <v>87043871</v>
      </c>
      <c r="G9" s="1">
        <v>215723154</v>
      </c>
      <c r="H9" s="1">
        <v>693112663943</v>
      </c>
      <c r="I9" s="1">
        <v>55441397333</v>
      </c>
      <c r="J9" s="1">
        <v>748554061276</v>
      </c>
      <c r="K9" s="1">
        <v>538950224</v>
      </c>
      <c r="L9" s="1">
        <v>43116020</v>
      </c>
      <c r="M9" s="1">
        <v>582066244</v>
      </c>
      <c r="N9" s="1">
        <v>749136127520</v>
      </c>
    </row>
    <row r="10" s="1" customFormat="1" spans="1:14">
      <c r="A10" s="1" t="s">
        <v>69</v>
      </c>
      <c r="B10" s="1">
        <v>13</v>
      </c>
      <c r="C10" s="1" t="s">
        <v>64</v>
      </c>
      <c r="D10" s="1">
        <v>13</v>
      </c>
      <c r="E10" s="1">
        <v>-2455</v>
      </c>
      <c r="F10" s="1">
        <v>-2455</v>
      </c>
      <c r="G10" s="1">
        <v>0</v>
      </c>
      <c r="H10" s="1">
        <v>-9946090</v>
      </c>
      <c r="I10" s="1">
        <v>-795686</v>
      </c>
      <c r="J10" s="1">
        <v>-10741776</v>
      </c>
      <c r="K10" s="1">
        <v>-22775005</v>
      </c>
      <c r="L10" s="1">
        <v>-1822000</v>
      </c>
      <c r="M10" s="1">
        <v>-24597005</v>
      </c>
      <c r="N10" s="1">
        <v>-35338781</v>
      </c>
    </row>
    <row r="11" s="1" customFormat="1" spans="1:14">
      <c r="A11" s="1" t="s">
        <v>70</v>
      </c>
      <c r="B11" s="1">
        <v>1</v>
      </c>
      <c r="C11" s="1" t="s">
        <v>67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="1" customFormat="1" spans="1:14">
      <c r="A12" s="1" t="s">
        <v>70</v>
      </c>
      <c r="B12" s="1">
        <v>25</v>
      </c>
      <c r="C12" s="1" t="s">
        <v>64</v>
      </c>
      <c r="D12" s="1">
        <v>48</v>
      </c>
      <c r="E12" s="1">
        <v>112740</v>
      </c>
      <c r="F12" s="1">
        <v>20553</v>
      </c>
      <c r="G12" s="1">
        <v>92187</v>
      </c>
      <c r="H12" s="1">
        <v>272273547</v>
      </c>
      <c r="I12" s="1">
        <v>21781883</v>
      </c>
      <c r="J12" s="1">
        <v>294055430</v>
      </c>
      <c r="K12" s="1">
        <v>0</v>
      </c>
      <c r="L12" s="1">
        <v>0</v>
      </c>
      <c r="M12" s="1">
        <v>0</v>
      </c>
      <c r="N12" s="1">
        <v>294055430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2" sqref="J32"/>
    </sheetView>
  </sheetViews>
  <sheetFormatPr defaultColWidth="9" defaultRowHeight="12.7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BC</vt:lpstr>
      <vt:lpstr>1,8-PH_GCS</vt:lpstr>
      <vt:lpstr>3,3-HDSS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Quoc Viet</dc:creator>
  <cp:lastModifiedBy>Việt Phạm Quốc</cp:lastModifiedBy>
  <cp:revision>0</cp:revision>
  <dcterms:created xsi:type="dcterms:W3CDTF">2113-01-01T00:00:00Z</dcterms:created>
  <cp:lastPrinted>2026-04-06T01:42:00Z</cp:lastPrinted>
  <dcterms:modified xsi:type="dcterms:W3CDTF">2026-07-03T01:04:14Z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3EA3939205A44BD78B5B74C38811515E_12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