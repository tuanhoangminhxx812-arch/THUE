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5\"/>
    </mc:Choice>
  </mc:AlternateContent>
  <xr:revisionPtr revIDLastSave="0" documentId="8_{B34270D9-C6B7-41C0-A03D-0AC98A9ABA54}" xr6:coauthVersionLast="47" xr6:coauthVersionMax="47" xr10:uidLastSave="{00000000-0000-0000-0000-000000000000}"/>
  <bookViews>
    <workbookView xWindow="-108" yWindow="-108" windowWidth="30936" windowHeight="16776" xr2:uid="{FC2B77B0-98AE-40C5-A68A-FD23C9D85EDE}"/>
  </bookViews>
  <sheets>
    <sheet name="EVN_GL_0903___Báo_cáo_đối_0806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K24" i="1"/>
  <c r="J24" i="1"/>
  <c r="I24" i="1"/>
  <c r="H24" i="1"/>
  <c r="G24" i="1"/>
  <c r="F24" i="1"/>
  <c r="E24" i="1"/>
  <c r="D24" i="1"/>
  <c r="L23" i="1"/>
  <c r="K23" i="1"/>
  <c r="J23" i="1"/>
  <c r="I23" i="1"/>
  <c r="H23" i="1"/>
  <c r="G23" i="1"/>
  <c r="F23" i="1"/>
  <c r="E23" i="1"/>
  <c r="D23" i="1"/>
  <c r="L22" i="1"/>
  <c r="K22" i="1"/>
  <c r="J22" i="1"/>
  <c r="I22" i="1"/>
  <c r="H22" i="1"/>
  <c r="G22" i="1"/>
  <c r="F22" i="1"/>
  <c r="E22" i="1"/>
  <c r="D22" i="1"/>
  <c r="L21" i="1"/>
  <c r="K21" i="1"/>
  <c r="J21" i="1"/>
  <c r="I21" i="1"/>
  <c r="H21" i="1"/>
  <c r="G21" i="1"/>
  <c r="F21" i="1"/>
  <c r="E21" i="1"/>
  <c r="D21" i="1"/>
  <c r="L20" i="1"/>
  <c r="K20" i="1"/>
  <c r="J20" i="1"/>
  <c r="I20" i="1"/>
  <c r="H20" i="1"/>
  <c r="G20" i="1"/>
  <c r="F20" i="1"/>
  <c r="E20" i="1"/>
  <c r="D20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L17" i="1"/>
  <c r="K17" i="1"/>
  <c r="J17" i="1"/>
  <c r="I17" i="1"/>
  <c r="H17" i="1"/>
  <c r="G17" i="1"/>
  <c r="F17" i="1"/>
  <c r="E17" i="1"/>
  <c r="D17" i="1"/>
  <c r="L16" i="1"/>
  <c r="K16" i="1"/>
  <c r="J16" i="1"/>
  <c r="I16" i="1"/>
  <c r="H16" i="1"/>
  <c r="G16" i="1"/>
  <c r="F16" i="1"/>
  <c r="E16" i="1"/>
  <c r="D16" i="1"/>
  <c r="L15" i="1"/>
  <c r="K15" i="1"/>
  <c r="J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L12" i="1"/>
  <c r="K12" i="1"/>
  <c r="J12" i="1"/>
  <c r="I12" i="1"/>
  <c r="H12" i="1"/>
  <c r="G12" i="1"/>
  <c r="F12" i="1"/>
  <c r="E12" i="1"/>
  <c r="D12" i="1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<sst xmlns="http://schemas.openxmlformats.org/spreadsheetml/2006/main" count="133" uniqueCount="48">
  <si>
    <t>HCMC - Công ty Điện lực Vũng Tàu</t>
  </si>
  <si>
    <t>Báo cáo liệt kê giao dịch phát sinh theo tài khoản</t>
  </si>
  <si>
    <r>
      <t xml:space="preserve">Từ ngày </t>
    </r>
    <r>
      <rPr>
        <sz val="10"/>
        <color rgb="FF000000"/>
        <rFont val="Times New Roman"/>
        <family val="1"/>
      </rPr>
      <t xml:space="preserve">01/05/2026 </t>
    </r>
    <r>
      <rPr>
        <sz val="11"/>
        <color rgb="FF000000"/>
        <rFont val="Times New Roman"/>
        <family val="1"/>
      </rPr>
      <t xml:space="preserve">đến ngày </t>
    </r>
    <r>
      <rPr>
        <sz val="10"/>
        <color rgb="FF000000"/>
        <rFont val="Times New Roman"/>
        <family val="1"/>
      </rPr>
      <t>31/05/2026</t>
    </r>
  </si>
  <si>
    <t>Nguồn phát sinh</t>
  </si>
  <si>
    <t>Số giao dịch</t>
  </si>
  <si>
    <t>Ngày giao dịch</t>
  </si>
  <si>
    <t>Chi nhánh</t>
  </si>
  <si>
    <t>Trung tâm chi phí</t>
  </si>
  <si>
    <t>Tài khoản</t>
  </si>
  <si>
    <t>Loại hình</t>
  </si>
  <si>
    <t>Sản phẩm</t>
  </si>
  <si>
    <t>Yếu tố</t>
  </si>
  <si>
    <t>Đơn vị nội bộ</t>
  </si>
  <si>
    <t>Dự phòng đơn vị</t>
  </si>
  <si>
    <t>Dự phòng EVN</t>
  </si>
  <si>
    <t>Loại tiền</t>
  </si>
  <si>
    <t>Nợ nguyên tệ</t>
  </si>
  <si>
    <t>Có nguyên tệ</t>
  </si>
  <si>
    <t>Nợ quy đổi</t>
  </si>
  <si>
    <t>Có quy đổi</t>
  </si>
  <si>
    <t>Nội dung</t>
  </si>
  <si>
    <t>Trạng thái hạch toán</t>
  </si>
  <si>
    <t>Người tạo</t>
  </si>
  <si>
    <t>Người cập nhật</t>
  </si>
  <si>
    <t>AR_TRANSACTIONS</t>
  </si>
  <si>
    <t>VND</t>
  </si>
  <si>
    <t>4500TT - Doanh thu cho thuê cột điện treo cáp viễn thông từ 01/05/26 đến 31/05/26 - HĐ 43/26.05.26</t>
  </si>
  <si>
    <t>D</t>
  </si>
  <si>
    <t>CHAULTN.HCM.VTA</t>
  </si>
  <si>
    <t>CSPK02-DOANH THU HÓA ĐƠN TIỀN VÔ CÔNG PHÁT SINH TỪ NGÀY 16/05/2026 ĐẾN 16/05/2026</t>
  </si>
  <si>
    <t>QUYENNN.HCM.VTA</t>
  </si>
  <si>
    <t>DIEN01-DOANH THU HÓA ĐƠN TIỀN ĐIỆN PHÁT SINH TỪ NGÀY 21/05/2026 ĐẾN 21/05/2026</t>
  </si>
  <si>
    <t>CSPK02-DOANH THU HÓA ĐƠN TIỀN VÔ CÔNG PHÁT SINH TỪ NGÀY 21/05/2026 ĐẾN 21/05/2026</t>
  </si>
  <si>
    <t>DIEN00-DOANH THU HÓA ĐƠN TIỀN ĐIỆN PHÁT SINH-CT TNHH NHÔM TOÀN CẦU VIỆT NAM KỲ 2/5/2026</t>
  </si>
  <si>
    <t>4500TT - Doanh thu cho thuê cột điện treo cáp viễn thông tháng 05/2026 - HĐ 45 ngày 26/05/2026</t>
  </si>
  <si>
    <t>DIEN01-DOANH THU HÓA ĐƠN TIỀN ĐIỆN PHÁT SINH TỪ NGÀY 11/05/2026 ĐẾN 11/05/2026</t>
  </si>
  <si>
    <t>DIEN00-DOANH THU HÓA ĐƠN TIỀN ĐIỆN PHÁT SINH-CT TNHH NHÔM TOÀN CẦU VIỆT NAM KỲ 1/5/2026</t>
  </si>
  <si>
    <t>CSPK02-DOANH THU HÓA ĐƠN TIỀN VÔ CÔNG PHÁT SINH TỪ NGÀY 11/05/2026 ĐẾN 11/05/2026</t>
  </si>
  <si>
    <t>DIEN01-DOANH THU HÓA ĐƠN TIỀN ĐIỆN PHÁT SINH TỪ NGÀY 16/05/2026 ĐẾN 16/05/2026</t>
  </si>
  <si>
    <t>DIEN01-DOANH THU HÓA ĐƠN TIỀN ĐIỆN PHÁT SINH T05/2026</t>
  </si>
  <si>
    <t>DIEN00-DOANH THU HÓA ĐƠN TIỀN ĐIỆN PHÁT SINH-CT TNHH NHÔM TOÀN CẦU VIỆT NAM KỲ 3/5/2026</t>
  </si>
  <si>
    <t>CSPK02-DOANH THU HÓA ĐƠN TIỀN VÔ CÔNG PHÁT SINH T05/2026</t>
  </si>
  <si>
    <t>4500TT - Doanh thu cho thuê cột điện treo cáp viễn thông (VTVCAB) tháng 05/2026 - HĐ 44 ngày 26/05/2026</t>
  </si>
  <si>
    <t>DIEN01-DOANH THU HÓA ĐƠN TIỀN ĐIỆN HỦY BỎ T05/2026</t>
  </si>
  <si>
    <t>DIEN01-DOANH THU HÓA ĐƠN TIỀN ĐIỆN LẶP LẠI T05/2026</t>
  </si>
  <si>
    <t>DIEN01-DOANH THU HÓA ĐƠN TIỀN ĐIỆN TRUY THU T05/2026</t>
  </si>
  <si>
    <t>DIEN01-DOANH THU HÓA ĐƠN TIỀN ĐIỆN THOÁI HOÀN T05/2026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</si>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</sst>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10" xfId="0" applyFill="1" applyBorder="1" applyAlignment="1">
      <alignment vertical="top" wrapText="1"/>
    </xf>
    <xf numFmtId="0" fontId="22" fillId="33" borderId="11" xfId="0" applyFont="1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vertical="top" wrapText="1"/>
    </xf>
    <xf numFmtId="0" fontId="21" fillId="33" borderId="11" xfId="0" applyFont="1" applyFill="1" applyBorder="1" applyAlignment="1">
      <alignment vertical="top" wrapText="1"/>
    </xf>
    <xf numFmtId="15" fontId="21" fillId="33" borderId="11" xfId="0" applyNumberFormat="1" applyFont="1" applyFill="1" applyBorder="1" applyAlignment="1">
      <alignment vertical="top" wrapText="1"/>
    </xf>
    <xf numFmtId="3" fontId="21" fillId="33" borderId="11" xfId="0" applyNumberFormat="1" applyFont="1" applyFill="1" applyBorder="1" applyAlignment="1">
      <alignment horizontal="right" vertical="top" wrapText="1"/>
    </xf>
    <xf numFmtId="3" fontId="22" fillId="33" borderId="11" xfId="0" applyNumberFormat="1" applyFont="1" applyFill="1" applyBorder="1" applyAlignment="1">
      <alignment horizontal="right" vertical="top" wrapText="1"/>
    </xf>
    <xf numFmtId="0" fontId="18" fillId="33" borderId="0" xfId="0" applyFont="1" applyFill="1" applyAlignment="1">
      <alignment vertical="top" wrapText="1"/>
    </xf>
    <xf numFmtId="0" fontId="0" fillId="33" borderId="0" xfId="0" applyFill="1" applyAlignment="1">
      <alignment vertical="top" wrapText="1"/>
    </xf>
    <xf numFmtId="0" fontId="19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0" fontId="0" fillId="33" borderId="10" xfId="0" applyFill="1" applyBorder="1" applyAlignment="1">
      <alignment vertical="top" wrapText="1"/>
    </xf>
    <xf numFmtId="0" fontId="22" fillId="33" borderId="12" xfId="0" applyFont="1" applyFill="1" applyBorder="1" applyAlignment="1">
      <alignment horizontal="right" vertical="top" wrapText="1"/>
    </xf>
    <xf numFmtId="0" fontId="22" fillId="33" borderId="13" xfId="0" applyFont="1" applyFill="1" applyBorder="1" applyAlignment="1">
      <alignment horizontal="right" vertical="top" wrapText="1"/>
    </xf>
    <xf numFmtId="0" fontId="22" fillId="33" borderId="14" xfId="0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B631-63FC-43D2-9409-0A4257CA8B00}">
  <dimension ref="A1:U25"/>
  <sheetViews>
    <sheetView showGridLines="0" tabSelected="1" workbookViewId="0">
      <selection sqref="A1:U1"/>
    </sheetView>
  </sheetViews>
  <sheetFormatPr defaultRowHeight="15.6" x14ac:dyDescent="0.3"/>
  <cols>
    <col min="1" max="1" width="9.19921875" customWidth="1"/>
    <col min="2" max="3" width="9.09765625" customWidth="1"/>
    <col min="4" max="11" width="9.5" customWidth="1"/>
    <col min="12" max="12" width="12.19921875" customWidth="1"/>
    <col min="13" max="13" width="9.09765625" customWidth="1"/>
    <col min="14" max="14" width="9.5" customWidth="1"/>
    <col min="15" max="16" width="9.09765625" customWidth="1"/>
    <col min="17" max="17" width="9.5" customWidth="1"/>
    <col min="18" max="20" width="9.09765625" customWidth="1"/>
    <col min="21" max="21" width="11.796875" customWidth="1"/>
  </cols>
  <sheetData>
    <row r="1" spans="1:21" ht="13.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3.0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2" customHeight="1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3.0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3.65" customHeight="1" x14ac:dyDescent="0.3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  <c r="M5" s="1"/>
      <c r="N5" s="1"/>
      <c r="O5" s="1"/>
      <c r="P5" s="1"/>
      <c r="Q5" s="1"/>
      <c r="R5" s="1"/>
      <c r="S5" s="1"/>
      <c r="T5" s="1"/>
      <c r="U5" s="1"/>
    </row>
    <row r="6" spans="1:21" ht="13.2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</row>
    <row r="7" spans="1:21" ht="13.05" customHeight="1" x14ac:dyDescent="0.3">
      <c r="A7" s="5" t="s">
        <v>24</v>
      </c>
      <c r="B7" s="5">
        <v>1632</v>
      </c>
      <c r="C7" s="6">
        <v>46168</v>
      </c>
      <c r="D7" s="5" t="str">
        <f t="shared" ref="D7:D24" si="0">"000000"</f>
        <v>000000</v>
      </c>
      <c r="E7" s="5" t="str">
        <f t="shared" ref="E7:E24" si="1">"000"</f>
        <v>000</v>
      </c>
      <c r="F7" s="5" t="str">
        <f>"51140000000"</f>
        <v>51140000000</v>
      </c>
      <c r="G7" s="5" t="str">
        <f>"4500"</f>
        <v>4500</v>
      </c>
      <c r="H7" s="5" t="str">
        <f t="shared" ref="H7:H24" si="2">"0000"</f>
        <v>0000</v>
      </c>
      <c r="I7" s="5" t="str">
        <f t="shared" ref="I7:I24" si="3">"000"</f>
        <v>000</v>
      </c>
      <c r="J7" s="5" t="str">
        <f t="shared" ref="J7:J24" si="4">"000000"</f>
        <v>000000</v>
      </c>
      <c r="K7" s="5" t="str">
        <f t="shared" ref="K7:L24" si="5">"0000"</f>
        <v>0000</v>
      </c>
      <c r="L7" s="5" t="str">
        <f t="shared" si="5"/>
        <v>0000</v>
      </c>
      <c r="M7" s="5" t="s">
        <v>25</v>
      </c>
      <c r="N7" s="4"/>
      <c r="O7" s="7">
        <v>57336523</v>
      </c>
      <c r="P7" s="4"/>
      <c r="Q7" s="7">
        <v>57336523</v>
      </c>
      <c r="R7" s="5" t="s">
        <v>26</v>
      </c>
      <c r="S7" s="5" t="s">
        <v>27</v>
      </c>
      <c r="T7" s="5" t="s">
        <v>28</v>
      </c>
      <c r="U7" s="5" t="s">
        <v>28</v>
      </c>
    </row>
    <row r="8" spans="1:21" ht="13.05" customHeight="1" x14ac:dyDescent="0.3">
      <c r="A8" s="5" t="s">
        <v>24</v>
      </c>
      <c r="B8" s="5">
        <v>1624</v>
      </c>
      <c r="C8" s="6">
        <v>46158</v>
      </c>
      <c r="D8" s="5" t="str">
        <f t="shared" si="0"/>
        <v>000000</v>
      </c>
      <c r="E8" s="5" t="str">
        <f t="shared" si="1"/>
        <v>000</v>
      </c>
      <c r="F8" s="5" t="str">
        <f>"51113000000"</f>
        <v>51113000000</v>
      </c>
      <c r="G8" s="5" t="str">
        <f>"1310"</f>
        <v>1310</v>
      </c>
      <c r="H8" s="5" t="str">
        <f t="shared" si="2"/>
        <v>0000</v>
      </c>
      <c r="I8" s="5" t="str">
        <f t="shared" si="3"/>
        <v>000</v>
      </c>
      <c r="J8" s="5" t="str">
        <f t="shared" si="4"/>
        <v>000000</v>
      </c>
      <c r="K8" s="5" t="str">
        <f t="shared" si="5"/>
        <v>0000</v>
      </c>
      <c r="L8" s="5" t="str">
        <f t="shared" si="5"/>
        <v>0000</v>
      </c>
      <c r="M8" s="5" t="s">
        <v>25</v>
      </c>
      <c r="N8" s="4"/>
      <c r="O8" s="7">
        <v>34333124</v>
      </c>
      <c r="P8" s="4"/>
      <c r="Q8" s="7">
        <v>34333124</v>
      </c>
      <c r="R8" s="5" t="s">
        <v>29</v>
      </c>
      <c r="S8" s="5" t="s">
        <v>27</v>
      </c>
      <c r="T8" s="5" t="s">
        <v>30</v>
      </c>
      <c r="U8" s="5" t="s">
        <v>30</v>
      </c>
    </row>
    <row r="9" spans="1:21" ht="13.05" customHeight="1" x14ac:dyDescent="0.3">
      <c r="A9" s="5" t="s">
        <v>24</v>
      </c>
      <c r="B9" s="5">
        <v>1625</v>
      </c>
      <c r="C9" s="6">
        <v>46163</v>
      </c>
      <c r="D9" s="5" t="str">
        <f t="shared" si="0"/>
        <v>000000</v>
      </c>
      <c r="E9" s="5" t="str">
        <f t="shared" si="1"/>
        <v>000</v>
      </c>
      <c r="F9" s="5" t="str">
        <f>"51111000000"</f>
        <v>51111000000</v>
      </c>
      <c r="G9" s="5" t="str">
        <f>"1310"</f>
        <v>1310</v>
      </c>
      <c r="H9" s="5" t="str">
        <f t="shared" si="2"/>
        <v>0000</v>
      </c>
      <c r="I9" s="5" t="str">
        <f t="shared" si="3"/>
        <v>000</v>
      </c>
      <c r="J9" s="5" t="str">
        <f t="shared" si="4"/>
        <v>000000</v>
      </c>
      <c r="K9" s="5" t="str">
        <f t="shared" si="5"/>
        <v>0000</v>
      </c>
      <c r="L9" s="5" t="str">
        <f t="shared" si="5"/>
        <v>0000</v>
      </c>
      <c r="M9" s="5" t="s">
        <v>25</v>
      </c>
      <c r="N9" s="4"/>
      <c r="O9" s="7">
        <v>322639770751</v>
      </c>
      <c r="P9" s="4"/>
      <c r="Q9" s="7">
        <v>322639770751</v>
      </c>
      <c r="R9" s="5" t="s">
        <v>31</v>
      </c>
      <c r="S9" s="5" t="s">
        <v>27</v>
      </c>
      <c r="T9" s="5" t="s">
        <v>30</v>
      </c>
      <c r="U9" s="5" t="s">
        <v>30</v>
      </c>
    </row>
    <row r="10" spans="1:21" ht="13.05" customHeight="1" x14ac:dyDescent="0.3">
      <c r="A10" s="5" t="s">
        <v>24</v>
      </c>
      <c r="B10" s="5">
        <v>1626</v>
      </c>
      <c r="C10" s="6">
        <v>46163</v>
      </c>
      <c r="D10" s="5" t="str">
        <f t="shared" si="0"/>
        <v>000000</v>
      </c>
      <c r="E10" s="5" t="str">
        <f t="shared" si="1"/>
        <v>000</v>
      </c>
      <c r="F10" s="5" t="str">
        <f>"51113000000"</f>
        <v>51113000000</v>
      </c>
      <c r="G10" s="5" t="str">
        <f>"1310"</f>
        <v>1310</v>
      </c>
      <c r="H10" s="5" t="str">
        <f t="shared" si="2"/>
        <v>0000</v>
      </c>
      <c r="I10" s="5" t="str">
        <f t="shared" si="3"/>
        <v>000</v>
      </c>
      <c r="J10" s="5" t="str">
        <f t="shared" si="4"/>
        <v>000000</v>
      </c>
      <c r="K10" s="5" t="str">
        <f t="shared" si="5"/>
        <v>0000</v>
      </c>
      <c r="L10" s="5" t="str">
        <f t="shared" si="5"/>
        <v>0000</v>
      </c>
      <c r="M10" s="5" t="s">
        <v>25</v>
      </c>
      <c r="N10" s="4"/>
      <c r="O10" s="7">
        <v>68682060</v>
      </c>
      <c r="P10" s="4"/>
      <c r="Q10" s="7">
        <v>68682060</v>
      </c>
      <c r="R10" s="5" t="s">
        <v>32</v>
      </c>
      <c r="S10" s="5" t="s">
        <v>27</v>
      </c>
      <c r="T10" s="5" t="s">
        <v>30</v>
      </c>
      <c r="U10" s="5" t="s">
        <v>30</v>
      </c>
    </row>
    <row r="11" spans="1:21" ht="13.05" customHeight="1" x14ac:dyDescent="0.3">
      <c r="A11" s="5" t="s">
        <v>24</v>
      </c>
      <c r="B11" s="5">
        <v>1627</v>
      </c>
      <c r="C11" s="6">
        <v>46163</v>
      </c>
      <c r="D11" s="5" t="str">
        <f t="shared" si="0"/>
        <v>000000</v>
      </c>
      <c r="E11" s="5" t="str">
        <f t="shared" si="1"/>
        <v>000</v>
      </c>
      <c r="F11" s="5" t="str">
        <f>"51111000000"</f>
        <v>51111000000</v>
      </c>
      <c r="G11" s="5" t="str">
        <f>"1310"</f>
        <v>1310</v>
      </c>
      <c r="H11" s="5" t="str">
        <f t="shared" si="2"/>
        <v>0000</v>
      </c>
      <c r="I11" s="5" t="str">
        <f t="shared" si="3"/>
        <v>000</v>
      </c>
      <c r="J11" s="5" t="str">
        <f t="shared" si="4"/>
        <v>000000</v>
      </c>
      <c r="K11" s="5" t="str">
        <f t="shared" si="5"/>
        <v>0000</v>
      </c>
      <c r="L11" s="5" t="str">
        <f t="shared" si="5"/>
        <v>0000</v>
      </c>
      <c r="M11" s="5" t="s">
        <v>25</v>
      </c>
      <c r="N11" s="4"/>
      <c r="O11" s="7">
        <v>84629200</v>
      </c>
      <c r="P11" s="4"/>
      <c r="Q11" s="7">
        <v>84629200</v>
      </c>
      <c r="R11" s="5" t="s">
        <v>33</v>
      </c>
      <c r="S11" s="5" t="s">
        <v>27</v>
      </c>
      <c r="T11" s="5" t="s">
        <v>30</v>
      </c>
      <c r="U11" s="5" t="s">
        <v>30</v>
      </c>
    </row>
    <row r="12" spans="1:21" ht="13.05" customHeight="1" x14ac:dyDescent="0.3">
      <c r="A12" s="5" t="s">
        <v>24</v>
      </c>
      <c r="B12" s="5">
        <v>1646</v>
      </c>
      <c r="C12" s="6">
        <v>46168</v>
      </c>
      <c r="D12" s="5" t="str">
        <f t="shared" si="0"/>
        <v>000000</v>
      </c>
      <c r="E12" s="5" t="str">
        <f t="shared" si="1"/>
        <v>000</v>
      </c>
      <c r="F12" s="5" t="str">
        <f>"51140000000"</f>
        <v>51140000000</v>
      </c>
      <c r="G12" s="5" t="str">
        <f>"4500"</f>
        <v>4500</v>
      </c>
      <c r="H12" s="5" t="str">
        <f t="shared" si="2"/>
        <v>0000</v>
      </c>
      <c r="I12" s="5" t="str">
        <f t="shared" si="3"/>
        <v>000</v>
      </c>
      <c r="J12" s="5" t="str">
        <f t="shared" si="4"/>
        <v>000000</v>
      </c>
      <c r="K12" s="5" t="str">
        <f t="shared" si="5"/>
        <v>0000</v>
      </c>
      <c r="L12" s="5" t="str">
        <f t="shared" si="5"/>
        <v>0000</v>
      </c>
      <c r="M12" s="5" t="s">
        <v>25</v>
      </c>
      <c r="N12" s="4"/>
      <c r="O12" s="7">
        <v>150296766</v>
      </c>
      <c r="P12" s="4"/>
      <c r="Q12" s="7">
        <v>150296766</v>
      </c>
      <c r="R12" s="5" t="s">
        <v>34</v>
      </c>
      <c r="S12" s="5" t="s">
        <v>27</v>
      </c>
      <c r="T12" s="5" t="s">
        <v>28</v>
      </c>
      <c r="U12" s="5" t="s">
        <v>28</v>
      </c>
    </row>
    <row r="13" spans="1:21" ht="13.05" customHeight="1" x14ac:dyDescent="0.3">
      <c r="A13" s="5" t="s">
        <v>24</v>
      </c>
      <c r="B13" s="5">
        <v>1615</v>
      </c>
      <c r="C13" s="6">
        <v>46153</v>
      </c>
      <c r="D13" s="5" t="str">
        <f t="shared" si="0"/>
        <v>000000</v>
      </c>
      <c r="E13" s="5" t="str">
        <f t="shared" si="1"/>
        <v>000</v>
      </c>
      <c r="F13" s="5" t="str">
        <f>"51111000000"</f>
        <v>51111000000</v>
      </c>
      <c r="G13" s="5" t="str">
        <f t="shared" ref="G13:G19" si="6">"1310"</f>
        <v>1310</v>
      </c>
      <c r="H13" s="5" t="str">
        <f t="shared" si="2"/>
        <v>0000</v>
      </c>
      <c r="I13" s="5" t="str">
        <f t="shared" si="3"/>
        <v>000</v>
      </c>
      <c r="J13" s="5" t="str">
        <f t="shared" si="4"/>
        <v>000000</v>
      </c>
      <c r="K13" s="5" t="str">
        <f t="shared" si="5"/>
        <v>0000</v>
      </c>
      <c r="L13" s="5" t="str">
        <f t="shared" si="5"/>
        <v>0000</v>
      </c>
      <c r="M13" s="5" t="s">
        <v>25</v>
      </c>
      <c r="N13" s="4"/>
      <c r="O13" s="7">
        <v>318504337257</v>
      </c>
      <c r="P13" s="4"/>
      <c r="Q13" s="7">
        <v>318504337257</v>
      </c>
      <c r="R13" s="5" t="s">
        <v>35</v>
      </c>
      <c r="S13" s="5" t="s">
        <v>27</v>
      </c>
      <c r="T13" s="5" t="s">
        <v>30</v>
      </c>
      <c r="U13" s="5" t="s">
        <v>30</v>
      </c>
    </row>
    <row r="14" spans="1:21" ht="13.05" customHeight="1" x14ac:dyDescent="0.3">
      <c r="A14" s="5" t="s">
        <v>24</v>
      </c>
      <c r="B14" s="5">
        <v>1616</v>
      </c>
      <c r="C14" s="6">
        <v>46153</v>
      </c>
      <c r="D14" s="5" t="str">
        <f t="shared" si="0"/>
        <v>000000</v>
      </c>
      <c r="E14" s="5" t="str">
        <f t="shared" si="1"/>
        <v>000</v>
      </c>
      <c r="F14" s="5" t="str">
        <f>"51111000000"</f>
        <v>51111000000</v>
      </c>
      <c r="G14" s="5" t="str">
        <f t="shared" si="6"/>
        <v>1310</v>
      </c>
      <c r="H14" s="5" t="str">
        <f t="shared" si="2"/>
        <v>0000</v>
      </c>
      <c r="I14" s="5" t="str">
        <f t="shared" si="3"/>
        <v>000</v>
      </c>
      <c r="J14" s="5" t="str">
        <f t="shared" si="4"/>
        <v>000000</v>
      </c>
      <c r="K14" s="5" t="str">
        <f t="shared" si="5"/>
        <v>0000</v>
      </c>
      <c r="L14" s="5" t="str">
        <f t="shared" si="5"/>
        <v>0000</v>
      </c>
      <c r="M14" s="5" t="s">
        <v>25</v>
      </c>
      <c r="N14" s="4"/>
      <c r="O14" s="7">
        <v>73444700</v>
      </c>
      <c r="P14" s="4"/>
      <c r="Q14" s="7">
        <v>73444700</v>
      </c>
      <c r="R14" s="5" t="s">
        <v>36</v>
      </c>
      <c r="S14" s="5" t="s">
        <v>27</v>
      </c>
      <c r="T14" s="5" t="s">
        <v>30</v>
      </c>
      <c r="U14" s="5" t="s">
        <v>30</v>
      </c>
    </row>
    <row r="15" spans="1:21" ht="13.05" customHeight="1" x14ac:dyDescent="0.3">
      <c r="A15" s="5" t="s">
        <v>24</v>
      </c>
      <c r="B15" s="5">
        <v>1617</v>
      </c>
      <c r="C15" s="6">
        <v>46153</v>
      </c>
      <c r="D15" s="5" t="str">
        <f t="shared" si="0"/>
        <v>000000</v>
      </c>
      <c r="E15" s="5" t="str">
        <f t="shared" si="1"/>
        <v>000</v>
      </c>
      <c r="F15" s="5" t="str">
        <f>"51113000000"</f>
        <v>51113000000</v>
      </c>
      <c r="G15" s="5" t="str">
        <f t="shared" si="6"/>
        <v>1310</v>
      </c>
      <c r="H15" s="5" t="str">
        <f t="shared" si="2"/>
        <v>0000</v>
      </c>
      <c r="I15" s="5" t="str">
        <f t="shared" si="3"/>
        <v>000</v>
      </c>
      <c r="J15" s="5" t="str">
        <f t="shared" si="4"/>
        <v>000000</v>
      </c>
      <c r="K15" s="5" t="str">
        <f t="shared" si="5"/>
        <v>0000</v>
      </c>
      <c r="L15" s="5" t="str">
        <f t="shared" si="5"/>
        <v>0000</v>
      </c>
      <c r="M15" s="5" t="s">
        <v>25</v>
      </c>
      <c r="N15" s="4"/>
      <c r="O15" s="7">
        <v>63034452</v>
      </c>
      <c r="P15" s="4"/>
      <c r="Q15" s="7">
        <v>63034452</v>
      </c>
      <c r="R15" s="5" t="s">
        <v>37</v>
      </c>
      <c r="S15" s="5" t="s">
        <v>27</v>
      </c>
      <c r="T15" s="5" t="s">
        <v>30</v>
      </c>
      <c r="U15" s="5" t="s">
        <v>30</v>
      </c>
    </row>
    <row r="16" spans="1:21" ht="13.05" customHeight="1" x14ac:dyDescent="0.3">
      <c r="A16" s="5" t="s">
        <v>24</v>
      </c>
      <c r="B16" s="5">
        <v>1618</v>
      </c>
      <c r="C16" s="6">
        <v>46158</v>
      </c>
      <c r="D16" s="5" t="str">
        <f t="shared" si="0"/>
        <v>000000</v>
      </c>
      <c r="E16" s="5" t="str">
        <f t="shared" si="1"/>
        <v>000</v>
      </c>
      <c r="F16" s="5" t="str">
        <f>"51111000000"</f>
        <v>51111000000</v>
      </c>
      <c r="G16" s="5" t="str">
        <f t="shared" si="6"/>
        <v>1310</v>
      </c>
      <c r="H16" s="5" t="str">
        <f t="shared" si="2"/>
        <v>0000</v>
      </c>
      <c r="I16" s="5" t="str">
        <f t="shared" si="3"/>
        <v>000</v>
      </c>
      <c r="J16" s="5" t="str">
        <f t="shared" si="4"/>
        <v>000000</v>
      </c>
      <c r="K16" s="5" t="str">
        <f t="shared" si="5"/>
        <v>0000</v>
      </c>
      <c r="L16" s="5" t="str">
        <f t="shared" si="5"/>
        <v>0000</v>
      </c>
      <c r="M16" s="5" t="s">
        <v>25</v>
      </c>
      <c r="N16" s="4"/>
      <c r="O16" s="7">
        <v>13249288139</v>
      </c>
      <c r="P16" s="4"/>
      <c r="Q16" s="7">
        <v>13249288139</v>
      </c>
      <c r="R16" s="5" t="s">
        <v>38</v>
      </c>
      <c r="S16" s="5" t="s">
        <v>27</v>
      </c>
      <c r="T16" s="5" t="s">
        <v>30</v>
      </c>
      <c r="U16" s="5" t="s">
        <v>30</v>
      </c>
    </row>
    <row r="17" spans="1:21" ht="13.05" customHeight="1" x14ac:dyDescent="0.3">
      <c r="A17" s="5" t="s">
        <v>24</v>
      </c>
      <c r="B17" s="5">
        <v>1647</v>
      </c>
      <c r="C17" s="6">
        <v>46173</v>
      </c>
      <c r="D17" s="5" t="str">
        <f t="shared" si="0"/>
        <v>000000</v>
      </c>
      <c r="E17" s="5" t="str">
        <f t="shared" si="1"/>
        <v>000</v>
      </c>
      <c r="F17" s="5" t="str">
        <f>"51111000000"</f>
        <v>51111000000</v>
      </c>
      <c r="G17" s="5" t="str">
        <f t="shared" si="6"/>
        <v>1310</v>
      </c>
      <c r="H17" s="5" t="str">
        <f t="shared" si="2"/>
        <v>0000</v>
      </c>
      <c r="I17" s="5" t="str">
        <f t="shared" si="3"/>
        <v>000</v>
      </c>
      <c r="J17" s="5" t="str">
        <f t="shared" si="4"/>
        <v>000000</v>
      </c>
      <c r="K17" s="5" t="str">
        <f t="shared" si="5"/>
        <v>0000</v>
      </c>
      <c r="L17" s="5" t="str">
        <f t="shared" si="5"/>
        <v>0000</v>
      </c>
      <c r="M17" s="5" t="s">
        <v>25</v>
      </c>
      <c r="N17" s="4"/>
      <c r="O17" s="7">
        <v>765642586406</v>
      </c>
      <c r="P17" s="4"/>
      <c r="Q17" s="7">
        <v>765642586406</v>
      </c>
      <c r="R17" s="5" t="s">
        <v>39</v>
      </c>
      <c r="S17" s="5" t="s">
        <v>27</v>
      </c>
      <c r="T17" s="5" t="s">
        <v>30</v>
      </c>
      <c r="U17" s="5" t="s">
        <v>30</v>
      </c>
    </row>
    <row r="18" spans="1:21" ht="13.05" customHeight="1" x14ac:dyDescent="0.3">
      <c r="A18" s="5" t="s">
        <v>24</v>
      </c>
      <c r="B18" s="5">
        <v>1648</v>
      </c>
      <c r="C18" s="6">
        <v>46173</v>
      </c>
      <c r="D18" s="5" t="str">
        <f t="shared" si="0"/>
        <v>000000</v>
      </c>
      <c r="E18" s="5" t="str">
        <f t="shared" si="1"/>
        <v>000</v>
      </c>
      <c r="F18" s="5" t="str">
        <f>"51111000000"</f>
        <v>51111000000</v>
      </c>
      <c r="G18" s="5" t="str">
        <f t="shared" si="6"/>
        <v>1310</v>
      </c>
      <c r="H18" s="5" t="str">
        <f t="shared" si="2"/>
        <v>0000</v>
      </c>
      <c r="I18" s="5" t="str">
        <f t="shared" si="3"/>
        <v>000</v>
      </c>
      <c r="J18" s="5" t="str">
        <f t="shared" si="4"/>
        <v>000000</v>
      </c>
      <c r="K18" s="5" t="str">
        <f t="shared" si="5"/>
        <v>0000</v>
      </c>
      <c r="L18" s="5" t="str">
        <f t="shared" si="5"/>
        <v>0000</v>
      </c>
      <c r="M18" s="5" t="s">
        <v>25</v>
      </c>
      <c r="N18" s="4"/>
      <c r="O18" s="7">
        <v>95871352</v>
      </c>
      <c r="P18" s="4"/>
      <c r="Q18" s="7">
        <v>95871352</v>
      </c>
      <c r="R18" s="5" t="s">
        <v>40</v>
      </c>
      <c r="S18" s="5" t="s">
        <v>27</v>
      </c>
      <c r="T18" s="5" t="s">
        <v>30</v>
      </c>
      <c r="U18" s="5" t="s">
        <v>30</v>
      </c>
    </row>
    <row r="19" spans="1:21" ht="13.05" customHeight="1" x14ac:dyDescent="0.3">
      <c r="A19" s="5" t="s">
        <v>24</v>
      </c>
      <c r="B19" s="5">
        <v>1649</v>
      </c>
      <c r="C19" s="6">
        <v>46173</v>
      </c>
      <c r="D19" s="5" t="str">
        <f t="shared" si="0"/>
        <v>000000</v>
      </c>
      <c r="E19" s="5" t="str">
        <f t="shared" si="1"/>
        <v>000</v>
      </c>
      <c r="F19" s="5" t="str">
        <f>"51113000000"</f>
        <v>51113000000</v>
      </c>
      <c r="G19" s="5" t="str">
        <f t="shared" si="6"/>
        <v>1310</v>
      </c>
      <c r="H19" s="5" t="str">
        <f t="shared" si="2"/>
        <v>0000</v>
      </c>
      <c r="I19" s="5" t="str">
        <f t="shared" si="3"/>
        <v>000</v>
      </c>
      <c r="J19" s="5" t="str">
        <f t="shared" si="4"/>
        <v>000000</v>
      </c>
      <c r="K19" s="5" t="str">
        <f t="shared" si="5"/>
        <v>0000</v>
      </c>
      <c r="L19" s="5" t="str">
        <f t="shared" si="5"/>
        <v>0000</v>
      </c>
      <c r="M19" s="5" t="s">
        <v>25</v>
      </c>
      <c r="N19" s="4"/>
      <c r="O19" s="7">
        <v>596561995</v>
      </c>
      <c r="P19" s="4"/>
      <c r="Q19" s="7">
        <v>596561995</v>
      </c>
      <c r="R19" s="5" t="s">
        <v>41</v>
      </c>
      <c r="S19" s="5" t="s">
        <v>27</v>
      </c>
      <c r="T19" s="5" t="s">
        <v>30</v>
      </c>
      <c r="U19" s="5" t="s">
        <v>30</v>
      </c>
    </row>
    <row r="20" spans="1:21" ht="13.05" customHeight="1" x14ac:dyDescent="0.3">
      <c r="A20" s="5" t="s">
        <v>24</v>
      </c>
      <c r="B20" s="5">
        <v>1633</v>
      </c>
      <c r="C20" s="6">
        <v>46168</v>
      </c>
      <c r="D20" s="5" t="str">
        <f t="shared" si="0"/>
        <v>000000</v>
      </c>
      <c r="E20" s="5" t="str">
        <f t="shared" si="1"/>
        <v>000</v>
      </c>
      <c r="F20" s="5" t="str">
        <f>"51140000000"</f>
        <v>51140000000</v>
      </c>
      <c r="G20" s="5" t="str">
        <f>"4500"</f>
        <v>4500</v>
      </c>
      <c r="H20" s="5" t="str">
        <f t="shared" si="2"/>
        <v>0000</v>
      </c>
      <c r="I20" s="5" t="str">
        <f t="shared" si="3"/>
        <v>000</v>
      </c>
      <c r="J20" s="5" t="str">
        <f t="shared" si="4"/>
        <v>000000</v>
      </c>
      <c r="K20" s="5" t="str">
        <f t="shared" si="5"/>
        <v>0000</v>
      </c>
      <c r="L20" s="5" t="str">
        <f t="shared" si="5"/>
        <v>0000</v>
      </c>
      <c r="M20" s="5" t="s">
        <v>25</v>
      </c>
      <c r="N20" s="4"/>
      <c r="O20" s="7">
        <v>45940071</v>
      </c>
      <c r="P20" s="4"/>
      <c r="Q20" s="7">
        <v>45940071</v>
      </c>
      <c r="R20" s="5" t="s">
        <v>42</v>
      </c>
      <c r="S20" s="5" t="s">
        <v>27</v>
      </c>
      <c r="T20" s="5" t="s">
        <v>28</v>
      </c>
      <c r="U20" s="5" t="s">
        <v>28</v>
      </c>
    </row>
    <row r="21" spans="1:21" ht="13.05" customHeight="1" x14ac:dyDescent="0.3">
      <c r="A21" s="5" t="s">
        <v>24</v>
      </c>
      <c r="B21" s="5">
        <v>1639</v>
      </c>
      <c r="C21" s="6">
        <v>46173</v>
      </c>
      <c r="D21" s="5" t="str">
        <f t="shared" si="0"/>
        <v>000000</v>
      </c>
      <c r="E21" s="5" t="str">
        <f t="shared" si="1"/>
        <v>000</v>
      </c>
      <c r="F21" s="5" t="str">
        <f>"51111000000"</f>
        <v>51111000000</v>
      </c>
      <c r="G21" s="5" t="str">
        <f>"1310"</f>
        <v>1310</v>
      </c>
      <c r="H21" s="5" t="str">
        <f t="shared" si="2"/>
        <v>0000</v>
      </c>
      <c r="I21" s="5" t="str">
        <f t="shared" si="3"/>
        <v>000</v>
      </c>
      <c r="J21" s="5" t="str">
        <f t="shared" si="4"/>
        <v>000000</v>
      </c>
      <c r="K21" s="5" t="str">
        <f t="shared" si="5"/>
        <v>0000</v>
      </c>
      <c r="L21" s="5" t="str">
        <f t="shared" si="5"/>
        <v>0000</v>
      </c>
      <c r="M21" s="5" t="s">
        <v>25</v>
      </c>
      <c r="N21" s="4"/>
      <c r="O21" s="7">
        <v>-229956478</v>
      </c>
      <c r="P21" s="4"/>
      <c r="Q21" s="7">
        <v>-229956478</v>
      </c>
      <c r="R21" s="5" t="s">
        <v>43</v>
      </c>
      <c r="S21" s="5" t="s">
        <v>27</v>
      </c>
      <c r="T21" s="5" t="s">
        <v>30</v>
      </c>
      <c r="U21" s="5" t="s">
        <v>30</v>
      </c>
    </row>
    <row r="22" spans="1:21" ht="13.05" customHeight="1" x14ac:dyDescent="0.3">
      <c r="A22" s="5" t="s">
        <v>24</v>
      </c>
      <c r="B22" s="5">
        <v>1640</v>
      </c>
      <c r="C22" s="6">
        <v>46173</v>
      </c>
      <c r="D22" s="5" t="str">
        <f t="shared" si="0"/>
        <v>000000</v>
      </c>
      <c r="E22" s="5" t="str">
        <f t="shared" si="1"/>
        <v>000</v>
      </c>
      <c r="F22" s="5" t="str">
        <f>"51111000000"</f>
        <v>51111000000</v>
      </c>
      <c r="G22" s="5" t="str">
        <f>"1310"</f>
        <v>1310</v>
      </c>
      <c r="H22" s="5" t="str">
        <f t="shared" si="2"/>
        <v>0000</v>
      </c>
      <c r="I22" s="5" t="str">
        <f t="shared" si="3"/>
        <v>000</v>
      </c>
      <c r="J22" s="5" t="str">
        <f t="shared" si="4"/>
        <v>000000</v>
      </c>
      <c r="K22" s="5" t="str">
        <f t="shared" si="5"/>
        <v>0000</v>
      </c>
      <c r="L22" s="5" t="str">
        <f t="shared" si="5"/>
        <v>0000</v>
      </c>
      <c r="M22" s="5" t="s">
        <v>25</v>
      </c>
      <c r="N22" s="4"/>
      <c r="O22" s="7">
        <v>459004122</v>
      </c>
      <c r="P22" s="4"/>
      <c r="Q22" s="7">
        <v>459004122</v>
      </c>
      <c r="R22" s="5" t="s">
        <v>44</v>
      </c>
      <c r="S22" s="5" t="s">
        <v>27</v>
      </c>
      <c r="T22" s="5" t="s">
        <v>30</v>
      </c>
      <c r="U22" s="5" t="s">
        <v>30</v>
      </c>
    </row>
    <row r="23" spans="1:21" ht="13.05" customHeight="1" x14ac:dyDescent="0.3">
      <c r="A23" s="5" t="s">
        <v>24</v>
      </c>
      <c r="B23" s="5">
        <v>1641</v>
      </c>
      <c r="C23" s="6">
        <v>46173</v>
      </c>
      <c r="D23" s="5" t="str">
        <f t="shared" si="0"/>
        <v>000000</v>
      </c>
      <c r="E23" s="5" t="str">
        <f t="shared" si="1"/>
        <v>000</v>
      </c>
      <c r="F23" s="5" t="str">
        <f>"51111000000"</f>
        <v>51111000000</v>
      </c>
      <c r="G23" s="5" t="str">
        <f>"1310"</f>
        <v>1310</v>
      </c>
      <c r="H23" s="5" t="str">
        <f t="shared" si="2"/>
        <v>0000</v>
      </c>
      <c r="I23" s="5" t="str">
        <f t="shared" si="3"/>
        <v>000</v>
      </c>
      <c r="J23" s="5" t="str">
        <f t="shared" si="4"/>
        <v>000000</v>
      </c>
      <c r="K23" s="5" t="str">
        <f t="shared" si="5"/>
        <v>0000</v>
      </c>
      <c r="L23" s="5" t="str">
        <f t="shared" si="5"/>
        <v>0000</v>
      </c>
      <c r="M23" s="5" t="s">
        <v>25</v>
      </c>
      <c r="N23" s="4"/>
      <c r="O23" s="7">
        <v>282245344</v>
      </c>
      <c r="P23" s="4"/>
      <c r="Q23" s="7">
        <v>282245344</v>
      </c>
      <c r="R23" s="5" t="s">
        <v>45</v>
      </c>
      <c r="S23" s="5" t="s">
        <v>27</v>
      </c>
      <c r="T23" s="5" t="s">
        <v>30</v>
      </c>
      <c r="U23" s="5" t="s">
        <v>30</v>
      </c>
    </row>
    <row r="24" spans="1:21" ht="13.05" customHeight="1" x14ac:dyDescent="0.3">
      <c r="A24" s="5" t="s">
        <v>24</v>
      </c>
      <c r="B24" s="5">
        <v>1662</v>
      </c>
      <c r="C24" s="6">
        <v>46173</v>
      </c>
      <c r="D24" s="5" t="str">
        <f t="shared" si="0"/>
        <v>000000</v>
      </c>
      <c r="E24" s="5" t="str">
        <f t="shared" si="1"/>
        <v>000</v>
      </c>
      <c r="F24" s="5" t="str">
        <f>"51111000000"</f>
        <v>51111000000</v>
      </c>
      <c r="G24" s="5" t="str">
        <f>"1310"</f>
        <v>1310</v>
      </c>
      <c r="H24" s="5" t="str">
        <f t="shared" si="2"/>
        <v>0000</v>
      </c>
      <c r="I24" s="5" t="str">
        <f t="shared" si="3"/>
        <v>000</v>
      </c>
      <c r="J24" s="5" t="str">
        <f t="shared" si="4"/>
        <v>000000</v>
      </c>
      <c r="K24" s="5" t="str">
        <f t="shared" si="5"/>
        <v>0000</v>
      </c>
      <c r="L24" s="5" t="str">
        <f t="shared" si="5"/>
        <v>0000</v>
      </c>
      <c r="M24" s="5" t="s">
        <v>25</v>
      </c>
      <c r="N24" s="4"/>
      <c r="O24" s="7">
        <v>-37491358</v>
      </c>
      <c r="P24" s="4"/>
      <c r="Q24" s="7">
        <v>-37491358</v>
      </c>
      <c r="R24" s="5" t="s">
        <v>46</v>
      </c>
      <c r="S24" s="5" t="s">
        <v>27</v>
      </c>
      <c r="T24" s="5" t="s">
        <v>30</v>
      </c>
      <c r="U24" s="5" t="s">
        <v>30</v>
      </c>
    </row>
    <row r="25" spans="1:21" ht="13.05" customHeight="1" x14ac:dyDescent="0.3">
      <c r="A25" s="14" t="s">
        <v>47</v>
      </c>
      <c r="B25" s="15"/>
      <c r="C25" s="15"/>
      <c r="D25" s="16"/>
      <c r="E25" s="4"/>
      <c r="F25" s="4"/>
      <c r="G25" s="4"/>
      <c r="H25" s="4"/>
      <c r="I25" s="4"/>
      <c r="J25" s="4"/>
      <c r="K25" s="4"/>
      <c r="L25" s="4"/>
      <c r="M25" s="4"/>
      <c r="N25" s="4"/>
      <c r="O25" s="8">
        <v>1421779914426</v>
      </c>
      <c r="P25" s="4"/>
      <c r="Q25" s="8">
        <v>1421779914426</v>
      </c>
      <c r="R25" s="4"/>
      <c r="S25" s="4"/>
      <c r="T25" s="4"/>
      <c r="U25" s="4"/>
    </row>
  </sheetData>
  <mergeCells count="6">
    <mergeCell ref="A1:U1"/>
    <mergeCell ref="A2:U2"/>
    <mergeCell ref="A3:U3"/>
    <mergeCell ref="A4:U4"/>
    <mergeCell ref="D5:L5"/>
    <mergeCell ref="A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EVN_GL_0903___Báo_cáo_đối_08062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2026-06-08T03:44:53Z</dcterms:created>
  <dcterms:modified xsi:type="dcterms:W3CDTF">2026-06-08T03:44:53Z</dcterms:modified>
</cp:coreProperties>
</file>