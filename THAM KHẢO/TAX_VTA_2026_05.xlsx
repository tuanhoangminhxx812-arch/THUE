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5\"/>
    </mc:Choice>
  </mc:AlternateContent>
  <xr:revisionPtr revIDLastSave="0" documentId="13_ncr:1_{F5B4249A-7889-41FF-BE65-89285B9741EE}" xr6:coauthVersionLast="47" xr6:coauthVersionMax="47" xr10:uidLastSave="{00000000-0000-0000-0000-000000000000}"/>
  <bookViews>
    <workbookView xWindow="-108" yWindow="-108" windowWidth="30936" windowHeight="16776" tabRatio="719" xr2:uid="{333BE792-5398-44D3-B26C-AABC78E0290F}"/>
  </bookViews>
  <sheets>
    <sheet name="TAXVTA" sheetId="2" r:id="rId1"/>
    <sheet name="GCS" sheetId="11" r:id="rId2"/>
    <sheet name="0903" sheetId="8" r:id="rId3"/>
    <sheet name="3A" sheetId="6" r:id="rId4"/>
    <sheet name="4A" sheetId="9" r:id="rId5"/>
    <sheet name="TA35" sheetId="7" r:id="rId6"/>
    <sheet name="333111" sheetId="10" r:id="rId7"/>
    <sheet name="33895" sheetId="12" r:id="rId8"/>
    <sheet name="TA36" sheetId="3" r:id="rId9"/>
    <sheet name="13311" sheetId="4" r:id="rId10"/>
    <sheet name="Nhom TC" sheetId="14" r:id="rId11"/>
    <sheet name="133111" sheetId="16" r:id="rId12"/>
    <sheet name="13313" sheetId="15" r:id="rId13"/>
  </sheets>
  <externalReferences>
    <externalReference r:id="rId14"/>
    <externalReference r:id="rId15"/>
  </externalReferences>
  <definedNames>
    <definedName name="_xlnm._FilterDatabase" localSheetId="2" hidden="1">'0903'!$C$6:$V$32</definedName>
    <definedName name="_xlnm._FilterDatabase" localSheetId="9" hidden="1">'13311'!$A$10:$L$516</definedName>
    <definedName name="_xlnm._FilterDatabase" localSheetId="6" hidden="1">'333111'!$A$11:$Q$54</definedName>
    <definedName name="_xlnm._FilterDatabase" localSheetId="5" hidden="1">'TA35'!$A$14:$AC$59</definedName>
    <definedName name="_xlnm._FilterDatabase" localSheetId="8" hidden="1">'TA36'!$A$16:$AB$522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2" l="1"/>
  <c r="K103" i="2"/>
  <c r="K84" i="2"/>
  <c r="F78" i="2" l="1"/>
  <c r="I4" i="4"/>
  <c r="L79" i="2"/>
  <c r="J3" i="10"/>
  <c r="I509" i="4" l="1"/>
  <c r="J13" i="3" l="1"/>
  <c r="H13" i="3"/>
  <c r="F54" i="2"/>
  <c r="E54" i="2"/>
  <c r="C54" i="2"/>
  <c r="J525" i="3"/>
  <c r="U21" i="7"/>
  <c r="T21" i="7"/>
  <c r="E479" i="16" l="1"/>
  <c r="J16" i="12" l="1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3" i="12"/>
  <c r="K23" i="12"/>
  <c r="J24" i="12"/>
  <c r="K24" i="12"/>
  <c r="J25" i="12"/>
  <c r="K25" i="12"/>
  <c r="J26" i="12"/>
  <c r="K26" i="12"/>
  <c r="V505" i="3"/>
  <c r="U505" i="3"/>
  <c r="T505" i="3"/>
  <c r="P7" i="10" l="1"/>
  <c r="V504" i="3"/>
  <c r="U504" i="3"/>
  <c r="T504" i="3"/>
  <c r="V503" i="3"/>
  <c r="U503" i="3"/>
  <c r="T503" i="3"/>
  <c r="V502" i="3"/>
  <c r="U502" i="3"/>
  <c r="T502" i="3"/>
  <c r="V501" i="3"/>
  <c r="U501" i="3"/>
  <c r="T501" i="3"/>
  <c r="V500" i="3"/>
  <c r="U500" i="3"/>
  <c r="T500" i="3"/>
  <c r="V499" i="3"/>
  <c r="U499" i="3"/>
  <c r="T499" i="3"/>
  <c r="V498" i="3"/>
  <c r="U498" i="3"/>
  <c r="T498" i="3"/>
  <c r="V497" i="3"/>
  <c r="U497" i="3"/>
  <c r="T497" i="3"/>
  <c r="V496" i="3"/>
  <c r="U496" i="3"/>
  <c r="T496" i="3"/>
  <c r="V495" i="3"/>
  <c r="U495" i="3"/>
  <c r="T495" i="3"/>
  <c r="V494" i="3"/>
  <c r="U494" i="3"/>
  <c r="T494" i="3"/>
  <c r="V493" i="3"/>
  <c r="U493" i="3"/>
  <c r="T493" i="3"/>
  <c r="V492" i="3"/>
  <c r="U492" i="3"/>
  <c r="T492" i="3"/>
  <c r="V491" i="3"/>
  <c r="U491" i="3"/>
  <c r="T491" i="3"/>
  <c r="V490" i="3"/>
  <c r="U490" i="3"/>
  <c r="T490" i="3"/>
  <c r="V489" i="3"/>
  <c r="U489" i="3"/>
  <c r="T489" i="3"/>
  <c r="V488" i="3"/>
  <c r="U488" i="3"/>
  <c r="T488" i="3"/>
  <c r="V487" i="3"/>
  <c r="U487" i="3"/>
  <c r="T487" i="3"/>
  <c r="V486" i="3"/>
  <c r="U486" i="3"/>
  <c r="T486" i="3"/>
  <c r="V485" i="3"/>
  <c r="U485" i="3"/>
  <c r="T485" i="3"/>
  <c r="V484" i="3"/>
  <c r="U484" i="3"/>
  <c r="T484" i="3"/>
  <c r="V483" i="3"/>
  <c r="U483" i="3"/>
  <c r="T483" i="3"/>
  <c r="V482" i="3"/>
  <c r="U482" i="3"/>
  <c r="T482" i="3"/>
  <c r="V481" i="3"/>
  <c r="U481" i="3"/>
  <c r="T481" i="3"/>
  <c r="V480" i="3"/>
  <c r="U480" i="3"/>
  <c r="T480" i="3"/>
  <c r="V479" i="3"/>
  <c r="U479" i="3"/>
  <c r="T479" i="3"/>
  <c r="V478" i="3"/>
  <c r="U478" i="3"/>
  <c r="T478" i="3"/>
  <c r="V477" i="3"/>
  <c r="U477" i="3"/>
  <c r="T477" i="3"/>
  <c r="V476" i="3"/>
  <c r="U476" i="3"/>
  <c r="T476" i="3"/>
  <c r="V475" i="3"/>
  <c r="U475" i="3"/>
  <c r="T475" i="3"/>
  <c r="V474" i="3"/>
  <c r="U474" i="3"/>
  <c r="T474" i="3"/>
  <c r="V473" i="3"/>
  <c r="U473" i="3"/>
  <c r="T473" i="3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O4" i="14"/>
  <c r="O1" i="14"/>
  <c r="A16" i="14" a="1"/>
  <c r="A16" i="14" s="1"/>
  <c r="I15" i="14"/>
  <c r="H15" i="14"/>
  <c r="K14" i="14"/>
  <c r="K13" i="14"/>
  <c r="K12" i="14"/>
  <c r="K11" i="14"/>
  <c r="K10" i="14"/>
  <c r="K9" i="14"/>
  <c r="K15" i="14" s="1"/>
  <c r="H3" i="9"/>
  <c r="I3" i="9"/>
  <c r="J3" i="9"/>
  <c r="E30" i="11"/>
  <c r="O29" i="11"/>
  <c r="N29" i="11"/>
  <c r="M29" i="11"/>
  <c r="L29" i="11"/>
  <c r="K29" i="11"/>
  <c r="J29" i="11"/>
  <c r="I29" i="11"/>
  <c r="H29" i="11"/>
  <c r="G29" i="11"/>
  <c r="F29" i="11"/>
  <c r="D29" i="11"/>
  <c r="C29" i="11"/>
  <c r="B29" i="11"/>
  <c r="O28" i="11"/>
  <c r="N28" i="11"/>
  <c r="M28" i="11"/>
  <c r="L28" i="11"/>
  <c r="K28" i="11"/>
  <c r="J28" i="11"/>
  <c r="I28" i="11"/>
  <c r="H28" i="11"/>
  <c r="G28" i="11"/>
  <c r="F28" i="11"/>
  <c r="D28" i="11"/>
  <c r="C28" i="11"/>
  <c r="B28" i="11"/>
  <c r="E26" i="11"/>
  <c r="O25" i="11"/>
  <c r="O26" i="11" s="1"/>
  <c r="N25" i="11"/>
  <c r="N26" i="11" s="1"/>
  <c r="M25" i="11"/>
  <c r="M26" i="11" s="1"/>
  <c r="L25" i="11"/>
  <c r="L26" i="11" s="1"/>
  <c r="K25" i="11"/>
  <c r="K26" i="11" s="1"/>
  <c r="J25" i="11"/>
  <c r="J26" i="11" s="1"/>
  <c r="I25" i="11"/>
  <c r="I26" i="11" s="1"/>
  <c r="H25" i="11"/>
  <c r="H26" i="11" s="1"/>
  <c r="G25" i="11"/>
  <c r="G26" i="11" s="1"/>
  <c r="F25" i="11"/>
  <c r="F26" i="11" s="1"/>
  <c r="D25" i="11"/>
  <c r="D26" i="11" s="1"/>
  <c r="C25" i="11"/>
  <c r="C26" i="11" s="1"/>
  <c r="B25" i="11"/>
  <c r="O22" i="11"/>
  <c r="N22" i="11"/>
  <c r="M22" i="11"/>
  <c r="L22" i="11"/>
  <c r="K22" i="11"/>
  <c r="J22" i="11"/>
  <c r="I22" i="11"/>
  <c r="H22" i="11"/>
  <c r="G22" i="11"/>
  <c r="F22" i="11"/>
  <c r="D22" i="11"/>
  <c r="C22" i="11"/>
  <c r="B22" i="11"/>
  <c r="O21" i="11"/>
  <c r="N21" i="11"/>
  <c r="M21" i="11"/>
  <c r="L21" i="11"/>
  <c r="K21" i="11"/>
  <c r="J21" i="11"/>
  <c r="I21" i="11"/>
  <c r="H21" i="11"/>
  <c r="G21" i="11"/>
  <c r="F21" i="11"/>
  <c r="D21" i="11"/>
  <c r="C21" i="11"/>
  <c r="B21" i="11"/>
  <c r="O20" i="11"/>
  <c r="N20" i="11"/>
  <c r="M20" i="11"/>
  <c r="L20" i="11"/>
  <c r="K20" i="11"/>
  <c r="J20" i="11"/>
  <c r="I20" i="11"/>
  <c r="H20" i="11"/>
  <c r="G20" i="11"/>
  <c r="F20" i="11"/>
  <c r="D20" i="11"/>
  <c r="C20" i="11"/>
  <c r="B20" i="11"/>
  <c r="O19" i="11"/>
  <c r="N19" i="11"/>
  <c r="M19" i="11"/>
  <c r="L19" i="11"/>
  <c r="K19" i="11"/>
  <c r="J19" i="11"/>
  <c r="I19" i="11"/>
  <c r="H19" i="11"/>
  <c r="G19" i="11"/>
  <c r="F19" i="11"/>
  <c r="D19" i="11"/>
  <c r="C19" i="11"/>
  <c r="B19" i="11"/>
  <c r="O16" i="11"/>
  <c r="N16" i="11"/>
  <c r="M16" i="11"/>
  <c r="L16" i="11"/>
  <c r="K16" i="11"/>
  <c r="J16" i="11"/>
  <c r="I16" i="11"/>
  <c r="H16" i="11"/>
  <c r="G16" i="11"/>
  <c r="F16" i="11"/>
  <c r="D16" i="11"/>
  <c r="C16" i="11"/>
  <c r="B16" i="11"/>
  <c r="E16" i="11" s="1"/>
  <c r="O15" i="11"/>
  <c r="N15" i="11"/>
  <c r="M15" i="11"/>
  <c r="M17" i="11" s="1"/>
  <c r="L15" i="11"/>
  <c r="K15" i="11"/>
  <c r="J15" i="11"/>
  <c r="I15" i="11"/>
  <c r="H15" i="11"/>
  <c r="G15" i="11"/>
  <c r="F15" i="11"/>
  <c r="D15" i="11"/>
  <c r="C15" i="11"/>
  <c r="B15" i="11"/>
  <c r="E15" i="11" s="1"/>
  <c r="O12" i="11"/>
  <c r="N12" i="11"/>
  <c r="M12" i="11"/>
  <c r="L12" i="11"/>
  <c r="K12" i="11"/>
  <c r="J12" i="11"/>
  <c r="I12" i="11"/>
  <c r="H12" i="11"/>
  <c r="G12" i="11"/>
  <c r="F12" i="11"/>
  <c r="D12" i="11"/>
  <c r="C12" i="11"/>
  <c r="B12" i="11"/>
  <c r="E12" i="11" s="1"/>
  <c r="O11" i="11"/>
  <c r="N11" i="11"/>
  <c r="M11" i="11"/>
  <c r="L11" i="11"/>
  <c r="K11" i="11"/>
  <c r="K13" i="11" s="1"/>
  <c r="J11" i="11"/>
  <c r="I11" i="11"/>
  <c r="H11" i="11"/>
  <c r="G11" i="11"/>
  <c r="F11" i="11"/>
  <c r="D11" i="11"/>
  <c r="C11" i="11"/>
  <c r="B11" i="11"/>
  <c r="E11" i="11" s="1"/>
  <c r="I30" i="11" l="1"/>
  <c r="O23" i="11"/>
  <c r="L13" i="11"/>
  <c r="O17" i="11"/>
  <c r="N17" i="11"/>
  <c r="G13" i="11"/>
  <c r="J30" i="11"/>
  <c r="K30" i="11"/>
  <c r="L30" i="11"/>
  <c r="F30" i="11"/>
  <c r="C13" i="11"/>
  <c r="D13" i="11"/>
  <c r="F13" i="11"/>
  <c r="C30" i="11"/>
  <c r="D30" i="11"/>
  <c r="D23" i="11"/>
  <c r="F23" i="11"/>
  <c r="F31" i="11" s="1"/>
  <c r="H30" i="11"/>
  <c r="I23" i="11"/>
  <c r="K23" i="11"/>
  <c r="H13" i="11"/>
  <c r="I13" i="11"/>
  <c r="M23" i="11"/>
  <c r="G30" i="11"/>
  <c r="J23" i="11"/>
  <c r="L23" i="11"/>
  <c r="J13" i="11"/>
  <c r="J31" i="11" s="1"/>
  <c r="N23" i="11"/>
  <c r="K17" i="11"/>
  <c r="M30" i="11"/>
  <c r="O30" i="11"/>
  <c r="D17" i="11"/>
  <c r="M13" i="11"/>
  <c r="J17" i="11"/>
  <c r="L17" i="11"/>
  <c r="G23" i="11"/>
  <c r="C17" i="11"/>
  <c r="G17" i="11"/>
  <c r="N30" i="11"/>
  <c r="H17" i="11"/>
  <c r="I17" i="11"/>
  <c r="H23" i="11"/>
  <c r="F17" i="11"/>
  <c r="N13" i="11"/>
  <c r="O13" i="11"/>
  <c r="C23" i="11"/>
  <c r="L884" i="4"/>
  <c r="L64" i="2"/>
  <c r="J64" i="2"/>
  <c r="L60" i="2"/>
  <c r="L61" i="2"/>
  <c r="L62" i="2"/>
  <c r="L59" i="2"/>
  <c r="J60" i="2"/>
  <c r="J61" i="2"/>
  <c r="J62" i="2"/>
  <c r="J59" i="2"/>
  <c r="L879" i="4"/>
  <c r="K89" i="2"/>
  <c r="E89" i="2"/>
  <c r="J11" i="4"/>
  <c r="V472" i="3"/>
  <c r="U472" i="3"/>
  <c r="T472" i="3"/>
  <c r="V471" i="3"/>
  <c r="U471" i="3"/>
  <c r="T471" i="3"/>
  <c r="V470" i="3"/>
  <c r="U470" i="3"/>
  <c r="T470" i="3"/>
  <c r="V469" i="3"/>
  <c r="U469" i="3"/>
  <c r="T469" i="3"/>
  <c r="V468" i="3"/>
  <c r="U468" i="3"/>
  <c r="T468" i="3"/>
  <c r="V467" i="3"/>
  <c r="U467" i="3"/>
  <c r="T467" i="3"/>
  <c r="V466" i="3"/>
  <c r="U466" i="3"/>
  <c r="T466" i="3"/>
  <c r="V465" i="3"/>
  <c r="U465" i="3"/>
  <c r="T465" i="3"/>
  <c r="V464" i="3"/>
  <c r="U464" i="3"/>
  <c r="T464" i="3"/>
  <c r="V463" i="3"/>
  <c r="U463" i="3"/>
  <c r="T463" i="3"/>
  <c r="V462" i="3"/>
  <c r="U462" i="3"/>
  <c r="T462" i="3"/>
  <c r="V461" i="3"/>
  <c r="U461" i="3"/>
  <c r="T461" i="3"/>
  <c r="V460" i="3"/>
  <c r="U460" i="3"/>
  <c r="T460" i="3"/>
  <c r="V459" i="3"/>
  <c r="U459" i="3"/>
  <c r="T459" i="3"/>
  <c r="V458" i="3"/>
  <c r="U458" i="3"/>
  <c r="T458" i="3"/>
  <c r="V457" i="3"/>
  <c r="U457" i="3"/>
  <c r="T457" i="3"/>
  <c r="V456" i="3"/>
  <c r="U456" i="3"/>
  <c r="T456" i="3"/>
  <c r="V455" i="3"/>
  <c r="U455" i="3"/>
  <c r="T455" i="3"/>
  <c r="V454" i="3"/>
  <c r="U454" i="3"/>
  <c r="T454" i="3"/>
  <c r="V453" i="3"/>
  <c r="U453" i="3"/>
  <c r="T453" i="3"/>
  <c r="V452" i="3"/>
  <c r="U452" i="3"/>
  <c r="T452" i="3"/>
  <c r="V451" i="3"/>
  <c r="U451" i="3"/>
  <c r="T451" i="3"/>
  <c r="V450" i="3"/>
  <c r="U450" i="3"/>
  <c r="T450" i="3"/>
  <c r="V449" i="3"/>
  <c r="U449" i="3"/>
  <c r="T449" i="3"/>
  <c r="V448" i="3"/>
  <c r="U448" i="3"/>
  <c r="T448" i="3"/>
  <c r="V447" i="3"/>
  <c r="U447" i="3"/>
  <c r="T447" i="3"/>
  <c r="V446" i="3"/>
  <c r="U446" i="3"/>
  <c r="T446" i="3"/>
  <c r="V445" i="3"/>
  <c r="U445" i="3"/>
  <c r="T445" i="3"/>
  <c r="V444" i="3"/>
  <c r="U444" i="3"/>
  <c r="T444" i="3"/>
  <c r="V443" i="3"/>
  <c r="U443" i="3"/>
  <c r="T443" i="3"/>
  <c r="V442" i="3"/>
  <c r="U442" i="3"/>
  <c r="T442" i="3"/>
  <c r="V441" i="3"/>
  <c r="U441" i="3"/>
  <c r="T441" i="3"/>
  <c r="V440" i="3"/>
  <c r="U440" i="3"/>
  <c r="T440" i="3"/>
  <c r="V439" i="3"/>
  <c r="U439" i="3"/>
  <c r="T439" i="3"/>
  <c r="V438" i="3"/>
  <c r="U438" i="3"/>
  <c r="T438" i="3"/>
  <c r="V437" i="3"/>
  <c r="U437" i="3"/>
  <c r="T437" i="3"/>
  <c r="V436" i="3"/>
  <c r="U436" i="3"/>
  <c r="T436" i="3"/>
  <c r="V435" i="3"/>
  <c r="U435" i="3"/>
  <c r="T435" i="3"/>
  <c r="V434" i="3"/>
  <c r="U434" i="3"/>
  <c r="T434" i="3"/>
  <c r="V433" i="3"/>
  <c r="U433" i="3"/>
  <c r="T433" i="3"/>
  <c r="V432" i="3"/>
  <c r="U432" i="3"/>
  <c r="T432" i="3"/>
  <c r="V431" i="3"/>
  <c r="U431" i="3"/>
  <c r="T431" i="3"/>
  <c r="V430" i="3"/>
  <c r="U430" i="3"/>
  <c r="T430" i="3"/>
  <c r="V429" i="3"/>
  <c r="U429" i="3"/>
  <c r="T429" i="3"/>
  <c r="V428" i="3"/>
  <c r="U428" i="3"/>
  <c r="T428" i="3"/>
  <c r="V427" i="3"/>
  <c r="U427" i="3"/>
  <c r="T427" i="3"/>
  <c r="V426" i="3"/>
  <c r="U426" i="3"/>
  <c r="T426" i="3"/>
  <c r="V425" i="3"/>
  <c r="U425" i="3"/>
  <c r="T425" i="3"/>
  <c r="V424" i="3"/>
  <c r="U424" i="3"/>
  <c r="T424" i="3"/>
  <c r="V423" i="3"/>
  <c r="U423" i="3"/>
  <c r="T423" i="3"/>
  <c r="V422" i="3"/>
  <c r="U422" i="3"/>
  <c r="T422" i="3"/>
  <c r="V421" i="3"/>
  <c r="U421" i="3"/>
  <c r="T421" i="3"/>
  <c r="V420" i="3"/>
  <c r="U420" i="3"/>
  <c r="T420" i="3"/>
  <c r="V419" i="3"/>
  <c r="U419" i="3"/>
  <c r="T419" i="3"/>
  <c r="V418" i="3"/>
  <c r="U418" i="3"/>
  <c r="T418" i="3"/>
  <c r="V417" i="3"/>
  <c r="U417" i="3"/>
  <c r="T417" i="3"/>
  <c r="V416" i="3"/>
  <c r="U416" i="3"/>
  <c r="T416" i="3"/>
  <c r="V415" i="3"/>
  <c r="U415" i="3"/>
  <c r="T415" i="3"/>
  <c r="V414" i="3"/>
  <c r="U414" i="3"/>
  <c r="T414" i="3"/>
  <c r="V413" i="3"/>
  <c r="U413" i="3"/>
  <c r="T413" i="3"/>
  <c r="V412" i="3"/>
  <c r="U412" i="3"/>
  <c r="T412" i="3"/>
  <c r="V411" i="3"/>
  <c r="U411" i="3"/>
  <c r="T411" i="3"/>
  <c r="V410" i="3"/>
  <c r="U410" i="3"/>
  <c r="T410" i="3"/>
  <c r="V409" i="3"/>
  <c r="U409" i="3"/>
  <c r="T409" i="3"/>
  <c r="V408" i="3"/>
  <c r="U408" i="3"/>
  <c r="T408" i="3"/>
  <c r="V407" i="3"/>
  <c r="U407" i="3"/>
  <c r="T407" i="3"/>
  <c r="V406" i="3"/>
  <c r="U406" i="3"/>
  <c r="T406" i="3"/>
  <c r="V405" i="3"/>
  <c r="U405" i="3"/>
  <c r="T405" i="3"/>
  <c r="V404" i="3"/>
  <c r="U404" i="3"/>
  <c r="T404" i="3"/>
  <c r="V403" i="3"/>
  <c r="U403" i="3"/>
  <c r="T403" i="3"/>
  <c r="V402" i="3"/>
  <c r="U402" i="3"/>
  <c r="T402" i="3"/>
  <c r="V401" i="3"/>
  <c r="U401" i="3"/>
  <c r="T401" i="3"/>
  <c r="V400" i="3"/>
  <c r="U400" i="3"/>
  <c r="T400" i="3"/>
  <c r="V399" i="3"/>
  <c r="U399" i="3"/>
  <c r="T399" i="3"/>
  <c r="V398" i="3"/>
  <c r="U398" i="3"/>
  <c r="T398" i="3"/>
  <c r="V397" i="3"/>
  <c r="U397" i="3"/>
  <c r="T397" i="3"/>
  <c r="V396" i="3"/>
  <c r="U396" i="3"/>
  <c r="T396" i="3"/>
  <c r="V395" i="3"/>
  <c r="U395" i="3"/>
  <c r="T395" i="3"/>
  <c r="V394" i="3"/>
  <c r="U394" i="3"/>
  <c r="T394" i="3"/>
  <c r="V393" i="3"/>
  <c r="U393" i="3"/>
  <c r="T393" i="3"/>
  <c r="V392" i="3"/>
  <c r="U392" i="3"/>
  <c r="T392" i="3"/>
  <c r="V391" i="3"/>
  <c r="U391" i="3"/>
  <c r="T391" i="3"/>
  <c r="V390" i="3"/>
  <c r="U390" i="3"/>
  <c r="T390" i="3"/>
  <c r="V389" i="3"/>
  <c r="U389" i="3"/>
  <c r="T389" i="3"/>
  <c r="V388" i="3"/>
  <c r="U388" i="3"/>
  <c r="T388" i="3"/>
  <c r="V387" i="3"/>
  <c r="U387" i="3"/>
  <c r="T387" i="3"/>
  <c r="V386" i="3"/>
  <c r="U386" i="3"/>
  <c r="T386" i="3"/>
  <c r="V385" i="3"/>
  <c r="U385" i="3"/>
  <c r="T385" i="3"/>
  <c r="V384" i="3"/>
  <c r="U384" i="3"/>
  <c r="T384" i="3"/>
  <c r="V383" i="3"/>
  <c r="U383" i="3"/>
  <c r="T383" i="3"/>
  <c r="V382" i="3"/>
  <c r="U382" i="3"/>
  <c r="T382" i="3"/>
  <c r="V381" i="3"/>
  <c r="U381" i="3"/>
  <c r="T381" i="3"/>
  <c r="V380" i="3"/>
  <c r="U380" i="3"/>
  <c r="T380" i="3"/>
  <c r="V379" i="3"/>
  <c r="U379" i="3"/>
  <c r="T379" i="3"/>
  <c r="V378" i="3"/>
  <c r="U378" i="3"/>
  <c r="T378" i="3"/>
  <c r="V377" i="3"/>
  <c r="U377" i="3"/>
  <c r="T377" i="3"/>
  <c r="V376" i="3"/>
  <c r="U376" i="3"/>
  <c r="T376" i="3"/>
  <c r="V375" i="3"/>
  <c r="U375" i="3"/>
  <c r="T375" i="3"/>
  <c r="V374" i="3"/>
  <c r="U374" i="3"/>
  <c r="T374" i="3"/>
  <c r="V373" i="3"/>
  <c r="U373" i="3"/>
  <c r="T373" i="3"/>
  <c r="V372" i="3"/>
  <c r="U372" i="3"/>
  <c r="T372" i="3"/>
  <c r="V371" i="3"/>
  <c r="U371" i="3"/>
  <c r="T371" i="3"/>
  <c r="V370" i="3"/>
  <c r="U370" i="3"/>
  <c r="T370" i="3"/>
  <c r="V369" i="3"/>
  <c r="U369" i="3"/>
  <c r="T369" i="3"/>
  <c r="V368" i="3"/>
  <c r="U368" i="3"/>
  <c r="T368" i="3"/>
  <c r="V367" i="3"/>
  <c r="U367" i="3"/>
  <c r="T367" i="3"/>
  <c r="V366" i="3"/>
  <c r="U366" i="3"/>
  <c r="T366" i="3"/>
  <c r="V365" i="3"/>
  <c r="U365" i="3"/>
  <c r="T365" i="3"/>
  <c r="V364" i="3"/>
  <c r="U364" i="3"/>
  <c r="T364" i="3"/>
  <c r="V363" i="3"/>
  <c r="U363" i="3"/>
  <c r="T363" i="3"/>
  <c r="V362" i="3"/>
  <c r="U362" i="3"/>
  <c r="T362" i="3"/>
  <c r="V361" i="3"/>
  <c r="U361" i="3"/>
  <c r="T361" i="3"/>
  <c r="V360" i="3"/>
  <c r="U360" i="3"/>
  <c r="T360" i="3"/>
  <c r="V359" i="3"/>
  <c r="U359" i="3"/>
  <c r="T359" i="3"/>
  <c r="V358" i="3"/>
  <c r="U358" i="3"/>
  <c r="T358" i="3"/>
  <c r="V357" i="3"/>
  <c r="U357" i="3"/>
  <c r="T357" i="3"/>
  <c r="V356" i="3"/>
  <c r="U356" i="3"/>
  <c r="T356" i="3"/>
  <c r="V355" i="3"/>
  <c r="U355" i="3"/>
  <c r="T355" i="3"/>
  <c r="V354" i="3"/>
  <c r="U354" i="3"/>
  <c r="T354" i="3"/>
  <c r="V353" i="3"/>
  <c r="U353" i="3"/>
  <c r="T353" i="3"/>
  <c r="V352" i="3"/>
  <c r="U352" i="3"/>
  <c r="T352" i="3"/>
  <c r="V351" i="3"/>
  <c r="U351" i="3"/>
  <c r="T351" i="3"/>
  <c r="V350" i="3"/>
  <c r="U350" i="3"/>
  <c r="T350" i="3"/>
  <c r="V349" i="3"/>
  <c r="U349" i="3"/>
  <c r="T349" i="3"/>
  <c r="V348" i="3"/>
  <c r="U348" i="3"/>
  <c r="T348" i="3"/>
  <c r="V347" i="3"/>
  <c r="U347" i="3"/>
  <c r="T347" i="3"/>
  <c r="V346" i="3"/>
  <c r="U346" i="3"/>
  <c r="T346" i="3"/>
  <c r="V345" i="3"/>
  <c r="U345" i="3"/>
  <c r="T345" i="3"/>
  <c r="V344" i="3"/>
  <c r="U344" i="3"/>
  <c r="T344" i="3"/>
  <c r="V343" i="3"/>
  <c r="U343" i="3"/>
  <c r="T343" i="3"/>
  <c r="V342" i="3"/>
  <c r="U342" i="3"/>
  <c r="T342" i="3"/>
  <c r="V341" i="3"/>
  <c r="U341" i="3"/>
  <c r="T341" i="3"/>
  <c r="V340" i="3"/>
  <c r="U340" i="3"/>
  <c r="T340" i="3"/>
  <c r="V339" i="3"/>
  <c r="U339" i="3"/>
  <c r="T339" i="3"/>
  <c r="V338" i="3"/>
  <c r="U338" i="3"/>
  <c r="T338" i="3"/>
  <c r="V337" i="3"/>
  <c r="U337" i="3"/>
  <c r="T337" i="3"/>
  <c r="V336" i="3"/>
  <c r="U336" i="3"/>
  <c r="T336" i="3"/>
  <c r="V335" i="3"/>
  <c r="U335" i="3"/>
  <c r="T335" i="3"/>
  <c r="V334" i="3"/>
  <c r="U334" i="3"/>
  <c r="T334" i="3"/>
  <c r="V333" i="3"/>
  <c r="U333" i="3"/>
  <c r="T333" i="3"/>
  <c r="V332" i="3"/>
  <c r="U332" i="3"/>
  <c r="T332" i="3"/>
  <c r="V331" i="3"/>
  <c r="U331" i="3"/>
  <c r="T331" i="3"/>
  <c r="V330" i="3"/>
  <c r="U330" i="3"/>
  <c r="T330" i="3"/>
  <c r="V329" i="3"/>
  <c r="U329" i="3"/>
  <c r="T329" i="3"/>
  <c r="V328" i="3"/>
  <c r="U328" i="3"/>
  <c r="T328" i="3"/>
  <c r="V327" i="3"/>
  <c r="U327" i="3"/>
  <c r="T327" i="3"/>
  <c r="V326" i="3"/>
  <c r="U326" i="3"/>
  <c r="T326" i="3"/>
  <c r="V325" i="3"/>
  <c r="U325" i="3"/>
  <c r="T325" i="3"/>
  <c r="V324" i="3"/>
  <c r="U324" i="3"/>
  <c r="T324" i="3"/>
  <c r="V323" i="3"/>
  <c r="U323" i="3"/>
  <c r="T323" i="3"/>
  <c r="V322" i="3"/>
  <c r="U322" i="3"/>
  <c r="T322" i="3"/>
  <c r="V321" i="3"/>
  <c r="U321" i="3"/>
  <c r="T321" i="3"/>
  <c r="V320" i="3"/>
  <c r="U320" i="3"/>
  <c r="T320" i="3"/>
  <c r="V319" i="3"/>
  <c r="U319" i="3"/>
  <c r="T319" i="3"/>
  <c r="V318" i="3"/>
  <c r="U318" i="3"/>
  <c r="T318" i="3"/>
  <c r="V317" i="3"/>
  <c r="U317" i="3"/>
  <c r="T317" i="3"/>
  <c r="V316" i="3"/>
  <c r="U316" i="3"/>
  <c r="T316" i="3"/>
  <c r="V315" i="3"/>
  <c r="U315" i="3"/>
  <c r="T315" i="3"/>
  <c r="V314" i="3"/>
  <c r="U314" i="3"/>
  <c r="T314" i="3"/>
  <c r="V313" i="3"/>
  <c r="U313" i="3"/>
  <c r="T313" i="3"/>
  <c r="V312" i="3"/>
  <c r="U312" i="3"/>
  <c r="T312" i="3"/>
  <c r="V311" i="3"/>
  <c r="U311" i="3"/>
  <c r="T311" i="3"/>
  <c r="V310" i="3"/>
  <c r="U310" i="3"/>
  <c r="T310" i="3"/>
  <c r="V309" i="3"/>
  <c r="U309" i="3"/>
  <c r="T309" i="3"/>
  <c r="V308" i="3"/>
  <c r="U308" i="3"/>
  <c r="T308" i="3"/>
  <c r="V307" i="3"/>
  <c r="U307" i="3"/>
  <c r="T307" i="3"/>
  <c r="V306" i="3"/>
  <c r="U306" i="3"/>
  <c r="T306" i="3"/>
  <c r="V305" i="3"/>
  <c r="U305" i="3"/>
  <c r="T305" i="3"/>
  <c r="V304" i="3"/>
  <c r="U304" i="3"/>
  <c r="T304" i="3"/>
  <c r="V303" i="3"/>
  <c r="U303" i="3"/>
  <c r="T303" i="3"/>
  <c r="V302" i="3"/>
  <c r="U302" i="3"/>
  <c r="T302" i="3"/>
  <c r="V301" i="3"/>
  <c r="U301" i="3"/>
  <c r="T301" i="3"/>
  <c r="V300" i="3"/>
  <c r="U300" i="3"/>
  <c r="T300" i="3"/>
  <c r="V299" i="3"/>
  <c r="U299" i="3"/>
  <c r="T299" i="3"/>
  <c r="V298" i="3"/>
  <c r="U298" i="3"/>
  <c r="T298" i="3"/>
  <c r="V297" i="3"/>
  <c r="U297" i="3"/>
  <c r="T297" i="3"/>
  <c r="V296" i="3"/>
  <c r="U296" i="3"/>
  <c r="T296" i="3"/>
  <c r="V295" i="3"/>
  <c r="U295" i="3"/>
  <c r="T295" i="3"/>
  <c r="V294" i="3"/>
  <c r="U294" i="3"/>
  <c r="T294" i="3"/>
  <c r="V293" i="3"/>
  <c r="U293" i="3"/>
  <c r="T293" i="3"/>
  <c r="V292" i="3"/>
  <c r="U292" i="3"/>
  <c r="T292" i="3"/>
  <c r="V291" i="3"/>
  <c r="U291" i="3"/>
  <c r="T291" i="3"/>
  <c r="V290" i="3"/>
  <c r="U290" i="3"/>
  <c r="T290" i="3"/>
  <c r="V289" i="3"/>
  <c r="U289" i="3"/>
  <c r="T289" i="3"/>
  <c r="V288" i="3"/>
  <c r="U288" i="3"/>
  <c r="T288" i="3"/>
  <c r="V287" i="3"/>
  <c r="U287" i="3"/>
  <c r="T287" i="3"/>
  <c r="V286" i="3"/>
  <c r="U286" i="3"/>
  <c r="T286" i="3"/>
  <c r="V285" i="3"/>
  <c r="U285" i="3"/>
  <c r="T285" i="3"/>
  <c r="V284" i="3"/>
  <c r="U284" i="3"/>
  <c r="T284" i="3"/>
  <c r="V283" i="3"/>
  <c r="U283" i="3"/>
  <c r="T283" i="3"/>
  <c r="V282" i="3"/>
  <c r="U282" i="3"/>
  <c r="T282" i="3"/>
  <c r="V281" i="3"/>
  <c r="U281" i="3"/>
  <c r="T281" i="3"/>
  <c r="V280" i="3"/>
  <c r="U280" i="3"/>
  <c r="T280" i="3"/>
  <c r="V279" i="3"/>
  <c r="U279" i="3"/>
  <c r="T279" i="3"/>
  <c r="V278" i="3"/>
  <c r="U278" i="3"/>
  <c r="T278" i="3"/>
  <c r="V277" i="3"/>
  <c r="U277" i="3"/>
  <c r="T277" i="3"/>
  <c r="V276" i="3"/>
  <c r="U276" i="3"/>
  <c r="T276" i="3"/>
  <c r="V275" i="3"/>
  <c r="U275" i="3"/>
  <c r="T275" i="3"/>
  <c r="V274" i="3"/>
  <c r="U274" i="3"/>
  <c r="T274" i="3"/>
  <c r="V273" i="3"/>
  <c r="U273" i="3"/>
  <c r="T273" i="3"/>
  <c r="V272" i="3"/>
  <c r="U272" i="3"/>
  <c r="T272" i="3"/>
  <c r="V271" i="3"/>
  <c r="U271" i="3"/>
  <c r="T271" i="3"/>
  <c r="V270" i="3"/>
  <c r="U270" i="3"/>
  <c r="T270" i="3"/>
  <c r="V269" i="3"/>
  <c r="U269" i="3"/>
  <c r="T269" i="3"/>
  <c r="V268" i="3"/>
  <c r="U268" i="3"/>
  <c r="T268" i="3"/>
  <c r="V267" i="3"/>
  <c r="U267" i="3"/>
  <c r="T267" i="3"/>
  <c r="V266" i="3"/>
  <c r="U266" i="3"/>
  <c r="T266" i="3"/>
  <c r="V265" i="3"/>
  <c r="U265" i="3"/>
  <c r="T265" i="3"/>
  <c r="V264" i="3"/>
  <c r="U264" i="3"/>
  <c r="T264" i="3"/>
  <c r="V263" i="3"/>
  <c r="U263" i="3"/>
  <c r="T263" i="3"/>
  <c r="V262" i="3"/>
  <c r="U262" i="3"/>
  <c r="T262" i="3"/>
  <c r="V261" i="3"/>
  <c r="U261" i="3"/>
  <c r="T261" i="3"/>
  <c r="V260" i="3"/>
  <c r="U260" i="3"/>
  <c r="T260" i="3"/>
  <c r="V259" i="3"/>
  <c r="U259" i="3"/>
  <c r="T259" i="3"/>
  <c r="V258" i="3"/>
  <c r="U258" i="3"/>
  <c r="T258" i="3"/>
  <c r="V257" i="3"/>
  <c r="U257" i="3"/>
  <c r="T257" i="3"/>
  <c r="V256" i="3"/>
  <c r="U256" i="3"/>
  <c r="T256" i="3"/>
  <c r="V255" i="3"/>
  <c r="U255" i="3"/>
  <c r="T255" i="3"/>
  <c r="V254" i="3"/>
  <c r="U254" i="3"/>
  <c r="T254" i="3"/>
  <c r="V253" i="3"/>
  <c r="U253" i="3"/>
  <c r="T253" i="3"/>
  <c r="V252" i="3"/>
  <c r="U252" i="3"/>
  <c r="T252" i="3"/>
  <c r="V251" i="3"/>
  <c r="U251" i="3"/>
  <c r="T251" i="3"/>
  <c r="V250" i="3"/>
  <c r="U250" i="3"/>
  <c r="T250" i="3"/>
  <c r="V249" i="3"/>
  <c r="U249" i="3"/>
  <c r="T249" i="3"/>
  <c r="V248" i="3"/>
  <c r="U248" i="3"/>
  <c r="T248" i="3"/>
  <c r="V247" i="3"/>
  <c r="U247" i="3"/>
  <c r="T247" i="3"/>
  <c r="V246" i="3"/>
  <c r="U246" i="3"/>
  <c r="T246" i="3"/>
  <c r="V245" i="3"/>
  <c r="U245" i="3"/>
  <c r="T245" i="3"/>
  <c r="V244" i="3"/>
  <c r="U244" i="3"/>
  <c r="T244" i="3"/>
  <c r="V243" i="3"/>
  <c r="U243" i="3"/>
  <c r="T243" i="3"/>
  <c r="V242" i="3"/>
  <c r="U242" i="3"/>
  <c r="T242" i="3"/>
  <c r="V241" i="3"/>
  <c r="U241" i="3"/>
  <c r="T241" i="3"/>
  <c r="V240" i="3"/>
  <c r="U240" i="3"/>
  <c r="T240" i="3"/>
  <c r="V239" i="3"/>
  <c r="U239" i="3"/>
  <c r="T239" i="3"/>
  <c r="V238" i="3"/>
  <c r="U238" i="3"/>
  <c r="T238" i="3"/>
  <c r="V237" i="3"/>
  <c r="U237" i="3"/>
  <c r="T237" i="3"/>
  <c r="V236" i="3"/>
  <c r="U236" i="3"/>
  <c r="T236" i="3"/>
  <c r="V235" i="3"/>
  <c r="U235" i="3"/>
  <c r="T235" i="3"/>
  <c r="V234" i="3"/>
  <c r="U234" i="3"/>
  <c r="T234" i="3"/>
  <c r="V233" i="3"/>
  <c r="U233" i="3"/>
  <c r="T233" i="3"/>
  <c r="V232" i="3"/>
  <c r="U232" i="3"/>
  <c r="T232" i="3"/>
  <c r="V231" i="3"/>
  <c r="U231" i="3"/>
  <c r="T231" i="3"/>
  <c r="V230" i="3"/>
  <c r="U230" i="3"/>
  <c r="T230" i="3"/>
  <c r="V229" i="3"/>
  <c r="U229" i="3"/>
  <c r="T229" i="3"/>
  <c r="V228" i="3"/>
  <c r="U228" i="3"/>
  <c r="T228" i="3"/>
  <c r="V227" i="3"/>
  <c r="U227" i="3"/>
  <c r="T227" i="3"/>
  <c r="V226" i="3"/>
  <c r="U226" i="3"/>
  <c r="T226" i="3"/>
  <c r="V225" i="3"/>
  <c r="U225" i="3"/>
  <c r="T225" i="3"/>
  <c r="V224" i="3"/>
  <c r="U224" i="3"/>
  <c r="T224" i="3"/>
  <c r="V223" i="3"/>
  <c r="U223" i="3"/>
  <c r="T223" i="3"/>
  <c r="V222" i="3"/>
  <c r="U222" i="3"/>
  <c r="T222" i="3"/>
  <c r="V221" i="3"/>
  <c r="U221" i="3"/>
  <c r="T221" i="3"/>
  <c r="V220" i="3"/>
  <c r="U220" i="3"/>
  <c r="T220" i="3"/>
  <c r="V219" i="3"/>
  <c r="U219" i="3"/>
  <c r="T219" i="3"/>
  <c r="V218" i="3"/>
  <c r="U218" i="3"/>
  <c r="T218" i="3"/>
  <c r="V217" i="3"/>
  <c r="U217" i="3"/>
  <c r="T217" i="3"/>
  <c r="V216" i="3"/>
  <c r="U216" i="3"/>
  <c r="T216" i="3"/>
  <c r="V215" i="3"/>
  <c r="U215" i="3"/>
  <c r="T215" i="3"/>
  <c r="V214" i="3"/>
  <c r="U214" i="3"/>
  <c r="T214" i="3"/>
  <c r="V213" i="3"/>
  <c r="U213" i="3"/>
  <c r="T213" i="3"/>
  <c r="V212" i="3"/>
  <c r="U212" i="3"/>
  <c r="T212" i="3"/>
  <c r="V211" i="3"/>
  <c r="U211" i="3"/>
  <c r="T211" i="3"/>
  <c r="V210" i="3"/>
  <c r="U210" i="3"/>
  <c r="T210" i="3"/>
  <c r="V209" i="3"/>
  <c r="U209" i="3"/>
  <c r="T209" i="3"/>
  <c r="V208" i="3"/>
  <c r="U208" i="3"/>
  <c r="T208" i="3"/>
  <c r="V207" i="3"/>
  <c r="U207" i="3"/>
  <c r="T207" i="3"/>
  <c r="V206" i="3"/>
  <c r="U206" i="3"/>
  <c r="T206" i="3"/>
  <c r="V205" i="3"/>
  <c r="U205" i="3"/>
  <c r="T205" i="3"/>
  <c r="V204" i="3"/>
  <c r="U204" i="3"/>
  <c r="T204" i="3"/>
  <c r="V203" i="3"/>
  <c r="U203" i="3"/>
  <c r="T203" i="3"/>
  <c r="V202" i="3"/>
  <c r="U202" i="3"/>
  <c r="T202" i="3"/>
  <c r="V201" i="3"/>
  <c r="U201" i="3"/>
  <c r="T201" i="3"/>
  <c r="V200" i="3"/>
  <c r="U200" i="3"/>
  <c r="T200" i="3"/>
  <c r="V199" i="3"/>
  <c r="U199" i="3"/>
  <c r="T199" i="3"/>
  <c r="V198" i="3"/>
  <c r="U198" i="3"/>
  <c r="T198" i="3"/>
  <c r="V197" i="3"/>
  <c r="U197" i="3"/>
  <c r="T197" i="3"/>
  <c r="V196" i="3"/>
  <c r="U196" i="3"/>
  <c r="T196" i="3"/>
  <c r="V195" i="3"/>
  <c r="U195" i="3"/>
  <c r="T195" i="3"/>
  <c r="V194" i="3"/>
  <c r="U194" i="3"/>
  <c r="T194" i="3"/>
  <c r="V193" i="3"/>
  <c r="U193" i="3"/>
  <c r="T193" i="3"/>
  <c r="V192" i="3"/>
  <c r="U192" i="3"/>
  <c r="T192" i="3"/>
  <c r="V191" i="3"/>
  <c r="U191" i="3"/>
  <c r="T191" i="3"/>
  <c r="V190" i="3"/>
  <c r="U190" i="3"/>
  <c r="T190" i="3"/>
  <c r="V189" i="3"/>
  <c r="U189" i="3"/>
  <c r="T189" i="3"/>
  <c r="V188" i="3"/>
  <c r="U188" i="3"/>
  <c r="T188" i="3"/>
  <c r="V187" i="3"/>
  <c r="U187" i="3"/>
  <c r="T187" i="3"/>
  <c r="V186" i="3"/>
  <c r="U186" i="3"/>
  <c r="T186" i="3"/>
  <c r="V185" i="3"/>
  <c r="U185" i="3"/>
  <c r="T185" i="3"/>
  <c r="V184" i="3"/>
  <c r="U184" i="3"/>
  <c r="T184" i="3"/>
  <c r="V183" i="3"/>
  <c r="U183" i="3"/>
  <c r="T183" i="3"/>
  <c r="V182" i="3"/>
  <c r="U182" i="3"/>
  <c r="T182" i="3"/>
  <c r="V181" i="3"/>
  <c r="U181" i="3"/>
  <c r="T181" i="3"/>
  <c r="V180" i="3"/>
  <c r="U180" i="3"/>
  <c r="T180" i="3"/>
  <c r="V179" i="3"/>
  <c r="U179" i="3"/>
  <c r="T179" i="3"/>
  <c r="V178" i="3"/>
  <c r="U178" i="3"/>
  <c r="T178" i="3"/>
  <c r="V177" i="3"/>
  <c r="U177" i="3"/>
  <c r="T177" i="3"/>
  <c r="V176" i="3"/>
  <c r="U176" i="3"/>
  <c r="T176" i="3"/>
  <c r="V175" i="3"/>
  <c r="U175" i="3"/>
  <c r="T175" i="3"/>
  <c r="V174" i="3"/>
  <c r="U174" i="3"/>
  <c r="T174" i="3"/>
  <c r="V173" i="3"/>
  <c r="U173" i="3"/>
  <c r="T173" i="3"/>
  <c r="V172" i="3"/>
  <c r="U172" i="3"/>
  <c r="T172" i="3"/>
  <c r="V171" i="3"/>
  <c r="U171" i="3"/>
  <c r="T171" i="3"/>
  <c r="V170" i="3"/>
  <c r="U170" i="3"/>
  <c r="T170" i="3"/>
  <c r="V169" i="3"/>
  <c r="U169" i="3"/>
  <c r="T169" i="3"/>
  <c r="V168" i="3"/>
  <c r="U168" i="3"/>
  <c r="T168" i="3"/>
  <c r="V167" i="3"/>
  <c r="U167" i="3"/>
  <c r="T167" i="3"/>
  <c r="V166" i="3"/>
  <c r="U166" i="3"/>
  <c r="T166" i="3"/>
  <c r="V165" i="3"/>
  <c r="U165" i="3"/>
  <c r="T165" i="3"/>
  <c r="V164" i="3"/>
  <c r="U164" i="3"/>
  <c r="T164" i="3"/>
  <c r="V163" i="3"/>
  <c r="U163" i="3"/>
  <c r="T163" i="3"/>
  <c r="V162" i="3"/>
  <c r="U162" i="3"/>
  <c r="T162" i="3"/>
  <c r="V161" i="3"/>
  <c r="U161" i="3"/>
  <c r="T161" i="3"/>
  <c r="V160" i="3"/>
  <c r="U160" i="3"/>
  <c r="T160" i="3"/>
  <c r="V159" i="3"/>
  <c r="U159" i="3"/>
  <c r="T159" i="3"/>
  <c r="V158" i="3"/>
  <c r="U158" i="3"/>
  <c r="T158" i="3"/>
  <c r="V157" i="3"/>
  <c r="U157" i="3"/>
  <c r="T157" i="3"/>
  <c r="V156" i="3"/>
  <c r="U156" i="3"/>
  <c r="T156" i="3"/>
  <c r="V155" i="3"/>
  <c r="U155" i="3"/>
  <c r="T155" i="3"/>
  <c r="V154" i="3"/>
  <c r="U154" i="3"/>
  <c r="T154" i="3"/>
  <c r="V153" i="3"/>
  <c r="U153" i="3"/>
  <c r="T153" i="3"/>
  <c r="V152" i="3"/>
  <c r="U152" i="3"/>
  <c r="T152" i="3"/>
  <c r="V151" i="3"/>
  <c r="U151" i="3"/>
  <c r="T151" i="3"/>
  <c r="V150" i="3"/>
  <c r="U150" i="3"/>
  <c r="T150" i="3"/>
  <c r="V149" i="3"/>
  <c r="U149" i="3"/>
  <c r="T149" i="3"/>
  <c r="V148" i="3"/>
  <c r="U148" i="3"/>
  <c r="T148" i="3"/>
  <c r="V147" i="3"/>
  <c r="U147" i="3"/>
  <c r="T147" i="3"/>
  <c r="V146" i="3"/>
  <c r="U146" i="3"/>
  <c r="T146" i="3"/>
  <c r="V145" i="3"/>
  <c r="U145" i="3"/>
  <c r="T145" i="3"/>
  <c r="V144" i="3"/>
  <c r="U144" i="3"/>
  <c r="T144" i="3"/>
  <c r="V143" i="3"/>
  <c r="U143" i="3"/>
  <c r="T143" i="3"/>
  <c r="V142" i="3"/>
  <c r="U142" i="3"/>
  <c r="T142" i="3"/>
  <c r="V141" i="3"/>
  <c r="U141" i="3"/>
  <c r="T141" i="3"/>
  <c r="V140" i="3"/>
  <c r="U140" i="3"/>
  <c r="T140" i="3"/>
  <c r="V139" i="3"/>
  <c r="U139" i="3"/>
  <c r="T139" i="3"/>
  <c r="V138" i="3"/>
  <c r="U138" i="3"/>
  <c r="T138" i="3"/>
  <c r="V137" i="3"/>
  <c r="U137" i="3"/>
  <c r="T137" i="3"/>
  <c r="V136" i="3"/>
  <c r="U136" i="3"/>
  <c r="T136" i="3"/>
  <c r="V135" i="3"/>
  <c r="U135" i="3"/>
  <c r="T135" i="3"/>
  <c r="V134" i="3"/>
  <c r="U134" i="3"/>
  <c r="T134" i="3"/>
  <c r="V133" i="3"/>
  <c r="U133" i="3"/>
  <c r="T133" i="3"/>
  <c r="V132" i="3"/>
  <c r="U132" i="3"/>
  <c r="T132" i="3"/>
  <c r="V131" i="3"/>
  <c r="U131" i="3"/>
  <c r="T131" i="3"/>
  <c r="V130" i="3"/>
  <c r="U130" i="3"/>
  <c r="T130" i="3"/>
  <c r="V129" i="3"/>
  <c r="U129" i="3"/>
  <c r="T129" i="3"/>
  <c r="V128" i="3"/>
  <c r="U128" i="3"/>
  <c r="T128" i="3"/>
  <c r="V127" i="3"/>
  <c r="U127" i="3"/>
  <c r="T127" i="3"/>
  <c r="V126" i="3"/>
  <c r="U126" i="3"/>
  <c r="T126" i="3"/>
  <c r="V125" i="3"/>
  <c r="U125" i="3"/>
  <c r="T125" i="3"/>
  <c r="V124" i="3"/>
  <c r="U124" i="3"/>
  <c r="T124" i="3"/>
  <c r="V123" i="3"/>
  <c r="U123" i="3"/>
  <c r="T123" i="3"/>
  <c r="V122" i="3"/>
  <c r="U122" i="3"/>
  <c r="T122" i="3"/>
  <c r="V121" i="3"/>
  <c r="U121" i="3"/>
  <c r="T121" i="3"/>
  <c r="V120" i="3"/>
  <c r="U120" i="3"/>
  <c r="T120" i="3"/>
  <c r="V119" i="3"/>
  <c r="U119" i="3"/>
  <c r="T119" i="3"/>
  <c r="V118" i="3"/>
  <c r="U118" i="3"/>
  <c r="T118" i="3"/>
  <c r="V117" i="3"/>
  <c r="U117" i="3"/>
  <c r="T117" i="3"/>
  <c r="V116" i="3"/>
  <c r="U116" i="3"/>
  <c r="T116" i="3"/>
  <c r="V115" i="3"/>
  <c r="U115" i="3"/>
  <c r="T115" i="3"/>
  <c r="V114" i="3"/>
  <c r="U114" i="3"/>
  <c r="T114" i="3"/>
  <c r="V113" i="3"/>
  <c r="U113" i="3"/>
  <c r="T113" i="3"/>
  <c r="V112" i="3"/>
  <c r="U112" i="3"/>
  <c r="T112" i="3"/>
  <c r="V111" i="3"/>
  <c r="U111" i="3"/>
  <c r="T111" i="3"/>
  <c r="V110" i="3"/>
  <c r="U110" i="3"/>
  <c r="T110" i="3"/>
  <c r="V109" i="3"/>
  <c r="U109" i="3"/>
  <c r="T109" i="3"/>
  <c r="V108" i="3"/>
  <c r="U108" i="3"/>
  <c r="T108" i="3"/>
  <c r="V107" i="3"/>
  <c r="U107" i="3"/>
  <c r="T107" i="3"/>
  <c r="V106" i="3"/>
  <c r="U106" i="3"/>
  <c r="T106" i="3"/>
  <c r="V105" i="3"/>
  <c r="U105" i="3"/>
  <c r="T105" i="3"/>
  <c r="V104" i="3"/>
  <c r="U104" i="3"/>
  <c r="T104" i="3"/>
  <c r="V103" i="3"/>
  <c r="U103" i="3"/>
  <c r="T103" i="3"/>
  <c r="V102" i="3"/>
  <c r="U102" i="3"/>
  <c r="T102" i="3"/>
  <c r="V101" i="3"/>
  <c r="U101" i="3"/>
  <c r="T101" i="3"/>
  <c r="V100" i="3"/>
  <c r="U100" i="3"/>
  <c r="T100" i="3"/>
  <c r="V99" i="3"/>
  <c r="U99" i="3"/>
  <c r="T99" i="3"/>
  <c r="V98" i="3"/>
  <c r="U98" i="3"/>
  <c r="T98" i="3"/>
  <c r="V97" i="3"/>
  <c r="U97" i="3"/>
  <c r="T97" i="3"/>
  <c r="V96" i="3"/>
  <c r="U96" i="3"/>
  <c r="T96" i="3"/>
  <c r="V95" i="3"/>
  <c r="U95" i="3"/>
  <c r="T95" i="3"/>
  <c r="V94" i="3"/>
  <c r="U94" i="3"/>
  <c r="T94" i="3"/>
  <c r="V93" i="3"/>
  <c r="U93" i="3"/>
  <c r="T93" i="3"/>
  <c r="V92" i="3"/>
  <c r="U92" i="3"/>
  <c r="T92" i="3"/>
  <c r="V91" i="3"/>
  <c r="U91" i="3"/>
  <c r="T91" i="3"/>
  <c r="V90" i="3"/>
  <c r="U90" i="3"/>
  <c r="T90" i="3"/>
  <c r="V89" i="3"/>
  <c r="U89" i="3"/>
  <c r="T89" i="3"/>
  <c r="V88" i="3"/>
  <c r="U88" i="3"/>
  <c r="T88" i="3"/>
  <c r="V87" i="3"/>
  <c r="U87" i="3"/>
  <c r="T87" i="3"/>
  <c r="V86" i="3"/>
  <c r="U86" i="3"/>
  <c r="T86" i="3"/>
  <c r="V85" i="3"/>
  <c r="U85" i="3"/>
  <c r="T85" i="3"/>
  <c r="V84" i="3"/>
  <c r="U84" i="3"/>
  <c r="T84" i="3"/>
  <c r="V83" i="3"/>
  <c r="U83" i="3"/>
  <c r="T83" i="3"/>
  <c r="V82" i="3"/>
  <c r="U82" i="3"/>
  <c r="T82" i="3"/>
  <c r="V81" i="3"/>
  <c r="U81" i="3"/>
  <c r="T81" i="3"/>
  <c r="V80" i="3"/>
  <c r="U80" i="3"/>
  <c r="T80" i="3"/>
  <c r="V79" i="3"/>
  <c r="U79" i="3"/>
  <c r="T79" i="3"/>
  <c r="V78" i="3"/>
  <c r="U78" i="3"/>
  <c r="T78" i="3"/>
  <c r="V77" i="3"/>
  <c r="U77" i="3"/>
  <c r="T77" i="3"/>
  <c r="V76" i="3"/>
  <c r="U76" i="3"/>
  <c r="T76" i="3"/>
  <c r="V75" i="3"/>
  <c r="U75" i="3"/>
  <c r="T75" i="3"/>
  <c r="V74" i="3"/>
  <c r="U74" i="3"/>
  <c r="T74" i="3"/>
  <c r="V73" i="3"/>
  <c r="U73" i="3"/>
  <c r="T73" i="3"/>
  <c r="V72" i="3"/>
  <c r="U72" i="3"/>
  <c r="T72" i="3"/>
  <c r="V71" i="3"/>
  <c r="U71" i="3"/>
  <c r="T71" i="3"/>
  <c r="V70" i="3"/>
  <c r="U70" i="3"/>
  <c r="T70" i="3"/>
  <c r="V69" i="3"/>
  <c r="U69" i="3"/>
  <c r="T69" i="3"/>
  <c r="V68" i="3"/>
  <c r="U68" i="3"/>
  <c r="T68" i="3"/>
  <c r="V67" i="3"/>
  <c r="U67" i="3"/>
  <c r="T67" i="3"/>
  <c r="V66" i="3"/>
  <c r="U66" i="3"/>
  <c r="T66" i="3"/>
  <c r="V65" i="3"/>
  <c r="U65" i="3"/>
  <c r="T65" i="3"/>
  <c r="V64" i="3"/>
  <c r="U64" i="3"/>
  <c r="T64" i="3"/>
  <c r="V63" i="3"/>
  <c r="U63" i="3"/>
  <c r="T63" i="3"/>
  <c r="V62" i="3"/>
  <c r="U62" i="3"/>
  <c r="T62" i="3"/>
  <c r="V61" i="3"/>
  <c r="U61" i="3"/>
  <c r="T61" i="3"/>
  <c r="V60" i="3"/>
  <c r="U60" i="3"/>
  <c r="T60" i="3"/>
  <c r="V59" i="3"/>
  <c r="U59" i="3"/>
  <c r="T59" i="3"/>
  <c r="V58" i="3"/>
  <c r="U58" i="3"/>
  <c r="T58" i="3"/>
  <c r="V57" i="3"/>
  <c r="U57" i="3"/>
  <c r="T57" i="3"/>
  <c r="V56" i="3"/>
  <c r="U56" i="3"/>
  <c r="T56" i="3"/>
  <c r="V55" i="3"/>
  <c r="U55" i="3"/>
  <c r="T55" i="3"/>
  <c r="V54" i="3"/>
  <c r="U54" i="3"/>
  <c r="T54" i="3"/>
  <c r="V53" i="3"/>
  <c r="U53" i="3"/>
  <c r="T53" i="3"/>
  <c r="V52" i="3"/>
  <c r="U52" i="3"/>
  <c r="T52" i="3"/>
  <c r="V51" i="3"/>
  <c r="U51" i="3"/>
  <c r="T51" i="3"/>
  <c r="V50" i="3"/>
  <c r="U50" i="3"/>
  <c r="T50" i="3"/>
  <c r="V49" i="3"/>
  <c r="U49" i="3"/>
  <c r="T49" i="3"/>
  <c r="V48" i="3"/>
  <c r="U48" i="3"/>
  <c r="T48" i="3"/>
  <c r="V47" i="3"/>
  <c r="U47" i="3"/>
  <c r="T47" i="3"/>
  <c r="V46" i="3"/>
  <c r="U46" i="3"/>
  <c r="T46" i="3"/>
  <c r="V45" i="3"/>
  <c r="U45" i="3"/>
  <c r="T45" i="3"/>
  <c r="V44" i="3"/>
  <c r="U44" i="3"/>
  <c r="T44" i="3"/>
  <c r="V43" i="3"/>
  <c r="U43" i="3"/>
  <c r="T43" i="3"/>
  <c r="V42" i="3"/>
  <c r="U42" i="3"/>
  <c r="T42" i="3"/>
  <c r="V41" i="3"/>
  <c r="U41" i="3"/>
  <c r="T41" i="3"/>
  <c r="V40" i="3"/>
  <c r="U40" i="3"/>
  <c r="T40" i="3"/>
  <c r="V39" i="3"/>
  <c r="U39" i="3"/>
  <c r="T39" i="3"/>
  <c r="V38" i="3"/>
  <c r="U38" i="3"/>
  <c r="T38" i="3"/>
  <c r="V37" i="3"/>
  <c r="U37" i="3"/>
  <c r="T37" i="3"/>
  <c r="V36" i="3"/>
  <c r="U36" i="3"/>
  <c r="T36" i="3"/>
  <c r="V35" i="3"/>
  <c r="U35" i="3"/>
  <c r="T35" i="3"/>
  <c r="V34" i="3"/>
  <c r="U34" i="3"/>
  <c r="T34" i="3"/>
  <c r="V33" i="3"/>
  <c r="U33" i="3"/>
  <c r="T33" i="3"/>
  <c r="V32" i="3"/>
  <c r="U32" i="3"/>
  <c r="T32" i="3"/>
  <c r="V31" i="3"/>
  <c r="U31" i="3"/>
  <c r="T31" i="3"/>
  <c r="V30" i="3"/>
  <c r="U30" i="3"/>
  <c r="T30" i="3"/>
  <c r="V29" i="3"/>
  <c r="U29" i="3"/>
  <c r="T29" i="3"/>
  <c r="V28" i="3"/>
  <c r="U28" i="3"/>
  <c r="T28" i="3"/>
  <c r="V27" i="3"/>
  <c r="U27" i="3"/>
  <c r="T27" i="3"/>
  <c r="V26" i="3"/>
  <c r="U26" i="3"/>
  <c r="T26" i="3"/>
  <c r="V25" i="3"/>
  <c r="U25" i="3"/>
  <c r="T25" i="3"/>
  <c r="V24" i="3"/>
  <c r="U24" i="3"/>
  <c r="T24" i="3"/>
  <c r="V23" i="3"/>
  <c r="U23" i="3"/>
  <c r="T23" i="3"/>
  <c r="V22" i="3"/>
  <c r="U22" i="3"/>
  <c r="T22" i="3"/>
  <c r="V21" i="3"/>
  <c r="U21" i="3"/>
  <c r="T21" i="3"/>
  <c r="V20" i="3"/>
  <c r="U20" i="3"/>
  <c r="T20" i="3"/>
  <c r="V19" i="3"/>
  <c r="U19" i="3"/>
  <c r="T19" i="3"/>
  <c r="D17" i="9"/>
  <c r="D16" i="9" s="1"/>
  <c r="D12" i="9"/>
  <c r="V25" i="8"/>
  <c r="V24" i="8"/>
  <c r="V23" i="8"/>
  <c r="V22" i="8"/>
  <c r="V21" i="8"/>
  <c r="V20" i="8"/>
  <c r="V19" i="8"/>
  <c r="V18" i="8"/>
  <c r="V17" i="8"/>
  <c r="V15" i="8"/>
  <c r="V14" i="8"/>
  <c r="V13" i="8"/>
  <c r="V12" i="8"/>
  <c r="V11" i="8"/>
  <c r="V10" i="8"/>
  <c r="V9" i="8"/>
  <c r="V8" i="8"/>
  <c r="V7" i="8"/>
  <c r="O2" i="14"/>
  <c r="E95" i="2"/>
  <c r="K49" i="2"/>
  <c r="I31" i="11" l="1"/>
  <c r="K31" i="11"/>
  <c r="H31" i="11"/>
  <c r="M31" i="11"/>
  <c r="C31" i="11"/>
  <c r="L31" i="11"/>
  <c r="D31" i="11"/>
  <c r="G31" i="11"/>
  <c r="O31" i="11"/>
  <c r="N31" i="11"/>
  <c r="I27" i="10"/>
  <c r="J27" i="10"/>
  <c r="I28" i="10"/>
  <c r="J28" i="10"/>
  <c r="I29" i="10"/>
  <c r="J29" i="10"/>
  <c r="I30" i="10"/>
  <c r="J30" i="10"/>
  <c r="I31" i="10"/>
  <c r="J31" i="10"/>
  <c r="I32" i="10"/>
  <c r="J32" i="10"/>
  <c r="E85" i="2"/>
  <c r="J1" i="10" l="1"/>
  <c r="E74" i="2" s="1"/>
  <c r="I1" i="4"/>
  <c r="E66" i="2" l="1"/>
  <c r="E67" i="2"/>
  <c r="M60" i="2"/>
  <c r="D21" i="2"/>
  <c r="H21" i="2"/>
  <c r="P21" i="2"/>
  <c r="D9" i="2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11" i="10"/>
  <c r="K11" i="10"/>
  <c r="K12" i="10" s="1"/>
  <c r="Y14" i="3"/>
  <c r="X14" i="3"/>
  <c r="X2" i="3"/>
  <c r="X3" i="3"/>
  <c r="X4" i="3"/>
  <c r="X5" i="3"/>
  <c r="X6" i="3"/>
  <c r="X7" i="3"/>
  <c r="X8" i="3"/>
  <c r="X9" i="3"/>
  <c r="X1" i="3"/>
  <c r="J12" i="4"/>
  <c r="G67" i="2" l="1"/>
  <c r="K13" i="10"/>
  <c r="J13" i="4"/>
  <c r="X10" i="3"/>
  <c r="X13" i="3" s="1"/>
  <c r="X15" i="3" s="1"/>
  <c r="D13" i="2" l="1"/>
  <c r="K14" i="10"/>
  <c r="J14" i="4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367" i="4" s="1"/>
  <c r="J368" i="4" s="1"/>
  <c r="J369" i="4" s="1"/>
  <c r="J370" i="4" s="1"/>
  <c r="J371" i="4" s="1"/>
  <c r="J372" i="4" s="1"/>
  <c r="J373" i="4" s="1"/>
  <c r="J374" i="4" s="1"/>
  <c r="J375" i="4" s="1"/>
  <c r="J376" i="4" s="1"/>
  <c r="J377" i="4" s="1"/>
  <c r="J378" i="4" s="1"/>
  <c r="J379" i="4" s="1"/>
  <c r="J380" i="4" s="1"/>
  <c r="J381" i="4" s="1"/>
  <c r="J382" i="4" s="1"/>
  <c r="J383" i="4" s="1"/>
  <c r="J384" i="4" s="1"/>
  <c r="J385" i="4" s="1"/>
  <c r="J386" i="4" s="1"/>
  <c r="J387" i="4" s="1"/>
  <c r="J388" i="4" s="1"/>
  <c r="J389" i="4" s="1"/>
  <c r="J390" i="4" s="1"/>
  <c r="J391" i="4" s="1"/>
  <c r="J392" i="4" s="1"/>
  <c r="J393" i="4" s="1"/>
  <c r="J394" i="4" s="1"/>
  <c r="J395" i="4" s="1"/>
  <c r="J396" i="4" s="1"/>
  <c r="J397" i="4" s="1"/>
  <c r="J398" i="4" s="1"/>
  <c r="J399" i="4" s="1"/>
  <c r="J400" i="4" s="1"/>
  <c r="J401" i="4" s="1"/>
  <c r="J402" i="4" s="1"/>
  <c r="J403" i="4" s="1"/>
  <c r="J404" i="4" s="1"/>
  <c r="J405" i="4" s="1"/>
  <c r="J406" i="4" s="1"/>
  <c r="J407" i="4" s="1"/>
  <c r="J408" i="4" s="1"/>
  <c r="J409" i="4" s="1"/>
  <c r="J410" i="4" s="1"/>
  <c r="J411" i="4" s="1"/>
  <c r="J412" i="4" s="1"/>
  <c r="J413" i="4" s="1"/>
  <c r="J414" i="4" s="1"/>
  <c r="J415" i="4" s="1"/>
  <c r="J416" i="4" s="1"/>
  <c r="J417" i="4" s="1"/>
  <c r="J418" i="4" s="1"/>
  <c r="J419" i="4" s="1"/>
  <c r="J420" i="4" s="1"/>
  <c r="J421" i="4" s="1"/>
  <c r="J422" i="4" s="1"/>
  <c r="J423" i="4" s="1"/>
  <c r="J424" i="4" s="1"/>
  <c r="J425" i="4" s="1"/>
  <c r="J426" i="4" s="1"/>
  <c r="J427" i="4" s="1"/>
  <c r="J428" i="4" s="1"/>
  <c r="J429" i="4" s="1"/>
  <c r="J430" i="4" s="1"/>
  <c r="J431" i="4" s="1"/>
  <c r="J432" i="4" s="1"/>
  <c r="J433" i="4" s="1"/>
  <c r="J434" i="4" s="1"/>
  <c r="J435" i="4" s="1"/>
  <c r="J436" i="4" s="1"/>
  <c r="J437" i="4" s="1"/>
  <c r="J438" i="4" s="1"/>
  <c r="J439" i="4" s="1"/>
  <c r="J440" i="4" s="1"/>
  <c r="J441" i="4" s="1"/>
  <c r="J442" i="4" s="1"/>
  <c r="J443" i="4" s="1"/>
  <c r="J444" i="4" s="1"/>
  <c r="J445" i="4" s="1"/>
  <c r="J446" i="4" s="1"/>
  <c r="J447" i="4" s="1"/>
  <c r="J448" i="4" s="1"/>
  <c r="J449" i="4" s="1"/>
  <c r="J450" i="4" s="1"/>
  <c r="J451" i="4" s="1"/>
  <c r="J452" i="4" s="1"/>
  <c r="J453" i="4" s="1"/>
  <c r="J454" i="4" s="1"/>
  <c r="J455" i="4" s="1"/>
  <c r="J456" i="4" s="1"/>
  <c r="J457" i="4" s="1"/>
  <c r="J458" i="4" s="1"/>
  <c r="J459" i="4" s="1"/>
  <c r="J460" i="4" s="1"/>
  <c r="J461" i="4" s="1"/>
  <c r="J462" i="4" s="1"/>
  <c r="J463" i="4" s="1"/>
  <c r="J464" i="4" s="1"/>
  <c r="J465" i="4" s="1"/>
  <c r="J466" i="4" s="1"/>
  <c r="J467" i="4" s="1"/>
  <c r="J468" i="4" s="1"/>
  <c r="J469" i="4" s="1"/>
  <c r="J470" i="4" s="1"/>
  <c r="J471" i="4" s="1"/>
  <c r="J472" i="4" s="1"/>
  <c r="J473" i="4" s="1"/>
  <c r="J474" i="4" s="1"/>
  <c r="J475" i="4" s="1"/>
  <c r="J476" i="4" s="1"/>
  <c r="J477" i="4" s="1"/>
  <c r="J478" i="4" s="1"/>
  <c r="J479" i="4" s="1"/>
  <c r="J480" i="4" s="1"/>
  <c r="J481" i="4" s="1"/>
  <c r="J482" i="4" s="1"/>
  <c r="J483" i="4" s="1"/>
  <c r="J484" i="4" s="1"/>
  <c r="J485" i="4" s="1"/>
  <c r="J486" i="4" s="1"/>
  <c r="J487" i="4" s="1"/>
  <c r="J488" i="4" s="1"/>
  <c r="J489" i="4" s="1"/>
  <c r="J490" i="4" s="1"/>
  <c r="J491" i="4" s="1"/>
  <c r="J492" i="4" s="1"/>
  <c r="J493" i="4" s="1"/>
  <c r="J494" i="4" s="1"/>
  <c r="J495" i="4" s="1"/>
  <c r="J496" i="4" s="1"/>
  <c r="J497" i="4" s="1"/>
  <c r="J498" i="4" s="1"/>
  <c r="J499" i="4" s="1"/>
  <c r="J500" i="4" s="1"/>
  <c r="J501" i="4" s="1"/>
  <c r="J502" i="4" s="1"/>
  <c r="J503" i="4" s="1"/>
  <c r="J504" i="4" s="1"/>
  <c r="J505" i="4" s="1"/>
  <c r="J506" i="4" s="1"/>
  <c r="J507" i="4" s="1"/>
  <c r="J508" i="4" s="1"/>
  <c r="J509" i="4" s="1"/>
  <c r="Y2" i="3"/>
  <c r="Z2" i="3"/>
  <c r="Y3" i="3"/>
  <c r="Z3" i="3"/>
  <c r="Y4" i="3"/>
  <c r="Z4" i="3"/>
  <c r="Y5" i="3"/>
  <c r="Z5" i="3"/>
  <c r="Y6" i="3"/>
  <c r="Z6" i="3"/>
  <c r="Y7" i="3"/>
  <c r="Z7" i="3"/>
  <c r="Y8" i="3"/>
  <c r="Z8" i="3"/>
  <c r="Y9" i="3"/>
  <c r="Z9" i="3"/>
  <c r="Z1" i="3"/>
  <c r="Y1" i="3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I62" i="11"/>
  <c r="G34" i="2" l="1"/>
  <c r="K15" i="10"/>
  <c r="L3" i="4"/>
  <c r="J5" i="2" s="1"/>
  <c r="Y10" i="3"/>
  <c r="Y13" i="3" s="1"/>
  <c r="Y15" i="3" s="1"/>
  <c r="Z10" i="3"/>
  <c r="AA1" i="3"/>
  <c r="AA9" i="3"/>
  <c r="AA8" i="3"/>
  <c r="AA7" i="3"/>
  <c r="AA3" i="3"/>
  <c r="AA2" i="3"/>
  <c r="AA5" i="3"/>
  <c r="AA6" i="3"/>
  <c r="AA4" i="3"/>
  <c r="F34" i="2"/>
  <c r="F13" i="2" l="1"/>
  <c r="K16" i="10"/>
  <c r="AA10" i="3"/>
  <c r="K17" i="10" l="1"/>
  <c r="K18" i="10" l="1"/>
  <c r="K19" i="10" l="1"/>
  <c r="K20" i="10" l="1"/>
  <c r="F9" i="2"/>
  <c r="K21" i="10" l="1"/>
  <c r="H48" i="11"/>
  <c r="I15" i="4"/>
  <c r="I14" i="4"/>
  <c r="I13" i="4"/>
  <c r="I12" i="4"/>
  <c r="V18" i="3"/>
  <c r="U18" i="3"/>
  <c r="T18" i="3"/>
  <c r="J124" i="12"/>
  <c r="K123" i="12"/>
  <c r="J123" i="12"/>
  <c r="K122" i="12"/>
  <c r="J122" i="12"/>
  <c r="K121" i="12"/>
  <c r="J121" i="12"/>
  <c r="K120" i="12"/>
  <c r="J120" i="12"/>
  <c r="K119" i="12"/>
  <c r="J119" i="12"/>
  <c r="K118" i="12"/>
  <c r="J118" i="12"/>
  <c r="K117" i="12"/>
  <c r="J117" i="12"/>
  <c r="K116" i="12"/>
  <c r="J116" i="12"/>
  <c r="K115" i="12"/>
  <c r="J115" i="12"/>
  <c r="K114" i="12"/>
  <c r="J114" i="12"/>
  <c r="K113" i="12"/>
  <c r="J113" i="12"/>
  <c r="K112" i="12"/>
  <c r="J112" i="12"/>
  <c r="K111" i="12"/>
  <c r="J111" i="12"/>
  <c r="K110" i="12"/>
  <c r="J110" i="12"/>
  <c r="K109" i="12"/>
  <c r="J109" i="12"/>
  <c r="K108" i="12"/>
  <c r="J108" i="12"/>
  <c r="K107" i="12"/>
  <c r="J107" i="12"/>
  <c r="K106" i="12"/>
  <c r="J106" i="12"/>
  <c r="K105" i="12"/>
  <c r="J105" i="12"/>
  <c r="K104" i="12"/>
  <c r="J104" i="12"/>
  <c r="K103" i="12"/>
  <c r="J103" i="12"/>
  <c r="K102" i="12"/>
  <c r="J102" i="12"/>
  <c r="K101" i="12"/>
  <c r="J101" i="12"/>
  <c r="K100" i="12"/>
  <c r="J100" i="12"/>
  <c r="K99" i="12"/>
  <c r="J99" i="12"/>
  <c r="K98" i="12"/>
  <c r="J98" i="12"/>
  <c r="K97" i="12"/>
  <c r="J97" i="12"/>
  <c r="K96" i="12"/>
  <c r="J96" i="12"/>
  <c r="K95" i="12"/>
  <c r="J95" i="12"/>
  <c r="K94" i="12"/>
  <c r="J94" i="12"/>
  <c r="K93" i="12"/>
  <c r="J93" i="12"/>
  <c r="K92" i="12"/>
  <c r="J92" i="12"/>
  <c r="K91" i="12"/>
  <c r="J91" i="12"/>
  <c r="K90" i="12"/>
  <c r="J90" i="12"/>
  <c r="K89" i="12"/>
  <c r="J89" i="12"/>
  <c r="K88" i="12"/>
  <c r="J88" i="12"/>
  <c r="K87" i="12"/>
  <c r="J87" i="12"/>
  <c r="K86" i="12"/>
  <c r="J86" i="12"/>
  <c r="K85" i="12"/>
  <c r="J85" i="12"/>
  <c r="K84" i="12"/>
  <c r="J84" i="12"/>
  <c r="K83" i="12"/>
  <c r="J83" i="12"/>
  <c r="K82" i="12"/>
  <c r="J82" i="12"/>
  <c r="K81" i="12"/>
  <c r="J81" i="12"/>
  <c r="K80" i="12"/>
  <c r="J80" i="12"/>
  <c r="K79" i="12"/>
  <c r="J79" i="12"/>
  <c r="K78" i="12"/>
  <c r="J78" i="12"/>
  <c r="K77" i="12"/>
  <c r="J77" i="12"/>
  <c r="K76" i="12"/>
  <c r="J76" i="12"/>
  <c r="K75" i="12"/>
  <c r="J75" i="12"/>
  <c r="K74" i="12"/>
  <c r="J74" i="12"/>
  <c r="K73" i="12"/>
  <c r="J73" i="12"/>
  <c r="K72" i="12"/>
  <c r="J72" i="12"/>
  <c r="K71" i="12"/>
  <c r="J71" i="12"/>
  <c r="K70" i="12"/>
  <c r="J70" i="12"/>
  <c r="K69" i="12"/>
  <c r="J69" i="12"/>
  <c r="K68" i="12"/>
  <c r="J68" i="12"/>
  <c r="K67" i="12"/>
  <c r="J67" i="12"/>
  <c r="K66" i="12"/>
  <c r="J66" i="12"/>
  <c r="K65" i="12"/>
  <c r="J65" i="12"/>
  <c r="K64" i="12"/>
  <c r="J64" i="12"/>
  <c r="K63" i="12"/>
  <c r="J63" i="12"/>
  <c r="K62" i="12"/>
  <c r="J62" i="12"/>
  <c r="K61" i="12"/>
  <c r="J61" i="12"/>
  <c r="K60" i="12"/>
  <c r="J60" i="12"/>
  <c r="K59" i="12"/>
  <c r="J59" i="12"/>
  <c r="K58" i="12"/>
  <c r="J58" i="12"/>
  <c r="K57" i="12"/>
  <c r="J57" i="12"/>
  <c r="K56" i="12"/>
  <c r="J56" i="12"/>
  <c r="K55" i="12"/>
  <c r="J55" i="12"/>
  <c r="K54" i="12"/>
  <c r="J54" i="12"/>
  <c r="K53" i="12"/>
  <c r="J53" i="12"/>
  <c r="K52" i="12"/>
  <c r="J52" i="12"/>
  <c r="K51" i="12"/>
  <c r="J51" i="12"/>
  <c r="K50" i="12"/>
  <c r="J50" i="12"/>
  <c r="K49" i="12"/>
  <c r="J49" i="12"/>
  <c r="K48" i="12"/>
  <c r="J48" i="12"/>
  <c r="K47" i="12"/>
  <c r="J47" i="12"/>
  <c r="K46" i="12"/>
  <c r="J46" i="12"/>
  <c r="K45" i="12"/>
  <c r="J45" i="12"/>
  <c r="K44" i="12"/>
  <c r="J44" i="12"/>
  <c r="K43" i="12"/>
  <c r="J43" i="12"/>
  <c r="K42" i="12"/>
  <c r="J42" i="12"/>
  <c r="K41" i="12"/>
  <c r="J41" i="12"/>
  <c r="K40" i="12"/>
  <c r="J40" i="12"/>
  <c r="K39" i="12"/>
  <c r="J39" i="12"/>
  <c r="K38" i="12"/>
  <c r="J38" i="12"/>
  <c r="K37" i="12"/>
  <c r="J37" i="12"/>
  <c r="K36" i="12"/>
  <c r="J36" i="12"/>
  <c r="K35" i="12"/>
  <c r="J35" i="12"/>
  <c r="K34" i="12"/>
  <c r="J34" i="12"/>
  <c r="K33" i="12"/>
  <c r="J33" i="12"/>
  <c r="K32" i="12"/>
  <c r="J32" i="12"/>
  <c r="K31" i="12"/>
  <c r="J31" i="12"/>
  <c r="K30" i="12"/>
  <c r="J30" i="12"/>
  <c r="K29" i="12"/>
  <c r="J29" i="12"/>
  <c r="K28" i="12"/>
  <c r="J28" i="12"/>
  <c r="K27" i="12"/>
  <c r="J27" i="12"/>
  <c r="K15" i="12"/>
  <c r="J15" i="12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T22" i="7"/>
  <c r="T20" i="7"/>
  <c r="T19" i="7"/>
  <c r="E9" i="9"/>
  <c r="E8" i="9"/>
  <c r="D9" i="9"/>
  <c r="D8" i="9"/>
  <c r="D13" i="9" s="1"/>
  <c r="N41" i="11"/>
  <c r="N36" i="11"/>
  <c r="N50" i="11" s="1"/>
  <c r="N52" i="11" s="1"/>
  <c r="M36" i="11"/>
  <c r="L36" i="11"/>
  <c r="K36" i="11"/>
  <c r="J36" i="11"/>
  <c r="I36" i="11"/>
  <c r="H36" i="11"/>
  <c r="V57" i="8"/>
  <c r="V56" i="8"/>
  <c r="V55" i="8"/>
  <c r="V54" i="8"/>
  <c r="V53" i="8"/>
  <c r="V52" i="8"/>
  <c r="V51" i="8"/>
  <c r="V50" i="8"/>
  <c r="V49" i="8"/>
  <c r="V48" i="8"/>
  <c r="V47" i="8"/>
  <c r="V46" i="8"/>
  <c r="V45" i="8"/>
  <c r="V44" i="8"/>
  <c r="V43" i="8"/>
  <c r="V42" i="8"/>
  <c r="V41" i="8"/>
  <c r="V40" i="8"/>
  <c r="V39" i="8"/>
  <c r="V38" i="8"/>
  <c r="V37" i="8"/>
  <c r="V36" i="8"/>
  <c r="V35" i="8"/>
  <c r="V34" i="8"/>
  <c r="V32" i="8"/>
  <c r="V31" i="8"/>
  <c r="V30" i="8"/>
  <c r="V29" i="8"/>
  <c r="V28" i="8"/>
  <c r="V27" i="8"/>
  <c r="V26" i="8"/>
  <c r="V16" i="8"/>
  <c r="X1" i="8" s="1"/>
  <c r="D22" i="9" s="1"/>
  <c r="E22" i="9" s="1"/>
  <c r="I154" i="2"/>
  <c r="K145" i="2"/>
  <c r="K144" i="2"/>
  <c r="K143" i="2"/>
  <c r="M20" i="2"/>
  <c r="M19" i="2"/>
  <c r="L19" i="2"/>
  <c r="F11" i="2"/>
  <c r="D11" i="2"/>
  <c r="F10" i="2"/>
  <c r="Q9" i="2" s="1"/>
  <c r="D10" i="2"/>
  <c r="P9" i="2" s="1"/>
  <c r="X6" i="7" l="1"/>
  <c r="X7" i="7"/>
  <c r="X8" i="7"/>
  <c r="W8" i="7"/>
  <c r="D28" i="2"/>
  <c r="W7" i="7"/>
  <c r="W6" i="7"/>
  <c r="E46" i="2"/>
  <c r="E47" i="2"/>
  <c r="E49" i="2"/>
  <c r="Q45" i="2" s="1"/>
  <c r="E50" i="2"/>
  <c r="E52" i="2"/>
  <c r="E48" i="2"/>
  <c r="E51" i="2"/>
  <c r="Q46" i="2" s="1"/>
  <c r="E45" i="2"/>
  <c r="C51" i="2"/>
  <c r="P46" i="2" s="1"/>
  <c r="C50" i="2"/>
  <c r="C46" i="2"/>
  <c r="C45" i="2"/>
  <c r="C49" i="2"/>
  <c r="P45" i="2" s="1"/>
  <c r="C47" i="2"/>
  <c r="C48" i="2"/>
  <c r="X3" i="7"/>
  <c r="Z7" i="7"/>
  <c r="Z6" i="7"/>
  <c r="X5" i="7"/>
  <c r="Y6" i="7"/>
  <c r="AB8" i="7"/>
  <c r="AB9" i="7" s="1"/>
  <c r="AB12" i="7" s="1"/>
  <c r="X4" i="7"/>
  <c r="AA8" i="7"/>
  <c r="AA9" i="7" s="1"/>
  <c r="AA11" i="7" s="1"/>
  <c r="X2" i="7"/>
  <c r="Y7" i="7"/>
  <c r="W5" i="7"/>
  <c r="L2" i="4"/>
  <c r="L4" i="4" s="1"/>
  <c r="X3" i="8"/>
  <c r="E29" i="2"/>
  <c r="E30" i="2"/>
  <c r="E31" i="2"/>
  <c r="E32" i="2"/>
  <c r="D29" i="2"/>
  <c r="E33" i="2"/>
  <c r="E28" i="2"/>
  <c r="D31" i="2"/>
  <c r="D32" i="2"/>
  <c r="W3" i="7"/>
  <c r="D33" i="2"/>
  <c r="E36" i="2"/>
  <c r="N2" i="12"/>
  <c r="N3" i="12"/>
  <c r="M3" i="12"/>
  <c r="M2" i="12"/>
  <c r="M4" i="12" s="1"/>
  <c r="K22" i="10"/>
  <c r="K23" i="10" s="1"/>
  <c r="K24" i="10" s="1"/>
  <c r="K25" i="10" s="1"/>
  <c r="K26" i="10" s="1"/>
  <c r="G18" i="2"/>
  <c r="K50" i="11"/>
  <c r="K52" i="11" s="1"/>
  <c r="I18" i="2"/>
  <c r="L50" i="11"/>
  <c r="L52" i="11" s="1"/>
  <c r="J18" i="2"/>
  <c r="M50" i="11"/>
  <c r="M52" i="11" s="1"/>
  <c r="M21" i="2"/>
  <c r="C52" i="2"/>
  <c r="X4" i="8"/>
  <c r="X5" i="8"/>
  <c r="X6" i="8"/>
  <c r="X7" i="8"/>
  <c r="X2" i="8"/>
  <c r="W4" i="7"/>
  <c r="W2" i="7"/>
  <c r="K146" i="2"/>
  <c r="K147" i="2" s="1"/>
  <c r="I36" i="2"/>
  <c r="H35" i="11"/>
  <c r="I35" i="11"/>
  <c r="I40" i="11" s="1"/>
  <c r="I29" i="2" s="1"/>
  <c r="L35" i="11"/>
  <c r="N35" i="11"/>
  <c r="J35" i="11"/>
  <c r="J37" i="11" s="1"/>
  <c r="K35" i="11"/>
  <c r="K44" i="11" s="1"/>
  <c r="M35" i="11"/>
  <c r="D10" i="9"/>
  <c r="G8" i="9"/>
  <c r="H8" i="9" s="1"/>
  <c r="F8" i="9"/>
  <c r="E57" i="11"/>
  <c r="I20" i="2"/>
  <c r="O3" i="14"/>
  <c r="H41" i="11"/>
  <c r="H28" i="2" s="1"/>
  <c r="D57" i="11"/>
  <c r="G20" i="2"/>
  <c r="F9" i="9"/>
  <c r="G9" i="9"/>
  <c r="L21" i="2" s="1"/>
  <c r="J48" i="11"/>
  <c r="N18" i="2" s="1"/>
  <c r="K18" i="2"/>
  <c r="E10" i="9"/>
  <c r="E13" i="9"/>
  <c r="H47" i="11"/>
  <c r="I47" i="11"/>
  <c r="I61" i="11" s="1"/>
  <c r="I63" i="11" s="1"/>
  <c r="C20" i="2"/>
  <c r="G64" i="2"/>
  <c r="F12" i="2"/>
  <c r="F14" i="2" s="1"/>
  <c r="D60" i="2"/>
  <c r="D62" i="2"/>
  <c r="D5" i="2"/>
  <c r="F62" i="2"/>
  <c r="D4" i="2"/>
  <c r="F5" i="2"/>
  <c r="E80" i="2" s="1"/>
  <c r="D12" i="2"/>
  <c r="D14" i="2" s="1"/>
  <c r="G9" i="2"/>
  <c r="D61" i="2"/>
  <c r="F61" i="2"/>
  <c r="G10" i="2"/>
  <c r="F4" i="2"/>
  <c r="G11" i="2"/>
  <c r="F60" i="2"/>
  <c r="Q44" i="2" l="1"/>
  <c r="Q47" i="2" s="1"/>
  <c r="P44" i="2"/>
  <c r="P47" i="2" s="1"/>
  <c r="K23" i="2"/>
  <c r="D21" i="9"/>
  <c r="E21" i="9" s="1"/>
  <c r="G23" i="2"/>
  <c r="G24" i="2" s="1"/>
  <c r="C23" i="2"/>
  <c r="C24" i="2" s="1"/>
  <c r="D20" i="9"/>
  <c r="E20" i="9" s="1"/>
  <c r="D30" i="2"/>
  <c r="J63" i="2"/>
  <c r="E34" i="2"/>
  <c r="I48" i="2"/>
  <c r="C18" i="2"/>
  <c r="O18" i="2" s="1"/>
  <c r="M62" i="2"/>
  <c r="J4" i="2"/>
  <c r="J6" i="2" s="1"/>
  <c r="N4" i="12"/>
  <c r="K27" i="10"/>
  <c r="N37" i="11"/>
  <c r="N44" i="11"/>
  <c r="N53" i="11" s="1"/>
  <c r="H9" i="9"/>
  <c r="I37" i="2"/>
  <c r="Y9" i="7"/>
  <c r="Y11" i="7" s="1"/>
  <c r="J28" i="2"/>
  <c r="D63" i="2"/>
  <c r="D68" i="2" s="1"/>
  <c r="K53" i="11"/>
  <c r="K45" i="11"/>
  <c r="J17" i="2"/>
  <c r="J19" i="2" s="1"/>
  <c r="M44" i="11"/>
  <c r="M53" i="11" s="1"/>
  <c r="L44" i="11"/>
  <c r="L53" i="11" s="1"/>
  <c r="H37" i="11"/>
  <c r="H40" i="11"/>
  <c r="K29" i="2"/>
  <c r="I150" i="2"/>
  <c r="I153" i="2" s="1"/>
  <c r="I155" i="2" s="1"/>
  <c r="W9" i="7"/>
  <c r="X9" i="7"/>
  <c r="X12" i="7" s="1"/>
  <c r="Z9" i="7"/>
  <c r="Z12" i="7" s="1"/>
  <c r="X8" i="8"/>
  <c r="G62" i="2"/>
  <c r="F51" i="2"/>
  <c r="K37" i="11"/>
  <c r="Q36" i="2"/>
  <c r="K28" i="2"/>
  <c r="J47" i="11"/>
  <c r="J49" i="11" s="1"/>
  <c r="L40" i="11"/>
  <c r="G17" i="2"/>
  <c r="G19" i="2" s="1"/>
  <c r="G21" i="2" s="1"/>
  <c r="M37" i="11"/>
  <c r="I37" i="11"/>
  <c r="M40" i="11"/>
  <c r="L37" i="11"/>
  <c r="I17" i="2"/>
  <c r="I19" i="2" s="1"/>
  <c r="I21" i="2" s="1"/>
  <c r="D56" i="11"/>
  <c r="G13" i="9"/>
  <c r="H13" i="9" s="1"/>
  <c r="F10" i="9"/>
  <c r="F57" i="11"/>
  <c r="J20" i="2"/>
  <c r="E18" i="2"/>
  <c r="E37" i="2" s="1"/>
  <c r="I49" i="11"/>
  <c r="J41" i="11"/>
  <c r="K17" i="2"/>
  <c r="K19" i="2" s="1"/>
  <c r="H49" i="11"/>
  <c r="H52" i="11" s="1"/>
  <c r="F12" i="9"/>
  <c r="F13" i="9" s="1"/>
  <c r="K20" i="2"/>
  <c r="D58" i="11"/>
  <c r="E20" i="2"/>
  <c r="Q20" i="2" s="1"/>
  <c r="E56" i="11"/>
  <c r="F63" i="2"/>
  <c r="I42" i="11"/>
  <c r="E17" i="2"/>
  <c r="F52" i="2"/>
  <c r="G5" i="2"/>
  <c r="F6" i="2"/>
  <c r="K5" i="2"/>
  <c r="G61" i="2"/>
  <c r="G12" i="2"/>
  <c r="D6" i="2"/>
  <c r="G4" i="2"/>
  <c r="G60" i="2"/>
  <c r="F49" i="2"/>
  <c r="F48" i="2"/>
  <c r="F46" i="2"/>
  <c r="W11" i="7" l="1"/>
  <c r="W16" i="7"/>
  <c r="O23" i="2"/>
  <c r="K24" i="2"/>
  <c r="H42" i="11"/>
  <c r="H29" i="2"/>
  <c r="M42" i="11"/>
  <c r="M45" i="11" s="1"/>
  <c r="I30" i="2"/>
  <c r="K30" i="2" s="1"/>
  <c r="K34" i="2" s="1"/>
  <c r="D34" i="2"/>
  <c r="C53" i="2"/>
  <c r="H53" i="2" s="1"/>
  <c r="F47" i="2"/>
  <c r="H49" i="2"/>
  <c r="J49" i="2" s="1"/>
  <c r="L49" i="2" s="1"/>
  <c r="H48" i="2"/>
  <c r="J48" i="2" s="1"/>
  <c r="M61" i="2"/>
  <c r="D60" i="11"/>
  <c r="V11" i="7"/>
  <c r="K4" i="2"/>
  <c r="K6" i="2" s="1"/>
  <c r="F58" i="11"/>
  <c r="N20" i="2"/>
  <c r="K28" i="10"/>
  <c r="D69" i="2"/>
  <c r="D70" i="2" s="1"/>
  <c r="F65" i="2"/>
  <c r="F68" i="2"/>
  <c r="J21" i="2"/>
  <c r="I34" i="2"/>
  <c r="J51" i="11"/>
  <c r="J52" i="11"/>
  <c r="I51" i="11"/>
  <c r="I52" i="11"/>
  <c r="I53" i="11"/>
  <c r="I54" i="11" s="1"/>
  <c r="I45" i="11"/>
  <c r="L42" i="11"/>
  <c r="N40" i="11"/>
  <c r="M54" i="11"/>
  <c r="L38" i="11"/>
  <c r="L54" i="11"/>
  <c r="K38" i="11"/>
  <c r="K54" i="11"/>
  <c r="V12" i="7"/>
  <c r="K21" i="2"/>
  <c r="G63" i="2"/>
  <c r="F18" i="2"/>
  <c r="C17" i="2"/>
  <c r="O17" i="2" s="1"/>
  <c r="H38" i="11"/>
  <c r="I38" i="11"/>
  <c r="M38" i="11"/>
  <c r="Q17" i="2"/>
  <c r="E19" i="2"/>
  <c r="E21" i="2" s="1"/>
  <c r="N17" i="2"/>
  <c r="N19" i="2" s="1"/>
  <c r="J40" i="11"/>
  <c r="J42" i="11" s="1"/>
  <c r="I43" i="11"/>
  <c r="Q18" i="2"/>
  <c r="Q37" i="2" s="1"/>
  <c r="O20" i="2"/>
  <c r="G6" i="2"/>
  <c r="D65" i="2"/>
  <c r="L45" i="11" l="1"/>
  <c r="H30" i="2"/>
  <c r="J30" i="2" s="1"/>
  <c r="C55" i="2"/>
  <c r="J65" i="2"/>
  <c r="K83" i="2"/>
  <c r="N21" i="2"/>
  <c r="N42" i="11"/>
  <c r="N45" i="11" s="1"/>
  <c r="K29" i="10"/>
  <c r="N54" i="11"/>
  <c r="J53" i="11"/>
  <c r="J54" i="11" s="1"/>
  <c r="J45" i="11"/>
  <c r="H53" i="11"/>
  <c r="H54" i="11" s="1"/>
  <c r="H45" i="11"/>
  <c r="H43" i="11"/>
  <c r="V13" i="7"/>
  <c r="R20" i="2"/>
  <c r="O24" i="2"/>
  <c r="J29" i="2"/>
  <c r="C19" i="2"/>
  <c r="C21" i="2" s="1"/>
  <c r="J57" i="11"/>
  <c r="J58" i="11" s="1"/>
  <c r="F20" i="2"/>
  <c r="F56" i="11"/>
  <c r="R17" i="2"/>
  <c r="O19" i="2"/>
  <c r="O21" i="2" s="1"/>
  <c r="F17" i="2"/>
  <c r="F19" i="2" s="1"/>
  <c r="R18" i="2"/>
  <c r="Q19" i="2"/>
  <c r="Q21" i="2" s="1"/>
  <c r="J34" i="2" l="1"/>
  <c r="H34" i="2"/>
  <c r="L83" i="2"/>
  <c r="E79" i="2"/>
  <c r="E83" i="2" s="1"/>
  <c r="K30" i="10"/>
  <c r="F21" i="2"/>
  <c r="J43" i="11"/>
  <c r="R19" i="2"/>
  <c r="R21" i="2" s="1"/>
  <c r="F60" i="11"/>
  <c r="N38" i="11" s="1"/>
  <c r="J38" i="11"/>
  <c r="K90" i="2" l="1"/>
  <c r="K86" i="2"/>
  <c r="M86" i="2" s="1"/>
  <c r="K31" i="10"/>
  <c r="K32" i="10" l="1"/>
  <c r="K33" i="10" l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M59" i="2" l="1"/>
  <c r="M63" i="2" s="1"/>
  <c r="L63" i="2"/>
  <c r="F69" i="2" l="1"/>
  <c r="L65" i="2"/>
  <c r="F70" i="2" l="1"/>
  <c r="G66" i="2"/>
  <c r="G70" i="2" s="1"/>
  <c r="F83" i="2"/>
  <c r="E84" i="2" s="1"/>
  <c r="H70" i="2" l="1"/>
  <c r="E86" i="2"/>
  <c r="E90" i="2" s="1"/>
  <c r="E96" i="2"/>
  <c r="F45" i="2"/>
  <c r="F53" i="2" s="1"/>
  <c r="F55" i="2" s="1"/>
  <c r="E53" i="2"/>
  <c r="E55" i="2" s="1"/>
  <c r="M6" i="10" l="1"/>
  <c r="N3" i="10"/>
  <c r="N5" i="10"/>
  <c r="N2" i="10"/>
  <c r="O5" i="10"/>
  <c r="O3" i="10"/>
  <c r="M3" i="10"/>
  <c r="O6" i="10"/>
  <c r="M2" i="10"/>
  <c r="D39" i="2" s="1"/>
  <c r="M5" i="10"/>
  <c r="N4" i="10"/>
  <c r="D40" i="2" l="1"/>
  <c r="E40" i="2" s="1"/>
  <c r="D41" i="2"/>
  <c r="O2" i="10"/>
  <c r="N6" i="10"/>
  <c r="N7" i="10" s="1"/>
  <c r="O4" i="10"/>
  <c r="M4" i="10"/>
  <c r="M7" i="10" s="1"/>
  <c r="E39" i="2" s="1"/>
  <c r="O7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Văn Hải</author>
  </authors>
  <commentList>
    <comment ref="Q43" authorId="0" shapeId="0" xr:uid="{AFC58E33-E7CA-4C4D-8E6E-7F451A47824A}">
      <text>
        <r>
          <rPr>
            <sz val="9"/>
            <rFont val="Tahoma"/>
            <family val="2"/>
          </rPr>
          <t>Ứng dụng tự động tính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<sst xmlns="http://schemas.openxmlformats.org/spreadsheetml/2006/main" count="11666" uniqueCount="1703">
  <si>
    <t>CÔNG TY ĐIỆN LỰC VŨNG TÀU</t>
  </si>
  <si>
    <t>Nội dung</t>
  </si>
  <si>
    <t>Tổng cộng</t>
  </si>
  <si>
    <t>'</t>
  </si>
  <si>
    <t>6. Có số liệu hóa đơn nhưng không lên bảng kê</t>
  </si>
  <si>
    <t>5. Hàng hóa, dịch vụ không phải tổng hợp trên tờ khai 01/GTGT</t>
  </si>
  <si>
    <t>4. Hàng hóa, dịch vụ dùng cho dự án đầu tư đủ điều kiện được khấu trừ</t>
  </si>
  <si>
    <t>3. Hàng hóa, dịch vụ dùng chung cho SXKD chịu thuế và không chịu thuế đủ điều kiện được khấu trừ</t>
  </si>
  <si>
    <t>2. Hàng hóa, dịch vụ không đủ điều kiện khấu trừ</t>
  </si>
  <si>
    <t>Cleared</t>
  </si>
  <si>
    <t>Không xác định</t>
  </si>
  <si>
    <t>AR_REC</t>
  </si>
  <si>
    <t>CK</t>
  </si>
  <si>
    <r>
      <t>'</t>
    </r>
    <r>
      <rPr>
        <sz val="8"/>
        <color rgb="FF000000"/>
        <rFont val="Tahoma"/>
        <family val="2"/>
      </rPr>
      <t>0301103908-045</t>
    </r>
  </si>
  <si>
    <t>Not Reversed</t>
  </si>
  <si>
    <t>GL</t>
  </si>
  <si>
    <t>LINH3NTT.HCM.VTA</t>
  </si>
  <si>
    <t>ĐẦU TƯ XÂY DỰNG</t>
  </si>
  <si>
    <r>
      <t>'</t>
    </r>
    <r>
      <rPr>
        <sz val="8"/>
        <color rgb="FF000000"/>
        <rFont val="Tahoma"/>
        <family val="2"/>
      </rPr>
      <t>0100150619-006</t>
    </r>
  </si>
  <si>
    <t>1. Hàng hóa, dịch vụ dùng riêng cho SXKD chịu thuế GTGT đủ điều kiện được khấu trừ</t>
  </si>
  <si>
    <t>[4]</t>
  </si>
  <si>
    <t>[3]</t>
  </si>
  <si>
    <t>[2]</t>
  </si>
  <si>
    <t>[1]</t>
  </si>
  <si>
    <t>Ngày, tháng, năm phát hành</t>
  </si>
  <si>
    <t>Số hóa đơn</t>
  </si>
  <si>
    <t>Ký hiệu hóa đơn</t>
  </si>
  <si>
    <t>Trạng thái</t>
  </si>
  <si>
    <t>Người lập chứng từ</t>
  </si>
  <si>
    <t>Loại hình SXKD</t>
  </si>
  <si>
    <t>Số tiền đã thanh toán</t>
  </si>
  <si>
    <t>Thời hạn thanh toán trả chậm</t>
  </si>
  <si>
    <t>Ngày lập chứng từ</t>
  </si>
  <si>
    <t>Số chứng từ</t>
  </si>
  <si>
    <t>Nguồn chứng từ</t>
  </si>
  <si>
    <t>Ghi chú</t>
  </si>
  <si>
    <t>Thuế GTGT</t>
  </si>
  <si>
    <t>Thuế suất (%)</t>
  </si>
  <si>
    <t>Doanh số mua chưa có thuế</t>
  </si>
  <si>
    <t>Mặt hàng</t>
  </si>
  <si>
    <t>Mã số thuế người bán</t>
  </si>
  <si>
    <t>Tên người bán</t>
  </si>
  <si>
    <t>Hóa đơn chứng từ bán</t>
  </si>
  <si>
    <t>STT</t>
  </si>
  <si>
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</si>
  <si>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Đơn vị tính: đồng Việt Nam</t>
  </si>
  <si>
    <t>Mã số thuế : 0300951119-010</t>
  </si>
  <si>
    <t>Người nộp thuế : CHI NHÁNH TỔNG CÔNG TY ĐIỆN LỰC THÀNH PHỐ HỒ CHÍ MINH TNHH - CÔNG TY ĐIỆN LỰC VŨNG TÀU</t>
  </si>
  <si>
    <t>Kèm theo tờ kê khai thuế GTGT theo mẫu số 01/GTGT</t>
  </si>
  <si>
    <t>BẢNG KÊ HÓA ĐƠN, CHỨNG TỪ HÀNG HÓA, DỊCH VỤ MUA VÀO(Kiểm soát số liệu)</t>
  </si>
  <si>
    <r>
      <t>25/08/2014 của  Bộ tài chính</t>
    </r>
    <r>
      <rPr>
        <b/>
        <sz val="9"/>
        <color rgb="FF000000"/>
        <rFont val="Times New Roman"/>
        <family val="1"/>
      </rPr>
      <t>)</t>
    </r>
  </si>
  <si>
    <t xml:space="preserve">số 119/2014/TT-BTC ngày </t>
  </si>
  <si>
    <r>
      <t>(</t>
    </r>
    <r>
      <rPr>
        <sz val="9"/>
        <color rgb="FF000000"/>
        <rFont val="Times New Roman"/>
        <family val="1"/>
      </rPr>
      <t xml:space="preserve">Ban hành kèm theo thông tư </t>
    </r>
  </si>
  <si>
    <r>
      <t>Mẫu số :</t>
    </r>
    <r>
      <rPr>
        <b/>
        <sz val="9"/>
        <color rgb="FF000000"/>
        <rFont val="Times New Roman"/>
        <family val="1"/>
      </rPr>
      <t xml:space="preserve"> 01-2/GTGT</t>
    </r>
  </si>
  <si>
    <t>test</t>
  </si>
  <si>
    <t>MST</t>
  </si>
  <si>
    <t>TK thuế</t>
  </si>
  <si>
    <t>tiền</t>
  </si>
  <si>
    <t>thuế</t>
  </si>
  <si>
    <t>Tài khoản</t>
  </si>
  <si>
    <t>TA36</t>
  </si>
  <si>
    <t>Tổng Dư cuối kỳ </t>
  </si>
  <si>
    <t xml:space="preserve">Tổng Cộng phát sinh  </t>
  </si>
  <si>
    <t>Tổng Dư đầu kỳ </t>
  </si>
  <si>
    <t xml:space="preserve">Dư cuối kỳ  </t>
  </si>
  <si>
    <t xml:space="preserve">Cộng phát sinh </t>
  </si>
  <si>
    <t>Dư đầu kỳ 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</si>
  <si>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13311000000</t>
    </r>
  </si>
  <si>
    <t>Ngày chứng từ</t>
  </si>
  <si>
    <t>Người hạch toán</t>
  </si>
  <si>
    <t>DIỄN GIẢI</t>
  </si>
  <si>
    <t>CHỨNG TỪ</t>
  </si>
  <si>
    <t xml:space="preserve">Loại hình:  - </t>
  </si>
  <si>
    <t>SỔ CHI TIẾT THEO TÀI KHOẢN THUẾ</t>
  </si>
  <si>
    <t>CHI NHÁNH TỔNG CÔNG TY ĐIỆN LỰC THÀNH PHỐ HỒ CHÍ MINH TNHH - CÔNG TY ĐIỆN LỰC VŨNG TÀU</t>
  </si>
  <si>
    <t>TỔNG CÔNG TY ĐIỆN LỰC THÀNH PHỐ HỒ CHÍ MINH TNHH</t>
  </si>
  <si>
    <t>TA30</t>
  </si>
  <si>
    <t>phát sinh</t>
  </si>
  <si>
    <t>Nợ 133</t>
  </si>
  <si>
    <t>TA36-TA30</t>
  </si>
  <si>
    <t>C/LECH</t>
  </si>
  <si>
    <t>5.Hàng hóa, dịch vụ không phải tổng hợp trên tờ khai 01/GTGT</t>
  </si>
  <si>
    <t>Complete</t>
  </si>
  <si>
    <t>AR_TRANS</t>
  </si>
  <si>
    <t>DIEN01</t>
  </si>
  <si>
    <t>4.Hàng hóa, dịch vụ chịu thuế suất thuế GTGT 10%</t>
  </si>
  <si>
    <t>3.Hàng hóa, dịch vụ chịu thuế suất thuế GTGT 5%</t>
  </si>
  <si>
    <t>2.Hàng hóa, dịch vụ chịu thuế suất thuế GTGT 0%</t>
  </si>
  <si>
    <t>1.Hàng hóa, dịch vụ không chịu thuế GTGT</t>
  </si>
  <si>
    <t>Loại hình kinh doanh</t>
  </si>
  <si>
    <t>Thuế suất</t>
  </si>
  <si>
    <t>Doanh số bán chưa có thuế</t>
  </si>
  <si>
    <t>Mã số thuế người mua</t>
  </si>
  <si>
    <t>Tên người mua</t>
  </si>
  <si>
    <t>Hóa đơn, chứng từ bán</t>
  </si>
  <si>
    <t>BẢNG KÊ HÓA ĐƠN, CHỨNG TỪ HÀNG HÓA, DỊCH VỤ BÁN RA(Kiểm soát số liệu)</t>
  </si>
  <si>
    <t>số 119/2014/TT-BTC ngày</t>
  </si>
  <si>
    <r>
      <t>(</t>
    </r>
    <r>
      <rPr>
        <sz val="9"/>
        <color rgb="FF000000"/>
        <rFont val="Times New Roman"/>
        <family val="1"/>
      </rPr>
      <t>Ban hành kèm theo thông tư</t>
    </r>
  </si>
  <si>
    <r>
      <t>Mẫu số :</t>
    </r>
    <r>
      <rPr>
        <b/>
        <sz val="9"/>
        <color rgb="FF000000"/>
        <rFont val="Times New Roman"/>
        <family val="1"/>
      </rPr>
      <t xml:space="preserve"> 01-1/GTGT</t>
    </r>
  </si>
  <si>
    <t>QUYENNN.HCM.VTA</t>
  </si>
  <si>
    <t>VND</t>
  </si>
  <si>
    <t>AR_TRANSACTIONS</t>
  </si>
  <si>
    <t>Người cập nhật</t>
  </si>
  <si>
    <t>Người tạo</t>
  </si>
  <si>
    <t>Trạng thái hạch toán</t>
  </si>
  <si>
    <t>Loại tiền</t>
  </si>
  <si>
    <t>Dự phòng EVN</t>
  </si>
  <si>
    <t>Dự phòng đơn vị</t>
  </si>
  <si>
    <t>Đơn vị nội bộ</t>
  </si>
  <si>
    <t>Yếu tố</t>
  </si>
  <si>
    <t>Sản phẩm</t>
  </si>
  <si>
    <t>Loại hình</t>
  </si>
  <si>
    <t>Trung tâm chi phí</t>
  </si>
  <si>
    <t>Chi nhánh</t>
  </si>
  <si>
    <t>Ngày giao dịch</t>
  </si>
  <si>
    <t>Số giao dịch</t>
  </si>
  <si>
    <t>Nguồn phát sinh</t>
  </si>
  <si>
    <t>Báo cáo liệt kê giao dịch phát sinh theo tài khoản</t>
  </si>
  <si>
    <t>HCMC - Công ty Điện lực Vũng Tàu</t>
  </si>
  <si>
    <t>Điện</t>
  </si>
  <si>
    <t>CSPK</t>
  </si>
  <si>
    <t>TA35</t>
  </si>
  <si>
    <t>TIENDIEN</t>
  </si>
  <si>
    <t>trước thuế</t>
  </si>
  <si>
    <t>sau thuế</t>
  </si>
  <si>
    <t>KD4A</t>
  </si>
  <si>
    <t>GL0903</t>
  </si>
  <si>
    <t>CSPK02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</si>
  <si>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33311100000</t>
    </r>
  </si>
  <si>
    <t>TRONGTHANG</t>
  </si>
  <si>
    <t>CUOITHANG</t>
  </si>
  <si>
    <t>THUE DIEN</t>
  </si>
  <si>
    <t>TONG</t>
  </si>
  <si>
    <t>THUE CSPK</t>
  </si>
  <si>
    <t>TONG CSPK</t>
  </si>
  <si>
    <t>KDGCS</t>
  </si>
  <si>
    <t>CỘNG</t>
  </si>
  <si>
    <t>GCS-4A</t>
  </si>
  <si>
    <t>c/lech</t>
  </si>
  <si>
    <t>KD4A-GL0903</t>
  </si>
  <si>
    <t>(Ký, họ tên)</t>
  </si>
  <si>
    <t>Kế toán trưởng</t>
  </si>
  <si>
    <t>Người lập biểu</t>
  </si>
  <si>
    <t>Tổng Dư cuối kỳ</t>
  </si>
  <si>
    <t>Tổng Cộng phát sinh</t>
  </si>
  <si>
    <t>Dư cuối kỳ</t>
  </si>
  <si>
    <t>Cộng phát sinh – cấp 1</t>
  </si>
  <si>
    <t>Cộng phát sinh – cấp 2</t>
  </si>
  <si>
    <t>Cộng phát sinh – cấp 3</t>
  </si>
  <si>
    <r>
      <t xml:space="preserve">                  </t>
    </r>
    <r>
      <rPr>
        <b/>
        <sz val="9"/>
        <color rgb="FF000000"/>
        <rFont val="Times New Roman"/>
        <family val="1"/>
      </rPr>
      <t>Khác</t>
    </r>
  </si>
  <si>
    <r>
      <t xml:space="preserve">          </t>
    </r>
    <r>
      <rPr>
        <b/>
        <sz val="9"/>
        <color rgb="FF000000"/>
        <rFont val="Times New Roman"/>
        <family val="1"/>
      </rPr>
      <t>Khác</t>
    </r>
  </si>
  <si>
    <r>
      <t xml:space="preserve">  </t>
    </r>
    <r>
      <rPr>
        <b/>
        <sz val="9"/>
        <color rgb="FF000000"/>
        <rFont val="Times New Roman"/>
        <family val="1"/>
      </rPr>
      <t>Khác</t>
    </r>
  </si>
  <si>
    <t>Số dư đầu kỳ</t>
  </si>
  <si>
    <t>hệ GL</t>
  </si>
  <si>
    <t>Chứng từ</t>
  </si>
  <si>
    <t>Số CT phân</t>
  </si>
  <si>
    <t>Số CT Phân hệ phụ</t>
  </si>
  <si>
    <t>Ngày</t>
  </si>
  <si>
    <t>Trạng Thái</t>
  </si>
  <si>
    <t>Người lập</t>
  </si>
  <si>
    <t>Diễn giải</t>
  </si>
  <si>
    <t>Nguồn bút toán</t>
  </si>
  <si>
    <t>Tất cả loại hình</t>
  </si>
  <si>
    <t>SỔ CHI TIẾT TÀI KHOẢN THEO 3 CẤP ĐỐI TƯỢNG DFF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</si>
  <si>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</si>
  <si>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</si>
  <si>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</si>
  <si>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</si>
  <si>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</si>
  <si>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</si>
  <si>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</si>
  <si>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</si>
  <si>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</si>
  <si>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</si>
  <si>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</si>
  <si>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</si>
  <si>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</si>
  <si>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</si>
  <si>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</si>
  <si>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HUENT.HCM.VTA</t>
  </si>
  <si>
    <t>TA030</t>
  </si>
  <si>
    <t>TK333111</t>
  </si>
  <si>
    <t>KDGCS-TA30</t>
  </si>
  <si>
    <t>TA35-TA30</t>
  </si>
  <si>
    <t>Biểu 4A</t>
  </si>
  <si>
    <t>TP. Hồ Chí Minh, ngày ..... tháng ..... năm ..........</t>
  </si>
  <si>
    <t>Doanh,số</t>
  </si>
  <si>
    <t>thuế,suất</t>
  </si>
  <si>
    <t>Tiền,thuế</t>
  </si>
  <si>
    <t>Sau,thuế</t>
  </si>
  <si>
    <t>THUẾ,ĐẦU,RA</t>
  </si>
  <si>
    <t>TỜ,KHAI,THUẾ,GTGT</t>
  </si>
  <si>
    <t>TK,333111</t>
  </si>
  <si>
    <t>Nợ quy đổi</t>
  </si>
  <si>
    <t>Có quy đổi</t>
  </si>
  <si>
    <t>THANH5DT.HCM.VTA</t>
  </si>
  <si>
    <t>CHAULTN.HCM.VTA</t>
  </si>
  <si>
    <r>
      <t>'</t>
    </r>
    <r>
      <rPr>
        <sz val="8"/>
        <color rgb="FF000000"/>
        <rFont val="Tahoma"/>
        <family val="2"/>
      </rPr>
      <t>0300951119</t>
    </r>
  </si>
  <si>
    <r>
      <t>'</t>
    </r>
    <r>
      <rPr>
        <sz val="8"/>
        <color rgb="FF000000"/>
        <rFont val="Tahoma"/>
        <family val="2"/>
      </rPr>
      <t>3500354108</t>
    </r>
  </si>
  <si>
    <t>NGÂN HÀNG TMCP ĐẦU TƯ VÀ PHÁT TRIỂN VIỆT NAM</t>
  </si>
  <si>
    <t>TM</t>
  </si>
  <si>
    <t>DIEN00</t>
  </si>
  <si>
    <t>Trong đó</t>
  </si>
  <si>
    <t>Trong DIEN01 có</t>
  </si>
  <si>
    <t>Tài khoản 33895 - Phải trả, phải nộp khác – Thuế đầu ra chưa kê khai</t>
  </si>
  <si>
    <t xml:space="preserve">33895000000-Phải trả, phải nộp khác – Thuế đầu ra chưa kê khai </t>
  </si>
  <si>
    <t>AR-Transaction</t>
  </si>
  <si>
    <t>082900.000000.000.33895000000.0000.0000.000.000000.0000.0000</t>
  </si>
  <si>
    <t>[22]</t>
  </si>
  <si>
    <t>[25]</t>
  </si>
  <si>
    <t>[35]</t>
  </si>
  <si>
    <t>[40]</t>
  </si>
  <si>
    <t>chỉtiêu22:lấytừchỉtiêu43củatờkhailầnđầucủathángliềnkềtrước</t>
  </si>
  <si>
    <t>SốthuếGTGTcònđượckhấutrừtănggiảmsẽnhậpvàochỉtiêu37+38</t>
  </si>
  <si>
    <t>sốphảinộp</t>
  </si>
  <si>
    <t>cấntrừnộpthừa</t>
  </si>
  <si>
    <t>sốthuếnộpthựctếtháng7/2025</t>
  </si>
  <si>
    <t>Thuế đầu ra lên tờ khai</t>
  </si>
  <si>
    <t>Đầu vào</t>
  </si>
  <si>
    <t>Doanh số</t>
  </si>
  <si>
    <t>thuế suất</t>
  </si>
  <si>
    <t>Tiền thuế</t>
  </si>
  <si>
    <t>Sau thuế</t>
  </si>
  <si>
    <t>số trên tokhai</t>
  </si>
  <si>
    <t>dauvao trong thang</t>
  </si>
  <si>
    <t>daura trong thang</t>
  </si>
  <si>
    <t xml:space="preserve">                             TK 13311</t>
  </si>
  <si>
    <t>THUẾ ĐẦU VÀO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</si>
  <si>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13313000000</t>
    </r>
  </si>
  <si>
    <t>PHÍ CHUYỂN TIỀN</t>
  </si>
  <si>
    <t>thuế đầu vào lên tờ khai</t>
  </si>
  <si>
    <t>GL-Manual</t>
  </si>
  <si>
    <t>Ngày ghi</t>
  </si>
  <si>
    <t>Số sổ GCS</t>
  </si>
  <si>
    <t>Điện năng tiêu thụ</t>
  </si>
  <si>
    <t>Tổng tiền điện tác dụng</t>
  </si>
  <si>
    <t>Tiền CSPK</t>
  </si>
  <si>
    <t>Thuế CSPK</t>
  </si>
  <si>
    <t>SH</t>
  </si>
  <si>
    <t>Ngoài SH</t>
  </si>
  <si>
    <t>Tổng</t>
  </si>
  <si>
    <t>Tổng số:</t>
  </si>
  <si>
    <t>Loại hoá đơn : Truy thu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</si>
  <si>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33311300000</t>
    </r>
  </si>
  <si>
    <t>KDGCS-GL33895</t>
  </si>
  <si>
    <t>GL33895 (GL_038)</t>
  </si>
  <si>
    <t>x</t>
  </si>
  <si>
    <t>CSPK00</t>
  </si>
  <si>
    <t>BÁO CÁO TỔNG HỢP THEO NGÀY GHI CHỈ SỐ VÀ PHÁT HÀNH HÓA ĐƠN</t>
  </si>
  <si>
    <t>Stt</t>
  </si>
  <si>
    <t>Ngày phát hành hóa đơn</t>
  </si>
  <si>
    <t>Tiền điện tác dụng</t>
  </si>
  <si>
    <t>Thuế điện tác dụng</t>
  </si>
  <si>
    <t>Tổng tiền CSPK</t>
  </si>
  <si>
    <t>Loại hoá đơn : Hủy bỏ</t>
  </si>
  <si>
    <t>Tổng số</t>
  </si>
  <si>
    <t>Loại hoá đơn : Lặp lại</t>
  </si>
  <si>
    <t>Loại hoá đơn : Phát sinh</t>
  </si>
  <si>
    <t>Loại hoá đơn : Thoái hoàn</t>
  </si>
  <si>
    <t>THAOPTT.HCM.VTA</t>
  </si>
  <si>
    <r>
      <t>'</t>
    </r>
    <r>
      <rPr>
        <sz val="8"/>
        <color rgb="FF000000"/>
        <rFont val="Tahoma"/>
        <family val="2"/>
      </rPr>
      <t>0100686174-034</t>
    </r>
  </si>
  <si>
    <t>Cộng</t>
  </si>
  <si>
    <t>TA_035</t>
  </si>
  <si>
    <t>Chênh lệch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</si>
  <si>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33311400000</t>
    </r>
  </si>
  <si>
    <t>MADONVI</t>
  </si>
  <si>
    <t>TENDONVI</t>
  </si>
  <si>
    <t>TONGDTP</t>
  </si>
  <si>
    <t>TIENCSPK</t>
  </si>
  <si>
    <t>THUE_TD</t>
  </si>
  <si>
    <t>THUE_CSPK</t>
  </si>
  <si>
    <t>TONGDTPKH</t>
  </si>
  <si>
    <t>TIENDIENKH</t>
  </si>
  <si>
    <t>GIABQKH</t>
  </si>
  <si>
    <t>PE1800</t>
  </si>
  <si>
    <t>Công ty Điện lực Vũng Tàu</t>
  </si>
  <si>
    <t>4500TT</t>
  </si>
  <si>
    <t>GL_0903</t>
  </si>
  <si>
    <t>Cho thuê trụ điện</t>
  </si>
  <si>
    <t>Điện vô công</t>
  </si>
  <si>
    <t>đặt ăn</t>
  </si>
  <si>
    <t>1K26TAA</t>
  </si>
  <si>
    <t>1K26TCA</t>
  </si>
  <si>
    <t>NGÂN HÀNG NÔNG NGHIỆP VÀ PHÁT TRIỂN NÔNG THÔN VIỆT NAM-CHI NHÁNH VŨNG TÀU</t>
  </si>
  <si>
    <t>1K26TDA</t>
  </si>
  <si>
    <t>TỔNG CÔNG TY ĐIỆN LỰC THÀNH PHỐ HỒ CHÍ MINH</t>
  </si>
  <si>
    <t>1K26TAB</t>
  </si>
  <si>
    <t>1C26MAA</t>
  </si>
  <si>
    <t>1C26TDP</t>
  </si>
  <si>
    <t>1C26TAA</t>
  </si>
  <si>
    <t>THUTT.HCM.VTA</t>
  </si>
  <si>
    <t>1C26TYY</t>
  </si>
  <si>
    <t>1C26THP</t>
  </si>
  <si>
    <r>
      <t>'</t>
    </r>
    <r>
      <rPr>
        <sz val="8"/>
        <color rgb="FF000000"/>
        <rFont val="Tahoma"/>
        <family val="2"/>
      </rPr>
      <t>11</t>
    </r>
  </si>
  <si>
    <t>1C26TTT</t>
  </si>
  <si>
    <r>
      <t>'</t>
    </r>
    <r>
      <rPr>
        <sz val="8"/>
        <color rgb="FF000000"/>
        <rFont val="Tahoma"/>
        <family val="2"/>
      </rPr>
      <t>10</t>
    </r>
  </si>
  <si>
    <t>1C26TTN</t>
  </si>
  <si>
    <t>1C26TDT</t>
  </si>
  <si>
    <t>Điều động VTTB</t>
  </si>
  <si>
    <t>HIENNTK.HCM.VTA</t>
  </si>
  <si>
    <r>
      <t>'</t>
    </r>
    <r>
      <rPr>
        <sz val="8"/>
        <color rgb="FF000000"/>
        <rFont val="Tahoma"/>
        <family val="2"/>
      </rPr>
      <t>31</t>
    </r>
  </si>
  <si>
    <t>DOANH NGHIỆP TƯ NHÂN XĂNG DẦU LONG PHƯỚC</t>
  </si>
  <si>
    <t>CÔNG TY TNHH THƯƠNG MẠI VÀ DỊCH VỤ KỸ THUẬT ĐỨC TOÀN</t>
  </si>
  <si>
    <r>
      <t>'</t>
    </r>
    <r>
      <rPr>
        <sz val="8"/>
        <color rgb="FF000000"/>
        <rFont val="Tahoma"/>
        <family val="2"/>
      </rPr>
      <t>3502397026</t>
    </r>
  </si>
  <si>
    <t>Công Ty TNHH Dịch Vụ Bảo Vệ Chính Tín Nghĩa</t>
  </si>
  <si>
    <r>
      <t>'</t>
    </r>
    <r>
      <rPr>
        <sz val="8"/>
        <color rgb="FF000000"/>
        <rFont val="Tahoma"/>
        <family val="2"/>
      </rPr>
      <t>3500774039</t>
    </r>
  </si>
  <si>
    <t>CÔNG TY CỔ PHẦN CHUYỂN PHÁT NHANH TÍN TÂM EXPRESS</t>
  </si>
  <si>
    <r>
      <t>'</t>
    </r>
    <r>
      <rPr>
        <sz val="8"/>
        <color rgb="FF000000"/>
        <rFont val="Tahoma"/>
        <family val="2"/>
      </rPr>
      <t>0317524179</t>
    </r>
  </si>
  <si>
    <t>DIEN00-DOANH THU HÓA ĐƠN TIỀN ĐIỆN PHÁT SINH</t>
  </si>
  <si>
    <r>
      <t>'</t>
    </r>
    <r>
      <rPr>
        <sz val="8"/>
        <color rgb="FF000000"/>
        <rFont val="Tahoma"/>
        <family val="2"/>
      </rPr>
      <t>14</t>
    </r>
  </si>
  <si>
    <t>DIEN01-DOANH THU HÓA ĐƠN TIỀN ĐIỆN PHÁT SINH</t>
  </si>
  <si>
    <t>CSPK02-DOANH THU HÓA ĐƠN TIỀN VÔ CÔNG PHÁT SINH</t>
  </si>
  <si>
    <t>DIEN01-DOANH THU HÓA ĐƠN TIỀN ĐIỆN HỦY BỎ</t>
  </si>
  <si>
    <t>DIEN01-DOANH THU HÓA ĐƠN TIỀN ĐIỆN LẶP LẠI</t>
  </si>
  <si>
    <t>DIEN01-DOANH THU HÓA ĐƠN TIỀN ĐIỆN THOÁI HOÀN</t>
  </si>
  <si>
    <t>DIEN01-DOANH THU HÓA ĐƠN TIỀN ĐIỆN TRUY THU</t>
  </si>
  <si>
    <t>CỘNG HÒA XÃ HỘI CHỦ NGHĨA VIỆT NAM</t>
  </si>
  <si>
    <t>ĐỘI QUẢN LÝ THU GHI</t>
  </si>
  <si>
    <t>Độc Lập - Tự Do - Hạnh Phúc</t>
  </si>
  <si>
    <t>BẢNG KÊ SẢN LƯỢNG TIÊU THỤ VÀ TIỀN ĐIỆN CỦA 
Công Ty TNHH Nhôm Toàn Cầu Việt Nam Thuế GTGT 0%</t>
  </si>
  <si>
    <t>Mã Khách Hàng</t>
  </si>
  <si>
    <t>Danh Số</t>
  </si>
  <si>
    <t>Địa Chỉ</t>
  </si>
  <si>
    <t>Kỳ/Tháng/Năm</t>
  </si>
  <si>
    <t>Ngày phát hành</t>
  </si>
  <si>
    <t>Loại HĐ</t>
  </si>
  <si>
    <t>Điện Tiêu
 Thụ</t>
  </si>
  <si>
    <t>Tiền PS</t>
  </si>
  <si>
    <t>Thuế PS</t>
  </si>
  <si>
    <t>Tổng Tiền</t>
  </si>
  <si>
    <t>PB15040049659</t>
  </si>
  <si>
    <t>AW06880</t>
  </si>
  <si>
    <t>KCN Mỹ Xuân, huyện Tân Thành, tỉnh BRVT</t>
  </si>
  <si>
    <t>TD</t>
  </si>
  <si>
    <t>PB15040050211</t>
  </si>
  <si>
    <t>AW06890</t>
  </si>
  <si>
    <t>Tổng Cộng</t>
  </si>
  <si>
    <t>LẬP BIỂU</t>
  </si>
  <si>
    <t>KT GIÁM ĐỐC</t>
  </si>
  <si>
    <t>PHÓ GIÁM ĐỐC</t>
  </si>
  <si>
    <t>Phạm Quốc Việt</t>
  </si>
  <si>
    <t>Nợ nguyên tệ</t>
  </si>
  <si>
    <r>
      <t>'</t>
    </r>
    <r>
      <rPr>
        <sz val="8"/>
        <color rgb="FF000000"/>
        <rFont val="Tahoma"/>
        <family val="2"/>
      </rPr>
      <t>28</t>
    </r>
  </si>
  <si>
    <t>1C26MDT</t>
  </si>
  <si>
    <r>
      <t>'</t>
    </r>
    <r>
      <rPr>
        <sz val="8"/>
        <color rgb="FF000000"/>
        <rFont val="Tahoma"/>
        <family val="2"/>
      </rPr>
      <t>3502508674</t>
    </r>
  </si>
  <si>
    <t>1C26MYY</t>
  </si>
  <si>
    <t>1C26MTT</t>
  </si>
  <si>
    <r>
      <t>'</t>
    </r>
    <r>
      <rPr>
        <sz val="8"/>
        <color rgb="FF000000"/>
        <rFont val="Tahoma"/>
        <family val="2"/>
      </rPr>
      <t>3500405761</t>
    </r>
  </si>
  <si>
    <r>
      <t>'</t>
    </r>
    <r>
      <rPr>
        <sz val="8"/>
        <color rgb="FF000000"/>
        <rFont val="Tahoma"/>
        <family val="2"/>
      </rPr>
      <t>83</t>
    </r>
  </si>
  <si>
    <r>
      <t>'</t>
    </r>
    <r>
      <rPr>
        <sz val="8"/>
        <color rgb="FF000000"/>
        <rFont val="Tahoma"/>
        <family val="2"/>
      </rPr>
      <t>20</t>
    </r>
  </si>
  <si>
    <r>
      <t>'</t>
    </r>
    <r>
      <rPr>
        <sz val="8"/>
        <color rgb="FF000000"/>
        <rFont val="Tahoma"/>
        <family val="2"/>
      </rPr>
      <t>35</t>
    </r>
  </si>
  <si>
    <r>
      <t>'</t>
    </r>
    <r>
      <rPr>
        <sz val="8"/>
        <color rgb="FF000000"/>
        <rFont val="Tahoma"/>
        <family val="2"/>
      </rPr>
      <t>22</t>
    </r>
  </si>
  <si>
    <r>
      <t>'</t>
    </r>
    <r>
      <rPr>
        <sz val="8"/>
        <color rgb="FF000000"/>
        <rFont val="Tahoma"/>
        <family val="2"/>
      </rPr>
      <t>9</t>
    </r>
  </si>
  <si>
    <t>1C26TNP</t>
  </si>
  <si>
    <t>….., ngày ….., tháng ….., năm …...</t>
  </si>
  <si>
    <t>NGƯỜI NỘP THUẾ hoặc</t>
  </si>
  <si>
    <t>ĐẠI DIỆN HỢP PHÁP CỦA NGƯỜI NỘP THUẾ</t>
  </si>
  <si>
    <t>Ký tên, đóng dấu (Ghi rõ họ tên và chức vụ)</t>
  </si>
  <si>
    <t>PHÁT SINH NỢ</t>
  </si>
  <si>
    <t>PHÁT SINH CÓ</t>
  </si>
  <si>
    <t>Có nguyên tệ</t>
  </si>
  <si>
    <t>5118QT</t>
  </si>
  <si>
    <t>Số phát sinh Nợ</t>
  </si>
  <si>
    <t>Số phát sinh Có</t>
  </si>
  <si>
    <t>dò biểu 33895</t>
  </si>
  <si>
    <t>Kiểm dò MST</t>
  </si>
  <si>
    <t>TUAN2HM.HCM.VTA</t>
  </si>
  <si>
    <r>
      <t>'</t>
    </r>
    <r>
      <rPr>
        <sz val="8"/>
        <color rgb="FF000000"/>
        <rFont val="Tahoma"/>
        <family val="2"/>
      </rPr>
      <t>3502493435</t>
    </r>
  </si>
  <si>
    <t>1C26THH</t>
  </si>
  <si>
    <t>CÔNG TY TNHH DV TM XÂY DỰNG ĐIỆN HOÀNG HẠNH</t>
  </si>
  <si>
    <r>
      <t>'</t>
    </r>
    <r>
      <rPr>
        <sz val="8"/>
        <color rgb="FF000000"/>
        <rFont val="Tahoma"/>
        <family val="2"/>
      </rPr>
      <t>3502289711</t>
    </r>
  </si>
  <si>
    <r>
      <t>'</t>
    </r>
    <r>
      <rPr>
        <sz val="8"/>
        <color rgb="FF000000"/>
        <rFont val="Tahoma"/>
        <family val="2"/>
      </rPr>
      <t>56</t>
    </r>
  </si>
  <si>
    <t>1C26MGA</t>
  </si>
  <si>
    <t xml:space="preserve">Tài khoản: </t>
  </si>
  <si>
    <t>13311</t>
  </si>
  <si>
    <t>13313</t>
  </si>
  <si>
    <t>TAX36</t>
  </si>
  <si>
    <t>tiền thuế</t>
  </si>
  <si>
    <t>SXKD</t>
  </si>
  <si>
    <t>XDCB</t>
  </si>
  <si>
    <t>Nợ_giải trừ</t>
  </si>
  <si>
    <t>Có_treo</t>
  </si>
  <si>
    <t>1388DD</t>
  </si>
  <si>
    <t>333111</t>
  </si>
  <si>
    <t>333113</t>
  </si>
  <si>
    <t>333114</t>
  </si>
  <si>
    <t>vật tư điều động</t>
  </si>
  <si>
    <t>quà tặng</t>
  </si>
  <si>
    <t>dường dây thông tin</t>
  </si>
  <si>
    <t>Đầu ra</t>
  </si>
  <si>
    <t>Nợ</t>
  </si>
  <si>
    <t>psinh tháng này</t>
  </si>
  <si>
    <t>dauky daura (N333111)</t>
  </si>
  <si>
    <t>dauky dauvao(N13311)</t>
  </si>
  <si>
    <t>số dư Nợ 333111</t>
  </si>
  <si>
    <t>số dư Nợ 13311</t>
  </si>
  <si>
    <t>số dư Nợ 13311 của SPC không được, để nguyên</t>
  </si>
  <si>
    <t>số nộp dư của SCP Nợ TK333111 --&gt; không được khấu trừ, để nguyên</t>
  </si>
  <si>
    <t>số này sẽ được khấu trừ trong năm 2026</t>
  </si>
  <si>
    <t>KC 133-333</t>
  </si>
  <si>
    <t>giữ nguyên số dư</t>
  </si>
  <si>
    <t>số dư HCM</t>
  </si>
  <si>
    <t>số dư SPC</t>
  </si>
  <si>
    <t>số dư SPC (đúng)</t>
  </si>
  <si>
    <t>đ/c giảm đầu vào của Tân Thuận (đã làm tờ đ/c trong T2/2024+T3/2024)</t>
  </si>
  <si>
    <t>số còn được cấn trừ tháng sau</t>
  </si>
  <si>
    <t>số dư cuối cùng</t>
  </si>
  <si>
    <t>Tài khoản: 1331 - Thuế GTGT được khấu trừ – Thuế GTGT được khấu trừ của hàng hoá, dịch vụ</t>
  </si>
  <si>
    <t>Tài khoản: 3331 - Thuế và các khoản phải nộp Nhà nước – Thuế giá trị gia tăng phải nộp</t>
  </si>
  <si>
    <t>Đ/cgiảm thuế GTGT đầu vào T2/2024 cho PC Tân Thuận</t>
  </si>
  <si>
    <t>Đ/cgiảm thuế GTGT đầu vào T3/2024 cho PC Tân Thuận</t>
  </si>
  <si>
    <t>VC</t>
  </si>
  <si>
    <t>Đặng Quang Trung</t>
  </si>
  <si>
    <t>Unpost</t>
  </si>
  <si>
    <t>Draft</t>
  </si>
  <si>
    <t>DIEN00-DOANH THU HÓA ĐƠN TIỀN ĐIỆN PHÁT SINH-CT TNHH NHÔM TOÀN CẦU VIỆT NAM KỲ 3/4/2026</t>
  </si>
  <si>
    <t>DIEN01-DOANH THU HÓA ĐƠN TIỀN ĐIỆN PHÁT SINH T04/2026</t>
  </si>
  <si>
    <t>CSPK02-DOANH THU HÓA ĐƠN TIỀN VÔ CÔNG PHÁT SINH T04/2026</t>
  </si>
  <si>
    <r>
      <t>Dư cuối kỳ</t>
    </r>
    <r>
      <rPr>
        <sz val="11"/>
        <color rgb="FF000000"/>
        <rFont val="Times New Roman"/>
        <family val="1"/>
      </rPr>
      <t> </t>
    </r>
  </si>
  <si>
    <r>
      <t>Cộng phát sinh-</t>
    </r>
    <r>
      <rPr>
        <b/>
        <sz val="9"/>
        <color rgb="FF000000"/>
        <rFont val="Times New Roman"/>
        <family val="1"/>
      </rPr>
      <t>33895000000</t>
    </r>
  </si>
  <si>
    <r>
      <t>Dư cuối kỳ-</t>
    </r>
    <r>
      <rPr>
        <b/>
        <sz val="12"/>
        <color rgb="FF000000"/>
        <rFont val="Times New Roman"/>
        <family val="1"/>
      </rPr>
      <t xml:space="preserve"> </t>
    </r>
  </si>
  <si>
    <r>
      <t xml:space="preserve">Tổng Dư đầu kỳ - </t>
    </r>
    <r>
      <rPr>
        <b/>
        <sz val="9"/>
        <color rgb="FF000000"/>
        <rFont val="Times New Roman"/>
        <family val="1"/>
      </rPr>
      <t>33895000000</t>
    </r>
  </si>
  <si>
    <r>
      <t>'</t>
    </r>
    <r>
      <rPr>
        <sz val="8"/>
        <color rgb="FF000000"/>
        <rFont val="Tahoma"/>
        <family val="2"/>
      </rPr>
      <t>KHDIENKINHDOANH</t>
    </r>
  </si>
  <si>
    <r>
      <t>QUYENNN.HCM.VTA</t>
    </r>
    <r>
      <rPr>
        <sz val="11"/>
        <color rgb="FF000000"/>
        <rFont val="Calibri"/>
        <family val="2"/>
      </rPr>
      <t xml:space="preserve"> </t>
    </r>
  </si>
  <si>
    <r>
      <t>'</t>
    </r>
    <r>
      <rPr>
        <sz val="8"/>
        <color rgb="FF000000"/>
        <rFont val="Tahoma"/>
        <family val="2"/>
      </rPr>
      <t>KHDIENVOCONG</t>
    </r>
  </si>
  <si>
    <r>
      <t>'</t>
    </r>
    <r>
      <rPr>
        <sz val="8"/>
        <color rgb="FF000000"/>
        <rFont val="Tahoma"/>
        <family val="2"/>
      </rPr>
      <t>111</t>
    </r>
  </si>
  <si>
    <t>mua ăcquy</t>
  </si>
  <si>
    <r>
      <t>'</t>
    </r>
    <r>
      <rPr>
        <sz val="8"/>
        <color rgb="FF000000"/>
        <rFont val="Tahoma"/>
        <family val="2"/>
      </rPr>
      <t>671</t>
    </r>
  </si>
  <si>
    <t>1C26TPL</t>
  </si>
  <si>
    <t>CÔNG TY TNHH VẬN TẢI VÀ DỊCH VỤ GIAO NHẬN PHÚC LONG</t>
  </si>
  <si>
    <r>
      <t>'</t>
    </r>
    <r>
      <rPr>
        <sz val="8"/>
        <color rgb="FF000000"/>
        <rFont val="Tahoma"/>
        <family val="2"/>
      </rPr>
      <t>0319156594</t>
    </r>
  </si>
  <si>
    <t>CÔNG TY TNHH HOÀN ĐẠT PHÁT</t>
  </si>
  <si>
    <r>
      <t>'</t>
    </r>
    <r>
      <rPr>
        <sz val="8"/>
        <color rgb="FF000000"/>
        <rFont val="Tahoma"/>
        <family val="2"/>
      </rPr>
      <t>0316685920</t>
    </r>
  </si>
  <si>
    <r>
      <t>'</t>
    </r>
    <r>
      <rPr>
        <sz val="8"/>
        <color rgb="FF000000"/>
        <rFont val="Tahoma"/>
        <family val="2"/>
      </rPr>
      <t>27</t>
    </r>
  </si>
  <si>
    <r>
      <t>'</t>
    </r>
    <r>
      <rPr>
        <sz val="8"/>
        <color rgb="FF000000"/>
        <rFont val="Tahoma"/>
        <family val="2"/>
      </rPr>
      <t>50</t>
    </r>
  </si>
  <si>
    <r>
      <t>'</t>
    </r>
    <r>
      <rPr>
        <sz val="8"/>
        <color rgb="FF000000"/>
        <rFont val="Tahoma"/>
        <family val="2"/>
      </rPr>
      <t>45</t>
    </r>
  </si>
  <si>
    <t>CÔNG TY TNHH VẬN TẢI DUY TUNG</t>
  </si>
  <si>
    <r>
      <t>'</t>
    </r>
    <r>
      <rPr>
        <sz val="8"/>
        <color rgb="FF000000"/>
        <rFont val="Tahoma"/>
        <family val="2"/>
      </rPr>
      <t>3502545958</t>
    </r>
  </si>
  <si>
    <t>1C26MTN</t>
  </si>
  <si>
    <t>D</t>
  </si>
  <si>
    <t>Tháng năm: 04/2026</t>
  </si>
  <si>
    <t>NHẬP LÊN TỜ KHÁI THUẾ THÁNG</t>
  </si>
  <si>
    <t>1C26TKD</t>
  </si>
  <si>
    <r>
      <t>'</t>
    </r>
    <r>
      <rPr>
        <sz val="8"/>
        <color rgb="FF000000"/>
        <rFont val="Tahoma"/>
        <family val="2"/>
      </rPr>
      <t>3500452666</t>
    </r>
  </si>
  <si>
    <t>CN TCT Điện Lực TPHCM TNHH - Công Ty Điện Lực Sài Gòn</t>
  </si>
  <si>
    <r>
      <t>'</t>
    </r>
    <r>
      <rPr>
        <sz val="8"/>
        <color rgb="FF000000"/>
        <rFont val="Tahoma"/>
        <family val="2"/>
      </rPr>
      <t>0300951119-001</t>
    </r>
  </si>
  <si>
    <t>1K26TBB</t>
  </si>
  <si>
    <r>
      <t>'</t>
    </r>
    <r>
      <rPr>
        <sz val="8"/>
        <color rgb="FF000000"/>
        <rFont val="Tahoma"/>
        <family val="2"/>
      </rPr>
      <t>49</t>
    </r>
  </si>
  <si>
    <t>CN TCT Điện Lực TPHCM TNHH - Công Ty Công Nghệ Thông Tin Điện Lực TPHCM</t>
  </si>
  <si>
    <r>
      <t>'</t>
    </r>
    <r>
      <rPr>
        <sz val="8"/>
        <color rgb="FF000000"/>
        <rFont val="Tahoma"/>
        <family val="2"/>
      </rPr>
      <t>0300951119-023</t>
    </r>
  </si>
  <si>
    <r>
      <t>'</t>
    </r>
    <r>
      <rPr>
        <sz val="8"/>
        <color rgb="FF000000"/>
        <rFont val="Tahoma"/>
        <family val="2"/>
      </rPr>
      <t>0300951119-007</t>
    </r>
  </si>
  <si>
    <t>1K26TKA</t>
  </si>
  <si>
    <r>
      <t>'</t>
    </r>
    <r>
      <rPr>
        <sz val="8"/>
        <color rgb="FF000000"/>
        <rFont val="Tahoma"/>
        <family val="2"/>
      </rPr>
      <t>5</t>
    </r>
  </si>
  <si>
    <t>1C26TTM</t>
  </si>
  <si>
    <t>Công ty TNHH Cơ khí - Xây dựng - Thương mại Thành Mỹ</t>
  </si>
  <si>
    <r>
      <t>'</t>
    </r>
    <r>
      <rPr>
        <sz val="8"/>
        <color rgb="FF000000"/>
        <rFont val="Tahoma"/>
        <family val="2"/>
      </rPr>
      <t>3502440828</t>
    </r>
  </si>
  <si>
    <t>ĐIỆN MTMN T03-2026</t>
  </si>
  <si>
    <t>Năng lượng mặt trời</t>
  </si>
  <si>
    <r>
      <t>'</t>
    </r>
    <r>
      <rPr>
        <sz val="8"/>
        <color rgb="FF000000"/>
        <rFont val="Tahoma"/>
        <family val="2"/>
      </rPr>
      <t>12</t>
    </r>
  </si>
  <si>
    <r>
      <t>'</t>
    </r>
    <r>
      <rPr>
        <sz val="8"/>
        <color rgb="FF000000"/>
        <rFont val="Tahoma"/>
        <family val="2"/>
      </rPr>
      <t>3500689369</t>
    </r>
  </si>
  <si>
    <t>1C26TPQ</t>
  </si>
  <si>
    <r>
      <t>'</t>
    </r>
    <r>
      <rPr>
        <sz val="8"/>
        <color rgb="FF000000"/>
        <rFont val="Tahoma"/>
        <family val="2"/>
      </rPr>
      <t>4</t>
    </r>
  </si>
  <si>
    <t>Công ty TNHH Đầu tư Năng lượng Phúc Quang</t>
  </si>
  <si>
    <t>1C26TMQ</t>
  </si>
  <si>
    <t>Công ty TNHH Đầu Tư Năng Lượng Minh Quang</t>
  </si>
  <si>
    <r>
      <t>'</t>
    </r>
    <r>
      <rPr>
        <sz val="8"/>
        <color rgb="FF000000"/>
        <rFont val="Tahoma"/>
        <family val="2"/>
      </rPr>
      <t>3502208399-009</t>
    </r>
  </si>
  <si>
    <t>1C26TVQ</t>
  </si>
  <si>
    <t>Công ty TNHH Đầu Tư Năng Lượng Vĩnh Quang</t>
  </si>
  <si>
    <r>
      <t>'</t>
    </r>
    <r>
      <rPr>
        <sz val="8"/>
        <color rgb="FF000000"/>
        <rFont val="Tahoma"/>
        <family val="2"/>
      </rPr>
      <t>3502250175</t>
    </r>
  </si>
  <si>
    <t>1C26TSS</t>
  </si>
  <si>
    <r>
      <t>'</t>
    </r>
    <r>
      <rPr>
        <sz val="8"/>
        <color rgb="FF000000"/>
        <rFont val="Tahoma"/>
        <family val="2"/>
      </rPr>
      <t>0109295954</t>
    </r>
  </si>
  <si>
    <t>1C26TDD</t>
  </si>
  <si>
    <t>Công ty Cổ Phần Xuất Nhập Khẩu Duy Sơn</t>
  </si>
  <si>
    <r>
      <t>'</t>
    </r>
    <r>
      <rPr>
        <sz val="8"/>
        <color rgb="FF000000"/>
        <rFont val="Tahoma"/>
        <family val="2"/>
      </rPr>
      <t>3502275892</t>
    </r>
  </si>
  <si>
    <r>
      <t>'</t>
    </r>
    <r>
      <rPr>
        <sz val="8"/>
        <color rgb="FF000000"/>
        <rFont val="Tahoma"/>
        <family val="2"/>
      </rPr>
      <t>3502426090</t>
    </r>
  </si>
  <si>
    <t>BQL Vườn Quốc Gia Côn Đảo</t>
  </si>
  <si>
    <r>
      <t>'</t>
    </r>
    <r>
      <rPr>
        <sz val="8"/>
        <color rgb="FF000000"/>
        <rFont val="Tahoma"/>
        <family val="2"/>
      </rPr>
      <t>3500122442</t>
    </r>
  </si>
  <si>
    <t>Công ty Cổ Phần Đầu Tư Xây Dựng Đại Dũng</t>
  </si>
  <si>
    <r>
      <t>'</t>
    </r>
    <r>
      <rPr>
        <sz val="8"/>
        <color rgb="FF000000"/>
        <rFont val="Tahoma"/>
        <family val="2"/>
      </rPr>
      <t>0300970376</t>
    </r>
  </si>
  <si>
    <r>
      <t>'</t>
    </r>
    <r>
      <rPr>
        <sz val="8"/>
        <color rgb="FF000000"/>
        <rFont val="Tahoma"/>
        <family val="2"/>
      </rPr>
      <t>0311974661</t>
    </r>
  </si>
  <si>
    <t>Công ty Cổ Phần Năng Lượng Tái Tạo Sông Đà</t>
  </si>
  <si>
    <r>
      <t>'</t>
    </r>
    <r>
      <rPr>
        <sz val="8"/>
        <color rgb="FF000000"/>
        <rFont val="Tahoma"/>
        <family val="2"/>
      </rPr>
      <t>4500618017</t>
    </r>
  </si>
  <si>
    <t>1C26TPV</t>
  </si>
  <si>
    <t>Cty CP DVTH Dầu khí Vũng Tàu</t>
  </si>
  <si>
    <r>
      <t>'</t>
    </r>
    <r>
      <rPr>
        <sz val="8"/>
        <color rgb="FF000000"/>
        <rFont val="Tahoma"/>
        <family val="2"/>
      </rPr>
      <t>3500885701</t>
    </r>
  </si>
  <si>
    <t>1C26TGX</t>
  </si>
  <si>
    <r>
      <t>'</t>
    </r>
    <r>
      <rPr>
        <sz val="8"/>
        <color rgb="FF000000"/>
        <rFont val="Tahoma"/>
        <family val="2"/>
      </rPr>
      <t>13</t>
    </r>
  </si>
  <si>
    <t>Công ty TNHH Đầu Tư Thương Mại Thế Giới Xanh</t>
  </si>
  <si>
    <r>
      <t>'</t>
    </r>
    <r>
      <rPr>
        <sz val="8"/>
        <color rgb="FF000000"/>
        <rFont val="Tahoma"/>
        <family val="2"/>
      </rPr>
      <t>0315939812</t>
    </r>
  </si>
  <si>
    <t>1C26MHP</t>
  </si>
  <si>
    <t>Công ty TNHH Thương Mại Dịch Vụ Hoàng Phát</t>
  </si>
  <si>
    <r>
      <t>'</t>
    </r>
    <r>
      <rPr>
        <sz val="8"/>
        <color rgb="FF000000"/>
        <rFont val="Tahoma"/>
        <family val="2"/>
      </rPr>
      <t>0316377933</t>
    </r>
  </si>
  <si>
    <t>1C26TMN</t>
  </si>
  <si>
    <t>Công Ty Cổ Phần Tư Vấn Xây Dựng Miền Nam</t>
  </si>
  <si>
    <r>
      <t>'</t>
    </r>
    <r>
      <rPr>
        <sz val="8"/>
        <color rgb="FF000000"/>
        <rFont val="Tahoma"/>
        <family val="2"/>
      </rPr>
      <t>0316399863</t>
    </r>
  </si>
  <si>
    <r>
      <t>'</t>
    </r>
    <r>
      <rPr>
        <sz val="8"/>
        <color rgb="FF000000"/>
        <rFont val="Tahoma"/>
        <family val="2"/>
      </rPr>
      <t>15</t>
    </r>
  </si>
  <si>
    <r>
      <t>'</t>
    </r>
    <r>
      <rPr>
        <sz val="8"/>
        <color rgb="FF000000"/>
        <rFont val="Tahoma"/>
        <family val="2"/>
      </rPr>
      <t>0901082015</t>
    </r>
  </si>
  <si>
    <t>1C26TSB</t>
  </si>
  <si>
    <r>
      <t>'</t>
    </r>
    <r>
      <rPr>
        <sz val="8"/>
        <color rgb="FF000000"/>
        <rFont val="Tahoma"/>
        <family val="2"/>
      </rPr>
      <t>152</t>
    </r>
  </si>
  <si>
    <t>Chi nhánh Công ty cổ phần Dầu khí Thái Bình Dương - cửa hàng số 4</t>
  </si>
  <si>
    <r>
      <t>'</t>
    </r>
    <r>
      <rPr>
        <sz val="8"/>
        <color rgb="FF000000"/>
        <rFont val="Tahoma"/>
        <family val="2"/>
      </rPr>
      <t>3502316958</t>
    </r>
  </si>
  <si>
    <t>1C26TDA</t>
  </si>
  <si>
    <r>
      <t>'</t>
    </r>
    <r>
      <rPr>
        <sz val="8"/>
        <color rgb="FF000000"/>
        <rFont val="Tahoma"/>
        <family val="2"/>
      </rPr>
      <t>16</t>
    </r>
  </si>
  <si>
    <t>Công ty Cổ phần Xây lắp Dầu khí Đông Á</t>
  </si>
  <si>
    <r>
      <t>'</t>
    </r>
    <r>
      <rPr>
        <sz val="8"/>
        <color rgb="FF000000"/>
        <rFont val="Tahoma"/>
        <family val="2"/>
      </rPr>
      <t>160</t>
    </r>
  </si>
  <si>
    <t>Công ty TNHH May Thạnh Mỹ</t>
  </si>
  <si>
    <r>
      <t>'</t>
    </r>
    <r>
      <rPr>
        <sz val="8"/>
        <color rgb="FF000000"/>
        <rFont val="Tahoma"/>
        <family val="2"/>
      </rPr>
      <t>17</t>
    </r>
  </si>
  <si>
    <t>Công Ty Cổ Phần Xây Lắp Dầu Khí Đông Á</t>
  </si>
  <si>
    <r>
      <t>'</t>
    </r>
    <r>
      <rPr>
        <sz val="8"/>
        <color rgb="FF000000"/>
        <rFont val="Tahoma"/>
        <family val="2"/>
      </rPr>
      <t>3500441720</t>
    </r>
  </si>
  <si>
    <t>1C26TNT</t>
  </si>
  <si>
    <t>1C26TVT</t>
  </si>
  <si>
    <r>
      <t>'</t>
    </r>
    <r>
      <rPr>
        <sz val="8"/>
        <color rgb="FF000000"/>
        <rFont val="Tahoma"/>
        <family val="2"/>
      </rPr>
      <t>19</t>
    </r>
  </si>
  <si>
    <t>1C26THA</t>
  </si>
  <si>
    <t>Công ty Cổ Phần HANACANS</t>
  </si>
  <si>
    <r>
      <t>'</t>
    </r>
    <r>
      <rPr>
        <sz val="8"/>
        <color rgb="FF000000"/>
        <rFont val="Tahoma"/>
        <family val="2"/>
      </rPr>
      <t>0316274631</t>
    </r>
  </si>
  <si>
    <t>Công Ty Cổ Phần Năng Lượng Tái Tạo Sông Hồng</t>
  </si>
  <si>
    <r>
      <t>'</t>
    </r>
    <r>
      <rPr>
        <sz val="8"/>
        <color rgb="FF000000"/>
        <rFont val="Tahoma"/>
        <family val="2"/>
      </rPr>
      <t>3500717513</t>
    </r>
  </si>
  <si>
    <t>1C26TCS</t>
  </si>
  <si>
    <t>Công Ty TNHH Can Sports Năng Lượng Xanh</t>
  </si>
  <si>
    <t>1C26TNL</t>
  </si>
  <si>
    <t>Công ty Cổ Phần TECH SOUTH</t>
  </si>
  <si>
    <r>
      <t>'</t>
    </r>
    <r>
      <rPr>
        <sz val="8"/>
        <color rgb="FF000000"/>
        <rFont val="Tahoma"/>
        <family val="2"/>
      </rPr>
      <t>3500488687</t>
    </r>
  </si>
  <si>
    <t>1C26TCL</t>
  </si>
  <si>
    <t>Công ty TNHH Chấn Long</t>
  </si>
  <si>
    <r>
      <t>'</t>
    </r>
    <r>
      <rPr>
        <sz val="8"/>
        <color rgb="FF000000"/>
        <rFont val="Tahoma"/>
        <family val="2"/>
      </rPr>
      <t>3502414560</t>
    </r>
  </si>
  <si>
    <t>1C26TMS</t>
  </si>
  <si>
    <r>
      <t>'</t>
    </r>
    <r>
      <rPr>
        <sz val="8"/>
        <color rgb="FF000000"/>
        <rFont val="Tahoma"/>
        <family val="2"/>
      </rPr>
      <t>23</t>
    </r>
  </si>
  <si>
    <t>Công ty TNHH Đầu Tư Phát Triển Mimosa</t>
  </si>
  <si>
    <r>
      <t>'</t>
    </r>
    <r>
      <rPr>
        <sz val="8"/>
        <color rgb="FF000000"/>
        <rFont val="Tahoma"/>
        <family val="2"/>
      </rPr>
      <t>3502440401</t>
    </r>
  </si>
  <si>
    <t>Công ty Cổ Phần Chí Ninh Năng Lượng Xanh</t>
  </si>
  <si>
    <r>
      <t>'</t>
    </r>
    <r>
      <rPr>
        <sz val="8"/>
        <color rgb="FF000000"/>
        <rFont val="Tahoma"/>
        <family val="2"/>
      </rPr>
      <t>3500684113</t>
    </r>
  </si>
  <si>
    <r>
      <t>'</t>
    </r>
    <r>
      <rPr>
        <sz val="8"/>
        <color rgb="FF000000"/>
        <rFont val="Tahoma"/>
        <family val="2"/>
      </rPr>
      <t>24</t>
    </r>
  </si>
  <si>
    <r>
      <t>'</t>
    </r>
    <r>
      <rPr>
        <sz val="8"/>
        <color rgb="FF000000"/>
        <rFont val="Tahoma"/>
        <family val="2"/>
      </rPr>
      <t>3501495711</t>
    </r>
  </si>
  <si>
    <t>Công ty TNHH Điện Năng Lượng VT</t>
  </si>
  <si>
    <r>
      <t>'</t>
    </r>
    <r>
      <rPr>
        <sz val="8"/>
        <color rgb="FF000000"/>
        <rFont val="Tahoma"/>
        <family val="2"/>
      </rPr>
      <t>3502440419</t>
    </r>
  </si>
  <si>
    <r>
      <t>'</t>
    </r>
    <r>
      <rPr>
        <sz val="8"/>
        <color rgb="FF000000"/>
        <rFont val="Tahoma"/>
        <family val="2"/>
      </rPr>
      <t>25</t>
    </r>
  </si>
  <si>
    <r>
      <t>'</t>
    </r>
    <r>
      <rPr>
        <sz val="8"/>
        <color rgb="FF000000"/>
        <rFont val="Tahoma"/>
        <family val="2"/>
      </rPr>
      <t>3502321651</t>
    </r>
  </si>
  <si>
    <t>Công ty Trách Nhiệm Hữu Hạn Lê Chính</t>
  </si>
  <si>
    <r>
      <t>'</t>
    </r>
    <r>
      <rPr>
        <sz val="8"/>
        <color rgb="FF000000"/>
        <rFont val="Tahoma"/>
        <family val="2"/>
      </rPr>
      <t>2100656134</t>
    </r>
  </si>
  <si>
    <r>
      <t>'</t>
    </r>
    <r>
      <rPr>
        <sz val="8"/>
        <color rgb="FF000000"/>
        <rFont val="Tahoma"/>
        <family val="2"/>
      </rPr>
      <t>26</t>
    </r>
  </si>
  <si>
    <r>
      <t>'</t>
    </r>
    <r>
      <rPr>
        <sz val="8"/>
        <color rgb="FF000000"/>
        <rFont val="Tahoma"/>
        <family val="2"/>
      </rPr>
      <t>3502526923</t>
    </r>
  </si>
  <si>
    <t>1C26TSC</t>
  </si>
  <si>
    <t>Công ty Cổ Phần INTERSOLAR</t>
  </si>
  <si>
    <t>1C26TLH</t>
  </si>
  <si>
    <r>
      <t>'</t>
    </r>
    <r>
      <rPr>
        <sz val="8"/>
        <color rgb="FF000000"/>
        <rFont val="Tahoma"/>
        <family val="2"/>
      </rPr>
      <t>29</t>
    </r>
  </si>
  <si>
    <t>Công ty TNHH  Phú Lộc Hưng</t>
  </si>
  <si>
    <t>1C26TXX</t>
  </si>
  <si>
    <t>Công ty TNHH SKYX SOLAR CENTRAL</t>
  </si>
  <si>
    <r>
      <t>'</t>
    </r>
    <r>
      <rPr>
        <sz val="8"/>
        <color rgb="FF000000"/>
        <rFont val="Tahoma"/>
        <family val="2"/>
      </rPr>
      <t>3502301045</t>
    </r>
  </si>
  <si>
    <r>
      <t>'</t>
    </r>
    <r>
      <rPr>
        <sz val="8"/>
        <color rgb="FF000000"/>
        <rFont val="Tahoma"/>
        <family val="2"/>
      </rPr>
      <t>0312062509</t>
    </r>
  </si>
  <si>
    <t>1C26TEC</t>
  </si>
  <si>
    <r>
      <t>'</t>
    </r>
    <r>
      <rPr>
        <sz val="8"/>
        <color rgb="FF000000"/>
        <rFont val="Tahoma"/>
        <family val="2"/>
      </rPr>
      <t>30</t>
    </r>
  </si>
  <si>
    <t>Công ty TNHH Công Nghệ Xanh ECOSOLAR</t>
  </si>
  <si>
    <r>
      <t>'</t>
    </r>
    <r>
      <rPr>
        <sz val="8"/>
        <color rgb="FF000000"/>
        <rFont val="Tahoma"/>
        <family val="2"/>
      </rPr>
      <t>0316294652</t>
    </r>
  </si>
  <si>
    <t>1C26TXD</t>
  </si>
  <si>
    <t>Công ty Cổ phần Tư Vấn Và Xây Dựng Miền Nam</t>
  </si>
  <si>
    <r>
      <t>'</t>
    </r>
    <r>
      <rPr>
        <sz val="8"/>
        <color rgb="FF000000"/>
        <rFont val="Tahoma"/>
        <family val="2"/>
      </rPr>
      <t>3502395300</t>
    </r>
  </si>
  <si>
    <r>
      <t>'</t>
    </r>
    <r>
      <rPr>
        <sz val="8"/>
        <color rgb="FF000000"/>
        <rFont val="Tahoma"/>
        <family val="2"/>
      </rPr>
      <t>0316369756</t>
    </r>
  </si>
  <si>
    <t>Công ty Cổ phần Solar Esco</t>
  </si>
  <si>
    <r>
      <t>'</t>
    </r>
    <r>
      <rPr>
        <sz val="8"/>
        <color rgb="FF000000"/>
        <rFont val="Tahoma"/>
        <family val="2"/>
      </rPr>
      <t>33</t>
    </r>
  </si>
  <si>
    <t>Công ty TNHH SKYX SOLAR 1</t>
  </si>
  <si>
    <r>
      <t>'</t>
    </r>
    <r>
      <rPr>
        <sz val="8"/>
        <color rgb="FF000000"/>
        <rFont val="Tahoma"/>
        <family val="2"/>
      </rPr>
      <t>3500391149</t>
    </r>
  </si>
  <si>
    <t>Công Ty TNHH Thiết Bị Điện Hoàng Sơn</t>
  </si>
  <si>
    <r>
      <t>'</t>
    </r>
    <r>
      <rPr>
        <sz val="8"/>
        <color rgb="FF000000"/>
        <rFont val="Tahoma"/>
        <family val="2"/>
      </rPr>
      <t>6400396685</t>
    </r>
  </si>
  <si>
    <t>Công Ty TNHH Hoàng Minh HOTEL</t>
  </si>
  <si>
    <r>
      <t>'</t>
    </r>
    <r>
      <rPr>
        <sz val="8"/>
        <color rgb="FF000000"/>
        <rFont val="Tahoma"/>
        <family val="2"/>
      </rPr>
      <t>0316379264</t>
    </r>
  </si>
  <si>
    <t>1C26THS</t>
  </si>
  <si>
    <t>Công ty TNHH Công nghệ - Năng Lượng Hưng Hải Sơn</t>
  </si>
  <si>
    <r>
      <t>'</t>
    </r>
    <r>
      <rPr>
        <sz val="8"/>
        <color rgb="FF000000"/>
        <rFont val="Tahoma"/>
        <family val="2"/>
      </rPr>
      <t>3500732889</t>
    </r>
  </si>
  <si>
    <t>1C26TPM</t>
  </si>
  <si>
    <t>Công ty TNHH Một Thành Viên Hoàng Nguyên SOLAR - PM1</t>
  </si>
  <si>
    <t>1C26TSA</t>
  </si>
  <si>
    <t>Công Ty Cổ Phần SARA Vũng Tàu</t>
  </si>
  <si>
    <r>
      <t>'</t>
    </r>
    <r>
      <rPr>
        <sz val="8"/>
        <color rgb="FF000000"/>
        <rFont val="Tahoma"/>
        <family val="2"/>
      </rPr>
      <t>3500545991</t>
    </r>
  </si>
  <si>
    <t>1C26TSW</t>
  </si>
  <si>
    <t>Công ty Cổ Phần Điện Mặt Trời SUNWORD</t>
  </si>
  <si>
    <r>
      <t>'</t>
    </r>
    <r>
      <rPr>
        <sz val="8"/>
        <color rgb="FF000000"/>
        <rFont val="Tahoma"/>
        <family val="2"/>
      </rPr>
      <t>3501509280</t>
    </r>
  </si>
  <si>
    <t>1C26TAP</t>
  </si>
  <si>
    <t>Công ty TNHH Xây Dựng và Thương Mại Anh Phúc</t>
  </si>
  <si>
    <t>Công ty TNHH Kỹ Thuật và Đầu Tư Tiến Thành</t>
  </si>
  <si>
    <r>
      <t>'</t>
    </r>
    <r>
      <rPr>
        <sz val="8"/>
        <color rgb="FF000000"/>
        <rFont val="Tahoma"/>
        <family val="2"/>
      </rPr>
      <t>3500385868</t>
    </r>
  </si>
  <si>
    <t>Công ty TNHH Một Thành Viên Hoàng Nguyên SOLAR - PM2</t>
  </si>
  <si>
    <r>
      <t>'</t>
    </r>
    <r>
      <rPr>
        <sz val="8"/>
        <color rgb="FF000000"/>
        <rFont val="Tahoma"/>
        <family val="2"/>
      </rPr>
      <t>0109295961</t>
    </r>
  </si>
  <si>
    <t>Công ty TNHH Năng Lượng Mặt Trời Đồng Minh</t>
  </si>
  <si>
    <r>
      <t>'</t>
    </r>
    <r>
      <rPr>
        <sz val="8"/>
        <color rgb="FF000000"/>
        <rFont val="Tahoma"/>
        <family val="2"/>
      </rPr>
      <t>0316387339</t>
    </r>
  </si>
  <si>
    <t>1C26TDV</t>
  </si>
  <si>
    <t>CÔNG TY TNHH PHÁT TRIỂN NĂNG LƯỢNG DVG VIỆT NAM</t>
  </si>
  <si>
    <r>
      <t>'</t>
    </r>
    <r>
      <rPr>
        <sz val="8"/>
        <color rgb="FF000000"/>
        <rFont val="Tahoma"/>
        <family val="2"/>
      </rPr>
      <t>3502208399-010</t>
    </r>
  </si>
  <si>
    <t>Công ty TNHH Đầu Tư Trường Hưng Thịnh Phát</t>
  </si>
  <si>
    <r>
      <t>'</t>
    </r>
    <r>
      <rPr>
        <sz val="8"/>
        <color rgb="FF000000"/>
        <rFont val="Tahoma"/>
        <family val="2"/>
      </rPr>
      <t>0313553235</t>
    </r>
  </si>
  <si>
    <t>1C26TKT</t>
  </si>
  <si>
    <t>Công ty Trách Nhiệm Hữu Hạn Đầu Tư Khang Khang Tiến</t>
  </si>
  <si>
    <r>
      <t>'</t>
    </r>
    <r>
      <rPr>
        <sz val="8"/>
        <color rgb="FF000000"/>
        <rFont val="Tahoma"/>
        <family val="2"/>
      </rPr>
      <t>3500419884</t>
    </r>
  </si>
  <si>
    <t>1C26TSE</t>
  </si>
  <si>
    <t>Công ty Trách Nhiệm Hữu Hạn SERENITY GREEN TA</t>
  </si>
  <si>
    <t>1C26TGN</t>
  </si>
  <si>
    <t>Công ty TNHH Một Thành Viên Công nghệ - Năng Lượng Gia Nguyên</t>
  </si>
  <si>
    <t>1C26TPC</t>
  </si>
  <si>
    <t>CÔNG TY TNHH THỦY SẢN PHÚC CHÂU</t>
  </si>
  <si>
    <t>Công Ty TNHH Truyền Thông Quảng Cáo Da Vàng</t>
  </si>
  <si>
    <t>Công ty TNHH Sản Xuất Thương Mại Dịch Vụ Xuất Nhập Khẩu An Phát</t>
  </si>
  <si>
    <t>1C26TTP</t>
  </si>
  <si>
    <t>Công ty Cổ Phần Kim Thành Phát</t>
  </si>
  <si>
    <r>
      <t>'</t>
    </r>
    <r>
      <rPr>
        <sz val="8"/>
        <color rgb="FF000000"/>
        <rFont val="Tahoma"/>
        <family val="2"/>
      </rPr>
      <t>3500435011</t>
    </r>
  </si>
  <si>
    <t>Công ty Trách Nhiệm Hữu Hạn TM Khang Khang Đạt</t>
  </si>
  <si>
    <t>1C26TKP</t>
  </si>
  <si>
    <t>Công ty Trách Nhiệm Hữu Hạn Duyên &amp; Khang Phát</t>
  </si>
  <si>
    <t>1C26TTC</t>
  </si>
  <si>
    <t>Công Ty TNHH Dịch Vụ Vận Tải Trung Việt</t>
  </si>
  <si>
    <r>
      <t>'</t>
    </r>
    <r>
      <rPr>
        <sz val="8"/>
        <color rgb="FF000000"/>
        <rFont val="Tahoma"/>
        <family val="2"/>
      </rPr>
      <t>3502436606</t>
    </r>
  </si>
  <si>
    <t>1C26TPN</t>
  </si>
  <si>
    <r>
      <t>'</t>
    </r>
    <r>
      <rPr>
        <sz val="8"/>
        <color rgb="FF000000"/>
        <rFont val="Tahoma"/>
        <family val="2"/>
      </rPr>
      <t>41</t>
    </r>
  </si>
  <si>
    <t>Công Ty Cổ Phần Đầu Tư  Phương Nam</t>
  </si>
  <si>
    <r>
      <t>'</t>
    </r>
    <r>
      <rPr>
        <sz val="8"/>
        <color rgb="FF000000"/>
        <rFont val="Tahoma"/>
        <family val="2"/>
      </rPr>
      <t>0316413532</t>
    </r>
  </si>
  <si>
    <t>1K25TPM</t>
  </si>
  <si>
    <r>
      <t>'</t>
    </r>
    <r>
      <rPr>
        <sz val="8"/>
        <color rgb="FF000000"/>
        <rFont val="Tahoma"/>
        <family val="2"/>
      </rPr>
      <t>421</t>
    </r>
  </si>
  <si>
    <t>Công ty Nhiệt điện Phú Mỹ  - Chi nhánh Tổng Công ty Phát điện 3 - Công ty Cổ phần</t>
  </si>
  <si>
    <r>
      <t>'</t>
    </r>
    <r>
      <rPr>
        <sz val="8"/>
        <color rgb="FF000000"/>
        <rFont val="Tahoma"/>
        <family val="2"/>
      </rPr>
      <t>4500642387</t>
    </r>
  </si>
  <si>
    <r>
      <t>'</t>
    </r>
    <r>
      <rPr>
        <sz val="8"/>
        <color rgb="FF000000"/>
        <rFont val="Tahoma"/>
        <family val="2"/>
      </rPr>
      <t>44</t>
    </r>
  </si>
  <si>
    <t>Công ty TNHH SKYX SOLAR SOUTH</t>
  </si>
  <si>
    <t>1C26TVL</t>
  </si>
  <si>
    <t>Công ty TNHH Kho Vận Việt Thăng Long</t>
  </si>
  <si>
    <t>Công ty Cổ phần năng lượng IREX</t>
  </si>
  <si>
    <r>
      <t>'</t>
    </r>
    <r>
      <rPr>
        <sz val="8"/>
        <color rgb="FF000000"/>
        <rFont val="Tahoma"/>
        <family val="2"/>
      </rPr>
      <t>3502326642</t>
    </r>
  </si>
  <si>
    <t>1C26TQK</t>
  </si>
  <si>
    <r>
      <t>'</t>
    </r>
    <r>
      <rPr>
        <sz val="8"/>
        <color rgb="FF000000"/>
        <rFont val="Tahoma"/>
        <family val="2"/>
      </rPr>
      <t>48</t>
    </r>
  </si>
  <si>
    <t>Cty TNHH dịch vụ kỹ thuật Quang Khánh</t>
  </si>
  <si>
    <r>
      <t>'</t>
    </r>
    <r>
      <rPr>
        <sz val="8"/>
        <color rgb="FF000000"/>
        <rFont val="Tahoma"/>
        <family val="2"/>
      </rPr>
      <t>0302362510</t>
    </r>
  </si>
  <si>
    <t>1C26TBD</t>
  </si>
  <si>
    <t>CTY CỔ PHẦN DỊCH VỤ KỸ THUẬT DẦU KHÍ BIỂN ĐÔNG</t>
  </si>
  <si>
    <r>
      <t>'</t>
    </r>
    <r>
      <rPr>
        <sz val="8"/>
        <color rgb="FF000000"/>
        <rFont val="Tahoma"/>
        <family val="2"/>
      </rPr>
      <t>3502212035</t>
    </r>
  </si>
  <si>
    <r>
      <t>'</t>
    </r>
    <r>
      <rPr>
        <sz val="8"/>
        <color rgb="FF000000"/>
        <rFont val="Tahoma"/>
        <family val="2"/>
      </rPr>
      <t>51</t>
    </r>
  </si>
  <si>
    <t>Cty TNHH Đông Phong</t>
  </si>
  <si>
    <t>1C26TQS</t>
  </si>
  <si>
    <r>
      <t>'</t>
    </r>
    <r>
      <rPr>
        <sz val="8"/>
        <color rgb="FF000000"/>
        <rFont val="Tahoma"/>
        <family val="2"/>
      </rPr>
      <t>55</t>
    </r>
  </si>
  <si>
    <t>CÔNG TY TNHH QUANG SÁNG</t>
  </si>
  <si>
    <r>
      <t>'</t>
    </r>
    <r>
      <rPr>
        <sz val="8"/>
        <color rgb="FF000000"/>
        <rFont val="Tahoma"/>
        <family val="2"/>
      </rPr>
      <t>3502398943</t>
    </r>
  </si>
  <si>
    <t>Chi nhánh Công ty CP Đầu tư Phan Huỳnh Gia Phát tại Tân Thành</t>
  </si>
  <si>
    <r>
      <t>'</t>
    </r>
    <r>
      <rPr>
        <sz val="8"/>
        <color rgb="FF000000"/>
        <rFont val="Tahoma"/>
        <family val="2"/>
      </rPr>
      <t>3500979808</t>
    </r>
  </si>
  <si>
    <t>Công ty Cổ Phần Năng Lượng Tái Tạo Sông Thao</t>
  </si>
  <si>
    <r>
      <t>'</t>
    </r>
    <r>
      <rPr>
        <sz val="8"/>
        <color rgb="FF000000"/>
        <rFont val="Tahoma"/>
        <family val="2"/>
      </rPr>
      <t>1300498814</t>
    </r>
  </si>
  <si>
    <t>1C26TSP</t>
  </si>
  <si>
    <r>
      <t>'</t>
    </r>
    <r>
      <rPr>
        <sz val="8"/>
        <color rgb="FF000000"/>
        <rFont val="Tahoma"/>
        <family val="2"/>
      </rPr>
      <t>61</t>
    </r>
  </si>
  <si>
    <t>Công ty TNHH Chất Lượng Toàn Cầu SUPERIOR</t>
  </si>
  <si>
    <t>1C26TEV</t>
  </si>
  <si>
    <r>
      <t>'</t>
    </r>
    <r>
      <rPr>
        <sz val="8"/>
        <color rgb="FF000000"/>
        <rFont val="Tahoma"/>
        <family val="2"/>
      </rPr>
      <t>68</t>
    </r>
  </si>
  <si>
    <t>Công ty Cổ Phần Đầu Tư EVERSOLAR</t>
  </si>
  <si>
    <t>Công ty Cổ Phần SKYX SOLAR</t>
  </si>
  <si>
    <t>1C26TVH</t>
  </si>
  <si>
    <r>
      <t>'</t>
    </r>
    <r>
      <rPr>
        <sz val="8"/>
        <color rgb="FF000000"/>
        <rFont val="Tahoma"/>
        <family val="2"/>
      </rPr>
      <t>7</t>
    </r>
  </si>
  <si>
    <t>Công ty TNHH Tư Vấn Đầu Tư Và Xây Dựng Điện Việt Hưng</t>
  </si>
  <si>
    <r>
      <t>'</t>
    </r>
    <r>
      <rPr>
        <sz val="8"/>
        <color rgb="FF000000"/>
        <rFont val="Tahoma"/>
        <family val="2"/>
      </rPr>
      <t>0109325038</t>
    </r>
  </si>
  <si>
    <t>1C26TPT</t>
  </si>
  <si>
    <t>Công ty Cổ Phần CHPT GROUP</t>
  </si>
  <si>
    <r>
      <t>'</t>
    </r>
    <r>
      <rPr>
        <sz val="8"/>
        <color rgb="FF000000"/>
        <rFont val="Tahoma"/>
        <family val="2"/>
      </rPr>
      <t>3502260127</t>
    </r>
  </si>
  <si>
    <t>1C26TDS</t>
  </si>
  <si>
    <t>Công ty TNHH điện mặt trời Đông Á</t>
  </si>
  <si>
    <t>1C26TPY</t>
  </si>
  <si>
    <t>Công ty Cổ Phần Năng Lượng Phúc Ý</t>
  </si>
  <si>
    <r>
      <t>'</t>
    </r>
    <r>
      <rPr>
        <sz val="8"/>
        <color rgb="FF000000"/>
        <rFont val="Tahoma"/>
        <family val="2"/>
      </rPr>
      <t>3502402318</t>
    </r>
  </si>
  <si>
    <t>1C26TVA</t>
  </si>
  <si>
    <t>Công ty Cổ Phần Hợp Tác Phát Triển Năng Lượng Tái Tạo VI-JA</t>
  </si>
  <si>
    <r>
      <t>'</t>
    </r>
    <r>
      <rPr>
        <sz val="8"/>
        <color rgb="FF000000"/>
        <rFont val="Tahoma"/>
        <family val="2"/>
      </rPr>
      <t>2300372796</t>
    </r>
  </si>
  <si>
    <t>1C26MPN</t>
  </si>
  <si>
    <t>Công ty TNHH Rượu Phương Nam</t>
  </si>
  <si>
    <t>1C26TLP</t>
  </si>
  <si>
    <t>Công ty TNHH XD TM Lập Phương</t>
  </si>
  <si>
    <r>
      <t>'</t>
    </r>
    <r>
      <rPr>
        <sz val="8"/>
        <color rgb="FF000000"/>
        <rFont val="Tahoma"/>
        <family val="2"/>
      </rPr>
      <t>3502423734</t>
    </r>
  </si>
  <si>
    <r>
      <t>'</t>
    </r>
    <r>
      <rPr>
        <sz val="8"/>
        <color rgb="FF000000"/>
        <rFont val="Tahoma"/>
        <family val="2"/>
      </rPr>
      <t>8</t>
    </r>
  </si>
  <si>
    <t>1C26TTA</t>
  </si>
  <si>
    <t>Công ty TNHH Đầu Tư Trường An Solar</t>
  </si>
  <si>
    <r>
      <t>'</t>
    </r>
    <r>
      <rPr>
        <sz val="8"/>
        <color rgb="FF000000"/>
        <rFont val="Tahoma"/>
        <family val="2"/>
      </rPr>
      <t>0109295986</t>
    </r>
  </si>
  <si>
    <t>Công Ty TNHH Điện Mặt Trời Đông Á</t>
  </si>
  <si>
    <t>1C26MTV</t>
  </si>
  <si>
    <r>
      <t>'</t>
    </r>
    <r>
      <rPr>
        <sz val="8"/>
        <color rgb="FF000000"/>
        <rFont val="Tahoma"/>
        <family val="2"/>
      </rPr>
      <t>82</t>
    </r>
  </si>
  <si>
    <t>CÔNG TY CỔ PHẦN CÔNG NGHỆ TÁO VÀNG</t>
  </si>
  <si>
    <r>
      <t>'</t>
    </r>
    <r>
      <rPr>
        <sz val="8"/>
        <color rgb="FF000000"/>
        <rFont val="Tahoma"/>
        <family val="2"/>
      </rPr>
      <t>0109288851</t>
    </r>
  </si>
  <si>
    <t>Công Ty Cổ Phần Công Nghệ Táo Vàng</t>
  </si>
  <si>
    <r>
      <t>'</t>
    </r>
    <r>
      <rPr>
        <sz val="8"/>
        <color rgb="FF000000"/>
        <rFont val="Tahoma"/>
        <family val="2"/>
      </rPr>
      <t>3502354632</t>
    </r>
  </si>
  <si>
    <r>
      <t>'</t>
    </r>
    <r>
      <rPr>
        <sz val="8"/>
        <color rgb="FF000000"/>
        <rFont val="Tahoma"/>
        <family val="2"/>
      </rPr>
      <t>84</t>
    </r>
  </si>
  <si>
    <t>Công ty cổ phần công nghệ Táo vàng</t>
  </si>
  <si>
    <r>
      <t>'</t>
    </r>
    <r>
      <rPr>
        <sz val="8"/>
        <color rgb="FF000000"/>
        <rFont val="Tahoma"/>
        <family val="2"/>
      </rPr>
      <t>0108830052</t>
    </r>
  </si>
  <si>
    <t>Công ty Cổ Phần Năng Lượng Tái Tạo Sông Mã</t>
  </si>
  <si>
    <r>
      <t>'</t>
    </r>
    <r>
      <rPr>
        <sz val="8"/>
        <color rgb="FF000000"/>
        <rFont val="Tahoma"/>
        <family val="2"/>
      </rPr>
      <t>3502278068</t>
    </r>
  </si>
  <si>
    <t>Công ty Cổ Phần Năng Lượng Tái Tạo Sông Gianh</t>
  </si>
  <si>
    <t>1K25TSC</t>
  </si>
  <si>
    <t>Công ty dịch vụ sửa chữa các nhà máy điện EVNGENCO 3</t>
  </si>
  <si>
    <t>1C26TSO</t>
  </si>
  <si>
    <t>Công ty Cổ Phần Nhà Máy Điện Mặt Trời Trúc Sơn</t>
  </si>
  <si>
    <r>
      <t>'</t>
    </r>
    <r>
      <rPr>
        <sz val="8"/>
        <color rgb="FF000000"/>
        <rFont val="Tahoma"/>
        <family val="2"/>
      </rPr>
      <t>3502046839</t>
    </r>
  </si>
  <si>
    <t>1C26TBK</t>
  </si>
  <si>
    <r>
      <t>'</t>
    </r>
    <r>
      <rPr>
        <sz val="8"/>
        <color rgb="FF000000"/>
        <rFont val="Tahoma"/>
        <family val="2"/>
      </rPr>
      <t>94</t>
    </r>
  </si>
  <si>
    <t>Công ty Cổ Phần Đầu Tư Và Phát Triển Năng Lượng Mặt Trời Bách Khoa.</t>
  </si>
  <si>
    <r>
      <t>'</t>
    </r>
    <r>
      <rPr>
        <sz val="8"/>
        <color rgb="FF000000"/>
        <rFont val="Tahoma"/>
        <family val="2"/>
      </rPr>
      <t>4500643493</t>
    </r>
  </si>
  <si>
    <t>1C26TLD</t>
  </si>
  <si>
    <r>
      <t>'</t>
    </r>
    <r>
      <rPr>
        <sz val="8"/>
        <color rgb="FF000000"/>
        <rFont val="Tahoma"/>
        <family val="2"/>
      </rPr>
      <t>95</t>
    </r>
  </si>
  <si>
    <t>Công ty TNHH L&amp;D AUTO</t>
  </si>
  <si>
    <r>
      <t>'</t>
    </r>
    <r>
      <rPr>
        <sz val="8"/>
        <color rgb="FF000000"/>
        <rFont val="Tahoma"/>
        <family val="2"/>
      </rPr>
      <t>0316350191</t>
    </r>
  </si>
  <si>
    <t>1C26TSM</t>
  </si>
  <si>
    <t>CÔNG TY TNHH SMARTLOG LONG PHÚ</t>
  </si>
  <si>
    <r>
      <t>'</t>
    </r>
    <r>
      <rPr>
        <sz val="8"/>
        <color rgb="FF000000"/>
        <rFont val="Tahoma"/>
        <family val="2"/>
      </rPr>
      <t>3502436081</t>
    </r>
  </si>
  <si>
    <t>ĐIỆN MTMN T01-2026</t>
  </si>
  <si>
    <t>Công ty TNHH Năng Lượng Điện Mái Nhà</t>
  </si>
  <si>
    <r>
      <t>'</t>
    </r>
    <r>
      <rPr>
        <sz val="8"/>
        <color rgb="FF000000"/>
        <rFont val="Tahoma"/>
        <family val="2"/>
      </rPr>
      <t>3502269313</t>
    </r>
  </si>
  <si>
    <t>ĐIỆN MTMN T02-2026</t>
  </si>
  <si>
    <r>
      <t>'</t>
    </r>
    <r>
      <rPr>
        <sz val="8"/>
        <color rgb="FF000000"/>
        <rFont val="Tahoma"/>
        <family val="2"/>
      </rPr>
      <t>3501977874</t>
    </r>
  </si>
  <si>
    <r>
      <t>'</t>
    </r>
    <r>
      <rPr>
        <sz val="8"/>
        <color rgb="FF000000"/>
        <rFont val="Tahoma"/>
        <family val="2"/>
      </rPr>
      <t>18</t>
    </r>
  </si>
  <si>
    <r>
      <t>'</t>
    </r>
    <r>
      <rPr>
        <sz val="8"/>
        <color rgb="FF000000"/>
        <rFont val="Tahoma"/>
        <family val="2"/>
      </rPr>
      <t>3500816070-011</t>
    </r>
  </si>
  <si>
    <r>
      <t>'</t>
    </r>
    <r>
      <rPr>
        <sz val="8"/>
        <color rgb="FF000000"/>
        <rFont val="Tahoma"/>
        <family val="2"/>
      </rPr>
      <t>0109325045</t>
    </r>
  </si>
  <si>
    <r>
      <t>'</t>
    </r>
    <r>
      <rPr>
        <sz val="8"/>
        <color rgb="FF000000"/>
        <rFont val="Tahoma"/>
        <family val="2"/>
      </rPr>
      <t>3</t>
    </r>
  </si>
  <si>
    <r>
      <t>'</t>
    </r>
    <r>
      <rPr>
        <sz val="8"/>
        <color rgb="FF000000"/>
        <rFont val="Tahoma"/>
        <family val="2"/>
      </rPr>
      <t>3501658797</t>
    </r>
  </si>
  <si>
    <r>
      <t>'</t>
    </r>
    <r>
      <rPr>
        <sz val="8"/>
        <color rgb="FF000000"/>
        <rFont val="Tahoma"/>
        <family val="2"/>
      </rPr>
      <t>1101850799</t>
    </r>
  </si>
  <si>
    <r>
      <t>'</t>
    </r>
    <r>
      <rPr>
        <sz val="8"/>
        <color rgb="FF000000"/>
        <rFont val="Tahoma"/>
        <family val="2"/>
      </rPr>
      <t>0315553664</t>
    </r>
  </si>
  <si>
    <r>
      <t>'</t>
    </r>
    <r>
      <rPr>
        <sz val="8"/>
        <color rgb="FF000000"/>
        <rFont val="Tahoma"/>
        <family val="2"/>
      </rPr>
      <t>34</t>
    </r>
  </si>
  <si>
    <t>Công ty TNHH Năng Lượng GELEX Ninh Thuận</t>
  </si>
  <si>
    <r>
      <t>'</t>
    </r>
    <r>
      <rPr>
        <sz val="8"/>
        <color rgb="FF000000"/>
        <rFont val="Tahoma"/>
        <family val="2"/>
      </rPr>
      <t>3500885684</t>
    </r>
  </si>
  <si>
    <r>
      <t>'</t>
    </r>
    <r>
      <rPr>
        <sz val="8"/>
        <color rgb="FF000000"/>
        <rFont val="Tahoma"/>
        <family val="2"/>
      </rPr>
      <t>3500733032</t>
    </r>
  </si>
  <si>
    <r>
      <t>'</t>
    </r>
    <r>
      <rPr>
        <sz val="8"/>
        <color rgb="FF000000"/>
        <rFont val="Tahoma"/>
        <family val="2"/>
      </rPr>
      <t>36</t>
    </r>
  </si>
  <si>
    <r>
      <t>'</t>
    </r>
    <r>
      <rPr>
        <sz val="8"/>
        <color rgb="FF000000"/>
        <rFont val="Tahoma"/>
        <family val="2"/>
      </rPr>
      <t>47</t>
    </r>
  </si>
  <si>
    <r>
      <t>'</t>
    </r>
    <r>
      <rPr>
        <sz val="8"/>
        <color rgb="FF000000"/>
        <rFont val="Tahoma"/>
        <family val="2"/>
      </rPr>
      <t>3500442146</t>
    </r>
  </si>
  <si>
    <t>1C26TMT</t>
  </si>
  <si>
    <t>CÔNG TY TNHH CƠ KHÍ VÀ XÂY DỰNG MẠNH THẮNG</t>
  </si>
  <si>
    <t>Công ty TNHH Điện Mặt Trời Mái Nhà</t>
  </si>
  <si>
    <r>
      <t>'</t>
    </r>
    <r>
      <rPr>
        <sz val="8"/>
        <color rgb="FF000000"/>
        <rFont val="Tahoma"/>
        <family val="2"/>
      </rPr>
      <t>3502467763</t>
    </r>
  </si>
  <si>
    <t>1C26TAS</t>
  </si>
  <si>
    <t>Công ty TNHH ALPHA SOLAR 3</t>
  </si>
  <si>
    <r>
      <t>'</t>
    </r>
    <r>
      <rPr>
        <sz val="8"/>
        <color rgb="FF000000"/>
        <rFont val="Tahoma"/>
        <family val="2"/>
      </rPr>
      <t>3501755776</t>
    </r>
  </si>
  <si>
    <t>Công Ty Cổ Phần HELIO ENERGY</t>
  </si>
  <si>
    <r>
      <t>'</t>
    </r>
    <r>
      <rPr>
        <sz val="8"/>
        <color rgb="FF000000"/>
        <rFont val="Tahoma"/>
        <family val="2"/>
      </rPr>
      <t>0302657088</t>
    </r>
  </si>
  <si>
    <t>Công ty TNHH ALPHA SOLAR 4</t>
  </si>
  <si>
    <t>1C26TEP</t>
  </si>
  <si>
    <t>Công ty TNHH Kỹ Thuật ECOPOWER</t>
  </si>
  <si>
    <t>Công ty TNHH Sản Xuất Thương Mại Dịch Vụ Nam Thành Công</t>
  </si>
  <si>
    <t>1C26TAB</t>
  </si>
  <si>
    <r>
      <t>'</t>
    </r>
    <r>
      <rPr>
        <sz val="8"/>
        <color rgb="FF000000"/>
        <rFont val="Tahoma"/>
        <family val="2"/>
      </rPr>
      <t>221</t>
    </r>
  </si>
  <si>
    <t>Công Ty TNHH Đại Lý Tàu Biển Hải Nam</t>
  </si>
  <si>
    <t>1C26TNE</t>
  </si>
  <si>
    <t>Công ty TNHH Sản Xuất Thương Mại Xuất Nhập Khẩu NESADO</t>
  </si>
  <si>
    <t>Công ty TNHH Thương Mại Dịch Vụ Nam Trường An</t>
  </si>
  <si>
    <t>Công ty Cổ Phần Năng Lượng Thanh Tùng</t>
  </si>
  <si>
    <t>Công ty TNHH ATLAS POWER 1</t>
  </si>
  <si>
    <r>
      <t>'</t>
    </r>
    <r>
      <rPr>
        <sz val="8"/>
        <color rgb="FF000000"/>
        <rFont val="Tahoma"/>
        <family val="2"/>
      </rPr>
      <t>3502264883</t>
    </r>
  </si>
  <si>
    <t>Công ty TNHH ALPHA SOLAR 2</t>
  </si>
  <si>
    <r>
      <t>'</t>
    </r>
    <r>
      <rPr>
        <sz val="8"/>
        <color rgb="FF000000"/>
        <rFont val="Tahoma"/>
        <family val="2"/>
      </rPr>
      <t>172</t>
    </r>
  </si>
  <si>
    <r>
      <t>'</t>
    </r>
    <r>
      <rPr>
        <sz val="8"/>
        <color rgb="FF000000"/>
        <rFont val="Tahoma"/>
        <family val="2"/>
      </rPr>
      <t>3501816958</t>
    </r>
  </si>
  <si>
    <r>
      <t>'</t>
    </r>
    <r>
      <rPr>
        <sz val="8"/>
        <color rgb="FF000000"/>
        <rFont val="Tahoma"/>
        <family val="2"/>
      </rPr>
      <t>3502385905</t>
    </r>
  </si>
  <si>
    <r>
      <t>'</t>
    </r>
    <r>
      <rPr>
        <sz val="8"/>
        <color rgb="FF000000"/>
        <rFont val="Tahoma"/>
        <family val="2"/>
      </rPr>
      <t>3502434278</t>
    </r>
  </si>
  <si>
    <t>Công ty TNHH MTV NEPTUNE</t>
  </si>
  <si>
    <t>CÔNG TY CỔ PHẦN NĂNG LƯỢNG TÁI TẠO ĐIỆN LỰC DẦU KHÍ</t>
  </si>
  <si>
    <t>Công ty Cổ Phần Hàng Hải và Năng Lượng  Hải Mã</t>
  </si>
  <si>
    <t>Công Ty Cổ Phần Năng Lượng Tái Tạo Điện Lực Dầu Khí</t>
  </si>
  <si>
    <t>1C26TUN</t>
  </si>
  <si>
    <t>Công ty TNHH MTV URANUS</t>
  </si>
  <si>
    <t>Công ty TNHH MTV Uranus</t>
  </si>
  <si>
    <r>
      <t>'</t>
    </r>
    <r>
      <rPr>
        <sz val="8"/>
        <color rgb="FF000000"/>
        <rFont val="Tahoma"/>
        <family val="2"/>
      </rPr>
      <t>3501490738</t>
    </r>
  </si>
  <si>
    <r>
      <t>'</t>
    </r>
    <r>
      <rPr>
        <sz val="8"/>
        <color rgb="FF000000"/>
        <rFont val="Tahoma"/>
        <family val="2"/>
      </rPr>
      <t>0314628148</t>
    </r>
  </si>
  <si>
    <t>1C26THL</t>
  </si>
  <si>
    <t>Công ty TNHH Hải Lưu</t>
  </si>
  <si>
    <t>1C26TMD</t>
  </si>
  <si>
    <t>Chi nhánh Công ty TNHH Phòng khám Đa khoa MEDIC Sài Gòn</t>
  </si>
  <si>
    <r>
      <t>'</t>
    </r>
    <r>
      <rPr>
        <sz val="8"/>
        <color rgb="FF000000"/>
        <rFont val="Tahoma"/>
        <family val="2"/>
      </rPr>
      <t>3502440810</t>
    </r>
  </si>
  <si>
    <t>1C26TBH</t>
  </si>
  <si>
    <t>Công ty TNHH Dịch vụ Kỹ thuật Bắc Hải</t>
  </si>
  <si>
    <t>Công ty TNHH Năng Lượng Gia Phúc Thịnh</t>
  </si>
  <si>
    <t>1C26TCA</t>
  </si>
  <si>
    <t>Công ty Cổ Phần Đầu Tư CME SOLAR</t>
  </si>
  <si>
    <r>
      <t>'</t>
    </r>
    <r>
      <rPr>
        <sz val="8"/>
        <color rgb="FF000000"/>
        <rFont val="Tahoma"/>
        <family val="2"/>
      </rPr>
      <t>3500835690</t>
    </r>
  </si>
  <si>
    <t>Công Ty Cổ Phần Thương Mại 125</t>
  </si>
  <si>
    <r>
      <t>'</t>
    </r>
    <r>
      <rPr>
        <sz val="8"/>
        <color rgb="FF000000"/>
        <rFont val="Tahoma"/>
        <family val="2"/>
      </rPr>
      <t>0304194942</t>
    </r>
  </si>
  <si>
    <t>Công ty TNHH Bình An Xuyên Mộc</t>
  </si>
  <si>
    <t>Công ty TNHH MTV Bình An Thảo Nguyên</t>
  </si>
  <si>
    <t>Công ty TNHH Đông Triều Phú Mỹ</t>
  </si>
  <si>
    <r>
      <t>'</t>
    </r>
    <r>
      <rPr>
        <sz val="8"/>
        <color rgb="FF000000"/>
        <rFont val="Tahoma"/>
        <family val="2"/>
      </rPr>
      <t>0312564675</t>
    </r>
  </si>
  <si>
    <t>Công ty TNHH Thảo Nguyên Phú Mỹ</t>
  </si>
  <si>
    <r>
      <t>'</t>
    </r>
    <r>
      <rPr>
        <sz val="8"/>
        <color rgb="FF000000"/>
        <rFont val="Tahoma"/>
        <family val="2"/>
      </rPr>
      <t>0316473820</t>
    </r>
  </si>
  <si>
    <t>Công ty TNHH MTV Bình An Phú Mỹ</t>
  </si>
  <si>
    <r>
      <t>'</t>
    </r>
    <r>
      <rPr>
        <sz val="8"/>
        <color rgb="FF000000"/>
        <rFont val="Tahoma"/>
        <family val="2"/>
      </rPr>
      <t>0312765212-001</t>
    </r>
  </si>
  <si>
    <r>
      <t>'</t>
    </r>
    <r>
      <rPr>
        <sz val="8"/>
        <color rgb="FF000000"/>
        <rFont val="Tahoma"/>
        <family val="2"/>
      </rPr>
      <t>3502440803</t>
    </r>
  </si>
  <si>
    <t>Công ty TNHH MTV Triều Phát Phú Mỹ</t>
  </si>
  <si>
    <t>Công ty TNHH Đông Nam Phú Mỹ</t>
  </si>
  <si>
    <t>Công ty TNHH Xây Dựng Triều Phát</t>
  </si>
  <si>
    <r>
      <t>'</t>
    </r>
    <r>
      <rPr>
        <sz val="8"/>
        <color rgb="FF000000"/>
        <rFont val="Tahoma"/>
        <family val="2"/>
      </rPr>
      <t>115</t>
    </r>
  </si>
  <si>
    <t>CÔNG TY TNHH HUYỀN SÂM</t>
  </si>
  <si>
    <t>Công ty TNHH Huyền Sâm</t>
  </si>
  <si>
    <t>1C26TMA</t>
  </si>
  <si>
    <r>
      <t>'</t>
    </r>
    <r>
      <rPr>
        <sz val="8"/>
        <color rgb="FF000000"/>
        <rFont val="Tahoma"/>
        <family val="2"/>
      </rPr>
      <t>126</t>
    </r>
  </si>
  <si>
    <t>Công Ty TNHH Thông tin kỹ thuật MInh Anh</t>
  </si>
  <si>
    <t>Công ty TNHH Thông Tin Kỹ Thuật Minh Anh</t>
  </si>
  <si>
    <r>
      <t>'</t>
    </r>
    <r>
      <rPr>
        <sz val="8"/>
        <color rgb="FF000000"/>
        <rFont val="Tahoma"/>
        <family val="2"/>
      </rPr>
      <t>162</t>
    </r>
  </si>
  <si>
    <t>Công ty TNHH Vận Tải Thương Mại Dịch Vụ Trường An Phát</t>
  </si>
  <si>
    <r>
      <t>'</t>
    </r>
    <r>
      <rPr>
        <sz val="8"/>
        <color rgb="FF000000"/>
        <rFont val="Tahoma"/>
        <family val="2"/>
      </rPr>
      <t>21</t>
    </r>
  </si>
  <si>
    <t>Công ty TNHH Huy Phát Vũng Tàu</t>
  </si>
  <si>
    <t>Công ty TNHH Mỹ Hiếu</t>
  </si>
  <si>
    <t>CÔNG TY CỔ PHẦN KỸ THUẬT CÔNG NGHỆ NĂNG LƯỢNG SÀI GÒN</t>
  </si>
  <si>
    <t>Công Ty TNHH Trường Thọ</t>
  </si>
  <si>
    <t>1C26TTD</t>
  </si>
  <si>
    <t>Doanh Nghiệp TN Trung Đức</t>
  </si>
  <si>
    <r>
      <t>'</t>
    </r>
    <r>
      <rPr>
        <sz val="8"/>
        <color rgb="FF000000"/>
        <rFont val="Tahoma"/>
        <family val="2"/>
      </rPr>
      <t>3502281889</t>
    </r>
  </si>
  <si>
    <r>
      <t>'</t>
    </r>
    <r>
      <rPr>
        <sz val="8"/>
        <color rgb="FF000000"/>
        <rFont val="Tahoma"/>
        <family val="2"/>
      </rPr>
      <t>3502312336</t>
    </r>
  </si>
  <si>
    <t>1C26TET</t>
  </si>
  <si>
    <t>Công Ty TNHH Dịch Vụ Kỹ Thuật ECS</t>
  </si>
  <si>
    <r>
      <t>'</t>
    </r>
    <r>
      <rPr>
        <sz val="8"/>
        <color rgb="FF000000"/>
        <rFont val="Tahoma"/>
        <family val="2"/>
      </rPr>
      <t>0309985835</t>
    </r>
  </si>
  <si>
    <t>1C26TTS</t>
  </si>
  <si>
    <t>Công ty TNHH Suất Ăn Công Nghiệp Tiến Sang</t>
  </si>
  <si>
    <r>
      <t>'</t>
    </r>
    <r>
      <rPr>
        <sz val="8"/>
        <color rgb="FF000000"/>
        <rFont val="Tahoma"/>
        <family val="2"/>
      </rPr>
      <t>3501202972</t>
    </r>
  </si>
  <si>
    <t>Công ty TNHH Một Thành Viên Công Nghiệp Hóa Chất Mỏ Nam Bộ - MICCO</t>
  </si>
  <si>
    <r>
      <t>'</t>
    </r>
    <r>
      <rPr>
        <sz val="8"/>
        <color rgb="FF000000"/>
        <rFont val="Tahoma"/>
        <family val="2"/>
      </rPr>
      <t>3502440384</t>
    </r>
  </si>
  <si>
    <t>Doanh nghiệp tư nhân Nguyễn Phước</t>
  </si>
  <si>
    <t>1C26THQ</t>
  </si>
  <si>
    <t>Công Ty Cổ Phần Thương Mại  Kỹ Thuật Hà Quang</t>
  </si>
  <si>
    <t>1C26TBN</t>
  </si>
  <si>
    <t>Công ty TNHH Đầu Tư Du Lịch Bảo Ngọc</t>
  </si>
  <si>
    <r>
      <t>'</t>
    </r>
    <r>
      <rPr>
        <sz val="8"/>
        <color rgb="FF000000"/>
        <rFont val="Tahoma"/>
        <family val="2"/>
      </rPr>
      <t>0316380245</t>
    </r>
  </si>
  <si>
    <t>1C26TVV</t>
  </si>
  <si>
    <t>Công Ty Trách Nhiệm Hữu Hạn Quốc Tế Việt An</t>
  </si>
  <si>
    <r>
      <t>'</t>
    </r>
    <r>
      <rPr>
        <sz val="8"/>
        <color rgb="FF000000"/>
        <rFont val="Tahoma"/>
        <family val="2"/>
      </rPr>
      <t>0315895611</t>
    </r>
  </si>
  <si>
    <r>
      <t>'</t>
    </r>
    <r>
      <rPr>
        <sz val="8"/>
        <color rgb="FF000000"/>
        <rFont val="Tahoma"/>
        <family val="2"/>
      </rPr>
      <t>2</t>
    </r>
  </si>
  <si>
    <t>CÔNG TY TNHH - TMDV DU LỊCH NHÀ HÀNG ĐỒNG TÂM</t>
  </si>
  <si>
    <t>1C26MAT</t>
  </si>
  <si>
    <t>CÔNG TY TNHH ĐẦU TƯ VÀ PHÁT TRIỂN ẨM THỰC THIÊN HƯƠNG</t>
  </si>
  <si>
    <r>
      <t>'</t>
    </r>
    <r>
      <rPr>
        <sz val="8"/>
        <color rgb="FF000000"/>
        <rFont val="Tahoma"/>
        <family val="2"/>
      </rPr>
      <t>3502547056</t>
    </r>
  </si>
  <si>
    <t>1K26DAA</t>
  </si>
  <si>
    <r>
      <t>'</t>
    </r>
    <r>
      <rPr>
        <sz val="8"/>
        <color rgb="FF000000"/>
        <rFont val="Tahoma"/>
        <family val="2"/>
      </rPr>
      <t>0100109106</t>
    </r>
  </si>
  <si>
    <t>1K26THE</t>
  </si>
  <si>
    <r>
      <t>'</t>
    </r>
    <r>
      <rPr>
        <sz val="8"/>
        <color rgb="FF000000"/>
        <rFont val="Tahoma"/>
        <family val="2"/>
      </rPr>
      <t>0300954529</t>
    </r>
  </si>
  <si>
    <t>TẬP ĐOÀN CÔNG NGHIỆP - VIỄN THÔNG QUÂN ĐỘI</t>
  </si>
  <si>
    <t>CN TỔNG CÔNG TY ĐIỆN LỰC TP HỒ CHÍ MINH - CÔNG TY ĐIỆN LỰC VŨNG TÀU</t>
  </si>
  <si>
    <r>
      <t>'</t>
    </r>
    <r>
      <rPr>
        <sz val="8"/>
        <color rgb="FF000000"/>
        <rFont val="Tahoma"/>
        <family val="2"/>
      </rPr>
      <t>0300951119-010</t>
    </r>
  </si>
  <si>
    <t>hóa đơn đặt ăn</t>
  </si>
  <si>
    <t>1C26THT</t>
  </si>
  <si>
    <t>1C26TCD</t>
  </si>
  <si>
    <t>TRẠM CUNG CẤP NƯỚC ĐẶC KHU CÔN ĐẢO</t>
  </si>
  <si>
    <r>
      <t>'</t>
    </r>
    <r>
      <rPr>
        <sz val="8"/>
        <color rgb="FF000000"/>
        <rFont val="Tahoma"/>
        <family val="2"/>
      </rPr>
      <t>3500121590</t>
    </r>
  </si>
  <si>
    <r>
      <t>'</t>
    </r>
    <r>
      <rPr>
        <sz val="8"/>
        <color rgb="FF000000"/>
        <rFont val="Tahoma"/>
        <family val="2"/>
      </rPr>
      <t>3502519919</t>
    </r>
  </si>
  <si>
    <t>CÔNG TY TNHH TMDV DU LỊCH BÁ THẮNG</t>
  </si>
  <si>
    <r>
      <t>'</t>
    </r>
    <r>
      <rPr>
        <sz val="8"/>
        <color rgb="FF000000"/>
        <rFont val="Tahoma"/>
        <family val="2"/>
      </rPr>
      <t>3502512800</t>
    </r>
  </si>
  <si>
    <t>1C26MHH</t>
  </si>
  <si>
    <t>CÔNG TY TNHH ĐẦU TƯ THƯƠNG MẠI VÀ DỊCH VỤ HUY HOÀNG</t>
  </si>
  <si>
    <r>
      <t>'</t>
    </r>
    <r>
      <rPr>
        <sz val="8"/>
        <color rgb="FF000000"/>
        <rFont val="Tahoma"/>
        <family val="2"/>
      </rPr>
      <t>3501711521</t>
    </r>
  </si>
  <si>
    <t>CÔNG TY TNHH GIẢI PHÁP DỰ ÁN TND</t>
  </si>
  <si>
    <r>
      <t>'</t>
    </r>
    <r>
      <rPr>
        <sz val="8"/>
        <color rgb="FF000000"/>
        <rFont val="Tahoma"/>
        <family val="2"/>
      </rPr>
      <t>0318468713</t>
    </r>
  </si>
  <si>
    <t>1C26TBV</t>
  </si>
  <si>
    <t>CÔNG TY TNHH THƯƠNG MẠI DỊCH VỤ DU LỊCH BẢO GIA TRẦN</t>
  </si>
  <si>
    <r>
      <t>'</t>
    </r>
    <r>
      <rPr>
        <sz val="8"/>
        <color rgb="FF000000"/>
        <rFont val="Tahoma"/>
        <family val="2"/>
      </rPr>
      <t>0312479363</t>
    </r>
  </si>
  <si>
    <t>CÔNG TY TNHH DỊCH VỤ NHÀ HÀNG PHỐ XINH</t>
  </si>
  <si>
    <r>
      <t>'</t>
    </r>
    <r>
      <rPr>
        <sz val="8"/>
        <color rgb="FF000000"/>
        <rFont val="Tahoma"/>
        <family val="2"/>
      </rPr>
      <t>3502474601</t>
    </r>
  </si>
  <si>
    <r>
      <t>'</t>
    </r>
    <r>
      <rPr>
        <sz val="8"/>
        <color rgb="FF000000"/>
        <rFont val="Tahoma"/>
        <family val="2"/>
      </rPr>
      <t>88</t>
    </r>
  </si>
  <si>
    <t>1C26MCD</t>
  </si>
  <si>
    <r>
      <t>'</t>
    </r>
    <r>
      <rPr>
        <sz val="8"/>
        <color rgb="FF000000"/>
        <rFont val="Tahoma"/>
        <family val="2"/>
      </rPr>
      <t>1702067575-002</t>
    </r>
  </si>
  <si>
    <t>CÔNG TY CỔ PHẦN CẤP NƯỚC BÀ RỊA - VŨNG TÀU</t>
  </si>
  <si>
    <r>
      <t>'</t>
    </r>
    <r>
      <rPr>
        <sz val="8"/>
        <color rgb="FF000000"/>
        <rFont val="Tahoma"/>
        <family val="2"/>
      </rPr>
      <t>3500101386</t>
    </r>
  </si>
  <si>
    <t>1K26TPM</t>
  </si>
  <si>
    <t>CÔNG TY CỔ PHẦN CẤP NƯỚC PHÚ MỸ</t>
  </si>
  <si>
    <r>
      <t>'</t>
    </r>
    <r>
      <rPr>
        <sz val="8"/>
        <color rgb="FF000000"/>
        <rFont val="Tahoma"/>
        <family val="2"/>
      </rPr>
      <t>3500677525</t>
    </r>
  </si>
  <si>
    <r>
      <t>'</t>
    </r>
    <r>
      <rPr>
        <sz val="8"/>
        <color rgb="FF000000"/>
        <rFont val="Tahoma"/>
        <family val="2"/>
      </rPr>
      <t>0100107518</t>
    </r>
  </si>
  <si>
    <t>BƯU ĐIỆN TRUNG TÂM BÀ RỊA - VŨNG TÀU CHI NHÁNH TỔNG CÔNG TY BƯU ĐIỆN VIỆT NAM</t>
  </si>
  <si>
    <r>
      <t>'</t>
    </r>
    <r>
      <rPr>
        <sz val="8"/>
        <color rgb="FF000000"/>
        <rFont val="Tahoma"/>
        <family val="2"/>
      </rPr>
      <t>3500831939</t>
    </r>
  </si>
  <si>
    <r>
      <t>'</t>
    </r>
    <r>
      <rPr>
        <sz val="8"/>
        <color rgb="FF000000"/>
        <rFont val="Tahoma"/>
        <family val="2"/>
      </rPr>
      <t>163</t>
    </r>
  </si>
  <si>
    <r>
      <t>'</t>
    </r>
    <r>
      <rPr>
        <sz val="8"/>
        <color rgb="FF000000"/>
        <rFont val="Tahoma"/>
        <family val="2"/>
      </rPr>
      <t>32</t>
    </r>
  </si>
  <si>
    <t>1C26MHA</t>
  </si>
  <si>
    <t>CÔNG TY CỔ PHẦN DI CHUYỂN XANH VÀ THÔNG MINH GSM</t>
  </si>
  <si>
    <r>
      <t>'</t>
    </r>
    <r>
      <rPr>
        <sz val="8"/>
        <color rgb="FF000000"/>
        <rFont val="Tahoma"/>
        <family val="2"/>
      </rPr>
      <t>0110269067</t>
    </r>
  </si>
  <si>
    <t>1C26THC</t>
  </si>
  <si>
    <t>CÔNG TY TNHH LA VIE TẠI THÀNH PHỐ HỒ CHÍ MINH</t>
  </si>
  <si>
    <r>
      <t>'</t>
    </r>
    <r>
      <rPr>
        <sz val="8"/>
        <color rgb="FF000000"/>
        <rFont val="Tahoma"/>
        <family val="2"/>
      </rPr>
      <t>1100101187-001</t>
    </r>
  </si>
  <si>
    <t>nước uống</t>
  </si>
  <si>
    <t>1C26TBB</t>
  </si>
  <si>
    <t>1C26TDK</t>
  </si>
  <si>
    <t>TRUNG TÂM ĐĂNG KIỂM PHƯƠNG TIỆN GIAO THÔNG VẬN TẢI</t>
  </si>
  <si>
    <r>
      <t>'</t>
    </r>
    <r>
      <rPr>
        <sz val="8"/>
        <color rgb="FF000000"/>
        <rFont val="Tahoma"/>
        <family val="2"/>
      </rPr>
      <t>3500102326</t>
    </r>
  </si>
  <si>
    <r>
      <t>'</t>
    </r>
    <r>
      <rPr>
        <sz val="8"/>
        <color rgb="FF000000"/>
        <rFont val="Tahoma"/>
        <family val="2"/>
      </rPr>
      <t>66</t>
    </r>
  </si>
  <si>
    <t>CÔNG TY CỔ PHẦN DỊCH VỤ BẢO VỆ PHƯƠNG NAM</t>
  </si>
  <si>
    <r>
      <t>'</t>
    </r>
    <r>
      <rPr>
        <sz val="8"/>
        <color rgb="FF000000"/>
        <rFont val="Tahoma"/>
        <family val="2"/>
      </rPr>
      <t>3501012749</t>
    </r>
  </si>
  <si>
    <t>1C26MBP</t>
  </si>
  <si>
    <t>Doanh Nghiệp Tư Nhân Xăng dầu Bảo Phương</t>
  </si>
  <si>
    <r>
      <t>'</t>
    </r>
    <r>
      <rPr>
        <sz val="8"/>
        <color rgb="FF000000"/>
        <rFont val="Tahoma"/>
        <family val="2"/>
      </rPr>
      <t>3500361144</t>
    </r>
  </si>
  <si>
    <t>1C26MCC</t>
  </si>
  <si>
    <t>CÔNG TY CP DỊCH VỤ PHÁT TRIỂN GIAO THÔNG VẬN TẢI VŨNG TÀU</t>
  </si>
  <si>
    <r>
      <t>'</t>
    </r>
    <r>
      <rPr>
        <sz val="8"/>
        <color rgb="FF000000"/>
        <rFont val="Tahoma"/>
        <family val="2"/>
      </rPr>
      <t>3502280613</t>
    </r>
  </si>
  <si>
    <t>1C26MLN</t>
  </si>
  <si>
    <r>
      <t>'</t>
    </r>
    <r>
      <rPr>
        <sz val="8"/>
        <color rgb="FF000000"/>
        <rFont val="Tahoma"/>
        <family val="2"/>
      </rPr>
      <t>3502224312</t>
    </r>
  </si>
  <si>
    <t>CÔNG TY TNHH HỒNG THANH</t>
  </si>
  <si>
    <t xml:space="preserve">Post </t>
  </si>
  <si>
    <t>Thuế GTGT điện MTMN T03-2026</t>
  </si>
  <si>
    <t>Thuế GTGT điện MTMN T02-2026</t>
  </si>
  <si>
    <t>Thuế GTGT điện MTMN T01-2026</t>
  </si>
  <si>
    <t>hóa đơn nước uống</t>
  </si>
  <si>
    <t>2026T04</t>
  </si>
  <si>
    <t>K26TAH</t>
  </si>
  <si>
    <t>CHI NHÁNH TỔNG CÔNG TY ĐIỆN LỰC THÀNH PHỐ HỒ CHÍ MINH TNHH - CÔNG TY ĐIỆN LỰC ĐẤT ĐỎ</t>
  </si>
  <si>
    <r>
      <t>'</t>
    </r>
    <r>
      <rPr>
        <sz val="8"/>
        <color rgb="FF000000"/>
        <rFont val="Tahoma"/>
        <family val="2"/>
      </rPr>
      <t>0300951119-020</t>
    </r>
  </si>
  <si>
    <r>
      <t>CHAULTN.HCM.VTA</t>
    </r>
    <r>
      <rPr>
        <sz val="11"/>
        <color rgb="FF000000"/>
        <rFont val="Calibri"/>
        <family val="2"/>
      </rPr>
      <t xml:space="preserve"> </t>
    </r>
  </si>
  <si>
    <t>VNPT thành phố Hồ Chí Minh</t>
  </si>
  <si>
    <t>Chi nhánh Công ty Cổ phần Viễn thông FPT</t>
  </si>
  <si>
    <r>
      <t>'</t>
    </r>
    <r>
      <rPr>
        <sz val="8"/>
        <color rgb="FF000000"/>
        <rFont val="Tahoma"/>
        <family val="2"/>
      </rPr>
      <t>0101778163-001</t>
    </r>
  </si>
  <si>
    <t>CHI NHÁNH CÔNG TY CỔ PHẦN TỔNG CÔNG TY TRUYỀN HÌNH CÁP VIỆT NAM TẠI TỈNH BÀ RỊA - VŨNG TÀU</t>
  </si>
  <si>
    <r>
      <t>'</t>
    </r>
    <r>
      <rPr>
        <sz val="8"/>
        <color rgb="FF000000"/>
        <rFont val="Tahoma"/>
        <family val="2"/>
      </rPr>
      <t>0105926285-023</t>
    </r>
  </si>
  <si>
    <r>
      <t>'</t>
    </r>
    <r>
      <rPr>
        <sz val="8"/>
        <color rgb="FF000000"/>
        <rFont val="Tahoma"/>
        <family val="2"/>
      </rPr>
      <t>0300951119-003</t>
    </r>
  </si>
  <si>
    <r>
      <t>'</t>
    </r>
    <r>
      <rPr>
        <sz val="8"/>
        <color rgb="FF000000"/>
        <rFont val="Tahoma"/>
        <family val="2"/>
      </rPr>
      <t>38</t>
    </r>
  </si>
  <si>
    <t>Chi nhánh Tổng Công ty Điện lực Thành phố Hồ Chí Minh TNHH - Công ty Điện lực Bến Cát</t>
  </si>
  <si>
    <r>
      <t>'</t>
    </r>
    <r>
      <rPr>
        <sz val="8"/>
        <color rgb="FF000000"/>
        <rFont val="Tahoma"/>
        <family val="2"/>
      </rPr>
      <t>39</t>
    </r>
  </si>
  <si>
    <t>Chi nhánh Tổng Công ty Điện lực Thành phố Hồ Chí Minh TNHH - Công ty Điện lực Thuận An</t>
  </si>
  <si>
    <r>
      <t>'</t>
    </r>
    <r>
      <rPr>
        <sz val="8"/>
        <color rgb="FF000000"/>
        <rFont val="Tahoma"/>
        <family val="2"/>
      </rPr>
      <t>0300951119-002</t>
    </r>
  </si>
  <si>
    <t>Số thuế phải nộp</t>
  </si>
  <si>
    <t>Đầu kỳ SPC ko được khấu trừ</t>
  </si>
  <si>
    <t>Đàu kỳ HCM còn được khấu trừ</t>
  </si>
  <si>
    <t>Từ ngày 01/05/2026 đến ngày 31/05/2026</t>
  </si>
  <si>
    <t>000000</t>
  </si>
  <si>
    <t>000</t>
  </si>
  <si>
    <t>51140000000</t>
  </si>
  <si>
    <t>4500</t>
  </si>
  <si>
    <t>0000</t>
  </si>
  <si>
    <t>4500TT - Doanh thu cho thuê cột điện treo cáp viễn thông từ 01/05/26 đến 31/05/26 - HĐ 43/26.05.26</t>
  </si>
  <si>
    <t>51113000000</t>
  </si>
  <si>
    <t>1310</t>
  </si>
  <si>
    <t>CSPK02-DOANH THU HÓA ĐƠN TIỀN VÔ CÔNG PHÁT SINH TỪ NGÀY 16/05/2026 ĐẾN 16/05/2026</t>
  </si>
  <si>
    <t>51111000000</t>
  </si>
  <si>
    <t>DIEN01-DOANH THU HÓA ĐƠN TIỀN ĐIỆN PHÁT SINH TỪ NGÀY 21/05/2026 ĐẾN 21/05/2026</t>
  </si>
  <si>
    <t>CSPK02-DOANH THU HÓA ĐƠN TIỀN VÔ CÔNG PHÁT SINH TỪ NGÀY 21/05/2026 ĐẾN 21/05/2026</t>
  </si>
  <si>
    <t>DIEN00-DOANH THU HÓA ĐƠN TIỀN ĐIỆN PHÁT SINH-CT TNHH NHÔM TOÀN CẦU VIỆT NAM KỲ 2/5/2026</t>
  </si>
  <si>
    <t>4500TT - Doanh thu cho thuê cột điện treo cáp viễn thông tháng 05/2026 - HĐ 45 ngày 26/05/2026</t>
  </si>
  <si>
    <t>DIEN01-DOANH THU HÓA ĐƠN TIỀN ĐIỆN PHÁT SINH TỪ NGÀY 11/05/2026 ĐẾN 11/05/2026</t>
  </si>
  <si>
    <t>DIEN00-DOANH THU HÓA ĐƠN TIỀN ĐIỆN PHÁT SINH-CT TNHH NHÔM TOÀN CẦU VIỆT NAM KỲ 1/5/2026</t>
  </si>
  <si>
    <t>CSPK02-DOANH THU HÓA ĐƠN TIỀN VÔ CÔNG PHÁT SINH TỪ NGÀY 11/05/2026 ĐẾN 11/05/2026</t>
  </si>
  <si>
    <t>DIEN01-DOANH THU HÓA ĐƠN TIỀN ĐIỆN PHÁT SINH TỪ NGÀY 16/05/2026 ĐẾN 16/05/2026</t>
  </si>
  <si>
    <t>DIEN01-DOANH THU HÓA ĐƠN TIỀN ĐIỆN PHÁT SINH T05/2026</t>
  </si>
  <si>
    <t>DIEN00-DOANH THU HÓA ĐƠN TIỀN ĐIỆN PHÁT SINH-CT TNHH NHÔM TOÀN CẦU VIỆT NAM KỲ 3/5/2026</t>
  </si>
  <si>
    <t>CSPK02-DOANH THU HÓA ĐƠN TIỀN VÔ CÔNG PHÁT SINH T05/2026</t>
  </si>
  <si>
    <t>4500TT - Doanh thu cho thuê cột điện treo cáp viễn thông (VTVCAB) tháng 05/2026 - HĐ 44 ngày 26/05/2026</t>
  </si>
  <si>
    <t>DIEN01-DOANH THU HÓA ĐƠN TIỀN ĐIỆN HỦY BỎ T05/2026</t>
  </si>
  <si>
    <t>DIEN01-DOANH THU HÓA ĐƠN TIỀN ĐIỆN LẶP LẠI T05/2026</t>
  </si>
  <si>
    <t>DIEN01-DOANH THU HÓA ĐƠN TIỀN ĐIỆN TRUY THU T05/2026</t>
  </si>
  <si>
    <t>DIEN01-DOANH THU HÓA ĐƠN TIỀN ĐIỆN THOÁI HOÀN T05/2026</t>
  </si>
  <si>
    <r>
      <t>'</t>
    </r>
    <r>
      <rPr>
        <sz val="8"/>
        <color rgb="FF000000"/>
        <rFont val="Tahoma"/>
        <family val="2"/>
      </rPr>
      <t>40</t>
    </r>
  </si>
  <si>
    <t>1388ĐĐ - Điều động VTTB cho PC Bến cát theo TB 2205 ngày 06/05/2026 - HĐ 40/18.05.2026</t>
  </si>
  <si>
    <t>1388ĐĐ - Điều động VTTB cho PC Thuận An theo TB 2188 ngày 05/05/2026 - HĐ 41/19.05.2026</t>
  </si>
  <si>
    <r>
      <t>'</t>
    </r>
    <r>
      <rPr>
        <sz val="8"/>
        <color rgb="FF000000"/>
        <rFont val="Tahoma"/>
        <family val="2"/>
      </rPr>
      <t>42</t>
    </r>
  </si>
  <si>
    <t>1388ĐĐ - Điều động VTTB CV 1365 ngày 18/05/2026 PC Đất Đỏ - HĐ 42 ngày 22/05/2026</t>
  </si>
  <si>
    <r>
      <t>'</t>
    </r>
    <r>
      <rPr>
        <sz val="8"/>
        <color rgb="FF000000"/>
        <rFont val="Tahoma"/>
        <family val="2"/>
      </rPr>
      <t>43</t>
    </r>
  </si>
  <si>
    <t>Tổng doanh thu dịch vụ hàng hóa bán ra : 1362302588436</t>
  </si>
  <si>
    <t>Tổng thuế GTGT của dịch vụ hàng hóa bán ra : 108965015793</t>
  </si>
  <si>
    <t>Từ ngày: 01/05/2026 đến ngày: 31/05/2026</t>
  </si>
  <si>
    <r>
      <t>'</t>
    </r>
    <r>
      <rPr>
        <sz val="9"/>
        <color rgb="FF000000"/>
        <rFont val="Times New Roman"/>
        <family val="1"/>
      </rPr>
      <t>1615</t>
    </r>
  </si>
  <si>
    <r>
      <t>'</t>
    </r>
    <r>
      <rPr>
        <sz val="9"/>
        <color rgb="FF000000"/>
        <rFont val="Times New Roman"/>
        <family val="1"/>
      </rPr>
      <t>1617</t>
    </r>
  </si>
  <si>
    <r>
      <t>'</t>
    </r>
    <r>
      <rPr>
        <sz val="9"/>
        <color rgb="FF000000"/>
        <rFont val="Times New Roman"/>
        <family val="1"/>
      </rPr>
      <t>1618</t>
    </r>
  </si>
  <si>
    <r>
      <t>'</t>
    </r>
    <r>
      <rPr>
        <sz val="9"/>
        <color rgb="FF000000"/>
        <rFont val="Times New Roman"/>
        <family val="1"/>
      </rPr>
      <t>1624</t>
    </r>
  </si>
  <si>
    <r>
      <t>'</t>
    </r>
    <r>
      <rPr>
        <sz val="9"/>
        <color rgb="FF000000"/>
        <rFont val="Times New Roman"/>
        <family val="1"/>
      </rPr>
      <t>1356</t>
    </r>
  </si>
  <si>
    <t>Giải trừ thuế GTGT đầu ra từ 33895 sang 333111-30/04/2026 AR1547</t>
  </si>
  <si>
    <t>Giải trừ thuế GTGT đầu ra từ 33895 sang 333111-30/04/2026 AR1545</t>
  </si>
  <si>
    <r>
      <t>'</t>
    </r>
    <r>
      <rPr>
        <sz val="9"/>
        <color rgb="FF000000"/>
        <rFont val="Times New Roman"/>
        <family val="1"/>
      </rPr>
      <t>1625</t>
    </r>
  </si>
  <si>
    <r>
      <t>'</t>
    </r>
    <r>
      <rPr>
        <sz val="9"/>
        <color rgb="FF000000"/>
        <rFont val="Times New Roman"/>
        <family val="1"/>
      </rPr>
      <t>1626</t>
    </r>
  </si>
  <si>
    <r>
      <t>'</t>
    </r>
    <r>
      <rPr>
        <sz val="9"/>
        <color rgb="FF000000"/>
        <rFont val="Times New Roman"/>
        <family val="1"/>
      </rPr>
      <t>1359</t>
    </r>
  </si>
  <si>
    <t>Kết chuyển TK 13313_9000 qua TK 333111</t>
  </si>
  <si>
    <r>
      <t>'</t>
    </r>
    <r>
      <rPr>
        <sz val="9"/>
        <color rgb="FF000000"/>
        <rFont val="Times New Roman"/>
        <family val="1"/>
      </rPr>
      <t>1365</t>
    </r>
  </si>
  <si>
    <t>Kết chuyển TK13313_9000 qua TK 333111</t>
  </si>
  <si>
    <r>
      <t>'</t>
    </r>
    <r>
      <rPr>
        <sz val="9"/>
        <color rgb="FF000000"/>
        <rFont val="Times New Roman"/>
        <family val="1"/>
      </rPr>
      <t>1373</t>
    </r>
  </si>
  <si>
    <t>Kết chuyển GTGT tháng 5</t>
  </si>
  <si>
    <r>
      <t>'</t>
    </r>
    <r>
      <rPr>
        <sz val="9"/>
        <color rgb="FF000000"/>
        <rFont val="Times New Roman"/>
        <family val="1"/>
      </rPr>
      <t>1639</t>
    </r>
  </si>
  <si>
    <r>
      <t>'</t>
    </r>
    <r>
      <rPr>
        <sz val="9"/>
        <color rgb="FF000000"/>
        <rFont val="Times New Roman"/>
        <family val="1"/>
      </rPr>
      <t>1640</t>
    </r>
  </si>
  <si>
    <r>
      <t>'</t>
    </r>
    <r>
      <rPr>
        <sz val="9"/>
        <color rgb="FF000000"/>
        <rFont val="Times New Roman"/>
        <family val="1"/>
      </rPr>
      <t>1641</t>
    </r>
  </si>
  <si>
    <r>
      <t>'</t>
    </r>
    <r>
      <rPr>
        <sz val="9"/>
        <color rgb="FF000000"/>
        <rFont val="Times New Roman"/>
        <family val="1"/>
      </rPr>
      <t>1662</t>
    </r>
  </si>
  <si>
    <r>
      <t>'</t>
    </r>
    <r>
      <rPr>
        <sz val="9"/>
        <color rgb="FF000000"/>
        <rFont val="Times New Roman"/>
        <family val="1"/>
      </rPr>
      <t>1605</t>
    </r>
  </si>
  <si>
    <r>
      <t>'</t>
    </r>
    <r>
      <rPr>
        <sz val="9"/>
        <color rgb="FF000000"/>
        <rFont val="Times New Roman"/>
        <family val="1"/>
      </rPr>
      <t>1606</t>
    </r>
  </si>
  <si>
    <r>
      <t>'</t>
    </r>
    <r>
      <rPr>
        <sz val="9"/>
        <color rgb="FF000000"/>
        <rFont val="Times New Roman"/>
        <family val="1"/>
      </rPr>
      <t>1631</t>
    </r>
  </si>
  <si>
    <r>
      <t>'</t>
    </r>
    <r>
      <rPr>
        <sz val="9"/>
        <color rgb="FF000000"/>
        <rFont val="Times New Roman"/>
        <family val="1"/>
      </rPr>
      <t>1632</t>
    </r>
  </si>
  <si>
    <r>
      <t>'</t>
    </r>
    <r>
      <rPr>
        <sz val="9"/>
        <color rgb="FF000000"/>
        <rFont val="Times New Roman"/>
        <family val="1"/>
      </rPr>
      <t>1633</t>
    </r>
  </si>
  <si>
    <r>
      <t>'</t>
    </r>
    <r>
      <rPr>
        <sz val="9"/>
        <color rgb="FF000000"/>
        <rFont val="Times New Roman"/>
        <family val="1"/>
      </rPr>
      <t>1646</t>
    </r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</si>
  <si>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33313000000</t>
    </r>
  </si>
  <si>
    <r>
      <t>'</t>
    </r>
    <r>
      <rPr>
        <sz val="9"/>
        <color rgb="FF000000"/>
        <rFont val="Times New Roman"/>
        <family val="1"/>
      </rPr>
      <t>1369</t>
    </r>
  </si>
  <si>
    <t>Kết chuyển thuế GTGT tháng 5 CTXDCB</t>
  </si>
  <si>
    <t>Giải trừ thuế GTGT đầu ra từ 33895 sang 333111-30/04/2026 AR1546</t>
  </si>
  <si>
    <r>
      <t>'</t>
    </r>
    <r>
      <rPr>
        <sz val="8"/>
        <color rgb="FF000000"/>
        <rFont val="Tahoma"/>
        <family val="2"/>
      </rPr>
      <t>679</t>
    </r>
  </si>
  <si>
    <t>Thuế GTGT VTĐĐ- hđơn 679-13.05.26</t>
  </si>
  <si>
    <r>
      <t>'</t>
    </r>
    <r>
      <rPr>
        <sz val="8"/>
        <color rgb="FF000000"/>
        <rFont val="Tahoma"/>
        <family val="2"/>
      </rPr>
      <t>1361</t>
    </r>
  </si>
  <si>
    <r>
      <t>'</t>
    </r>
    <r>
      <rPr>
        <sz val="8"/>
        <color rgb="FF000000"/>
        <rFont val="Tahoma"/>
        <family val="2"/>
      </rPr>
      <t>708</t>
    </r>
  </si>
  <si>
    <t>Thuế GTGT VTĐĐ- hđơn 708-19.05.26</t>
  </si>
  <si>
    <r>
      <t>'</t>
    </r>
    <r>
      <rPr>
        <sz val="8"/>
        <color rgb="FF000000"/>
        <rFont val="Tahoma"/>
        <family val="2"/>
      </rPr>
      <t>709</t>
    </r>
  </si>
  <si>
    <t>Thuế GTGT VTĐĐ- hđơn 709-19.05.26</t>
  </si>
  <si>
    <r>
      <t>'</t>
    </r>
    <r>
      <rPr>
        <sz val="8"/>
        <color rgb="FF000000"/>
        <rFont val="Tahoma"/>
        <family val="2"/>
      </rPr>
      <t>710</t>
    </r>
  </si>
  <si>
    <t>Thuế GTGT VTĐĐ- hđơn 710-19.05.26</t>
  </si>
  <si>
    <r>
      <t>'</t>
    </r>
    <r>
      <rPr>
        <sz val="8"/>
        <color rgb="FF000000"/>
        <rFont val="Tahoma"/>
        <family val="2"/>
      </rPr>
      <t>1001809</t>
    </r>
  </si>
  <si>
    <t>tiền điện T04-2026</t>
  </si>
  <si>
    <r>
      <t>'</t>
    </r>
    <r>
      <rPr>
        <sz val="8"/>
        <color rgb="FF000000"/>
        <rFont val="Tahoma"/>
        <family val="2"/>
      </rPr>
      <t>1367</t>
    </r>
  </si>
  <si>
    <r>
      <t>'</t>
    </r>
    <r>
      <rPr>
        <sz val="8"/>
        <color rgb="FF000000"/>
        <rFont val="Tahoma"/>
        <family val="2"/>
      </rPr>
      <t>1079265</t>
    </r>
  </si>
  <si>
    <r>
      <t>'</t>
    </r>
    <r>
      <rPr>
        <sz val="8"/>
        <color rgb="FF000000"/>
        <rFont val="Tahoma"/>
        <family val="2"/>
      </rPr>
      <t>1130028</t>
    </r>
  </si>
  <si>
    <r>
      <t>'</t>
    </r>
    <r>
      <rPr>
        <sz val="8"/>
        <color rgb="FF000000"/>
        <rFont val="Tahoma"/>
        <family val="2"/>
      </rPr>
      <t>1181289</t>
    </r>
  </si>
  <si>
    <r>
      <t>'</t>
    </r>
    <r>
      <rPr>
        <sz val="8"/>
        <color rgb="FF000000"/>
        <rFont val="Tahoma"/>
        <family val="2"/>
      </rPr>
      <t>1183489</t>
    </r>
  </si>
  <si>
    <r>
      <t>'</t>
    </r>
    <r>
      <rPr>
        <sz val="8"/>
        <color rgb="FF000000"/>
        <rFont val="Tahoma"/>
        <family val="2"/>
      </rPr>
      <t>536041</t>
    </r>
  </si>
  <si>
    <t>CN Tập đoàn bưu chính viễn thông Việt Nam ( Loại hình doanh nghiệp công ty TNHH)- Viễn Thông Thành Phố Hồ Chí Minh</t>
  </si>
  <si>
    <t>cước điện thoại VNPT T04-2026</t>
  </si>
  <si>
    <r>
      <t>'</t>
    </r>
    <r>
      <rPr>
        <sz val="8"/>
        <color rgb="FF000000"/>
        <rFont val="Tahoma"/>
        <family val="2"/>
      </rPr>
      <t>544664</t>
    </r>
  </si>
  <si>
    <r>
      <t>'</t>
    </r>
    <r>
      <rPr>
        <sz val="8"/>
        <color rgb="FF000000"/>
        <rFont val="Tahoma"/>
        <family val="2"/>
      </rPr>
      <t>549225</t>
    </r>
  </si>
  <si>
    <r>
      <t>'</t>
    </r>
    <r>
      <rPr>
        <sz val="8"/>
        <color rgb="FF000000"/>
        <rFont val="Tahoma"/>
        <family val="2"/>
      </rPr>
      <t>549304</t>
    </r>
  </si>
  <si>
    <r>
      <t>'</t>
    </r>
    <r>
      <rPr>
        <sz val="8"/>
        <color rgb="FF000000"/>
        <rFont val="Tahoma"/>
        <family val="2"/>
      </rPr>
      <t>563998</t>
    </r>
  </si>
  <si>
    <r>
      <t>'</t>
    </r>
    <r>
      <rPr>
        <sz val="8"/>
        <color rgb="FF000000"/>
        <rFont val="Tahoma"/>
        <family val="2"/>
      </rPr>
      <t>567025</t>
    </r>
  </si>
  <si>
    <r>
      <t>'</t>
    </r>
    <r>
      <rPr>
        <sz val="8"/>
        <color rgb="FF000000"/>
        <rFont val="Tahoma"/>
        <family val="2"/>
      </rPr>
      <t>571766</t>
    </r>
  </si>
  <si>
    <r>
      <t>'</t>
    </r>
    <r>
      <rPr>
        <sz val="8"/>
        <color rgb="FF000000"/>
        <rFont val="Tahoma"/>
        <family val="2"/>
      </rPr>
      <t>581131</t>
    </r>
  </si>
  <si>
    <r>
      <t>'</t>
    </r>
    <r>
      <rPr>
        <sz val="8"/>
        <color rgb="FF000000"/>
        <rFont val="Tahoma"/>
        <family val="2"/>
      </rPr>
      <t>583895</t>
    </r>
  </si>
  <si>
    <r>
      <t>'</t>
    </r>
    <r>
      <rPr>
        <sz val="8"/>
        <color rgb="FF000000"/>
        <rFont val="Tahoma"/>
        <family val="2"/>
      </rPr>
      <t>588802</t>
    </r>
  </si>
  <si>
    <r>
      <t>'</t>
    </r>
    <r>
      <rPr>
        <sz val="8"/>
        <color rgb="FF000000"/>
        <rFont val="Tahoma"/>
        <family val="2"/>
      </rPr>
      <t>592190</t>
    </r>
  </si>
  <si>
    <r>
      <t>'</t>
    </r>
    <r>
      <rPr>
        <sz val="8"/>
        <color rgb="FF000000"/>
        <rFont val="Tahoma"/>
        <family val="2"/>
      </rPr>
      <t>596855</t>
    </r>
  </si>
  <si>
    <r>
      <t>'</t>
    </r>
    <r>
      <rPr>
        <sz val="8"/>
        <color rgb="FF000000"/>
        <rFont val="Tahoma"/>
        <family val="2"/>
      </rPr>
      <t>624999</t>
    </r>
  </si>
  <si>
    <r>
      <t>'</t>
    </r>
    <r>
      <rPr>
        <sz val="8"/>
        <color rgb="FF000000"/>
        <rFont val="Tahoma"/>
        <family val="2"/>
      </rPr>
      <t>625565</t>
    </r>
  </si>
  <si>
    <r>
      <t>'</t>
    </r>
    <r>
      <rPr>
        <sz val="8"/>
        <color rgb="FF000000"/>
        <rFont val="Tahoma"/>
        <family val="2"/>
      </rPr>
      <t>630991</t>
    </r>
  </si>
  <si>
    <r>
      <t>'</t>
    </r>
    <r>
      <rPr>
        <sz val="8"/>
        <color rgb="FF000000"/>
        <rFont val="Tahoma"/>
        <family val="2"/>
      </rPr>
      <t>630992</t>
    </r>
  </si>
  <si>
    <r>
      <t>'</t>
    </r>
    <r>
      <rPr>
        <sz val="8"/>
        <color rgb="FF000000"/>
        <rFont val="Tahoma"/>
        <family val="2"/>
      </rPr>
      <t>630993</t>
    </r>
  </si>
  <si>
    <r>
      <t>'</t>
    </r>
    <r>
      <rPr>
        <sz val="8"/>
        <color rgb="FF000000"/>
        <rFont val="Tahoma"/>
        <family val="2"/>
      </rPr>
      <t>630994</t>
    </r>
  </si>
  <si>
    <r>
      <t>'</t>
    </r>
    <r>
      <rPr>
        <sz val="8"/>
        <color rgb="FF000000"/>
        <rFont val="Tahoma"/>
        <family val="2"/>
      </rPr>
      <t>631409</t>
    </r>
  </si>
  <si>
    <r>
      <t>'</t>
    </r>
    <r>
      <rPr>
        <sz val="8"/>
        <color rgb="FF000000"/>
        <rFont val="Tahoma"/>
        <family val="2"/>
      </rPr>
      <t>631410</t>
    </r>
  </si>
  <si>
    <r>
      <t>'</t>
    </r>
    <r>
      <rPr>
        <sz val="8"/>
        <color rgb="FF000000"/>
        <rFont val="Tahoma"/>
        <family val="2"/>
      </rPr>
      <t>633996</t>
    </r>
  </si>
  <si>
    <r>
      <t>'</t>
    </r>
    <r>
      <rPr>
        <sz val="8"/>
        <color rgb="FF000000"/>
        <rFont val="Tahoma"/>
        <family val="2"/>
      </rPr>
      <t>635197</t>
    </r>
  </si>
  <si>
    <r>
      <t>'</t>
    </r>
    <r>
      <rPr>
        <sz val="8"/>
        <color rgb="FF000000"/>
        <rFont val="Tahoma"/>
        <family val="2"/>
      </rPr>
      <t>986816</t>
    </r>
  </si>
  <si>
    <r>
      <t>'</t>
    </r>
    <r>
      <rPr>
        <sz val="8"/>
        <color rgb="FF000000"/>
        <rFont val="Tahoma"/>
        <family val="2"/>
      </rPr>
      <t>986817</t>
    </r>
  </si>
  <si>
    <r>
      <t>'</t>
    </r>
    <r>
      <rPr>
        <sz val="8"/>
        <color rgb="FF000000"/>
        <rFont val="Tahoma"/>
        <family val="2"/>
      </rPr>
      <t>986908</t>
    </r>
  </si>
  <si>
    <r>
      <t>'</t>
    </r>
    <r>
      <rPr>
        <sz val="8"/>
        <color rgb="FF000000"/>
        <rFont val="Tahoma"/>
        <family val="2"/>
      </rPr>
      <t>986931</t>
    </r>
  </si>
  <si>
    <r>
      <t>'</t>
    </r>
    <r>
      <rPr>
        <sz val="8"/>
        <color rgb="FF000000"/>
        <rFont val="Tahoma"/>
        <family val="2"/>
      </rPr>
      <t>84650330</t>
    </r>
  </si>
  <si>
    <t>cước viễn thông Viettel T04-2026</t>
  </si>
  <si>
    <r>
      <t>'</t>
    </r>
    <r>
      <rPr>
        <sz val="8"/>
        <color rgb="FF000000"/>
        <rFont val="Tahoma"/>
        <family val="2"/>
      </rPr>
      <t>84654506</t>
    </r>
  </si>
  <si>
    <r>
      <t>'</t>
    </r>
    <r>
      <rPr>
        <sz val="8"/>
        <color rgb="FF000000"/>
        <rFont val="Tahoma"/>
        <family val="2"/>
      </rPr>
      <t>84658327</t>
    </r>
  </si>
  <si>
    <r>
      <t>'</t>
    </r>
    <r>
      <rPr>
        <sz val="8"/>
        <color rgb="FF000000"/>
        <rFont val="Tahoma"/>
        <family val="2"/>
      </rPr>
      <t>84660065</t>
    </r>
  </si>
  <si>
    <r>
      <t>'</t>
    </r>
    <r>
      <rPr>
        <sz val="8"/>
        <color rgb="FF000000"/>
        <rFont val="Tahoma"/>
        <family val="2"/>
      </rPr>
      <t>84660277</t>
    </r>
  </si>
  <si>
    <r>
      <t>'</t>
    </r>
    <r>
      <rPr>
        <sz val="8"/>
        <color rgb="FF000000"/>
        <rFont val="Tahoma"/>
        <family val="2"/>
      </rPr>
      <t>84661483</t>
    </r>
  </si>
  <si>
    <r>
      <t>'</t>
    </r>
    <r>
      <rPr>
        <sz val="8"/>
        <color rgb="FF000000"/>
        <rFont val="Tahoma"/>
        <family val="2"/>
      </rPr>
      <t>84662806</t>
    </r>
  </si>
  <si>
    <r>
      <t>'</t>
    </r>
    <r>
      <rPr>
        <sz val="8"/>
        <color rgb="FF000000"/>
        <rFont val="Tahoma"/>
        <family val="2"/>
      </rPr>
      <t>84667729</t>
    </r>
  </si>
  <si>
    <r>
      <t>'</t>
    </r>
    <r>
      <rPr>
        <sz val="8"/>
        <color rgb="FF000000"/>
        <rFont val="Tahoma"/>
        <family val="2"/>
      </rPr>
      <t>84668303</t>
    </r>
  </si>
  <si>
    <r>
      <t>'</t>
    </r>
    <r>
      <rPr>
        <sz val="8"/>
        <color rgb="FF000000"/>
        <rFont val="Tahoma"/>
        <family val="2"/>
      </rPr>
      <t>84669490</t>
    </r>
  </si>
  <si>
    <r>
      <t>'</t>
    </r>
    <r>
      <rPr>
        <sz val="8"/>
        <color rgb="FF000000"/>
        <rFont val="Tahoma"/>
        <family val="2"/>
      </rPr>
      <t>84671909</t>
    </r>
  </si>
  <si>
    <r>
      <t>'</t>
    </r>
    <r>
      <rPr>
        <sz val="8"/>
        <color rgb="FF000000"/>
        <rFont val="Tahoma"/>
        <family val="2"/>
      </rPr>
      <t>84672034</t>
    </r>
  </si>
  <si>
    <r>
      <t>'</t>
    </r>
    <r>
      <rPr>
        <sz val="8"/>
        <color rgb="FF000000"/>
        <rFont val="Tahoma"/>
        <family val="2"/>
      </rPr>
      <t>84672191</t>
    </r>
  </si>
  <si>
    <r>
      <t>'</t>
    </r>
    <r>
      <rPr>
        <sz val="8"/>
        <color rgb="FF000000"/>
        <rFont val="Tahoma"/>
        <family val="2"/>
      </rPr>
      <t>84673937</t>
    </r>
  </si>
  <si>
    <r>
      <t>'</t>
    </r>
    <r>
      <rPr>
        <sz val="8"/>
        <color rgb="FF000000"/>
        <rFont val="Tahoma"/>
        <family val="2"/>
      </rPr>
      <t>84675381</t>
    </r>
  </si>
  <si>
    <r>
      <t>'</t>
    </r>
    <r>
      <rPr>
        <sz val="8"/>
        <color rgb="FF000000"/>
        <rFont val="Tahoma"/>
        <family val="2"/>
      </rPr>
      <t>84680997</t>
    </r>
  </si>
  <si>
    <r>
      <t>'</t>
    </r>
    <r>
      <rPr>
        <sz val="8"/>
        <color rgb="FF000000"/>
        <rFont val="Tahoma"/>
        <family val="2"/>
      </rPr>
      <t>84681675</t>
    </r>
  </si>
  <si>
    <r>
      <t>'</t>
    </r>
    <r>
      <rPr>
        <sz val="8"/>
        <color rgb="FF000000"/>
        <rFont val="Tahoma"/>
        <family val="2"/>
      </rPr>
      <t>84682012</t>
    </r>
  </si>
  <si>
    <r>
      <t>'</t>
    </r>
    <r>
      <rPr>
        <sz val="8"/>
        <color rgb="FF000000"/>
        <rFont val="Tahoma"/>
        <family val="2"/>
      </rPr>
      <t>84683589</t>
    </r>
  </si>
  <si>
    <r>
      <t>'</t>
    </r>
    <r>
      <rPr>
        <sz val="8"/>
        <color rgb="FF000000"/>
        <rFont val="Tahoma"/>
        <family val="2"/>
      </rPr>
      <t>84684160</t>
    </r>
  </si>
  <si>
    <r>
      <t>'</t>
    </r>
    <r>
      <rPr>
        <sz val="8"/>
        <color rgb="FF000000"/>
        <rFont val="Tahoma"/>
        <family val="2"/>
      </rPr>
      <t>84684321</t>
    </r>
  </si>
  <si>
    <r>
      <t>'</t>
    </r>
    <r>
      <rPr>
        <sz val="8"/>
        <color rgb="FF000000"/>
        <rFont val="Tahoma"/>
        <family val="2"/>
      </rPr>
      <t>84684348</t>
    </r>
  </si>
  <si>
    <r>
      <t>'</t>
    </r>
    <r>
      <rPr>
        <sz val="8"/>
        <color rgb="FF000000"/>
        <rFont val="Tahoma"/>
        <family val="2"/>
      </rPr>
      <t>84686093</t>
    </r>
  </si>
  <si>
    <r>
      <t>'</t>
    </r>
    <r>
      <rPr>
        <sz val="8"/>
        <color rgb="FF000000"/>
        <rFont val="Tahoma"/>
        <family val="2"/>
      </rPr>
      <t>84687578</t>
    </r>
  </si>
  <si>
    <r>
      <t>'</t>
    </r>
    <r>
      <rPr>
        <sz val="8"/>
        <color rgb="FF000000"/>
        <rFont val="Tahoma"/>
        <family val="2"/>
      </rPr>
      <t>84687785</t>
    </r>
  </si>
  <si>
    <r>
      <t>'</t>
    </r>
    <r>
      <rPr>
        <sz val="8"/>
        <color rgb="FF000000"/>
        <rFont val="Tahoma"/>
        <family val="2"/>
      </rPr>
      <t>84688892</t>
    </r>
  </si>
  <si>
    <r>
      <t>'</t>
    </r>
    <r>
      <rPr>
        <sz val="8"/>
        <color rgb="FF000000"/>
        <rFont val="Tahoma"/>
        <family val="2"/>
      </rPr>
      <t>84689684</t>
    </r>
  </si>
  <si>
    <r>
      <t>'</t>
    </r>
    <r>
      <rPr>
        <sz val="8"/>
        <color rgb="FF000000"/>
        <rFont val="Tahoma"/>
        <family val="2"/>
      </rPr>
      <t>84690882</t>
    </r>
  </si>
  <si>
    <r>
      <t>'</t>
    </r>
    <r>
      <rPr>
        <sz val="8"/>
        <color rgb="FF000000"/>
        <rFont val="Tahoma"/>
        <family val="2"/>
      </rPr>
      <t>84691927</t>
    </r>
  </si>
  <si>
    <r>
      <t>'</t>
    </r>
    <r>
      <rPr>
        <sz val="8"/>
        <color rgb="FF000000"/>
        <rFont val="Tahoma"/>
        <family val="2"/>
      </rPr>
      <t>84694782</t>
    </r>
  </si>
  <si>
    <r>
      <t>'</t>
    </r>
    <r>
      <rPr>
        <sz val="8"/>
        <color rgb="FF000000"/>
        <rFont val="Tahoma"/>
        <family val="2"/>
      </rPr>
      <t>84697462</t>
    </r>
  </si>
  <si>
    <r>
      <t>'</t>
    </r>
    <r>
      <rPr>
        <sz val="8"/>
        <color rgb="FF000000"/>
        <rFont val="Tahoma"/>
        <family val="2"/>
      </rPr>
      <t>84697488</t>
    </r>
  </si>
  <si>
    <r>
      <t>'</t>
    </r>
    <r>
      <rPr>
        <sz val="8"/>
        <color rgb="FF000000"/>
        <rFont val="Tahoma"/>
        <family val="2"/>
      </rPr>
      <t>84697562</t>
    </r>
  </si>
  <si>
    <r>
      <t>'</t>
    </r>
    <r>
      <rPr>
        <sz val="8"/>
        <color rgb="FF000000"/>
        <rFont val="Tahoma"/>
        <family val="2"/>
      </rPr>
      <t>84697656</t>
    </r>
  </si>
  <si>
    <r>
      <t>'</t>
    </r>
    <r>
      <rPr>
        <sz val="8"/>
        <color rgb="FF000000"/>
        <rFont val="Tahoma"/>
        <family val="2"/>
      </rPr>
      <t>84728408</t>
    </r>
  </si>
  <si>
    <t>thuê máy photo T04-26</t>
  </si>
  <si>
    <r>
      <t>'</t>
    </r>
    <r>
      <rPr>
        <sz val="8"/>
        <color rgb="FF000000"/>
        <rFont val="Tahoma"/>
        <family val="2"/>
      </rPr>
      <t>39671</t>
    </r>
  </si>
  <si>
    <t>TỔNG CÔNG TY HÀNG KHÔNG VIỆT NAM - CTCB</t>
  </si>
  <si>
    <t>hóa đơn vé máy bay Côn Đảo</t>
  </si>
  <si>
    <r>
      <t>'</t>
    </r>
    <r>
      <rPr>
        <sz val="8"/>
        <color rgb="FF000000"/>
        <rFont val="Tahoma"/>
        <family val="2"/>
      </rPr>
      <t>14388</t>
    </r>
  </si>
  <si>
    <t>hóa đơn vé xe Côn Đảo</t>
  </si>
  <si>
    <t>1C26THM</t>
  </si>
  <si>
    <r>
      <t>'</t>
    </r>
    <r>
      <rPr>
        <sz val="8"/>
        <color rgb="FF000000"/>
        <rFont val="Tahoma"/>
        <family val="2"/>
      </rPr>
      <t>77</t>
    </r>
  </si>
  <si>
    <t>CÔNG TY CP DỊCH VỤ VỆ SINH CÔNG NGHIỆP HOÀN MỸ SÀI GÒN</t>
  </si>
  <si>
    <r>
      <t>'</t>
    </r>
    <r>
      <rPr>
        <sz val="8"/>
        <color rgb="FF000000"/>
        <rFont val="Tahoma"/>
        <family val="2"/>
      </rPr>
      <t>0315759922</t>
    </r>
  </si>
  <si>
    <t>thuê nhân công</t>
  </si>
  <si>
    <r>
      <t>'</t>
    </r>
    <r>
      <rPr>
        <sz val="8"/>
        <color rgb="FF000000"/>
        <rFont val="Tahoma"/>
        <family val="2"/>
      </rPr>
      <t>996</t>
    </r>
  </si>
  <si>
    <r>
      <t>'</t>
    </r>
    <r>
      <rPr>
        <sz val="8"/>
        <color rgb="FF000000"/>
        <rFont val="Tahoma"/>
        <family val="2"/>
      </rPr>
      <t>139</t>
    </r>
  </si>
  <si>
    <t>TRUNG TÂM KIỂM ĐỊNH KỸ THUẬT AN TOÀN KHU VỰC II</t>
  </si>
  <si>
    <r>
      <t>'</t>
    </r>
    <r>
      <rPr>
        <sz val="8"/>
        <color rgb="FF000000"/>
        <rFont val="Tahoma"/>
        <family val="2"/>
      </rPr>
      <t>0301322561</t>
    </r>
  </si>
  <si>
    <t>kiểm định ATKT</t>
  </si>
  <si>
    <r>
      <t>'</t>
    </r>
    <r>
      <rPr>
        <sz val="8"/>
        <color rgb="FF000000"/>
        <rFont val="Tahoma"/>
        <family val="2"/>
      </rPr>
      <t>309</t>
    </r>
  </si>
  <si>
    <t>hóa đơn phòng nghỉ Côn Đảo</t>
  </si>
  <si>
    <r>
      <t>'</t>
    </r>
    <r>
      <rPr>
        <sz val="8"/>
        <color rgb="FF000000"/>
        <rFont val="Tahoma"/>
        <family val="2"/>
      </rPr>
      <t>8798</t>
    </r>
  </si>
  <si>
    <t>nước sinh hoạt T04-26</t>
  </si>
  <si>
    <r>
      <t>'</t>
    </r>
    <r>
      <rPr>
        <sz val="8"/>
        <color rgb="FF000000"/>
        <rFont val="Tahoma"/>
        <family val="2"/>
      </rPr>
      <t>9368</t>
    </r>
  </si>
  <si>
    <r>
      <t>'</t>
    </r>
    <r>
      <rPr>
        <sz val="8"/>
        <color rgb="FF000000"/>
        <rFont val="Tahoma"/>
        <family val="2"/>
      </rPr>
      <t>9369</t>
    </r>
  </si>
  <si>
    <r>
      <t>'</t>
    </r>
    <r>
      <rPr>
        <sz val="8"/>
        <color rgb="FF000000"/>
        <rFont val="Tahoma"/>
        <family val="2"/>
      </rPr>
      <t>34855</t>
    </r>
  </si>
  <si>
    <t>xăng dầu T04-2026</t>
  </si>
  <si>
    <r>
      <t>'</t>
    </r>
    <r>
      <rPr>
        <sz val="8"/>
        <color rgb="FF000000"/>
        <rFont val="Tahoma"/>
        <family val="2"/>
      </rPr>
      <t>62</t>
    </r>
  </si>
  <si>
    <t>1C26MQC</t>
  </si>
  <si>
    <t>CÔNG TY TNHH THƯƠNG MẠI DỊCH VỤ QUẢNG CÁO NGUYỄN TOÀN</t>
  </si>
  <si>
    <r>
      <t>'</t>
    </r>
    <r>
      <rPr>
        <sz val="8"/>
        <color rgb="FF000000"/>
        <rFont val="Tahoma"/>
        <family val="2"/>
      </rPr>
      <t>3502519309</t>
    </r>
  </si>
  <si>
    <t>hóa đơn băng rôn Côn Đảo</t>
  </si>
  <si>
    <t>sửa chữa VP CS1</t>
  </si>
  <si>
    <t>mua VPP</t>
  </si>
  <si>
    <t>CÔNG TY TNHH CƠ ĐIỆN LẠNH HỒNG DUY</t>
  </si>
  <si>
    <r>
      <t>'</t>
    </r>
    <r>
      <rPr>
        <sz val="8"/>
        <color rgb="FF000000"/>
        <rFont val="Tahoma"/>
        <family val="2"/>
      </rPr>
      <t>3502574677</t>
    </r>
  </si>
  <si>
    <t>sửa máy lạnh Côn Đảo</t>
  </si>
  <si>
    <t>1C26TAT</t>
  </si>
  <si>
    <r>
      <t>'</t>
    </r>
    <r>
      <rPr>
        <sz val="8"/>
        <color rgb="FF000000"/>
        <rFont val="Tahoma"/>
        <family val="2"/>
      </rPr>
      <t>516</t>
    </r>
  </si>
  <si>
    <t>CÔNG TY TRÁCH NHIỆM HỮU HẠN VÉ MÁY BAY AN TOÀN VŨNG TÀU</t>
  </si>
  <si>
    <r>
      <t>'</t>
    </r>
    <r>
      <rPr>
        <sz val="8"/>
        <color rgb="FF000000"/>
        <rFont val="Tahoma"/>
        <family val="2"/>
      </rPr>
      <t>3502350959</t>
    </r>
  </si>
  <si>
    <t>hóa đơn máy bay Côn Đảo</t>
  </si>
  <si>
    <r>
      <t>'</t>
    </r>
    <r>
      <rPr>
        <sz val="8"/>
        <color rgb="FF000000"/>
        <rFont val="Tahoma"/>
        <family val="2"/>
      </rPr>
      <t>530</t>
    </r>
  </si>
  <si>
    <t>mua vật tư SCTX</t>
  </si>
  <si>
    <r>
      <t>'</t>
    </r>
    <r>
      <rPr>
        <sz val="8"/>
        <color rgb="FF000000"/>
        <rFont val="Tahoma"/>
        <family val="2"/>
      </rPr>
      <t>31731</t>
    </r>
  </si>
  <si>
    <t>DNTN xăng dầu Long Phước</t>
  </si>
  <si>
    <t>Ăn uống</t>
  </si>
  <si>
    <t>1C26MSO</t>
  </si>
  <si>
    <r>
      <t>'</t>
    </r>
    <r>
      <rPr>
        <sz val="8"/>
        <color rgb="FF000000"/>
        <rFont val="Tahoma"/>
        <family val="2"/>
      </rPr>
      <t>3165</t>
    </r>
  </si>
  <si>
    <t>CÔNG TY TNHH HÀ ĐẠT</t>
  </si>
  <si>
    <r>
      <t>'</t>
    </r>
    <r>
      <rPr>
        <sz val="8"/>
        <color rgb="FF000000"/>
        <rFont val="Tahoma"/>
        <family val="2"/>
      </rPr>
      <t>3500456558</t>
    </r>
  </si>
  <si>
    <r>
      <t>'</t>
    </r>
    <r>
      <rPr>
        <sz val="8"/>
        <color rgb="FF000000"/>
        <rFont val="Tahoma"/>
        <family val="2"/>
      </rPr>
      <t>656</t>
    </r>
  </si>
  <si>
    <t>1C26MNH</t>
  </si>
  <si>
    <r>
      <t>'</t>
    </r>
    <r>
      <rPr>
        <sz val="8"/>
        <color rgb="FF000000"/>
        <rFont val="Tahoma"/>
        <family val="2"/>
      </rPr>
      <t>125</t>
    </r>
  </si>
  <si>
    <t>CÔNG TY TNHH VẬN TẢI THƯƠNG MẠI DỊCH VỤ NGỌC HẠNH</t>
  </si>
  <si>
    <r>
      <t>'</t>
    </r>
    <r>
      <rPr>
        <sz val="8"/>
        <color rgb="FF000000"/>
        <rFont val="Tahoma"/>
        <family val="2"/>
      </rPr>
      <t>3502444276</t>
    </r>
  </si>
  <si>
    <t>thuê xe hội nghị</t>
  </si>
  <si>
    <t>hóa đơn vận chuyển VTTB</t>
  </si>
  <si>
    <r>
      <t>'</t>
    </r>
    <r>
      <rPr>
        <sz val="8"/>
        <color rgb="FF000000"/>
        <rFont val="Tahoma"/>
        <family val="2"/>
      </rPr>
      <t>133241</t>
    </r>
  </si>
  <si>
    <t>tiền nước sinh hoạt T05-26</t>
  </si>
  <si>
    <r>
      <t>'</t>
    </r>
    <r>
      <rPr>
        <sz val="8"/>
        <color rgb="FF000000"/>
        <rFont val="Tahoma"/>
        <family val="2"/>
      </rPr>
      <t>820282</t>
    </r>
  </si>
  <si>
    <t>tiền nước sinh hoạt T05-2026</t>
  </si>
  <si>
    <t>1C26TBU</t>
  </si>
  <si>
    <t>CÔNG TY TNHH ĐẦU TƯ THƯƠNG MẠI MAI BẢO UYÊN</t>
  </si>
  <si>
    <r>
      <t>'</t>
    </r>
    <r>
      <rPr>
        <sz val="8"/>
        <color rgb="FF000000"/>
        <rFont val="Tahoma"/>
        <family val="2"/>
      </rPr>
      <t>3502452421</t>
    </r>
  </si>
  <si>
    <t>sửa chữa VP CS2</t>
  </si>
  <si>
    <r>
      <t>'</t>
    </r>
    <r>
      <rPr>
        <sz val="8"/>
        <color rgb="FF000000"/>
        <rFont val="Tahoma"/>
        <family val="2"/>
      </rPr>
      <t>46172</t>
    </r>
  </si>
  <si>
    <r>
      <t>'</t>
    </r>
    <r>
      <rPr>
        <sz val="8"/>
        <color rgb="FF000000"/>
        <rFont val="Tahoma"/>
        <family val="2"/>
      </rPr>
      <t>1199</t>
    </r>
  </si>
  <si>
    <r>
      <t>'</t>
    </r>
    <r>
      <rPr>
        <sz val="8"/>
        <color rgb="FF000000"/>
        <rFont val="Tahoma"/>
        <family val="2"/>
      </rPr>
      <t>1380</t>
    </r>
  </si>
  <si>
    <r>
      <t>'</t>
    </r>
    <r>
      <rPr>
        <sz val="8"/>
        <color rgb="FF000000"/>
        <rFont val="Tahoma"/>
        <family val="2"/>
      </rPr>
      <t>39108</t>
    </r>
  </si>
  <si>
    <r>
      <t>'</t>
    </r>
    <r>
      <rPr>
        <sz val="8"/>
        <color rgb="FF000000"/>
        <rFont val="Tahoma"/>
        <family val="2"/>
      </rPr>
      <t>81499</t>
    </r>
  </si>
  <si>
    <t>vé máy bay</t>
  </si>
  <si>
    <r>
      <t>'</t>
    </r>
    <r>
      <rPr>
        <sz val="8"/>
        <color rgb="FF000000"/>
        <rFont val="Tahoma"/>
        <family val="2"/>
      </rPr>
      <t>91053</t>
    </r>
  </si>
  <si>
    <r>
      <t>'</t>
    </r>
    <r>
      <rPr>
        <sz val="8"/>
        <color rgb="FF000000"/>
        <rFont val="Tahoma"/>
        <family val="2"/>
      </rPr>
      <t>2403</t>
    </r>
  </si>
  <si>
    <t>thẻ cào điện thoại T05-2026 </t>
  </si>
  <si>
    <t>mực in</t>
  </si>
  <si>
    <r>
      <t>'</t>
    </r>
    <r>
      <rPr>
        <sz val="8"/>
        <color rgb="FF000000"/>
        <rFont val="Tahoma"/>
        <family val="2"/>
      </rPr>
      <t>46</t>
    </r>
  </si>
  <si>
    <r>
      <t>'</t>
    </r>
    <r>
      <rPr>
        <sz val="8"/>
        <color rgb="FF000000"/>
        <rFont val="Tahoma"/>
        <family val="2"/>
      </rPr>
      <t>1245</t>
    </r>
  </si>
  <si>
    <r>
      <t>'</t>
    </r>
    <r>
      <rPr>
        <sz val="8"/>
        <color rgb="FF000000"/>
        <rFont val="Tahoma"/>
        <family val="2"/>
      </rPr>
      <t>1314</t>
    </r>
  </si>
  <si>
    <t>hóa đơn tiền đặt ăn</t>
  </si>
  <si>
    <r>
      <t>'</t>
    </r>
    <r>
      <rPr>
        <sz val="8"/>
        <color rgb="FF000000"/>
        <rFont val="Tahoma"/>
        <family val="2"/>
      </rPr>
      <t>857914</t>
    </r>
  </si>
  <si>
    <r>
      <t>'</t>
    </r>
    <r>
      <rPr>
        <sz val="8"/>
        <color rgb="FF000000"/>
        <rFont val="Tahoma"/>
        <family val="2"/>
      </rPr>
      <t>135076</t>
    </r>
  </si>
  <si>
    <t>Ngân hàng TMCP Sài Gòn Thương Tín - CN BRVT</t>
  </si>
  <si>
    <t>phí chuyển tiền SAB</t>
  </si>
  <si>
    <t>thuê máy photo T05-26</t>
  </si>
  <si>
    <r>
      <t>'</t>
    </r>
    <r>
      <rPr>
        <sz val="8"/>
        <color rgb="FF000000"/>
        <rFont val="Tahoma"/>
        <family val="2"/>
      </rPr>
      <t>63</t>
    </r>
  </si>
  <si>
    <r>
      <t>'</t>
    </r>
    <r>
      <rPr>
        <sz val="8"/>
        <color rgb="FF000000"/>
        <rFont val="Tahoma"/>
        <family val="2"/>
      </rPr>
      <t>64</t>
    </r>
  </si>
  <si>
    <r>
      <t>'</t>
    </r>
    <r>
      <rPr>
        <sz val="8"/>
        <color rgb="FF000000"/>
        <rFont val="Tahoma"/>
        <family val="2"/>
      </rPr>
      <t>65</t>
    </r>
  </si>
  <si>
    <r>
      <t>'</t>
    </r>
    <r>
      <rPr>
        <sz val="8"/>
        <color rgb="FF000000"/>
        <rFont val="Tahoma"/>
        <family val="2"/>
      </rPr>
      <t>1458</t>
    </r>
  </si>
  <si>
    <r>
      <t>'</t>
    </r>
    <r>
      <rPr>
        <sz val="8"/>
        <color rgb="FF000000"/>
        <rFont val="Tahoma"/>
        <family val="2"/>
      </rPr>
      <t>873928</t>
    </r>
  </si>
  <si>
    <t>CÔNG TY TNHH XỬ LÝ NƯỚC VÀ MÔI TRƯỜNG THẢO TÂM</t>
  </si>
  <si>
    <r>
      <t>'</t>
    </r>
    <r>
      <rPr>
        <sz val="8"/>
        <color rgb="FF000000"/>
        <rFont val="Tahoma"/>
        <family val="2"/>
      </rPr>
      <t>0313067771</t>
    </r>
  </si>
  <si>
    <t>thay lõi lọ nước</t>
  </si>
  <si>
    <r>
      <t>'</t>
    </r>
    <r>
      <rPr>
        <sz val="8"/>
        <color rgb="FF000000"/>
        <rFont val="Tahoma"/>
        <family val="2"/>
      </rPr>
      <t>567</t>
    </r>
  </si>
  <si>
    <t>1K26TAN</t>
  </si>
  <si>
    <r>
      <t>'</t>
    </r>
    <r>
      <rPr>
        <sz val="8"/>
        <color rgb="FF000000"/>
        <rFont val="Tahoma"/>
        <family val="2"/>
      </rPr>
      <t>1873385</t>
    </r>
  </si>
  <si>
    <t>TỔNG CÔNG TY CP BƯU CHÍNH VIETTEL</t>
  </si>
  <si>
    <r>
      <t>'</t>
    </r>
    <r>
      <rPr>
        <sz val="8"/>
        <color rgb="FF000000"/>
        <rFont val="Tahoma"/>
        <family val="2"/>
      </rPr>
      <t>0104093672</t>
    </r>
  </si>
  <si>
    <t>cước viễn thông Viettel T02-2026</t>
  </si>
  <si>
    <r>
      <t>'</t>
    </r>
    <r>
      <rPr>
        <sz val="8"/>
        <color rgb="FF000000"/>
        <rFont val="Tahoma"/>
        <family val="2"/>
      </rPr>
      <t>26207</t>
    </r>
  </si>
  <si>
    <t>CÔNG TY CỔ PHẦN ÁNH DƯƠNG VIỆT NAM</t>
  </si>
  <si>
    <r>
      <t>'</t>
    </r>
    <r>
      <rPr>
        <sz val="8"/>
        <color rgb="FF000000"/>
        <rFont val="Tahoma"/>
        <family val="2"/>
      </rPr>
      <t>0302035520</t>
    </r>
  </si>
  <si>
    <t>taxi</t>
  </si>
  <si>
    <r>
      <t>'</t>
    </r>
    <r>
      <rPr>
        <sz val="8"/>
        <color rgb="FF000000"/>
        <rFont val="Tahoma"/>
        <family val="2"/>
      </rPr>
      <t>41273</t>
    </r>
  </si>
  <si>
    <r>
      <t>'</t>
    </r>
    <r>
      <rPr>
        <sz val="8"/>
        <color rgb="FF000000"/>
        <rFont val="Tahoma"/>
        <family val="2"/>
      </rPr>
      <t>59485</t>
    </r>
  </si>
  <si>
    <t>CÔNG TY CP TÀU CAO TỐC PHÚ QUỐC-CHI NHÁNH CÔN ĐẢO</t>
  </si>
  <si>
    <t>hóa đơn vé tàu cao tốc Côn Đảo</t>
  </si>
  <si>
    <r>
      <t>'</t>
    </r>
    <r>
      <rPr>
        <sz val="8"/>
        <color rgb="FF000000"/>
        <rFont val="Tahoma"/>
        <family val="2"/>
      </rPr>
      <t>1087</t>
    </r>
  </si>
  <si>
    <r>
      <t>'</t>
    </r>
    <r>
      <rPr>
        <sz val="8"/>
        <color rgb="FF000000"/>
        <rFont val="Tahoma"/>
        <family val="2"/>
      </rPr>
      <t>21477</t>
    </r>
  </si>
  <si>
    <t>tiền cước taxi xanh SM</t>
  </si>
  <si>
    <r>
      <t>'</t>
    </r>
    <r>
      <rPr>
        <sz val="8"/>
        <color rgb="FF000000"/>
        <rFont val="Tahoma"/>
        <family val="2"/>
      </rPr>
      <t>286</t>
    </r>
  </si>
  <si>
    <t>CÔNG TY CP NƯỚC TINH KHIẾT CÔN ĐẢO XANH</t>
  </si>
  <si>
    <r>
      <t>'</t>
    </r>
    <r>
      <rPr>
        <sz val="8"/>
        <color rgb="FF000000"/>
        <rFont val="Tahoma"/>
        <family val="2"/>
      </rPr>
      <t>98777</t>
    </r>
  </si>
  <si>
    <r>
      <t>'</t>
    </r>
    <r>
      <rPr>
        <sz val="8"/>
        <color rgb="FF000000"/>
        <rFont val="Tahoma"/>
        <family val="2"/>
      </rPr>
      <t>98778</t>
    </r>
  </si>
  <si>
    <r>
      <t>'</t>
    </r>
    <r>
      <rPr>
        <sz val="8"/>
        <color rgb="FF000000"/>
        <rFont val="Tahoma"/>
        <family val="2"/>
      </rPr>
      <t>98779</t>
    </r>
  </si>
  <si>
    <r>
      <t>'</t>
    </r>
    <r>
      <rPr>
        <sz val="8"/>
        <color rgb="FF000000"/>
        <rFont val="Tahoma"/>
        <family val="2"/>
      </rPr>
      <t>98780</t>
    </r>
  </si>
  <si>
    <r>
      <t>'</t>
    </r>
    <r>
      <rPr>
        <sz val="8"/>
        <color rgb="FF000000"/>
        <rFont val="Tahoma"/>
        <family val="2"/>
      </rPr>
      <t>98781</t>
    </r>
  </si>
  <si>
    <r>
      <t>'</t>
    </r>
    <r>
      <rPr>
        <sz val="8"/>
        <color rgb="FF000000"/>
        <rFont val="Tahoma"/>
        <family val="2"/>
      </rPr>
      <t>98782</t>
    </r>
  </si>
  <si>
    <r>
      <t>'</t>
    </r>
    <r>
      <rPr>
        <sz val="8"/>
        <color rgb="FF000000"/>
        <rFont val="Tahoma"/>
        <family val="2"/>
      </rPr>
      <t>98783</t>
    </r>
  </si>
  <si>
    <t>1C26MTTT</t>
  </si>
  <si>
    <r>
      <t>'</t>
    </r>
    <r>
      <rPr>
        <sz val="8"/>
        <color rgb="FF000000"/>
        <rFont val="Tahoma"/>
        <family val="2"/>
      </rPr>
      <t>3663</t>
    </r>
  </si>
  <si>
    <t>cước vận chuyển VTTB</t>
  </si>
  <si>
    <r>
      <t>'</t>
    </r>
    <r>
      <rPr>
        <sz val="8"/>
        <color rgb="FF000000"/>
        <rFont val="Tahoma"/>
        <family val="2"/>
      </rPr>
      <t>4207401</t>
    </r>
  </si>
  <si>
    <r>
      <t>'</t>
    </r>
    <r>
      <rPr>
        <sz val="8"/>
        <color rgb="FF000000"/>
        <rFont val="Tahoma"/>
        <family val="2"/>
      </rPr>
      <t>471</t>
    </r>
  </si>
  <si>
    <t>tiền DV vệ sinh T04-2026 T2-26</t>
  </si>
  <si>
    <r>
      <t>'</t>
    </r>
    <r>
      <rPr>
        <sz val="8"/>
        <color rgb="FF000000"/>
        <rFont val="Tahoma"/>
        <family val="2"/>
      </rPr>
      <t>472</t>
    </r>
  </si>
  <si>
    <t>tiền DV tài xế T04-2026 T2-26</t>
  </si>
  <si>
    <r>
      <t>'</t>
    </r>
    <r>
      <rPr>
        <sz val="8"/>
        <color rgb="FF000000"/>
        <rFont val="Tahoma"/>
        <family val="2"/>
      </rPr>
      <t>987</t>
    </r>
  </si>
  <si>
    <t>1C26TLK</t>
  </si>
  <si>
    <r>
      <t>'</t>
    </r>
    <r>
      <rPr>
        <sz val="8"/>
        <color rgb="FF000000"/>
        <rFont val="Tahoma"/>
        <family val="2"/>
      </rPr>
      <t>1</t>
    </r>
  </si>
  <si>
    <t>CÔNG TY TNHH THƯƠNG MẠI DỊCH VỤ NHẤT LONG KHANG</t>
  </si>
  <si>
    <r>
      <t>'</t>
    </r>
    <r>
      <rPr>
        <sz val="8"/>
        <color rgb="FF000000"/>
        <rFont val="Tahoma"/>
        <family val="2"/>
      </rPr>
      <t>3502446273</t>
    </r>
  </si>
  <si>
    <t>hóa đơn thuê kho VTTB</t>
  </si>
  <si>
    <r>
      <t>'</t>
    </r>
    <r>
      <rPr>
        <sz val="8"/>
        <color rgb="FF000000"/>
        <rFont val="Tahoma"/>
        <family val="2"/>
      </rPr>
      <t>913898</t>
    </r>
  </si>
  <si>
    <r>
      <t>'</t>
    </r>
    <r>
      <rPr>
        <sz val="8"/>
        <color rgb="FF000000"/>
        <rFont val="Tahoma"/>
        <family val="2"/>
      </rPr>
      <t>2985477</t>
    </r>
  </si>
  <si>
    <t>CÔNG TY TNHH TƯ VẤN XÂY DỰNG KIẾN TRÚC MINH QUÂN</t>
  </si>
  <si>
    <r>
      <t>'</t>
    </r>
    <r>
      <rPr>
        <sz val="8"/>
        <color rgb="FF000000"/>
        <rFont val="Tahoma"/>
        <family val="2"/>
      </rPr>
      <t>3502430636</t>
    </r>
  </si>
  <si>
    <t>hóa đơn DV chăm sóc cây</t>
  </si>
  <si>
    <t>hóa đơn cước gửi hồ sơ T03-26</t>
  </si>
  <si>
    <r>
      <t>'</t>
    </r>
    <r>
      <rPr>
        <sz val="8"/>
        <color rgb="FF000000"/>
        <rFont val="Tahoma"/>
        <family val="2"/>
      </rPr>
      <t>00000139</t>
    </r>
  </si>
  <si>
    <t>Doanh Nghiệp Tư Nhân Thương Mại Và Xây Dựng Diệu Hiền</t>
  </si>
  <si>
    <r>
      <t>'</t>
    </r>
    <r>
      <rPr>
        <sz val="8"/>
        <color rgb="FF000000"/>
        <rFont val="Tahoma"/>
        <family val="2"/>
      </rPr>
      <t>3500701425</t>
    </r>
  </si>
  <si>
    <t>Tấm Inox</t>
  </si>
  <si>
    <t>AP0526-Y1</t>
  </si>
  <si>
    <r>
      <t>'</t>
    </r>
    <r>
      <rPr>
        <sz val="8"/>
        <color rgb="FF000000"/>
        <rFont val="Tahoma"/>
        <family val="2"/>
      </rPr>
      <t>1368</t>
    </r>
  </si>
  <si>
    <r>
      <t>'</t>
    </r>
    <r>
      <rPr>
        <sz val="8"/>
        <color rgb="FF000000"/>
        <rFont val="Tahoma"/>
        <family val="2"/>
      </rPr>
      <t>00000090</t>
    </r>
  </si>
  <si>
    <t>Doanh Nghiệp Tư Nhân Thương Mại &amp; Xây Dựng Diệu Hiền</t>
  </si>
  <si>
    <t>Thép không gỉ</t>
  </si>
  <si>
    <t>1K26TAQ</t>
  </si>
  <si>
    <r>
      <t>'</t>
    </r>
    <r>
      <rPr>
        <sz val="8"/>
        <color rgb="FF000000"/>
        <rFont val="Tahoma"/>
        <family val="2"/>
      </rPr>
      <t>080426</t>
    </r>
  </si>
  <si>
    <t>CN TCT Điện Lực TPHCM TNHH - Công Ty Điện Lực Chợ Lớn</t>
  </si>
  <si>
    <t>Cầu chì ống</t>
  </si>
  <si>
    <r>
      <t>'</t>
    </r>
    <r>
      <rPr>
        <sz val="8"/>
        <color rgb="FF000000"/>
        <rFont val="Tahoma"/>
        <family val="2"/>
      </rPr>
      <t>777</t>
    </r>
  </si>
  <si>
    <t>Kẹp quai</t>
  </si>
  <si>
    <t>Công Ty TNHH Thương Mại Dịch Vụ Tiến Thành Water</t>
  </si>
  <si>
    <r>
      <t>'</t>
    </r>
    <r>
      <rPr>
        <sz val="8"/>
        <color rgb="FF000000"/>
        <rFont val="Tahoma"/>
        <family val="2"/>
      </rPr>
      <t>0315462953</t>
    </r>
  </si>
  <si>
    <t>Máy lọc nước</t>
  </si>
  <si>
    <r>
      <t>'</t>
    </r>
    <r>
      <rPr>
        <sz val="8"/>
        <color rgb="FF000000"/>
        <rFont val="Tahoma"/>
        <family val="2"/>
      </rPr>
      <t>1404</t>
    </r>
  </si>
  <si>
    <t>Công Ty CP Dây Cáp Điện Việt Nam</t>
  </si>
  <si>
    <r>
      <t>'</t>
    </r>
    <r>
      <rPr>
        <sz val="8"/>
        <color rgb="FF000000"/>
        <rFont val="Tahoma"/>
        <family val="2"/>
      </rPr>
      <t>0300381564</t>
    </r>
  </si>
  <si>
    <t>Cáp Muller</t>
  </si>
  <si>
    <r>
      <t>'</t>
    </r>
    <r>
      <rPr>
        <sz val="8"/>
        <color rgb="FF000000"/>
        <rFont val="Tahoma"/>
        <family val="2"/>
      </rPr>
      <t>933</t>
    </r>
  </si>
  <si>
    <t>Dao cách ly</t>
  </si>
  <si>
    <r>
      <t>'</t>
    </r>
    <r>
      <rPr>
        <sz val="8"/>
        <color rgb="FF000000"/>
        <rFont val="Tahoma"/>
        <family val="2"/>
      </rPr>
      <t>561</t>
    </r>
  </si>
  <si>
    <t>Công Ty TNHH Kinh Doanh Công Nghệ Deep Flowx</t>
  </si>
  <si>
    <r>
      <t>'</t>
    </r>
    <r>
      <rPr>
        <sz val="8"/>
        <color rgb="FF000000"/>
        <rFont val="Tahoma"/>
        <family val="2"/>
      </rPr>
      <t>0319369232</t>
    </r>
  </si>
  <si>
    <t>Ghế văn phòng</t>
  </si>
  <si>
    <r>
      <t>'</t>
    </r>
    <r>
      <rPr>
        <sz val="8"/>
        <color rgb="FF000000"/>
        <rFont val="Tahoma"/>
        <family val="2"/>
      </rPr>
      <t>00000052</t>
    </r>
  </si>
  <si>
    <t>Công Ty TNHH Khách Đế</t>
  </si>
  <si>
    <t>Máy tính xách tay</t>
  </si>
  <si>
    <t>Modem 3G/4G</t>
  </si>
  <si>
    <r>
      <t>'</t>
    </r>
    <r>
      <rPr>
        <sz val="8"/>
        <color rgb="FF000000"/>
        <rFont val="Tahoma"/>
        <family val="2"/>
      </rPr>
      <t>00000123</t>
    </r>
  </si>
  <si>
    <t>Nắp chụp đầu cực</t>
  </si>
  <si>
    <r>
      <t>'</t>
    </r>
    <r>
      <rPr>
        <sz val="8"/>
        <color rgb="FF000000"/>
        <rFont val="Tahoma"/>
        <family val="2"/>
      </rPr>
      <t>696</t>
    </r>
  </si>
  <si>
    <t>Băng keo bán dẫn trung thế</t>
  </si>
  <si>
    <r>
      <t>'</t>
    </r>
    <r>
      <rPr>
        <sz val="8"/>
        <color rgb="FF000000"/>
        <rFont val="Tahoma"/>
        <family val="2"/>
      </rPr>
      <t>349</t>
    </r>
  </si>
  <si>
    <t>Công Ty Cổ Phần Thiết Bị Điện Sài Gòn</t>
  </si>
  <si>
    <r>
      <t>'</t>
    </r>
    <r>
      <rPr>
        <sz val="8"/>
        <color rgb="FF000000"/>
        <rFont val="Tahoma"/>
        <family val="2"/>
      </rPr>
      <t>0301413755</t>
    </r>
  </si>
  <si>
    <t>Cầu chì ống 24KV</t>
  </si>
  <si>
    <r>
      <t>'</t>
    </r>
    <r>
      <rPr>
        <sz val="8"/>
        <color rgb="FF000000"/>
        <rFont val="Tahoma"/>
        <family val="2"/>
      </rPr>
      <t>25504</t>
    </r>
  </si>
  <si>
    <r>
      <t>'</t>
    </r>
    <r>
      <rPr>
        <sz val="8"/>
        <color rgb="FF000000"/>
        <rFont val="Tahoma"/>
        <family val="2"/>
      </rPr>
      <t>1370</t>
    </r>
  </si>
  <si>
    <t>1C26TBT</t>
  </si>
  <si>
    <r>
      <t>'</t>
    </r>
    <r>
      <rPr>
        <sz val="8"/>
        <color rgb="FF000000"/>
        <rFont val="Tahoma"/>
        <family val="2"/>
      </rPr>
      <t>1004</t>
    </r>
  </si>
  <si>
    <r>
      <t>'</t>
    </r>
    <r>
      <rPr>
        <sz val="8"/>
        <color rgb="FF000000"/>
        <rFont val="Tahoma"/>
        <family val="2"/>
      </rPr>
      <t>1023</t>
    </r>
  </si>
  <si>
    <r>
      <t>'</t>
    </r>
    <r>
      <rPr>
        <sz val="8"/>
        <color rgb="FF000000"/>
        <rFont val="Tahoma"/>
        <family val="2"/>
      </rPr>
      <t>1162</t>
    </r>
  </si>
  <si>
    <r>
      <t>'</t>
    </r>
    <r>
      <rPr>
        <sz val="8"/>
        <color rgb="FF000000"/>
        <rFont val="Tahoma"/>
        <family val="2"/>
      </rPr>
      <t>1109</t>
    </r>
  </si>
  <si>
    <r>
      <t>'</t>
    </r>
    <r>
      <rPr>
        <sz val="8"/>
        <color rgb="FF000000"/>
        <rFont val="Tahoma"/>
        <family val="2"/>
      </rPr>
      <t>1189</t>
    </r>
  </si>
  <si>
    <r>
      <t>'</t>
    </r>
    <r>
      <rPr>
        <sz val="8"/>
        <color rgb="FF000000"/>
        <rFont val="Tahoma"/>
        <family val="2"/>
      </rPr>
      <t>1086</t>
    </r>
  </si>
  <si>
    <t>1C26MAB</t>
  </si>
  <si>
    <r>
      <t>'</t>
    </r>
    <r>
      <rPr>
        <sz val="8"/>
        <color rgb="FF000000"/>
        <rFont val="Tahoma"/>
        <family val="2"/>
      </rPr>
      <t>22313</t>
    </r>
  </si>
  <si>
    <t>CÔNG TY CỔ PHẦN CHUỖI THỰC PHẨM TH</t>
  </si>
  <si>
    <r>
      <t>'</t>
    </r>
    <r>
      <rPr>
        <sz val="8"/>
        <color rgb="FF000000"/>
        <rFont val="Tahoma"/>
        <family val="2"/>
      </rPr>
      <t>2901270911</t>
    </r>
  </si>
  <si>
    <t>tea break T05-26</t>
  </si>
  <si>
    <r>
      <t>'</t>
    </r>
    <r>
      <rPr>
        <sz val="8"/>
        <color rgb="FF000000"/>
        <rFont val="Tahoma"/>
        <family val="2"/>
      </rPr>
      <t>1153</t>
    </r>
  </si>
  <si>
    <r>
      <t>'</t>
    </r>
    <r>
      <rPr>
        <sz val="8"/>
        <color rgb="FF000000"/>
        <rFont val="Tahoma"/>
        <family val="2"/>
      </rPr>
      <t>1256</t>
    </r>
  </si>
  <si>
    <r>
      <t>'</t>
    </r>
    <r>
      <rPr>
        <sz val="8"/>
        <color rgb="FF000000"/>
        <rFont val="Tahoma"/>
        <family val="2"/>
      </rPr>
      <t>1126</t>
    </r>
  </si>
  <si>
    <r>
      <t>'</t>
    </r>
    <r>
      <rPr>
        <sz val="8"/>
        <color rgb="FF000000"/>
        <rFont val="Tahoma"/>
        <family val="2"/>
      </rPr>
      <t>12535</t>
    </r>
  </si>
  <si>
    <t>kiểm định ô tô</t>
  </si>
  <si>
    <r>
      <t>'</t>
    </r>
    <r>
      <rPr>
        <sz val="8"/>
        <color rgb="FF000000"/>
        <rFont val="Tahoma"/>
        <family val="2"/>
      </rPr>
      <t>1200</t>
    </r>
  </si>
  <si>
    <t>1C26MGB</t>
  </si>
  <si>
    <r>
      <t>'</t>
    </r>
    <r>
      <rPr>
        <sz val="8"/>
        <color rgb="FF000000"/>
        <rFont val="Tahoma"/>
        <family val="2"/>
      </rPr>
      <t>2546</t>
    </r>
  </si>
  <si>
    <r>
      <t>'</t>
    </r>
    <r>
      <rPr>
        <sz val="8"/>
        <color rgb="FF000000"/>
        <rFont val="Tahoma"/>
        <family val="2"/>
      </rPr>
      <t>372</t>
    </r>
  </si>
  <si>
    <t>DNTN THƯƠNG MẠI LƯƠNG NHÂN</t>
  </si>
  <si>
    <r>
      <t>'</t>
    </r>
    <r>
      <rPr>
        <sz val="8"/>
        <color rgb="FF000000"/>
        <rFont val="Tahoma"/>
        <family val="2"/>
      </rPr>
      <t>381</t>
    </r>
  </si>
  <si>
    <r>
      <t>'</t>
    </r>
    <r>
      <rPr>
        <sz val="8"/>
        <color rgb="FF000000"/>
        <rFont val="Tahoma"/>
        <family val="2"/>
      </rPr>
      <t>666</t>
    </r>
  </si>
  <si>
    <r>
      <t>'</t>
    </r>
    <r>
      <rPr>
        <sz val="8"/>
        <color rgb="FF000000"/>
        <rFont val="Tahoma"/>
        <family val="2"/>
      </rPr>
      <t>667</t>
    </r>
  </si>
  <si>
    <r>
      <t>'</t>
    </r>
    <r>
      <rPr>
        <sz val="8"/>
        <color rgb="FF000000"/>
        <rFont val="Tahoma"/>
        <family val="2"/>
      </rPr>
      <t>668</t>
    </r>
  </si>
  <si>
    <r>
      <t>'</t>
    </r>
    <r>
      <rPr>
        <sz val="8"/>
        <color rgb="FF000000"/>
        <rFont val="Tahoma"/>
        <family val="2"/>
      </rPr>
      <t>669</t>
    </r>
  </si>
  <si>
    <r>
      <t>'</t>
    </r>
    <r>
      <rPr>
        <sz val="8"/>
        <color rgb="FF000000"/>
        <rFont val="Tahoma"/>
        <family val="2"/>
      </rPr>
      <t>670</t>
    </r>
  </si>
  <si>
    <t>phí đi lại ô tô Cđảo</t>
  </si>
  <si>
    <r>
      <t>'</t>
    </r>
    <r>
      <rPr>
        <sz val="8"/>
        <color rgb="FF000000"/>
        <rFont val="Tahoma"/>
        <family val="2"/>
      </rPr>
      <t>85662</t>
    </r>
  </si>
  <si>
    <t>CÔNG TY TNHH THACO AUTO TP.HCM</t>
  </si>
  <si>
    <r>
      <t>'</t>
    </r>
    <r>
      <rPr>
        <sz val="8"/>
        <color rgb="FF000000"/>
        <rFont val="Tahoma"/>
        <family val="2"/>
      </rPr>
      <t>3703030236</t>
    </r>
  </si>
  <si>
    <t>bảo dưỡng ô tô</t>
  </si>
  <si>
    <r>
      <t>'</t>
    </r>
    <r>
      <rPr>
        <sz val="8"/>
        <color rgb="FF000000"/>
        <rFont val="Tahoma"/>
        <family val="2"/>
      </rPr>
      <t>395</t>
    </r>
  </si>
  <si>
    <r>
      <t>'</t>
    </r>
    <r>
      <rPr>
        <sz val="8"/>
        <color rgb="FF000000"/>
        <rFont val="Tahoma"/>
        <family val="2"/>
      </rPr>
      <t>304</t>
    </r>
  </si>
  <si>
    <t>CÔNG TY TNHH KINH DOANH KHÁCH SẠN THIÊN PHƯỚC</t>
  </si>
  <si>
    <r>
      <t>'</t>
    </r>
    <r>
      <rPr>
        <sz val="8"/>
        <color rgb="FF000000"/>
        <rFont val="Tahoma"/>
        <family val="2"/>
      </rPr>
      <t>0318400909</t>
    </r>
  </si>
  <si>
    <t>1K26TMA</t>
  </si>
  <si>
    <r>
      <t>'</t>
    </r>
    <r>
      <rPr>
        <sz val="8"/>
        <color rgb="FF000000"/>
        <rFont val="Tahoma"/>
        <family val="2"/>
      </rPr>
      <t>32375</t>
    </r>
  </si>
  <si>
    <t>thẻ cào điện thoại</t>
  </si>
  <si>
    <r>
      <t>'</t>
    </r>
    <r>
      <rPr>
        <sz val="8"/>
        <color rgb="FF000000"/>
        <rFont val="Tahoma"/>
        <family val="2"/>
      </rPr>
      <t>184</t>
    </r>
  </si>
  <si>
    <t>kiểm định ATKT ô tô</t>
  </si>
  <si>
    <r>
      <t>'</t>
    </r>
    <r>
      <rPr>
        <sz val="8"/>
        <color rgb="FF000000"/>
        <rFont val="Tahoma"/>
        <family val="2"/>
      </rPr>
      <t>830</t>
    </r>
  </si>
  <si>
    <t>CÔNG TY CP TM THÀNH THÀNH PHÁT - CN ĐĂNG KIỂM VŨNG TÀU</t>
  </si>
  <si>
    <r>
      <t>'</t>
    </r>
    <r>
      <rPr>
        <sz val="8"/>
        <color rgb="FF000000"/>
        <rFont val="Tahoma"/>
        <family val="2"/>
      </rPr>
      <t>5200901466-005</t>
    </r>
  </si>
  <si>
    <r>
      <t>'</t>
    </r>
    <r>
      <rPr>
        <sz val="8"/>
        <color rgb="FF000000"/>
        <rFont val="Tahoma"/>
        <family val="2"/>
      </rPr>
      <t>408</t>
    </r>
  </si>
  <si>
    <t>Cty TNHH Vật Liệu Xây Dựng Và Trang Trí Nội Thất Việt Hưng Sài Gòn</t>
  </si>
  <si>
    <r>
      <t>'</t>
    </r>
    <r>
      <rPr>
        <sz val="8"/>
        <color rgb="FF000000"/>
        <rFont val="Tahoma"/>
        <family val="2"/>
      </rPr>
      <t>3502327276</t>
    </r>
  </si>
  <si>
    <r>
      <t>'</t>
    </r>
    <r>
      <rPr>
        <sz val="8"/>
        <color rgb="FF000000"/>
        <rFont val="Tahoma"/>
        <family val="2"/>
      </rPr>
      <t>1371</t>
    </r>
  </si>
  <si>
    <t>Công ty TNHH REE SE Thái Dương</t>
  </si>
  <si>
    <r>
      <t>'</t>
    </r>
    <r>
      <rPr>
        <sz val="8"/>
        <color rgb="FF000000"/>
        <rFont val="Tahoma"/>
        <family val="2"/>
      </rPr>
      <t>1315</t>
    </r>
  </si>
  <si>
    <t>Công ty TNHH REE SE Ánh Dương</t>
  </si>
  <si>
    <r>
      <t>'</t>
    </r>
    <r>
      <rPr>
        <sz val="8"/>
        <color rgb="FF000000"/>
        <rFont val="Tahoma"/>
        <family val="2"/>
      </rPr>
      <t>0316389713</t>
    </r>
  </si>
  <si>
    <t>Công ty TNHH Điện Mặt Trời Tân Bình</t>
  </si>
  <si>
    <r>
      <t>'</t>
    </r>
    <r>
      <rPr>
        <sz val="8"/>
        <color rgb="FF000000"/>
        <rFont val="Tahoma"/>
        <family val="2"/>
      </rPr>
      <t>0316426517</t>
    </r>
  </si>
  <si>
    <t>Công ty Cổ Phần Năng Lượng Mặt Trời REE</t>
  </si>
  <si>
    <t>Công ty Cổ phần Năng Lượng Mặt Trời REE</t>
  </si>
  <si>
    <t>Công Ty Cổ Phần Thương Mại Dịch Vụ Đầu Tư HTN</t>
  </si>
  <si>
    <r>
      <t>'</t>
    </r>
    <r>
      <rPr>
        <sz val="8"/>
        <color rgb="FF000000"/>
        <rFont val="Tahoma"/>
        <family val="2"/>
      </rPr>
      <t>0314578779</t>
    </r>
  </si>
  <si>
    <t>ĐIỆN MTMN T04-2026</t>
  </si>
  <si>
    <r>
      <t>'</t>
    </r>
    <r>
      <rPr>
        <sz val="8"/>
        <color rgb="FF000000"/>
        <rFont val="Tahoma"/>
        <family val="2"/>
      </rPr>
      <t>112</t>
    </r>
  </si>
  <si>
    <r>
      <t>'</t>
    </r>
    <r>
      <rPr>
        <sz val="8"/>
        <color rgb="FF000000"/>
        <rFont val="Tahoma"/>
        <family val="2"/>
      </rPr>
      <t>119</t>
    </r>
  </si>
  <si>
    <r>
      <t>'</t>
    </r>
    <r>
      <rPr>
        <sz val="8"/>
        <color rgb="FF000000"/>
        <rFont val="Tahoma"/>
        <family val="2"/>
      </rPr>
      <t>121</t>
    </r>
  </si>
  <si>
    <r>
      <t>'</t>
    </r>
    <r>
      <rPr>
        <sz val="8"/>
        <color rgb="FF000000"/>
        <rFont val="Tahoma"/>
        <family val="2"/>
      </rPr>
      <t>1418</t>
    </r>
  </si>
  <si>
    <r>
      <t>'</t>
    </r>
    <r>
      <rPr>
        <sz val="8"/>
        <color rgb="FF000000"/>
        <rFont val="Tahoma"/>
        <family val="2"/>
      </rPr>
      <t>3501533893</t>
    </r>
  </si>
  <si>
    <r>
      <t>'</t>
    </r>
    <r>
      <rPr>
        <sz val="8"/>
        <color rgb="FF000000"/>
        <rFont val="Tahoma"/>
        <family val="2"/>
      </rPr>
      <t>1702</t>
    </r>
  </si>
  <si>
    <r>
      <t>'</t>
    </r>
    <r>
      <rPr>
        <sz val="8"/>
        <color rgb="FF000000"/>
        <rFont val="Tahoma"/>
        <family val="2"/>
      </rPr>
      <t>211</t>
    </r>
  </si>
  <si>
    <r>
      <t>'</t>
    </r>
    <r>
      <rPr>
        <sz val="8"/>
        <color rgb="FF000000"/>
        <rFont val="Tahoma"/>
        <family val="2"/>
      </rPr>
      <t>2555</t>
    </r>
  </si>
  <si>
    <r>
      <t>'</t>
    </r>
    <r>
      <rPr>
        <sz val="8"/>
        <color rgb="FF000000"/>
        <rFont val="Tahoma"/>
        <family val="2"/>
      </rPr>
      <t>274</t>
    </r>
  </si>
  <si>
    <r>
      <t>'</t>
    </r>
    <r>
      <rPr>
        <sz val="8"/>
        <color rgb="FF000000"/>
        <rFont val="Tahoma"/>
        <family val="2"/>
      </rPr>
      <t>322</t>
    </r>
  </si>
  <si>
    <t>Công Ty TNHH Đầu Tư Minh Hùng Phát</t>
  </si>
  <si>
    <r>
      <t>'</t>
    </r>
    <r>
      <rPr>
        <sz val="8"/>
        <color rgb="FF000000"/>
        <rFont val="Tahoma"/>
        <family val="2"/>
      </rPr>
      <t>3502352522</t>
    </r>
  </si>
  <si>
    <r>
      <t>'</t>
    </r>
    <r>
      <rPr>
        <sz val="8"/>
        <color rgb="FF000000"/>
        <rFont val="Tahoma"/>
        <family val="2"/>
      </rPr>
      <t>338</t>
    </r>
  </si>
  <si>
    <r>
      <t>'</t>
    </r>
    <r>
      <rPr>
        <sz val="8"/>
        <color rgb="FF000000"/>
        <rFont val="Tahoma"/>
        <family val="2"/>
      </rPr>
      <t>466</t>
    </r>
  </si>
  <si>
    <r>
      <t>'</t>
    </r>
    <r>
      <rPr>
        <sz val="8"/>
        <color rgb="FF000000"/>
        <rFont val="Tahoma"/>
        <family val="2"/>
      </rPr>
      <t>0109297334</t>
    </r>
  </si>
  <si>
    <r>
      <t>'</t>
    </r>
    <r>
      <rPr>
        <sz val="8"/>
        <color rgb="FF000000"/>
        <rFont val="Tahoma"/>
        <family val="2"/>
      </rPr>
      <t>688</t>
    </r>
  </si>
  <si>
    <t>Công ty Cổ Phần LDT</t>
  </si>
  <si>
    <r>
      <t>'</t>
    </r>
    <r>
      <rPr>
        <sz val="8"/>
        <color rgb="FF000000"/>
        <rFont val="Tahoma"/>
        <family val="2"/>
      </rPr>
      <t>721</t>
    </r>
  </si>
  <si>
    <r>
      <t>'</t>
    </r>
    <r>
      <rPr>
        <sz val="8"/>
        <color rgb="FF000000"/>
        <rFont val="Tahoma"/>
        <family val="2"/>
      </rPr>
      <t>0109003922</t>
    </r>
  </si>
  <si>
    <r>
      <t>'</t>
    </r>
    <r>
      <rPr>
        <sz val="8"/>
        <color rgb="FF000000"/>
        <rFont val="Tahoma"/>
        <family val="2"/>
      </rPr>
      <t>0316518285</t>
    </r>
  </si>
  <si>
    <r>
      <t>'</t>
    </r>
    <r>
      <rPr>
        <sz val="8"/>
        <color rgb="FF000000"/>
        <rFont val="Tahoma"/>
        <family val="2"/>
      </rPr>
      <t>0316510342</t>
    </r>
  </si>
  <si>
    <r>
      <t>'</t>
    </r>
    <r>
      <rPr>
        <sz val="8"/>
        <color rgb="FF000000"/>
        <rFont val="Tahoma"/>
        <family val="2"/>
      </rPr>
      <t>0316504028</t>
    </r>
  </si>
  <si>
    <r>
      <t>'</t>
    </r>
    <r>
      <rPr>
        <sz val="8"/>
        <color rgb="FF000000"/>
        <rFont val="Tahoma"/>
        <family val="2"/>
      </rPr>
      <t>0109204788</t>
    </r>
  </si>
  <si>
    <r>
      <t>'</t>
    </r>
    <r>
      <rPr>
        <sz val="8"/>
        <color rgb="FF000000"/>
        <rFont val="Tahoma"/>
        <family val="2"/>
      </rPr>
      <t>113</t>
    </r>
  </si>
  <si>
    <r>
      <t>'</t>
    </r>
    <r>
      <rPr>
        <sz val="8"/>
        <color rgb="FF000000"/>
        <rFont val="Tahoma"/>
        <family val="2"/>
      </rPr>
      <t>114</t>
    </r>
  </si>
  <si>
    <r>
      <t>'</t>
    </r>
    <r>
      <rPr>
        <sz val="8"/>
        <color rgb="FF000000"/>
        <rFont val="Tahoma"/>
        <family val="2"/>
      </rPr>
      <t>0109204749</t>
    </r>
  </si>
  <si>
    <r>
      <t>'</t>
    </r>
    <r>
      <rPr>
        <sz val="8"/>
        <color rgb="FF000000"/>
        <rFont val="Tahoma"/>
        <family val="2"/>
      </rPr>
      <t>1279</t>
    </r>
  </si>
  <si>
    <r>
      <t>'</t>
    </r>
    <r>
      <rPr>
        <sz val="8"/>
        <color rgb="FF000000"/>
        <rFont val="Tahoma"/>
        <family val="2"/>
      </rPr>
      <t>131</t>
    </r>
  </si>
  <si>
    <r>
      <t>'</t>
    </r>
    <r>
      <rPr>
        <sz val="8"/>
        <color rgb="FF000000"/>
        <rFont val="Tahoma"/>
        <family val="2"/>
      </rPr>
      <t>0312112291</t>
    </r>
  </si>
  <si>
    <r>
      <t>'</t>
    </r>
    <r>
      <rPr>
        <sz val="8"/>
        <color rgb="FF000000"/>
        <rFont val="Tahoma"/>
        <family val="2"/>
      </rPr>
      <t>0105283228</t>
    </r>
  </si>
  <si>
    <r>
      <t>'</t>
    </r>
    <r>
      <rPr>
        <sz val="8"/>
        <color rgb="FF000000"/>
        <rFont val="Tahoma"/>
        <family val="2"/>
      </rPr>
      <t>0109204756</t>
    </r>
  </si>
  <si>
    <r>
      <t>'</t>
    </r>
    <r>
      <rPr>
        <sz val="8"/>
        <color rgb="FF000000"/>
        <rFont val="Tahoma"/>
        <family val="2"/>
      </rPr>
      <t>150</t>
    </r>
  </si>
  <si>
    <r>
      <t>'</t>
    </r>
    <r>
      <rPr>
        <sz val="8"/>
        <color rgb="FF000000"/>
        <rFont val="Tahoma"/>
        <family val="2"/>
      </rPr>
      <t>3501530733</t>
    </r>
  </si>
  <si>
    <r>
      <t>'</t>
    </r>
    <r>
      <rPr>
        <sz val="8"/>
        <color rgb="FF000000"/>
        <rFont val="Tahoma"/>
        <family val="2"/>
      </rPr>
      <t>159</t>
    </r>
  </si>
  <si>
    <r>
      <t>'</t>
    </r>
    <r>
      <rPr>
        <sz val="8"/>
        <color rgb="FF000000"/>
        <rFont val="Tahoma"/>
        <family val="2"/>
      </rPr>
      <t>0109204770</t>
    </r>
  </si>
  <si>
    <r>
      <t>'</t>
    </r>
    <r>
      <rPr>
        <sz val="8"/>
        <color rgb="FF000000"/>
        <rFont val="Tahoma"/>
        <family val="2"/>
      </rPr>
      <t>1629</t>
    </r>
  </si>
  <si>
    <t>Công Ty TNHH Lẩu Cá Đuối Hoàng Minh</t>
  </si>
  <si>
    <r>
      <t>'</t>
    </r>
    <r>
      <rPr>
        <sz val="8"/>
        <color rgb="FF000000"/>
        <rFont val="Tahoma"/>
        <family val="2"/>
      </rPr>
      <t>3502344433</t>
    </r>
  </si>
  <si>
    <r>
      <t>'</t>
    </r>
    <r>
      <rPr>
        <sz val="8"/>
        <color rgb="FF000000"/>
        <rFont val="Tahoma"/>
        <family val="2"/>
      </rPr>
      <t>1630</t>
    </r>
  </si>
  <si>
    <r>
      <t>'</t>
    </r>
    <r>
      <rPr>
        <sz val="8"/>
        <color rgb="FF000000"/>
        <rFont val="Tahoma"/>
        <family val="2"/>
      </rPr>
      <t>1631</t>
    </r>
  </si>
  <si>
    <r>
      <t>'</t>
    </r>
    <r>
      <rPr>
        <sz val="8"/>
        <color rgb="FF000000"/>
        <rFont val="Tahoma"/>
        <family val="2"/>
      </rPr>
      <t>1632</t>
    </r>
  </si>
  <si>
    <r>
      <t>'</t>
    </r>
    <r>
      <rPr>
        <sz val="8"/>
        <color rgb="FF000000"/>
        <rFont val="Tahoma"/>
        <family val="2"/>
      </rPr>
      <t>188</t>
    </r>
  </si>
  <si>
    <r>
      <t>'</t>
    </r>
    <r>
      <rPr>
        <sz val="8"/>
        <color rgb="FF000000"/>
        <rFont val="Tahoma"/>
        <family val="2"/>
      </rPr>
      <t>200</t>
    </r>
  </si>
  <si>
    <r>
      <t>'</t>
    </r>
    <r>
      <rPr>
        <sz val="8"/>
        <color rgb="FF000000"/>
        <rFont val="Tahoma"/>
        <family val="2"/>
      </rPr>
      <t>220</t>
    </r>
  </si>
  <si>
    <r>
      <t>'</t>
    </r>
    <r>
      <rPr>
        <sz val="8"/>
        <color rgb="FF000000"/>
        <rFont val="Tahoma"/>
        <family val="2"/>
      </rPr>
      <t>3304</t>
    </r>
  </si>
  <si>
    <r>
      <t>'</t>
    </r>
    <r>
      <rPr>
        <sz val="8"/>
        <color rgb="FF000000"/>
        <rFont val="Tahoma"/>
        <family val="2"/>
      </rPr>
      <t>414</t>
    </r>
  </si>
  <si>
    <r>
      <t>'</t>
    </r>
    <r>
      <rPr>
        <sz val="8"/>
        <color rgb="FF000000"/>
        <rFont val="Tahoma"/>
        <family val="2"/>
      </rPr>
      <t>415</t>
    </r>
  </si>
  <si>
    <r>
      <t>'</t>
    </r>
    <r>
      <rPr>
        <sz val="8"/>
        <color rgb="FF000000"/>
        <rFont val="Tahoma"/>
        <family val="2"/>
      </rPr>
      <t>3502007678</t>
    </r>
  </si>
  <si>
    <r>
      <t>'</t>
    </r>
    <r>
      <rPr>
        <sz val="8"/>
        <color rgb="FF000000"/>
        <rFont val="Tahoma"/>
        <family val="2"/>
      </rPr>
      <t>416</t>
    </r>
  </si>
  <si>
    <r>
      <t>'</t>
    </r>
    <r>
      <rPr>
        <sz val="8"/>
        <color rgb="FF000000"/>
        <rFont val="Tahoma"/>
        <family val="2"/>
      </rPr>
      <t>3502439526</t>
    </r>
  </si>
  <si>
    <r>
      <t>'</t>
    </r>
    <r>
      <rPr>
        <sz val="8"/>
        <color rgb="FF000000"/>
        <rFont val="Tahoma"/>
        <family val="2"/>
      </rPr>
      <t>0316226652</t>
    </r>
  </si>
  <si>
    <r>
      <t>'</t>
    </r>
    <r>
      <rPr>
        <sz val="8"/>
        <color rgb="FF000000"/>
        <rFont val="Tahoma"/>
        <family val="2"/>
      </rPr>
      <t>3502439491</t>
    </r>
  </si>
  <si>
    <r>
      <t>'</t>
    </r>
    <r>
      <rPr>
        <sz val="8"/>
        <color rgb="FF000000"/>
        <rFont val="Tahoma"/>
        <family val="2"/>
      </rPr>
      <t>0314480043</t>
    </r>
  </si>
  <si>
    <r>
      <t>'</t>
    </r>
    <r>
      <rPr>
        <sz val="8"/>
        <color rgb="FF000000"/>
        <rFont val="Tahoma"/>
        <family val="2"/>
      </rPr>
      <t>3502429623</t>
    </r>
  </si>
  <si>
    <r>
      <t>'</t>
    </r>
    <r>
      <rPr>
        <sz val="8"/>
        <color rgb="FF000000"/>
        <rFont val="Tahoma"/>
        <family val="2"/>
      </rPr>
      <t>3502439533</t>
    </r>
  </si>
  <si>
    <r>
      <t>'</t>
    </r>
    <r>
      <rPr>
        <sz val="8"/>
        <color rgb="FF000000"/>
        <rFont val="Tahoma"/>
        <family val="2"/>
      </rPr>
      <t>3502439540</t>
    </r>
  </si>
  <si>
    <r>
      <t>'</t>
    </r>
    <r>
      <rPr>
        <sz val="8"/>
        <color rgb="FF000000"/>
        <rFont val="Tahoma"/>
        <family val="2"/>
      </rPr>
      <t>0316388999</t>
    </r>
  </si>
  <si>
    <r>
      <t>'</t>
    </r>
    <r>
      <rPr>
        <sz val="8"/>
        <color rgb="FF000000"/>
        <rFont val="Tahoma"/>
        <family val="2"/>
      </rPr>
      <t>0316384987</t>
    </r>
  </si>
  <si>
    <r>
      <t>'</t>
    </r>
    <r>
      <rPr>
        <sz val="8"/>
        <color rgb="FF000000"/>
        <rFont val="Tahoma"/>
        <family val="2"/>
      </rPr>
      <t>0315978794</t>
    </r>
  </si>
  <si>
    <r>
      <t>'</t>
    </r>
    <r>
      <rPr>
        <sz val="8"/>
        <color rgb="FF000000"/>
        <rFont val="Tahoma"/>
        <family val="2"/>
      </rPr>
      <t>0301417164</t>
    </r>
  </si>
  <si>
    <r>
      <t>'</t>
    </r>
    <r>
      <rPr>
        <sz val="8"/>
        <color rgb="FF000000"/>
        <rFont val="Tahoma"/>
        <family val="2"/>
      </rPr>
      <t>5385</t>
    </r>
  </si>
  <si>
    <r>
      <t>'</t>
    </r>
    <r>
      <rPr>
        <sz val="8"/>
        <color rgb="FF000000"/>
        <rFont val="Tahoma"/>
        <family val="2"/>
      </rPr>
      <t>3502353646</t>
    </r>
  </si>
  <si>
    <r>
      <t>'</t>
    </r>
    <r>
      <rPr>
        <sz val="8"/>
        <color rgb="FF000000"/>
        <rFont val="Tahoma"/>
        <family val="2"/>
      </rPr>
      <t>544</t>
    </r>
  </si>
  <si>
    <r>
      <t>'</t>
    </r>
    <r>
      <rPr>
        <sz val="8"/>
        <color rgb="FF000000"/>
        <rFont val="Tahoma"/>
        <family val="2"/>
      </rPr>
      <t>552</t>
    </r>
  </si>
  <si>
    <r>
      <t>'</t>
    </r>
    <r>
      <rPr>
        <sz val="8"/>
        <color rgb="FF000000"/>
        <rFont val="Tahoma"/>
        <family val="2"/>
      </rPr>
      <t>553</t>
    </r>
  </si>
  <si>
    <r>
      <t>'</t>
    </r>
    <r>
      <rPr>
        <sz val="8"/>
        <color rgb="FF000000"/>
        <rFont val="Tahoma"/>
        <family val="2"/>
      </rPr>
      <t>601</t>
    </r>
  </si>
  <si>
    <r>
      <t>'</t>
    </r>
    <r>
      <rPr>
        <sz val="8"/>
        <color rgb="FF000000"/>
        <rFont val="Tahoma"/>
        <family val="2"/>
      </rPr>
      <t>0303019560</t>
    </r>
  </si>
  <si>
    <t>C26TNH</t>
  </si>
  <si>
    <r>
      <t>'</t>
    </r>
    <r>
      <rPr>
        <sz val="8"/>
        <color rgb="FF000000"/>
        <rFont val="Tahoma"/>
        <family val="2"/>
      </rPr>
      <t>75</t>
    </r>
  </si>
  <si>
    <t>CÔNG TY CỔ PHẦN NHẬT HÀO PHÚ MỸ</t>
  </si>
  <si>
    <r>
      <t>'</t>
    </r>
    <r>
      <rPr>
        <sz val="8"/>
        <color rgb="FF000000"/>
        <rFont val="Tahoma"/>
        <family val="2"/>
      </rPr>
      <t>3502281906</t>
    </r>
  </si>
  <si>
    <r>
      <t>'</t>
    </r>
    <r>
      <rPr>
        <sz val="8"/>
        <color rgb="FF000000"/>
        <rFont val="Tahoma"/>
        <family val="2"/>
      </rPr>
      <t>78</t>
    </r>
  </si>
  <si>
    <r>
      <t>'</t>
    </r>
    <r>
      <rPr>
        <sz val="8"/>
        <color rgb="FF000000"/>
        <rFont val="Tahoma"/>
        <family val="2"/>
      </rPr>
      <t>80</t>
    </r>
  </si>
  <si>
    <r>
      <t>'</t>
    </r>
    <r>
      <rPr>
        <sz val="8"/>
        <color rgb="FF000000"/>
        <rFont val="Tahoma"/>
        <family val="2"/>
      </rPr>
      <t>885</t>
    </r>
  </si>
  <si>
    <r>
      <t>'</t>
    </r>
    <r>
      <rPr>
        <sz val="8"/>
        <color rgb="FF000000"/>
        <rFont val="Tahoma"/>
        <family val="2"/>
      </rPr>
      <t>89</t>
    </r>
  </si>
  <si>
    <r>
      <t>'</t>
    </r>
    <r>
      <rPr>
        <sz val="8"/>
        <color rgb="FF000000"/>
        <rFont val="Tahoma"/>
        <family val="2"/>
      </rPr>
      <t>0108762162</t>
    </r>
  </si>
  <si>
    <r>
      <t>'</t>
    </r>
    <r>
      <rPr>
        <sz val="8"/>
        <color rgb="FF000000"/>
        <rFont val="Tahoma"/>
        <family val="2"/>
      </rPr>
      <t>0109255729</t>
    </r>
  </si>
  <si>
    <t>1C26MLR</t>
  </si>
  <si>
    <t>Công ty TNHH LAURA</t>
  </si>
  <si>
    <r>
      <t>'</t>
    </r>
    <r>
      <rPr>
        <sz val="8"/>
        <color rgb="FF000000"/>
        <rFont val="Tahoma"/>
        <family val="2"/>
      </rPr>
      <t>3502287136</t>
    </r>
  </si>
  <si>
    <r>
      <t>'</t>
    </r>
    <r>
      <rPr>
        <sz val="8"/>
        <color rgb="FF000000"/>
        <rFont val="Tahoma"/>
        <family val="2"/>
      </rPr>
      <t>3502309439</t>
    </r>
  </si>
  <si>
    <r>
      <t>'</t>
    </r>
    <r>
      <rPr>
        <sz val="8"/>
        <color rgb="FF000000"/>
        <rFont val="Tahoma"/>
        <family val="2"/>
      </rPr>
      <t>52</t>
    </r>
  </si>
  <si>
    <r>
      <t>'</t>
    </r>
    <r>
      <rPr>
        <sz val="8"/>
        <color rgb="FF000000"/>
        <rFont val="Tahoma"/>
        <family val="2"/>
      </rPr>
      <t>109</t>
    </r>
  </si>
  <si>
    <t>Công Ty TNHH Kính Thiên Phú</t>
  </si>
  <si>
    <r>
      <t>'</t>
    </r>
    <r>
      <rPr>
        <sz val="8"/>
        <color rgb="FF000000"/>
        <rFont val="Tahoma"/>
        <family val="2"/>
      </rPr>
      <t>110</t>
    </r>
  </si>
  <si>
    <r>
      <t>'</t>
    </r>
    <r>
      <rPr>
        <sz val="8"/>
        <color rgb="FF000000"/>
        <rFont val="Tahoma"/>
        <family val="2"/>
      </rPr>
      <t>3502309894</t>
    </r>
  </si>
  <si>
    <r>
      <t>'</t>
    </r>
    <r>
      <rPr>
        <sz val="8"/>
        <color rgb="FF000000"/>
        <rFont val="Tahoma"/>
        <family val="2"/>
      </rPr>
      <t>164</t>
    </r>
  </si>
  <si>
    <r>
      <t>'</t>
    </r>
    <r>
      <rPr>
        <sz val="8"/>
        <color rgb="FF000000"/>
        <rFont val="Tahoma"/>
        <family val="2"/>
      </rPr>
      <t>0109308963</t>
    </r>
  </si>
  <si>
    <r>
      <t>'</t>
    </r>
    <r>
      <rPr>
        <sz val="8"/>
        <color rgb="FF000000"/>
        <rFont val="Tahoma"/>
        <family val="2"/>
      </rPr>
      <t>227</t>
    </r>
  </si>
  <si>
    <r>
      <t>'</t>
    </r>
    <r>
      <rPr>
        <sz val="8"/>
        <color rgb="FF000000"/>
        <rFont val="Tahoma"/>
        <family val="2"/>
      </rPr>
      <t>228</t>
    </r>
  </si>
  <si>
    <r>
      <t>'</t>
    </r>
    <r>
      <rPr>
        <sz val="8"/>
        <color rgb="FF000000"/>
        <rFont val="Tahoma"/>
        <family val="2"/>
      </rPr>
      <t>0308925368</t>
    </r>
  </si>
  <si>
    <r>
      <t>'</t>
    </r>
    <r>
      <rPr>
        <sz val="8"/>
        <color rgb="FF000000"/>
        <rFont val="Tahoma"/>
        <family val="2"/>
      </rPr>
      <t>59</t>
    </r>
  </si>
  <si>
    <r>
      <t>'</t>
    </r>
    <r>
      <rPr>
        <sz val="8"/>
        <color rgb="FF000000"/>
        <rFont val="Tahoma"/>
        <family val="2"/>
      </rPr>
      <t>60</t>
    </r>
  </si>
  <si>
    <r>
      <t>'</t>
    </r>
    <r>
      <rPr>
        <sz val="8"/>
        <color rgb="FF000000"/>
        <rFont val="Tahoma"/>
        <family val="2"/>
      </rPr>
      <t>67</t>
    </r>
  </si>
  <si>
    <r>
      <t>'</t>
    </r>
    <r>
      <rPr>
        <sz val="8"/>
        <color rgb="FF000000"/>
        <rFont val="Tahoma"/>
        <family val="2"/>
      </rPr>
      <t>1810</t>
    </r>
  </si>
  <si>
    <t>Công Ty TNHH Nuôi Trồng Nấm Hòa Long</t>
  </si>
  <si>
    <r>
      <t>'</t>
    </r>
    <r>
      <rPr>
        <sz val="8"/>
        <color rgb="FF000000"/>
        <rFont val="Tahoma"/>
        <family val="2"/>
      </rPr>
      <t>459</t>
    </r>
  </si>
  <si>
    <r>
      <t>'</t>
    </r>
    <r>
      <rPr>
        <sz val="8"/>
        <color rgb="FF000000"/>
        <rFont val="Tahoma"/>
        <family val="2"/>
      </rPr>
      <t>336</t>
    </r>
  </si>
  <si>
    <t>Công ty TNHH Thương Mại Dịch Vụ Công Nghệ Thông Tin Đất Việt</t>
  </si>
  <si>
    <r>
      <t>'</t>
    </r>
    <r>
      <rPr>
        <sz val="8"/>
        <color rgb="FF000000"/>
        <rFont val="Tahoma"/>
        <family val="2"/>
      </rPr>
      <t>3501593821</t>
    </r>
  </si>
  <si>
    <r>
      <t>'</t>
    </r>
    <r>
      <rPr>
        <sz val="8"/>
        <color rgb="FF000000"/>
        <rFont val="Tahoma"/>
        <family val="2"/>
      </rPr>
      <t>450</t>
    </r>
  </si>
  <si>
    <r>
      <t>'</t>
    </r>
    <r>
      <rPr>
        <sz val="8"/>
        <color rgb="FF000000"/>
        <rFont val="Tahoma"/>
        <family val="2"/>
      </rPr>
      <t>72</t>
    </r>
  </si>
  <si>
    <r>
      <t>'</t>
    </r>
    <r>
      <rPr>
        <sz val="8"/>
        <color rgb="FF000000"/>
        <rFont val="Tahoma"/>
        <family val="2"/>
      </rPr>
      <t>176</t>
    </r>
  </si>
  <si>
    <t>Công ty TNHH Hoàng Tuấn</t>
  </si>
  <si>
    <r>
      <t>'</t>
    </r>
    <r>
      <rPr>
        <sz val="8"/>
        <color rgb="FF000000"/>
        <rFont val="Tahoma"/>
        <family val="2"/>
      </rPr>
      <t>3500590144</t>
    </r>
  </si>
  <si>
    <t>Cty TNHH Kiểm Toán Vũng Tàu</t>
  </si>
  <si>
    <r>
      <t>'</t>
    </r>
    <r>
      <rPr>
        <sz val="8"/>
        <color rgb="FF000000"/>
        <rFont val="Tahoma"/>
        <family val="2"/>
      </rPr>
      <t>3500770612</t>
    </r>
  </si>
  <si>
    <r>
      <t>'</t>
    </r>
    <r>
      <rPr>
        <sz val="8"/>
        <color rgb="FF000000"/>
        <rFont val="Tahoma"/>
        <family val="2"/>
      </rPr>
      <t>153</t>
    </r>
  </si>
  <si>
    <r>
      <t>'</t>
    </r>
    <r>
      <rPr>
        <sz val="8"/>
        <color rgb="FF000000"/>
        <rFont val="Tahoma"/>
        <family val="2"/>
      </rPr>
      <t>154</t>
    </r>
  </si>
  <si>
    <r>
      <t>'</t>
    </r>
    <r>
      <rPr>
        <sz val="8"/>
        <color rgb="FF000000"/>
        <rFont val="Tahoma"/>
        <family val="2"/>
      </rPr>
      <t>00000015</t>
    </r>
  </si>
  <si>
    <t>GL_0526Q06</t>
  </si>
  <si>
    <r>
      <t>'</t>
    </r>
    <r>
      <rPr>
        <sz val="8"/>
        <color rgb="FF000000"/>
        <rFont val="Tahoma"/>
        <family val="2"/>
      </rPr>
      <t>1386</t>
    </r>
  </si>
  <si>
    <r>
      <t>'</t>
    </r>
    <r>
      <rPr>
        <sz val="8"/>
        <color rgb="FF000000"/>
        <rFont val="Tahoma"/>
        <family val="2"/>
      </rPr>
      <t>00000016</t>
    </r>
  </si>
  <si>
    <r>
      <t>'</t>
    </r>
    <r>
      <rPr>
        <sz val="8"/>
        <color rgb="FF000000"/>
        <rFont val="Tahoma"/>
        <family val="2"/>
      </rPr>
      <t>00000017</t>
    </r>
  </si>
  <si>
    <r>
      <t>'</t>
    </r>
    <r>
      <rPr>
        <sz val="8"/>
        <color rgb="FF000000"/>
        <rFont val="Tahoma"/>
        <family val="2"/>
      </rPr>
      <t>2485</t>
    </r>
  </si>
  <si>
    <r>
      <t>'</t>
    </r>
    <r>
      <rPr>
        <sz val="8"/>
        <color rgb="FF000000"/>
        <rFont val="Tahoma"/>
        <family val="2"/>
      </rPr>
      <t>C0526C152</t>
    </r>
  </si>
  <si>
    <r>
      <t>'</t>
    </r>
    <r>
      <rPr>
        <sz val="8"/>
        <color rgb="FF000000"/>
        <rFont val="Tahoma"/>
        <family val="2"/>
      </rPr>
      <t>136</t>
    </r>
  </si>
  <si>
    <t>CÔNG TY TNHH TMDV PHÚC ĐẠT PHÚ MỸ</t>
  </si>
  <si>
    <r>
      <t>'</t>
    </r>
    <r>
      <rPr>
        <sz val="8"/>
        <color rgb="FF000000"/>
        <rFont val="Tahoma"/>
        <family val="2"/>
      </rPr>
      <t>C0526C153</t>
    </r>
  </si>
  <si>
    <t>CÔNG TY TNHH THE PASSION HOTEL APARTMENT</t>
  </si>
  <si>
    <r>
      <t>'</t>
    </r>
    <r>
      <rPr>
        <sz val="8"/>
        <color rgb="FF000000"/>
        <rFont val="Tahoma"/>
        <family val="2"/>
      </rPr>
      <t>0318660470</t>
    </r>
  </si>
  <si>
    <t>CP lưu trú</t>
  </si>
  <si>
    <r>
      <t>'</t>
    </r>
    <r>
      <rPr>
        <sz val="8"/>
        <color rgb="FF000000"/>
        <rFont val="Tahoma"/>
        <family val="2"/>
      </rPr>
      <t>C0526C154</t>
    </r>
  </si>
  <si>
    <r>
      <t>'</t>
    </r>
    <r>
      <rPr>
        <sz val="8"/>
        <color rgb="FF000000"/>
        <rFont val="Tahoma"/>
        <family val="2"/>
      </rPr>
      <t>C0526C155</t>
    </r>
  </si>
  <si>
    <t>CP lứu trú</t>
  </si>
  <si>
    <r>
      <t>'</t>
    </r>
    <r>
      <rPr>
        <sz val="8"/>
        <color rgb="FF000000"/>
        <rFont val="Tahoma"/>
        <family val="2"/>
      </rPr>
      <t>C0526C156</t>
    </r>
  </si>
  <si>
    <r>
      <t>'</t>
    </r>
    <r>
      <rPr>
        <sz val="8"/>
        <color rgb="FF000000"/>
        <rFont val="Tahoma"/>
        <family val="2"/>
      </rPr>
      <t>0246799</t>
    </r>
  </si>
  <si>
    <t>NGÂN HÀNG NÔNG NGHIỆP VÀ PHÁT TRIỂN NÔNG THÔN VIỆT NAM - CHI NHÁNH VŨNG TÀU</t>
  </si>
  <si>
    <t>phí QLTK AGR MTMN T05-26</t>
  </si>
  <si>
    <r>
      <t>'</t>
    </r>
    <r>
      <rPr>
        <sz val="8"/>
        <color rgb="FF000000"/>
        <rFont val="Tahoma"/>
        <family val="2"/>
      </rPr>
      <t>R0526AG028</t>
    </r>
  </si>
  <si>
    <r>
      <t>'</t>
    </r>
    <r>
      <rPr>
        <sz val="8"/>
        <color rgb="FF000000"/>
        <rFont val="Tahoma"/>
        <family val="2"/>
      </rPr>
      <t>00246799</t>
    </r>
  </si>
  <si>
    <t>PHÍ QLTK</t>
  </si>
  <si>
    <r>
      <t>'</t>
    </r>
    <r>
      <rPr>
        <sz val="8"/>
        <color rgb="FF000000"/>
        <rFont val="Tahoma"/>
        <family val="2"/>
      </rPr>
      <t>R0526NNT0337</t>
    </r>
  </si>
  <si>
    <t>Phí dịch vụ bảo vệ</t>
  </si>
  <si>
    <r>
      <t>'</t>
    </r>
    <r>
      <rPr>
        <sz val="8"/>
        <color rgb="FF000000"/>
        <rFont val="Tahoma"/>
        <family val="2"/>
      </rPr>
      <t>R0526SC0481</t>
    </r>
  </si>
  <si>
    <r>
      <t>'</t>
    </r>
    <r>
      <rPr>
        <sz val="8"/>
        <color rgb="FF000000"/>
        <rFont val="Tahoma"/>
        <family val="2"/>
      </rPr>
      <t>2531</t>
    </r>
  </si>
  <si>
    <t>teabreak hội nghị</t>
  </si>
  <si>
    <r>
      <t>'</t>
    </r>
    <r>
      <rPr>
        <sz val="8"/>
        <color rgb="FF000000"/>
        <rFont val="Tahoma"/>
        <family val="2"/>
      </rPr>
      <t>R0526SC0495</t>
    </r>
  </si>
  <si>
    <r>
      <t>'</t>
    </r>
    <r>
      <rPr>
        <sz val="8"/>
        <color rgb="FF000000"/>
        <rFont val="Tahoma"/>
        <family val="2"/>
      </rPr>
      <t>0142601</t>
    </r>
  </si>
  <si>
    <t>Ngân hàng TMCP Sài Gòn Thương Tín</t>
  </si>
  <si>
    <t>Phí QLTK</t>
  </si>
  <si>
    <r>
      <t>'</t>
    </r>
    <r>
      <rPr>
        <sz val="8"/>
        <color rgb="FF000000"/>
        <rFont val="Tahoma"/>
        <family val="2"/>
      </rPr>
      <t>R0526SC0560</t>
    </r>
  </si>
  <si>
    <r>
      <t>'</t>
    </r>
    <r>
      <rPr>
        <sz val="8"/>
        <color rgb="FF000000"/>
        <rFont val="Tahoma"/>
        <family val="2"/>
      </rPr>
      <t>0141324</t>
    </r>
  </si>
  <si>
    <t>Ngân hàng TMCP Sai Gon Thương Tín</t>
  </si>
  <si>
    <t>Phí ngân hàng T05/2026</t>
  </si>
  <si>
    <r>
      <t>'</t>
    </r>
    <r>
      <rPr>
        <sz val="8"/>
        <color rgb="FF000000"/>
        <rFont val="Tahoma"/>
        <family val="2"/>
      </rPr>
      <t>R0526SK0024</t>
    </r>
  </si>
  <si>
    <r>
      <t>'</t>
    </r>
    <r>
      <rPr>
        <sz val="8"/>
        <color rgb="FF000000"/>
        <rFont val="Tahoma"/>
        <family val="2"/>
      </rPr>
      <t>0141407</t>
    </r>
  </si>
  <si>
    <t>Ngân hàng TMCp Sai Gon Thương Tín</t>
  </si>
  <si>
    <r>
      <t>'</t>
    </r>
    <r>
      <rPr>
        <sz val="8"/>
        <color rgb="FF000000"/>
        <rFont val="Tahoma"/>
        <family val="2"/>
      </rPr>
      <t>0301109908-045</t>
    </r>
  </si>
  <si>
    <t>Phí NH tháng 05/2026</t>
  </si>
  <si>
    <r>
      <t>'</t>
    </r>
    <r>
      <rPr>
        <sz val="8"/>
        <color rgb="FF000000"/>
        <rFont val="Tahoma"/>
        <family val="2"/>
      </rPr>
      <t>R0526ST008</t>
    </r>
  </si>
  <si>
    <r>
      <t>'</t>
    </r>
    <r>
      <rPr>
        <sz val="8"/>
        <color rgb="FF000000"/>
        <rFont val="Tahoma"/>
        <family val="2"/>
      </rPr>
      <t>00013363</t>
    </r>
  </si>
  <si>
    <r>
      <t>'</t>
    </r>
    <r>
      <rPr>
        <sz val="8"/>
        <color rgb="FF000000"/>
        <rFont val="Tahoma"/>
        <family val="2"/>
      </rPr>
      <t>R0526ĐTT0300</t>
    </r>
  </si>
  <si>
    <r>
      <t>'</t>
    </r>
    <r>
      <rPr>
        <sz val="8"/>
        <color rgb="FF000000"/>
        <rFont val="Tahoma"/>
        <family val="2"/>
      </rPr>
      <t>00013831</t>
    </r>
  </si>
  <si>
    <t>PHÍ QUẢN LÝ TÀI KHOẢN+DUY TRÌ DỊCH VỤ</t>
  </si>
  <si>
    <r>
      <t>'</t>
    </r>
    <r>
      <rPr>
        <sz val="8"/>
        <color rgb="FF000000"/>
        <rFont val="Tahoma"/>
        <family val="2"/>
      </rPr>
      <t>R0526ĐTT0304</t>
    </r>
  </si>
  <si>
    <r>
      <t>'</t>
    </r>
    <r>
      <rPr>
        <sz val="8"/>
        <color rgb="FF000000"/>
        <rFont val="Tahoma"/>
        <family val="2"/>
      </rPr>
      <t>00014139</t>
    </r>
  </si>
  <si>
    <r>
      <t>'</t>
    </r>
    <r>
      <rPr>
        <sz val="8"/>
        <color rgb="FF000000"/>
        <rFont val="Tahoma"/>
        <family val="2"/>
      </rPr>
      <t>R0526ĐTT0316</t>
    </r>
  </si>
  <si>
    <r>
      <t>'</t>
    </r>
    <r>
      <rPr>
        <sz val="8"/>
        <color rgb="FF000000"/>
        <rFont val="Tahoma"/>
        <family val="2"/>
      </rPr>
      <t>00014216</t>
    </r>
  </si>
  <si>
    <r>
      <t>'</t>
    </r>
    <r>
      <rPr>
        <sz val="8"/>
        <color rgb="FF000000"/>
        <rFont val="Tahoma"/>
        <family val="2"/>
      </rPr>
      <t>R0526ĐTT0321</t>
    </r>
  </si>
  <si>
    <r>
      <t>'</t>
    </r>
    <r>
      <rPr>
        <sz val="8"/>
        <color rgb="FF000000"/>
        <rFont val="Tahoma"/>
        <family val="2"/>
      </rPr>
      <t>00014767</t>
    </r>
  </si>
  <si>
    <r>
      <t>'</t>
    </r>
    <r>
      <rPr>
        <sz val="8"/>
        <color rgb="FF000000"/>
        <rFont val="Tahoma"/>
        <family val="2"/>
      </rPr>
      <t>R0526ĐTT0345</t>
    </r>
  </si>
  <si>
    <r>
      <t>'</t>
    </r>
    <r>
      <rPr>
        <sz val="8"/>
        <color rgb="FF000000"/>
        <rFont val="Tahoma"/>
        <family val="2"/>
      </rPr>
      <t>00014920</t>
    </r>
  </si>
  <si>
    <r>
      <t>'</t>
    </r>
    <r>
      <rPr>
        <sz val="8"/>
        <color rgb="FF000000"/>
        <rFont val="Tahoma"/>
        <family val="2"/>
      </rPr>
      <t>R0526ĐTT0355</t>
    </r>
  </si>
  <si>
    <r>
      <t>'</t>
    </r>
    <r>
      <rPr>
        <sz val="9"/>
        <color rgb="FF000000"/>
        <rFont val="Times New Roman"/>
        <family val="1"/>
      </rPr>
      <t>R0526ĐTT0300</t>
    </r>
  </si>
  <si>
    <t>Chuyển trả phí chuyển tiền T05/2026 BIDV HĐS 00013363-07/05/2026</t>
  </si>
  <si>
    <r>
      <t>'</t>
    </r>
    <r>
      <rPr>
        <sz val="9"/>
        <color rgb="FF000000"/>
        <rFont val="Times New Roman"/>
        <family val="1"/>
      </rPr>
      <t>R0526SC0481</t>
    </r>
  </si>
  <si>
    <t>Chuyển TT tiền dịch vụ bảo vệ T4/26 cho CTy Chính Tín Nghĩa theo Hđơn 42-30/04/26</t>
  </si>
  <si>
    <r>
      <t>'</t>
    </r>
    <r>
      <rPr>
        <sz val="9"/>
        <color rgb="FF000000"/>
        <rFont val="Times New Roman"/>
        <family val="1"/>
      </rPr>
      <t>R0526ĐTT0304</t>
    </r>
  </si>
  <si>
    <t>Chuyển trả phí quản lý tài khoản T05/2026+duy trì dịch vụ T04/2026 BIDV HĐS 00013831-08/05/2026</t>
  </si>
  <si>
    <r>
      <t>'</t>
    </r>
    <r>
      <rPr>
        <sz val="9"/>
        <color rgb="FF000000"/>
        <rFont val="Times New Roman"/>
        <family val="1"/>
      </rPr>
      <t>R0526ĐTT0316</t>
    </r>
  </si>
  <si>
    <t>Chuyển trả phí chuyển tiền PCVT chuyển từ tk chuyên thu tiền điện sang tk thu chi SXK T03+04/2026 theo tờ trình số 28 TCKT ngày 12/05/2026 qua NH Đầu Tư</t>
  </si>
  <si>
    <r>
      <t>'</t>
    </r>
    <r>
      <rPr>
        <sz val="9"/>
        <color rgb="FF000000"/>
        <rFont val="Times New Roman"/>
        <family val="1"/>
      </rPr>
      <t>R0526SC0495</t>
    </r>
  </si>
  <si>
    <t>Thanh toán chi phí mua teabreak Hội nghị sơ kết công tác KD&amp;DVKh Q1-26 - Hóa đơn 8599/09.12.2025</t>
  </si>
  <si>
    <r>
      <t>'</t>
    </r>
    <r>
      <rPr>
        <sz val="9"/>
        <color rgb="FF000000"/>
        <rFont val="Times New Roman"/>
        <family val="1"/>
      </rPr>
      <t>R0526ĐTT0321</t>
    </r>
  </si>
  <si>
    <t>Chuyển trả phí chuyển tiền T05/2026 NH BIDV HĐS 00014216-15/05/2026</t>
  </si>
  <si>
    <r>
      <t>'</t>
    </r>
    <r>
      <rPr>
        <sz val="9"/>
        <color rgb="FF000000"/>
        <rFont val="Times New Roman"/>
        <family val="1"/>
      </rPr>
      <t>R0526AG028</t>
    </r>
  </si>
  <si>
    <t>Thanh toán phí QLTK AGR Điện MTMN T05-2026</t>
  </si>
  <si>
    <r>
      <t>'</t>
    </r>
    <r>
      <rPr>
        <sz val="9"/>
        <color rgb="FF000000"/>
        <rFont val="Times New Roman"/>
        <family val="1"/>
      </rPr>
      <t>R0526NNT0337</t>
    </r>
  </si>
  <si>
    <t>Chuyển trả phí quản lý tk T05/2026 NH Nông Nghiệp HĐS 00246799-23/05/2026</t>
  </si>
  <si>
    <r>
      <t>'</t>
    </r>
    <r>
      <rPr>
        <sz val="9"/>
        <color rgb="FF000000"/>
        <rFont val="Times New Roman"/>
        <family val="1"/>
      </rPr>
      <t>R0526ĐTT0345</t>
    </r>
  </si>
  <si>
    <t>Chuyển trả phí chuyển tiền T05/2026 BIDV HĐS 00014767 ngày 26/05/2026</t>
  </si>
  <si>
    <r>
      <t>'</t>
    </r>
    <r>
      <rPr>
        <sz val="9"/>
        <color rgb="FF000000"/>
        <rFont val="Times New Roman"/>
        <family val="1"/>
      </rPr>
      <t>C0526C152</t>
    </r>
  </si>
  <si>
    <t>Thanh toán tiền đặt ăn tiếp đoàn phóng viên EVNEIC đi truyền hình thực tế - Hóa đơn 2485/15.05.26</t>
  </si>
  <si>
    <r>
      <t>'</t>
    </r>
    <r>
      <rPr>
        <sz val="9"/>
        <color rgb="FF000000"/>
        <rFont val="Times New Roman"/>
        <family val="1"/>
      </rPr>
      <t>C0526C153</t>
    </r>
  </si>
  <si>
    <t>Thanh toán tiền mua ắc quy xe 72C-217.64 hóa đơn 136/20.05.26</t>
  </si>
  <si>
    <r>
      <t>'</t>
    </r>
    <r>
      <rPr>
        <sz val="9"/>
        <color rgb="FF000000"/>
        <rFont val="Times New Roman"/>
        <family val="1"/>
      </rPr>
      <t>C0526C154</t>
    </r>
  </si>
  <si>
    <t>Thanh toán chi phí lưu trú tham gia đào tạo "Biên tập dữ liệu lưới trên hệ thống GIS cho 05 PC thành lập mới" - Hóa đơn 84/31.01.26</t>
  </si>
  <si>
    <r>
      <t>'</t>
    </r>
    <r>
      <rPr>
        <sz val="9"/>
        <color rgb="FF000000"/>
        <rFont val="Times New Roman"/>
        <family val="1"/>
      </rPr>
      <t>C0526C155</t>
    </r>
  </si>
  <si>
    <t>Thanh toán chi phí lưu trú tham gia đào tạo "Biên tập dữ liệu lưới trên hệ thống GIS cho 05 PC thành lập mới" - Hóa đơn 82/31.01.26</t>
  </si>
  <si>
    <r>
      <t>'</t>
    </r>
    <r>
      <rPr>
        <sz val="9"/>
        <color rgb="FF000000"/>
        <rFont val="Times New Roman"/>
        <family val="1"/>
      </rPr>
      <t>C0526C156</t>
    </r>
  </si>
  <si>
    <t>Thanh toán chi phí lưu trú tham gia đào tạo "Biên tập dữ liệu lưới trên hệ thống GIS cho 05 PC thành lập mới" - Hóa đơn 83/31.01.26</t>
  </si>
  <si>
    <r>
      <t>'</t>
    </r>
    <r>
      <rPr>
        <sz val="9"/>
        <color rgb="FF000000"/>
        <rFont val="Times New Roman"/>
        <family val="1"/>
      </rPr>
      <t>R0526SC0560</t>
    </r>
  </si>
  <si>
    <t>Chuyển TT tiền phí quản lý TK Sacombank T5/26 TK050160456868</t>
  </si>
  <si>
    <r>
      <t>'</t>
    </r>
    <r>
      <rPr>
        <sz val="9"/>
        <color rgb="FF000000"/>
        <rFont val="Times New Roman"/>
        <family val="1"/>
      </rPr>
      <t>R0526SK0024</t>
    </r>
  </si>
  <si>
    <t>Phí QLTK 050160457979 tháng 05/2026 (HĐ 0141324 ngày 27/05/2026)</t>
  </si>
  <si>
    <r>
      <t>'</t>
    </r>
    <r>
      <rPr>
        <sz val="9"/>
        <color rgb="FF000000"/>
        <rFont val="Times New Roman"/>
        <family val="1"/>
      </rPr>
      <t>R0526SQ0082</t>
    </r>
  </si>
  <si>
    <t>Phí quản lý tk NHSacombank T05/2026 - 050160898989</t>
  </si>
  <si>
    <r>
      <t>'</t>
    </r>
    <r>
      <rPr>
        <sz val="9"/>
        <color rgb="FF000000"/>
        <rFont val="Times New Roman"/>
        <family val="1"/>
      </rPr>
      <t>R0526ST008</t>
    </r>
  </si>
  <si>
    <t>Phí QLTK 050160841009 tháng 05/2026 - HĐ 0141407 ngày 27/05/26</t>
  </si>
  <si>
    <r>
      <t>'</t>
    </r>
    <r>
      <rPr>
        <sz val="9"/>
        <color rgb="FF000000"/>
        <rFont val="Times New Roman"/>
        <family val="1"/>
      </rPr>
      <t>R0526ĐTT0355</t>
    </r>
  </si>
  <si>
    <t>Chuyển trả phí chuyển tiền T05/2026 BIDV HĐS 00014920-29/05/2026</t>
  </si>
  <si>
    <r>
      <t>'</t>
    </r>
    <r>
      <rPr>
        <sz val="9"/>
        <color rgb="FF000000"/>
        <rFont val="Times New Roman"/>
        <family val="1"/>
      </rPr>
      <t>1361</t>
    </r>
  </si>
  <si>
    <t>Thuế GTGT VTĐĐ- hđơn 709-19.05.26-TỔNG CÔNG TY ĐIỆN LỰC THÀNH PHỐ HỒ CHÍ MINH</t>
  </si>
  <si>
    <t>Thuế GTGT VTĐĐ- hđơn 679-13.05.26-TỔNG CÔNG TY ĐIỆN LỰC THÀNH PHỐ HỒ CHÍ MINH</t>
  </si>
  <si>
    <t>Thuế GTGT VTĐĐ- hđơn 708-19.05.26-TỔNG CÔNG TY ĐIỆN LỰC THÀNH PHỐ HỒ CHÍ MINH</t>
  </si>
  <si>
    <t>Thuế GTGT VTĐĐ- hđơn 710-19.05.26-TỔNG CÔNG TY ĐIỆN LỰC THÀNH PHỐ HỒ CHÍ MINH</t>
  </si>
  <si>
    <r>
      <t>'</t>
    </r>
    <r>
      <rPr>
        <sz val="9"/>
        <color rgb="FF000000"/>
        <rFont val="Times New Roman"/>
        <family val="1"/>
      </rPr>
      <t>1367</t>
    </r>
  </si>
  <si>
    <t>hóa đơn cước gửi hồ sơ Viettel T01-2026</t>
  </si>
  <si>
    <t>hóa đơn cước gửi hồ sơ Viettel T04-2026</t>
  </si>
  <si>
    <t>hóa đơn cước gửi hồ sơ Viettel T02-2026</t>
  </si>
  <si>
    <t>hóa đơn cước điện thoại VNPT T04-2026</t>
  </si>
  <si>
    <t>hóa đơn cước điện thoại VNPT T01-2026</t>
  </si>
  <si>
    <t>hóa đơn cước điện thoại Viettel T04-2026</t>
  </si>
  <si>
    <t>hóa đơn mực in</t>
  </si>
  <si>
    <t>hóa đơn thuê máy photo T04-26</t>
  </si>
  <si>
    <t>hđơn taxi</t>
  </si>
  <si>
    <t>hóa đơn kiểm định ATKT</t>
  </si>
  <si>
    <t>hóa đơn thuê xe hội nghị</t>
  </si>
  <si>
    <t>hóa đơn tiền DV Vệ sinh T4-26</t>
  </si>
  <si>
    <t>hóa đơn tiền DV bảo vệ T4-26</t>
  </si>
  <si>
    <t>hóa đơn nước sinh hoạt Cđảo</t>
  </si>
  <si>
    <t>hóa đơn ăn uống</t>
  </si>
  <si>
    <t>tiền nuosc sinh hoạt T05-26</t>
  </si>
  <si>
    <t>hóa đơn thẻ cào điện thoại CBNV T05-2026 </t>
  </si>
  <si>
    <t>hóa đơn vật tư SCTX</t>
  </si>
  <si>
    <t>hóa đơn thuê vận chuyển VTTB</t>
  </si>
  <si>
    <t>hóa đơn sửa máy lạnh Cđảo</t>
  </si>
  <si>
    <t>hóa đơn sửa chữa CS2</t>
  </si>
  <si>
    <t>hóa đơn lõi lọc nước</t>
  </si>
  <si>
    <t>hóa đơn sửa chữa VP CS1</t>
  </si>
  <si>
    <t>hóa đơn cước gửi hồ sơ Viettel T03-2026</t>
  </si>
  <si>
    <t>hóa đơn xăng dầu T04-2026</t>
  </si>
  <si>
    <t>hóa đơn điện T04-2026</t>
  </si>
  <si>
    <t>hóa đơn mua VPP</t>
  </si>
  <si>
    <t>hóa đơn thuê máy photo T05-26</t>
  </si>
  <si>
    <r>
      <t>'</t>
    </r>
    <r>
      <rPr>
        <sz val="9"/>
        <color rgb="FF000000"/>
        <rFont val="Times New Roman"/>
        <family val="1"/>
      </rPr>
      <t>1368</t>
    </r>
  </si>
  <si>
    <t>Giải trừ TK13895 T5/26 theo R0526SC0460-5/5/26 Cáp Muller Cty Dây Cáp Điện Việt Nam theo HĐơn 460-05/05/26</t>
  </si>
  <si>
    <t>Giải trừ TK13895 T5/26 theo R0526SC0527-19/05/26 cầu chì ống 24KV CTy CP Thiết Bị Điện Sài gòn theo HĐơn 349-30/03/26</t>
  </si>
  <si>
    <t>Giải trừ TK13895 T5/26 theo R0526SC0526-19/05/26 Cầu chí ống CTy Điện lực Chợ Lớn theo HĐơn 830-08/04/26</t>
  </si>
  <si>
    <t>Giải trừ TK13895 T5/26 theo R0526SC0526-19/05/26 Dao cách ly CTy Điện lực Chợ Lớn theo HĐơn 933-16/04/26</t>
  </si>
  <si>
    <t>Giải trừ TK13895 T5/26 theo R00526SC0552-26/05/26 Tấm Inox CTy Diệu Hiền theo HĐơn 139-06/04/26</t>
  </si>
  <si>
    <t>Giải trừ TK13895 T5/26 theo R0526SC0579-28/05/26 Ghế văn phòng CTy Deep Flowx theo HĐơn 561-19/05/26</t>
  </si>
  <si>
    <t>Giải trừ TK13895 T5/26 theo R0526SC0465-06/05/26 Thép không gỉ CTy Diệu Hiền theo Hđơn 90-07/03/26</t>
  </si>
  <si>
    <t>Giải trừ TK13895 T5/26 theo R0526SC0595-12/05/26 kẹp quai CTy Điện lực Sài Gòn theo HĐơn 777-12/05/26</t>
  </si>
  <si>
    <t>Giải trừ TK13895 T5/26 theo R0526SC0555-26/05/26 Máy lọc nước  CTy Tiến Thành Water theo HĐơn 221-13/05/26</t>
  </si>
  <si>
    <t>Giải trừ TK13895 T5/26 theo T0526SC0554-26/05/26 nắp chụp đầu cực CTy Diệu Hiền theo Hđơn 00000123-27/03/26</t>
  </si>
  <si>
    <t>Giải trừ TK13895 T5/26 theo R0526SC0553-26/05/26 máy tính xách tay CTy Khách Đế theo HĐơn 00000052-21/04/26</t>
  </si>
  <si>
    <t>Giải trừ TK13895 T5/26 theo R0526SC0480-08/05/26 Modem 3G/4G CTy CNTT Điện Lực TPHCM theo HĐơn 68-21/04/26</t>
  </si>
  <si>
    <t>Giải trừ TK13895 T5/26 theo R0526SC0696-29/04/26 Băng keo bán dẫn TT CTy Điện Lực Sài Gòn theo HĐơn 696-29/04/269</t>
  </si>
  <si>
    <r>
      <t>'</t>
    </r>
    <r>
      <rPr>
        <sz val="9"/>
        <color rgb="FF000000"/>
        <rFont val="Times New Roman"/>
        <family val="1"/>
      </rPr>
      <t>1370</t>
    </r>
  </si>
  <si>
    <t>hóa đơn bảo dưỡng ô tô</t>
  </si>
  <si>
    <t>hóa đơn thẻ cào điện thoại</t>
  </si>
  <si>
    <t>hóa đơn kiểm định ô tô</t>
  </si>
  <si>
    <t>hóa đơn phí đi lại ô tô CĐảo</t>
  </si>
  <si>
    <t>hóa đơn tea break T05-26</t>
  </si>
  <si>
    <t>hóa đơn kiểm định ATKT ô tô</t>
  </si>
  <si>
    <r>
      <t>'</t>
    </r>
    <r>
      <rPr>
        <sz val="9"/>
        <color rgb="FF000000"/>
        <rFont val="Times New Roman"/>
        <family val="1"/>
      </rPr>
      <t>1371</t>
    </r>
  </si>
  <si>
    <t>Thuế GTGT điện MTMN T04-2026</t>
  </si>
  <si>
    <r>
      <t>'</t>
    </r>
    <r>
      <rPr>
        <sz val="9"/>
        <color rgb="FF000000"/>
        <rFont val="Times New Roman"/>
        <family val="1"/>
      </rPr>
      <t>1386</t>
    </r>
  </si>
  <si>
    <t>Thuế GTGT phí chuyển tiền T05/2026 BIDV HĐS 00000015-31/05/2026</t>
  </si>
  <si>
    <t>Thuế GTGT phí chuyển tiền T05/2026 BIDV HĐS 00000016-31/05/2026</t>
  </si>
  <si>
    <t>Thuế GTGT phí chuyển tiền T05/2026 BIDV HĐS 00000017-31/05/2026</t>
  </si>
  <si>
    <t>Kê khai VAT đầu vào tháng 5.26(XDCB) phí DVNH BIDV hóa đơn /29.05.26</t>
  </si>
  <si>
    <t>Kê khai VAT đầu vào tháng 5.26(XDCB) phí DVNH ACB hóa đơn 23620037/04.05.26</t>
  </si>
  <si>
    <t>Kê khai VAT đầu vào tháng 5.26(XDCB) phí DVNH BIDV hóa đơn 14855/28.05.26</t>
  </si>
  <si>
    <t>Kê khai VAT đầu vào tháng 5.26(XDCB) phí DVNH BIDV hóa đơn 14765/26.05.26</t>
  </si>
  <si>
    <t>Kê khai VAT đầu vào tháng 5.26(XDCB) phí DVNH BIDV hóa đơn 14549/22.05.26</t>
  </si>
  <si>
    <t>Kê khai VAT đầu vào tháng 5.26(XDCB) phí DVNH BIDV hóa đơn 14137/14.05.26</t>
  </si>
  <si>
    <t>Kê khai VAT đầu vào tháng 5.26(XDCB) phí DVNH BIDV hóa đơn 13830/08.05.26</t>
  </si>
  <si>
    <t>Thuế GTGT VTĐĐ- hđơn 666-11.05.26-TỔNG CÔNG TY ĐIỆN LỰC THÀNH PHỐ HỒ CHÍ MINH</t>
  </si>
  <si>
    <t>Thuế GTGT VTĐĐ- hđơn 752-25.05.26-TỔNG CÔNG TY ĐIỆN LỰC THÀNH PHỐ HỒ CHÍ MINH</t>
  </si>
  <si>
    <t>Thuế GTGT VTĐĐ- hđơn 762-26.05.26-TỔNG CÔNG TY ĐIỆN LỰC THÀNH PHỐ HỒ CHÍ MINH</t>
  </si>
  <si>
    <t>Thuế GTGT VTĐĐ- hđơn 780-27.05.26-TỔNG CÔNG TY ĐIỆN LỰC THÀNH PHỐ HỒ CHÍ MINH</t>
  </si>
  <si>
    <t>Thuế GTGT VTĐĐ- hđơn 760-26.05.26-TỔNG CÔNG TY ĐIỆN LỰC THÀNH PHỐ HỒ CHÍ MINH</t>
  </si>
  <si>
    <t>Thuế GTGT VTĐĐ- hđơn 761-26.05.26-TỔNG CÔNG TY ĐIỆN LỰC THÀNH PHỐ HỒ CHÍ MINH</t>
  </si>
  <si>
    <t>Thuế GTGT VTĐĐ- hđơn 681-13.05.26-TỔNG CÔNG TY ĐIỆN LỰC THÀNH PHỐ HỒ CHÍ MINH</t>
  </si>
  <si>
    <t>CT25018 - VAT hóa đơn 7021/25.12.25 cty TNĐLTPHCM Kê khai VAT đầu vào XDCB giải trừ TK 13895 tháng 5.2026</t>
  </si>
  <si>
    <t>CT25018 - VAT hóa đơn 7022/25.12.25 cty TNĐLTPHCM Kê khai VAT đầu vào XDCB giải trừ TK 13895 tháng 5.2026</t>
  </si>
  <si>
    <t>CT25018 - VAT hóa đơn 6403/04.12.25 cty TNĐLTPHCM Kê khai VAT đầu vào XDCB giải trừ TK 13895 tháng 5.2026</t>
  </si>
  <si>
    <t>CT25018 - VAT hóa đơn 5250/14.10.25 cty TNĐLTPHCM Kê khai VAT đầu vào XDCB giải trừ TK 13895 tháng 5.2026</t>
  </si>
  <si>
    <t>CT25018 - VAT hóa đơn 7308/31.12.25 cty TNĐLTPHCM Kê khai VAT đầu vào XDCB giải trừ TK 13895 tháng 5.2026</t>
  </si>
  <si>
    <t>CT25018 - VAT hóa đơn 7020/25.12.25 cty TNĐLTPHCM Kê khai VAT đầu vào XDCB giải trừ TK 13895 tháng 5.2026</t>
  </si>
  <si>
    <t>Kê khai thuế GTGT hóa đơn 367 /04.05.26- Cty kiểm toán Việt Úc</t>
  </si>
  <si>
    <t>Kê khai thuế GTGT hóa đơn 124 /08.08.26- Cty tư vấn điện miền nam</t>
  </si>
  <si>
    <t>Kê khai thuế GTGT hóa đơn 71 /04.05.26- Cty kiểm toán PNT</t>
  </si>
  <si>
    <t>Kê khai thuế GTGT hóa đơn 208 /04.05.26- Cty kiểm toán ATAX</t>
  </si>
  <si>
    <t>Kê khai thuế GTGT hóa đơn 38 /22.04.26- Cty Tâm Tiến</t>
  </si>
  <si>
    <t>Kê khai thuế GTGT hóa đơn 160 /31.03.26- Cty kiểm toán ATAX</t>
  </si>
  <si>
    <t>Kê khai thuế GTGT hóa đơn 161 /31.03.26- Cty kiểm toán ATAX</t>
  </si>
  <si>
    <t>Kê khai thuế GTGT hóa đơn 162 /31.03.26- Cty kiểm toán ATAX</t>
  </si>
  <si>
    <t>Kê khai thuế GTGT hóa đơn 209 /04.05.26- Cty kiểm toán ATAX</t>
  </si>
  <si>
    <t>Kê khai thuế GTGT hóa đơn 01/ 02.02.26 -cty Hùng Phát Vũng Tàu</t>
  </si>
  <si>
    <t>Kê khai thuế GTGT tháng 5</t>
  </si>
  <si>
    <t>Kê khai thuế GTGT hóa đơn 20/ 22.05.26 -cty Sang Phương Nam</t>
  </si>
  <si>
    <t>Vũng Tàu, ngày 04 tháng 06  năm 2026</t>
  </si>
  <si>
    <t>01/05/2026</t>
  </si>
  <si>
    <t>02/05/2026</t>
  </si>
  <si>
    <t>21/05/2026</t>
  </si>
  <si>
    <t>03/05/2026</t>
  </si>
  <si>
    <t>Nguyễn Xuân Quang</t>
  </si>
  <si>
    <t>GCS T5-2026</t>
  </si>
  <si>
    <t>GCS T4-2026 sang T5/26 HT</t>
  </si>
  <si>
    <t xml:space="preserve">Final to Post </t>
  </si>
  <si>
    <r>
      <t>'</t>
    </r>
    <r>
      <rPr>
        <sz val="9"/>
        <color rgb="FF000000"/>
        <rFont val="Times New Roman"/>
        <family val="1"/>
      </rPr>
      <t>1488</t>
    </r>
  </si>
  <si>
    <t>Kết chuyển Thuế GTGT tháng 5/2026</t>
  </si>
  <si>
    <r>
      <t>'</t>
    </r>
    <r>
      <rPr>
        <sz val="9"/>
        <color rgb="FF000000"/>
        <rFont val="Times New Roman"/>
        <family val="1"/>
      </rPr>
      <t>1492</t>
    </r>
  </si>
  <si>
    <t>Kết chuyển thuế GTGT từ 1331 về 3331 tháng 05/2026</t>
  </si>
  <si>
    <r>
      <t>'</t>
    </r>
    <r>
      <rPr>
        <sz val="8"/>
        <color rgb="FF000000"/>
        <rFont val="Tahoma"/>
        <family val="2"/>
      </rPr>
      <t>654</t>
    </r>
  </si>
  <si>
    <t>Điện mua nội bộ tháng 04/2026</t>
  </si>
  <si>
    <r>
      <t>'</t>
    </r>
    <r>
      <rPr>
        <sz val="8"/>
        <color rgb="FF000000"/>
        <rFont val="Tahoma"/>
        <family val="2"/>
      </rPr>
      <t>1391</t>
    </r>
  </si>
  <si>
    <r>
      <t>'</t>
    </r>
    <r>
      <rPr>
        <sz val="9"/>
        <color rgb="FF000000"/>
        <rFont val="Times New Roman"/>
        <family val="1"/>
      </rPr>
      <t>1391</t>
    </r>
  </si>
  <si>
    <t>Khai thuế GTGT T05.26 (HD654-06.05.26_điện mua NB Tcty)</t>
  </si>
  <si>
    <t>1K26TYY</t>
  </si>
  <si>
    <r>
      <t>'</t>
    </r>
    <r>
      <rPr>
        <sz val="8"/>
        <color rgb="FF000000"/>
        <rFont val="Tahoma"/>
        <family val="2"/>
      </rPr>
      <t>23620037</t>
    </r>
  </si>
  <si>
    <t>Ngân Hàng TMCP Á Châu</t>
  </si>
  <si>
    <r>
      <t>'</t>
    </r>
    <r>
      <rPr>
        <sz val="8"/>
        <color rgb="FF000000"/>
        <rFont val="Tahoma"/>
        <family val="2"/>
      </rPr>
      <t>0301452948</t>
    </r>
  </si>
  <si>
    <t>Phí dịch vụ ngân hàng</t>
  </si>
  <si>
    <r>
      <t>'</t>
    </r>
    <r>
      <rPr>
        <sz val="8"/>
        <color rgb="FF000000"/>
        <rFont val="Tahoma"/>
        <family val="2"/>
      </rPr>
      <t>1359</t>
    </r>
  </si>
  <si>
    <r>
      <t>'</t>
    </r>
    <r>
      <rPr>
        <sz val="8"/>
        <color rgb="FF000000"/>
        <rFont val="Tahoma"/>
        <family val="2"/>
      </rPr>
      <t>00013830</t>
    </r>
  </si>
  <si>
    <t>Ngân Hàng TMCP Đầu Tư và Phát Triển Việt Nam -Chi nhánh Bà Rịa Vũng Tàu</t>
  </si>
  <si>
    <t>Dịch vụ ngân hàng</t>
  </si>
  <si>
    <r>
      <t>'</t>
    </r>
    <r>
      <rPr>
        <sz val="8"/>
        <color rgb="FF000000"/>
        <rFont val="Tahoma"/>
        <family val="2"/>
      </rPr>
      <t>00014137</t>
    </r>
  </si>
  <si>
    <r>
      <t>'</t>
    </r>
    <r>
      <rPr>
        <sz val="8"/>
        <color rgb="FF000000"/>
        <rFont val="Tahoma"/>
        <family val="2"/>
      </rPr>
      <t>00014549</t>
    </r>
  </si>
  <si>
    <r>
      <t>'</t>
    </r>
    <r>
      <rPr>
        <sz val="8"/>
        <color rgb="FF000000"/>
        <rFont val="Tahoma"/>
        <family val="2"/>
      </rPr>
      <t>00014765</t>
    </r>
  </si>
  <si>
    <r>
      <t>'</t>
    </r>
    <r>
      <rPr>
        <sz val="8"/>
        <color rgb="FF000000"/>
        <rFont val="Tahoma"/>
        <family val="2"/>
      </rPr>
      <t>00014855</t>
    </r>
  </si>
  <si>
    <r>
      <t>'</t>
    </r>
    <r>
      <rPr>
        <sz val="8"/>
        <color rgb="FF000000"/>
        <rFont val="Tahoma"/>
        <family val="2"/>
      </rPr>
      <t>00014919</t>
    </r>
  </si>
  <si>
    <t>Thuế GTGT VTĐĐ- hđơn 666-11.05.26</t>
  </si>
  <si>
    <r>
      <t>'</t>
    </r>
    <r>
      <rPr>
        <sz val="8"/>
        <color rgb="FF000000"/>
        <rFont val="Tahoma"/>
        <family val="2"/>
      </rPr>
      <t>681</t>
    </r>
  </si>
  <si>
    <t>Thuế GTGT VTĐĐ- hđơn 681-13.05.26</t>
  </si>
  <si>
    <r>
      <t>'</t>
    </r>
    <r>
      <rPr>
        <sz val="8"/>
        <color rgb="FF000000"/>
        <rFont val="Tahoma"/>
        <family val="2"/>
      </rPr>
      <t>752</t>
    </r>
  </si>
  <si>
    <t>Thuế GTGT VTĐĐ- hđơn 752-25.05.26</t>
  </si>
  <si>
    <r>
      <t>'</t>
    </r>
    <r>
      <rPr>
        <sz val="8"/>
        <color rgb="FF000000"/>
        <rFont val="Tahoma"/>
        <family val="2"/>
      </rPr>
      <t>760</t>
    </r>
  </si>
  <si>
    <t>Thuế GTGT VTĐĐ- hđơn 760-26.05.26</t>
  </si>
  <si>
    <r>
      <t>'</t>
    </r>
    <r>
      <rPr>
        <sz val="8"/>
        <color rgb="FF000000"/>
        <rFont val="Tahoma"/>
        <family val="2"/>
      </rPr>
      <t>761</t>
    </r>
  </si>
  <si>
    <t>Thuế GTGT VTĐĐ- hđơn 761-26.05.26</t>
  </si>
  <si>
    <r>
      <t>'</t>
    </r>
    <r>
      <rPr>
        <sz val="8"/>
        <color rgb="FF000000"/>
        <rFont val="Tahoma"/>
        <family val="2"/>
      </rPr>
      <t>762</t>
    </r>
  </si>
  <si>
    <t>Thuế GTGT VTĐĐ- hđơn 762-26.05.26</t>
  </si>
  <si>
    <r>
      <t>'</t>
    </r>
    <r>
      <rPr>
        <sz val="8"/>
        <color rgb="FF000000"/>
        <rFont val="Tahoma"/>
        <family val="2"/>
      </rPr>
      <t>780</t>
    </r>
  </si>
  <si>
    <t>Thuế GTGT VTĐĐ- hđơn 780-27.05.26</t>
  </si>
  <si>
    <t>1K25TAV</t>
  </si>
  <si>
    <r>
      <t>'</t>
    </r>
    <r>
      <rPr>
        <sz val="8"/>
        <color rgb="FF000000"/>
        <rFont val="Tahoma"/>
        <family val="2"/>
      </rPr>
      <t>5250</t>
    </r>
  </si>
  <si>
    <t>Chi nhánh Tổng Công Ty Điện Lực TP Hồ Chí Minh TNHH - Công Ty Thí Nghiệm Điện Lực TP Hồ Chí Minh</t>
  </si>
  <si>
    <r>
      <t>'</t>
    </r>
    <r>
      <rPr>
        <sz val="8"/>
        <color rgb="FF000000"/>
        <rFont val="Tahoma"/>
        <family val="2"/>
      </rPr>
      <t>0300951119-018</t>
    </r>
  </si>
  <si>
    <t>Chi phí thủ nghiệm VTTB</t>
  </si>
  <si>
    <r>
      <t>'</t>
    </r>
    <r>
      <rPr>
        <sz val="8"/>
        <color rgb="FF000000"/>
        <rFont val="Tahoma"/>
        <family val="2"/>
      </rPr>
      <t>1365</t>
    </r>
  </si>
  <si>
    <r>
      <t>'</t>
    </r>
    <r>
      <rPr>
        <sz val="8"/>
        <color rgb="FF000000"/>
        <rFont val="Tahoma"/>
        <family val="2"/>
      </rPr>
      <t>6403</t>
    </r>
  </si>
  <si>
    <r>
      <t>'</t>
    </r>
    <r>
      <rPr>
        <sz val="8"/>
        <color rgb="FF000000"/>
        <rFont val="Tahoma"/>
        <family val="2"/>
      </rPr>
      <t>7020</t>
    </r>
  </si>
  <si>
    <r>
      <t>'</t>
    </r>
    <r>
      <rPr>
        <sz val="8"/>
        <color rgb="FF000000"/>
        <rFont val="Tahoma"/>
        <family val="2"/>
      </rPr>
      <t>7021</t>
    </r>
  </si>
  <si>
    <r>
      <t>'</t>
    </r>
    <r>
      <rPr>
        <sz val="8"/>
        <color rgb="FF000000"/>
        <rFont val="Tahoma"/>
        <family val="2"/>
      </rPr>
      <t>7022</t>
    </r>
  </si>
  <si>
    <r>
      <t>'</t>
    </r>
    <r>
      <rPr>
        <sz val="8"/>
        <color rgb="FF000000"/>
        <rFont val="Tahoma"/>
        <family val="2"/>
      </rPr>
      <t>7308</t>
    </r>
  </si>
  <si>
    <t>1C26TAX</t>
  </si>
  <si>
    <r>
      <t>'</t>
    </r>
    <r>
      <rPr>
        <sz val="8"/>
        <color rgb="FF000000"/>
        <rFont val="Tahoma"/>
        <family val="2"/>
      </rPr>
      <t>208</t>
    </r>
  </si>
  <si>
    <t>Công ty TNHH kiểm toán và tư vấn thuế ATAX</t>
  </si>
  <si>
    <r>
      <t>'</t>
    </r>
    <r>
      <rPr>
        <sz val="8"/>
        <color rgb="FF000000"/>
        <rFont val="Tahoma"/>
        <family val="2"/>
      </rPr>
      <t>0400544325</t>
    </r>
  </si>
  <si>
    <t>Chi phí kiểm toán</t>
  </si>
  <si>
    <r>
      <t>'</t>
    </r>
    <r>
      <rPr>
        <sz val="8"/>
        <color rgb="FF000000"/>
        <rFont val="Tahoma"/>
        <family val="2"/>
      </rPr>
      <t>1369</t>
    </r>
  </si>
  <si>
    <r>
      <t>'</t>
    </r>
    <r>
      <rPr>
        <sz val="8"/>
        <color rgb="FF000000"/>
        <rFont val="Tahoma"/>
        <family val="2"/>
      </rPr>
      <t>209</t>
    </r>
  </si>
  <si>
    <t>1C26TVU</t>
  </si>
  <si>
    <r>
      <t>'</t>
    </r>
    <r>
      <rPr>
        <sz val="8"/>
        <color rgb="FF000000"/>
        <rFont val="Tahoma"/>
        <family val="2"/>
      </rPr>
      <t>367</t>
    </r>
  </si>
  <si>
    <t>Công ty TNHH kiểm toán Việt Úc</t>
  </si>
  <si>
    <r>
      <t>'</t>
    </r>
    <r>
      <rPr>
        <sz val="8"/>
        <color rgb="FF000000"/>
        <rFont val="Tahoma"/>
        <family val="2"/>
      </rPr>
      <t>0305277616</t>
    </r>
  </si>
  <si>
    <r>
      <t>'</t>
    </r>
    <r>
      <rPr>
        <sz val="8"/>
        <color rgb="FF000000"/>
        <rFont val="Tahoma"/>
        <family val="2"/>
      </rPr>
      <t>71</t>
    </r>
  </si>
  <si>
    <t>Công ty TNHH kiểm toán quốc tế PNT</t>
  </si>
  <si>
    <r>
      <t>'</t>
    </r>
    <r>
      <rPr>
        <sz val="8"/>
        <color rgb="FF000000"/>
        <rFont val="Tahoma"/>
        <family val="2"/>
      </rPr>
      <t>0102133859</t>
    </r>
  </si>
  <si>
    <t>1K26TAM</t>
  </si>
  <si>
    <r>
      <t>'</t>
    </r>
    <r>
      <rPr>
        <sz val="8"/>
        <color rgb="FF000000"/>
        <rFont val="Tahoma"/>
        <family val="2"/>
      </rPr>
      <t>124</t>
    </r>
  </si>
  <si>
    <t>Công ty tư vấn điện miền Nam - Chi nhánh Tổng công ty Điện lực miền Nam TNHH</t>
  </si>
  <si>
    <r>
      <t>'</t>
    </r>
    <r>
      <rPr>
        <sz val="8"/>
        <color rgb="FF000000"/>
        <rFont val="Tahoma"/>
        <family val="2"/>
      </rPr>
      <t>0300942001-047</t>
    </r>
  </si>
  <si>
    <t>Điều chỉnh giảm chi phí khảo sát</t>
  </si>
  <si>
    <t>Công ty TNHH Tâm Tiến</t>
  </si>
  <si>
    <r>
      <t>'</t>
    </r>
    <r>
      <rPr>
        <sz val="8"/>
        <color rgb="FF000000"/>
        <rFont val="Tahoma"/>
        <family val="2"/>
      </rPr>
      <t>3500746553</t>
    </r>
  </si>
  <si>
    <t>Chi phí xây lắp</t>
  </si>
  <si>
    <r>
      <t>'</t>
    </r>
    <r>
      <rPr>
        <sz val="8"/>
        <color rgb="FF000000"/>
        <rFont val="Tahoma"/>
        <family val="2"/>
      </rPr>
      <t>161</t>
    </r>
  </si>
  <si>
    <r>
      <t>'</t>
    </r>
    <r>
      <rPr>
        <sz val="8"/>
        <color rgb="FF000000"/>
        <rFont val="Tahoma"/>
        <family val="2"/>
      </rPr>
      <t>01</t>
    </r>
  </si>
  <si>
    <t>Công ty TNHH TMDV Hùng Phát Vũng Tàu</t>
  </si>
  <si>
    <r>
      <t>'</t>
    </r>
    <r>
      <rPr>
        <sz val="8"/>
        <color rgb="FF000000"/>
        <rFont val="Tahoma"/>
        <family val="2"/>
      </rPr>
      <t>3502462469</t>
    </r>
  </si>
  <si>
    <t>khối lượng xây lắp</t>
  </si>
  <si>
    <r>
      <t>'</t>
    </r>
    <r>
      <rPr>
        <sz val="8"/>
        <color rgb="FF000000"/>
        <rFont val="Tahoma"/>
        <family val="2"/>
      </rPr>
      <t>1373</t>
    </r>
  </si>
  <si>
    <t>Công ty cổ phần xây dựng thương mại Sang Phương Nam</t>
  </si>
  <si>
    <r>
      <t>'</t>
    </r>
    <r>
      <rPr>
        <sz val="8"/>
        <color rgb="FF000000"/>
        <rFont val="Tahoma"/>
        <family val="2"/>
      </rPr>
      <t>1801386854</t>
    </r>
  </si>
  <si>
    <r>
      <t>'</t>
    </r>
    <r>
      <rPr>
        <sz val="8"/>
        <color rgb="FF000000"/>
        <rFont val="Tahoma"/>
        <family val="2"/>
      </rPr>
      <t>0141090</t>
    </r>
  </si>
  <si>
    <t>NGAN HANG TMCP SAI GON THUONG TIN CNBRVT</t>
  </si>
  <si>
    <t>Phí qltk</t>
  </si>
  <si>
    <r>
      <t>'</t>
    </r>
    <r>
      <rPr>
        <sz val="8"/>
        <color rgb="FF000000"/>
        <rFont val="Tahoma"/>
        <family val="2"/>
      </rPr>
      <t>R0526SQ0082</t>
    </r>
  </si>
  <si>
    <t>Tổng doanh thu dịch vụ hàng hóa mua vào : 1343488164238</t>
  </si>
  <si>
    <t>Tổng thuế GTGT của dịch vụ hàng hóa mua vào : 107480736306</t>
  </si>
  <si>
    <t>Tài khoản: 13313 - Thuế GTGT được khấu trừ –Thuế GTGT được khấu trừ của hàng hoá, dịch vụ – Sản phẩm SX khác</t>
  </si>
  <si>
    <r>
      <t>'</t>
    </r>
    <r>
      <rPr>
        <sz val="9"/>
        <color rgb="FF000000"/>
        <rFont val="Times New Roman"/>
        <family val="1"/>
      </rPr>
      <t>1656</t>
    </r>
  </si>
  <si>
    <t>K/C Thuế GTGT VTTB ĐĐ ĐTXD T5/2026</t>
  </si>
  <si>
    <t xml:space="preserve">Unpost </t>
  </si>
  <si>
    <t>EVN_TA_030, người in: TUAN2HM.HCM.VTA, ngày in: 11/06/2026 11:11:09.</t>
  </si>
  <si>
    <t>Tài khoản: 13311 - Thuế GTGT được khấu trừ – Thuế GTGT được khấu trừ của hàng hoá, dịch vụ – Sản phẩm điện</t>
  </si>
  <si>
    <t>EVN_TA_030, người in: TUAN2HM.HCM.VTA, ngày in: 11/06/2026 11:25:29.</t>
  </si>
  <si>
    <r>
      <t>'</t>
    </r>
    <r>
      <rPr>
        <sz val="9"/>
        <color rgb="FF000000"/>
        <rFont val="Times New Roman"/>
        <family val="1"/>
      </rPr>
      <t>1655</t>
    </r>
  </si>
  <si>
    <t>Kết chuyển thuế GTGT CTĐTXD</t>
  </si>
  <si>
    <t>Điều chỉnh tk 33313 sang TK333111 _do htoan sai TK</t>
  </si>
  <si>
    <t>1388ĐĐ</t>
  </si>
  <si>
    <r>
      <t>'</t>
    </r>
    <r>
      <rPr>
        <sz val="9"/>
        <color rgb="FF000000"/>
        <rFont val="Times New Roman"/>
        <family val="1"/>
      </rPr>
      <t>1657</t>
    </r>
  </si>
  <si>
    <t>Đ/c Kết chuyển thuế GTGT từ 1331 về 3331 tháng 05/2026</t>
  </si>
  <si>
    <t>EVN_TA_030, người in: TUAN2HM.HCM.VTA, ngày in: 11/06/2026 16:34:30.</t>
  </si>
  <si>
    <t>EVN_TA_030, người in: TUAN2HM.HCM.VTA, ngày in: 11/06/2026 16:35:08.</t>
  </si>
  <si>
    <t>Hoạt động kinh doanh điện</t>
  </si>
  <si>
    <t>Điều động vật tư thiết bị</t>
  </si>
  <si>
    <t>Cho thuê trụ</t>
  </si>
  <si>
    <t>Tên hàng hóa, dịch vụ</t>
  </si>
  <si>
    <t>Giá trị hàng hóa, dịch vụ chưa có thuế GTGT</t>
  </si>
  <si>
    <t>Thuế GTGT của hàng hóa, dịch vụ bán ra được giảm</t>
  </si>
  <si>
    <t>Giá trị hàng hóa, dịch vụ mua vào chưa có thuế GTGT được khấu trừ trong kỳ</t>
  </si>
  <si>
    <t>Thuế GTGT của hàng hóa, dịch vụ mua vào được khấu trừ trong kỳ</t>
  </si>
  <si>
    <t>Hàng hóa dịnh vụ mua vào áp thuế suất 8%</t>
  </si>
  <si>
    <t>KC 13311-333111 (SXKD)</t>
  </si>
  <si>
    <t>KC 13313-333111 (XDCB)</t>
  </si>
  <si>
    <t>Số còn được KT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</si>
</sst>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;#,##0"/>
    <numFmt numFmtId="167" formatCode="_ * #,##0_ ;_ * \-#,##0_ ;_ * &quot;-&quot;??_ ;_ @_ "/>
  </numFmts>
  <fonts count="57" x14ac:knownFonts="1"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9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FFFFFF"/>
      <name val="Tahoma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8"/>
      <color rgb="FF000000"/>
      <name val="Times New Roman"/>
      <family val="1"/>
    </font>
    <font>
      <i/>
      <sz val="9"/>
      <color rgb="FF000000"/>
      <name val="Times New Roman"/>
      <family val="1"/>
    </font>
    <font>
      <sz val="9"/>
      <color rgb="FFFFFFFF"/>
      <name val="Times New Roman"/>
      <family val="1"/>
    </font>
    <font>
      <b/>
      <sz val="10"/>
      <color rgb="FF000000"/>
      <name val="Times New Roman"/>
      <family val="1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9"/>
      <color theme="1"/>
      <name val="Calibri"/>
      <family val="2"/>
      <scheme val="minor"/>
    </font>
    <font>
      <b/>
      <sz val="9"/>
      <name val="Times New Roman"/>
      <family val="1"/>
    </font>
    <font>
      <b/>
      <sz val="9"/>
      <color rgb="FFFF0000"/>
      <name val="Times New Roman"/>
      <family val="1"/>
    </font>
    <font>
      <sz val="12"/>
      <color rgb="FFFF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212121"/>
      <name val="Times New Roman"/>
      <family val="1"/>
    </font>
    <font>
      <sz val="11"/>
      <color rgb="FF212121"/>
      <name val="Times New Roman"/>
      <family val="1"/>
    </font>
    <font>
      <sz val="11"/>
      <color rgb="FF000000"/>
      <name val="Times New Roman"/>
      <family val="1"/>
    </font>
    <font>
      <b/>
      <sz val="8"/>
      <name val="Arial"/>
      <family val="2"/>
    </font>
    <font>
      <sz val="9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9" fillId="0" borderId="0" applyFont="0" applyFill="0" applyBorder="0" applyAlignment="0" applyProtection="0"/>
    <xf numFmtId="0" fontId="8" fillId="0" borderId="0"/>
    <xf numFmtId="0" fontId="24" fillId="0" borderId="0">
      <alignment vertical="top"/>
    </xf>
    <xf numFmtId="0" fontId="25" fillId="0" borderId="0"/>
    <xf numFmtId="164" fontId="25" fillId="0" borderId="0" applyFont="0" applyFill="0" applyBorder="0" applyAlignment="0" applyProtection="0"/>
    <xf numFmtId="0" fontId="7" fillId="0" borderId="0"/>
  </cellStyleXfs>
  <cellXfs count="422">
    <xf numFmtId="0" fontId="0" fillId="0" borderId="0" xfId="0"/>
    <xf numFmtId="165" fontId="0" fillId="0" borderId="0" xfId="1" applyNumberFormat="1" applyFont="1"/>
    <xf numFmtId="165" fontId="8" fillId="3" borderId="0" xfId="1" applyNumberFormat="1" applyFont="1" applyFill="1" applyAlignment="1"/>
    <xf numFmtId="165" fontId="0" fillId="3" borderId="0" xfId="1" applyNumberFormat="1" applyFont="1" applyFill="1"/>
    <xf numFmtId="165" fontId="0" fillId="10" borderId="0" xfId="1" applyNumberFormat="1" applyFont="1" applyFill="1"/>
    <xf numFmtId="0" fontId="25" fillId="0" borderId="0" xfId="4"/>
    <xf numFmtId="0" fontId="25" fillId="6" borderId="0" xfId="4" applyFill="1"/>
    <xf numFmtId="165" fontId="0" fillId="0" borderId="0" xfId="5" applyNumberFormat="1" applyFont="1"/>
    <xf numFmtId="165" fontId="0" fillId="3" borderId="0" xfId="5" applyNumberFormat="1" applyFont="1" applyFill="1"/>
    <xf numFmtId="165" fontId="0" fillId="9" borderId="0" xfId="5" applyNumberFormat="1" applyFont="1" applyFill="1"/>
    <xf numFmtId="0" fontId="25" fillId="3" borderId="0" xfId="4" applyFill="1"/>
    <xf numFmtId="165" fontId="0" fillId="12" borderId="0" xfId="1" applyNumberFormat="1" applyFont="1" applyFill="1"/>
    <xf numFmtId="0" fontId="25" fillId="4" borderId="0" xfId="4" applyFill="1"/>
    <xf numFmtId="165" fontId="6" fillId="3" borderId="0" xfId="1" applyNumberFormat="1" applyFont="1" applyFill="1" applyAlignment="1"/>
    <xf numFmtId="165" fontId="25" fillId="0" borderId="0" xfId="1" applyNumberFormat="1" applyFont="1"/>
    <xf numFmtId="165" fontId="8" fillId="0" borderId="0" xfId="1" applyNumberFormat="1" applyFont="1" applyAlignment="1"/>
    <xf numFmtId="165" fontId="25" fillId="3" borderId="0" xfId="1" applyNumberFormat="1" applyFont="1" applyFill="1"/>
    <xf numFmtId="165" fontId="25" fillId="0" borderId="0" xfId="4" applyNumberFormat="1"/>
    <xf numFmtId="164" fontId="25" fillId="0" borderId="0" xfId="4" applyNumberFormat="1"/>
    <xf numFmtId="0" fontId="10" fillId="2" borderId="2" xfId="0" applyFont="1" applyFill="1" applyBorder="1" applyAlignment="1">
      <alignment wrapText="1"/>
    </xf>
    <xf numFmtId="0" fontId="27" fillId="0" borderId="0" xfId="0" applyFont="1" applyAlignment="1">
      <alignment vertical="top"/>
    </xf>
    <xf numFmtId="3" fontId="27" fillId="0" borderId="0" xfId="1" applyNumberFormat="1" applyFont="1" applyAlignment="1">
      <alignment vertical="top"/>
    </xf>
    <xf numFmtId="3" fontId="27" fillId="0" borderId="0" xfId="0" applyNumberFormat="1" applyFont="1" applyAlignment="1">
      <alignment vertical="top"/>
    </xf>
    <xf numFmtId="3" fontId="27" fillId="0" borderId="0" xfId="1" applyNumberFormat="1" applyFont="1" applyAlignment="1">
      <alignment horizontal="left" vertical="top"/>
    </xf>
    <xf numFmtId="0" fontId="28" fillId="0" borderId="0" xfId="0" applyFont="1" applyAlignment="1">
      <alignment vertical="top" wrapText="1" readingOrder="1"/>
    </xf>
    <xf numFmtId="165" fontId="0" fillId="0" borderId="1" xfId="1" applyNumberFormat="1" applyFont="1" applyBorder="1"/>
    <xf numFmtId="0" fontId="0" fillId="0" borderId="1" xfId="0" applyBorder="1"/>
    <xf numFmtId="14" fontId="0" fillId="0" borderId="0" xfId="5" applyNumberFormat="1" applyFont="1"/>
    <xf numFmtId="14" fontId="0" fillId="3" borderId="0" xfId="5" applyNumberFormat="1" applyFont="1" applyFill="1"/>
    <xf numFmtId="0" fontId="27" fillId="0" borderId="0" xfId="0" applyFont="1" applyAlignment="1">
      <alignment horizontal="center" vertical="top"/>
    </xf>
    <xf numFmtId="3" fontId="27" fillId="0" borderId="0" xfId="1" applyNumberFormat="1" applyFont="1" applyAlignment="1">
      <alignment horizontal="right" vertical="top"/>
    </xf>
    <xf numFmtId="3" fontId="27" fillId="0" borderId="0" xfId="1" applyNumberFormat="1" applyFont="1" applyAlignment="1">
      <alignment horizontal="center" vertical="top"/>
    </xf>
    <xf numFmtId="3" fontId="27" fillId="0" borderId="0" xfId="0" applyNumberFormat="1" applyFont="1" applyAlignment="1">
      <alignment horizontal="center" vertical="top"/>
    </xf>
    <xf numFmtId="3" fontId="28" fillId="0" borderId="1" xfId="1" applyNumberFormat="1" applyFont="1" applyBorder="1" applyAlignment="1">
      <alignment horizontal="center" vertical="center"/>
    </xf>
    <xf numFmtId="3" fontId="28" fillId="0" borderId="0" xfId="1" applyNumberFormat="1" applyFont="1" applyAlignment="1">
      <alignment vertical="top"/>
    </xf>
    <xf numFmtId="0" fontId="0" fillId="0" borderId="0" xfId="0" applyAlignment="1">
      <alignment vertical="center"/>
    </xf>
    <xf numFmtId="14" fontId="10" fillId="2" borderId="2" xfId="0" applyNumberFormat="1" applyFont="1" applyFill="1" applyBorder="1" applyAlignment="1">
      <alignment horizontal="center" wrapText="1"/>
    </xf>
    <xf numFmtId="0" fontId="21" fillId="2" borderId="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wrapText="1"/>
    </xf>
    <xf numFmtId="165" fontId="0" fillId="0" borderId="0" xfId="0" applyNumberFormat="1"/>
    <xf numFmtId="43" fontId="25" fillId="0" borderId="0" xfId="4" applyNumberFormat="1"/>
    <xf numFmtId="0" fontId="8" fillId="0" borderId="0" xfId="2"/>
    <xf numFmtId="0" fontId="0" fillId="2" borderId="0" xfId="0" applyFill="1" applyAlignment="1">
      <alignment vertical="top"/>
    </xf>
    <xf numFmtId="0" fontId="26" fillId="0" borderId="0" xfId="2" applyFont="1"/>
    <xf numFmtId="0" fontId="0" fillId="3" borderId="0" xfId="0" applyFill="1"/>
    <xf numFmtId="0" fontId="0" fillId="3" borderId="0" xfId="0" applyFill="1" applyAlignment="1">
      <alignment vertical="center"/>
    </xf>
    <xf numFmtId="165" fontId="0" fillId="3" borderId="1" xfId="1" applyNumberFormat="1" applyFont="1" applyFill="1" applyBorder="1"/>
    <xf numFmtId="0" fontId="0" fillId="10" borderId="1" xfId="0" applyFill="1" applyBorder="1"/>
    <xf numFmtId="165" fontId="0" fillId="10" borderId="0" xfId="5" applyNumberFormat="1" applyFont="1" applyFill="1"/>
    <xf numFmtId="165" fontId="8" fillId="10" borderId="0" xfId="1" applyNumberFormat="1" applyFont="1" applyFill="1" applyAlignment="1"/>
    <xf numFmtId="0" fontId="2" fillId="0" borderId="0" xfId="2" applyFont="1"/>
    <xf numFmtId="0" fontId="11" fillId="2" borderId="4" xfId="0" applyFont="1" applyFill="1" applyBorder="1"/>
    <xf numFmtId="0" fontId="11" fillId="2" borderId="2" xfId="0" applyFont="1" applyFill="1" applyBorder="1"/>
    <xf numFmtId="0" fontId="10" fillId="2" borderId="2" xfId="0" applyFont="1" applyFill="1" applyBorder="1"/>
    <xf numFmtId="164" fontId="8" fillId="0" borderId="0" xfId="2" applyNumberFormat="1"/>
    <xf numFmtId="165" fontId="8" fillId="0" borderId="0" xfId="2" applyNumberFormat="1"/>
    <xf numFmtId="164" fontId="8" fillId="14" borderId="0" xfId="2" applyNumberFormat="1" applyFill="1"/>
    <xf numFmtId="165" fontId="26" fillId="0" borderId="0" xfId="1" applyNumberFormat="1" applyFont="1" applyAlignment="1"/>
    <xf numFmtId="0" fontId="3" fillId="0" borderId="0" xfId="2" applyFont="1"/>
    <xf numFmtId="0" fontId="19" fillId="0" borderId="0" xfId="0" applyFont="1"/>
    <xf numFmtId="0" fontId="8" fillId="4" borderId="0" xfId="2" applyFill="1" applyAlignment="1">
      <alignment vertical="top"/>
    </xf>
    <xf numFmtId="0" fontId="8" fillId="5" borderId="0" xfId="2" applyFill="1"/>
    <xf numFmtId="0" fontId="8" fillId="7" borderId="0" xfId="2" applyFill="1"/>
    <xf numFmtId="0" fontId="17" fillId="4" borderId="0" xfId="2" applyFont="1" applyFill="1"/>
    <xf numFmtId="0" fontId="8" fillId="4" borderId="0" xfId="2" applyFill="1"/>
    <xf numFmtId="0" fontId="8" fillId="0" borderId="0" xfId="2" quotePrefix="1"/>
    <xf numFmtId="165" fontId="8" fillId="5" borderId="0" xfId="2" applyNumberFormat="1" applyFill="1"/>
    <xf numFmtId="0" fontId="7" fillId="0" borderId="0" xfId="2" applyFont="1"/>
    <xf numFmtId="0" fontId="23" fillId="0" borderId="0" xfId="2" applyFont="1"/>
    <xf numFmtId="0" fontId="8" fillId="3" borderId="0" xfId="2" applyFill="1"/>
    <xf numFmtId="0" fontId="26" fillId="3" borderId="0" xfId="2" applyFont="1" applyFill="1"/>
    <xf numFmtId="0" fontId="4" fillId="3" borderId="0" xfId="2" applyFont="1" applyFill="1"/>
    <xf numFmtId="0" fontId="5" fillId="3" borderId="0" xfId="2" applyFont="1" applyFill="1"/>
    <xf numFmtId="0" fontId="10" fillId="2" borderId="0" xfId="0" applyFont="1" applyFill="1"/>
    <xf numFmtId="0" fontId="11" fillId="2" borderId="0" xfId="0" applyFont="1" applyFill="1"/>
    <xf numFmtId="0" fontId="15" fillId="2" borderId="1" xfId="0" applyFont="1" applyFill="1" applyBorder="1"/>
    <xf numFmtId="165" fontId="8" fillId="0" borderId="1" xfId="1" applyNumberFormat="1" applyFont="1" applyBorder="1" applyAlignment="1"/>
    <xf numFmtId="165" fontId="8" fillId="3" borderId="0" xfId="2" applyNumberFormat="1" applyFill="1"/>
    <xf numFmtId="165" fontId="8" fillId="4" borderId="0" xfId="2" applyNumberFormat="1" applyFill="1"/>
    <xf numFmtId="0" fontId="15" fillId="4" borderId="2" xfId="2" applyFont="1" applyFill="1" applyBorder="1" applyAlignment="1">
      <alignment horizontal="right"/>
    </xf>
    <xf numFmtId="0" fontId="11" fillId="4" borderId="0" xfId="0" applyFont="1" applyFill="1"/>
    <xf numFmtId="0" fontId="31" fillId="0" borderId="0" xfId="0" applyFont="1"/>
    <xf numFmtId="0" fontId="31" fillId="4" borderId="0" xfId="0" applyFont="1" applyFill="1"/>
    <xf numFmtId="0" fontId="32" fillId="3" borderId="0" xfId="6" applyFont="1" applyFill="1"/>
    <xf numFmtId="0" fontId="32" fillId="4" borderId="0" xfId="6" applyFont="1" applyFill="1"/>
    <xf numFmtId="0" fontId="32" fillId="0" borderId="0" xfId="6" applyFont="1"/>
    <xf numFmtId="0" fontId="31" fillId="2" borderId="0" xfId="0" applyFont="1" applyFill="1"/>
    <xf numFmtId="0" fontId="31" fillId="2" borderId="2" xfId="0" applyFont="1" applyFill="1" applyBorder="1"/>
    <xf numFmtId="3" fontId="32" fillId="0" borderId="0" xfId="6" applyNumberFormat="1" applyFont="1"/>
    <xf numFmtId="165" fontId="32" fillId="0" borderId="0" xfId="1" applyNumberFormat="1" applyFont="1" applyAlignment="1"/>
    <xf numFmtId="165" fontId="32" fillId="0" borderId="0" xfId="6" applyNumberFormat="1" applyFont="1"/>
    <xf numFmtId="0" fontId="33" fillId="0" borderId="0" xfId="6" applyFont="1"/>
    <xf numFmtId="0" fontId="32" fillId="0" borderId="1" xfId="6" applyFont="1" applyBorder="1"/>
    <xf numFmtId="0" fontId="31" fillId="0" borderId="1" xfId="0" applyFont="1" applyBorder="1"/>
    <xf numFmtId="165" fontId="32" fillId="0" borderId="1" xfId="1" applyNumberFormat="1" applyFont="1" applyBorder="1" applyAlignment="1"/>
    <xf numFmtId="165" fontId="32" fillId="3" borderId="1" xfId="6" applyNumberFormat="1" applyFont="1" applyFill="1" applyBorder="1"/>
    <xf numFmtId="165" fontId="32" fillId="4" borderId="1" xfId="6" applyNumberFormat="1" applyFont="1" applyFill="1" applyBorder="1"/>
    <xf numFmtId="165" fontId="32" fillId="17" borderId="1" xfId="6" applyNumberFormat="1" applyFont="1" applyFill="1" applyBorder="1"/>
    <xf numFmtId="165" fontId="34" fillId="0" borderId="0" xfId="1" applyNumberFormat="1" applyFont="1" applyAlignment="1"/>
    <xf numFmtId="0" fontId="32" fillId="11" borderId="0" xfId="2" applyFont="1" applyFill="1"/>
    <xf numFmtId="0" fontId="32" fillId="10" borderId="0" xfId="2" applyFont="1" applyFill="1"/>
    <xf numFmtId="0" fontId="32" fillId="0" borderId="0" xfId="2" applyFont="1"/>
    <xf numFmtId="0" fontId="11" fillId="2" borderId="7" xfId="0" applyFont="1" applyFill="1" applyBorder="1"/>
    <xf numFmtId="0" fontId="11" fillId="2" borderId="6" xfId="0" applyFont="1" applyFill="1" applyBorder="1"/>
    <xf numFmtId="0" fontId="33" fillId="0" borderId="0" xfId="2" applyFont="1"/>
    <xf numFmtId="0" fontId="11" fillId="2" borderId="15" xfId="0" applyFont="1" applyFill="1" applyBorder="1"/>
    <xf numFmtId="165" fontId="32" fillId="0" borderId="0" xfId="2" applyNumberFormat="1" applyFont="1"/>
    <xf numFmtId="165" fontId="10" fillId="9" borderId="0" xfId="0" applyNumberFormat="1" applyFont="1" applyFill="1"/>
    <xf numFmtId="0" fontId="32" fillId="10" borderId="0" xfId="2" applyFont="1" applyFill="1" applyAlignment="1">
      <alignment horizontal="right"/>
    </xf>
    <xf numFmtId="165" fontId="10" fillId="12" borderId="0" xfId="0" applyNumberFormat="1" applyFont="1" applyFill="1"/>
    <xf numFmtId="0" fontId="34" fillId="10" borderId="0" xfId="6" applyFont="1" applyFill="1"/>
    <xf numFmtId="165" fontId="34" fillId="3" borderId="0" xfId="1" applyNumberFormat="1" applyFont="1" applyFill="1" applyAlignment="1"/>
    <xf numFmtId="0" fontId="34" fillId="0" borderId="0" xfId="6" applyFont="1"/>
    <xf numFmtId="0" fontId="34" fillId="0" borderId="1" xfId="6" applyFont="1" applyBorder="1"/>
    <xf numFmtId="165" fontId="34" fillId="0" borderId="1" xfId="1" applyNumberFormat="1" applyFont="1" applyBorder="1" applyAlignment="1"/>
    <xf numFmtId="165" fontId="34" fillId="4" borderId="1" xfId="1" applyNumberFormat="1" applyFont="1" applyFill="1" applyBorder="1" applyAlignment="1"/>
    <xf numFmtId="165" fontId="34" fillId="3" borderId="1" xfId="1" applyNumberFormat="1" applyFont="1" applyFill="1" applyBorder="1" applyAlignment="1"/>
    <xf numFmtId="165" fontId="10" fillId="2" borderId="7" xfId="1" applyNumberFormat="1" applyFont="1" applyFill="1" applyBorder="1" applyAlignment="1">
      <alignment horizontal="right"/>
    </xf>
    <xf numFmtId="165" fontId="31" fillId="10" borderId="0" xfId="1" applyNumberFormat="1" applyFont="1" applyFill="1"/>
    <xf numFmtId="165" fontId="31" fillId="0" borderId="0" xfId="1" applyNumberFormat="1" applyFont="1"/>
    <xf numFmtId="0" fontId="31" fillId="0" borderId="0" xfId="1" applyNumberFormat="1" applyFont="1"/>
    <xf numFmtId="165" fontId="31" fillId="3" borderId="0" xfId="1" applyNumberFormat="1" applyFont="1" applyFill="1"/>
    <xf numFmtId="165" fontId="31" fillId="9" borderId="0" xfId="1" applyNumberFormat="1" applyFont="1" applyFill="1"/>
    <xf numFmtId="165" fontId="31" fillId="0" borderId="0" xfId="1" applyNumberFormat="1" applyFont="1" applyAlignment="1">
      <alignment horizontal="right"/>
    </xf>
    <xf numFmtId="165" fontId="31" fillId="0" borderId="0" xfId="5" applyNumberFormat="1" applyFont="1"/>
    <xf numFmtId="165" fontId="31" fillId="12" borderId="0" xfId="1" applyNumberFormat="1" applyFont="1" applyFill="1"/>
    <xf numFmtId="165" fontId="31" fillId="0" borderId="1" xfId="1" applyNumberFormat="1" applyFont="1" applyBorder="1"/>
    <xf numFmtId="165" fontId="33" fillId="14" borderId="1" xfId="1" applyNumberFormat="1" applyFont="1" applyFill="1" applyBorder="1" applyAlignment="1"/>
    <xf numFmtId="165" fontId="31" fillId="14" borderId="1" xfId="1" applyNumberFormat="1" applyFont="1" applyFill="1" applyBorder="1" applyAlignment="1"/>
    <xf numFmtId="165" fontId="31" fillId="0" borderId="1" xfId="1" applyNumberFormat="1" applyFont="1" applyFill="1" applyBorder="1"/>
    <xf numFmtId="165" fontId="31" fillId="11" borderId="0" xfId="1" applyNumberFormat="1" applyFont="1" applyFill="1"/>
    <xf numFmtId="165" fontId="35" fillId="0" borderId="0" xfId="1" applyNumberFormat="1" applyFont="1" applyAlignment="1">
      <alignment horizontal="right"/>
    </xf>
    <xf numFmtId="165" fontId="35" fillId="0" borderId="0" xfId="1" applyNumberFormat="1" applyFont="1"/>
    <xf numFmtId="164" fontId="31" fillId="0" borderId="0" xfId="1" applyFont="1"/>
    <xf numFmtId="165" fontId="31" fillId="16" borderId="0" xfId="1" applyNumberFormat="1" applyFont="1" applyFill="1"/>
    <xf numFmtId="165" fontId="33" fillId="0" borderId="0" xfId="1" applyNumberFormat="1" applyFont="1" applyBorder="1"/>
    <xf numFmtId="165" fontId="31" fillId="3" borderId="24" xfId="1" applyNumberFormat="1" applyFont="1" applyFill="1" applyBorder="1"/>
    <xf numFmtId="165" fontId="36" fillId="0" borderId="24" xfId="1" applyNumberFormat="1" applyFont="1" applyBorder="1"/>
    <xf numFmtId="165" fontId="35" fillId="0" borderId="24" xfId="1" applyNumberFormat="1" applyFont="1" applyBorder="1"/>
    <xf numFmtId="165" fontId="31" fillId="0" borderId="24" xfId="1" applyNumberFormat="1" applyFont="1" applyBorder="1"/>
    <xf numFmtId="165" fontId="31" fillId="0" borderId="0" xfId="1" applyNumberFormat="1" applyFont="1" applyBorder="1"/>
    <xf numFmtId="165" fontId="31" fillId="16" borderId="24" xfId="1" applyNumberFormat="1" applyFont="1" applyFill="1" applyBorder="1"/>
    <xf numFmtId="165" fontId="31" fillId="0" borderId="26" xfId="1" applyNumberFormat="1" applyFont="1" applyBorder="1"/>
    <xf numFmtId="165" fontId="31" fillId="0" borderId="25" xfId="1" applyNumberFormat="1" applyFont="1" applyBorder="1"/>
    <xf numFmtId="165" fontId="31" fillId="9" borderId="23" xfId="1" applyNumberFormat="1" applyFont="1" applyFill="1" applyBorder="1"/>
    <xf numFmtId="165" fontId="31" fillId="14" borderId="23" xfId="1" applyNumberFormat="1" applyFont="1" applyFill="1" applyBorder="1"/>
    <xf numFmtId="165" fontId="33" fillId="0" borderId="0" xfId="1" applyNumberFormat="1" applyFont="1"/>
    <xf numFmtId="165" fontId="31" fillId="15" borderId="0" xfId="1" applyNumberFormat="1" applyFont="1" applyFill="1"/>
    <xf numFmtId="165" fontId="11" fillId="2" borderId="0" xfId="0" applyNumberFormat="1" applyFont="1" applyFill="1"/>
    <xf numFmtId="165" fontId="31" fillId="3" borderId="1" xfId="1" applyNumberFormat="1" applyFont="1" applyFill="1" applyBorder="1"/>
    <xf numFmtId="165" fontId="35" fillId="0" borderId="1" xfId="1" applyNumberFormat="1" applyFont="1" applyFill="1" applyBorder="1"/>
    <xf numFmtId="165" fontId="0" fillId="4" borderId="0" xfId="1" applyNumberFormat="1" applyFont="1" applyFill="1"/>
    <xf numFmtId="165" fontId="0" fillId="12" borderId="0" xfId="5" applyNumberFormat="1" applyFont="1" applyFill="1"/>
    <xf numFmtId="165" fontId="1" fillId="3" borderId="0" xfId="1" applyNumberFormat="1" applyFont="1" applyFill="1" applyAlignment="1"/>
    <xf numFmtId="165" fontId="8" fillId="9" borderId="0" xfId="1" applyNumberFormat="1" applyFont="1" applyFill="1" applyAlignment="1"/>
    <xf numFmtId="165" fontId="37" fillId="0" borderId="0" xfId="1" applyNumberFormat="1" applyFont="1"/>
    <xf numFmtId="3" fontId="32" fillId="9" borderId="0" xfId="6" applyNumberFormat="1" applyFont="1" applyFill="1"/>
    <xf numFmtId="165" fontId="31" fillId="18" borderId="0" xfId="1" applyNumberFormat="1" applyFont="1" applyFill="1"/>
    <xf numFmtId="165" fontId="33" fillId="18" borderId="23" xfId="1" applyNumberFormat="1" applyFont="1" applyFill="1" applyBorder="1"/>
    <xf numFmtId="165" fontId="31" fillId="12" borderId="0" xfId="1" applyNumberFormat="1" applyFont="1" applyFill="1" applyAlignment="1">
      <alignment horizontal="right"/>
    </xf>
    <xf numFmtId="165" fontId="31" fillId="12" borderId="23" xfId="1" applyNumberFormat="1" applyFont="1" applyFill="1" applyBorder="1"/>
    <xf numFmtId="165" fontId="31" fillId="4" borderId="0" xfId="1" applyNumberFormat="1" applyFont="1" applyFill="1"/>
    <xf numFmtId="165" fontId="31" fillId="4" borderId="0" xfId="1" applyNumberFormat="1" applyFont="1" applyFill="1" applyBorder="1"/>
    <xf numFmtId="165" fontId="32" fillId="4" borderId="0" xfId="6" applyNumberFormat="1" applyFont="1" applyFill="1"/>
    <xf numFmtId="165" fontId="8" fillId="4" borderId="0" xfId="1" applyNumberFormat="1" applyFont="1" applyFill="1" applyAlignment="1"/>
    <xf numFmtId="165" fontId="31" fillId="0" borderId="0" xfId="1" applyNumberFormat="1" applyFont="1" applyAlignment="1">
      <alignment horizontal="center"/>
    </xf>
    <xf numFmtId="165" fontId="35" fillId="0" borderId="0" xfId="1" applyNumberFormat="1" applyFont="1" applyAlignment="1">
      <alignment horizontal="center"/>
    </xf>
    <xf numFmtId="0" fontId="22" fillId="2" borderId="0" xfId="0" applyFont="1" applyFill="1" applyAlignment="1">
      <alignment wrapText="1"/>
    </xf>
    <xf numFmtId="0" fontId="18" fillId="2" borderId="0" xfId="0" applyFont="1" applyFill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11" fillId="8" borderId="2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3" fontId="11" fillId="2" borderId="2" xfId="0" applyNumberFormat="1" applyFont="1" applyFill="1" applyBorder="1" applyAlignment="1">
      <alignment horizontal="right" wrapText="1"/>
    </xf>
    <xf numFmtId="0" fontId="0" fillId="2" borderId="2" xfId="0" applyFill="1" applyBorder="1" applyAlignment="1">
      <alignment wrapText="1"/>
    </xf>
    <xf numFmtId="3" fontId="10" fillId="2" borderId="2" xfId="0" applyNumberFormat="1" applyFont="1" applyFill="1" applyBorder="1" applyAlignment="1">
      <alignment horizontal="right" wrapText="1"/>
    </xf>
    <xf numFmtId="165" fontId="31" fillId="14" borderId="0" xfId="1" applyNumberFormat="1" applyFont="1" applyFill="1"/>
    <xf numFmtId="0" fontId="39" fillId="13" borderId="20" xfId="0" applyFont="1" applyFill="1" applyBorder="1" applyAlignment="1">
      <alignment horizontal="center" wrapText="1"/>
    </xf>
    <xf numFmtId="0" fontId="39" fillId="13" borderId="20" xfId="0" applyFont="1" applyFill="1" applyBorder="1" applyAlignment="1">
      <alignment horizontal="center" vertical="top" wrapText="1"/>
    </xf>
    <xf numFmtId="0" fontId="39" fillId="13" borderId="19" xfId="0" applyFont="1" applyFill="1" applyBorder="1" applyAlignment="1">
      <alignment horizontal="center" wrapText="1"/>
    </xf>
    <xf numFmtId="0" fontId="39" fillId="13" borderId="17" xfId="0" applyFont="1" applyFill="1" applyBorder="1" applyAlignment="1">
      <alignment horizontal="center" vertical="top" wrapText="1"/>
    </xf>
    <xf numFmtId="0" fontId="0" fillId="13" borderId="19" xfId="0" applyFill="1" applyBorder="1" applyAlignment="1">
      <alignment wrapText="1"/>
    </xf>
    <xf numFmtId="0" fontId="11" fillId="2" borderId="3" xfId="0" applyFont="1" applyFill="1" applyBorder="1" applyAlignment="1">
      <alignment horizontal="justify" wrapText="1"/>
    </xf>
    <xf numFmtId="0" fontId="0" fillId="2" borderId="3" xfId="0" applyFill="1" applyBorder="1" applyAlignment="1">
      <alignment wrapText="1"/>
    </xf>
    <xf numFmtId="3" fontId="11" fillId="2" borderId="3" xfId="0" applyNumberFormat="1" applyFont="1" applyFill="1" applyBorder="1" applyAlignment="1">
      <alignment wrapText="1"/>
    </xf>
    <xf numFmtId="0" fontId="0" fillId="2" borderId="3" xfId="0" applyFill="1" applyBorder="1" applyAlignment="1">
      <alignment vertical="top" wrapText="1"/>
    </xf>
    <xf numFmtId="0" fontId="10" fillId="2" borderId="7" xfId="0" applyFont="1" applyFill="1" applyBorder="1" applyAlignment="1">
      <alignment wrapText="1"/>
    </xf>
    <xf numFmtId="0" fontId="10" fillId="2" borderId="6" xfId="0" applyFont="1" applyFill="1" applyBorder="1" applyAlignment="1">
      <alignment wrapText="1"/>
    </xf>
    <xf numFmtId="0" fontId="0" fillId="2" borderId="0" xfId="0" applyFill="1" applyAlignment="1">
      <alignment vertical="top" wrapText="1"/>
    </xf>
    <xf numFmtId="0" fontId="20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center" wrapText="1"/>
    </xf>
    <xf numFmtId="0" fontId="13" fillId="2" borderId="2" xfId="0" applyFont="1" applyFill="1" applyBorder="1" applyAlignment="1">
      <alignment horizontal="center" wrapText="1"/>
    </xf>
    <xf numFmtId="0" fontId="15" fillId="2" borderId="2" xfId="0" applyFont="1" applyFill="1" applyBorder="1" applyAlignment="1">
      <alignment horizontal="center" wrapText="1"/>
    </xf>
    <xf numFmtId="14" fontId="15" fillId="2" borderId="2" xfId="0" applyNumberFormat="1" applyFont="1" applyFill="1" applyBorder="1" applyAlignment="1">
      <alignment horizontal="center" wrapText="1"/>
    </xf>
    <xf numFmtId="0" fontId="15" fillId="2" borderId="2" xfId="0" applyFont="1" applyFill="1" applyBorder="1" applyAlignment="1">
      <alignment wrapText="1"/>
    </xf>
    <xf numFmtId="165" fontId="0" fillId="0" borderId="0" xfId="1" applyNumberFormat="1" applyFont="1" applyAlignment="1">
      <alignment horizontal="left"/>
    </xf>
    <xf numFmtId="0" fontId="41" fillId="2" borderId="0" xfId="0" applyFont="1" applyFill="1" applyAlignment="1">
      <alignment vertical="top"/>
    </xf>
    <xf numFmtId="0" fontId="18" fillId="2" borderId="0" xfId="0" applyFont="1" applyFill="1" applyAlignment="1">
      <alignment vertical="top"/>
    </xf>
    <xf numFmtId="0" fontId="40" fillId="2" borderId="0" xfId="0" applyFont="1" applyFill="1" applyAlignment="1">
      <alignment vertical="top"/>
    </xf>
    <xf numFmtId="0" fontId="0" fillId="2" borderId="18" xfId="0" applyFill="1" applyBorder="1" applyAlignment="1">
      <alignment vertical="top"/>
    </xf>
    <xf numFmtId="0" fontId="22" fillId="2" borderId="2" xfId="0" applyFont="1" applyFill="1" applyBorder="1"/>
    <xf numFmtId="0" fontId="39" fillId="2" borderId="2" xfId="0" applyFont="1" applyFill="1" applyBorder="1"/>
    <xf numFmtId="0" fontId="17" fillId="2" borderId="2" xfId="0" applyFont="1" applyFill="1" applyBorder="1" applyAlignment="1">
      <alignment vertical="top"/>
    </xf>
    <xf numFmtId="15" fontId="17" fillId="2" borderId="2" xfId="0" applyNumberFormat="1" applyFont="1" applyFill="1" applyBorder="1" applyAlignment="1">
      <alignment vertical="top"/>
    </xf>
    <xf numFmtId="0" fontId="0" fillId="2" borderId="2" xfId="0" applyFill="1" applyBorder="1" applyAlignment="1">
      <alignment vertical="top"/>
    </xf>
    <xf numFmtId="3" fontId="17" fillId="2" borderId="2" xfId="0" applyNumberFormat="1" applyFont="1" applyFill="1" applyBorder="1" applyAlignment="1">
      <alignment vertical="top"/>
    </xf>
    <xf numFmtId="0" fontId="22" fillId="2" borderId="5" xfId="0" applyFont="1" applyFill="1" applyBorder="1" applyAlignment="1">
      <alignment vertical="top"/>
    </xf>
    <xf numFmtId="0" fontId="22" fillId="2" borderId="4" xfId="0" applyFont="1" applyFill="1" applyBorder="1" applyAlignment="1">
      <alignment vertical="top"/>
    </xf>
    <xf numFmtId="0" fontId="22" fillId="2" borderId="3" xfId="0" applyFont="1" applyFill="1" applyBorder="1" applyAlignment="1">
      <alignment vertical="top"/>
    </xf>
    <xf numFmtId="3" fontId="22" fillId="2" borderId="2" xfId="0" applyNumberFormat="1" applyFont="1" applyFill="1" applyBorder="1" applyAlignment="1">
      <alignment vertical="top"/>
    </xf>
    <xf numFmtId="165" fontId="32" fillId="0" borderId="0" xfId="1" applyNumberFormat="1" applyFont="1"/>
    <xf numFmtId="165" fontId="35" fillId="0" borderId="1" xfId="1" applyNumberFormat="1" applyFont="1" applyBorder="1" applyAlignment="1">
      <alignment horizontal="right"/>
    </xf>
    <xf numFmtId="165" fontId="35" fillId="0" borderId="1" xfId="1" applyNumberFormat="1" applyFont="1" applyBorder="1"/>
    <xf numFmtId="165" fontId="31" fillId="0" borderId="1" xfId="1" applyNumberFormat="1" applyFont="1" applyBorder="1" applyAlignment="1">
      <alignment horizontal="left"/>
    </xf>
    <xf numFmtId="37" fontId="31" fillId="0" borderId="1" xfId="1" applyNumberFormat="1" applyFont="1" applyBorder="1"/>
    <xf numFmtId="0" fontId="0" fillId="2" borderId="0" xfId="0" applyFill="1"/>
    <xf numFmtId="0" fontId="22" fillId="2" borderId="0" xfId="0" applyFont="1" applyFill="1"/>
    <xf numFmtId="0" fontId="1" fillId="0" borderId="0" xfId="2" applyFont="1"/>
    <xf numFmtId="3" fontId="44" fillId="0" borderId="1" xfId="1" applyNumberFormat="1" applyFont="1" applyBorder="1" applyAlignment="1">
      <alignment vertical="top"/>
    </xf>
    <xf numFmtId="3" fontId="44" fillId="0" borderId="1" xfId="1" applyNumberFormat="1" applyFont="1" applyFill="1" applyBorder="1" applyAlignment="1">
      <alignment horizontal="right" vertical="top"/>
    </xf>
    <xf numFmtId="0" fontId="44" fillId="0" borderId="1" xfId="0" applyFont="1" applyBorder="1" applyAlignment="1">
      <alignment vertical="top"/>
    </xf>
    <xf numFmtId="3" fontId="44" fillId="0" borderId="1" xfId="0" applyNumberFormat="1" applyFont="1" applyBorder="1" applyAlignment="1">
      <alignment vertical="top"/>
    </xf>
    <xf numFmtId="166" fontId="44" fillId="0" borderId="1" xfId="0" applyNumberFormat="1" applyFont="1" applyBorder="1" applyAlignment="1">
      <alignment horizontal="center" vertical="top"/>
    </xf>
    <xf numFmtId="14" fontId="44" fillId="0" borderId="1" xfId="0" applyNumberFormat="1" applyFont="1" applyBorder="1" applyAlignment="1">
      <alignment vertical="top"/>
    </xf>
    <xf numFmtId="14" fontId="45" fillId="0" borderId="1" xfId="1" applyNumberFormat="1" applyFont="1" applyFill="1" applyBorder="1" applyAlignment="1">
      <alignment horizontal="right" vertical="top"/>
    </xf>
    <xf numFmtId="1" fontId="44" fillId="0" borderId="1" xfId="1" applyNumberFormat="1" applyFont="1" applyBorder="1" applyAlignment="1">
      <alignment vertical="top"/>
    </xf>
    <xf numFmtId="166" fontId="44" fillId="0" borderId="29" xfId="0" applyNumberFormat="1" applyFont="1" applyBorder="1" applyAlignment="1">
      <alignment horizontal="center" vertical="top"/>
    </xf>
    <xf numFmtId="3" fontId="43" fillId="0" borderId="26" xfId="1" applyNumberFormat="1" applyFont="1" applyBorder="1" applyAlignment="1">
      <alignment vertical="top"/>
    </xf>
    <xf numFmtId="3" fontId="45" fillId="0" borderId="1" xfId="1" applyNumberFormat="1" applyFont="1" applyFill="1" applyBorder="1" applyAlignment="1">
      <alignment horizontal="right" vertical="top"/>
    </xf>
    <xf numFmtId="3" fontId="44" fillId="0" borderId="1" xfId="1" applyNumberFormat="1" applyFont="1" applyBorder="1" applyAlignment="1">
      <alignment horizontal="center" vertical="top"/>
    </xf>
    <xf numFmtId="3" fontId="43" fillId="0" borderId="1" xfId="1" applyNumberFormat="1" applyFont="1" applyBorder="1" applyAlignment="1">
      <alignment vertical="top"/>
    </xf>
    <xf numFmtId="3" fontId="46" fillId="0" borderId="1" xfId="1" applyNumberFormat="1" applyFont="1" applyFill="1" applyBorder="1" applyAlignment="1">
      <alignment horizontal="right" vertical="top"/>
    </xf>
    <xf numFmtId="0" fontId="43" fillId="0" borderId="29" xfId="0" applyFont="1" applyBorder="1" applyAlignment="1">
      <alignment vertical="top"/>
    </xf>
    <xf numFmtId="0" fontId="43" fillId="0" borderId="25" xfId="0" applyFont="1" applyBorder="1" applyAlignment="1">
      <alignment vertical="top"/>
    </xf>
    <xf numFmtId="0" fontId="43" fillId="0" borderId="26" xfId="0" applyFont="1" applyBorder="1" applyAlignment="1">
      <alignment vertical="top"/>
    </xf>
    <xf numFmtId="3" fontId="43" fillId="0" borderId="1" xfId="1" applyNumberFormat="1" applyFont="1" applyFill="1" applyBorder="1" applyAlignment="1">
      <alignment horizontal="right" vertical="top"/>
    </xf>
    <xf numFmtId="0" fontId="17" fillId="0" borderId="2" xfId="0" applyFont="1" applyBorder="1" applyAlignment="1">
      <alignment vertical="top"/>
    </xf>
    <xf numFmtId="15" fontId="17" fillId="0" borderId="2" xfId="0" applyNumberFormat="1" applyFont="1" applyBorder="1" applyAlignment="1">
      <alignment vertical="top"/>
    </xf>
    <xf numFmtId="0" fontId="0" fillId="0" borderId="2" xfId="0" applyBorder="1" applyAlignment="1">
      <alignment vertical="top"/>
    </xf>
    <xf numFmtId="3" fontId="17" fillId="0" borderId="2" xfId="0" applyNumberFormat="1" applyFont="1" applyBorder="1" applyAlignment="1">
      <alignment vertical="top"/>
    </xf>
    <xf numFmtId="0" fontId="41" fillId="0" borderId="0" xfId="0" applyFont="1" applyAlignment="1">
      <alignment vertical="top"/>
    </xf>
    <xf numFmtId="0" fontId="0" fillId="0" borderId="0" xfId="0" applyAlignment="1">
      <alignment vertical="top"/>
    </xf>
    <xf numFmtId="0" fontId="18" fillId="0" borderId="0" xfId="0" applyFont="1" applyAlignment="1">
      <alignment vertical="top"/>
    </xf>
    <xf numFmtId="0" fontId="40" fillId="0" borderId="0" xfId="0" applyFont="1" applyAlignment="1">
      <alignment vertical="top"/>
    </xf>
    <xf numFmtId="0" fontId="0" fillId="0" borderId="18" xfId="0" applyBorder="1" applyAlignment="1">
      <alignment vertical="top"/>
    </xf>
    <xf numFmtId="0" fontId="22" fillId="0" borderId="2" xfId="0" applyFont="1" applyBorder="1"/>
    <xf numFmtId="3" fontId="22" fillId="0" borderId="2" xfId="0" applyNumberFormat="1" applyFont="1" applyBorder="1" applyAlignment="1">
      <alignment vertical="top"/>
    </xf>
    <xf numFmtId="0" fontId="0" fillId="2" borderId="18" xfId="0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14" fillId="2" borderId="2" xfId="0" applyFont="1" applyFill="1" applyBorder="1" applyAlignment="1">
      <alignment horizontal="center" wrapText="1"/>
    </xf>
    <xf numFmtId="0" fontId="42" fillId="2" borderId="2" xfId="0" applyFont="1" applyFill="1" applyBorder="1" applyAlignment="1">
      <alignment wrapText="1"/>
    </xf>
    <xf numFmtId="0" fontId="15" fillId="2" borderId="2" xfId="0" applyFont="1" applyFill="1" applyBorder="1" applyAlignment="1">
      <alignment horizontal="right" wrapText="1"/>
    </xf>
    <xf numFmtId="0" fontId="13" fillId="2" borderId="2" xfId="0" applyFont="1" applyFill="1" applyBorder="1" applyAlignment="1">
      <alignment horizontal="right" wrapText="1"/>
    </xf>
    <xf numFmtId="165" fontId="22" fillId="2" borderId="0" xfId="1" applyNumberFormat="1" applyFont="1" applyFill="1"/>
    <xf numFmtId="165" fontId="0" fillId="2" borderId="0" xfId="1" applyNumberFormat="1" applyFont="1" applyFill="1"/>
    <xf numFmtId="0" fontId="38" fillId="2" borderId="2" xfId="0" applyFont="1" applyFill="1" applyBorder="1" applyAlignment="1">
      <alignment horizontal="justify" wrapText="1"/>
    </xf>
    <xf numFmtId="0" fontId="47" fillId="0" borderId="0" xfId="0" applyFont="1"/>
    <xf numFmtId="0" fontId="48" fillId="0" borderId="0" xfId="0" applyFont="1" applyAlignment="1">
      <alignment horizontal="center"/>
    </xf>
    <xf numFmtId="165" fontId="47" fillId="0" borderId="0" xfId="1" applyNumberFormat="1" applyFont="1"/>
    <xf numFmtId="0" fontId="49" fillId="0" borderId="0" xfId="0" applyFont="1" applyAlignment="1">
      <alignment horizontal="center"/>
    </xf>
    <xf numFmtId="0" fontId="49" fillId="0" borderId="0" xfId="0" applyFont="1" applyAlignment="1">
      <alignment horizontal="right"/>
    </xf>
    <xf numFmtId="0" fontId="50" fillId="0" borderId="1" xfId="0" applyFont="1" applyBorder="1" applyAlignment="1">
      <alignment horizontal="center" vertical="center"/>
    </xf>
    <xf numFmtId="165" fontId="50" fillId="0" borderId="1" xfId="1" applyNumberFormat="1" applyFont="1" applyBorder="1" applyAlignment="1">
      <alignment horizontal="center" vertical="center" wrapText="1"/>
    </xf>
    <xf numFmtId="165" fontId="50" fillId="0" borderId="1" xfId="1" applyNumberFormat="1" applyFont="1" applyBorder="1" applyAlignment="1">
      <alignment horizontal="center" vertical="center"/>
    </xf>
    <xf numFmtId="14" fontId="51" fillId="2" borderId="29" xfId="0" quotePrefix="1" applyNumberFormat="1" applyFont="1" applyFill="1" applyBorder="1" applyAlignment="1">
      <alignment horizontal="center" vertical="center" wrapText="1"/>
    </xf>
    <xf numFmtId="14" fontId="51" fillId="2" borderId="29" xfId="0" applyNumberFormat="1" applyFont="1" applyFill="1" applyBorder="1" applyAlignment="1">
      <alignment horizontal="center" vertical="center" wrapText="1"/>
    </xf>
    <xf numFmtId="14" fontId="51" fillId="2" borderId="1" xfId="0" quotePrefix="1" applyNumberFormat="1" applyFont="1" applyFill="1" applyBorder="1" applyAlignment="1">
      <alignment horizontal="center" vertical="center" wrapText="1"/>
    </xf>
    <xf numFmtId="165" fontId="51" fillId="0" borderId="1" xfId="1" applyNumberFormat="1" applyFont="1" applyBorder="1"/>
    <xf numFmtId="165" fontId="52" fillId="2" borderId="1" xfId="1" applyNumberFormat="1" applyFont="1" applyFill="1" applyBorder="1" applyAlignment="1">
      <alignment horizontal="center" vertical="center" wrapText="1"/>
    </xf>
    <xf numFmtId="165" fontId="53" fillId="2" borderId="1" xfId="1" applyNumberFormat="1" applyFont="1" applyFill="1" applyBorder="1" applyAlignment="1">
      <alignment horizontal="center" vertical="center" wrapText="1"/>
    </xf>
    <xf numFmtId="167" fontId="54" fillId="0" borderId="1" xfId="0" applyNumberFormat="1" applyFont="1" applyBorder="1"/>
    <xf numFmtId="0" fontId="50" fillId="0" borderId="1" xfId="0" applyFont="1" applyBorder="1" applyAlignment="1">
      <alignment horizontal="center"/>
    </xf>
    <xf numFmtId="165" fontId="50" fillId="0" borderId="1" xfId="1" applyNumberFormat="1" applyFont="1" applyBorder="1" applyAlignment="1">
      <alignment horizontal="center"/>
    </xf>
    <xf numFmtId="0" fontId="48" fillId="0" borderId="0" xfId="0" applyFont="1"/>
    <xf numFmtId="165" fontId="48" fillId="0" borderId="0" xfId="1" applyNumberFormat="1" applyFont="1" applyAlignment="1"/>
    <xf numFmtId="0" fontId="47" fillId="0" borderId="0" xfId="0" applyFont="1" applyAlignment="1">
      <alignment wrapText="1"/>
    </xf>
    <xf numFmtId="165" fontId="47" fillId="0" borderId="0" xfId="1" applyNumberFormat="1" applyFont="1" applyAlignment="1">
      <alignment wrapText="1"/>
    </xf>
    <xf numFmtId="0" fontId="0" fillId="2" borderId="19" xfId="0" applyFill="1" applyBorder="1" applyAlignment="1">
      <alignment wrapText="1"/>
    </xf>
    <xf numFmtId="0" fontId="11" fillId="2" borderId="2" xfId="0" applyFont="1" applyFill="1" applyBorder="1" applyAlignment="1">
      <alignment horizontal="right" wrapText="1"/>
    </xf>
    <xf numFmtId="0" fontId="17" fillId="2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2" borderId="18" xfId="1" applyNumberFormat="1" applyFont="1" applyFill="1" applyBorder="1" applyAlignment="1">
      <alignment wrapText="1"/>
    </xf>
    <xf numFmtId="165" fontId="0" fillId="2" borderId="15" xfId="1" applyNumberFormat="1" applyFont="1" applyFill="1" applyBorder="1" applyAlignment="1">
      <alignment wrapText="1"/>
    </xf>
    <xf numFmtId="165" fontId="13" fillId="2" borderId="2" xfId="1" applyNumberFormat="1" applyFont="1" applyFill="1" applyBorder="1" applyAlignment="1">
      <alignment horizontal="center" wrapText="1"/>
    </xf>
    <xf numFmtId="165" fontId="0" fillId="2" borderId="2" xfId="1" applyNumberFormat="1" applyFont="1" applyFill="1" applyBorder="1" applyAlignment="1">
      <alignment wrapText="1"/>
    </xf>
    <xf numFmtId="165" fontId="15" fillId="2" borderId="2" xfId="1" applyNumberFormat="1" applyFont="1" applyFill="1" applyBorder="1" applyAlignment="1">
      <alignment horizontal="right" wrapText="1"/>
    </xf>
    <xf numFmtId="165" fontId="13" fillId="2" borderId="2" xfId="1" applyNumberFormat="1" applyFont="1" applyFill="1" applyBorder="1" applyAlignment="1">
      <alignment horizontal="right" wrapText="1"/>
    </xf>
    <xf numFmtId="165" fontId="0" fillId="2" borderId="0" xfId="1" applyNumberFormat="1" applyFont="1" applyFill="1" applyAlignment="1">
      <alignment wrapText="1"/>
    </xf>
    <xf numFmtId="165" fontId="0" fillId="0" borderId="0" xfId="1" applyNumberFormat="1" applyFont="1" applyAlignment="1">
      <alignment horizontal="center"/>
    </xf>
    <xf numFmtId="165" fontId="12" fillId="2" borderId="2" xfId="1" applyNumberFormat="1" applyFont="1" applyFill="1" applyBorder="1" applyAlignment="1">
      <alignment horizontal="right" wrapText="1"/>
    </xf>
    <xf numFmtId="3" fontId="0" fillId="0" borderId="0" xfId="0" applyNumberFormat="1"/>
    <xf numFmtId="165" fontId="33" fillId="19" borderId="1" xfId="1" applyNumberFormat="1" applyFont="1" applyFill="1" applyBorder="1"/>
    <xf numFmtId="165" fontId="31" fillId="19" borderId="1" xfId="1" applyNumberFormat="1" applyFont="1" applyFill="1" applyBorder="1"/>
    <xf numFmtId="0" fontId="0" fillId="2" borderId="8" xfId="0" applyFill="1" applyBorder="1" applyAlignment="1">
      <alignment wrapText="1"/>
    </xf>
    <xf numFmtId="0" fontId="16" fillId="2" borderId="2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wrapText="1"/>
    </xf>
    <xf numFmtId="165" fontId="18" fillId="2" borderId="8" xfId="1" applyNumberFormat="1" applyFont="1" applyFill="1" applyBorder="1" applyAlignment="1">
      <alignment horizontal="center" wrapText="1"/>
    </xf>
    <xf numFmtId="165" fontId="16" fillId="2" borderId="2" xfId="1" applyNumberFormat="1" applyFont="1" applyFill="1" applyBorder="1" applyAlignment="1">
      <alignment horizontal="center" wrapText="1"/>
    </xf>
    <xf numFmtId="165" fontId="31" fillId="0" borderId="22" xfId="1" applyNumberFormat="1" applyFont="1" applyBorder="1" applyAlignment="1">
      <alignment horizontal="left"/>
    </xf>
    <xf numFmtId="165" fontId="10" fillId="2" borderId="2" xfId="1" applyNumberFormat="1" applyFont="1" applyFill="1" applyBorder="1" applyAlignment="1">
      <alignment horizontal="right" wrapText="1"/>
    </xf>
    <xf numFmtId="3" fontId="55" fillId="20" borderId="1" xfId="0" applyNumberFormat="1" applyFont="1" applyFill="1" applyBorder="1" applyAlignment="1">
      <alignment horizontal="center" vertical="center" wrapText="1"/>
    </xf>
    <xf numFmtId="49" fontId="55" fillId="20" borderId="1" xfId="0" applyNumberFormat="1" applyFont="1" applyFill="1" applyBorder="1" applyAlignment="1">
      <alignment horizontal="center" vertical="center" wrapText="1"/>
    </xf>
    <xf numFmtId="49" fontId="55" fillId="20" borderId="1" xfId="0" applyNumberFormat="1" applyFont="1" applyFill="1" applyBorder="1" applyAlignment="1">
      <alignment vertical="center" wrapText="1"/>
    </xf>
    <xf numFmtId="3" fontId="55" fillId="20" borderId="1" xfId="0" applyNumberFormat="1" applyFont="1" applyFill="1" applyBorder="1" applyAlignment="1">
      <alignment vertical="center" wrapText="1"/>
    </xf>
    <xf numFmtId="0" fontId="55" fillId="20" borderId="1" xfId="0" applyFont="1" applyFill="1" applyBorder="1" applyAlignment="1">
      <alignment vertical="center" wrapText="1"/>
    </xf>
    <xf numFmtId="165" fontId="31" fillId="0" borderId="0" xfId="1" applyNumberFormat="1" applyFont="1" applyAlignment="1">
      <alignment horizontal="center" vertical="center"/>
    </xf>
    <xf numFmtId="165" fontId="33" fillId="3" borderId="0" xfId="1" applyNumberFormat="1" applyFont="1" applyFill="1"/>
    <xf numFmtId="165" fontId="31" fillId="0" borderId="22" xfId="1" applyNumberFormat="1" applyFont="1" applyBorder="1" applyAlignment="1">
      <alignment horizontal="center"/>
    </xf>
    <xf numFmtId="165" fontId="9" fillId="0" borderId="33" xfId="1" applyNumberFormat="1" applyFont="1" applyBorder="1" applyAlignment="1">
      <alignment horizontal="center" vertical="center" wrapText="1"/>
    </xf>
    <xf numFmtId="0" fontId="43" fillId="0" borderId="29" xfId="0" applyFont="1" applyBorder="1" applyAlignment="1">
      <alignment horizontal="left" vertical="top"/>
    </xf>
    <xf numFmtId="0" fontId="43" fillId="0" borderId="25" xfId="0" applyFont="1" applyBorder="1" applyAlignment="1">
      <alignment horizontal="left" vertical="top"/>
    </xf>
    <xf numFmtId="0" fontId="43" fillId="0" borderId="26" xfId="0" applyFont="1" applyBorder="1" applyAlignment="1">
      <alignment horizontal="left" vertical="top"/>
    </xf>
    <xf numFmtId="3" fontId="43" fillId="0" borderId="1" xfId="1" applyNumberFormat="1" applyFont="1" applyBorder="1" applyAlignment="1">
      <alignment horizontal="center" vertical="top"/>
    </xf>
    <xf numFmtId="0" fontId="43" fillId="0" borderId="1" xfId="0" applyFont="1" applyBorder="1" applyAlignment="1">
      <alignment horizontal="center" vertical="top"/>
    </xf>
    <xf numFmtId="3" fontId="28" fillId="0" borderId="27" xfId="0" applyNumberFormat="1" applyFont="1" applyBorder="1" applyAlignment="1">
      <alignment horizontal="center" vertical="center"/>
    </xf>
    <xf numFmtId="3" fontId="28" fillId="0" borderId="28" xfId="0" applyNumberFormat="1" applyFont="1" applyBorder="1" applyAlignment="1">
      <alignment horizontal="center" vertical="center"/>
    </xf>
    <xf numFmtId="14" fontId="43" fillId="0" borderId="29" xfId="0" applyNumberFormat="1" applyFont="1" applyBorder="1" applyAlignment="1">
      <alignment horizontal="center" vertical="top"/>
    </xf>
    <xf numFmtId="14" fontId="43" fillId="0" borderId="25" xfId="0" applyNumberFormat="1" applyFont="1" applyBorder="1" applyAlignment="1">
      <alignment horizontal="center" vertical="top"/>
    </xf>
    <xf numFmtId="0" fontId="27" fillId="0" borderId="0" xfId="0" applyFont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29" fillId="0" borderId="0" xfId="0" applyFont="1" applyAlignment="1">
      <alignment horizontal="center" vertical="top" wrapText="1" readingOrder="1"/>
    </xf>
    <xf numFmtId="0" fontId="30" fillId="0" borderId="0" xfId="0" applyFont="1" applyAlignment="1">
      <alignment horizontal="center" vertical="top"/>
    </xf>
    <xf numFmtId="0" fontId="28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3" fontId="28" fillId="0" borderId="27" xfId="1" applyNumberFormat="1" applyFont="1" applyBorder="1" applyAlignment="1">
      <alignment horizontal="center" vertical="center"/>
    </xf>
    <xf numFmtId="3" fontId="28" fillId="0" borderId="28" xfId="1" applyNumberFormat="1" applyFont="1" applyBorder="1" applyAlignment="1">
      <alignment horizontal="center" vertical="center"/>
    </xf>
    <xf numFmtId="3" fontId="28" fillId="0" borderId="27" xfId="1" applyNumberFormat="1" applyFont="1" applyBorder="1" applyAlignment="1">
      <alignment horizontal="center" vertical="center" wrapText="1"/>
    </xf>
    <xf numFmtId="3" fontId="28" fillId="0" borderId="28" xfId="1" applyNumberFormat="1" applyFont="1" applyBorder="1" applyAlignment="1">
      <alignment horizontal="center" vertical="center" wrapText="1"/>
    </xf>
    <xf numFmtId="3" fontId="28" fillId="0" borderId="1" xfId="1" applyNumberFormat="1" applyFont="1" applyBorder="1" applyAlignment="1">
      <alignment horizontal="center" vertical="center"/>
    </xf>
    <xf numFmtId="0" fontId="0" fillId="2" borderId="0" xfId="0" applyFill="1" applyAlignment="1">
      <alignment wrapText="1"/>
    </xf>
    <xf numFmtId="0" fontId="10" fillId="2" borderId="31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20" xfId="0" applyFont="1" applyFill="1" applyBorder="1" applyAlignment="1">
      <alignment horizontal="center" wrapText="1"/>
    </xf>
    <xf numFmtId="0" fontId="0" fillId="2" borderId="16" xfId="0" applyFill="1" applyBorder="1" applyAlignment="1">
      <alignment wrapText="1"/>
    </xf>
    <xf numFmtId="0" fontId="11" fillId="2" borderId="16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11" fillId="2" borderId="19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0" fontId="10" fillId="2" borderId="0" xfId="0" applyFont="1" applyFill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7" xfId="0" applyFont="1" applyFill="1" applyBorder="1" applyAlignment="1">
      <alignment horizontal="center" wrapText="1"/>
    </xf>
    <xf numFmtId="0" fontId="18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wrapText="1"/>
    </xf>
    <xf numFmtId="0" fontId="22" fillId="2" borderId="0" xfId="0" applyFont="1" applyFill="1" applyAlignment="1">
      <alignment wrapText="1"/>
    </xf>
    <xf numFmtId="0" fontId="13" fillId="2" borderId="7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3" fillId="2" borderId="5" xfId="0" applyFont="1" applyFill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13" fillId="2" borderId="3" xfId="0" applyFont="1" applyFill="1" applyBorder="1" applyAlignment="1">
      <alignment wrapText="1"/>
    </xf>
    <xf numFmtId="165" fontId="13" fillId="2" borderId="7" xfId="1" applyNumberFormat="1" applyFont="1" applyFill="1" applyBorder="1" applyAlignment="1">
      <alignment horizontal="center" wrapText="1"/>
    </xf>
    <xf numFmtId="165" fontId="13" fillId="2" borderId="6" xfId="1" applyNumberFormat="1" applyFont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4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0" fillId="2" borderId="5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13" fillId="2" borderId="15" xfId="0" applyFont="1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0" fillId="0" borderId="0" xfId="0"/>
    <xf numFmtId="0" fontId="11" fillId="8" borderId="7" xfId="0" applyFont="1" applyFill="1" applyBorder="1" applyAlignment="1">
      <alignment horizontal="center" wrapText="1"/>
    </xf>
    <xf numFmtId="0" fontId="11" fillId="8" borderId="6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11" fillId="8" borderId="5" xfId="0" applyFont="1" applyFill="1" applyBorder="1" applyAlignment="1">
      <alignment horizontal="center" wrapText="1"/>
    </xf>
    <xf numFmtId="0" fontId="11" fillId="8" borderId="4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39" fillId="2" borderId="5" xfId="0" applyFont="1" applyFill="1" applyBorder="1" applyAlignment="1">
      <alignment wrapText="1"/>
    </xf>
    <xf numFmtId="0" fontId="39" fillId="2" borderId="4" xfId="0" applyFont="1" applyFill="1" applyBorder="1" applyAlignment="1">
      <alignment wrapText="1"/>
    </xf>
    <xf numFmtId="0" fontId="39" fillId="2" borderId="3" xfId="0" applyFont="1" applyFill="1" applyBorder="1" applyAlignment="1">
      <alignment wrapText="1"/>
    </xf>
    <xf numFmtId="0" fontId="10" fillId="2" borderId="7" xfId="0" applyFont="1" applyFill="1" applyBorder="1" applyAlignment="1">
      <alignment wrapText="1"/>
    </xf>
    <xf numFmtId="0" fontId="10" fillId="2" borderId="6" xfId="0" applyFont="1" applyFill="1" applyBorder="1" applyAlignment="1">
      <alignment wrapText="1"/>
    </xf>
    <xf numFmtId="0" fontId="39" fillId="2" borderId="5" xfId="0" applyFont="1" applyFill="1" applyBorder="1" applyAlignment="1">
      <alignment horizontal="justify" wrapText="1"/>
    </xf>
    <xf numFmtId="0" fontId="39" fillId="2" borderId="4" xfId="0" applyFont="1" applyFill="1" applyBorder="1" applyAlignment="1">
      <alignment horizontal="justify" wrapText="1"/>
    </xf>
    <xf numFmtId="0" fontId="39" fillId="2" borderId="3" xfId="0" applyFont="1" applyFill="1" applyBorder="1" applyAlignment="1">
      <alignment horizontal="justify" wrapText="1"/>
    </xf>
    <xf numFmtId="0" fontId="0" fillId="2" borderId="7" xfId="0" applyFill="1" applyBorder="1" applyAlignment="1">
      <alignment wrapText="1"/>
    </xf>
    <xf numFmtId="0" fontId="0" fillId="2" borderId="6" xfId="0" applyFill="1" applyBorder="1" applyAlignment="1">
      <alignment wrapText="1"/>
    </xf>
    <xf numFmtId="3" fontId="10" fillId="2" borderId="7" xfId="0" applyNumberFormat="1" applyFont="1" applyFill="1" applyBorder="1" applyAlignment="1">
      <alignment wrapText="1"/>
    </xf>
    <xf numFmtId="3" fontId="10" fillId="2" borderId="6" xfId="0" applyNumberFormat="1" applyFont="1" applyFill="1" applyBorder="1" applyAlignment="1">
      <alignment wrapText="1"/>
    </xf>
    <xf numFmtId="14" fontId="10" fillId="2" borderId="7" xfId="0" applyNumberFormat="1" applyFont="1" applyFill="1" applyBorder="1" applyAlignment="1">
      <alignment wrapText="1"/>
    </xf>
    <xf numFmtId="14" fontId="10" fillId="2" borderId="6" xfId="0" applyNumberFormat="1" applyFont="1" applyFill="1" applyBorder="1" applyAlignment="1">
      <alignment wrapText="1"/>
    </xf>
    <xf numFmtId="0" fontId="11" fillId="2" borderId="5" xfId="0" applyFont="1" applyFill="1" applyBorder="1" applyAlignment="1">
      <alignment horizontal="justify" wrapText="1"/>
    </xf>
    <xf numFmtId="0" fontId="11" fillId="2" borderId="4" xfId="0" applyFont="1" applyFill="1" applyBorder="1" applyAlignment="1">
      <alignment horizontal="justify" wrapText="1"/>
    </xf>
    <xf numFmtId="0" fontId="11" fillId="2" borderId="3" xfId="0" applyFont="1" applyFill="1" applyBorder="1" applyAlignment="1">
      <alignment horizontal="justify" wrapText="1"/>
    </xf>
    <xf numFmtId="0" fontId="0" fillId="2" borderId="4" xfId="0" applyFill="1" applyBorder="1" applyAlignment="1">
      <alignment wrapText="1"/>
    </xf>
    <xf numFmtId="0" fontId="10" fillId="2" borderId="5" xfId="0" applyFont="1" applyFill="1" applyBorder="1" applyAlignment="1">
      <alignment horizontal="justify" wrapText="1"/>
    </xf>
    <xf numFmtId="0" fontId="10" fillId="2" borderId="4" xfId="0" applyFont="1" applyFill="1" applyBorder="1" applyAlignment="1">
      <alignment horizontal="justify" wrapText="1"/>
    </xf>
    <xf numFmtId="0" fontId="10" fillId="2" borderId="3" xfId="0" applyFont="1" applyFill="1" applyBorder="1" applyAlignment="1">
      <alignment horizontal="justify" wrapText="1"/>
    </xf>
    <xf numFmtId="0" fontId="39" fillId="13" borderId="7" xfId="0" applyFont="1" applyFill="1" applyBorder="1" applyAlignment="1">
      <alignment horizontal="center" wrapText="1"/>
    </xf>
    <xf numFmtId="0" fontId="39" fillId="13" borderId="21" xfId="0" applyFont="1" applyFill="1" applyBorder="1" applyAlignment="1">
      <alignment horizontal="center" wrapText="1"/>
    </xf>
    <xf numFmtId="0" fontId="39" fillId="13" borderId="6" xfId="0" applyFont="1" applyFill="1" applyBorder="1" applyAlignment="1">
      <alignment horizontal="center" wrapText="1"/>
    </xf>
    <xf numFmtId="0" fontId="11" fillId="0" borderId="0" xfId="0" applyFont="1" applyAlignment="1">
      <alignment horizontal="justify" wrapText="1"/>
    </xf>
    <xf numFmtId="0" fontId="18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39" fillId="13" borderId="5" xfId="0" applyFont="1" applyFill="1" applyBorder="1" applyAlignment="1">
      <alignment horizontal="center" wrapText="1"/>
    </xf>
    <xf numFmtId="0" fontId="39" fillId="13" borderId="4" xfId="0" applyFont="1" applyFill="1" applyBorder="1" applyAlignment="1">
      <alignment horizontal="center" wrapText="1"/>
    </xf>
    <xf numFmtId="0" fontId="39" fillId="13" borderId="3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wrapText="1"/>
    </xf>
    <xf numFmtId="0" fontId="10" fillId="2" borderId="13" xfId="0" applyFont="1" applyFill="1" applyBorder="1" applyAlignment="1">
      <alignment horizontal="center" wrapText="1"/>
    </xf>
    <xf numFmtId="0" fontId="11" fillId="2" borderId="12" xfId="0" applyFont="1" applyFill="1" applyBorder="1" applyAlignment="1">
      <alignment horizontal="center" wrapText="1"/>
    </xf>
    <xf numFmtId="0" fontId="11" fillId="2" borderId="11" xfId="0" applyFont="1" applyFill="1" applyBorder="1" applyAlignment="1">
      <alignment horizontal="center" wrapText="1"/>
    </xf>
    <xf numFmtId="0" fontId="10" fillId="2" borderId="12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 wrapText="1"/>
    </xf>
    <xf numFmtId="0" fontId="10" fillId="2" borderId="9" xfId="0" applyFont="1" applyFill="1" applyBorder="1" applyAlignment="1">
      <alignment horizontal="center" wrapText="1"/>
    </xf>
    <xf numFmtId="0" fontId="12" fillId="2" borderId="0" xfId="0" applyFont="1" applyFill="1" applyAlignment="1">
      <alignment wrapText="1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 vertical="center" wrapText="1"/>
    </xf>
    <xf numFmtId="0" fontId="48" fillId="0" borderId="22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left" vertical="center" wrapText="1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1" xfId="0" applyFont="1" applyBorder="1" applyAlignment="1">
      <alignment horizontal="center"/>
    </xf>
    <xf numFmtId="0" fontId="49" fillId="0" borderId="30" xfId="0" applyFont="1" applyBorder="1" applyAlignment="1">
      <alignment horizontal="center"/>
    </xf>
  </cellXfs>
  <cellStyles count="7">
    <cellStyle name="Comma" xfId="1" builtinId="3"/>
    <cellStyle name="Comma 2" xfId="5" xr:uid="{60F65861-FF76-4D3C-AEE6-999BD7AC68AF}"/>
    <cellStyle name="Normal" xfId="0" builtinId="0"/>
    <cellStyle name="Normal 2" xfId="2" xr:uid="{C66B242B-01FF-4261-A7CF-5230F78CDC0F}"/>
    <cellStyle name="Normal 3" xfId="3" xr:uid="{E1BF2E3A-408E-4D78-B57B-87E0E2FAD9AA}"/>
    <cellStyle name="Normal 4" xfId="4" xr:uid="{B46CB8E1-A553-4BF0-981A-5F21A1550A42}"/>
    <cellStyle name="Normal 5" xfId="6" xr:uid="{91F874DA-AE71-4D33-94E4-C2C7244129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6</xdr:col>
      <xdr:colOff>135831</xdr:colOff>
      <xdr:row>158</xdr:row>
      <xdr:rowOff>27785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03E69C-972E-4B32-96B7-A3182B14A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107" y="26139321"/>
          <a:ext cx="7266667" cy="63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2</xdr:row>
      <xdr:rowOff>19050</xdr:rowOff>
    </xdr:from>
    <xdr:to>
      <xdr:col>7</xdr:col>
      <xdr:colOff>695325</xdr:colOff>
      <xdr:row>2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94F7A7F-B9EA-45DC-9B4C-010FD2972E3B}"/>
            </a:ext>
          </a:extLst>
        </xdr:cNvPr>
        <xdr:cNvSpPr>
          <a:spLocks noChangeShapeType="1"/>
        </xdr:cNvSpPr>
      </xdr:nvSpPr>
      <xdr:spPr bwMode="auto">
        <a:xfrm flipV="1">
          <a:off x="5181600" y="419100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78FD4CD-2045-4AE7-AE4B-5CBD7888359D}"/>
            </a:ext>
          </a:extLst>
        </xdr:cNvPr>
        <xdr:cNvSpPr>
          <a:spLocks noChangeShapeType="1"/>
        </xdr:cNvSpPr>
      </xdr:nvSpPr>
      <xdr:spPr bwMode="auto">
        <a:xfrm flipV="1">
          <a:off x="666750" y="41910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581025</xdr:colOff>
      <xdr:row>2</xdr:row>
      <xdr:rowOff>19050</xdr:rowOff>
    </xdr:from>
    <xdr:to>
      <xdr:col>7</xdr:col>
      <xdr:colOff>695325</xdr:colOff>
      <xdr:row>2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83B83E51-4D40-4581-BF7B-263DD014DCE1}"/>
            </a:ext>
          </a:extLst>
        </xdr:cNvPr>
        <xdr:cNvSpPr>
          <a:spLocks noChangeShapeType="1"/>
        </xdr:cNvSpPr>
      </xdr:nvSpPr>
      <xdr:spPr>
        <a:xfrm flipV="1">
          <a:off x="5084445" y="41529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311394</xdr:colOff>
      <xdr:row>2</xdr:row>
      <xdr:rowOff>19050</xdr:rowOff>
    </xdr:from>
    <xdr:to>
      <xdr:col>2</xdr:col>
      <xdr:colOff>25644</xdr:colOff>
      <xdr:row>2</xdr:row>
      <xdr:rowOff>19050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75BF1E8F-06CD-4BA2-B94D-70624CC5374C}"/>
            </a:ext>
          </a:extLst>
        </xdr:cNvPr>
        <xdr:cNvSpPr>
          <a:spLocks noChangeShapeType="1"/>
        </xdr:cNvSpPr>
      </xdr:nvSpPr>
      <xdr:spPr>
        <a:xfrm flipV="1">
          <a:off x="654294" y="415290"/>
          <a:ext cx="84201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581025</xdr:colOff>
      <xdr:row>2</xdr:row>
      <xdr:rowOff>19050</xdr:rowOff>
    </xdr:from>
    <xdr:to>
      <xdr:col>7</xdr:col>
      <xdr:colOff>695325</xdr:colOff>
      <xdr:row>2</xdr:row>
      <xdr:rowOff>19050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B27D25AD-AD6B-4E62-AB4B-36D0E3549C24}"/>
            </a:ext>
          </a:extLst>
        </xdr:cNvPr>
        <xdr:cNvSpPr>
          <a:spLocks noChangeShapeType="1"/>
        </xdr:cNvSpPr>
      </xdr:nvSpPr>
      <xdr:spPr>
        <a:xfrm flipV="1">
          <a:off x="5084445" y="41529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311394</xdr:colOff>
      <xdr:row>2</xdr:row>
      <xdr:rowOff>19050</xdr:rowOff>
    </xdr:from>
    <xdr:to>
      <xdr:col>2</xdr:col>
      <xdr:colOff>25644</xdr:colOff>
      <xdr:row>2</xdr:row>
      <xdr:rowOff>19050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240584E7-447A-475C-BCB1-AB4A3FF39E1E}"/>
            </a:ext>
          </a:extLst>
        </xdr:cNvPr>
        <xdr:cNvSpPr>
          <a:spLocks noChangeShapeType="1"/>
        </xdr:cNvSpPr>
      </xdr:nvSpPr>
      <xdr:spPr>
        <a:xfrm flipV="1">
          <a:off x="654294" y="415290"/>
          <a:ext cx="84201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TCKT_PCVT\6.%20Thu&#7871;%20GTGT\THUE%20GTGT%202026\THUE%20GTGT%202026\T5\BC_HDon_01_THopTheoNgayGCS%2005-2026.xlsx" TargetMode="External"/><Relationship Id="rId1" Type="http://schemas.openxmlformats.org/officeDocument/2006/relationships/externalLinkPath" Target="BC_HDon_01_THopTheoNgayGCS%2005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oft/Soft/Doiso.xla" TargetMode="External"/><Relationship Id="rId1" Type="http://schemas.openxmlformats.org/officeDocument/2006/relationships/externalLinkPath" Target="/Soft/Soft/Doiso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BC"/>
      <sheetName val="1,8-PH_GCS"/>
      <sheetName val="3,3-HDSS"/>
    </sheetNames>
    <sheetDataSet>
      <sheetData sheetId="0"/>
      <sheetData sheetId="1"/>
      <sheetData sheetId="2">
        <row r="2">
          <cell r="B2">
            <v>1</v>
          </cell>
          <cell r="C2" t="str">
            <v>31/03/2026</v>
          </cell>
          <cell r="D2">
            <v>1</v>
          </cell>
          <cell r="E2">
            <v>-1879</v>
          </cell>
          <cell r="F2">
            <v>0</v>
          </cell>
          <cell r="G2">
            <v>-1879</v>
          </cell>
          <cell r="H2">
            <v>-6680400</v>
          </cell>
          <cell r="I2">
            <v>-534432</v>
          </cell>
          <cell r="J2">
            <v>-7214832</v>
          </cell>
          <cell r="K2">
            <v>0</v>
          </cell>
          <cell r="L2">
            <v>0</v>
          </cell>
          <cell r="M2">
            <v>0</v>
          </cell>
          <cell r="N2">
            <v>-7214832</v>
          </cell>
        </row>
        <row r="3">
          <cell r="B3">
            <v>35</v>
          </cell>
          <cell r="C3" t="str">
            <v>31/05/2026</v>
          </cell>
          <cell r="D3">
            <v>98</v>
          </cell>
          <cell r="E3">
            <v>-83934</v>
          </cell>
          <cell r="F3">
            <v>-26677</v>
          </cell>
          <cell r="G3">
            <v>-57257</v>
          </cell>
          <cell r="H3">
            <v>-223276078</v>
          </cell>
          <cell r="I3">
            <v>-17862090</v>
          </cell>
          <cell r="J3">
            <v>-241138168</v>
          </cell>
          <cell r="K3">
            <v>0</v>
          </cell>
          <cell r="L3">
            <v>0</v>
          </cell>
          <cell r="M3">
            <v>0</v>
          </cell>
          <cell r="N3">
            <v>-241138168</v>
          </cell>
        </row>
        <row r="4">
          <cell r="B4">
            <v>1</v>
          </cell>
          <cell r="C4" t="str">
            <v>30/04/2026</v>
          </cell>
          <cell r="D4">
            <v>1</v>
          </cell>
          <cell r="E4">
            <v>1540</v>
          </cell>
          <cell r="F4">
            <v>0</v>
          </cell>
          <cell r="G4">
            <v>1540</v>
          </cell>
          <cell r="H4">
            <v>5326506</v>
          </cell>
          <cell r="I4">
            <v>426120</v>
          </cell>
          <cell r="J4">
            <v>5752626</v>
          </cell>
          <cell r="K4">
            <v>0</v>
          </cell>
          <cell r="L4">
            <v>0</v>
          </cell>
          <cell r="M4">
            <v>0</v>
          </cell>
          <cell r="N4">
            <v>5752626</v>
          </cell>
        </row>
        <row r="5">
          <cell r="B5">
            <v>35</v>
          </cell>
          <cell r="C5" t="str">
            <v>31/05/2026</v>
          </cell>
          <cell r="D5">
            <v>98</v>
          </cell>
          <cell r="E5">
            <v>154721</v>
          </cell>
          <cell r="F5">
            <v>11718</v>
          </cell>
          <cell r="G5">
            <v>143003</v>
          </cell>
          <cell r="H5">
            <v>453677616</v>
          </cell>
          <cell r="I5">
            <v>36294207</v>
          </cell>
          <cell r="J5">
            <v>489971823</v>
          </cell>
          <cell r="K5">
            <v>0</v>
          </cell>
          <cell r="L5">
            <v>0</v>
          </cell>
          <cell r="M5">
            <v>0</v>
          </cell>
          <cell r="N5">
            <v>489971823</v>
          </cell>
        </row>
        <row r="6">
          <cell r="B6">
            <v>22</v>
          </cell>
          <cell r="C6" t="str">
            <v>10/05/2026</v>
          </cell>
          <cell r="D6">
            <v>431</v>
          </cell>
          <cell r="E6">
            <v>167585591</v>
          </cell>
          <cell r="F6">
            <v>1582</v>
          </cell>
          <cell r="G6">
            <v>167584009</v>
          </cell>
          <cell r="H6">
            <v>318577781957</v>
          </cell>
          <cell r="I6">
            <v>25480346999</v>
          </cell>
          <cell r="J6">
            <v>344058128956</v>
          </cell>
          <cell r="K6">
            <v>63034452</v>
          </cell>
          <cell r="L6">
            <v>5042756</v>
          </cell>
          <cell r="M6">
            <v>68077208</v>
          </cell>
          <cell r="N6">
            <v>344126206164</v>
          </cell>
        </row>
        <row r="7">
          <cell r="B7">
            <v>8</v>
          </cell>
          <cell r="C7" t="str">
            <v>15/05/2026</v>
          </cell>
          <cell r="D7">
            <v>188</v>
          </cell>
          <cell r="E7">
            <v>5527359</v>
          </cell>
          <cell r="F7">
            <v>7650</v>
          </cell>
          <cell r="G7">
            <v>5519709</v>
          </cell>
          <cell r="H7">
            <v>13249288139</v>
          </cell>
          <cell r="I7">
            <v>1059943044</v>
          </cell>
          <cell r="J7">
            <v>14309231183</v>
          </cell>
          <cell r="K7">
            <v>34333124</v>
          </cell>
          <cell r="L7">
            <v>2746651</v>
          </cell>
          <cell r="M7">
            <v>37079775</v>
          </cell>
          <cell r="N7">
            <v>14346310958</v>
          </cell>
        </row>
        <row r="8">
          <cell r="B8">
            <v>21</v>
          </cell>
          <cell r="C8" t="str">
            <v>20/05/2026</v>
          </cell>
          <cell r="D8">
            <v>435</v>
          </cell>
          <cell r="E8">
            <v>167499835</v>
          </cell>
          <cell r="F8">
            <v>1648</v>
          </cell>
          <cell r="G8">
            <v>167498187</v>
          </cell>
          <cell r="H8">
            <v>322724399951</v>
          </cell>
          <cell r="I8">
            <v>25811181662</v>
          </cell>
          <cell r="J8">
            <v>348535581613</v>
          </cell>
          <cell r="K8">
            <v>68682060</v>
          </cell>
          <cell r="L8">
            <v>5494565</v>
          </cell>
          <cell r="M8">
            <v>74176625</v>
          </cell>
          <cell r="N8">
            <v>348609758238</v>
          </cell>
        </row>
        <row r="9">
          <cell r="B9">
            <v>2027</v>
          </cell>
          <cell r="C9" t="str">
            <v>31/05/2026</v>
          </cell>
          <cell r="D9">
            <v>237233</v>
          </cell>
          <cell r="E9">
            <v>334354380</v>
          </cell>
          <cell r="F9">
            <v>95846215</v>
          </cell>
          <cell r="G9">
            <v>238508165</v>
          </cell>
          <cell r="H9">
            <v>765738457758</v>
          </cell>
          <cell r="I9">
            <v>61251406929</v>
          </cell>
          <cell r="J9">
            <v>826989864687</v>
          </cell>
          <cell r="K9">
            <v>596561995</v>
          </cell>
          <cell r="L9">
            <v>47724956</v>
          </cell>
          <cell r="M9">
            <v>644286951</v>
          </cell>
          <cell r="N9">
            <v>827634151638</v>
          </cell>
        </row>
        <row r="10">
          <cell r="B10">
            <v>10</v>
          </cell>
          <cell r="C10" t="str">
            <v>31/05/2026</v>
          </cell>
          <cell r="D10">
            <v>10</v>
          </cell>
          <cell r="E10">
            <v>-11874</v>
          </cell>
          <cell r="F10">
            <v>-3655</v>
          </cell>
          <cell r="G10">
            <v>-8219</v>
          </cell>
          <cell r="H10">
            <v>-37491358</v>
          </cell>
          <cell r="I10">
            <v>-2999309</v>
          </cell>
          <cell r="J10">
            <v>-40490667</v>
          </cell>
          <cell r="K10">
            <v>0</v>
          </cell>
          <cell r="L10">
            <v>0</v>
          </cell>
          <cell r="M10">
            <v>0</v>
          </cell>
          <cell r="N10">
            <v>-40490667</v>
          </cell>
        </row>
        <row r="11">
          <cell r="B11">
            <v>2</v>
          </cell>
          <cell r="C11" t="str">
            <v>10/05/2026</v>
          </cell>
          <cell r="D11">
            <v>15</v>
          </cell>
          <cell r="E11">
            <v>13398</v>
          </cell>
          <cell r="F11">
            <v>0</v>
          </cell>
          <cell r="G11">
            <v>13398</v>
          </cell>
          <cell r="H11">
            <v>27790994</v>
          </cell>
          <cell r="I11">
            <v>2223280</v>
          </cell>
          <cell r="J11">
            <v>30014274</v>
          </cell>
          <cell r="K11">
            <v>0</v>
          </cell>
          <cell r="L11">
            <v>0</v>
          </cell>
          <cell r="M11">
            <v>0</v>
          </cell>
          <cell r="N11">
            <v>30014274</v>
          </cell>
        </row>
        <row r="12">
          <cell r="B12">
            <v>43</v>
          </cell>
          <cell r="C12" t="str">
            <v>31/05/2026</v>
          </cell>
          <cell r="D12">
            <v>92</v>
          </cell>
          <cell r="E12">
            <v>93021</v>
          </cell>
          <cell r="F12">
            <v>24701</v>
          </cell>
          <cell r="G12">
            <v>68320</v>
          </cell>
          <cell r="H12">
            <v>254454350</v>
          </cell>
          <cell r="I12">
            <v>20356347</v>
          </cell>
          <cell r="J12">
            <v>274810697</v>
          </cell>
          <cell r="K12">
            <v>0</v>
          </cell>
          <cell r="L12">
            <v>0</v>
          </cell>
          <cell r="M12">
            <v>0</v>
          </cell>
          <cell r="N12">
            <v>274810697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91F9-997A-488F-B067-DF24F8EA9DC5}">
  <sheetPr codeName="Sheet1"/>
  <dimension ref="A1:R155"/>
  <sheetViews>
    <sheetView tabSelected="1" topLeftCell="A51" zoomScale="95" zoomScaleNormal="95" workbookViewId="0">
      <selection activeCell="K86" sqref="K86"/>
    </sheetView>
  </sheetViews>
  <sheetFormatPr defaultColWidth="9" defaultRowHeight="12" x14ac:dyDescent="0.25"/>
  <cols>
    <col min="1" max="1" width="20.3984375" style="119" customWidth="1"/>
    <col min="2" max="2" width="17.59765625" style="119" bestFit="1" customWidth="1"/>
    <col min="3" max="3" width="19.19921875" style="119" customWidth="1"/>
    <col min="4" max="4" width="18.296875" style="119" bestFit="1" customWidth="1"/>
    <col min="5" max="5" width="16.8984375" style="119" customWidth="1"/>
    <col min="6" max="6" width="21.59765625" style="119" customWidth="1"/>
    <col min="7" max="7" width="17.09765625" style="119" customWidth="1"/>
    <col min="8" max="8" width="14.59765625" style="119" customWidth="1"/>
    <col min="9" max="9" width="14.09765625" style="119" bestFit="1" customWidth="1"/>
    <col min="10" max="10" width="22.19921875" style="119" bestFit="1" customWidth="1"/>
    <col min="11" max="11" width="17.19921875" style="119" customWidth="1"/>
    <col min="12" max="12" width="17.09765625" style="119" customWidth="1"/>
    <col min="13" max="13" width="16.69921875" style="119" customWidth="1"/>
    <col min="14" max="14" width="10" style="119" bestFit="1" customWidth="1"/>
    <col min="15" max="15" width="18.796875" style="119" customWidth="1"/>
    <col min="16" max="16" width="20.59765625" style="119" customWidth="1"/>
    <col min="17" max="17" width="14.796875" style="119" customWidth="1"/>
    <col min="18" max="18" width="15.19921875" style="119" customWidth="1"/>
    <col min="19" max="19" width="8.19921875" style="119" bestFit="1" customWidth="1"/>
    <col min="20" max="20" width="13.69921875" style="119" bestFit="1" customWidth="1"/>
    <col min="21" max="21" width="13.59765625" style="119" customWidth="1"/>
    <col min="22" max="22" width="11.5" style="119" bestFit="1" customWidth="1"/>
    <col min="23" max="25" width="10" style="119" bestFit="1" customWidth="1"/>
    <col min="26" max="26" width="16.8984375" style="119" bestFit="1" customWidth="1"/>
    <col min="27" max="27" width="18" style="119" bestFit="1" customWidth="1"/>
    <col min="28" max="16384" width="9" style="119"/>
  </cols>
  <sheetData>
    <row r="1" spans="1:18" s="118" customFormat="1" x14ac:dyDescent="0.25">
      <c r="A1" s="118" t="s">
        <v>227</v>
      </c>
    </row>
    <row r="2" spans="1:18" x14ac:dyDescent="0.25">
      <c r="K2" s="176" t="s">
        <v>80</v>
      </c>
    </row>
    <row r="3" spans="1:18" x14ac:dyDescent="0.25">
      <c r="A3" s="119" t="s">
        <v>60</v>
      </c>
      <c r="C3" s="119" t="s">
        <v>59</v>
      </c>
      <c r="D3" s="119" t="s">
        <v>219</v>
      </c>
      <c r="E3" s="119" t="s">
        <v>220</v>
      </c>
      <c r="F3" s="119" t="s">
        <v>221</v>
      </c>
      <c r="G3" s="119" t="s">
        <v>222</v>
      </c>
      <c r="I3" s="119" t="s">
        <v>76</v>
      </c>
      <c r="J3" s="119" t="s">
        <v>221</v>
      </c>
      <c r="K3" s="176" t="s">
        <v>79</v>
      </c>
    </row>
    <row r="4" spans="1:18" x14ac:dyDescent="0.25">
      <c r="A4" s="119" t="s">
        <v>60</v>
      </c>
      <c r="C4" s="120">
        <v>13311</v>
      </c>
      <c r="D4" s="119">
        <f>SUMIF('TA36'!$V:$V,TAXVTA!C4,'TA36'!$H:$H)</f>
        <v>1321171020806</v>
      </c>
      <c r="F4" s="119">
        <f>SUMIF('TA36'!$V:$V,TAXVTA!C4,'TA36'!$J:$J)</f>
        <v>105695245168</v>
      </c>
      <c r="G4" s="119">
        <f>+D4+F4</f>
        <v>1426866265974</v>
      </c>
      <c r="I4" s="119" t="s">
        <v>76</v>
      </c>
      <c r="J4" s="119">
        <f>'13311'!L2</f>
        <v>105695245168</v>
      </c>
      <c r="K4" s="176">
        <f>+F4-J4</f>
        <v>0</v>
      </c>
    </row>
    <row r="5" spans="1:18" x14ac:dyDescent="0.25">
      <c r="A5" s="119" t="s">
        <v>60</v>
      </c>
      <c r="C5" s="120">
        <v>13313</v>
      </c>
      <c r="D5" s="119">
        <f>SUMIF('TA36'!$V:$V,TAXVTA!C5,'TA36'!$H:$H)</f>
        <v>22317143432</v>
      </c>
      <c r="F5" s="119">
        <f>SUMIF('TA36'!$V:$V,TAXVTA!C5,'TA36'!$J:$J)</f>
        <v>1785491138</v>
      </c>
      <c r="G5" s="119">
        <f>+D5+F5</f>
        <v>24102634570</v>
      </c>
      <c r="I5" s="119" t="s">
        <v>76</v>
      </c>
      <c r="J5" s="119">
        <f>'13311'!L3</f>
        <v>1785491138</v>
      </c>
      <c r="K5" s="176">
        <f>+F5-J5</f>
        <v>0</v>
      </c>
    </row>
    <row r="6" spans="1:18" ht="12" customHeight="1" x14ac:dyDescent="0.25">
      <c r="D6" s="121">
        <f>SUM(D4:D5)</f>
        <v>1343488164238</v>
      </c>
      <c r="E6" s="121"/>
      <c r="F6" s="121">
        <f>SUM(F4:F5)</f>
        <v>107480736306</v>
      </c>
      <c r="G6" s="121">
        <f>SUM(G4:G5)</f>
        <v>1450968900544</v>
      </c>
      <c r="J6" s="121">
        <f>SUM(J4:J5)</f>
        <v>107480736306</v>
      </c>
      <c r="K6" s="176">
        <f>SUM(K4:K5)</f>
        <v>0</v>
      </c>
    </row>
    <row r="8" spans="1:18" s="306" customFormat="1" ht="40.799999999999997" x14ac:dyDescent="0.3">
      <c r="C8" s="306" t="s">
        <v>230</v>
      </c>
      <c r="D8" s="306" t="s">
        <v>219</v>
      </c>
      <c r="E8" s="306" t="s">
        <v>220</v>
      </c>
      <c r="F8" s="306" t="s">
        <v>221</v>
      </c>
      <c r="G8" s="306" t="s">
        <v>222</v>
      </c>
      <c r="O8" s="302" t="s">
        <v>1694</v>
      </c>
      <c r="P8" s="301" t="s">
        <v>1697</v>
      </c>
      <c r="Q8" s="302" t="s">
        <v>1698</v>
      </c>
    </row>
    <row r="9" spans="1:18" x14ac:dyDescent="0.25">
      <c r="D9" s="119">
        <f>SUMIFS('TA36'!$H:$H,'TA36'!$I:$I,TAXVTA!$E9)</f>
        <v>26769800</v>
      </c>
      <c r="E9" s="119">
        <v>5</v>
      </c>
      <c r="F9" s="119">
        <f>SUMIFS('TA36'!$J:$J,'TA36'!$I:$I,TAXVTA!$E$9)</f>
        <v>1338490</v>
      </c>
      <c r="G9" s="119">
        <f>D9+F9</f>
        <v>28108290</v>
      </c>
      <c r="O9" s="126" t="s">
        <v>1699</v>
      </c>
      <c r="P9" s="126">
        <f>D10</f>
        <v>1343337095251</v>
      </c>
      <c r="Q9" s="126">
        <f>F10</f>
        <v>107466967898</v>
      </c>
    </row>
    <row r="10" spans="1:18" x14ac:dyDescent="0.25">
      <c r="D10" s="119">
        <f>SUMIFS('TA36'!$H:$H,'TA36'!$I:$I,TAXVTA!$E10)</f>
        <v>1343337095251</v>
      </c>
      <c r="E10" s="119">
        <v>8</v>
      </c>
      <c r="F10" s="119">
        <f>SUMIFS('TA36'!$J:$J,'TA36'!$I:$I,TAXVTA!$E10)</f>
        <v>107466967898</v>
      </c>
      <c r="G10" s="119">
        <f>D10+F10</f>
        <v>1450804063149</v>
      </c>
    </row>
    <row r="11" spans="1:18" x14ac:dyDescent="0.25">
      <c r="D11" s="119">
        <f>SUMIFS('TA36'!$H:$H,'TA36'!$I:$I,TAXVTA!$E11)</f>
        <v>124299187</v>
      </c>
      <c r="E11" s="119">
        <v>10</v>
      </c>
      <c r="F11" s="119">
        <f>SUMIFS('TA36'!$J:$J,'TA36'!$I:$I,TAXVTA!$E11)</f>
        <v>12429918</v>
      </c>
      <c r="G11" s="119">
        <f>D11+F11</f>
        <v>136729105</v>
      </c>
    </row>
    <row r="12" spans="1:18" x14ac:dyDescent="0.25">
      <c r="D12" s="121">
        <f>SUM(D9:D11)</f>
        <v>1343488164238</v>
      </c>
      <c r="E12" s="121"/>
      <c r="F12" s="121">
        <f>SUM(F9:F11)</f>
        <v>107480736306</v>
      </c>
      <c r="G12" s="121">
        <f>SUM(G9:G11)</f>
        <v>1450968900544</v>
      </c>
    </row>
    <row r="13" spans="1:18" x14ac:dyDescent="0.25">
      <c r="D13" s="119">
        <f>'TA36'!X15</f>
        <v>1343488164238</v>
      </c>
      <c r="F13" s="119">
        <f>'TA36'!Y15</f>
        <v>107480736306</v>
      </c>
    </row>
    <row r="14" spans="1:18" s="118" customFormat="1" x14ac:dyDescent="0.25">
      <c r="A14" s="118" t="s">
        <v>190</v>
      </c>
      <c r="D14" s="118">
        <f>+D12-D13</f>
        <v>0</v>
      </c>
      <c r="F14" s="118">
        <f>+F12-F13</f>
        <v>0</v>
      </c>
    </row>
    <row r="15" spans="1:18" x14ac:dyDescent="0.25">
      <c r="C15" s="119" t="s">
        <v>84</v>
      </c>
      <c r="D15" s="119" t="s">
        <v>84</v>
      </c>
      <c r="E15" s="119" t="s">
        <v>84</v>
      </c>
      <c r="F15" s="119" t="s">
        <v>84</v>
      </c>
      <c r="G15" s="119" t="s">
        <v>127</v>
      </c>
      <c r="H15" s="119" t="s">
        <v>127</v>
      </c>
      <c r="I15" s="119" t="s">
        <v>127</v>
      </c>
      <c r="J15" s="119" t="s">
        <v>127</v>
      </c>
      <c r="K15" s="119" t="s">
        <v>201</v>
      </c>
      <c r="L15" s="119" t="s">
        <v>201</v>
      </c>
      <c r="M15" s="119" t="s">
        <v>201</v>
      </c>
      <c r="N15" s="119" t="s">
        <v>201</v>
      </c>
      <c r="O15" s="119" t="s">
        <v>136</v>
      </c>
      <c r="P15" s="119" t="s">
        <v>136</v>
      </c>
      <c r="Q15" s="119" t="s">
        <v>136</v>
      </c>
      <c r="R15" s="119" t="s">
        <v>136</v>
      </c>
    </row>
    <row r="16" spans="1:18" x14ac:dyDescent="0.25">
      <c r="C16" s="119" t="s">
        <v>186</v>
      </c>
      <c r="D16" s="119" t="s">
        <v>187</v>
      </c>
      <c r="E16" s="119" t="s">
        <v>188</v>
      </c>
      <c r="F16" s="119" t="s">
        <v>189</v>
      </c>
      <c r="G16" s="119" t="s">
        <v>186</v>
      </c>
      <c r="H16" s="119" t="s">
        <v>187</v>
      </c>
      <c r="I16" s="119" t="s">
        <v>188</v>
      </c>
      <c r="J16" s="119" t="s">
        <v>189</v>
      </c>
      <c r="K16" s="119" t="s">
        <v>186</v>
      </c>
      <c r="L16" s="119" t="s">
        <v>187</v>
      </c>
      <c r="M16" s="119" t="s">
        <v>188</v>
      </c>
      <c r="N16" s="119" t="s">
        <v>189</v>
      </c>
      <c r="O16" s="119" t="s">
        <v>186</v>
      </c>
      <c r="P16" s="119" t="s">
        <v>187</v>
      </c>
      <c r="Q16" s="119" t="s">
        <v>188</v>
      </c>
      <c r="R16" s="119" t="s">
        <v>189</v>
      </c>
    </row>
    <row r="17" spans="1:18" x14ac:dyDescent="0.25">
      <c r="A17" s="119" t="s">
        <v>135</v>
      </c>
      <c r="B17" s="124" t="s">
        <v>129</v>
      </c>
      <c r="C17" s="119">
        <f>GCS!H40</f>
        <v>654867197777</v>
      </c>
      <c r="E17" s="119">
        <f>GCS!I40</f>
        <v>52389375828</v>
      </c>
      <c r="F17" s="119">
        <f>GCS!J40</f>
        <v>707256573605</v>
      </c>
      <c r="G17" s="119">
        <f>+GCS!K35</f>
        <v>166049636</v>
      </c>
      <c r="I17" s="119">
        <f>GCS!L35</f>
        <v>13283972</v>
      </c>
      <c r="J17" s="119">
        <f>GCS!M35</f>
        <v>179333608</v>
      </c>
      <c r="K17" s="119">
        <f>GCS!H41</f>
        <v>158073900</v>
      </c>
      <c r="M17" s="119">
        <v>0</v>
      </c>
      <c r="N17" s="119">
        <f>GCS!J41</f>
        <v>158073900</v>
      </c>
      <c r="O17" s="119">
        <f>C17+G17+K17</f>
        <v>655191321313</v>
      </c>
      <c r="Q17" s="119">
        <f>+E17+I17</f>
        <v>52402659800</v>
      </c>
      <c r="R17" s="119">
        <f>+O17+Q17</f>
        <v>707593981113</v>
      </c>
    </row>
    <row r="18" spans="1:18" x14ac:dyDescent="0.25">
      <c r="A18" s="119" t="s">
        <v>135</v>
      </c>
      <c r="B18" s="124" t="s">
        <v>130</v>
      </c>
      <c r="C18" s="119">
        <f>+GCS!H47</f>
        <v>765642586406</v>
      </c>
      <c r="E18" s="119">
        <f>+GCS!I47</f>
        <v>61251406929</v>
      </c>
      <c r="F18" s="119">
        <f>GCS!J47</f>
        <v>826893993335</v>
      </c>
      <c r="G18" s="119">
        <f>+GCS!K36</f>
        <v>596561995</v>
      </c>
      <c r="I18" s="119">
        <f>GCS!L36</f>
        <v>47724956</v>
      </c>
      <c r="J18" s="119">
        <f>GCS!M36</f>
        <v>644286951</v>
      </c>
      <c r="K18" s="119">
        <f>GCS!H48</f>
        <v>95871352</v>
      </c>
      <c r="N18" s="119">
        <f>GCS!J48</f>
        <v>95871352</v>
      </c>
      <c r="O18" s="119">
        <f>+C18+G18+K18</f>
        <v>766335019753</v>
      </c>
      <c r="Q18" s="119">
        <f>+E18+I18</f>
        <v>61299131885</v>
      </c>
      <c r="R18" s="119">
        <f>+O18+Q18</f>
        <v>827634151638</v>
      </c>
    </row>
    <row r="19" spans="1:18" x14ac:dyDescent="0.25">
      <c r="C19" s="121">
        <f>SUM(C17:C18)</f>
        <v>1420509784183</v>
      </c>
      <c r="E19" s="121">
        <f>SUM(E17:E18)</f>
        <v>113640782757</v>
      </c>
      <c r="F19" s="121">
        <f>SUM(F17:F18)</f>
        <v>1534150566940</v>
      </c>
      <c r="G19" s="121">
        <f>SUM(G17:G18)</f>
        <v>762611631</v>
      </c>
      <c r="I19" s="121">
        <f t="shared" ref="I19:N19" si="0">SUM(I17:I18)</f>
        <v>61008928</v>
      </c>
      <c r="J19" s="121">
        <f t="shared" si="0"/>
        <v>823620559</v>
      </c>
      <c r="K19" s="121">
        <f t="shared" si="0"/>
        <v>253945252</v>
      </c>
      <c r="L19" s="121">
        <f t="shared" si="0"/>
        <v>0</v>
      </c>
      <c r="M19" s="121">
        <f t="shared" si="0"/>
        <v>0</v>
      </c>
      <c r="N19" s="121">
        <f t="shared" si="0"/>
        <v>253945252</v>
      </c>
      <c r="O19" s="121">
        <f>SUM(O17:O18)</f>
        <v>1421526341066</v>
      </c>
      <c r="Q19" s="121">
        <f>SUM(Q17:Q18)</f>
        <v>113701791685</v>
      </c>
      <c r="R19" s="121">
        <f>SUM(R17:R18)</f>
        <v>1535228132751</v>
      </c>
    </row>
    <row r="20" spans="1:18" x14ac:dyDescent="0.25">
      <c r="A20" s="119" t="s">
        <v>125</v>
      </c>
      <c r="C20" s="118">
        <f>'4A'!D13</f>
        <v>1420509784183</v>
      </c>
      <c r="E20" s="118">
        <f>'4A'!E13</f>
        <v>113640782757</v>
      </c>
      <c r="F20" s="119">
        <f>'4A'!F13</f>
        <v>1534150566940</v>
      </c>
      <c r="G20" s="118">
        <f>+'4A'!D9</f>
        <v>762611631</v>
      </c>
      <c r="I20" s="118">
        <f>+'4A'!E9</f>
        <v>61008928</v>
      </c>
      <c r="J20" s="118">
        <f>+'4A'!F9</f>
        <v>823620559</v>
      </c>
      <c r="K20" s="118">
        <f>'4A'!D12</f>
        <v>253945252</v>
      </c>
      <c r="L20" s="118"/>
      <c r="M20" s="118">
        <f>+'4A'!I9</f>
        <v>0</v>
      </c>
      <c r="N20" s="118">
        <f>'4A'!F12</f>
        <v>253945252</v>
      </c>
      <c r="O20" s="118">
        <f>C20+G20+K20</f>
        <v>1421526341066</v>
      </c>
      <c r="Q20" s="118">
        <f>+E20+I20</f>
        <v>113701791685</v>
      </c>
      <c r="R20" s="119">
        <f>O20+Q20</f>
        <v>1535228132751</v>
      </c>
    </row>
    <row r="21" spans="1:18" s="176" customFormat="1" x14ac:dyDescent="0.25">
      <c r="A21" s="176" t="s">
        <v>138</v>
      </c>
      <c r="B21" s="176" t="s">
        <v>137</v>
      </c>
      <c r="C21" s="176">
        <f t="shared" ref="C21:R21" si="1">+C19-C20</f>
        <v>0</v>
      </c>
      <c r="D21" s="176">
        <f t="shared" si="1"/>
        <v>0</v>
      </c>
      <c r="E21" s="176">
        <f t="shared" si="1"/>
        <v>0</v>
      </c>
      <c r="F21" s="176">
        <f t="shared" si="1"/>
        <v>0</v>
      </c>
      <c r="G21" s="176">
        <f t="shared" si="1"/>
        <v>0</v>
      </c>
      <c r="H21" s="176">
        <f t="shared" si="1"/>
        <v>0</v>
      </c>
      <c r="I21" s="176">
        <f t="shared" si="1"/>
        <v>0</v>
      </c>
      <c r="J21" s="176">
        <f t="shared" si="1"/>
        <v>0</v>
      </c>
      <c r="K21" s="176">
        <f t="shared" si="1"/>
        <v>0</v>
      </c>
      <c r="L21" s="176">
        <f t="shared" si="1"/>
        <v>0</v>
      </c>
      <c r="M21" s="176">
        <f t="shared" si="1"/>
        <v>0</v>
      </c>
      <c r="N21" s="176">
        <f t="shared" si="1"/>
        <v>0</v>
      </c>
      <c r="O21" s="176">
        <f t="shared" si="1"/>
        <v>0</v>
      </c>
      <c r="P21" s="176">
        <f t="shared" si="1"/>
        <v>0</v>
      </c>
      <c r="Q21" s="176">
        <f t="shared" si="1"/>
        <v>0</v>
      </c>
      <c r="R21" s="176">
        <f t="shared" si="1"/>
        <v>0</v>
      </c>
    </row>
    <row r="23" spans="1:18" x14ac:dyDescent="0.25">
      <c r="A23" s="119" t="s">
        <v>126</v>
      </c>
      <c r="C23" s="125">
        <f>'0903'!X3</f>
        <v>1420509784183</v>
      </c>
      <c r="G23" s="125">
        <f>'0903'!X4+'0903'!X1</f>
        <v>762611631</v>
      </c>
      <c r="K23" s="125">
        <f>'0903'!X2</f>
        <v>253945252</v>
      </c>
      <c r="O23" s="125">
        <f>SUM(C23:N23)</f>
        <v>1421526341066</v>
      </c>
    </row>
    <row r="24" spans="1:18" s="176" customFormat="1" x14ac:dyDescent="0.25">
      <c r="A24" s="176" t="s">
        <v>138</v>
      </c>
      <c r="B24" s="176" t="s">
        <v>139</v>
      </c>
      <c r="C24" s="176">
        <f>+C20-C23</f>
        <v>0</v>
      </c>
      <c r="G24" s="176">
        <f>+G20-G23</f>
        <v>0</v>
      </c>
      <c r="K24" s="176">
        <f>+K20-K23</f>
        <v>0</v>
      </c>
      <c r="O24" s="176">
        <f>+O20-O23</f>
        <v>0</v>
      </c>
    </row>
    <row r="26" spans="1:18" x14ac:dyDescent="0.25">
      <c r="A26" s="119" t="s">
        <v>121</v>
      </c>
      <c r="C26" s="126"/>
      <c r="D26" s="127" t="s">
        <v>262</v>
      </c>
      <c r="E26" s="127"/>
      <c r="F26" s="292" t="s">
        <v>1591</v>
      </c>
      <c r="G26" s="292"/>
      <c r="H26" s="127" t="s">
        <v>1590</v>
      </c>
      <c r="I26" s="127"/>
      <c r="J26" s="128" t="s">
        <v>263</v>
      </c>
      <c r="K26" s="128"/>
      <c r="L26" s="157"/>
    </row>
    <row r="27" spans="1:18" x14ac:dyDescent="0.25">
      <c r="C27" s="126"/>
      <c r="D27" s="126" t="s">
        <v>219</v>
      </c>
      <c r="E27" s="126" t="s">
        <v>221</v>
      </c>
      <c r="F27" s="293" t="s">
        <v>219</v>
      </c>
      <c r="G27" s="293" t="s">
        <v>221</v>
      </c>
      <c r="H27" s="126" t="s">
        <v>219</v>
      </c>
      <c r="I27" s="126" t="s">
        <v>221</v>
      </c>
      <c r="J27" s="126" t="s">
        <v>219</v>
      </c>
      <c r="K27" s="129" t="s">
        <v>221</v>
      </c>
      <c r="L27" s="157"/>
    </row>
    <row r="28" spans="1:18" x14ac:dyDescent="0.25">
      <c r="C28" s="149" t="s">
        <v>201</v>
      </c>
      <c r="D28" s="149">
        <f>SUMIFS('TA35'!$H:$H,'TA35'!$T:$T,TAXVTA!$C28)</f>
        <v>239893600</v>
      </c>
      <c r="E28" s="149">
        <f>SUMIFS('TA35'!$J:$J,'TA35'!$T:$T,TAXVTA!$C28)</f>
        <v>0</v>
      </c>
      <c r="F28" s="293">
        <v>81819700</v>
      </c>
      <c r="G28" s="293"/>
      <c r="H28" s="149">
        <f>GCS!H41</f>
        <v>158073900</v>
      </c>
      <c r="I28" s="149"/>
      <c r="J28" s="149">
        <f>D28-F28-H28</f>
        <v>0</v>
      </c>
      <c r="K28" s="149">
        <f t="shared" ref="K28" si="2">E28-G28-I28</f>
        <v>0</v>
      </c>
      <c r="L28" s="157"/>
    </row>
    <row r="29" spans="1:18" x14ac:dyDescent="0.25">
      <c r="C29" s="149" t="s">
        <v>84</v>
      </c>
      <c r="D29" s="149">
        <f>SUMIFS('TA35'!$H:$H,'TA35'!$T:$T,TAXVTA!$C29)</f>
        <v>1356716633174</v>
      </c>
      <c r="E29" s="149">
        <f>SUMIFS('TA35'!$J:$J,'TA35'!$T:$T,TAXVTA!$C29)</f>
        <v>108537330869</v>
      </c>
      <c r="F29" s="293">
        <v>701849435397</v>
      </c>
      <c r="G29" s="293">
        <v>56147955041</v>
      </c>
      <c r="H29" s="149">
        <f>GCS!H40</f>
        <v>654867197777</v>
      </c>
      <c r="I29" s="149">
        <f>GCS!I40</f>
        <v>52389375828</v>
      </c>
      <c r="J29" s="149">
        <f>D29-F29-H29</f>
        <v>0</v>
      </c>
      <c r="K29" s="149">
        <f>E29-G29-I29</f>
        <v>0</v>
      </c>
      <c r="L29" s="157"/>
    </row>
    <row r="30" spans="1:18" x14ac:dyDescent="0.25">
      <c r="C30" s="149" t="s">
        <v>127</v>
      </c>
      <c r="D30" s="149">
        <f>SUMIFS('TA35'!$H:$H,'TA35'!$T:$T,TAXVTA!$C30)+'TA35'!W5</f>
        <v>641477615</v>
      </c>
      <c r="E30" s="149">
        <f>SUMIFS('TA35'!$J:$J,'TA35'!$T:$T,TAXVTA!$C30)</f>
        <v>51318199</v>
      </c>
      <c r="F30" s="293">
        <v>475427979</v>
      </c>
      <c r="G30" s="293">
        <v>38034227</v>
      </c>
      <c r="H30" s="149">
        <f>GCS!L42</f>
        <v>166049636</v>
      </c>
      <c r="I30" s="149">
        <f>GCS!M40</f>
        <v>13283972</v>
      </c>
      <c r="J30" s="149">
        <f>D30-F30-H30</f>
        <v>0</v>
      </c>
      <c r="K30" s="149">
        <f>E30-G30-I30</f>
        <v>0</v>
      </c>
      <c r="L30" s="157"/>
    </row>
    <row r="31" spans="1:18" x14ac:dyDescent="0.25">
      <c r="C31" s="129" t="s">
        <v>1686</v>
      </c>
      <c r="D31" s="129">
        <f>SUMIFS('TA35'!$H:$H,'TA35'!$T:$T,TAXVTA!$C31)</f>
        <v>4451010687</v>
      </c>
      <c r="E31" s="129">
        <f>SUMIFS('TA35'!$J:$J,'TA35'!$T:$T,TAXVTA!$C31)</f>
        <v>356080855</v>
      </c>
      <c r="F31" s="293"/>
      <c r="G31" s="293"/>
      <c r="H31" s="129"/>
      <c r="I31" s="129"/>
      <c r="J31" s="129"/>
      <c r="K31" s="129"/>
      <c r="L31" s="157"/>
    </row>
    <row r="32" spans="1:18" x14ac:dyDescent="0.25">
      <c r="C32" s="129" t="s">
        <v>361</v>
      </c>
      <c r="D32" s="129">
        <f>SUMIFS('TA35'!$H:$H,'TA35'!$T:$T,TAXVTA!$C32)</f>
        <v>0</v>
      </c>
      <c r="E32" s="129">
        <f>SUMIFS('TA35'!$J:$J,'TA35'!$T:$T,TAXVTA!$C32)</f>
        <v>0</v>
      </c>
      <c r="F32" s="293"/>
      <c r="G32" s="293"/>
      <c r="H32" s="129"/>
      <c r="I32" s="129"/>
      <c r="J32" s="129"/>
      <c r="K32" s="129"/>
      <c r="L32" s="157"/>
    </row>
    <row r="33" spans="1:17" x14ac:dyDescent="0.25">
      <c r="C33" s="129" t="s">
        <v>276</v>
      </c>
      <c r="D33" s="129">
        <f>SUMIFS('TA35'!$H:$H,'TA35'!$T:$T,TAXVTA!$C33)</f>
        <v>253573360</v>
      </c>
      <c r="E33" s="129">
        <f>SUMIFS('TA35'!$J:$J,'TA35'!$T:$T,TAXVTA!$C33)</f>
        <v>20285870</v>
      </c>
      <c r="F33" s="293"/>
      <c r="G33" s="293"/>
      <c r="H33" s="129"/>
      <c r="I33" s="129"/>
      <c r="J33" s="129"/>
      <c r="K33" s="129"/>
      <c r="L33" s="157"/>
    </row>
    <row r="34" spans="1:17" x14ac:dyDescent="0.25">
      <c r="C34" s="150" t="s">
        <v>261</v>
      </c>
      <c r="D34" s="129">
        <f t="shared" ref="D34:K34" si="3">SUM(D28:D33)</f>
        <v>1362302588436</v>
      </c>
      <c r="E34" s="129">
        <f t="shared" si="3"/>
        <v>108965015793</v>
      </c>
      <c r="F34" s="293">
        <f t="shared" si="3"/>
        <v>702406683076</v>
      </c>
      <c r="G34" s="293">
        <f t="shared" si="3"/>
        <v>56185989268</v>
      </c>
      <c r="H34" s="129">
        <f t="shared" si="3"/>
        <v>655191321313</v>
      </c>
      <c r="I34" s="129">
        <f t="shared" si="3"/>
        <v>52402659800</v>
      </c>
      <c r="J34" s="129">
        <f t="shared" si="3"/>
        <v>0</v>
      </c>
      <c r="K34" s="129">
        <f t="shared" si="3"/>
        <v>0</v>
      </c>
      <c r="L34" s="157"/>
    </row>
    <row r="35" spans="1:17" x14ac:dyDescent="0.25">
      <c r="L35" s="157"/>
    </row>
    <row r="36" spans="1:17" x14ac:dyDescent="0.25">
      <c r="A36" s="119" t="s">
        <v>245</v>
      </c>
      <c r="E36" s="130">
        <f>SUMIFS('33895'!$K:$K,'33895'!$J:$J,TAXVTA!C$15)</f>
        <v>61251406929</v>
      </c>
      <c r="I36" s="130">
        <f>SUMIFS('33895'!$K:$K,'33895'!$J:$J,TAXVTA!G$15)</f>
        <v>47724956</v>
      </c>
      <c r="L36" s="157"/>
      <c r="Q36" s="130">
        <f>+E36+I36</f>
        <v>61299131885</v>
      </c>
    </row>
    <row r="37" spans="1:17" s="176" customFormat="1" x14ac:dyDescent="0.25">
      <c r="A37" s="176" t="s">
        <v>138</v>
      </c>
      <c r="B37" s="176" t="s">
        <v>244</v>
      </c>
      <c r="E37" s="176">
        <f>+E18-E36</f>
        <v>0</v>
      </c>
      <c r="I37" s="176">
        <f>+I18-I36</f>
        <v>0</v>
      </c>
      <c r="Q37" s="176">
        <f>+Q18-Q36</f>
        <v>0</v>
      </c>
    </row>
    <row r="38" spans="1:17" x14ac:dyDescent="0.25">
      <c r="D38" s="119" t="s">
        <v>219</v>
      </c>
      <c r="E38" s="119" t="s">
        <v>221</v>
      </c>
      <c r="L38" s="157"/>
    </row>
    <row r="39" spans="1:17" x14ac:dyDescent="0.25">
      <c r="A39" s="119" t="s">
        <v>180</v>
      </c>
      <c r="B39" s="119" t="s">
        <v>181</v>
      </c>
      <c r="D39" s="125">
        <f>'333111'!M2</f>
        <v>52389375828</v>
      </c>
      <c r="E39" s="119">
        <f>+'333111'!M7</f>
        <v>52402659800</v>
      </c>
      <c r="L39" s="157"/>
    </row>
    <row r="40" spans="1:17" s="176" customFormat="1" x14ac:dyDescent="0.25">
      <c r="A40" s="176" t="s">
        <v>138</v>
      </c>
      <c r="B40" s="176" t="s">
        <v>182</v>
      </c>
      <c r="D40" s="176">
        <f>E17-D39</f>
        <v>0</v>
      </c>
      <c r="E40" s="176">
        <f>D40+G29</f>
        <v>56147955041</v>
      </c>
    </row>
    <row r="41" spans="1:17" s="176" customFormat="1" x14ac:dyDescent="0.25">
      <c r="A41" s="176" t="s">
        <v>138</v>
      </c>
      <c r="B41" s="176" t="s">
        <v>183</v>
      </c>
      <c r="D41" s="176">
        <f>D39-E29</f>
        <v>-56147955041</v>
      </c>
    </row>
    <row r="43" spans="1:17" ht="20.399999999999999" customHeight="1" x14ac:dyDescent="0.25">
      <c r="O43" s="303" t="s">
        <v>1694</v>
      </c>
      <c r="P43" s="304" t="s">
        <v>1695</v>
      </c>
      <c r="Q43" s="305" t="s">
        <v>1696</v>
      </c>
    </row>
    <row r="44" spans="1:17" x14ac:dyDescent="0.25">
      <c r="A44" s="126"/>
      <c r="B44" s="211" t="s">
        <v>217</v>
      </c>
      <c r="C44" s="212" t="s">
        <v>186</v>
      </c>
      <c r="D44" s="212" t="s">
        <v>187</v>
      </c>
      <c r="E44" s="212" t="s">
        <v>188</v>
      </c>
      <c r="F44" s="212" t="s">
        <v>189</v>
      </c>
      <c r="G44" s="126"/>
      <c r="H44" s="126"/>
      <c r="I44" s="126"/>
      <c r="J44" s="126"/>
      <c r="K44" s="126"/>
      <c r="L44" s="126"/>
      <c r="M44" s="309" t="s">
        <v>441</v>
      </c>
      <c r="O44" s="126" t="s">
        <v>1691</v>
      </c>
      <c r="P44" s="126">
        <f>C46+C48</f>
        <v>1357358110789</v>
      </c>
      <c r="Q44" s="126">
        <f>E46+E48</f>
        <v>108588649068</v>
      </c>
    </row>
    <row r="45" spans="1:17" x14ac:dyDescent="0.25">
      <c r="A45" s="126" t="s">
        <v>119</v>
      </c>
      <c r="B45" s="213" t="s">
        <v>201</v>
      </c>
      <c r="C45" s="129">
        <f>SUMIFS('TA35'!$H:$H,'TA35'!$T:$T,TAXVTA!B45,'TA35'!$I:$I,TAXVTA!D45)</f>
        <v>239893600</v>
      </c>
      <c r="D45" s="214">
        <v>0</v>
      </c>
      <c r="E45" s="129">
        <f>SUMIFS('TA35'!$J:$J,'TA35'!$T:$T,TAXVTA!B45,'TA35'!$I:$I,TAXVTA!D45)</f>
        <v>0</v>
      </c>
      <c r="F45" s="126">
        <f t="shared" ref="F45:F52" si="4">C45+E45</f>
        <v>239893600</v>
      </c>
      <c r="G45" s="126"/>
      <c r="H45" s="126"/>
      <c r="I45" s="126"/>
      <c r="J45" s="126"/>
      <c r="K45" s="126">
        <v>91678635810</v>
      </c>
      <c r="L45" s="126"/>
      <c r="M45" s="309"/>
      <c r="O45" s="126" t="s">
        <v>1692</v>
      </c>
      <c r="P45" s="126">
        <f>C49</f>
        <v>4451010687</v>
      </c>
      <c r="Q45" s="126">
        <f>E49</f>
        <v>356080855</v>
      </c>
    </row>
    <row r="46" spans="1:17" x14ac:dyDescent="0.25">
      <c r="A46" s="126" t="s">
        <v>119</v>
      </c>
      <c r="B46" s="126" t="s">
        <v>84</v>
      </c>
      <c r="C46" s="129">
        <f>SUMIFS('TA35'!$H:$H,'TA35'!$T:$T,TAXVTA!B46,'TA35'!$I:$I,TAXVTA!D46)</f>
        <v>1356716633174</v>
      </c>
      <c r="D46" s="126">
        <v>8</v>
      </c>
      <c r="E46" s="129">
        <f>SUMIFS('TA35'!$J:$J,'TA35'!$T:$T,TAXVTA!B46,'TA35'!$I:$I,TAXVTA!D46)</f>
        <v>108537330869</v>
      </c>
      <c r="F46" s="126">
        <f t="shared" si="4"/>
        <v>1465253964043</v>
      </c>
      <c r="G46" s="126"/>
      <c r="H46" s="126"/>
      <c r="I46" s="126"/>
      <c r="J46" s="126"/>
      <c r="K46" s="126">
        <v>14156022</v>
      </c>
      <c r="L46" s="126"/>
      <c r="M46" s="309"/>
      <c r="O46" s="126" t="s">
        <v>1693</v>
      </c>
      <c r="P46" s="126">
        <f>C51</f>
        <v>253573360</v>
      </c>
      <c r="Q46" s="126">
        <f>E51</f>
        <v>20285870</v>
      </c>
    </row>
    <row r="47" spans="1:17" x14ac:dyDescent="0.25">
      <c r="A47" s="126" t="s">
        <v>279</v>
      </c>
      <c r="B47" s="126" t="s">
        <v>247</v>
      </c>
      <c r="C47" s="129">
        <f>SUMIFS('TA35'!$H:$H,'TA35'!$T:$T,TAXVTA!B47,'TA35'!$I:$I,TAXVTA!D47)</f>
        <v>0</v>
      </c>
      <c r="D47" s="214">
        <v>0</v>
      </c>
      <c r="E47" s="129">
        <f>SUMIFS('TA35'!$J:$J,'TA35'!$T:$T,TAXVTA!B47,'TA35'!$I:$I,TAXVTA!D47)</f>
        <v>0</v>
      </c>
      <c r="F47" s="126">
        <f t="shared" si="4"/>
        <v>0</v>
      </c>
      <c r="G47" s="126"/>
      <c r="H47" s="126"/>
      <c r="I47" s="126"/>
      <c r="J47" s="126"/>
      <c r="K47" s="126">
        <v>7350000</v>
      </c>
      <c r="L47" s="126"/>
      <c r="M47" s="309"/>
      <c r="P47" s="119">
        <f>SUM(P44:P46)</f>
        <v>1362062694836</v>
      </c>
      <c r="Q47" s="119">
        <f>SUM(Q44:Q46)</f>
        <v>108965015793</v>
      </c>
    </row>
    <row r="48" spans="1:17" x14ac:dyDescent="0.25">
      <c r="A48" s="126" t="s">
        <v>279</v>
      </c>
      <c r="B48" s="126" t="s">
        <v>127</v>
      </c>
      <c r="C48" s="129">
        <f>SUMIFS('TA35'!$H:$H,'TA35'!$T:$T,TAXVTA!B48,'TA35'!$I:$I,TAXVTA!D48)</f>
        <v>641477615</v>
      </c>
      <c r="D48" s="126">
        <v>8</v>
      </c>
      <c r="E48" s="129">
        <f>SUMIFS('TA35'!$J:$J,'TA35'!$T:$T,TAXVTA!B48,'TA35'!$I:$I,TAXVTA!D48)</f>
        <v>51318199</v>
      </c>
      <c r="F48" s="126">
        <f t="shared" si="4"/>
        <v>692795814</v>
      </c>
      <c r="G48" s="126"/>
      <c r="H48" s="126">
        <f>C46+C47</f>
        <v>1356716633174</v>
      </c>
      <c r="I48" s="126">
        <f>E46+E47</f>
        <v>108537330869</v>
      </c>
      <c r="J48" s="126">
        <f>H48*10%</f>
        <v>135671663317.40001</v>
      </c>
      <c r="K48" s="126">
        <v>127322953</v>
      </c>
      <c r="L48" s="126"/>
      <c r="M48" s="309"/>
    </row>
    <row r="49" spans="1:17" x14ac:dyDescent="0.25">
      <c r="A49" s="126" t="s">
        <v>298</v>
      </c>
      <c r="B49" s="126" t="s">
        <v>1686</v>
      </c>
      <c r="C49" s="129">
        <f>SUMIFS('TA35'!$H:$H,'TA35'!$T:$T,TAXVTA!B49,'TA35'!$I:$I,TAXVTA!D49)</f>
        <v>4451010687</v>
      </c>
      <c r="D49" s="126">
        <v>8</v>
      </c>
      <c r="E49" s="129">
        <f>SUMIFS('TA35'!$J:$J,'TA35'!$T:$T,TAXVTA!B49,'TA35'!$I:$I,TAXVTA!D49)</f>
        <v>356080855</v>
      </c>
      <c r="F49" s="126">
        <f t="shared" si="4"/>
        <v>4807091542</v>
      </c>
      <c r="G49" s="126"/>
      <c r="H49" s="126">
        <f>C46+C47+C48+C49+C52</f>
        <v>1361809121476</v>
      </c>
      <c r="I49" s="126"/>
      <c r="J49" s="126">
        <f>H49*10%</f>
        <v>136180912147.60001</v>
      </c>
      <c r="K49" s="126">
        <f>SUM(K45:K48)</f>
        <v>91827464785</v>
      </c>
      <c r="L49" s="126">
        <f>J49-K49</f>
        <v>44353447362.600006</v>
      </c>
      <c r="M49" s="309"/>
    </row>
    <row r="50" spans="1:17" x14ac:dyDescent="0.25">
      <c r="A50" s="126" t="s">
        <v>298</v>
      </c>
      <c r="B50" s="126" t="s">
        <v>1686</v>
      </c>
      <c r="C50" s="129">
        <f>SUMIFS('TA35'!$H:$H,'TA35'!$T:$T,TAXVTA!B50,'TA35'!$I:$I,TAXVTA!D50)</f>
        <v>0</v>
      </c>
      <c r="D50" s="126">
        <v>10</v>
      </c>
      <c r="E50" s="129">
        <f>SUMIFS('TA35'!$J:$J,'TA35'!$T:$T,TAXVTA!B50,'TA35'!$I:$I,TAXVTA!D50)</f>
        <v>0</v>
      </c>
      <c r="F50" s="126"/>
      <c r="G50" s="126"/>
      <c r="H50" s="126"/>
      <c r="I50" s="126"/>
      <c r="J50" s="126"/>
      <c r="K50" s="126"/>
      <c r="L50" s="126"/>
      <c r="M50" s="309"/>
    </row>
    <row r="51" spans="1:17" ht="12" customHeight="1" x14ac:dyDescent="0.25">
      <c r="A51" s="126" t="s">
        <v>278</v>
      </c>
      <c r="B51" s="126" t="s">
        <v>276</v>
      </c>
      <c r="C51" s="129">
        <f>SUMIFS('TA35'!$H:$H,'TA35'!$T:$T,TAXVTA!B51,'TA35'!$I:$I,TAXVTA!D51)</f>
        <v>253573360</v>
      </c>
      <c r="D51" s="126">
        <v>8</v>
      </c>
      <c r="E51" s="129">
        <f>SUMIFS('TA35'!$J:$J,'TA35'!$T:$T,TAXVTA!B51,'TA35'!$I:$I,TAXVTA!D51)</f>
        <v>20285870</v>
      </c>
      <c r="F51" s="126">
        <f t="shared" si="4"/>
        <v>273859230</v>
      </c>
      <c r="G51" s="126"/>
      <c r="H51" s="126"/>
      <c r="I51" s="126"/>
      <c r="J51" s="126"/>
      <c r="K51" s="126"/>
      <c r="L51" s="126"/>
      <c r="M51" s="309"/>
    </row>
    <row r="52" spans="1:17" x14ac:dyDescent="0.25">
      <c r="A52" s="126"/>
      <c r="B52" s="126"/>
      <c r="C52" s="129">
        <f>SUMIFS('TA35'!$H:$H,'TA35'!$T:$T,TAXVTA!$B52,'TA35'!$I:$I,TAXVTA!$D52)</f>
        <v>0</v>
      </c>
      <c r="D52" s="126"/>
      <c r="E52" s="129">
        <f>SUMIFS('TA35'!$J:$J,'TA35'!$T:$T,TAXVTA!B52,'TA35'!$I:$I,TAXVTA!D52)</f>
        <v>0</v>
      </c>
      <c r="F52" s="126">
        <f t="shared" si="4"/>
        <v>0</v>
      </c>
      <c r="G52" s="126"/>
      <c r="H52" s="126"/>
      <c r="I52" s="126"/>
      <c r="J52" s="126"/>
      <c r="K52" s="126"/>
      <c r="L52" s="126"/>
      <c r="M52" s="309"/>
    </row>
    <row r="53" spans="1:17" x14ac:dyDescent="0.25">
      <c r="A53" s="126"/>
      <c r="B53" s="126"/>
      <c r="C53" s="149">
        <f>SUM(C45:C52)</f>
        <v>1362302588436</v>
      </c>
      <c r="D53" s="126"/>
      <c r="E53" s="149">
        <f t="shared" ref="E53:F53" si="5">SUM(E45:E52)</f>
        <v>108965015793</v>
      </c>
      <c r="F53" s="149">
        <f t="shared" si="5"/>
        <v>1471267604229</v>
      </c>
      <c r="G53" s="126"/>
      <c r="H53" s="126">
        <f>C53-C45</f>
        <v>1362062694836</v>
      </c>
      <c r="I53" s="126"/>
      <c r="J53" s="126"/>
      <c r="K53" s="126"/>
      <c r="L53" s="126"/>
      <c r="M53" s="309"/>
    </row>
    <row r="54" spans="1:17" x14ac:dyDescent="0.25">
      <c r="A54" s="126"/>
      <c r="B54" s="126"/>
      <c r="C54" s="126">
        <f>'TA35'!H51</f>
        <v>1362302588436</v>
      </c>
      <c r="D54" s="126"/>
      <c r="E54" s="126">
        <f>'TA35'!J51</f>
        <v>108965015793</v>
      </c>
      <c r="F54" s="126">
        <f>'TA35'!J54</f>
        <v>0</v>
      </c>
      <c r="G54" s="126"/>
      <c r="H54" s="126"/>
      <c r="I54" s="126"/>
      <c r="J54" s="126"/>
      <c r="K54" s="126"/>
      <c r="L54" s="126"/>
      <c r="M54" s="309"/>
    </row>
    <row r="55" spans="1:17" x14ac:dyDescent="0.25">
      <c r="C55" s="119">
        <f>+C53-C54</f>
        <v>0</v>
      </c>
      <c r="E55" s="119">
        <f>+E53-E54</f>
        <v>0</v>
      </c>
      <c r="F55" s="119">
        <f>+F53-F54</f>
        <v>1471267604229</v>
      </c>
      <c r="O55" s="118"/>
      <c r="P55" s="118"/>
      <c r="Q55" s="118"/>
    </row>
    <row r="56" spans="1:17" s="118" customFormat="1" x14ac:dyDescent="0.25">
      <c r="A56" s="118" t="s">
        <v>191</v>
      </c>
      <c r="C56" s="118" t="s">
        <v>887</v>
      </c>
      <c r="O56" s="119"/>
      <c r="P56" s="119"/>
      <c r="Q56" s="119"/>
    </row>
    <row r="57" spans="1:17" x14ac:dyDescent="0.25">
      <c r="O57" s="165"/>
      <c r="P57" s="165"/>
      <c r="Q57" s="165"/>
    </row>
    <row r="58" spans="1:17" s="165" customFormat="1" x14ac:dyDescent="0.25">
      <c r="C58" s="166" t="s">
        <v>218</v>
      </c>
      <c r="D58" s="166" t="s">
        <v>219</v>
      </c>
      <c r="E58" s="166" t="s">
        <v>220</v>
      </c>
      <c r="F58" s="166" t="s">
        <v>221</v>
      </c>
      <c r="G58" s="166" t="s">
        <v>222</v>
      </c>
      <c r="I58" s="166" t="s">
        <v>389</v>
      </c>
      <c r="J58" s="166" t="s">
        <v>219</v>
      </c>
      <c r="K58" s="166" t="s">
        <v>220</v>
      </c>
      <c r="L58" s="166" t="s">
        <v>221</v>
      </c>
      <c r="M58" s="166" t="s">
        <v>222</v>
      </c>
      <c r="N58" s="166"/>
      <c r="O58" s="119"/>
      <c r="P58" s="119"/>
      <c r="Q58" s="119"/>
    </row>
    <row r="59" spans="1:17" x14ac:dyDescent="0.25">
      <c r="B59" s="131"/>
      <c r="D59" s="132"/>
      <c r="E59" s="132"/>
      <c r="F59" s="132"/>
      <c r="G59" s="132"/>
      <c r="J59" s="119">
        <f>SUMIF('TA35'!$I:$I,TAXVTA!K59,'TA35'!$H:$H)</f>
        <v>239893600</v>
      </c>
      <c r="K59" s="119">
        <v>0</v>
      </c>
      <c r="L59" s="119">
        <f>SUMIF('TA35'!$I:$I,TAXVTA!K59,'TA35'!$J:$J)</f>
        <v>0</v>
      </c>
      <c r="M59" s="119">
        <f>J59+L59</f>
        <v>239893600</v>
      </c>
      <c r="N59" s="132"/>
    </row>
    <row r="60" spans="1:17" x14ac:dyDescent="0.25">
      <c r="D60" s="119">
        <f>D9</f>
        <v>26769800</v>
      </c>
      <c r="E60" s="119">
        <v>5</v>
      </c>
      <c r="F60" s="119">
        <f>F9</f>
        <v>1338490</v>
      </c>
      <c r="G60" s="119">
        <f>D60+F60</f>
        <v>28108290</v>
      </c>
      <c r="J60" s="119">
        <f>SUMIF('TA35'!$I:$I,TAXVTA!K60,'TA35'!$H:$H)</f>
        <v>0</v>
      </c>
      <c r="K60" s="119">
        <v>5</v>
      </c>
      <c r="L60" s="119">
        <f>SUMIF('TA35'!$I:$I,TAXVTA!K60,'TA35'!$J:$J)</f>
        <v>0</v>
      </c>
      <c r="M60" s="119">
        <f t="shared" ref="M60:M62" si="6">J60+L60</f>
        <v>0</v>
      </c>
      <c r="N60" s="132"/>
    </row>
    <row r="61" spans="1:17" x14ac:dyDescent="0.25">
      <c r="D61" s="119">
        <f>D10</f>
        <v>1343337095251</v>
      </c>
      <c r="E61" s="119">
        <v>8</v>
      </c>
      <c r="F61" s="119">
        <f>F10</f>
        <v>107466967898</v>
      </c>
      <c r="G61" s="119">
        <f>D61+F61</f>
        <v>1450804063149</v>
      </c>
      <c r="J61" s="119">
        <f>SUMIF('TA35'!$I:$I,TAXVTA!K61,'TA35'!$H:$H)</f>
        <v>1362062694836</v>
      </c>
      <c r="K61" s="119">
        <v>8</v>
      </c>
      <c r="L61" s="119">
        <f>SUMIF('TA35'!$I:$I,TAXVTA!K61,'TA35'!$J:$J)</f>
        <v>108965015793</v>
      </c>
      <c r="M61" s="119">
        <f t="shared" si="6"/>
        <v>1471027710629</v>
      </c>
      <c r="N61" s="132"/>
    </row>
    <row r="62" spans="1:17" x14ac:dyDescent="0.25">
      <c r="D62" s="119">
        <f>D11</f>
        <v>124299187</v>
      </c>
      <c r="E62" s="119">
        <v>10</v>
      </c>
      <c r="F62" s="119">
        <f>F11</f>
        <v>12429918</v>
      </c>
      <c r="G62" s="119">
        <f>D62+F62</f>
        <v>136729105</v>
      </c>
      <c r="J62" s="119">
        <f>SUMIF('TA35'!$I:$I,TAXVTA!K62,'TA35'!$H:$H)</f>
        <v>0</v>
      </c>
      <c r="K62" s="119">
        <v>10</v>
      </c>
      <c r="L62" s="119">
        <f>SUMIF('TA35'!$I:$I,TAXVTA!K62,'TA35'!$J:$J)</f>
        <v>0</v>
      </c>
      <c r="M62" s="119">
        <f t="shared" si="6"/>
        <v>0</v>
      </c>
      <c r="N62" s="132"/>
      <c r="Q62" s="134"/>
    </row>
    <row r="63" spans="1:17" x14ac:dyDescent="0.25">
      <c r="A63" s="133"/>
      <c r="D63" s="121">
        <f>SUM(D60:D62)</f>
        <v>1343488164238</v>
      </c>
      <c r="E63" s="121"/>
      <c r="F63" s="121">
        <f>SUM(F60:F62)</f>
        <v>107480736306</v>
      </c>
      <c r="G63" s="121">
        <f>SUM(G60:G62)</f>
        <v>1450968900544</v>
      </c>
      <c r="J63" s="121">
        <f>SUM(J59:J62)</f>
        <v>1362302588436</v>
      </c>
      <c r="K63" s="121"/>
      <c r="L63" s="121">
        <f t="shared" ref="L63:M63" si="7">SUM(L59:L62)</f>
        <v>108965015793</v>
      </c>
      <c r="M63" s="121">
        <f t="shared" si="7"/>
        <v>1471267604229</v>
      </c>
      <c r="N63" s="132"/>
    </row>
    <row r="64" spans="1:17" x14ac:dyDescent="0.25">
      <c r="D64" s="119">
        <v>1291317159290</v>
      </c>
      <c r="F64" s="119">
        <v>103209196176</v>
      </c>
      <c r="G64" s="119">
        <f>D64+F64</f>
        <v>1394526355466</v>
      </c>
      <c r="J64" s="119">
        <f>'TA35'!H54</f>
        <v>0</v>
      </c>
      <c r="K64" s="132"/>
      <c r="L64" s="119">
        <f>'TA35'!J54</f>
        <v>0</v>
      </c>
      <c r="M64" s="132"/>
      <c r="N64" s="132"/>
    </row>
    <row r="65" spans="1:17" x14ac:dyDescent="0.25">
      <c r="D65" s="119">
        <f>D63-D64</f>
        <v>52171004948</v>
      </c>
      <c r="F65" s="119">
        <f>F63-F64</f>
        <v>4271540130</v>
      </c>
      <c r="J65" s="119">
        <f>J63-J64</f>
        <v>1362302588436</v>
      </c>
      <c r="K65" s="132"/>
      <c r="L65" s="119">
        <f>L63-L64</f>
        <v>108965015793</v>
      </c>
      <c r="M65" s="132"/>
      <c r="N65" s="132"/>
    </row>
    <row r="66" spans="1:17" x14ac:dyDescent="0.25">
      <c r="A66" s="119" t="s">
        <v>223</v>
      </c>
      <c r="B66" s="119" t="s">
        <v>393</v>
      </c>
      <c r="E66" s="121">
        <f>'13311'!I1</f>
        <v>79821540914</v>
      </c>
      <c r="G66" s="119">
        <f>+(E66+F68)-(F69-E67)-G67</f>
        <v>78337261427</v>
      </c>
      <c r="H66" s="119" t="s">
        <v>395</v>
      </c>
      <c r="K66" s="132"/>
      <c r="L66" s="132"/>
      <c r="M66" s="132"/>
      <c r="N66" s="132"/>
    </row>
    <row r="67" spans="1:17" x14ac:dyDescent="0.25">
      <c r="B67" s="119" t="s">
        <v>392</v>
      </c>
      <c r="E67" s="157">
        <f>'333111'!J1</f>
        <v>1500000000</v>
      </c>
      <c r="G67" s="119">
        <f>+E67</f>
        <v>1500000000</v>
      </c>
      <c r="H67" s="119" t="s">
        <v>394</v>
      </c>
      <c r="K67" s="132"/>
      <c r="L67" s="132"/>
      <c r="M67" s="132"/>
      <c r="N67" s="132"/>
    </row>
    <row r="68" spans="1:17" x14ac:dyDescent="0.25">
      <c r="B68" s="119" t="s">
        <v>224</v>
      </c>
      <c r="D68" s="119">
        <f>D63</f>
        <v>1343488164238</v>
      </c>
      <c r="F68" s="119">
        <f>F63</f>
        <v>107480736306</v>
      </c>
      <c r="K68" s="132"/>
      <c r="L68" s="132"/>
      <c r="M68" s="132"/>
      <c r="N68" s="132"/>
    </row>
    <row r="69" spans="1:17" x14ac:dyDescent="0.25">
      <c r="B69" s="119" t="s">
        <v>225</v>
      </c>
      <c r="D69" s="119">
        <f>J63</f>
        <v>1362302588436</v>
      </c>
      <c r="F69" s="119">
        <f>L63</f>
        <v>108965015793</v>
      </c>
      <c r="K69" s="132"/>
      <c r="L69" s="132"/>
      <c r="M69" s="132"/>
      <c r="N69" s="132"/>
    </row>
    <row r="70" spans="1:17" ht="15.6" x14ac:dyDescent="0.3">
      <c r="D70" s="119">
        <f>SUM(D68:D69)</f>
        <v>2705790752674</v>
      </c>
      <c r="F70" s="122">
        <f>F69-F68-E67</f>
        <v>-15720513</v>
      </c>
      <c r="G70" s="119">
        <f>SUM(G66:G67)</f>
        <v>79837261427</v>
      </c>
      <c r="H70" s="155" t="str">
        <f>IF(F70&lt;0,"còn được khấu trừ tháng sau, 333111=0, dư nợ 13311", "nộp thuế tháng này")</f>
        <v>còn được khấu trừ tháng sau, 333111=0, dư nợ 13311</v>
      </c>
      <c r="K70" s="132"/>
      <c r="L70" s="132"/>
      <c r="M70" s="132"/>
      <c r="N70" s="132"/>
    </row>
    <row r="71" spans="1:17" x14ac:dyDescent="0.25">
      <c r="K71" s="132"/>
      <c r="L71" s="132"/>
      <c r="M71" s="132"/>
      <c r="N71" s="132"/>
      <c r="O71" s="122"/>
      <c r="P71" s="122"/>
      <c r="Q71" s="122"/>
    </row>
    <row r="72" spans="1:17" s="122" customFormat="1" x14ac:dyDescent="0.25">
      <c r="O72" s="299"/>
      <c r="P72" s="119"/>
      <c r="Q72" s="119"/>
    </row>
    <row r="73" spans="1:17" x14ac:dyDescent="0.25">
      <c r="E73" s="308" t="s">
        <v>192</v>
      </c>
      <c r="F73" s="308"/>
      <c r="K73" s="299" t="s">
        <v>226</v>
      </c>
      <c r="L73" s="299"/>
      <c r="M73" s="299"/>
      <c r="N73" s="299"/>
    </row>
    <row r="74" spans="1:17" x14ac:dyDescent="0.25">
      <c r="D74" s="119" t="s">
        <v>401</v>
      </c>
      <c r="E74" s="158">
        <f>+'333111'!J1-E75</f>
        <v>0</v>
      </c>
      <c r="F74" s="119" t="s">
        <v>398</v>
      </c>
      <c r="J74" s="119" t="s">
        <v>403</v>
      </c>
      <c r="K74" s="160">
        <f>'13311'!I1</f>
        <v>79821540914</v>
      </c>
      <c r="M74" s="135" t="s">
        <v>396</v>
      </c>
      <c r="N74" s="135"/>
    </row>
    <row r="75" spans="1:17" x14ac:dyDescent="0.25">
      <c r="D75" s="119" t="s">
        <v>402</v>
      </c>
      <c r="E75" s="159">
        <v>1500000000</v>
      </c>
      <c r="F75" s="146" t="s">
        <v>397</v>
      </c>
      <c r="J75" s="123"/>
      <c r="K75" s="123"/>
      <c r="L75" s="162"/>
      <c r="M75" s="140" t="s">
        <v>404</v>
      </c>
      <c r="N75" s="135"/>
    </row>
    <row r="76" spans="1:17" x14ac:dyDescent="0.25">
      <c r="D76" s="123"/>
      <c r="E76" s="137"/>
      <c r="K76" s="138"/>
      <c r="L76" s="135"/>
      <c r="M76" s="135"/>
      <c r="N76" s="135"/>
    </row>
    <row r="77" spans="1:17" x14ac:dyDescent="0.25">
      <c r="E77" s="139"/>
      <c r="K77" s="139"/>
      <c r="L77" s="135"/>
      <c r="M77" s="135"/>
      <c r="N77" s="135"/>
    </row>
    <row r="78" spans="1:17" x14ac:dyDescent="0.25">
      <c r="D78" s="119" t="s">
        <v>391</v>
      </c>
      <c r="E78" s="141"/>
      <c r="F78" s="121">
        <f>'333111'!F54</f>
        <v>108965015793</v>
      </c>
      <c r="J78" s="119" t="s">
        <v>391</v>
      </c>
      <c r="K78" s="136">
        <v>105695245168</v>
      </c>
      <c r="L78" s="135"/>
      <c r="M78" s="135"/>
      <c r="N78" s="135"/>
    </row>
    <row r="79" spans="1:17" x14ac:dyDescent="0.25">
      <c r="D79" s="123" t="s">
        <v>1700</v>
      </c>
      <c r="E79" s="139">
        <f>+L79</f>
        <v>107179524655</v>
      </c>
      <c r="J79" s="123" t="s">
        <v>399</v>
      </c>
      <c r="K79" s="139"/>
      <c r="L79" s="140">
        <f>'13311'!F472</f>
        <v>107179524655</v>
      </c>
      <c r="M79" s="135"/>
      <c r="N79" s="135"/>
    </row>
    <row r="80" spans="1:17" x14ac:dyDescent="0.25">
      <c r="D80" s="123" t="s">
        <v>1701</v>
      </c>
      <c r="E80" s="139">
        <f>+F5</f>
        <v>1785491138</v>
      </c>
      <c r="K80" s="139"/>
      <c r="L80" s="135"/>
      <c r="M80" s="135"/>
      <c r="N80" s="135"/>
    </row>
    <row r="81" spans="1:17" x14ac:dyDescent="0.25">
      <c r="D81" s="123"/>
      <c r="E81" s="139"/>
      <c r="K81" s="139"/>
      <c r="L81" s="140"/>
      <c r="M81" s="135"/>
      <c r="N81" s="135"/>
    </row>
    <row r="82" spans="1:17" x14ac:dyDescent="0.25">
      <c r="E82" s="139"/>
      <c r="K82" s="138"/>
      <c r="M82" s="135"/>
      <c r="N82" s="135"/>
    </row>
    <row r="83" spans="1:17" x14ac:dyDescent="0.25">
      <c r="E83" s="142">
        <f>+E79+E80</f>
        <v>108965015793</v>
      </c>
      <c r="F83" s="143">
        <f>+F78</f>
        <v>108965015793</v>
      </c>
      <c r="K83" s="142">
        <f>+K78</f>
        <v>105695245168</v>
      </c>
      <c r="L83" s="143">
        <f>+L79</f>
        <v>107179524655</v>
      </c>
      <c r="M83" s="135"/>
      <c r="N83" s="135"/>
    </row>
    <row r="84" spans="1:17" x14ac:dyDescent="0.25">
      <c r="A84" s="119">
        <v>91242750075</v>
      </c>
      <c r="D84" s="119" t="s">
        <v>401</v>
      </c>
      <c r="E84" s="145">
        <f>+E74+E83-F83</f>
        <v>0</v>
      </c>
      <c r="G84" s="119" t="s">
        <v>405</v>
      </c>
      <c r="K84" s="144">
        <f>K74+K83-L75-L83</f>
        <v>78337261427</v>
      </c>
      <c r="M84" s="119" t="s">
        <v>400</v>
      </c>
      <c r="N84" s="135"/>
    </row>
    <row r="85" spans="1:17" x14ac:dyDescent="0.25">
      <c r="D85" s="119" t="s">
        <v>402</v>
      </c>
      <c r="E85" s="161">
        <f>+E75</f>
        <v>1500000000</v>
      </c>
      <c r="G85" s="119" t="s">
        <v>400</v>
      </c>
      <c r="J85" s="119" t="s">
        <v>402</v>
      </c>
      <c r="K85" s="119">
        <v>60549888887</v>
      </c>
      <c r="N85" s="135"/>
    </row>
    <row r="86" spans="1:17" x14ac:dyDescent="0.25">
      <c r="D86" s="122" t="s">
        <v>136</v>
      </c>
      <c r="E86" s="144">
        <f>+E84+E85</f>
        <v>1500000000</v>
      </c>
      <c r="F86" s="122"/>
      <c r="G86" s="122" t="s">
        <v>903</v>
      </c>
      <c r="J86" s="119" t="s">
        <v>1702</v>
      </c>
      <c r="K86" s="307">
        <f>K84-K85</f>
        <v>17787372540</v>
      </c>
      <c r="L86" s="119">
        <v>17787372540</v>
      </c>
      <c r="M86" s="119">
        <f>K86-L86</f>
        <v>0</v>
      </c>
      <c r="N86" s="135"/>
    </row>
    <row r="87" spans="1:17" x14ac:dyDescent="0.25">
      <c r="E87" s="119" t="s">
        <v>406</v>
      </c>
      <c r="N87" s="135"/>
    </row>
    <row r="89" spans="1:17" x14ac:dyDescent="0.25">
      <c r="E89" s="119">
        <f>'333111'!J3</f>
        <v>1500000000</v>
      </c>
      <c r="K89" s="119">
        <f>'13311'!I4</f>
        <v>78337261427</v>
      </c>
      <c r="O89" s="176"/>
      <c r="P89" s="176"/>
      <c r="Q89" s="176"/>
    </row>
    <row r="90" spans="1:17" s="176" customFormat="1" x14ac:dyDescent="0.25">
      <c r="D90" s="176" t="s">
        <v>138</v>
      </c>
      <c r="E90" s="176">
        <f>E86-E89</f>
        <v>0</v>
      </c>
      <c r="J90" s="176" t="s">
        <v>138</v>
      </c>
      <c r="K90" s="176">
        <f>K84-K89</f>
        <v>0</v>
      </c>
      <c r="O90" s="119"/>
      <c r="P90" s="119"/>
      <c r="Q90" s="119"/>
    </row>
    <row r="93" spans="1:17" x14ac:dyDescent="0.25">
      <c r="C93" s="119" t="s">
        <v>409</v>
      </c>
      <c r="E93" s="119">
        <v>-1477840</v>
      </c>
    </row>
    <row r="94" spans="1:17" x14ac:dyDescent="0.25">
      <c r="C94" s="119" t="s">
        <v>410</v>
      </c>
      <c r="E94" s="119">
        <v>-2920764</v>
      </c>
    </row>
    <row r="95" spans="1:17" x14ac:dyDescent="0.25">
      <c r="E95" s="119">
        <f>SUM(E93:E94)</f>
        <v>-4398604</v>
      </c>
    </row>
    <row r="96" spans="1:17" x14ac:dyDescent="0.25">
      <c r="E96" s="119">
        <f>E84+E95</f>
        <v>-4398604</v>
      </c>
    </row>
    <row r="103" spans="11:11" x14ac:dyDescent="0.25">
      <c r="K103" s="119">
        <f>K101-K102</f>
        <v>0</v>
      </c>
    </row>
    <row r="117" spans="8:8" x14ac:dyDescent="0.25">
      <c r="H117" s="119" t="s">
        <v>208</v>
      </c>
    </row>
    <row r="123" spans="8:8" x14ac:dyDescent="0.25">
      <c r="H123" s="119" t="s">
        <v>209</v>
      </c>
    </row>
    <row r="136" spans="8:11" x14ac:dyDescent="0.25">
      <c r="H136" s="119" t="s">
        <v>210</v>
      </c>
    </row>
    <row r="143" spans="8:11" x14ac:dyDescent="0.25">
      <c r="K143" s="119">
        <f>-I117</f>
        <v>0</v>
      </c>
    </row>
    <row r="144" spans="8:11" x14ac:dyDescent="0.25">
      <c r="K144" s="119">
        <f>-I123</f>
        <v>0</v>
      </c>
    </row>
    <row r="145" spans="2:14" x14ac:dyDescent="0.25">
      <c r="K145" s="119">
        <f>+I136</f>
        <v>0</v>
      </c>
    </row>
    <row r="146" spans="2:14" x14ac:dyDescent="0.25">
      <c r="K146" s="121">
        <f>SUM(K143:K145)</f>
        <v>0</v>
      </c>
      <c r="L146" s="121"/>
      <c r="M146" s="121"/>
      <c r="N146" s="121"/>
    </row>
    <row r="147" spans="2:14" x14ac:dyDescent="0.25">
      <c r="K147" s="119">
        <f>K146-E81</f>
        <v>0</v>
      </c>
    </row>
    <row r="150" spans="2:14" x14ac:dyDescent="0.25">
      <c r="H150" s="119" t="s">
        <v>211</v>
      </c>
      <c r="I150" s="122">
        <f>K146</f>
        <v>0</v>
      </c>
    </row>
    <row r="151" spans="2:14" x14ac:dyDescent="0.25">
      <c r="B151" s="146" t="s">
        <v>212</v>
      </c>
    </row>
    <row r="152" spans="2:14" x14ac:dyDescent="0.25">
      <c r="B152" s="146" t="s">
        <v>213</v>
      </c>
    </row>
    <row r="153" spans="2:14" x14ac:dyDescent="0.25">
      <c r="H153" s="123" t="s">
        <v>214</v>
      </c>
      <c r="I153" s="119">
        <f>I150</f>
        <v>0</v>
      </c>
    </row>
    <row r="154" spans="2:14" x14ac:dyDescent="0.25">
      <c r="H154" s="123" t="s">
        <v>215</v>
      </c>
      <c r="I154" s="119">
        <f>E75</f>
        <v>1500000000</v>
      </c>
    </row>
    <row r="155" spans="2:14" x14ac:dyDescent="0.25">
      <c r="I155" s="147">
        <f>+I153-I154</f>
        <v>-1500000000</v>
      </c>
      <c r="J155" s="119" t="s">
        <v>216</v>
      </c>
    </row>
  </sheetData>
  <mergeCells count="2">
    <mergeCell ref="E73:F73"/>
    <mergeCell ref="M44:M54"/>
  </mergeCells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90DF-1478-4891-9B5E-C5D6BC266AC1}">
  <sheetPr codeName="Sheet3"/>
  <dimension ref="A1:T66"/>
  <sheetViews>
    <sheetView zoomScale="80" zoomScaleNormal="80" workbookViewId="0">
      <selection activeCell="I31" sqref="I31"/>
    </sheetView>
  </sheetViews>
  <sheetFormatPr defaultColWidth="9" defaultRowHeight="15.6" x14ac:dyDescent="0.3"/>
  <cols>
    <col min="1" max="1" width="6.3984375" style="5" customWidth="1"/>
    <col min="2" max="2" width="11.8984375" style="5" customWidth="1"/>
    <col min="3" max="3" width="5.8984375" style="5" customWidth="1"/>
    <col min="4" max="4" width="20.59765625" style="5" customWidth="1"/>
    <col min="5" max="5" width="22.09765625" style="27" customWidth="1"/>
    <col min="6" max="6" width="21.19921875" style="7" customWidth="1"/>
    <col min="7" max="7" width="15.8984375" style="7" bestFit="1" customWidth="1"/>
    <col min="8" max="8" width="18.59765625" style="1" customWidth="1"/>
    <col min="9" max="9" width="17.69921875" style="7" customWidth="1"/>
    <col min="10" max="10" width="17.5" style="7" bestFit="1" customWidth="1"/>
    <col min="11" max="11" width="19.09765625" style="7" customWidth="1"/>
    <col min="12" max="12" width="14.59765625" style="7" customWidth="1"/>
    <col min="13" max="13" width="15.8984375" style="7" bestFit="1" customWidth="1"/>
    <col min="14" max="14" width="17.5" style="7" bestFit="1" customWidth="1"/>
    <col min="15" max="15" width="18.09765625" style="12" customWidth="1"/>
    <col min="16" max="16" width="15.8984375" style="12" bestFit="1" customWidth="1"/>
    <col min="17" max="19" width="9" style="5"/>
    <col min="20" max="20" width="11.3984375" style="5" customWidth="1"/>
    <col min="21" max="23" width="9" style="5"/>
    <col min="24" max="24" width="17.69921875" style="5" customWidth="1"/>
    <col min="25" max="16384" width="9" style="5"/>
  </cols>
  <sheetData>
    <row r="1" spans="1:17" s="20" customFormat="1" ht="12.75" customHeight="1" x14ac:dyDescent="0.3">
      <c r="A1" s="29"/>
      <c r="C1" s="21"/>
      <c r="D1" s="21"/>
      <c r="E1" s="30"/>
      <c r="F1" s="21"/>
      <c r="G1" s="21"/>
      <c r="H1" s="21"/>
      <c r="I1" s="21"/>
      <c r="J1" s="21"/>
      <c r="K1" s="21"/>
      <c r="L1" s="21"/>
      <c r="M1" s="21"/>
      <c r="O1" s="22"/>
    </row>
    <row r="2" spans="1:17" s="20" customFormat="1" ht="13.8" x14ac:dyDescent="0.3">
      <c r="A2" s="319" t="s">
        <v>75</v>
      </c>
      <c r="B2" s="319"/>
      <c r="C2" s="319"/>
      <c r="D2" s="319"/>
      <c r="E2" s="319"/>
      <c r="F2" s="319"/>
      <c r="G2" s="23"/>
      <c r="H2" s="23"/>
      <c r="I2" s="23"/>
      <c r="J2" s="21"/>
      <c r="K2" s="21"/>
      <c r="L2" s="21"/>
      <c r="M2" s="21"/>
      <c r="O2" s="22"/>
    </row>
    <row r="3" spans="1:17" s="20" customFormat="1" ht="13.8" x14ac:dyDescent="0.3">
      <c r="A3" s="320" t="s">
        <v>0</v>
      </c>
      <c r="B3" s="320"/>
      <c r="C3" s="320"/>
      <c r="D3" s="320"/>
      <c r="E3" s="320"/>
      <c r="F3" s="320"/>
      <c r="G3" s="23"/>
      <c r="H3" s="23"/>
      <c r="I3" s="23"/>
      <c r="J3" s="21"/>
      <c r="K3" s="21"/>
      <c r="L3" s="21"/>
      <c r="M3" s="21"/>
      <c r="O3" s="22"/>
    </row>
    <row r="4" spans="1:17" s="20" customFormat="1" ht="12.75" customHeight="1" x14ac:dyDescent="0.3">
      <c r="A4" s="29"/>
      <c r="C4" s="21"/>
      <c r="D4" s="21"/>
      <c r="E4" s="30"/>
      <c r="F4" s="21"/>
      <c r="G4" s="21"/>
      <c r="H4" s="21"/>
      <c r="I4" s="21"/>
      <c r="J4" s="21"/>
      <c r="K4" s="21"/>
      <c r="L4" s="21"/>
      <c r="M4" s="21"/>
      <c r="O4" s="22"/>
    </row>
    <row r="5" spans="1:17" s="20" customFormat="1" ht="18.600000000000001" customHeight="1" x14ac:dyDescent="0.3">
      <c r="A5" s="321" t="s">
        <v>248</v>
      </c>
      <c r="B5" s="321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24"/>
      <c r="Q5" s="24"/>
    </row>
    <row r="6" spans="1:17" s="20" customFormat="1" ht="19.2" x14ac:dyDescent="0.3">
      <c r="A6" s="322" t="s">
        <v>440</v>
      </c>
      <c r="B6" s="322"/>
      <c r="C6" s="322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322"/>
      <c r="O6" s="322"/>
    </row>
    <row r="7" spans="1:17" s="20" customFormat="1" ht="13.8" x14ac:dyDescent="0.3">
      <c r="A7" s="29"/>
      <c r="B7" s="29"/>
      <c r="C7" s="31"/>
      <c r="D7" s="31"/>
      <c r="E7" s="30"/>
      <c r="F7" s="31"/>
      <c r="G7" s="31"/>
      <c r="H7" s="31"/>
      <c r="I7" s="31"/>
      <c r="J7" s="31"/>
      <c r="K7" s="31"/>
      <c r="L7" s="31"/>
      <c r="M7" s="31"/>
      <c r="N7" s="29"/>
      <c r="O7" s="32"/>
      <c r="P7" s="29"/>
      <c r="Q7" s="29"/>
    </row>
    <row r="8" spans="1:17" s="20" customFormat="1" ht="13.8" x14ac:dyDescent="0.3">
      <c r="A8" s="323" t="s">
        <v>249</v>
      </c>
      <c r="B8" s="323" t="s">
        <v>232</v>
      </c>
      <c r="C8" s="325" t="s">
        <v>233</v>
      </c>
      <c r="D8" s="325" t="s">
        <v>25</v>
      </c>
      <c r="E8" s="327" t="s">
        <v>250</v>
      </c>
      <c r="F8" s="329" t="s">
        <v>234</v>
      </c>
      <c r="G8" s="329"/>
      <c r="H8" s="329"/>
      <c r="I8" s="325" t="s">
        <v>251</v>
      </c>
      <c r="J8" s="325" t="s">
        <v>252</v>
      </c>
      <c r="K8" s="325" t="s">
        <v>235</v>
      </c>
      <c r="L8" s="325" t="s">
        <v>236</v>
      </c>
      <c r="M8" s="325" t="s">
        <v>237</v>
      </c>
      <c r="N8" s="323" t="s">
        <v>253</v>
      </c>
      <c r="O8" s="315" t="s">
        <v>2</v>
      </c>
      <c r="P8" s="29"/>
      <c r="Q8" s="29"/>
    </row>
    <row r="9" spans="1:17" s="20" customFormat="1" ht="21.9" customHeight="1" x14ac:dyDescent="0.3">
      <c r="A9" s="324"/>
      <c r="B9" s="324"/>
      <c r="C9" s="326"/>
      <c r="D9" s="326"/>
      <c r="E9" s="328"/>
      <c r="F9" s="33" t="s">
        <v>238</v>
      </c>
      <c r="G9" s="33" t="s">
        <v>239</v>
      </c>
      <c r="H9" s="33" t="s">
        <v>240</v>
      </c>
      <c r="I9" s="326"/>
      <c r="J9" s="326"/>
      <c r="K9" s="326"/>
      <c r="L9" s="326"/>
      <c r="M9" s="326"/>
      <c r="N9" s="324"/>
      <c r="O9" s="316"/>
      <c r="P9" s="29"/>
      <c r="Q9" s="29"/>
    </row>
    <row r="10" spans="1:17" s="20" customFormat="1" x14ac:dyDescent="0.3">
      <c r="A10" s="310" t="s">
        <v>254</v>
      </c>
      <c r="B10" s="311"/>
      <c r="C10" s="312"/>
      <c r="D10" s="218"/>
      <c r="E10" s="219"/>
      <c r="F10" s="218"/>
      <c r="G10" s="218"/>
      <c r="H10" s="218"/>
      <c r="I10" s="218"/>
      <c r="J10" s="218"/>
      <c r="K10" s="218"/>
      <c r="L10" s="218"/>
      <c r="M10" s="218"/>
      <c r="N10" s="220"/>
      <c r="O10" s="221"/>
      <c r="P10" s="7"/>
    </row>
    <row r="11" spans="1:17" s="20" customFormat="1" x14ac:dyDescent="0.3">
      <c r="A11" s="222">
        <v>1</v>
      </c>
      <c r="B11" s="223" t="str">
        <f>INDEX('[1]1,8-PH_GCS'!C2:C12,1,1)</f>
        <v>31/03/2026</v>
      </c>
      <c r="C11" s="218">
        <f>INDEX('[1]1,8-PH_GCS'!$B2:$N12,1,1)</f>
        <v>1</v>
      </c>
      <c r="D11" s="218">
        <f>INDEX('[1]1,8-PH_GCS'!$B2:$N12,1,3)</f>
        <v>1</v>
      </c>
      <c r="E11" s="224" t="str">
        <f>B11</f>
        <v>31/03/2026</v>
      </c>
      <c r="F11" s="218">
        <f>INDEX('[1]1,8-PH_GCS'!$B2:$N12,1,5)</f>
        <v>0</v>
      </c>
      <c r="G11" s="218">
        <f>INDEX('[1]1,8-PH_GCS'!$B2:$N12,1,6)</f>
        <v>-1879</v>
      </c>
      <c r="H11" s="218">
        <f>INDEX('[1]1,8-PH_GCS'!$B2:$N12,1,4)</f>
        <v>-1879</v>
      </c>
      <c r="I11" s="218">
        <f>INDEX('[1]1,8-PH_GCS'!$B2:$N12,1,7)</f>
        <v>-6680400</v>
      </c>
      <c r="J11" s="218">
        <f>INDEX('[1]1,8-PH_GCS'!$B2:$N12,1,8)</f>
        <v>-534432</v>
      </c>
      <c r="K11" s="218">
        <f>INDEX('[1]1,8-PH_GCS'!$B2:$N12,1,9)</f>
        <v>-7214832</v>
      </c>
      <c r="L11" s="218">
        <f>INDEX('[1]1,8-PH_GCS'!$B2:$N12,1,10)</f>
        <v>0</v>
      </c>
      <c r="M11" s="218">
        <f>INDEX('[1]1,8-PH_GCS'!$B2:$N12,1,11)</f>
        <v>0</v>
      </c>
      <c r="N11" s="225">
        <f>INDEX('[1]1,8-PH_GCS'!$B2:$N12,1,12)</f>
        <v>0</v>
      </c>
      <c r="O11" s="218">
        <f>INDEX('[1]1,8-PH_GCS'!$B2:$N12,1,13)</f>
        <v>-7214832</v>
      </c>
      <c r="P11" s="7" t="s">
        <v>129</v>
      </c>
    </row>
    <row r="12" spans="1:17" s="20" customFormat="1" x14ac:dyDescent="0.3">
      <c r="A12" s="226">
        <v>2</v>
      </c>
      <c r="B12" s="223" t="str">
        <f>INDEX('[1]1,8-PH_GCS'!C3:C13,1,1)</f>
        <v>31/05/2026</v>
      </c>
      <c r="C12" s="218">
        <f>INDEX('[1]1,8-PH_GCS'!$B3:$N13,1,1)</f>
        <v>35</v>
      </c>
      <c r="D12" s="218">
        <f>INDEX('[1]1,8-PH_GCS'!$B3:$N13,1,3)</f>
        <v>98</v>
      </c>
      <c r="E12" s="224" t="str">
        <f>B12</f>
        <v>31/05/2026</v>
      </c>
      <c r="F12" s="218">
        <f>INDEX('[1]1,8-PH_GCS'!$B3:$N13,1,5)</f>
        <v>-26677</v>
      </c>
      <c r="G12" s="218">
        <f>INDEX('[1]1,8-PH_GCS'!$B3:$N13,1,6)</f>
        <v>-57257</v>
      </c>
      <c r="H12" s="218">
        <f>INDEX('[1]1,8-PH_GCS'!$B3:$N13,1,4)</f>
        <v>-83934</v>
      </c>
      <c r="I12" s="218">
        <f>INDEX('[1]1,8-PH_GCS'!$B3:$N13,1,7)</f>
        <v>-223276078</v>
      </c>
      <c r="J12" s="218">
        <f>INDEX('[1]1,8-PH_GCS'!$B3:$N13,1,8)</f>
        <v>-17862090</v>
      </c>
      <c r="K12" s="218">
        <f>INDEX('[1]1,8-PH_GCS'!$B3:$N13,1,9)</f>
        <v>-241138168</v>
      </c>
      <c r="L12" s="218">
        <f>INDEX('[1]1,8-PH_GCS'!$B3:$N13,1,10)</f>
        <v>0</v>
      </c>
      <c r="M12" s="218">
        <f>INDEX('[1]1,8-PH_GCS'!$B3:$N13,1,11)</f>
        <v>0</v>
      </c>
      <c r="N12" s="225">
        <f>INDEX('[1]1,8-PH_GCS'!$B3:$N13,1,12)</f>
        <v>0</v>
      </c>
      <c r="O12" s="218">
        <f>INDEX('[1]1,8-PH_GCS'!$B3:$N13,1,13)</f>
        <v>-241138168</v>
      </c>
      <c r="P12" s="7" t="s">
        <v>129</v>
      </c>
    </row>
    <row r="13" spans="1:17" s="21" customFormat="1" x14ac:dyDescent="0.3">
      <c r="A13" s="317" t="s">
        <v>255</v>
      </c>
      <c r="B13" s="318"/>
      <c r="C13" s="227">
        <f>SUM(C11:C12)</f>
        <v>36</v>
      </c>
      <c r="D13" s="227">
        <f t="shared" ref="D13:O13" si="0">SUM(D11:D12)</f>
        <v>99</v>
      </c>
      <c r="E13" s="227"/>
      <c r="F13" s="227">
        <f t="shared" si="0"/>
        <v>-26677</v>
      </c>
      <c r="G13" s="227">
        <f t="shared" si="0"/>
        <v>-59136</v>
      </c>
      <c r="H13" s="227">
        <f t="shared" si="0"/>
        <v>-85813</v>
      </c>
      <c r="I13" s="227">
        <f t="shared" si="0"/>
        <v>-229956478</v>
      </c>
      <c r="J13" s="227">
        <f t="shared" si="0"/>
        <v>-18396522</v>
      </c>
      <c r="K13" s="227">
        <f t="shared" si="0"/>
        <v>-248353000</v>
      </c>
      <c r="L13" s="227">
        <f t="shared" si="0"/>
        <v>0</v>
      </c>
      <c r="M13" s="227">
        <f t="shared" si="0"/>
        <v>0</v>
      </c>
      <c r="N13" s="227">
        <f t="shared" si="0"/>
        <v>0</v>
      </c>
      <c r="O13" s="227">
        <f t="shared" si="0"/>
        <v>-248353000</v>
      </c>
      <c r="P13" s="7"/>
    </row>
    <row r="14" spans="1:17" s="21" customFormat="1" x14ac:dyDescent="0.3">
      <c r="A14" s="310" t="s">
        <v>256</v>
      </c>
      <c r="B14" s="311"/>
      <c r="C14" s="312"/>
      <c r="D14" s="218"/>
      <c r="E14" s="22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7"/>
    </row>
    <row r="15" spans="1:17" s="21" customFormat="1" x14ac:dyDescent="0.3">
      <c r="A15" s="229">
        <v>3</v>
      </c>
      <c r="B15" s="223" t="str">
        <f>INDEX('[1]1,8-PH_GCS'!C4:C16,1,1)</f>
        <v>30/04/2026</v>
      </c>
      <c r="C15" s="218">
        <f>INDEX('[1]1,8-PH_GCS'!$B4:$N16,1,1)</f>
        <v>1</v>
      </c>
      <c r="D15" s="218">
        <f>INDEX('[1]1,8-PH_GCS'!$B4:$N16,1,3)</f>
        <v>1</v>
      </c>
      <c r="E15" s="224" t="str">
        <f>B15</f>
        <v>30/04/2026</v>
      </c>
      <c r="F15" s="218">
        <f>INDEX('[1]1,8-PH_GCS'!$B4:$N16,1,5)</f>
        <v>0</v>
      </c>
      <c r="G15" s="218">
        <f>INDEX('[1]1,8-PH_GCS'!$B4:$N16,1,6)</f>
        <v>1540</v>
      </c>
      <c r="H15" s="218">
        <f>INDEX('[1]1,8-PH_GCS'!$B4:$N16,1,4)</f>
        <v>1540</v>
      </c>
      <c r="I15" s="218">
        <f>INDEX('[1]1,8-PH_GCS'!$B4:$N16,1,7)</f>
        <v>5326506</v>
      </c>
      <c r="J15" s="218">
        <f>INDEX('[1]1,8-PH_GCS'!$B4:$N16,1,8)</f>
        <v>426120</v>
      </c>
      <c r="K15" s="218">
        <f>INDEX('[1]1,8-PH_GCS'!$B4:$N16,1,9)</f>
        <v>5752626</v>
      </c>
      <c r="L15" s="218">
        <f>INDEX('[1]1,8-PH_GCS'!$B4:$N16,1,10)</f>
        <v>0</v>
      </c>
      <c r="M15" s="218">
        <f>INDEX('[1]1,8-PH_GCS'!$B4:$N16,1,11)</f>
        <v>0</v>
      </c>
      <c r="N15" s="225">
        <f>INDEX('[1]1,8-PH_GCS'!$B4:$N16,1,12)</f>
        <v>0</v>
      </c>
      <c r="O15" s="218">
        <f>INDEX('[1]1,8-PH_GCS'!$B4:$N16,1,13)</f>
        <v>5752626</v>
      </c>
      <c r="P15" s="7" t="s">
        <v>129</v>
      </c>
    </row>
    <row r="16" spans="1:17" s="21" customFormat="1" x14ac:dyDescent="0.3">
      <c r="A16" s="229">
        <v>4</v>
      </c>
      <c r="B16" s="223" t="str">
        <f>INDEX('[1]1,8-PH_GCS'!C5:C17,1,1)</f>
        <v>31/05/2026</v>
      </c>
      <c r="C16" s="218">
        <f>INDEX('[1]1,8-PH_GCS'!$B5:$N17,1,1)</f>
        <v>35</v>
      </c>
      <c r="D16" s="218">
        <f>INDEX('[1]1,8-PH_GCS'!$B5:$N17,1,3)</f>
        <v>98</v>
      </c>
      <c r="E16" s="224" t="str">
        <f>B16</f>
        <v>31/05/2026</v>
      </c>
      <c r="F16" s="218">
        <f>INDEX('[1]1,8-PH_GCS'!$B5:$N17,1,5)</f>
        <v>11718</v>
      </c>
      <c r="G16" s="218">
        <f>INDEX('[1]1,8-PH_GCS'!$B5:$N17,1,6)</f>
        <v>143003</v>
      </c>
      <c r="H16" s="218">
        <f>INDEX('[1]1,8-PH_GCS'!$B5:$N17,1,4)</f>
        <v>154721</v>
      </c>
      <c r="I16" s="218">
        <f>INDEX('[1]1,8-PH_GCS'!$B5:$N17,1,7)</f>
        <v>453677616</v>
      </c>
      <c r="J16" s="218">
        <f>INDEX('[1]1,8-PH_GCS'!$B5:$N17,1,8)</f>
        <v>36294207</v>
      </c>
      <c r="K16" s="218">
        <f>INDEX('[1]1,8-PH_GCS'!$B5:$N17,1,9)</f>
        <v>489971823</v>
      </c>
      <c r="L16" s="218">
        <f>INDEX('[1]1,8-PH_GCS'!$B5:$N17,1,10)</f>
        <v>0</v>
      </c>
      <c r="M16" s="218">
        <f>INDEX('[1]1,8-PH_GCS'!$B5:$N17,1,11)</f>
        <v>0</v>
      </c>
      <c r="N16" s="225">
        <f>INDEX('[1]1,8-PH_GCS'!$B5:$N17,1,12)</f>
        <v>0</v>
      </c>
      <c r="O16" s="218">
        <f>INDEX('[1]1,8-PH_GCS'!$B5:$N17,1,13)</f>
        <v>489971823</v>
      </c>
      <c r="P16" s="7" t="s">
        <v>129</v>
      </c>
    </row>
    <row r="17" spans="1:20" s="21" customFormat="1" x14ac:dyDescent="0.3">
      <c r="A17" s="313" t="s">
        <v>241</v>
      </c>
      <c r="B17" s="313"/>
      <c r="C17" s="230">
        <f>SUM(C15:C16)</f>
        <v>36</v>
      </c>
      <c r="D17" s="230">
        <f t="shared" ref="D17:O17" si="1">SUM(D15:D16)</f>
        <v>99</v>
      </c>
      <c r="E17" s="230"/>
      <c r="F17" s="230">
        <f t="shared" si="1"/>
        <v>11718</v>
      </c>
      <c r="G17" s="230">
        <f t="shared" si="1"/>
        <v>144543</v>
      </c>
      <c r="H17" s="230">
        <f t="shared" si="1"/>
        <v>156261</v>
      </c>
      <c r="I17" s="230">
        <f t="shared" si="1"/>
        <v>459004122</v>
      </c>
      <c r="J17" s="230">
        <f t="shared" si="1"/>
        <v>36720327</v>
      </c>
      <c r="K17" s="230">
        <f t="shared" si="1"/>
        <v>495724449</v>
      </c>
      <c r="L17" s="230">
        <f t="shared" si="1"/>
        <v>0</v>
      </c>
      <c r="M17" s="230">
        <f t="shared" si="1"/>
        <v>0</v>
      </c>
      <c r="N17" s="230">
        <f t="shared" si="1"/>
        <v>0</v>
      </c>
      <c r="O17" s="230">
        <f t="shared" si="1"/>
        <v>495724449</v>
      </c>
      <c r="P17" s="7"/>
    </row>
    <row r="18" spans="1:20" s="21" customFormat="1" x14ac:dyDescent="0.3">
      <c r="A18" s="310" t="s">
        <v>257</v>
      </c>
      <c r="B18" s="311"/>
      <c r="C18" s="312"/>
      <c r="D18" s="218"/>
      <c r="E18" s="22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7"/>
    </row>
    <row r="19" spans="1:20" s="21" customFormat="1" x14ac:dyDescent="0.3">
      <c r="A19" s="229">
        <v>5</v>
      </c>
      <c r="B19" s="223" t="str">
        <f>INDEX('[1]1,8-PH_GCS'!C6:C21,1,1)</f>
        <v>10/05/2026</v>
      </c>
      <c r="C19" s="218">
        <f>INDEX('[1]1,8-PH_GCS'!$B6:$N21,1,1)</f>
        <v>22</v>
      </c>
      <c r="D19" s="218">
        <f>INDEX('[1]1,8-PH_GCS'!$B6:$N21,1,3)</f>
        <v>431</v>
      </c>
      <c r="E19" s="224">
        <v>46153</v>
      </c>
      <c r="F19" s="218">
        <f>INDEX('[1]1,8-PH_GCS'!$B6:$N21,1,5)</f>
        <v>1582</v>
      </c>
      <c r="G19" s="218">
        <f>INDEX('[1]1,8-PH_GCS'!$B6:$N21,1,6)</f>
        <v>167584009</v>
      </c>
      <c r="H19" s="218">
        <f>INDEX('[1]1,8-PH_GCS'!$B6:$N21,1,4)</f>
        <v>167585591</v>
      </c>
      <c r="I19" s="218">
        <f>INDEX('[1]1,8-PH_GCS'!$B6:$N21,1,7)</f>
        <v>318577781957</v>
      </c>
      <c r="J19" s="218">
        <f>INDEX('[1]1,8-PH_GCS'!$B6:$N21,1,8)</f>
        <v>25480346999</v>
      </c>
      <c r="K19" s="218">
        <f>INDEX('[1]1,8-PH_GCS'!$B6:$N21,1,9)</f>
        <v>344058128956</v>
      </c>
      <c r="L19" s="218">
        <f>INDEX('[1]1,8-PH_GCS'!$B6:$N21,1,10)</f>
        <v>63034452</v>
      </c>
      <c r="M19" s="218">
        <f>INDEX('[1]1,8-PH_GCS'!$B6:$N21,1,11)</f>
        <v>5042756</v>
      </c>
      <c r="N19" s="225">
        <f>INDEX('[1]1,8-PH_GCS'!$B6:$N21,1,12)</f>
        <v>68077208</v>
      </c>
      <c r="O19" s="218">
        <f>INDEX('[1]1,8-PH_GCS'!$B6:$N21,1,13)</f>
        <v>344126206164</v>
      </c>
      <c r="P19" s="7" t="s">
        <v>129</v>
      </c>
    </row>
    <row r="20" spans="1:20" s="21" customFormat="1" x14ac:dyDescent="0.3">
      <c r="A20" s="229">
        <v>6</v>
      </c>
      <c r="B20" s="223" t="str">
        <f>INDEX('[1]1,8-PH_GCS'!C7:C22,1,1)</f>
        <v>15/05/2026</v>
      </c>
      <c r="C20" s="218">
        <f>INDEX('[1]1,8-PH_GCS'!$B7:$N22,1,1)</f>
        <v>8</v>
      </c>
      <c r="D20" s="218">
        <f>INDEX('[1]1,8-PH_GCS'!$B7:$N22,1,3)</f>
        <v>188</v>
      </c>
      <c r="E20" s="224">
        <v>46158</v>
      </c>
      <c r="F20" s="218">
        <f>INDEX('[1]1,8-PH_GCS'!$B7:$N22,1,5)</f>
        <v>7650</v>
      </c>
      <c r="G20" s="218">
        <f>INDEX('[1]1,8-PH_GCS'!$B7:$N22,1,6)</f>
        <v>5519709</v>
      </c>
      <c r="H20" s="218">
        <f>INDEX('[1]1,8-PH_GCS'!$B7:$N22,1,4)</f>
        <v>5527359</v>
      </c>
      <c r="I20" s="218">
        <f>INDEX('[1]1,8-PH_GCS'!$B7:$N22,1,7)</f>
        <v>13249288139</v>
      </c>
      <c r="J20" s="218">
        <f>INDEX('[1]1,8-PH_GCS'!$B7:$N22,1,8)</f>
        <v>1059943044</v>
      </c>
      <c r="K20" s="218">
        <f>INDEX('[1]1,8-PH_GCS'!$B7:$N22,1,9)</f>
        <v>14309231183</v>
      </c>
      <c r="L20" s="218">
        <f>INDEX('[1]1,8-PH_GCS'!$B7:$N22,1,10)</f>
        <v>34333124</v>
      </c>
      <c r="M20" s="218">
        <f>INDEX('[1]1,8-PH_GCS'!$B7:$N22,1,11)</f>
        <v>2746651</v>
      </c>
      <c r="N20" s="225">
        <f>INDEX('[1]1,8-PH_GCS'!$B7:$N22,1,12)</f>
        <v>37079775</v>
      </c>
      <c r="O20" s="218">
        <f>INDEX('[1]1,8-PH_GCS'!$B7:$N22,1,13)</f>
        <v>14346310958</v>
      </c>
      <c r="P20" s="7" t="s">
        <v>129</v>
      </c>
      <c r="T20" s="7"/>
    </row>
    <row r="21" spans="1:20" s="21" customFormat="1" x14ac:dyDescent="0.3">
      <c r="A21" s="229">
        <v>7</v>
      </c>
      <c r="B21" s="223" t="str">
        <f>INDEX('[1]1,8-PH_GCS'!C8:C23,1,1)</f>
        <v>20/05/2026</v>
      </c>
      <c r="C21" s="218">
        <f>INDEX('[1]1,8-PH_GCS'!$B8:$N23,1,1)</f>
        <v>21</v>
      </c>
      <c r="D21" s="218">
        <f>INDEX('[1]1,8-PH_GCS'!$B8:$N23,1,3)</f>
        <v>435</v>
      </c>
      <c r="E21" s="224">
        <v>46163</v>
      </c>
      <c r="F21" s="218">
        <f>INDEX('[1]1,8-PH_GCS'!$B8:$N23,1,5)</f>
        <v>1648</v>
      </c>
      <c r="G21" s="218">
        <f>INDEX('[1]1,8-PH_GCS'!$B8:$N23,1,6)</f>
        <v>167498187</v>
      </c>
      <c r="H21" s="218">
        <f>INDEX('[1]1,8-PH_GCS'!$B8:$N23,1,4)</f>
        <v>167499835</v>
      </c>
      <c r="I21" s="218">
        <f>INDEX('[1]1,8-PH_GCS'!$B8:$N23,1,7)</f>
        <v>322724399951</v>
      </c>
      <c r="J21" s="218">
        <f>INDEX('[1]1,8-PH_GCS'!$B8:$N23,1,8)</f>
        <v>25811181662</v>
      </c>
      <c r="K21" s="218">
        <f>INDEX('[1]1,8-PH_GCS'!$B8:$N23,1,9)</f>
        <v>348535581613</v>
      </c>
      <c r="L21" s="218">
        <f>INDEX('[1]1,8-PH_GCS'!$B8:$N23,1,10)</f>
        <v>68682060</v>
      </c>
      <c r="M21" s="218">
        <f>INDEX('[1]1,8-PH_GCS'!$B8:$N23,1,11)</f>
        <v>5494565</v>
      </c>
      <c r="N21" s="225">
        <f>INDEX('[1]1,8-PH_GCS'!$B8:$N23,1,12)</f>
        <v>74176625</v>
      </c>
      <c r="O21" s="218">
        <f>INDEX('[1]1,8-PH_GCS'!$B8:$N23,1,13)</f>
        <v>348609758238</v>
      </c>
      <c r="P21" s="7" t="s">
        <v>129</v>
      </c>
    </row>
    <row r="22" spans="1:20" s="20" customFormat="1" x14ac:dyDescent="0.3">
      <c r="A22" s="229">
        <v>8</v>
      </c>
      <c r="B22" s="223" t="str">
        <f>INDEX('[1]1,8-PH_GCS'!C9:C24,1,1)</f>
        <v>31/05/2026</v>
      </c>
      <c r="C22" s="218">
        <f>INDEX('[1]1,8-PH_GCS'!$B9:$N24,1,1)</f>
        <v>2027</v>
      </c>
      <c r="D22" s="218">
        <f>INDEX('[1]1,8-PH_GCS'!$B9:$N24,1,3)</f>
        <v>237233</v>
      </c>
      <c r="E22" s="224">
        <v>46175</v>
      </c>
      <c r="F22" s="218">
        <f>INDEX('[1]1,8-PH_GCS'!$B9:$N24,1,5)</f>
        <v>95846215</v>
      </c>
      <c r="G22" s="218">
        <f>INDEX('[1]1,8-PH_GCS'!$B9:$N24,1,6)</f>
        <v>238508165</v>
      </c>
      <c r="H22" s="218">
        <f>INDEX('[1]1,8-PH_GCS'!$B9:$N24,1,4)</f>
        <v>334354380</v>
      </c>
      <c r="I22" s="218">
        <f>INDEX('[1]1,8-PH_GCS'!$B9:$N24,1,7)</f>
        <v>765738457758</v>
      </c>
      <c r="J22" s="218">
        <f>INDEX('[1]1,8-PH_GCS'!$B9:$N24,1,8)</f>
        <v>61251406929</v>
      </c>
      <c r="K22" s="218">
        <f>INDEX('[1]1,8-PH_GCS'!$B9:$N24,1,9)</f>
        <v>826989864687</v>
      </c>
      <c r="L22" s="218">
        <f>INDEX('[1]1,8-PH_GCS'!$B9:$N24,1,10)</f>
        <v>596561995</v>
      </c>
      <c r="M22" s="218">
        <f>INDEX('[1]1,8-PH_GCS'!$B9:$N24,1,11)</f>
        <v>47724956</v>
      </c>
      <c r="N22" s="225">
        <f>INDEX('[1]1,8-PH_GCS'!$B9:$N24,1,12)</f>
        <v>644286951</v>
      </c>
      <c r="O22" s="218">
        <f>INDEX('[1]1,8-PH_GCS'!$B9:$N24,1,13)</f>
        <v>827634151638</v>
      </c>
      <c r="P22" s="7" t="s">
        <v>130</v>
      </c>
    </row>
    <row r="23" spans="1:20" s="21" customFormat="1" x14ac:dyDescent="0.3">
      <c r="A23" s="313" t="s">
        <v>241</v>
      </c>
      <c r="B23" s="313"/>
      <c r="C23" s="230">
        <f>SUM(C19:C22)</f>
        <v>2078</v>
      </c>
      <c r="D23" s="230">
        <f t="shared" ref="D23:O23" si="2">SUM(D19:D22)</f>
        <v>238287</v>
      </c>
      <c r="E23" s="231"/>
      <c r="F23" s="230">
        <f t="shared" si="2"/>
        <v>95857095</v>
      </c>
      <c r="G23" s="230">
        <f t="shared" si="2"/>
        <v>579110070</v>
      </c>
      <c r="H23" s="230">
        <f t="shared" si="2"/>
        <v>674967165</v>
      </c>
      <c r="I23" s="230">
        <f t="shared" si="2"/>
        <v>1420289927805</v>
      </c>
      <c r="J23" s="230">
        <f t="shared" si="2"/>
        <v>113602878634</v>
      </c>
      <c r="K23" s="230">
        <f t="shared" si="2"/>
        <v>1533892806439</v>
      </c>
      <c r="L23" s="230">
        <f t="shared" si="2"/>
        <v>762611631</v>
      </c>
      <c r="M23" s="230">
        <f t="shared" si="2"/>
        <v>61008928</v>
      </c>
      <c r="N23" s="230">
        <f t="shared" si="2"/>
        <v>823620559</v>
      </c>
      <c r="O23" s="230">
        <f t="shared" si="2"/>
        <v>1534716426998</v>
      </c>
      <c r="P23" s="7"/>
    </row>
    <row r="24" spans="1:20" s="21" customFormat="1" x14ac:dyDescent="0.3">
      <c r="A24" s="232" t="s">
        <v>258</v>
      </c>
      <c r="B24" s="233"/>
      <c r="C24" s="234"/>
      <c r="D24" s="218"/>
      <c r="E24" s="228"/>
      <c r="F24" s="218"/>
      <c r="G24" s="218"/>
      <c r="H24" s="218"/>
      <c r="I24" s="218"/>
      <c r="J24" s="218"/>
      <c r="K24" s="218"/>
      <c r="L24" s="218"/>
      <c r="M24" s="218"/>
      <c r="N24" s="220"/>
      <c r="O24" s="221"/>
      <c r="P24" s="7"/>
    </row>
    <row r="25" spans="1:20" s="20" customFormat="1" x14ac:dyDescent="0.3">
      <c r="A25" s="229">
        <v>9</v>
      </c>
      <c r="B25" s="223" t="str">
        <f>INDEX('[1]1,8-PH_GCS'!C10:C27,1,1)</f>
        <v>31/05/2026</v>
      </c>
      <c r="C25" s="218">
        <f>INDEX('[1]1,8-PH_GCS'!$B10:$N27,1,1)</f>
        <v>10</v>
      </c>
      <c r="D25" s="218">
        <f>INDEX('[1]1,8-PH_GCS'!$B10:$N27,1,3)</f>
        <v>10</v>
      </c>
      <c r="E25" s="224">
        <v>46173</v>
      </c>
      <c r="F25" s="218">
        <f>INDEX('[1]1,8-PH_GCS'!$B10:$N27,1,5)</f>
        <v>-3655</v>
      </c>
      <c r="G25" s="218">
        <f>INDEX('[1]1,8-PH_GCS'!$B10:$N27,1,6)</f>
        <v>-8219</v>
      </c>
      <c r="H25" s="218">
        <f>INDEX('[1]1,8-PH_GCS'!$B10:$N27,1,4)</f>
        <v>-11874</v>
      </c>
      <c r="I25" s="218">
        <f>INDEX('[1]1,8-PH_GCS'!$B10:$N27,1,7)</f>
        <v>-37491358</v>
      </c>
      <c r="J25" s="218">
        <f>INDEX('[1]1,8-PH_GCS'!$B10:$N27,1,8)</f>
        <v>-2999309</v>
      </c>
      <c r="K25" s="218">
        <f>INDEX('[1]1,8-PH_GCS'!$B10:$N27,1,9)</f>
        <v>-40490667</v>
      </c>
      <c r="L25" s="218">
        <f>INDEX('[1]1,8-PH_GCS'!$B10:$N27,1,10)</f>
        <v>0</v>
      </c>
      <c r="M25" s="218">
        <f>INDEX('[1]1,8-PH_GCS'!$B10:$N27,1,11)</f>
        <v>0</v>
      </c>
      <c r="N25" s="225">
        <f>INDEX('[1]1,8-PH_GCS'!$B10:$N27,1,12)</f>
        <v>0</v>
      </c>
      <c r="O25" s="218">
        <f>INDEX('[1]1,8-PH_GCS'!$B10:$N27,1,13)</f>
        <v>-40490667</v>
      </c>
      <c r="P25" s="7" t="s">
        <v>129</v>
      </c>
    </row>
    <row r="26" spans="1:20" s="20" customFormat="1" x14ac:dyDescent="0.3">
      <c r="A26" s="314" t="s">
        <v>241</v>
      </c>
      <c r="B26" s="314"/>
      <c r="C26" s="230">
        <f>SUM(C25:C25)</f>
        <v>10</v>
      </c>
      <c r="D26" s="230">
        <f t="shared" ref="D26:O26" si="3">SUM(D25:D25)</f>
        <v>10</v>
      </c>
      <c r="E26" s="230">
        <f t="shared" si="3"/>
        <v>46173</v>
      </c>
      <c r="F26" s="230">
        <f t="shared" si="3"/>
        <v>-3655</v>
      </c>
      <c r="G26" s="230">
        <f t="shared" si="3"/>
        <v>-8219</v>
      </c>
      <c r="H26" s="230">
        <f t="shared" si="3"/>
        <v>-11874</v>
      </c>
      <c r="I26" s="230">
        <f t="shared" si="3"/>
        <v>-37491358</v>
      </c>
      <c r="J26" s="230">
        <f t="shared" si="3"/>
        <v>-2999309</v>
      </c>
      <c r="K26" s="230">
        <f t="shared" si="3"/>
        <v>-40490667</v>
      </c>
      <c r="L26" s="230">
        <f t="shared" si="3"/>
        <v>0</v>
      </c>
      <c r="M26" s="230">
        <f t="shared" si="3"/>
        <v>0</v>
      </c>
      <c r="N26" s="230">
        <f t="shared" si="3"/>
        <v>0</v>
      </c>
      <c r="O26" s="230">
        <f t="shared" si="3"/>
        <v>-40490667</v>
      </c>
      <c r="P26" s="7"/>
    </row>
    <row r="27" spans="1:20" s="20" customFormat="1" x14ac:dyDescent="0.3">
      <c r="A27" s="232" t="s">
        <v>242</v>
      </c>
      <c r="B27" s="234"/>
      <c r="C27" s="218"/>
      <c r="D27" s="218"/>
      <c r="E27" s="228"/>
      <c r="F27" s="218"/>
      <c r="G27" s="218"/>
      <c r="H27" s="218"/>
      <c r="I27" s="218"/>
      <c r="J27" s="218"/>
      <c r="K27" s="218"/>
      <c r="L27" s="218"/>
      <c r="M27" s="218"/>
      <c r="N27" s="220"/>
      <c r="O27" s="221"/>
      <c r="P27" s="7"/>
    </row>
    <row r="28" spans="1:20" s="20" customFormat="1" x14ac:dyDescent="0.3">
      <c r="A28" s="222">
        <v>10</v>
      </c>
      <c r="B28" s="223" t="str">
        <f>INDEX('[1]1,8-PH_GCS'!C11:C33,1,1)</f>
        <v>10/05/2026</v>
      </c>
      <c r="C28" s="218">
        <f>INDEX('[1]1,8-PH_GCS'!$B11:$N33,1,1)</f>
        <v>2</v>
      </c>
      <c r="D28" s="218">
        <f>INDEX('[1]1,8-PH_GCS'!$B11:$N33,1,3)</f>
        <v>15</v>
      </c>
      <c r="E28" s="224">
        <v>46153</v>
      </c>
      <c r="F28" s="218">
        <f>INDEX('[1]1,8-PH_GCS'!$B11:$N33,1,5)</f>
        <v>0</v>
      </c>
      <c r="G28" s="218">
        <f>INDEX('[1]1,8-PH_GCS'!$B11:$N33,1,6)</f>
        <v>13398</v>
      </c>
      <c r="H28" s="218">
        <f>INDEX('[1]1,8-PH_GCS'!$B11:$N33,1,4)</f>
        <v>13398</v>
      </c>
      <c r="I28" s="218">
        <f>INDEX('[1]1,8-PH_GCS'!$B11:$N33,1,7)</f>
        <v>27790994</v>
      </c>
      <c r="J28" s="218">
        <f>INDEX('[1]1,8-PH_GCS'!$B11:$N33,1,8)</f>
        <v>2223280</v>
      </c>
      <c r="K28" s="218">
        <f>INDEX('[1]1,8-PH_GCS'!$B11:$N33,1,9)</f>
        <v>30014274</v>
      </c>
      <c r="L28" s="218">
        <f>INDEX('[1]1,8-PH_GCS'!$B11:$N33,1,10)</f>
        <v>0</v>
      </c>
      <c r="M28" s="218">
        <f>INDEX('[1]1,8-PH_GCS'!$B11:$N33,1,11)</f>
        <v>0</v>
      </c>
      <c r="N28" s="225">
        <f>INDEX('[1]1,8-PH_GCS'!$B11:$N33,1,12)</f>
        <v>0</v>
      </c>
      <c r="O28" s="218">
        <f>INDEX('[1]1,8-PH_GCS'!$B11:$N33,1,13)</f>
        <v>30014274</v>
      </c>
      <c r="P28" s="7" t="s">
        <v>129</v>
      </c>
    </row>
    <row r="29" spans="1:20" s="20" customFormat="1" x14ac:dyDescent="0.3">
      <c r="A29" s="222">
        <v>11</v>
      </c>
      <c r="B29" s="223" t="str">
        <f>INDEX('[1]1,8-PH_GCS'!C12:C34,1,1)</f>
        <v>31/05/2026</v>
      </c>
      <c r="C29" s="218">
        <f>INDEX('[1]1,8-PH_GCS'!$B12:$N34,1,1)</f>
        <v>43</v>
      </c>
      <c r="D29" s="218">
        <f>INDEX('[1]1,8-PH_GCS'!$B12:$N34,1,3)</f>
        <v>92</v>
      </c>
      <c r="E29" s="224">
        <v>46173</v>
      </c>
      <c r="F29" s="218">
        <f>INDEX('[1]1,8-PH_GCS'!$B12:$N34,1,5)</f>
        <v>24701</v>
      </c>
      <c r="G29" s="218">
        <f>INDEX('[1]1,8-PH_GCS'!$B12:$N34,1,6)</f>
        <v>68320</v>
      </c>
      <c r="H29" s="218">
        <f>INDEX('[1]1,8-PH_GCS'!$B12:$N34,1,4)</f>
        <v>93021</v>
      </c>
      <c r="I29" s="218">
        <f>INDEX('[1]1,8-PH_GCS'!$B12:$N34,1,7)</f>
        <v>254454350</v>
      </c>
      <c r="J29" s="218">
        <f>INDEX('[1]1,8-PH_GCS'!$B12:$N34,1,8)</f>
        <v>20356347</v>
      </c>
      <c r="K29" s="218">
        <f>INDEX('[1]1,8-PH_GCS'!$B12:$N34,1,9)</f>
        <v>274810697</v>
      </c>
      <c r="L29" s="218">
        <f>INDEX('[1]1,8-PH_GCS'!$B12:$N34,1,10)</f>
        <v>0</v>
      </c>
      <c r="M29" s="218">
        <f>INDEX('[1]1,8-PH_GCS'!$B12:$N34,1,11)</f>
        <v>0</v>
      </c>
      <c r="N29" s="225">
        <f>INDEX('[1]1,8-PH_GCS'!$B12:$N34,1,12)</f>
        <v>0</v>
      </c>
      <c r="O29" s="218">
        <f>INDEX('[1]1,8-PH_GCS'!$B12:$N34,1,13)</f>
        <v>274810697</v>
      </c>
      <c r="P29" s="7" t="s">
        <v>129</v>
      </c>
    </row>
    <row r="30" spans="1:20" s="34" customFormat="1" x14ac:dyDescent="0.3">
      <c r="A30" s="314" t="s">
        <v>241</v>
      </c>
      <c r="B30" s="314"/>
      <c r="C30" s="230">
        <f>SUM(C28:C29)</f>
        <v>45</v>
      </c>
      <c r="D30" s="230">
        <f t="shared" ref="D30:O30" si="4">SUM(D28:D29)</f>
        <v>107</v>
      </c>
      <c r="E30" s="230">
        <f t="shared" si="4"/>
        <v>92326</v>
      </c>
      <c r="F30" s="230">
        <f t="shared" si="4"/>
        <v>24701</v>
      </c>
      <c r="G30" s="230">
        <f t="shared" si="4"/>
        <v>81718</v>
      </c>
      <c r="H30" s="230">
        <f t="shared" si="4"/>
        <v>106419</v>
      </c>
      <c r="I30" s="230">
        <f t="shared" si="4"/>
        <v>282245344</v>
      </c>
      <c r="J30" s="230">
        <f t="shared" si="4"/>
        <v>22579627</v>
      </c>
      <c r="K30" s="230">
        <f t="shared" si="4"/>
        <v>304824971</v>
      </c>
      <c r="L30" s="230">
        <f t="shared" si="4"/>
        <v>0</v>
      </c>
      <c r="M30" s="230">
        <f t="shared" si="4"/>
        <v>0</v>
      </c>
      <c r="N30" s="230">
        <f t="shared" si="4"/>
        <v>0</v>
      </c>
      <c r="O30" s="230">
        <f t="shared" si="4"/>
        <v>304824971</v>
      </c>
      <c r="P30" s="7"/>
    </row>
    <row r="31" spans="1:20" s="34" customFormat="1" x14ac:dyDescent="0.3">
      <c r="A31" s="313" t="s">
        <v>241</v>
      </c>
      <c r="B31" s="313"/>
      <c r="C31" s="230">
        <f>C13+C17+C23+C26+C30</f>
        <v>2205</v>
      </c>
      <c r="D31" s="230">
        <f>D13+D17+D23+D26+D30</f>
        <v>238602</v>
      </c>
      <c r="E31" s="235"/>
      <c r="F31" s="230">
        <f t="shared" ref="F31:O31" si="5">F13+F17+F23+F26+F30</f>
        <v>95863182</v>
      </c>
      <c r="G31" s="230">
        <f t="shared" si="5"/>
        <v>579268976</v>
      </c>
      <c r="H31" s="230">
        <f t="shared" si="5"/>
        <v>675132158</v>
      </c>
      <c r="I31" s="230">
        <f t="shared" si="5"/>
        <v>1420763729435</v>
      </c>
      <c r="J31" s="230">
        <f t="shared" si="5"/>
        <v>113640782757</v>
      </c>
      <c r="K31" s="230">
        <f t="shared" si="5"/>
        <v>1534404512192</v>
      </c>
      <c r="L31" s="230">
        <f t="shared" si="5"/>
        <v>762611631</v>
      </c>
      <c r="M31" s="230">
        <f t="shared" si="5"/>
        <v>61008928</v>
      </c>
      <c r="N31" s="230">
        <f t="shared" si="5"/>
        <v>823620559</v>
      </c>
      <c r="O31" s="230">
        <f t="shared" si="5"/>
        <v>1535228132751</v>
      </c>
      <c r="P31" s="7"/>
    </row>
    <row r="32" spans="1:20" x14ac:dyDescent="0.3">
      <c r="O32" s="7"/>
    </row>
    <row r="33" spans="5:16" s="10" customFormat="1" x14ac:dyDescent="0.3">
      <c r="E33" s="28"/>
      <c r="F33" s="8"/>
      <c r="G33" s="8"/>
      <c r="H33" s="3" t="s">
        <v>122</v>
      </c>
      <c r="I33" s="8" t="s">
        <v>131</v>
      </c>
      <c r="J33" s="8" t="s">
        <v>132</v>
      </c>
      <c r="K33" s="8" t="s">
        <v>120</v>
      </c>
      <c r="L33" s="8" t="s">
        <v>133</v>
      </c>
      <c r="M33" s="8" t="s">
        <v>134</v>
      </c>
      <c r="N33" s="8"/>
      <c r="O33" s="12"/>
      <c r="P33" s="12"/>
    </row>
    <row r="35" spans="5:16" x14ac:dyDescent="0.3">
      <c r="G35" s="7" t="s">
        <v>129</v>
      </c>
      <c r="H35" s="1">
        <f>SUMIF($P:$P,G35,$I:$I)</f>
        <v>655025271677</v>
      </c>
      <c r="I35" s="1">
        <f>SUMIF($P:$P,G35,$J:$J)</f>
        <v>52389375828</v>
      </c>
      <c r="J35" s="1">
        <f>SUMIF($P:$P,G35,$K:$K)</f>
        <v>707414647505</v>
      </c>
      <c r="K35" s="1">
        <f>SUMIF($P:$P,G35,$L:$L)</f>
        <v>166049636</v>
      </c>
      <c r="L35" s="1">
        <f>SUMIF($P:$P,G35,$M:$M)</f>
        <v>13283972</v>
      </c>
      <c r="M35" s="1">
        <f>SUMIF($P:$P,G35,$N:$N)</f>
        <v>179333608</v>
      </c>
      <c r="N35" s="1">
        <f>SUMIF($P:$P,G35,$O:$O)</f>
        <v>707593981113</v>
      </c>
    </row>
    <row r="36" spans="5:16" x14ac:dyDescent="0.3">
      <c r="G36" s="7" t="s">
        <v>130</v>
      </c>
      <c r="H36" s="1">
        <f>SUMIF($P:$P,G36,$I:$I)</f>
        <v>765738457758</v>
      </c>
      <c r="I36" s="1">
        <f>SUMIF($P:$P,G36,$J:$J)</f>
        <v>61251406929</v>
      </c>
      <c r="J36" s="1">
        <f>SUMIF($P:$P,G36,$K:$K)</f>
        <v>826989864687</v>
      </c>
      <c r="K36" s="1">
        <f>SUMIF($P:$P,G36,$L:$L)</f>
        <v>596561995</v>
      </c>
      <c r="L36" s="1">
        <f>SUMIF($P:$P,G36,$M:$M)</f>
        <v>47724956</v>
      </c>
      <c r="M36" s="1">
        <f>SUMIF($P:$P,G36,$N:$N)</f>
        <v>644286951</v>
      </c>
      <c r="N36" s="1">
        <f>SUMIF($P:$P,G36,$O:$O)</f>
        <v>827634151638</v>
      </c>
    </row>
    <row r="37" spans="5:16" x14ac:dyDescent="0.3">
      <c r="H37" s="3">
        <f>SUM(H35:H36)</f>
        <v>1420763729435</v>
      </c>
      <c r="I37" s="8">
        <f t="shared" ref="I37:N37" si="6">SUM(I35:I36)</f>
        <v>113640782757</v>
      </c>
      <c r="J37" s="9">
        <f t="shared" si="6"/>
        <v>1534404512192</v>
      </c>
      <c r="K37" s="8">
        <f t="shared" si="6"/>
        <v>762611631</v>
      </c>
      <c r="L37" s="8">
        <f t="shared" si="6"/>
        <v>61008928</v>
      </c>
      <c r="M37" s="9">
        <f t="shared" si="6"/>
        <v>823620559</v>
      </c>
      <c r="N37" s="8">
        <f t="shared" si="6"/>
        <v>1535228132751</v>
      </c>
    </row>
    <row r="38" spans="5:16" x14ac:dyDescent="0.3">
      <c r="H38" s="1">
        <f>H37-D56-D58</f>
        <v>0</v>
      </c>
      <c r="I38" s="1">
        <f>I37-E56</f>
        <v>0</v>
      </c>
      <c r="J38" s="1">
        <f>J37-F56-F58</f>
        <v>0</v>
      </c>
      <c r="K38" s="1">
        <f>K37-D57</f>
        <v>0</v>
      </c>
      <c r="L38" s="1">
        <f>L37-E57</f>
        <v>0</v>
      </c>
      <c r="M38" s="1">
        <f>M37-F57</f>
        <v>0</v>
      </c>
      <c r="N38" s="1">
        <f>N37-F60</f>
        <v>0</v>
      </c>
    </row>
    <row r="39" spans="5:16" x14ac:dyDescent="0.3">
      <c r="E39" s="7" t="s">
        <v>202</v>
      </c>
      <c r="F39" s="152" t="s">
        <v>129</v>
      </c>
      <c r="G39" s="152"/>
      <c r="H39" s="11"/>
      <c r="I39" s="11"/>
      <c r="J39" s="11"/>
      <c r="K39" s="11"/>
      <c r="L39" s="11"/>
      <c r="M39" s="11"/>
      <c r="N39" s="11"/>
    </row>
    <row r="40" spans="5:16" x14ac:dyDescent="0.3">
      <c r="G40" s="7" t="s">
        <v>84</v>
      </c>
      <c r="H40" s="1">
        <f>H35-H41</f>
        <v>654867197777</v>
      </c>
      <c r="I40" s="1">
        <f>I35-I41</f>
        <v>52389375828</v>
      </c>
      <c r="J40" s="1">
        <f>J35-J41</f>
        <v>707256573605</v>
      </c>
      <c r="L40" s="1">
        <f>K35-L41</f>
        <v>166049636</v>
      </c>
      <c r="M40" s="1">
        <f>L35</f>
        <v>13283972</v>
      </c>
      <c r="N40" s="1">
        <f>L40+M40</f>
        <v>179333608</v>
      </c>
      <c r="O40" s="8" t="s">
        <v>127</v>
      </c>
    </row>
    <row r="41" spans="5:16" x14ac:dyDescent="0.3">
      <c r="G41" s="7" t="s">
        <v>201</v>
      </c>
      <c r="H41" s="14">
        <f>'Nhom TC'!O1</f>
        <v>158073900</v>
      </c>
      <c r="I41" s="7">
        <v>0</v>
      </c>
      <c r="J41" s="14">
        <f>H41+I41</f>
        <v>158073900</v>
      </c>
      <c r="L41" s="1"/>
      <c r="M41" s="1">
        <v>0</v>
      </c>
      <c r="N41" s="1">
        <f>L41+M41</f>
        <v>0</v>
      </c>
      <c r="O41" s="8" t="s">
        <v>247</v>
      </c>
    </row>
    <row r="42" spans="5:16" x14ac:dyDescent="0.3">
      <c r="H42" s="1">
        <f>SUM(H40:H41)</f>
        <v>655025271677</v>
      </c>
      <c r="I42" s="151">
        <f>SUM(I40:I41)</f>
        <v>52389375828</v>
      </c>
      <c r="J42" s="1">
        <f>SUM(J40:J41)</f>
        <v>707414647505</v>
      </c>
      <c r="K42" s="1"/>
      <c r="L42" s="1">
        <f>SUM(L40:L41)</f>
        <v>166049636</v>
      </c>
      <c r="M42" s="151">
        <f>SUM(M40:M41)</f>
        <v>13283972</v>
      </c>
      <c r="N42" s="1">
        <f>L42+M42</f>
        <v>179333608</v>
      </c>
    </row>
    <row r="43" spans="5:16" x14ac:dyDescent="0.3">
      <c r="H43" s="1">
        <f>H35-H42</f>
        <v>0</v>
      </c>
      <c r="I43" s="1">
        <f>I35-I42</f>
        <v>0</v>
      </c>
      <c r="J43" s="1">
        <f>J35-J42</f>
        <v>0</v>
      </c>
      <c r="K43" s="1"/>
      <c r="L43" s="1"/>
      <c r="M43" s="1"/>
      <c r="N43" s="1"/>
    </row>
    <row r="44" spans="5:16" x14ac:dyDescent="0.3">
      <c r="G44" s="5" t="s">
        <v>127</v>
      </c>
      <c r="I44" s="1"/>
      <c r="J44" s="1"/>
      <c r="K44" s="1">
        <f>K35</f>
        <v>166049636</v>
      </c>
      <c r="L44" s="1">
        <f>L35</f>
        <v>13283972</v>
      </c>
      <c r="M44" s="1">
        <f>M35</f>
        <v>179333608</v>
      </c>
      <c r="N44" s="1">
        <f>N35</f>
        <v>707593981113</v>
      </c>
    </row>
    <row r="45" spans="5:16" x14ac:dyDescent="0.3">
      <c r="H45" s="1">
        <f t="shared" ref="H45:N45" si="7">+H42+H44-H35</f>
        <v>0</v>
      </c>
      <c r="I45" s="1">
        <f t="shared" si="7"/>
        <v>0</v>
      </c>
      <c r="J45" s="1">
        <f t="shared" si="7"/>
        <v>0</v>
      </c>
      <c r="K45" s="1">
        <f t="shared" si="7"/>
        <v>0</v>
      </c>
      <c r="L45" s="1">
        <f t="shared" si="7"/>
        <v>166049636</v>
      </c>
      <c r="M45" s="1">
        <f t="shared" si="7"/>
        <v>13283972</v>
      </c>
      <c r="N45" s="1">
        <f t="shared" si="7"/>
        <v>179333608</v>
      </c>
    </row>
    <row r="46" spans="5:16" x14ac:dyDescent="0.3">
      <c r="F46" s="152" t="s">
        <v>130</v>
      </c>
      <c r="G46" s="152"/>
      <c r="H46" s="11"/>
      <c r="I46" s="11"/>
      <c r="J46" s="11"/>
      <c r="K46" s="11"/>
      <c r="L46" s="11"/>
      <c r="M46" s="11"/>
      <c r="N46" s="11"/>
    </row>
    <row r="47" spans="5:16" x14ac:dyDescent="0.3">
      <c r="G47" s="7" t="s">
        <v>84</v>
      </c>
      <c r="H47" s="1">
        <f>H36-H48</f>
        <v>765642586406</v>
      </c>
      <c r="I47" s="1">
        <f>I36</f>
        <v>61251406929</v>
      </c>
      <c r="J47" s="1">
        <f>J36-J48</f>
        <v>826893993335</v>
      </c>
      <c r="K47" s="1"/>
      <c r="L47" s="1"/>
      <c r="M47" s="1"/>
      <c r="N47" s="1"/>
    </row>
    <row r="48" spans="5:16" x14ac:dyDescent="0.3">
      <c r="G48" s="7" t="s">
        <v>201</v>
      </c>
      <c r="H48" s="1">
        <f>'Nhom TC'!O2</f>
        <v>95871352</v>
      </c>
      <c r="I48" s="1">
        <v>0</v>
      </c>
      <c r="J48" s="1">
        <f>H48+I48</f>
        <v>95871352</v>
      </c>
      <c r="K48" s="1"/>
      <c r="L48" s="1"/>
      <c r="M48" s="1"/>
      <c r="N48" s="1"/>
    </row>
    <row r="49" spans="1:14" x14ac:dyDescent="0.3">
      <c r="H49" s="1">
        <f>SUM(H47:H48)</f>
        <v>765738457758</v>
      </c>
      <c r="I49" s="1">
        <f>SUM(I47:I48)</f>
        <v>61251406929</v>
      </c>
      <c r="J49" s="1">
        <f>SUM(J47:J48)</f>
        <v>826989864687</v>
      </c>
      <c r="K49" s="1"/>
      <c r="L49" s="1"/>
      <c r="M49" s="1"/>
      <c r="N49" s="1"/>
    </row>
    <row r="50" spans="1:14" x14ac:dyDescent="0.3">
      <c r="G50" s="5" t="s">
        <v>127</v>
      </c>
      <c r="I50" s="1"/>
      <c r="J50" s="1"/>
      <c r="K50" s="1">
        <f>K36</f>
        <v>596561995</v>
      </c>
      <c r="L50" s="1">
        <f>L36</f>
        <v>47724956</v>
      </c>
      <c r="M50" s="1">
        <f>M36</f>
        <v>644286951</v>
      </c>
      <c r="N50" s="1">
        <f>N36</f>
        <v>827634151638</v>
      </c>
    </row>
    <row r="51" spans="1:14" x14ac:dyDescent="0.3">
      <c r="I51" s="1">
        <f>I36-I49</f>
        <v>0</v>
      </c>
      <c r="J51" s="1">
        <f>J36-J49</f>
        <v>0</v>
      </c>
      <c r="K51" s="1"/>
      <c r="L51" s="1"/>
      <c r="M51" s="1"/>
      <c r="N51" s="1"/>
    </row>
    <row r="52" spans="1:14" x14ac:dyDescent="0.3">
      <c r="H52" s="1">
        <f t="shared" ref="H52:N52" si="8">+H49+H50-H36</f>
        <v>0</v>
      </c>
      <c r="I52" s="1">
        <f t="shared" si="8"/>
        <v>0</v>
      </c>
      <c r="J52" s="1">
        <f t="shared" si="8"/>
        <v>0</v>
      </c>
      <c r="K52" s="1">
        <f t="shared" si="8"/>
        <v>0</v>
      </c>
      <c r="L52" s="1">
        <f t="shared" si="8"/>
        <v>0</v>
      </c>
      <c r="M52" s="1">
        <f t="shared" si="8"/>
        <v>0</v>
      </c>
      <c r="N52" s="1">
        <f t="shared" si="8"/>
        <v>0</v>
      </c>
    </row>
    <row r="53" spans="1:14" x14ac:dyDescent="0.3">
      <c r="F53" s="152"/>
      <c r="G53" s="152"/>
      <c r="H53" s="11">
        <f>H42+H49</f>
        <v>1420763729435</v>
      </c>
      <c r="I53" s="11">
        <f t="shared" ref="I53:J53" si="9">I42+I49</f>
        <v>113640782757</v>
      </c>
      <c r="J53" s="11">
        <f t="shared" si="9"/>
        <v>1534404512192</v>
      </c>
      <c r="K53" s="11">
        <f>+K44+K50</f>
        <v>762611631</v>
      </c>
      <c r="L53" s="11">
        <f t="shared" ref="L53:N53" si="10">+L44+L50</f>
        <v>61008928</v>
      </c>
      <c r="M53" s="11">
        <f t="shared" si="10"/>
        <v>823620559</v>
      </c>
      <c r="N53" s="11">
        <f t="shared" si="10"/>
        <v>1535228132751</v>
      </c>
    </row>
    <row r="54" spans="1:14" x14ac:dyDescent="0.3">
      <c r="A54" s="5" t="s">
        <v>184</v>
      </c>
      <c r="H54" s="1">
        <f t="shared" ref="H54:N54" si="11">+H37-H53</f>
        <v>0</v>
      </c>
      <c r="I54" s="1">
        <f t="shared" si="11"/>
        <v>0</v>
      </c>
      <c r="J54" s="1">
        <f t="shared" si="11"/>
        <v>0</v>
      </c>
      <c r="K54" s="1">
        <f t="shared" si="11"/>
        <v>0</v>
      </c>
      <c r="L54" s="1">
        <f t="shared" si="11"/>
        <v>0</v>
      </c>
      <c r="M54" s="1">
        <f t="shared" si="11"/>
        <v>0</v>
      </c>
      <c r="N54" s="1">
        <f t="shared" si="11"/>
        <v>0</v>
      </c>
    </row>
    <row r="55" spans="1:14" x14ac:dyDescent="0.3">
      <c r="D55" s="5" t="s">
        <v>123</v>
      </c>
      <c r="E55" s="27" t="s">
        <v>58</v>
      </c>
      <c r="F55" s="7" t="s">
        <v>124</v>
      </c>
    </row>
    <row r="56" spans="1:14" x14ac:dyDescent="0.3">
      <c r="A56" s="5" t="s">
        <v>119</v>
      </c>
      <c r="B56" s="5" t="s">
        <v>84</v>
      </c>
      <c r="D56" s="14">
        <f>'4A'!D13</f>
        <v>1420509784183</v>
      </c>
      <c r="E56" s="1">
        <f>'4A'!E13</f>
        <v>113640782757</v>
      </c>
      <c r="F56" s="7">
        <f>'4A'!F13</f>
        <v>1534150566940</v>
      </c>
    </row>
    <row r="57" spans="1:14" x14ac:dyDescent="0.3">
      <c r="A57" s="5" t="s">
        <v>120</v>
      </c>
      <c r="B57" s="5" t="s">
        <v>127</v>
      </c>
      <c r="D57" s="14">
        <f>'4A'!D9</f>
        <v>762611631</v>
      </c>
      <c r="E57" s="1">
        <f>'4A'!E9</f>
        <v>61008928</v>
      </c>
      <c r="F57" s="7">
        <f>'4A'!F9</f>
        <v>823620559</v>
      </c>
      <c r="J57" s="4">
        <f>'4A'!F13</f>
        <v>1534150566940</v>
      </c>
    </row>
    <row r="58" spans="1:14" x14ac:dyDescent="0.3">
      <c r="A58" s="5" t="s">
        <v>119</v>
      </c>
      <c r="B58" s="5" t="s">
        <v>201</v>
      </c>
      <c r="D58" s="14">
        <f>'4A'!D12</f>
        <v>253945252</v>
      </c>
      <c r="E58" s="1">
        <v>0</v>
      </c>
      <c r="F58" s="14">
        <f>'4A'!F12</f>
        <v>253945252</v>
      </c>
      <c r="J58" s="7">
        <f>J57-J37</f>
        <v>-253945252</v>
      </c>
    </row>
    <row r="59" spans="1:14" x14ac:dyDescent="0.3">
      <c r="B59" s="5" t="s">
        <v>247</v>
      </c>
      <c r="D59" s="14">
        <v>25367337</v>
      </c>
      <c r="E59" s="1"/>
      <c r="F59" s="14"/>
    </row>
    <row r="60" spans="1:14" x14ac:dyDescent="0.3">
      <c r="D60" s="14">
        <f>SUM(D56:D59)</f>
        <v>1421551708403</v>
      </c>
      <c r="E60" s="14"/>
      <c r="F60" s="14">
        <f>SUM(F56:F58)</f>
        <v>1535228132751</v>
      </c>
    </row>
    <row r="61" spans="1:14" x14ac:dyDescent="0.3">
      <c r="H61" s="1" t="s">
        <v>364</v>
      </c>
      <c r="I61" s="7">
        <f>I47+L36</f>
        <v>61299131885</v>
      </c>
    </row>
    <row r="62" spans="1:14" x14ac:dyDescent="0.3">
      <c r="D62" s="14"/>
      <c r="F62" s="14"/>
      <c r="I62" s="7">
        <f>'33895'!G37</f>
        <v>61299131885</v>
      </c>
    </row>
    <row r="63" spans="1:14" x14ac:dyDescent="0.3">
      <c r="I63" s="8">
        <f>I61-I62</f>
        <v>0</v>
      </c>
    </row>
    <row r="66" spans="13:13" x14ac:dyDescent="0.3">
      <c r="M66" s="7">
        <v>100833864242</v>
      </c>
    </row>
  </sheetData>
  <mergeCells count="26">
    <mergeCell ref="A2:F2"/>
    <mergeCell ref="A3:F3"/>
    <mergeCell ref="A5:O5"/>
    <mergeCell ref="A6:O6"/>
    <mergeCell ref="A8:A9"/>
    <mergeCell ref="B8:B9"/>
    <mergeCell ref="C8:C9"/>
    <mergeCell ref="D8:D9"/>
    <mergeCell ref="E8:E9"/>
    <mergeCell ref="F8:H8"/>
    <mergeCell ref="I8:I9"/>
    <mergeCell ref="J8:J9"/>
    <mergeCell ref="K8:K9"/>
    <mergeCell ref="L8:L9"/>
    <mergeCell ref="M8:M9"/>
    <mergeCell ref="N8:N9"/>
    <mergeCell ref="O8:O9"/>
    <mergeCell ref="A10:C10"/>
    <mergeCell ref="A13:B13"/>
    <mergeCell ref="A14:C14"/>
    <mergeCell ref="A17:B17"/>
    <mergeCell ref="A18:C18"/>
    <mergeCell ref="A23:B23"/>
    <mergeCell ref="A26:B26"/>
    <mergeCell ref="A30:B30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8AF5-989D-4B9A-99B2-82274DD24AAD}">
  <sheetPr codeName="Sheet2"/>
  <dimension ref="A1:Z57"/>
  <sheetViews>
    <sheetView topLeftCell="D1" workbookViewId="0">
      <selection activeCell="N20" sqref="N20"/>
    </sheetView>
  </sheetViews>
  <sheetFormatPr defaultColWidth="5.3984375" defaultRowHeight="15.6" x14ac:dyDescent="0.3"/>
  <cols>
    <col min="1" max="1" width="9.19921875" customWidth="1"/>
    <col min="2" max="3" width="9.09765625" customWidth="1"/>
    <col min="4" max="11" width="9.5" customWidth="1"/>
    <col min="12" max="12" width="12.19921875" customWidth="1"/>
    <col min="13" max="13" width="9.09765625" customWidth="1"/>
    <col min="14" max="14" width="9.5" customWidth="1"/>
    <col min="15" max="15" width="14.296875" bestFit="1" customWidth="1"/>
    <col min="16" max="16" width="9.09765625" customWidth="1"/>
    <col min="17" max="17" width="14.296875" bestFit="1" customWidth="1"/>
    <col min="18" max="18" width="23.19921875" customWidth="1"/>
    <col min="19" max="20" width="9.09765625" customWidth="1"/>
    <col min="21" max="21" width="11.796875" customWidth="1"/>
    <col min="22" max="22" width="7.8984375" style="100" customWidth="1"/>
    <col min="23" max="23" width="6.09765625" style="101" bestFit="1" customWidth="1"/>
    <col min="24" max="24" width="13.19921875" style="101" bestFit="1" customWidth="1"/>
    <col min="25" max="25" width="13.09765625" style="101" bestFit="1" customWidth="1"/>
    <col min="26" max="26" width="8.59765625" style="101" bestFit="1" customWidth="1"/>
    <col min="27" max="16384" width="5.3984375" style="101"/>
  </cols>
  <sheetData>
    <row r="1" spans="1:26" x14ac:dyDescent="0.25">
      <c r="A1" s="196" t="s">
        <v>118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240"/>
      <c r="P1" s="196"/>
      <c r="Q1" s="196"/>
      <c r="R1" s="196"/>
      <c r="S1" s="196"/>
      <c r="T1" s="196"/>
      <c r="U1" s="196"/>
      <c r="W1" s="93" t="s">
        <v>247</v>
      </c>
      <c r="X1" s="94">
        <f t="shared" ref="X1:X7" si="0">SUMIF($V:$V,$W1,$O:$O)</f>
        <v>0</v>
      </c>
    </row>
    <row r="2" spans="1:26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241"/>
      <c r="P2" s="42"/>
      <c r="Q2" s="42"/>
      <c r="R2" s="42"/>
      <c r="S2" s="42"/>
      <c r="T2" s="42"/>
      <c r="U2" s="42"/>
      <c r="W2" s="93" t="s">
        <v>201</v>
      </c>
      <c r="X2" s="94">
        <f t="shared" si="0"/>
        <v>253945252</v>
      </c>
    </row>
    <row r="3" spans="1:26" ht="17.399999999999999" x14ac:dyDescent="0.25">
      <c r="A3" s="197" t="s">
        <v>117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242"/>
      <c r="P3" s="197"/>
      <c r="Q3" s="197"/>
      <c r="R3" s="197"/>
      <c r="S3" s="197"/>
      <c r="T3" s="197"/>
      <c r="U3" s="197"/>
      <c r="W3" s="93" t="s">
        <v>84</v>
      </c>
      <c r="X3" s="94">
        <f t="shared" si="0"/>
        <v>1420509784183</v>
      </c>
    </row>
    <row r="4" spans="1:26" ht="13.8" x14ac:dyDescent="0.25">
      <c r="A4" s="198" t="s">
        <v>906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243"/>
      <c r="P4" s="198"/>
      <c r="Q4" s="198"/>
      <c r="R4" s="198"/>
      <c r="S4" s="198"/>
      <c r="T4" s="198"/>
      <c r="U4" s="198"/>
      <c r="W4" s="93" t="s">
        <v>127</v>
      </c>
      <c r="X4" s="94">
        <f t="shared" si="0"/>
        <v>762611631</v>
      </c>
      <c r="Y4" s="210"/>
      <c r="Z4" s="106"/>
    </row>
    <row r="5" spans="1:26" x14ac:dyDescent="0.25">
      <c r="A5" s="199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244"/>
      <c r="P5" s="199"/>
      <c r="Q5" s="199"/>
      <c r="R5" s="199"/>
      <c r="S5" s="199"/>
      <c r="T5" s="199"/>
      <c r="U5" s="199"/>
      <c r="W5" s="93" t="s">
        <v>382</v>
      </c>
      <c r="X5" s="94">
        <f t="shared" si="0"/>
        <v>0</v>
      </c>
      <c r="Y5" s="85" t="s">
        <v>386</v>
      </c>
    </row>
    <row r="6" spans="1:26" ht="13.8" x14ac:dyDescent="0.25">
      <c r="A6" s="200" t="s">
        <v>116</v>
      </c>
      <c r="B6" s="200" t="s">
        <v>115</v>
      </c>
      <c r="C6" s="200" t="s">
        <v>114</v>
      </c>
      <c r="D6" s="200" t="s">
        <v>113</v>
      </c>
      <c r="E6" s="201" t="s">
        <v>112</v>
      </c>
      <c r="F6" s="201" t="s">
        <v>59</v>
      </c>
      <c r="G6" s="201" t="s">
        <v>111</v>
      </c>
      <c r="H6" s="201" t="s">
        <v>110</v>
      </c>
      <c r="I6" s="201" t="s">
        <v>109</v>
      </c>
      <c r="J6" s="201" t="s">
        <v>108</v>
      </c>
      <c r="K6" s="201" t="s">
        <v>107</v>
      </c>
      <c r="L6" s="201" t="s">
        <v>106</v>
      </c>
      <c r="M6" s="200" t="s">
        <v>105</v>
      </c>
      <c r="N6" s="200" t="s">
        <v>341</v>
      </c>
      <c r="O6" s="245" t="s">
        <v>360</v>
      </c>
      <c r="P6" s="200" t="s">
        <v>193</v>
      </c>
      <c r="Q6" s="200" t="s">
        <v>194</v>
      </c>
      <c r="R6" s="200" t="s">
        <v>1</v>
      </c>
      <c r="S6" s="200" t="s">
        <v>104</v>
      </c>
      <c r="T6" s="200" t="s">
        <v>103</v>
      </c>
      <c r="U6" s="200" t="s">
        <v>102</v>
      </c>
      <c r="W6" s="93" t="s">
        <v>361</v>
      </c>
      <c r="X6" s="94">
        <f t="shared" si="0"/>
        <v>0</v>
      </c>
      <c r="Y6" s="85" t="s">
        <v>387</v>
      </c>
    </row>
    <row r="7" spans="1:26" x14ac:dyDescent="0.25">
      <c r="A7" s="202" t="s">
        <v>101</v>
      </c>
      <c r="B7" s="202">
        <v>1632</v>
      </c>
      <c r="C7" s="203">
        <v>46168</v>
      </c>
      <c r="D7" s="202" t="s">
        <v>907</v>
      </c>
      <c r="E7" s="202" t="s">
        <v>908</v>
      </c>
      <c r="F7" s="202" t="s">
        <v>909</v>
      </c>
      <c r="G7" s="202" t="s">
        <v>910</v>
      </c>
      <c r="H7" s="202" t="s">
        <v>911</v>
      </c>
      <c r="I7" s="202" t="s">
        <v>908</v>
      </c>
      <c r="J7" s="202" t="s">
        <v>907</v>
      </c>
      <c r="K7" s="202" t="s">
        <v>911</v>
      </c>
      <c r="L7" s="202" t="s">
        <v>911</v>
      </c>
      <c r="M7" s="202" t="s">
        <v>100</v>
      </c>
      <c r="N7" s="204"/>
      <c r="O7" s="239">
        <v>57336523</v>
      </c>
      <c r="P7" s="204"/>
      <c r="Q7" s="205">
        <v>57336523</v>
      </c>
      <c r="R7" s="202" t="s">
        <v>912</v>
      </c>
      <c r="S7" s="202" t="s">
        <v>439</v>
      </c>
      <c r="T7" s="202" t="s">
        <v>196</v>
      </c>
      <c r="U7" s="202" t="s">
        <v>196</v>
      </c>
      <c r="V7" s="100" t="str">
        <f t="shared" ref="V7:V57" si="1">LEFT(R7,6)</f>
        <v>4500TT</v>
      </c>
      <c r="W7" s="93" t="s">
        <v>276</v>
      </c>
      <c r="X7" s="94">
        <f t="shared" si="0"/>
        <v>253573360</v>
      </c>
      <c r="Y7" s="85" t="s">
        <v>388</v>
      </c>
    </row>
    <row r="8" spans="1:26" x14ac:dyDescent="0.25">
      <c r="A8" s="202" t="s">
        <v>101</v>
      </c>
      <c r="B8" s="202">
        <v>1624</v>
      </c>
      <c r="C8" s="203">
        <v>46158</v>
      </c>
      <c r="D8" s="202" t="s">
        <v>907</v>
      </c>
      <c r="E8" s="202" t="s">
        <v>908</v>
      </c>
      <c r="F8" s="202" t="s">
        <v>913</v>
      </c>
      <c r="G8" s="202" t="s">
        <v>914</v>
      </c>
      <c r="H8" s="202" t="s">
        <v>911</v>
      </c>
      <c r="I8" s="202" t="s">
        <v>908</v>
      </c>
      <c r="J8" s="202" t="s">
        <v>907</v>
      </c>
      <c r="K8" s="202" t="s">
        <v>911</v>
      </c>
      <c r="L8" s="202" t="s">
        <v>911</v>
      </c>
      <c r="M8" s="202" t="s">
        <v>100</v>
      </c>
      <c r="N8" s="204"/>
      <c r="O8" s="239">
        <v>34333124</v>
      </c>
      <c r="P8" s="204"/>
      <c r="Q8" s="205">
        <v>34333124</v>
      </c>
      <c r="R8" s="202" t="s">
        <v>915</v>
      </c>
      <c r="S8" s="202" t="s">
        <v>439</v>
      </c>
      <c r="T8" s="202" t="s">
        <v>99</v>
      </c>
      <c r="U8" s="202" t="s">
        <v>99</v>
      </c>
      <c r="V8" s="100" t="str">
        <f t="shared" si="1"/>
        <v>CSPK02</v>
      </c>
      <c r="W8" s="92"/>
      <c r="X8" s="95">
        <f>SUM(X2:X7)</f>
        <v>1421779914426</v>
      </c>
    </row>
    <row r="9" spans="1:26" x14ac:dyDescent="0.25">
      <c r="A9" s="202" t="s">
        <v>101</v>
      </c>
      <c r="B9" s="202">
        <v>1625</v>
      </c>
      <c r="C9" s="203">
        <v>46163</v>
      </c>
      <c r="D9" s="202" t="s">
        <v>907</v>
      </c>
      <c r="E9" s="202" t="s">
        <v>908</v>
      </c>
      <c r="F9" s="202" t="s">
        <v>916</v>
      </c>
      <c r="G9" s="202" t="s">
        <v>914</v>
      </c>
      <c r="H9" s="202" t="s">
        <v>911</v>
      </c>
      <c r="I9" s="202" t="s">
        <v>908</v>
      </c>
      <c r="J9" s="202" t="s">
        <v>907</v>
      </c>
      <c r="K9" s="202" t="s">
        <v>911</v>
      </c>
      <c r="L9" s="202" t="s">
        <v>911</v>
      </c>
      <c r="M9" s="202" t="s">
        <v>100</v>
      </c>
      <c r="N9" s="204"/>
      <c r="O9" s="239">
        <v>322639770751</v>
      </c>
      <c r="P9" s="204"/>
      <c r="Q9" s="205">
        <v>322639770751</v>
      </c>
      <c r="R9" s="202" t="s">
        <v>917</v>
      </c>
      <c r="S9" s="202" t="s">
        <v>439</v>
      </c>
      <c r="T9" s="202" t="s">
        <v>99</v>
      </c>
      <c r="U9" s="202" t="s">
        <v>99</v>
      </c>
      <c r="V9" s="100" t="str">
        <f t="shared" si="1"/>
        <v>DIEN01</v>
      </c>
    </row>
    <row r="10" spans="1:26" x14ac:dyDescent="0.25">
      <c r="A10" s="202" t="s">
        <v>101</v>
      </c>
      <c r="B10" s="202">
        <v>1626</v>
      </c>
      <c r="C10" s="203">
        <v>46163</v>
      </c>
      <c r="D10" s="202" t="s">
        <v>907</v>
      </c>
      <c r="E10" s="202" t="s">
        <v>908</v>
      </c>
      <c r="F10" s="202" t="s">
        <v>913</v>
      </c>
      <c r="G10" s="202" t="s">
        <v>914</v>
      </c>
      <c r="H10" s="202" t="s">
        <v>911</v>
      </c>
      <c r="I10" s="202" t="s">
        <v>908</v>
      </c>
      <c r="J10" s="202" t="s">
        <v>907</v>
      </c>
      <c r="K10" s="202" t="s">
        <v>911</v>
      </c>
      <c r="L10" s="202" t="s">
        <v>911</v>
      </c>
      <c r="M10" s="202" t="s">
        <v>100</v>
      </c>
      <c r="N10" s="204"/>
      <c r="O10" s="239">
        <v>68682060</v>
      </c>
      <c r="P10" s="204"/>
      <c r="Q10" s="205">
        <v>68682060</v>
      </c>
      <c r="R10" s="202" t="s">
        <v>918</v>
      </c>
      <c r="S10" s="202" t="s">
        <v>439</v>
      </c>
      <c r="T10" s="202" t="s">
        <v>99</v>
      </c>
      <c r="U10" s="202" t="s">
        <v>99</v>
      </c>
      <c r="V10" s="100" t="str">
        <f t="shared" si="1"/>
        <v>CSPK02</v>
      </c>
    </row>
    <row r="11" spans="1:26" x14ac:dyDescent="0.25">
      <c r="A11" s="202" t="s">
        <v>101</v>
      </c>
      <c r="B11" s="202">
        <v>1627</v>
      </c>
      <c r="C11" s="203">
        <v>46163</v>
      </c>
      <c r="D11" s="202" t="s">
        <v>907</v>
      </c>
      <c r="E11" s="202" t="s">
        <v>908</v>
      </c>
      <c r="F11" s="202" t="s">
        <v>916</v>
      </c>
      <c r="G11" s="202" t="s">
        <v>914</v>
      </c>
      <c r="H11" s="202" t="s">
        <v>911</v>
      </c>
      <c r="I11" s="202" t="s">
        <v>908</v>
      </c>
      <c r="J11" s="202" t="s">
        <v>907</v>
      </c>
      <c r="K11" s="202" t="s">
        <v>911</v>
      </c>
      <c r="L11" s="202" t="s">
        <v>911</v>
      </c>
      <c r="M11" s="202" t="s">
        <v>100</v>
      </c>
      <c r="N11" s="204"/>
      <c r="O11" s="239">
        <v>84629200</v>
      </c>
      <c r="P11" s="204"/>
      <c r="Q11" s="205">
        <v>84629200</v>
      </c>
      <c r="R11" s="202" t="s">
        <v>919</v>
      </c>
      <c r="S11" s="202" t="s">
        <v>439</v>
      </c>
      <c r="T11" s="202" t="s">
        <v>99</v>
      </c>
      <c r="U11" s="202" t="s">
        <v>99</v>
      </c>
      <c r="V11" s="100" t="str">
        <f t="shared" si="1"/>
        <v>DIEN00</v>
      </c>
    </row>
    <row r="12" spans="1:26" x14ac:dyDescent="0.25">
      <c r="A12" s="202" t="s">
        <v>101</v>
      </c>
      <c r="B12" s="202">
        <v>1646</v>
      </c>
      <c r="C12" s="203">
        <v>46168</v>
      </c>
      <c r="D12" s="202" t="s">
        <v>907</v>
      </c>
      <c r="E12" s="202" t="s">
        <v>908</v>
      </c>
      <c r="F12" s="202" t="s">
        <v>909</v>
      </c>
      <c r="G12" s="202" t="s">
        <v>910</v>
      </c>
      <c r="H12" s="202" t="s">
        <v>911</v>
      </c>
      <c r="I12" s="202" t="s">
        <v>908</v>
      </c>
      <c r="J12" s="202" t="s">
        <v>907</v>
      </c>
      <c r="K12" s="202" t="s">
        <v>911</v>
      </c>
      <c r="L12" s="202" t="s">
        <v>911</v>
      </c>
      <c r="M12" s="202" t="s">
        <v>100</v>
      </c>
      <c r="N12" s="204"/>
      <c r="O12" s="239">
        <v>150296766</v>
      </c>
      <c r="P12" s="204"/>
      <c r="Q12" s="205">
        <v>150296766</v>
      </c>
      <c r="R12" s="202" t="s">
        <v>920</v>
      </c>
      <c r="S12" s="202" t="s">
        <v>439</v>
      </c>
      <c r="T12" s="202" t="s">
        <v>196</v>
      </c>
      <c r="U12" s="202" t="s">
        <v>196</v>
      </c>
      <c r="V12" s="100" t="str">
        <f t="shared" si="1"/>
        <v>4500TT</v>
      </c>
    </row>
    <row r="13" spans="1:26" x14ac:dyDescent="0.25">
      <c r="A13" s="202" t="s">
        <v>101</v>
      </c>
      <c r="B13" s="202">
        <v>1615</v>
      </c>
      <c r="C13" s="203">
        <v>46153</v>
      </c>
      <c r="D13" s="202" t="s">
        <v>907</v>
      </c>
      <c r="E13" s="202" t="s">
        <v>908</v>
      </c>
      <c r="F13" s="202" t="s">
        <v>916</v>
      </c>
      <c r="G13" s="202" t="s">
        <v>914</v>
      </c>
      <c r="H13" s="202" t="s">
        <v>911</v>
      </c>
      <c r="I13" s="202" t="s">
        <v>908</v>
      </c>
      <c r="J13" s="202" t="s">
        <v>907</v>
      </c>
      <c r="K13" s="202" t="s">
        <v>911</v>
      </c>
      <c r="L13" s="202" t="s">
        <v>911</v>
      </c>
      <c r="M13" s="202" t="s">
        <v>100</v>
      </c>
      <c r="N13" s="204"/>
      <c r="O13" s="239">
        <v>318504337257</v>
      </c>
      <c r="P13" s="204"/>
      <c r="Q13" s="205">
        <v>318504337257</v>
      </c>
      <c r="R13" s="202" t="s">
        <v>921</v>
      </c>
      <c r="S13" s="202" t="s">
        <v>439</v>
      </c>
      <c r="T13" s="202" t="s">
        <v>99</v>
      </c>
      <c r="U13" s="202" t="s">
        <v>99</v>
      </c>
      <c r="V13" s="100" t="str">
        <f t="shared" si="1"/>
        <v>DIEN01</v>
      </c>
    </row>
    <row r="14" spans="1:26" x14ac:dyDescent="0.25">
      <c r="A14" s="202" t="s">
        <v>101</v>
      </c>
      <c r="B14" s="202">
        <v>1616</v>
      </c>
      <c r="C14" s="203">
        <v>46153</v>
      </c>
      <c r="D14" s="202" t="s">
        <v>907</v>
      </c>
      <c r="E14" s="202" t="s">
        <v>908</v>
      </c>
      <c r="F14" s="202" t="s">
        <v>916</v>
      </c>
      <c r="G14" s="202" t="s">
        <v>914</v>
      </c>
      <c r="H14" s="202" t="s">
        <v>911</v>
      </c>
      <c r="I14" s="202" t="s">
        <v>908</v>
      </c>
      <c r="J14" s="202" t="s">
        <v>907</v>
      </c>
      <c r="K14" s="202" t="s">
        <v>911</v>
      </c>
      <c r="L14" s="202" t="s">
        <v>911</v>
      </c>
      <c r="M14" s="202" t="s">
        <v>100</v>
      </c>
      <c r="N14" s="204"/>
      <c r="O14" s="239">
        <v>73444700</v>
      </c>
      <c r="P14" s="204"/>
      <c r="Q14" s="205">
        <v>73444700</v>
      </c>
      <c r="R14" s="202" t="s">
        <v>922</v>
      </c>
      <c r="S14" s="202" t="s">
        <v>439</v>
      </c>
      <c r="T14" s="202" t="s">
        <v>99</v>
      </c>
      <c r="U14" s="202" t="s">
        <v>99</v>
      </c>
      <c r="V14" s="100" t="str">
        <f t="shared" si="1"/>
        <v>DIEN00</v>
      </c>
    </row>
    <row r="15" spans="1:26" x14ac:dyDescent="0.25">
      <c r="A15" s="202" t="s">
        <v>101</v>
      </c>
      <c r="B15" s="202">
        <v>1617</v>
      </c>
      <c r="C15" s="203">
        <v>46153</v>
      </c>
      <c r="D15" s="202" t="s">
        <v>907</v>
      </c>
      <c r="E15" s="202" t="s">
        <v>908</v>
      </c>
      <c r="F15" s="202" t="s">
        <v>913</v>
      </c>
      <c r="G15" s="202" t="s">
        <v>914</v>
      </c>
      <c r="H15" s="202" t="s">
        <v>911</v>
      </c>
      <c r="I15" s="202" t="s">
        <v>908</v>
      </c>
      <c r="J15" s="202" t="s">
        <v>907</v>
      </c>
      <c r="K15" s="202" t="s">
        <v>911</v>
      </c>
      <c r="L15" s="202" t="s">
        <v>911</v>
      </c>
      <c r="M15" s="202" t="s">
        <v>100</v>
      </c>
      <c r="N15" s="204"/>
      <c r="O15" s="239">
        <v>63034452</v>
      </c>
      <c r="P15" s="204"/>
      <c r="Q15" s="205">
        <v>63034452</v>
      </c>
      <c r="R15" s="202" t="s">
        <v>923</v>
      </c>
      <c r="S15" s="202" t="s">
        <v>439</v>
      </c>
      <c r="T15" s="202" t="s">
        <v>99</v>
      </c>
      <c r="U15" s="202" t="s">
        <v>99</v>
      </c>
      <c r="V15" s="100" t="str">
        <f t="shared" si="1"/>
        <v>CSPK02</v>
      </c>
    </row>
    <row r="16" spans="1:26" x14ac:dyDescent="0.25">
      <c r="A16" s="202" t="s">
        <v>101</v>
      </c>
      <c r="B16" s="202">
        <v>1618</v>
      </c>
      <c r="C16" s="203">
        <v>46158</v>
      </c>
      <c r="D16" s="202" t="s">
        <v>907</v>
      </c>
      <c r="E16" s="202" t="s">
        <v>908</v>
      </c>
      <c r="F16" s="202" t="s">
        <v>916</v>
      </c>
      <c r="G16" s="202" t="s">
        <v>914</v>
      </c>
      <c r="H16" s="202" t="s">
        <v>911</v>
      </c>
      <c r="I16" s="202" t="s">
        <v>908</v>
      </c>
      <c r="J16" s="202" t="s">
        <v>907</v>
      </c>
      <c r="K16" s="202" t="s">
        <v>911</v>
      </c>
      <c r="L16" s="202" t="s">
        <v>911</v>
      </c>
      <c r="M16" s="202" t="s">
        <v>100</v>
      </c>
      <c r="N16" s="204"/>
      <c r="O16" s="239">
        <v>13249288139</v>
      </c>
      <c r="P16" s="204"/>
      <c r="Q16" s="205">
        <v>13249288139</v>
      </c>
      <c r="R16" s="202" t="s">
        <v>924</v>
      </c>
      <c r="S16" s="202" t="s">
        <v>439</v>
      </c>
      <c r="T16" s="202" t="s">
        <v>99</v>
      </c>
      <c r="U16" s="202" t="s">
        <v>99</v>
      </c>
      <c r="V16" s="100" t="str">
        <f t="shared" si="1"/>
        <v>DIEN01</v>
      </c>
    </row>
    <row r="17" spans="1:22" x14ac:dyDescent="0.25">
      <c r="A17" s="236" t="s">
        <v>101</v>
      </c>
      <c r="B17" s="236">
        <v>1647</v>
      </c>
      <c r="C17" s="237">
        <v>46173</v>
      </c>
      <c r="D17" s="236" t="s">
        <v>907</v>
      </c>
      <c r="E17" s="236" t="s">
        <v>908</v>
      </c>
      <c r="F17" s="236" t="s">
        <v>916</v>
      </c>
      <c r="G17" s="236" t="s">
        <v>914</v>
      </c>
      <c r="H17" s="236" t="s">
        <v>911</v>
      </c>
      <c r="I17" s="236" t="s">
        <v>908</v>
      </c>
      <c r="J17" s="236" t="s">
        <v>907</v>
      </c>
      <c r="K17" s="236" t="s">
        <v>911</v>
      </c>
      <c r="L17" s="236" t="s">
        <v>911</v>
      </c>
      <c r="M17" s="236" t="s">
        <v>100</v>
      </c>
      <c r="N17" s="238"/>
      <c r="O17" s="239">
        <v>765642586406</v>
      </c>
      <c r="P17" s="238"/>
      <c r="Q17" s="239">
        <v>765642586406</v>
      </c>
      <c r="R17" s="236" t="s">
        <v>925</v>
      </c>
      <c r="S17" s="236" t="s">
        <v>439</v>
      </c>
      <c r="T17" s="236" t="s">
        <v>99</v>
      </c>
      <c r="U17" s="236" t="s">
        <v>99</v>
      </c>
      <c r="V17" s="101" t="str">
        <f t="shared" si="1"/>
        <v>DIEN01</v>
      </c>
    </row>
    <row r="18" spans="1:22" x14ac:dyDescent="0.25">
      <c r="A18" s="202" t="s">
        <v>101</v>
      </c>
      <c r="B18" s="202">
        <v>1648</v>
      </c>
      <c r="C18" s="203">
        <v>46173</v>
      </c>
      <c r="D18" s="202" t="s">
        <v>907</v>
      </c>
      <c r="E18" s="202" t="s">
        <v>908</v>
      </c>
      <c r="F18" s="202" t="s">
        <v>916</v>
      </c>
      <c r="G18" s="202" t="s">
        <v>914</v>
      </c>
      <c r="H18" s="202" t="s">
        <v>911</v>
      </c>
      <c r="I18" s="202" t="s">
        <v>908</v>
      </c>
      <c r="J18" s="202" t="s">
        <v>907</v>
      </c>
      <c r="K18" s="202" t="s">
        <v>911</v>
      </c>
      <c r="L18" s="202" t="s">
        <v>911</v>
      </c>
      <c r="M18" s="202" t="s">
        <v>100</v>
      </c>
      <c r="N18" s="204"/>
      <c r="O18" s="239">
        <v>95871352</v>
      </c>
      <c r="P18" s="204"/>
      <c r="Q18" s="205">
        <v>95871352</v>
      </c>
      <c r="R18" s="202" t="s">
        <v>926</v>
      </c>
      <c r="S18" s="202" t="s">
        <v>439</v>
      </c>
      <c r="T18" s="202" t="s">
        <v>99</v>
      </c>
      <c r="U18" s="202" t="s">
        <v>99</v>
      </c>
      <c r="V18" s="100" t="str">
        <f t="shared" si="1"/>
        <v>DIEN00</v>
      </c>
    </row>
    <row r="19" spans="1:22" x14ac:dyDescent="0.25">
      <c r="A19" s="202" t="s">
        <v>101</v>
      </c>
      <c r="B19" s="202">
        <v>1649</v>
      </c>
      <c r="C19" s="203">
        <v>46173</v>
      </c>
      <c r="D19" s="202" t="s">
        <v>907</v>
      </c>
      <c r="E19" s="202" t="s">
        <v>908</v>
      </c>
      <c r="F19" s="202" t="s">
        <v>913</v>
      </c>
      <c r="G19" s="202" t="s">
        <v>914</v>
      </c>
      <c r="H19" s="202" t="s">
        <v>911</v>
      </c>
      <c r="I19" s="202" t="s">
        <v>908</v>
      </c>
      <c r="J19" s="202" t="s">
        <v>907</v>
      </c>
      <c r="K19" s="202" t="s">
        <v>911</v>
      </c>
      <c r="L19" s="202" t="s">
        <v>911</v>
      </c>
      <c r="M19" s="202" t="s">
        <v>100</v>
      </c>
      <c r="N19" s="204"/>
      <c r="O19" s="239">
        <v>596561995</v>
      </c>
      <c r="P19" s="204"/>
      <c r="Q19" s="205">
        <v>596561995</v>
      </c>
      <c r="R19" s="202" t="s">
        <v>927</v>
      </c>
      <c r="S19" s="202" t="s">
        <v>439</v>
      </c>
      <c r="T19" s="202" t="s">
        <v>99</v>
      </c>
      <c r="U19" s="202" t="s">
        <v>99</v>
      </c>
      <c r="V19" s="100" t="str">
        <f t="shared" si="1"/>
        <v>CSPK02</v>
      </c>
    </row>
    <row r="20" spans="1:22" x14ac:dyDescent="0.25">
      <c r="A20" s="202" t="s">
        <v>101</v>
      </c>
      <c r="B20" s="202">
        <v>1633</v>
      </c>
      <c r="C20" s="203">
        <v>46168</v>
      </c>
      <c r="D20" s="202" t="s">
        <v>907</v>
      </c>
      <c r="E20" s="202" t="s">
        <v>908</v>
      </c>
      <c r="F20" s="202" t="s">
        <v>909</v>
      </c>
      <c r="G20" s="202" t="s">
        <v>910</v>
      </c>
      <c r="H20" s="202" t="s">
        <v>911</v>
      </c>
      <c r="I20" s="202" t="s">
        <v>908</v>
      </c>
      <c r="J20" s="202" t="s">
        <v>907</v>
      </c>
      <c r="K20" s="202" t="s">
        <v>911</v>
      </c>
      <c r="L20" s="202" t="s">
        <v>911</v>
      </c>
      <c r="M20" s="202" t="s">
        <v>100</v>
      </c>
      <c r="N20" s="204"/>
      <c r="O20" s="239">
        <v>45940071</v>
      </c>
      <c r="P20" s="204"/>
      <c r="Q20" s="205">
        <v>45940071</v>
      </c>
      <c r="R20" s="202" t="s">
        <v>928</v>
      </c>
      <c r="S20" s="202" t="s">
        <v>439</v>
      </c>
      <c r="T20" s="202" t="s">
        <v>196</v>
      </c>
      <c r="U20" s="202" t="s">
        <v>196</v>
      </c>
      <c r="V20" s="100" t="str">
        <f t="shared" si="1"/>
        <v>4500TT</v>
      </c>
    </row>
    <row r="21" spans="1:22" x14ac:dyDescent="0.25">
      <c r="A21" s="202" t="s">
        <v>101</v>
      </c>
      <c r="B21" s="202">
        <v>1639</v>
      </c>
      <c r="C21" s="203">
        <v>46173</v>
      </c>
      <c r="D21" s="202" t="s">
        <v>907</v>
      </c>
      <c r="E21" s="202" t="s">
        <v>908</v>
      </c>
      <c r="F21" s="202" t="s">
        <v>916</v>
      </c>
      <c r="G21" s="202" t="s">
        <v>914</v>
      </c>
      <c r="H21" s="202" t="s">
        <v>911</v>
      </c>
      <c r="I21" s="202" t="s">
        <v>908</v>
      </c>
      <c r="J21" s="202" t="s">
        <v>907</v>
      </c>
      <c r="K21" s="202" t="s">
        <v>911</v>
      </c>
      <c r="L21" s="202" t="s">
        <v>911</v>
      </c>
      <c r="M21" s="202" t="s">
        <v>100</v>
      </c>
      <c r="N21" s="204"/>
      <c r="O21" s="239">
        <v>-229956478</v>
      </c>
      <c r="P21" s="204"/>
      <c r="Q21" s="205">
        <v>-229956478</v>
      </c>
      <c r="R21" s="202" t="s">
        <v>929</v>
      </c>
      <c r="S21" s="202" t="s">
        <v>439</v>
      </c>
      <c r="T21" s="202" t="s">
        <v>99</v>
      </c>
      <c r="U21" s="202" t="s">
        <v>99</v>
      </c>
      <c r="V21" s="100" t="str">
        <f t="shared" si="1"/>
        <v>DIEN01</v>
      </c>
    </row>
    <row r="22" spans="1:22" x14ac:dyDescent="0.25">
      <c r="A22" s="202" t="s">
        <v>101</v>
      </c>
      <c r="B22" s="202">
        <v>1640</v>
      </c>
      <c r="C22" s="203">
        <v>46173</v>
      </c>
      <c r="D22" s="202" t="s">
        <v>907</v>
      </c>
      <c r="E22" s="202" t="s">
        <v>908</v>
      </c>
      <c r="F22" s="202" t="s">
        <v>916</v>
      </c>
      <c r="G22" s="202" t="s">
        <v>914</v>
      </c>
      <c r="H22" s="202" t="s">
        <v>911</v>
      </c>
      <c r="I22" s="202" t="s">
        <v>908</v>
      </c>
      <c r="J22" s="202" t="s">
        <v>907</v>
      </c>
      <c r="K22" s="202" t="s">
        <v>911</v>
      </c>
      <c r="L22" s="202" t="s">
        <v>911</v>
      </c>
      <c r="M22" s="202" t="s">
        <v>100</v>
      </c>
      <c r="N22" s="204"/>
      <c r="O22" s="239">
        <v>459004122</v>
      </c>
      <c r="P22" s="204"/>
      <c r="Q22" s="205">
        <v>459004122</v>
      </c>
      <c r="R22" s="202" t="s">
        <v>930</v>
      </c>
      <c r="S22" s="202" t="s">
        <v>439</v>
      </c>
      <c r="T22" s="202" t="s">
        <v>99</v>
      </c>
      <c r="U22" s="202" t="s">
        <v>99</v>
      </c>
      <c r="V22" s="100" t="str">
        <f t="shared" si="1"/>
        <v>DIEN01</v>
      </c>
    </row>
    <row r="23" spans="1:22" x14ac:dyDescent="0.25">
      <c r="A23" s="202" t="s">
        <v>101</v>
      </c>
      <c r="B23" s="202">
        <v>1641</v>
      </c>
      <c r="C23" s="203">
        <v>46173</v>
      </c>
      <c r="D23" s="202" t="s">
        <v>907</v>
      </c>
      <c r="E23" s="202" t="s">
        <v>908</v>
      </c>
      <c r="F23" s="202" t="s">
        <v>916</v>
      </c>
      <c r="G23" s="202" t="s">
        <v>914</v>
      </c>
      <c r="H23" s="202" t="s">
        <v>911</v>
      </c>
      <c r="I23" s="202" t="s">
        <v>908</v>
      </c>
      <c r="J23" s="202" t="s">
        <v>907</v>
      </c>
      <c r="K23" s="202" t="s">
        <v>911</v>
      </c>
      <c r="L23" s="202" t="s">
        <v>911</v>
      </c>
      <c r="M23" s="202" t="s">
        <v>100</v>
      </c>
      <c r="N23" s="204"/>
      <c r="O23" s="239">
        <v>282245344</v>
      </c>
      <c r="P23" s="204"/>
      <c r="Q23" s="205">
        <v>282245344</v>
      </c>
      <c r="R23" s="202" t="s">
        <v>931</v>
      </c>
      <c r="S23" s="202" t="s">
        <v>439</v>
      </c>
      <c r="T23" s="202" t="s">
        <v>99</v>
      </c>
      <c r="U23" s="202" t="s">
        <v>99</v>
      </c>
      <c r="V23" s="100" t="str">
        <f t="shared" si="1"/>
        <v>DIEN01</v>
      </c>
    </row>
    <row r="24" spans="1:22" x14ac:dyDescent="0.25">
      <c r="A24" s="202" t="s">
        <v>101</v>
      </c>
      <c r="B24" s="202">
        <v>1662</v>
      </c>
      <c r="C24" s="203">
        <v>46173</v>
      </c>
      <c r="D24" s="202" t="s">
        <v>907</v>
      </c>
      <c r="E24" s="202" t="s">
        <v>908</v>
      </c>
      <c r="F24" s="202" t="s">
        <v>916</v>
      </c>
      <c r="G24" s="202" t="s">
        <v>914</v>
      </c>
      <c r="H24" s="202" t="s">
        <v>911</v>
      </c>
      <c r="I24" s="202" t="s">
        <v>908</v>
      </c>
      <c r="J24" s="202" t="s">
        <v>907</v>
      </c>
      <c r="K24" s="202" t="s">
        <v>911</v>
      </c>
      <c r="L24" s="202" t="s">
        <v>911</v>
      </c>
      <c r="M24" s="202" t="s">
        <v>100</v>
      </c>
      <c r="N24" s="204"/>
      <c r="O24" s="239">
        <v>-37491358</v>
      </c>
      <c r="P24" s="204"/>
      <c r="Q24" s="205">
        <v>-37491358</v>
      </c>
      <c r="R24" s="202" t="s">
        <v>932</v>
      </c>
      <c r="S24" s="202" t="s">
        <v>439</v>
      </c>
      <c r="T24" s="202" t="s">
        <v>99</v>
      </c>
      <c r="U24" s="202" t="s">
        <v>99</v>
      </c>
      <c r="V24" s="100" t="str">
        <f t="shared" si="1"/>
        <v>DIEN01</v>
      </c>
    </row>
    <row r="25" spans="1:22" x14ac:dyDescent="0.25">
      <c r="A25" s="202" t="s">
        <v>2</v>
      </c>
      <c r="B25" s="202"/>
      <c r="C25" s="203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4"/>
      <c r="O25" s="239">
        <v>1421779914426</v>
      </c>
      <c r="P25" s="204"/>
      <c r="Q25" s="205">
        <v>1421779914426</v>
      </c>
      <c r="R25" s="202"/>
      <c r="S25" s="202"/>
      <c r="T25" s="202"/>
      <c r="U25" s="202"/>
      <c r="V25" s="100" t="str">
        <f t="shared" si="1"/>
        <v/>
      </c>
    </row>
    <row r="26" spans="1:22" x14ac:dyDescent="0.25">
      <c r="A26" s="206"/>
      <c r="B26" s="207"/>
      <c r="C26" s="207"/>
      <c r="D26" s="208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46"/>
      <c r="P26" s="204"/>
      <c r="Q26" s="209"/>
      <c r="R26" s="204"/>
      <c r="S26" s="204"/>
      <c r="T26" s="204"/>
      <c r="U26" s="204"/>
      <c r="V26" s="100" t="str">
        <f t="shared" si="1"/>
        <v/>
      </c>
    </row>
    <row r="27" spans="1:22" x14ac:dyDescent="0.3">
      <c r="V27" s="100" t="str">
        <f t="shared" si="1"/>
        <v/>
      </c>
    </row>
    <row r="28" spans="1:22" x14ac:dyDescent="0.3">
      <c r="V28" s="100" t="str">
        <f t="shared" si="1"/>
        <v/>
      </c>
    </row>
    <row r="29" spans="1:22" x14ac:dyDescent="0.3">
      <c r="V29" s="100" t="str">
        <f t="shared" si="1"/>
        <v/>
      </c>
    </row>
    <row r="30" spans="1:22" x14ac:dyDescent="0.3">
      <c r="V30" s="100" t="str">
        <f t="shared" si="1"/>
        <v/>
      </c>
    </row>
    <row r="31" spans="1:22" x14ac:dyDescent="0.3">
      <c r="V31" s="100" t="str">
        <f t="shared" si="1"/>
        <v/>
      </c>
    </row>
    <row r="32" spans="1:22" x14ac:dyDescent="0.3">
      <c r="V32" s="100" t="str">
        <f t="shared" si="1"/>
        <v/>
      </c>
    </row>
    <row r="34" spans="22:22" x14ac:dyDescent="0.3">
      <c r="V34" s="100" t="str">
        <f t="shared" si="1"/>
        <v/>
      </c>
    </row>
    <row r="35" spans="22:22" x14ac:dyDescent="0.3">
      <c r="V35" s="100" t="str">
        <f t="shared" si="1"/>
        <v/>
      </c>
    </row>
    <row r="36" spans="22:22" x14ac:dyDescent="0.3">
      <c r="V36" s="100" t="str">
        <f t="shared" si="1"/>
        <v/>
      </c>
    </row>
    <row r="37" spans="22:22" x14ac:dyDescent="0.3">
      <c r="V37" s="100" t="str">
        <f t="shared" si="1"/>
        <v/>
      </c>
    </row>
    <row r="38" spans="22:22" x14ac:dyDescent="0.3">
      <c r="V38" s="100" t="str">
        <f t="shared" si="1"/>
        <v/>
      </c>
    </row>
    <row r="39" spans="22:22" x14ac:dyDescent="0.3">
      <c r="V39" s="100" t="str">
        <f t="shared" si="1"/>
        <v/>
      </c>
    </row>
    <row r="40" spans="22:22" x14ac:dyDescent="0.3">
      <c r="V40" s="100" t="str">
        <f t="shared" si="1"/>
        <v/>
      </c>
    </row>
    <row r="41" spans="22:22" x14ac:dyDescent="0.3">
      <c r="V41" s="100" t="str">
        <f t="shared" si="1"/>
        <v/>
      </c>
    </row>
    <row r="42" spans="22:22" x14ac:dyDescent="0.3">
      <c r="V42" s="100" t="str">
        <f t="shared" si="1"/>
        <v/>
      </c>
    </row>
    <row r="43" spans="22:22" x14ac:dyDescent="0.3">
      <c r="V43" s="100" t="str">
        <f t="shared" si="1"/>
        <v/>
      </c>
    </row>
    <row r="44" spans="22:22" x14ac:dyDescent="0.3">
      <c r="V44" s="100" t="str">
        <f t="shared" si="1"/>
        <v/>
      </c>
    </row>
    <row r="45" spans="22:22" x14ac:dyDescent="0.3">
      <c r="V45" s="100" t="str">
        <f t="shared" si="1"/>
        <v/>
      </c>
    </row>
    <row r="46" spans="22:22" x14ac:dyDescent="0.3">
      <c r="V46" s="100" t="str">
        <f t="shared" si="1"/>
        <v/>
      </c>
    </row>
    <row r="47" spans="22:22" x14ac:dyDescent="0.3">
      <c r="V47" s="100" t="str">
        <f t="shared" si="1"/>
        <v/>
      </c>
    </row>
    <row r="48" spans="22:22" x14ac:dyDescent="0.3">
      <c r="V48" s="100" t="str">
        <f t="shared" si="1"/>
        <v/>
      </c>
    </row>
    <row r="49" spans="22:22" x14ac:dyDescent="0.3">
      <c r="V49" s="100" t="str">
        <f t="shared" si="1"/>
        <v/>
      </c>
    </row>
    <row r="50" spans="22:22" x14ac:dyDescent="0.3">
      <c r="V50" s="100" t="str">
        <f t="shared" si="1"/>
        <v/>
      </c>
    </row>
    <row r="51" spans="22:22" x14ac:dyDescent="0.3">
      <c r="V51" s="100" t="str">
        <f t="shared" si="1"/>
        <v/>
      </c>
    </row>
    <row r="52" spans="22:22" x14ac:dyDescent="0.3">
      <c r="V52" s="100" t="str">
        <f t="shared" si="1"/>
        <v/>
      </c>
    </row>
    <row r="53" spans="22:22" x14ac:dyDescent="0.3">
      <c r="V53" s="100" t="str">
        <f t="shared" si="1"/>
        <v/>
      </c>
    </row>
    <row r="54" spans="22:22" x14ac:dyDescent="0.3">
      <c r="V54" s="100" t="str">
        <f t="shared" si="1"/>
        <v/>
      </c>
    </row>
    <row r="55" spans="22:22" x14ac:dyDescent="0.3">
      <c r="V55" s="100" t="str">
        <f t="shared" si="1"/>
        <v/>
      </c>
    </row>
    <row r="56" spans="22:22" x14ac:dyDescent="0.3">
      <c r="V56" s="100" t="str">
        <f t="shared" si="1"/>
        <v/>
      </c>
    </row>
    <row r="57" spans="22:22" x14ac:dyDescent="0.3">
      <c r="V57" s="100" t="str">
        <f t="shared" si="1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772A-01E0-4043-8C08-BBF7A1A2647F}">
  <sheetPr codeName="Sheet4">
    <outlinePr summaryBelow="0" summaryRight="0"/>
    <pageSetUpPr autoPageBreaks="0"/>
  </sheetPr>
  <dimension ref="A1"/>
  <sheetViews>
    <sheetView showOutlineSymbols="0" zoomScaleNormal="100" workbookViewId="0">
      <pane xSplit="2" topLeftCell="C1" activePane="topRight" state="frozen"/>
      <selection pane="topRight" activeCell="J27" sqref="J27"/>
    </sheetView>
  </sheetViews>
  <sheetFormatPr defaultRowHeight="15.6" x14ac:dyDescent="0.3"/>
  <sheetData/>
  <pageMargins left="0.5" right="0.5" top="0.5" bottom="0.5" header="0" footer="0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CC31-20A5-4EC0-969B-1170FF2494AF}">
  <sheetPr codeName="Sheet5"/>
  <dimension ref="A1:J26"/>
  <sheetViews>
    <sheetView workbookViewId="0">
      <selection activeCell="D30" sqref="D30"/>
    </sheetView>
  </sheetViews>
  <sheetFormatPr defaultColWidth="9" defaultRowHeight="15.6" x14ac:dyDescent="0.3"/>
  <cols>
    <col min="1" max="1" width="14.69921875" style="5" bestFit="1" customWidth="1"/>
    <col min="2" max="2" width="24" style="5" bestFit="1" customWidth="1"/>
    <col min="3" max="3" width="14.8984375" style="5" bestFit="1" customWidth="1"/>
    <col min="4" max="4" width="20" style="5" bestFit="1" customWidth="1"/>
    <col min="5" max="5" width="22.5" style="5" customWidth="1"/>
    <col min="6" max="6" width="20" style="5" bestFit="1" customWidth="1"/>
    <col min="7" max="7" width="18.5" style="5" bestFit="1" customWidth="1"/>
    <col min="8" max="8" width="21.19921875" style="5" customWidth="1"/>
    <col min="9" max="9" width="14.5" style="5" customWidth="1"/>
    <col min="10" max="10" width="19.3984375" style="5" customWidth="1"/>
    <col min="11" max="11" width="20.59765625" style="5" customWidth="1"/>
    <col min="12" max="16384" width="9" style="5"/>
  </cols>
  <sheetData>
    <row r="1" spans="1:10" customFormat="1" x14ac:dyDescent="0.3">
      <c r="A1" t="s">
        <v>265</v>
      </c>
      <c r="B1" t="s">
        <v>266</v>
      </c>
      <c r="C1" t="s">
        <v>267</v>
      </c>
      <c r="D1" t="s">
        <v>122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</row>
    <row r="2" spans="1:10" customFormat="1" x14ac:dyDescent="0.3">
      <c r="A2" t="s">
        <v>274</v>
      </c>
      <c r="B2" t="s">
        <v>275</v>
      </c>
      <c r="C2" s="195">
        <v>675132158</v>
      </c>
      <c r="D2" s="195">
        <v>1420763729435</v>
      </c>
      <c r="E2" s="195">
        <v>762611631</v>
      </c>
      <c r="F2" s="195">
        <v>113640782757</v>
      </c>
      <c r="G2" s="195">
        <v>61008928</v>
      </c>
      <c r="H2" s="195">
        <v>0</v>
      </c>
      <c r="I2" s="195">
        <v>0</v>
      </c>
      <c r="J2" s="195">
        <v>0</v>
      </c>
    </row>
    <row r="3" spans="1:10" x14ac:dyDescent="0.3">
      <c r="D3" s="14">
        <v>1420763729435</v>
      </c>
      <c r="E3" s="14">
        <v>762611631</v>
      </c>
      <c r="F3" s="14">
        <v>113640782757</v>
      </c>
      <c r="G3" s="14">
        <v>61008928</v>
      </c>
      <c r="H3" s="14">
        <f t="shared" ref="H3:J3" si="0">VALUE(H2)</f>
        <v>0</v>
      </c>
      <c r="I3" s="14">
        <f t="shared" si="0"/>
        <v>0</v>
      </c>
      <c r="J3" s="14">
        <f t="shared" si="0"/>
        <v>0</v>
      </c>
    </row>
    <row r="4" spans="1:10" s="6" customFormat="1" x14ac:dyDescent="0.3"/>
    <row r="7" spans="1:10" x14ac:dyDescent="0.3">
      <c r="D7" s="5" t="s">
        <v>123</v>
      </c>
      <c r="E7" s="5" t="s">
        <v>58</v>
      </c>
      <c r="F7" s="5" t="s">
        <v>124</v>
      </c>
    </row>
    <row r="8" spans="1:10" x14ac:dyDescent="0.3">
      <c r="A8" s="5" t="s">
        <v>119</v>
      </c>
      <c r="B8" s="5" t="s">
        <v>84</v>
      </c>
      <c r="D8" s="14">
        <f>D3</f>
        <v>1420763729435</v>
      </c>
      <c r="E8" s="14">
        <f>F3</f>
        <v>113640782757</v>
      </c>
      <c r="F8" s="14">
        <f>+D8+E8</f>
        <v>1534404512192</v>
      </c>
      <c r="G8" s="17">
        <f>D8*8%</f>
        <v>113661098354.8</v>
      </c>
      <c r="H8" s="17">
        <f>E8-G8</f>
        <v>-20315597.800003052</v>
      </c>
    </row>
    <row r="9" spans="1:10" x14ac:dyDescent="0.3">
      <c r="A9" s="5" t="s">
        <v>120</v>
      </c>
      <c r="B9" s="5" t="s">
        <v>127</v>
      </c>
      <c r="D9" s="14">
        <f>E3</f>
        <v>762611631</v>
      </c>
      <c r="E9" s="14">
        <f>G3</f>
        <v>61008928</v>
      </c>
      <c r="F9" s="14">
        <f>+D9+E9</f>
        <v>823620559</v>
      </c>
      <c r="G9" s="17">
        <f>D9*8%</f>
        <v>61008930.480000004</v>
      </c>
      <c r="H9" s="17">
        <f>E9-G9</f>
        <v>-2.4800000041723251</v>
      </c>
      <c r="I9" s="40"/>
    </row>
    <row r="10" spans="1:10" x14ac:dyDescent="0.3">
      <c r="D10" s="16">
        <f>SUM(D8:D9)</f>
        <v>1421526341066</v>
      </c>
      <c r="E10" s="16">
        <f>SUM(E8:E9)</f>
        <v>113701791685</v>
      </c>
      <c r="F10" s="16">
        <f>SUM(F8:F9)</f>
        <v>1535228132751</v>
      </c>
    </row>
    <row r="12" spans="1:10" x14ac:dyDescent="0.3">
      <c r="A12" s="5" t="s">
        <v>203</v>
      </c>
      <c r="B12" s="5" t="s">
        <v>201</v>
      </c>
      <c r="D12" s="14">
        <f>'Nhom TC'!O4</f>
        <v>253945252</v>
      </c>
      <c r="E12" s="14">
        <v>0</v>
      </c>
      <c r="F12" s="14">
        <f>D12+E12</f>
        <v>253945252</v>
      </c>
    </row>
    <row r="13" spans="1:10" x14ac:dyDescent="0.3">
      <c r="B13" s="5" t="s">
        <v>84</v>
      </c>
      <c r="D13" s="17">
        <f>D8-D12</f>
        <v>1420509784183</v>
      </c>
      <c r="E13" s="17">
        <f>E8-E12</f>
        <v>113640782757</v>
      </c>
      <c r="F13" s="17">
        <f>F8-F12</f>
        <v>1534150566940</v>
      </c>
      <c r="G13" s="18">
        <f>D13*8%</f>
        <v>113640782734.64</v>
      </c>
      <c r="H13" s="18">
        <f>E13-G13</f>
        <v>22.360000610351563</v>
      </c>
    </row>
    <row r="16" spans="1:10" x14ac:dyDescent="0.3">
      <c r="A16" s="5" t="s">
        <v>203</v>
      </c>
      <c r="B16" s="5" t="s">
        <v>127</v>
      </c>
      <c r="D16" s="14">
        <f>E2-D17</f>
        <v>762611631</v>
      </c>
      <c r="E16" s="14"/>
      <c r="F16" s="14"/>
    </row>
    <row r="17" spans="1:8" x14ac:dyDescent="0.3">
      <c r="B17" s="5" t="s">
        <v>247</v>
      </c>
      <c r="D17" s="17">
        <f>'Nhom TC'!O5</f>
        <v>0</v>
      </c>
      <c r="E17" s="17"/>
      <c r="F17" s="17"/>
      <c r="G17" s="18"/>
      <c r="H17" s="18"/>
    </row>
    <row r="19" spans="1:8" x14ac:dyDescent="0.3">
      <c r="E19" s="17"/>
    </row>
    <row r="20" spans="1:8" x14ac:dyDescent="0.3">
      <c r="A20" s="5" t="s">
        <v>277</v>
      </c>
      <c r="B20" s="5" t="s">
        <v>84</v>
      </c>
      <c r="D20" s="14">
        <f>'0903'!X3</f>
        <v>1420509784183</v>
      </c>
      <c r="E20" s="17">
        <f>D13-D20</f>
        <v>0</v>
      </c>
    </row>
    <row r="21" spans="1:8" x14ac:dyDescent="0.3">
      <c r="B21" s="5" t="s">
        <v>127</v>
      </c>
      <c r="D21" s="17">
        <f>'0903'!X2</f>
        <v>253945252</v>
      </c>
      <c r="E21" s="17">
        <f>D12-D21</f>
        <v>0</v>
      </c>
    </row>
    <row r="22" spans="1:8" x14ac:dyDescent="0.3">
      <c r="B22" s="5" t="s">
        <v>247</v>
      </c>
      <c r="D22" s="5">
        <f>'0903'!X1</f>
        <v>0</v>
      </c>
      <c r="E22" s="17">
        <f>D17-D22</f>
        <v>0</v>
      </c>
    </row>
    <row r="26" spans="1:8" x14ac:dyDescent="0.3">
      <c r="D26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2EB7-869A-407D-990F-4D773C41DD9B}">
  <sheetPr codeName="Sheet7"/>
  <dimension ref="A1:AC66"/>
  <sheetViews>
    <sheetView zoomScale="95" zoomScaleNormal="95" workbookViewId="0">
      <pane xSplit="10" topLeftCell="S1" activePane="topRight" state="frozen"/>
      <selection activeCell="A19" sqref="A19"/>
      <selection pane="topRight" activeCell="X3" sqref="X3"/>
    </sheetView>
  </sheetViews>
  <sheetFormatPr defaultColWidth="6.69921875" defaultRowHeight="15.6" x14ac:dyDescent="0.3"/>
  <cols>
    <col min="1" max="1" width="2.8984375" bestFit="1" customWidth="1"/>
    <col min="2" max="2" width="11" bestFit="1" customWidth="1"/>
    <col min="3" max="3" width="7.8984375" bestFit="1" customWidth="1"/>
    <col min="4" max="4" width="19.19921875" bestFit="1" customWidth="1"/>
    <col min="5" max="5" width="35.19921875" bestFit="1" customWidth="1"/>
    <col min="6" max="6" width="15.09765625" bestFit="1" customWidth="1"/>
    <col min="7" max="7" width="35.19921875" bestFit="1" customWidth="1"/>
    <col min="8" max="8" width="18.59765625" bestFit="1" customWidth="1"/>
    <col min="9" max="9" width="7.09765625" bestFit="1" customWidth="1"/>
    <col min="10" max="10" width="20" style="1" bestFit="1" customWidth="1"/>
    <col min="11" max="11" width="35.19921875" bestFit="1" customWidth="1"/>
    <col min="12" max="12" width="11" bestFit="1" customWidth="1"/>
    <col min="13" max="13" width="8.59765625" bestFit="1" customWidth="1"/>
    <col min="14" max="14" width="12.5" bestFit="1" customWidth="1"/>
    <col min="15" max="15" width="20.09765625" bestFit="1" customWidth="1"/>
    <col min="16" max="16" width="14.8984375" bestFit="1" customWidth="1"/>
    <col min="17" max="17" width="13.8984375" bestFit="1" customWidth="1"/>
    <col min="18" max="18" width="13" bestFit="1" customWidth="1"/>
    <col min="19" max="19" width="8.296875" bestFit="1" customWidth="1"/>
    <col min="20" max="20" width="6.69921875" style="99"/>
    <col min="21" max="21" width="6.8984375" style="100" bestFit="1" customWidth="1"/>
    <col min="22" max="22" width="14" style="81" bestFit="1" customWidth="1"/>
    <col min="23" max="23" width="14" style="101" bestFit="1" customWidth="1"/>
    <col min="24" max="24" width="11.8984375" style="101" bestFit="1" customWidth="1"/>
    <col min="25" max="25" width="13.19921875" style="101" bestFit="1" customWidth="1"/>
    <col min="26" max="26" width="11.8984375" style="101" bestFit="1" customWidth="1"/>
    <col min="27" max="27" width="11" style="101" bestFit="1" customWidth="1"/>
    <col min="28" max="29" width="9.8984375" style="101" bestFit="1" customWidth="1"/>
    <col min="30" max="30" width="13.19921875" style="101" bestFit="1" customWidth="1"/>
    <col min="31" max="16384" width="6.69921875" style="101"/>
  </cols>
  <sheetData>
    <row r="1" spans="1:29" x14ac:dyDescent="0.3">
      <c r="A1" s="170"/>
      <c r="B1" s="170"/>
      <c r="C1" s="170"/>
      <c r="D1" s="170"/>
      <c r="E1" s="170"/>
      <c r="F1" s="170"/>
      <c r="G1" s="170"/>
      <c r="H1" s="170"/>
      <c r="I1" s="170"/>
      <c r="J1" s="282"/>
      <c r="K1" s="247"/>
      <c r="L1" s="247"/>
      <c r="M1" s="247"/>
      <c r="N1" s="330"/>
      <c r="O1" s="330"/>
      <c r="P1" s="330"/>
      <c r="Q1" s="330"/>
      <c r="R1" s="330"/>
      <c r="S1" s="330"/>
      <c r="V1" s="92"/>
      <c r="X1" s="92" t="s">
        <v>383</v>
      </c>
      <c r="Z1" s="92" t="s">
        <v>384</v>
      </c>
      <c r="AB1" s="92" t="s">
        <v>385</v>
      </c>
    </row>
    <row r="2" spans="1:29" x14ac:dyDescent="0.3">
      <c r="A2" s="170"/>
      <c r="B2" s="170"/>
      <c r="C2" s="170"/>
      <c r="D2" s="170"/>
      <c r="E2" s="170"/>
      <c r="F2" s="170"/>
      <c r="G2" s="170"/>
      <c r="H2" s="170"/>
      <c r="I2" s="277"/>
      <c r="J2" s="331" t="s">
        <v>98</v>
      </c>
      <c r="K2" s="332"/>
      <c r="L2" s="332"/>
      <c r="M2" s="333"/>
      <c r="N2" s="334"/>
      <c r="O2" s="330"/>
      <c r="P2" s="330"/>
      <c r="Q2" s="330"/>
      <c r="R2" s="330"/>
      <c r="S2" s="330"/>
      <c r="V2" s="93" t="s">
        <v>201</v>
      </c>
      <c r="W2" s="94">
        <f>SUMIFS($H:$H,$T:$T,$V2)</f>
        <v>239893600</v>
      </c>
      <c r="X2" s="94">
        <f>SUMIFS($J:$J,$T:$T,$V2)</f>
        <v>0</v>
      </c>
      <c r="Y2" s="94"/>
      <c r="Z2" s="94"/>
      <c r="AA2" s="94"/>
    </row>
    <row r="3" spans="1:29" ht="15.6" customHeight="1" x14ac:dyDescent="0.3">
      <c r="A3" s="170"/>
      <c r="B3" s="170"/>
      <c r="C3" s="170"/>
      <c r="D3" s="170"/>
      <c r="E3" s="170"/>
      <c r="F3" s="170"/>
      <c r="G3" s="170"/>
      <c r="H3" s="170"/>
      <c r="I3" s="277"/>
      <c r="J3" s="335" t="s">
        <v>97</v>
      </c>
      <c r="K3" s="336"/>
      <c r="L3" s="336"/>
      <c r="M3" s="337"/>
      <c r="N3" s="334"/>
      <c r="O3" s="330"/>
      <c r="P3" s="330"/>
      <c r="Q3" s="330"/>
      <c r="R3" s="330"/>
      <c r="S3" s="330"/>
      <c r="V3" s="93" t="s">
        <v>84</v>
      </c>
      <c r="W3" s="94">
        <f>SUMIFS($H:$H,$T:$T,$V3)</f>
        <v>1356716633174</v>
      </c>
      <c r="X3" s="94">
        <f t="shared" ref="X3:X8" si="0">SUMIFS($J:$J,$T:$T,$V3)</f>
        <v>108537330869</v>
      </c>
      <c r="Y3" s="94"/>
      <c r="Z3" s="94"/>
      <c r="AA3" s="94"/>
    </row>
    <row r="4" spans="1:29" ht="15.6" customHeight="1" x14ac:dyDescent="0.3">
      <c r="A4" s="170"/>
      <c r="B4" s="170"/>
      <c r="C4" s="170"/>
      <c r="D4" s="170"/>
      <c r="E4" s="170"/>
      <c r="F4" s="170"/>
      <c r="G4" s="170"/>
      <c r="H4" s="170"/>
      <c r="I4" s="277"/>
      <c r="J4" s="338" t="s">
        <v>96</v>
      </c>
      <c r="K4" s="339"/>
      <c r="L4" s="339"/>
      <c r="M4" s="340"/>
      <c r="N4" s="334"/>
      <c r="O4" s="330"/>
      <c r="P4" s="330"/>
      <c r="Q4" s="330"/>
      <c r="R4" s="330"/>
      <c r="S4" s="330"/>
      <c r="V4" s="93" t="s">
        <v>127</v>
      </c>
      <c r="W4" s="94">
        <f>SUMIFS($H:$H,$T:$T,$V4)</f>
        <v>641477615</v>
      </c>
      <c r="X4" s="94">
        <f t="shared" si="0"/>
        <v>51318199</v>
      </c>
      <c r="Y4" s="94"/>
      <c r="Z4" s="94"/>
      <c r="AA4" s="94"/>
      <c r="AB4" s="92"/>
    </row>
    <row r="5" spans="1:29" ht="15.6" customHeight="1" x14ac:dyDescent="0.3">
      <c r="A5" s="170"/>
      <c r="B5" s="170"/>
      <c r="C5" s="170"/>
      <c r="D5" s="170"/>
      <c r="E5" s="170"/>
      <c r="F5" s="170"/>
      <c r="G5" s="170"/>
      <c r="H5" s="170"/>
      <c r="I5" s="277"/>
      <c r="J5" s="341" t="s">
        <v>50</v>
      </c>
      <c r="K5" s="342"/>
      <c r="L5" s="342"/>
      <c r="M5" s="343"/>
      <c r="N5" s="334"/>
      <c r="O5" s="330"/>
      <c r="P5" s="330"/>
      <c r="Q5" s="330"/>
      <c r="R5" s="330"/>
      <c r="S5" s="330"/>
      <c r="V5" s="93" t="s">
        <v>247</v>
      </c>
      <c r="W5" s="94">
        <f>SUMIFS($H:$H,$T:$T,$V5)</f>
        <v>0</v>
      </c>
      <c r="X5" s="94">
        <f t="shared" si="0"/>
        <v>0</v>
      </c>
      <c r="Y5" s="94"/>
      <c r="Z5" s="94"/>
      <c r="AA5" s="94"/>
      <c r="AB5" s="92"/>
    </row>
    <row r="6" spans="1:29" ht="15.6" customHeight="1" x14ac:dyDescent="0.3">
      <c r="A6" s="170"/>
      <c r="B6" s="170"/>
      <c r="C6" s="170"/>
      <c r="D6" s="170"/>
      <c r="E6" s="170"/>
      <c r="F6" s="170"/>
      <c r="G6" s="170"/>
      <c r="H6" s="170"/>
      <c r="I6" s="170"/>
      <c r="J6" s="283"/>
      <c r="K6" s="248"/>
      <c r="L6" s="248"/>
      <c r="M6" s="248"/>
      <c r="N6" s="330"/>
      <c r="O6" s="330"/>
      <c r="P6" s="330"/>
      <c r="Q6" s="330"/>
      <c r="R6" s="330"/>
      <c r="S6" s="330"/>
      <c r="V6" s="93" t="s">
        <v>1686</v>
      </c>
      <c r="W6" s="94">
        <f>SUMIFS($H:$H,$T:$T,$V6)</f>
        <v>4451010687</v>
      </c>
      <c r="X6" s="94">
        <f t="shared" si="0"/>
        <v>356080855</v>
      </c>
      <c r="Y6" s="94">
        <f>SUMIFS($H:$H,$T:$T,$V6)</f>
        <v>4451010687</v>
      </c>
      <c r="Z6" s="94">
        <f>SUMIFS($J:$J,$T:$T,$V6)</f>
        <v>356080855</v>
      </c>
      <c r="AA6" s="94"/>
      <c r="AB6" s="92"/>
      <c r="AC6" s="85" t="s">
        <v>386</v>
      </c>
    </row>
    <row r="7" spans="1:29" ht="17.399999999999999" customHeight="1" x14ac:dyDescent="0.3">
      <c r="A7" s="344" t="s">
        <v>95</v>
      </c>
      <c r="B7" s="344"/>
      <c r="C7" s="344"/>
      <c r="D7" s="344"/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30"/>
      <c r="P7" s="330"/>
      <c r="Q7" s="330"/>
      <c r="R7" s="330"/>
      <c r="S7" s="215"/>
      <c r="V7" s="93" t="s">
        <v>361</v>
      </c>
      <c r="W7" s="94">
        <f t="shared" ref="W7:W8" si="1">SUMIFS($H:$H,$T:$T,$V7)</f>
        <v>0</v>
      </c>
      <c r="X7" s="94">
        <f t="shared" si="0"/>
        <v>0</v>
      </c>
      <c r="Y7" s="94">
        <f>SUMIFS($H:$H,$T:$T,$V7)</f>
        <v>0</v>
      </c>
      <c r="Z7" s="94">
        <f>SUMIFS($J:$J,$T:$T,$V7)</f>
        <v>0</v>
      </c>
      <c r="AA7" s="94"/>
      <c r="AB7" s="92"/>
      <c r="AC7" s="85" t="s">
        <v>387</v>
      </c>
    </row>
    <row r="8" spans="1:29" ht="17.399999999999999" customHeight="1" x14ac:dyDescent="0.3">
      <c r="A8" s="345" t="s">
        <v>48</v>
      </c>
      <c r="B8" s="345"/>
      <c r="C8" s="345"/>
      <c r="D8" s="345"/>
      <c r="E8" s="345"/>
      <c r="F8" s="345"/>
      <c r="G8" s="345"/>
      <c r="H8" s="345"/>
      <c r="I8" s="345"/>
      <c r="J8" s="345"/>
      <c r="K8" s="345"/>
      <c r="L8" s="345"/>
      <c r="M8" s="345"/>
      <c r="N8" s="345"/>
      <c r="O8" s="330"/>
      <c r="P8" s="330"/>
      <c r="Q8" s="330"/>
      <c r="R8" s="330"/>
      <c r="S8" s="86"/>
      <c r="V8" s="93" t="s">
        <v>276</v>
      </c>
      <c r="W8" s="94">
        <f t="shared" si="1"/>
        <v>253573360</v>
      </c>
      <c r="X8" s="94">
        <f t="shared" si="0"/>
        <v>20285870</v>
      </c>
      <c r="Y8" s="94"/>
      <c r="AA8" s="94">
        <f>SUMIFS($H:$H,$T:$T,$V8)</f>
        <v>253573360</v>
      </c>
      <c r="AB8" s="94">
        <f>SUMIFS($J:$J,$T:$T,$V8)</f>
        <v>20285870</v>
      </c>
      <c r="AC8" s="85" t="s">
        <v>388</v>
      </c>
    </row>
    <row r="9" spans="1:29" ht="15.6" customHeight="1" x14ac:dyDescent="0.3">
      <c r="A9" s="345" t="s">
        <v>906</v>
      </c>
      <c r="B9" s="345"/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30"/>
      <c r="P9" s="330"/>
      <c r="Q9" s="330"/>
      <c r="R9" s="330"/>
      <c r="S9" s="86"/>
      <c r="V9" s="92"/>
      <c r="W9" s="95">
        <f t="shared" ref="W9:AB9" si="2">SUM(W2:W8)</f>
        <v>1362302588436</v>
      </c>
      <c r="X9" s="95">
        <f t="shared" si="2"/>
        <v>108965015793</v>
      </c>
      <c r="Y9" s="96">
        <f t="shared" si="2"/>
        <v>4451010687</v>
      </c>
      <c r="Z9" s="96">
        <f t="shared" si="2"/>
        <v>356080855</v>
      </c>
      <c r="AA9" s="97">
        <f t="shared" si="2"/>
        <v>253573360</v>
      </c>
      <c r="AB9" s="97">
        <f t="shared" si="2"/>
        <v>20285870</v>
      </c>
    </row>
    <row r="10" spans="1:29" ht="15.6" customHeight="1" x14ac:dyDescent="0.3">
      <c r="A10" s="330"/>
      <c r="B10" s="330"/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0"/>
      <c r="S10" s="86"/>
      <c r="V10" s="73"/>
    </row>
    <row r="11" spans="1:29" ht="15.6" customHeight="1" x14ac:dyDescent="0.3">
      <c r="A11" s="346" t="s">
        <v>47</v>
      </c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30"/>
      <c r="P11" s="330"/>
      <c r="Q11" s="330"/>
      <c r="R11" s="330"/>
      <c r="S11" s="86"/>
      <c r="U11" s="108" t="s">
        <v>123</v>
      </c>
      <c r="V11" s="109">
        <f>SUM(W11:AB11)</f>
        <v>1367007172483</v>
      </c>
      <c r="W11" s="106">
        <f>W9</f>
        <v>1362302588436</v>
      </c>
      <c r="Y11" s="106">
        <f t="shared" ref="Y11" si="3">Y9</f>
        <v>4451010687</v>
      </c>
      <c r="AA11" s="106">
        <f t="shared" ref="AA11" si="4">AA9</f>
        <v>253573360</v>
      </c>
    </row>
    <row r="12" spans="1:29" ht="15.6" customHeight="1" x14ac:dyDescent="0.3">
      <c r="A12" s="346" t="s">
        <v>46</v>
      </c>
      <c r="B12" s="346"/>
      <c r="C12" s="346"/>
      <c r="D12" s="346"/>
      <c r="E12" s="346"/>
      <c r="F12" s="346"/>
      <c r="G12" s="346"/>
      <c r="H12" s="346"/>
      <c r="I12" s="346"/>
      <c r="J12" s="346"/>
      <c r="K12" s="346"/>
      <c r="L12" s="346"/>
      <c r="M12" s="346"/>
      <c r="N12" s="346"/>
      <c r="O12" s="330"/>
      <c r="P12" s="330"/>
      <c r="Q12" s="330"/>
      <c r="R12" s="330"/>
      <c r="S12" s="86"/>
      <c r="U12" s="108" t="s">
        <v>58</v>
      </c>
      <c r="V12" s="107">
        <f>SUM(W12:AB12)</f>
        <v>109341382518</v>
      </c>
      <c r="X12" s="106">
        <f>X9</f>
        <v>108965015793</v>
      </c>
      <c r="Z12" s="106">
        <f t="shared" ref="Z12" si="5">Z9</f>
        <v>356080855</v>
      </c>
      <c r="AB12" s="106">
        <f t="shared" ref="AB12" si="6">AB9</f>
        <v>20285870</v>
      </c>
    </row>
    <row r="13" spans="1:29" ht="15.6" customHeight="1" x14ac:dyDescent="0.3">
      <c r="A13" s="216" t="s">
        <v>46</v>
      </c>
      <c r="B13" s="216"/>
      <c r="C13" s="216"/>
      <c r="D13" s="216"/>
      <c r="E13" s="216"/>
      <c r="F13" s="216"/>
      <c r="G13" s="216"/>
      <c r="H13" s="253"/>
      <c r="I13" s="253"/>
      <c r="J13" s="253"/>
      <c r="K13" s="216"/>
      <c r="L13" s="216"/>
      <c r="M13" s="216"/>
      <c r="N13" s="216"/>
      <c r="O13" s="215"/>
      <c r="P13" s="254"/>
      <c r="Q13" s="215"/>
      <c r="R13" s="215"/>
      <c r="S13" s="86"/>
      <c r="V13" s="148">
        <f>SUM(V11:V12)</f>
        <v>1476348555001</v>
      </c>
    </row>
    <row r="14" spans="1:29" ht="12" customHeight="1" x14ac:dyDescent="0.25">
      <c r="A14" s="347" t="s">
        <v>43</v>
      </c>
      <c r="B14" s="354" t="s">
        <v>94</v>
      </c>
      <c r="C14" s="355"/>
      <c r="D14" s="356"/>
      <c r="E14" s="347" t="s">
        <v>93</v>
      </c>
      <c r="F14" s="347" t="s">
        <v>92</v>
      </c>
      <c r="G14" s="347" t="s">
        <v>39</v>
      </c>
      <c r="H14" s="347" t="s">
        <v>91</v>
      </c>
      <c r="I14" s="347" t="s">
        <v>90</v>
      </c>
      <c r="J14" s="352" t="s">
        <v>36</v>
      </c>
      <c r="K14" s="347" t="s">
        <v>35</v>
      </c>
      <c r="L14" s="347" t="s">
        <v>34</v>
      </c>
      <c r="M14" s="347" t="s">
        <v>33</v>
      </c>
      <c r="N14" s="347" t="s">
        <v>32</v>
      </c>
      <c r="O14" s="347" t="s">
        <v>31</v>
      </c>
      <c r="P14" s="347" t="s">
        <v>30</v>
      </c>
      <c r="Q14" s="347" t="s">
        <v>89</v>
      </c>
      <c r="R14" s="347" t="s">
        <v>28</v>
      </c>
      <c r="S14" s="347" t="s">
        <v>27</v>
      </c>
    </row>
    <row r="15" spans="1:29" ht="12" customHeight="1" x14ac:dyDescent="0.25">
      <c r="A15" s="348"/>
      <c r="B15" s="191" t="s">
        <v>26</v>
      </c>
      <c r="C15" s="191" t="s">
        <v>25</v>
      </c>
      <c r="D15" s="191" t="s">
        <v>24</v>
      </c>
      <c r="E15" s="348"/>
      <c r="F15" s="348"/>
      <c r="G15" s="348"/>
      <c r="H15" s="348"/>
      <c r="I15" s="348"/>
      <c r="J15" s="353"/>
      <c r="K15" s="348"/>
      <c r="L15" s="348"/>
      <c r="M15" s="348"/>
      <c r="N15" s="348"/>
      <c r="O15" s="348"/>
      <c r="P15" s="348"/>
      <c r="Q15" s="348"/>
      <c r="R15" s="348"/>
      <c r="S15" s="348"/>
      <c r="U15" s="100" t="s">
        <v>365</v>
      </c>
      <c r="V15" s="102" t="s">
        <v>90</v>
      </c>
    </row>
    <row r="16" spans="1:29" ht="12" x14ac:dyDescent="0.25">
      <c r="A16" s="191">
        <v>1</v>
      </c>
      <c r="B16" s="191">
        <v>2</v>
      </c>
      <c r="C16" s="191">
        <v>3</v>
      </c>
      <c r="D16" s="191">
        <v>4</v>
      </c>
      <c r="E16" s="191">
        <v>5</v>
      </c>
      <c r="F16" s="191">
        <v>6</v>
      </c>
      <c r="G16" s="191">
        <v>7</v>
      </c>
      <c r="H16" s="191">
        <v>8</v>
      </c>
      <c r="I16" s="191">
        <v>9</v>
      </c>
      <c r="J16" s="284">
        <v>10</v>
      </c>
      <c r="K16" s="191">
        <v>11</v>
      </c>
      <c r="L16" s="191">
        <v>12</v>
      </c>
      <c r="M16" s="191">
        <v>13</v>
      </c>
      <c r="N16" s="191">
        <v>14</v>
      </c>
      <c r="O16" s="191">
        <v>15</v>
      </c>
      <c r="P16" s="191">
        <v>16</v>
      </c>
      <c r="Q16" s="191">
        <v>17</v>
      </c>
      <c r="R16" s="191">
        <v>18</v>
      </c>
      <c r="S16" s="191">
        <v>19</v>
      </c>
      <c r="V16" s="103"/>
      <c r="W16" s="106">
        <f>W9-H51</f>
        <v>0</v>
      </c>
    </row>
    <row r="17" spans="1:25" ht="12" customHeight="1" x14ac:dyDescent="0.25">
      <c r="A17" s="349" t="s">
        <v>88</v>
      </c>
      <c r="B17" s="350"/>
      <c r="C17" s="350"/>
      <c r="D17" s="350"/>
      <c r="E17" s="350"/>
      <c r="F17" s="350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1"/>
      <c r="V17" s="52">
        <v>9</v>
      </c>
    </row>
    <row r="18" spans="1:25" ht="12" customHeight="1" x14ac:dyDescent="0.3">
      <c r="A18" s="192">
        <v>1</v>
      </c>
      <c r="B18" s="174"/>
      <c r="C18" s="249" t="s">
        <v>3</v>
      </c>
      <c r="D18" s="174"/>
      <c r="E18" s="174"/>
      <c r="F18" s="249" t="s">
        <v>3</v>
      </c>
      <c r="G18" s="174"/>
      <c r="H18" s="174"/>
      <c r="I18" s="174"/>
      <c r="J18" s="285"/>
      <c r="K18" s="174"/>
      <c r="L18" s="174"/>
      <c r="M18" s="174"/>
      <c r="N18" s="174"/>
      <c r="O18" s="174"/>
      <c r="P18" s="174"/>
      <c r="Q18" s="174"/>
      <c r="R18" s="250"/>
      <c r="S18" s="174"/>
      <c r="V18" s="51"/>
    </row>
    <row r="19" spans="1:25" ht="15.6" customHeight="1" x14ac:dyDescent="0.3">
      <c r="A19" s="354" t="s">
        <v>2</v>
      </c>
      <c r="B19" s="355"/>
      <c r="C19" s="355"/>
      <c r="D19" s="355"/>
      <c r="E19" s="355"/>
      <c r="F19" s="355"/>
      <c r="G19" s="356"/>
      <c r="H19" s="174"/>
      <c r="I19" s="174"/>
      <c r="J19" s="285"/>
      <c r="K19" s="174"/>
      <c r="L19" s="174"/>
      <c r="M19" s="174"/>
      <c r="N19" s="174"/>
      <c r="O19" s="174"/>
      <c r="P19" s="174"/>
      <c r="Q19" s="174"/>
      <c r="R19" s="174"/>
      <c r="S19" s="174"/>
      <c r="T19" s="99" t="str">
        <f>LEFT(K19,6)</f>
        <v/>
      </c>
      <c r="V19" s="87"/>
      <c r="Y19" s="101">
        <v>5</v>
      </c>
    </row>
    <row r="20" spans="1:25" ht="6" customHeight="1" x14ac:dyDescent="0.25">
      <c r="A20" s="349" t="s">
        <v>87</v>
      </c>
      <c r="B20" s="350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1"/>
      <c r="T20" s="99" t="str">
        <f>LEFT(K20,6)</f>
        <v/>
      </c>
      <c r="V20" s="87"/>
      <c r="Y20" s="101">
        <v>8</v>
      </c>
    </row>
    <row r="21" spans="1:25" ht="21.6" customHeight="1" x14ac:dyDescent="0.3">
      <c r="A21" s="192">
        <v>1</v>
      </c>
      <c r="B21" s="174"/>
      <c r="C21" s="249" t="s">
        <v>3</v>
      </c>
      <c r="D21" s="174"/>
      <c r="E21" s="194" t="s">
        <v>415</v>
      </c>
      <c r="F21" s="249" t="s">
        <v>3</v>
      </c>
      <c r="G21" s="192" t="s">
        <v>201</v>
      </c>
      <c r="H21" s="251">
        <v>81819700</v>
      </c>
      <c r="I21" s="251">
        <v>0</v>
      </c>
      <c r="J21" s="286">
        <v>0</v>
      </c>
      <c r="K21" s="174"/>
      <c r="L21" s="192" t="s">
        <v>15</v>
      </c>
      <c r="M21" s="192">
        <v>1356</v>
      </c>
      <c r="N21" s="193">
        <v>46163</v>
      </c>
      <c r="O21" s="193">
        <v>46163</v>
      </c>
      <c r="P21" s="251">
        <v>81819700</v>
      </c>
      <c r="Q21" s="192" t="s">
        <v>10</v>
      </c>
      <c r="R21" s="192" t="s">
        <v>423</v>
      </c>
      <c r="S21" s="192" t="s">
        <v>14</v>
      </c>
      <c r="T21" s="99" t="str">
        <f>LEFT(G21,6)</f>
        <v>DIEN00</v>
      </c>
      <c r="U21" s="100">
        <f>LEN(F21)</f>
        <v>1</v>
      </c>
      <c r="V21" s="51"/>
      <c r="Y21" s="101">
        <v>10</v>
      </c>
    </row>
    <row r="22" spans="1:25" ht="21.6" x14ac:dyDescent="0.3">
      <c r="A22" s="192">
        <v>2</v>
      </c>
      <c r="B22" s="174"/>
      <c r="C22" s="249" t="s">
        <v>3</v>
      </c>
      <c r="D22" s="193">
        <v>46153</v>
      </c>
      <c r="E22" s="194" t="s">
        <v>308</v>
      </c>
      <c r="F22" s="249" t="s">
        <v>422</v>
      </c>
      <c r="G22" s="192" t="s">
        <v>201</v>
      </c>
      <c r="H22" s="251">
        <v>73444700</v>
      </c>
      <c r="I22" s="251">
        <v>0</v>
      </c>
      <c r="J22" s="286">
        <v>0</v>
      </c>
      <c r="K22" s="192" t="s">
        <v>922</v>
      </c>
      <c r="L22" s="192" t="s">
        <v>83</v>
      </c>
      <c r="M22" s="192">
        <v>1616</v>
      </c>
      <c r="N22" s="193">
        <v>46153</v>
      </c>
      <c r="O22" s="193">
        <v>46153</v>
      </c>
      <c r="P22" s="174"/>
      <c r="Q22" s="192" t="s">
        <v>10</v>
      </c>
      <c r="R22" s="192" t="s">
        <v>423</v>
      </c>
      <c r="S22" s="192" t="s">
        <v>82</v>
      </c>
      <c r="T22" s="99" t="str">
        <f>LEFT(G22,6)</f>
        <v>DIEN00</v>
      </c>
      <c r="U22" s="100">
        <f>LEN(F22)</f>
        <v>16</v>
      </c>
      <c r="V22" s="53">
        <v>0</v>
      </c>
    </row>
    <row r="23" spans="1:25" s="104" customFormat="1" ht="21.6" x14ac:dyDescent="0.3">
      <c r="A23" s="192">
        <v>3</v>
      </c>
      <c r="B23" s="174"/>
      <c r="C23" s="249" t="s">
        <v>3</v>
      </c>
      <c r="D23" s="193">
        <v>46163</v>
      </c>
      <c r="E23" s="194" t="s">
        <v>308</v>
      </c>
      <c r="F23" s="249" t="s">
        <v>422</v>
      </c>
      <c r="G23" s="192" t="s">
        <v>201</v>
      </c>
      <c r="H23" s="251">
        <v>84629200</v>
      </c>
      <c r="I23" s="251">
        <v>0</v>
      </c>
      <c r="J23" s="286">
        <v>0</v>
      </c>
      <c r="K23" s="192" t="s">
        <v>919</v>
      </c>
      <c r="L23" s="192" t="s">
        <v>83</v>
      </c>
      <c r="M23" s="192">
        <v>1627</v>
      </c>
      <c r="N23" s="193">
        <v>46163</v>
      </c>
      <c r="O23" s="193">
        <v>46163</v>
      </c>
      <c r="P23" s="174"/>
      <c r="Q23" s="192" t="s">
        <v>10</v>
      </c>
      <c r="R23" s="192" t="s">
        <v>423</v>
      </c>
      <c r="S23" s="192" t="s">
        <v>82</v>
      </c>
      <c r="T23" s="99" t="str">
        <f t="shared" ref="T23:T58" si="7">LEFT(G23,6)</f>
        <v>DIEN00</v>
      </c>
      <c r="U23" s="100">
        <f t="shared" ref="U23:U46" si="8">LEN(F23)</f>
        <v>16</v>
      </c>
      <c r="V23" s="53">
        <v>0</v>
      </c>
    </row>
    <row r="24" spans="1:25" s="104" customFormat="1" ht="15.6" customHeight="1" x14ac:dyDescent="0.3">
      <c r="A24" s="354" t="s">
        <v>2</v>
      </c>
      <c r="B24" s="355"/>
      <c r="C24" s="355"/>
      <c r="D24" s="355"/>
      <c r="E24" s="355"/>
      <c r="F24" s="355"/>
      <c r="G24" s="356"/>
      <c r="H24" s="252">
        <v>239893600</v>
      </c>
      <c r="I24" s="174"/>
      <c r="J24" s="287">
        <v>0</v>
      </c>
      <c r="K24" s="174"/>
      <c r="L24" s="174"/>
      <c r="M24" s="174"/>
      <c r="N24" s="174"/>
      <c r="O24" s="174"/>
      <c r="P24" s="252">
        <v>81819700</v>
      </c>
      <c r="Q24" s="174"/>
      <c r="R24" s="174"/>
      <c r="S24" s="174"/>
      <c r="T24" s="99" t="str">
        <f t="shared" si="7"/>
        <v/>
      </c>
      <c r="U24" s="100">
        <f t="shared" si="8"/>
        <v>0</v>
      </c>
      <c r="V24" s="53">
        <v>0</v>
      </c>
    </row>
    <row r="25" spans="1:25" s="104" customFormat="1" ht="24.6" customHeight="1" x14ac:dyDescent="0.25">
      <c r="A25" s="349" t="s">
        <v>86</v>
      </c>
      <c r="B25" s="350"/>
      <c r="C25" s="350"/>
      <c r="D25" s="350"/>
      <c r="E25" s="350"/>
      <c r="F25" s="350"/>
      <c r="G25" s="350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1"/>
      <c r="T25" s="99" t="str">
        <f t="shared" si="7"/>
        <v/>
      </c>
      <c r="U25" s="100">
        <f t="shared" si="8"/>
        <v>0</v>
      </c>
      <c r="V25" s="87"/>
    </row>
    <row r="26" spans="1:25" ht="15.6" customHeight="1" x14ac:dyDescent="0.3">
      <c r="A26" s="192">
        <v>1</v>
      </c>
      <c r="B26" s="174"/>
      <c r="C26" s="249" t="s">
        <v>3</v>
      </c>
      <c r="D26" s="174"/>
      <c r="E26" s="174"/>
      <c r="F26" s="249" t="s">
        <v>3</v>
      </c>
      <c r="G26" s="174"/>
      <c r="H26" s="174"/>
      <c r="I26" s="174"/>
      <c r="J26" s="285"/>
      <c r="K26" s="174"/>
      <c r="L26" s="174"/>
      <c r="M26" s="174"/>
      <c r="N26" s="174"/>
      <c r="O26" s="174"/>
      <c r="P26" s="174"/>
      <c r="Q26" s="174"/>
      <c r="R26" s="250"/>
      <c r="S26" s="174"/>
      <c r="T26" s="99" t="str">
        <f t="shared" si="7"/>
        <v/>
      </c>
      <c r="U26" s="100">
        <f t="shared" si="8"/>
        <v>1</v>
      </c>
      <c r="V26" s="51"/>
    </row>
    <row r="27" spans="1:25" ht="12" customHeight="1" x14ac:dyDescent="0.3">
      <c r="A27" s="354" t="s">
        <v>2</v>
      </c>
      <c r="B27" s="355"/>
      <c r="C27" s="355"/>
      <c r="D27" s="355"/>
      <c r="E27" s="355"/>
      <c r="F27" s="355"/>
      <c r="G27" s="356"/>
      <c r="H27" s="174"/>
      <c r="I27" s="174"/>
      <c r="J27" s="285"/>
      <c r="K27" s="174"/>
      <c r="L27" s="174"/>
      <c r="M27" s="174"/>
      <c r="N27" s="174"/>
      <c r="O27" s="174"/>
      <c r="P27" s="174"/>
      <c r="Q27" s="174"/>
      <c r="R27" s="174"/>
      <c r="S27" s="174"/>
      <c r="T27" s="99" t="str">
        <f t="shared" si="7"/>
        <v/>
      </c>
      <c r="U27" s="100">
        <f t="shared" si="8"/>
        <v>0</v>
      </c>
      <c r="V27" s="87"/>
    </row>
    <row r="28" spans="1:25" ht="12" customHeight="1" x14ac:dyDescent="0.25">
      <c r="A28" s="349" t="s">
        <v>85</v>
      </c>
      <c r="B28" s="350"/>
      <c r="C28" s="350"/>
      <c r="D28" s="350"/>
      <c r="E28" s="350"/>
      <c r="F28" s="350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1"/>
      <c r="T28" s="99" t="str">
        <f t="shared" si="7"/>
        <v/>
      </c>
      <c r="U28" s="100">
        <f t="shared" si="8"/>
        <v>0</v>
      </c>
      <c r="V28" s="87"/>
    </row>
    <row r="29" spans="1:25" ht="15.6" customHeight="1" x14ac:dyDescent="0.25">
      <c r="A29" s="192">
        <v>1</v>
      </c>
      <c r="B29" s="192" t="s">
        <v>888</v>
      </c>
      <c r="C29" s="249" t="s">
        <v>933</v>
      </c>
      <c r="D29" s="193">
        <v>46160</v>
      </c>
      <c r="E29" s="194" t="s">
        <v>899</v>
      </c>
      <c r="F29" s="249" t="s">
        <v>450</v>
      </c>
      <c r="G29" s="192" t="s">
        <v>934</v>
      </c>
      <c r="H29" s="286">
        <v>1792931000</v>
      </c>
      <c r="I29" s="251">
        <v>8</v>
      </c>
      <c r="J29" s="286">
        <v>143434480</v>
      </c>
      <c r="K29" s="192" t="s">
        <v>12</v>
      </c>
      <c r="L29" s="192" t="s">
        <v>83</v>
      </c>
      <c r="M29" s="192">
        <v>1605</v>
      </c>
      <c r="N29" s="193">
        <v>46160</v>
      </c>
      <c r="O29" s="193">
        <v>46160</v>
      </c>
      <c r="P29" s="251">
        <v>1936365480</v>
      </c>
      <c r="Q29" s="192" t="s">
        <v>10</v>
      </c>
      <c r="R29" s="192" t="s">
        <v>891</v>
      </c>
      <c r="S29" s="192" t="s">
        <v>82</v>
      </c>
      <c r="T29" s="99" t="str">
        <f t="shared" si="7"/>
        <v>1388ĐĐ</v>
      </c>
      <c r="U29" s="100">
        <f t="shared" si="8"/>
        <v>15</v>
      </c>
      <c r="V29" s="51"/>
    </row>
    <row r="30" spans="1:25" ht="21.6" x14ac:dyDescent="0.3">
      <c r="A30" s="192">
        <v>2</v>
      </c>
      <c r="B30" s="192" t="s">
        <v>888</v>
      </c>
      <c r="C30" s="249" t="s">
        <v>611</v>
      </c>
      <c r="D30" s="193">
        <v>46161</v>
      </c>
      <c r="E30" s="194" t="s">
        <v>901</v>
      </c>
      <c r="F30" s="249" t="s">
        <v>902</v>
      </c>
      <c r="G30" s="192" t="s">
        <v>935</v>
      </c>
      <c r="H30" s="286">
        <v>2631095000</v>
      </c>
      <c r="I30" s="251">
        <v>8</v>
      </c>
      <c r="J30" s="286">
        <v>210487600</v>
      </c>
      <c r="K30" s="192" t="s">
        <v>12</v>
      </c>
      <c r="L30" s="192" t="s">
        <v>83</v>
      </c>
      <c r="M30" s="192">
        <v>1606</v>
      </c>
      <c r="N30" s="193">
        <v>46161</v>
      </c>
      <c r="O30" s="193">
        <v>46161</v>
      </c>
      <c r="P30" s="174"/>
      <c r="Q30" s="192" t="s">
        <v>10</v>
      </c>
      <c r="R30" s="192" t="s">
        <v>891</v>
      </c>
      <c r="S30" s="192" t="s">
        <v>82</v>
      </c>
      <c r="T30" s="99" t="str">
        <f t="shared" si="7"/>
        <v>1388ĐĐ</v>
      </c>
      <c r="U30" s="100">
        <f t="shared" si="8"/>
        <v>15</v>
      </c>
      <c r="V30" s="53">
        <v>8</v>
      </c>
    </row>
    <row r="31" spans="1:25" ht="21.6" x14ac:dyDescent="0.3">
      <c r="A31" s="192">
        <v>3</v>
      </c>
      <c r="B31" s="192" t="s">
        <v>888</v>
      </c>
      <c r="C31" s="249" t="s">
        <v>936</v>
      </c>
      <c r="D31" s="193">
        <v>46164</v>
      </c>
      <c r="E31" s="194" t="s">
        <v>889</v>
      </c>
      <c r="F31" s="249" t="s">
        <v>890</v>
      </c>
      <c r="G31" s="192" t="s">
        <v>937</v>
      </c>
      <c r="H31" s="286">
        <v>26984687</v>
      </c>
      <c r="I31" s="251">
        <v>8</v>
      </c>
      <c r="J31" s="286">
        <v>2158775</v>
      </c>
      <c r="K31" s="192" t="s">
        <v>12</v>
      </c>
      <c r="L31" s="192" t="s">
        <v>83</v>
      </c>
      <c r="M31" s="192">
        <v>1631</v>
      </c>
      <c r="N31" s="193">
        <v>46164</v>
      </c>
      <c r="O31" s="193">
        <v>46164</v>
      </c>
      <c r="P31" s="174"/>
      <c r="Q31" s="192" t="s">
        <v>10</v>
      </c>
      <c r="R31" s="192" t="s">
        <v>891</v>
      </c>
      <c r="S31" s="192" t="s">
        <v>82</v>
      </c>
      <c r="T31" s="99" t="str">
        <f t="shared" si="7"/>
        <v>1388ĐĐ</v>
      </c>
      <c r="U31" s="100">
        <f t="shared" si="8"/>
        <v>15</v>
      </c>
      <c r="V31" s="53">
        <v>8</v>
      </c>
    </row>
    <row r="32" spans="1:25" ht="21.6" x14ac:dyDescent="0.3">
      <c r="A32" s="192">
        <v>4</v>
      </c>
      <c r="B32" s="192" t="s">
        <v>888</v>
      </c>
      <c r="C32" s="249" t="s">
        <v>938</v>
      </c>
      <c r="D32" s="193">
        <v>46168</v>
      </c>
      <c r="E32" s="194" t="s">
        <v>893</v>
      </c>
      <c r="F32" s="249" t="s">
        <v>894</v>
      </c>
      <c r="G32" s="192" t="s">
        <v>912</v>
      </c>
      <c r="H32" s="286">
        <v>57336523</v>
      </c>
      <c r="I32" s="251">
        <v>8</v>
      </c>
      <c r="J32" s="286">
        <v>4586922</v>
      </c>
      <c r="K32" s="192" t="s">
        <v>12</v>
      </c>
      <c r="L32" s="192" t="s">
        <v>83</v>
      </c>
      <c r="M32" s="192">
        <v>1632</v>
      </c>
      <c r="N32" s="193">
        <v>46168</v>
      </c>
      <c r="O32" s="193">
        <v>46168</v>
      </c>
      <c r="P32" s="174"/>
      <c r="Q32" s="192" t="s">
        <v>10</v>
      </c>
      <c r="R32" s="192" t="s">
        <v>891</v>
      </c>
      <c r="S32" s="192" t="s">
        <v>82</v>
      </c>
      <c r="T32" s="99" t="str">
        <f t="shared" si="7"/>
        <v>4500TT</v>
      </c>
      <c r="U32" s="100">
        <f t="shared" si="8"/>
        <v>15</v>
      </c>
      <c r="V32" s="53">
        <v>8</v>
      </c>
    </row>
    <row r="33" spans="1:22" ht="21.6" x14ac:dyDescent="0.3">
      <c r="A33" s="192">
        <v>5</v>
      </c>
      <c r="B33" s="192" t="s">
        <v>888</v>
      </c>
      <c r="C33" s="249" t="s">
        <v>618</v>
      </c>
      <c r="D33" s="193">
        <v>46168</v>
      </c>
      <c r="E33" s="194" t="s">
        <v>895</v>
      </c>
      <c r="F33" s="249" t="s">
        <v>896</v>
      </c>
      <c r="G33" s="192" t="s">
        <v>928</v>
      </c>
      <c r="H33" s="286">
        <v>45940071</v>
      </c>
      <c r="I33" s="251">
        <v>8</v>
      </c>
      <c r="J33" s="286">
        <v>3675206</v>
      </c>
      <c r="K33" s="192" t="s">
        <v>12</v>
      </c>
      <c r="L33" s="192" t="s">
        <v>83</v>
      </c>
      <c r="M33" s="192">
        <v>1633</v>
      </c>
      <c r="N33" s="193">
        <v>46168</v>
      </c>
      <c r="O33" s="193">
        <v>46168</v>
      </c>
      <c r="P33" s="174"/>
      <c r="Q33" s="192" t="s">
        <v>10</v>
      </c>
      <c r="R33" s="192" t="s">
        <v>891</v>
      </c>
      <c r="S33" s="192" t="s">
        <v>82</v>
      </c>
      <c r="T33" s="99" t="str">
        <f t="shared" si="7"/>
        <v>4500TT</v>
      </c>
      <c r="U33" s="100">
        <f t="shared" si="8"/>
        <v>15</v>
      </c>
      <c r="V33" s="53">
        <v>8</v>
      </c>
    </row>
    <row r="34" spans="1:22" ht="21.6" x14ac:dyDescent="0.3">
      <c r="A34" s="192">
        <v>6</v>
      </c>
      <c r="B34" s="192" t="s">
        <v>888</v>
      </c>
      <c r="C34" s="249" t="s">
        <v>435</v>
      </c>
      <c r="D34" s="193">
        <v>46168</v>
      </c>
      <c r="E34" s="194" t="s">
        <v>892</v>
      </c>
      <c r="F34" s="249" t="s">
        <v>824</v>
      </c>
      <c r="G34" s="192" t="s">
        <v>920</v>
      </c>
      <c r="H34" s="286">
        <v>150296766</v>
      </c>
      <c r="I34" s="251">
        <v>8</v>
      </c>
      <c r="J34" s="286">
        <v>12023742</v>
      </c>
      <c r="K34" s="192" t="s">
        <v>12</v>
      </c>
      <c r="L34" s="192" t="s">
        <v>83</v>
      </c>
      <c r="M34" s="192">
        <v>1646</v>
      </c>
      <c r="N34" s="193">
        <v>46168</v>
      </c>
      <c r="O34" s="193">
        <v>46168</v>
      </c>
      <c r="P34" s="174"/>
      <c r="Q34" s="192" t="s">
        <v>10</v>
      </c>
      <c r="R34" s="192" t="s">
        <v>891</v>
      </c>
      <c r="S34" s="192" t="s">
        <v>82</v>
      </c>
      <c r="T34" s="99" t="str">
        <f t="shared" si="7"/>
        <v>4500TT</v>
      </c>
      <c r="U34" s="100">
        <f t="shared" si="8"/>
        <v>11</v>
      </c>
      <c r="V34" s="53">
        <v>8</v>
      </c>
    </row>
    <row r="35" spans="1:22" s="104" customFormat="1" ht="21.6" x14ac:dyDescent="0.3">
      <c r="A35" s="192">
        <v>7</v>
      </c>
      <c r="B35" s="174"/>
      <c r="C35" s="249" t="s">
        <v>3</v>
      </c>
      <c r="D35" s="174"/>
      <c r="E35" s="194" t="s">
        <v>417</v>
      </c>
      <c r="F35" s="249" t="s">
        <v>3</v>
      </c>
      <c r="G35" s="192" t="s">
        <v>127</v>
      </c>
      <c r="H35" s="286">
        <v>475427979</v>
      </c>
      <c r="I35" s="251">
        <v>8</v>
      </c>
      <c r="J35" s="286">
        <v>38034227</v>
      </c>
      <c r="K35" s="174"/>
      <c r="L35" s="192" t="s">
        <v>15</v>
      </c>
      <c r="M35" s="192">
        <v>1356</v>
      </c>
      <c r="N35" s="193">
        <v>46163</v>
      </c>
      <c r="O35" s="193">
        <v>46163</v>
      </c>
      <c r="P35" s="251">
        <v>513462206</v>
      </c>
      <c r="Q35" s="192" t="s">
        <v>10</v>
      </c>
      <c r="R35" s="192" t="s">
        <v>423</v>
      </c>
      <c r="S35" s="192" t="s">
        <v>14</v>
      </c>
      <c r="T35" s="99" t="str">
        <f t="shared" si="7"/>
        <v>CSPK02</v>
      </c>
      <c r="U35" s="100">
        <f t="shared" si="8"/>
        <v>1</v>
      </c>
      <c r="V35" s="53">
        <v>8</v>
      </c>
    </row>
    <row r="36" spans="1:22" ht="21.6" x14ac:dyDescent="0.3">
      <c r="A36" s="192">
        <v>8</v>
      </c>
      <c r="B36" s="174"/>
      <c r="C36" s="249" t="s">
        <v>3</v>
      </c>
      <c r="D36" s="174"/>
      <c r="E36" s="194" t="s">
        <v>416</v>
      </c>
      <c r="F36" s="249" t="s">
        <v>3</v>
      </c>
      <c r="G36" s="192" t="s">
        <v>84</v>
      </c>
      <c r="H36" s="286">
        <v>701849435397</v>
      </c>
      <c r="I36" s="251">
        <v>8</v>
      </c>
      <c r="J36" s="286">
        <v>56147955041</v>
      </c>
      <c r="K36" s="174"/>
      <c r="L36" s="192" t="s">
        <v>15</v>
      </c>
      <c r="M36" s="192">
        <v>1356</v>
      </c>
      <c r="N36" s="193">
        <v>46163</v>
      </c>
      <c r="O36" s="193">
        <v>46163</v>
      </c>
      <c r="P36" s="251">
        <v>757997390438</v>
      </c>
      <c r="Q36" s="192" t="s">
        <v>10</v>
      </c>
      <c r="R36" s="192" t="s">
        <v>423</v>
      </c>
      <c r="S36" s="192" t="s">
        <v>14</v>
      </c>
      <c r="T36" s="99" t="str">
        <f t="shared" si="7"/>
        <v>DIEN01</v>
      </c>
      <c r="U36" s="100">
        <f t="shared" si="8"/>
        <v>1</v>
      </c>
      <c r="V36" s="53">
        <v>8</v>
      </c>
    </row>
    <row r="37" spans="1:22" ht="21.6" x14ac:dyDescent="0.3">
      <c r="A37" s="192">
        <v>9</v>
      </c>
      <c r="B37" s="174"/>
      <c r="C37" s="249" t="s">
        <v>3</v>
      </c>
      <c r="D37" s="193">
        <v>46153</v>
      </c>
      <c r="E37" s="194" t="s">
        <v>310</v>
      </c>
      <c r="F37" s="249" t="s">
        <v>422</v>
      </c>
      <c r="G37" s="192" t="s">
        <v>84</v>
      </c>
      <c r="H37" s="286">
        <v>318504337257</v>
      </c>
      <c r="I37" s="251">
        <v>8</v>
      </c>
      <c r="J37" s="286">
        <v>25480346999</v>
      </c>
      <c r="K37" s="192" t="s">
        <v>921</v>
      </c>
      <c r="L37" s="192" t="s">
        <v>83</v>
      </c>
      <c r="M37" s="192">
        <v>1615</v>
      </c>
      <c r="N37" s="193">
        <v>46153</v>
      </c>
      <c r="O37" s="193">
        <v>46153</v>
      </c>
      <c r="P37" s="251">
        <v>276722640083</v>
      </c>
      <c r="Q37" s="192" t="s">
        <v>10</v>
      </c>
      <c r="R37" s="192" t="s">
        <v>423</v>
      </c>
      <c r="S37" s="192" t="s">
        <v>82</v>
      </c>
      <c r="T37" s="99" t="str">
        <f t="shared" si="7"/>
        <v>DIEN01</v>
      </c>
      <c r="U37" s="100">
        <f t="shared" si="8"/>
        <v>16</v>
      </c>
      <c r="V37" s="53">
        <v>8</v>
      </c>
    </row>
    <row r="38" spans="1:22" ht="21.6" x14ac:dyDescent="0.3">
      <c r="A38" s="192">
        <v>10</v>
      </c>
      <c r="B38" s="174"/>
      <c r="C38" s="249" t="s">
        <v>3</v>
      </c>
      <c r="D38" s="193">
        <v>46153</v>
      </c>
      <c r="E38" s="194" t="s">
        <v>311</v>
      </c>
      <c r="F38" s="249" t="s">
        <v>424</v>
      </c>
      <c r="G38" s="192" t="s">
        <v>127</v>
      </c>
      <c r="H38" s="286">
        <v>63034452</v>
      </c>
      <c r="I38" s="251">
        <v>8</v>
      </c>
      <c r="J38" s="286">
        <v>5042756</v>
      </c>
      <c r="K38" s="192" t="s">
        <v>923</v>
      </c>
      <c r="L38" s="192" t="s">
        <v>83</v>
      </c>
      <c r="M38" s="192">
        <v>1617</v>
      </c>
      <c r="N38" s="193">
        <v>46153</v>
      </c>
      <c r="O38" s="193">
        <v>46153</v>
      </c>
      <c r="P38" s="174"/>
      <c r="Q38" s="192" t="s">
        <v>10</v>
      </c>
      <c r="R38" s="192" t="s">
        <v>423</v>
      </c>
      <c r="S38" s="192" t="s">
        <v>82</v>
      </c>
      <c r="T38" s="99" t="str">
        <f t="shared" si="7"/>
        <v>CSPK02</v>
      </c>
      <c r="U38" s="100">
        <f t="shared" si="8"/>
        <v>13</v>
      </c>
      <c r="V38" s="53">
        <v>10</v>
      </c>
    </row>
    <row r="39" spans="1:22" ht="21.6" x14ac:dyDescent="0.3">
      <c r="A39" s="192">
        <v>11</v>
      </c>
      <c r="B39" s="174"/>
      <c r="C39" s="249" t="s">
        <v>3</v>
      </c>
      <c r="D39" s="193">
        <v>46158</v>
      </c>
      <c r="E39" s="194" t="s">
        <v>310</v>
      </c>
      <c r="F39" s="249" t="s">
        <v>422</v>
      </c>
      <c r="G39" s="192" t="s">
        <v>84</v>
      </c>
      <c r="H39" s="286">
        <v>13249288139</v>
      </c>
      <c r="I39" s="251">
        <v>8</v>
      </c>
      <c r="J39" s="286">
        <v>1059943044</v>
      </c>
      <c r="K39" s="192" t="s">
        <v>924</v>
      </c>
      <c r="L39" s="192" t="s">
        <v>83</v>
      </c>
      <c r="M39" s="192">
        <v>1618</v>
      </c>
      <c r="N39" s="193">
        <v>46158</v>
      </c>
      <c r="O39" s="193">
        <v>46158</v>
      </c>
      <c r="P39" s="174"/>
      <c r="Q39" s="192" t="s">
        <v>10</v>
      </c>
      <c r="R39" s="192" t="s">
        <v>423</v>
      </c>
      <c r="S39" s="192" t="s">
        <v>82</v>
      </c>
      <c r="T39" s="99" t="str">
        <f t="shared" si="7"/>
        <v>DIEN01</v>
      </c>
      <c r="U39" s="100">
        <f t="shared" si="8"/>
        <v>16</v>
      </c>
      <c r="V39" s="53">
        <v>8</v>
      </c>
    </row>
    <row r="40" spans="1:22" ht="21.6" x14ac:dyDescent="0.3">
      <c r="A40" s="192">
        <v>12</v>
      </c>
      <c r="B40" s="174"/>
      <c r="C40" s="249" t="s">
        <v>3</v>
      </c>
      <c r="D40" s="193">
        <v>46158</v>
      </c>
      <c r="E40" s="194" t="s">
        <v>311</v>
      </c>
      <c r="F40" s="249" t="s">
        <v>424</v>
      </c>
      <c r="G40" s="192" t="s">
        <v>127</v>
      </c>
      <c r="H40" s="286">
        <v>34333124</v>
      </c>
      <c r="I40" s="251">
        <v>8</v>
      </c>
      <c r="J40" s="286">
        <v>2746651</v>
      </c>
      <c r="K40" s="192" t="s">
        <v>915</v>
      </c>
      <c r="L40" s="192" t="s">
        <v>83</v>
      </c>
      <c r="M40" s="192">
        <v>1624</v>
      </c>
      <c r="N40" s="193">
        <v>46158</v>
      </c>
      <c r="O40" s="193">
        <v>46158</v>
      </c>
      <c r="P40" s="174"/>
      <c r="Q40" s="192" t="s">
        <v>10</v>
      </c>
      <c r="R40" s="192" t="s">
        <v>423</v>
      </c>
      <c r="S40" s="192" t="s">
        <v>82</v>
      </c>
      <c r="T40" s="99" t="str">
        <f t="shared" si="7"/>
        <v>CSPK02</v>
      </c>
      <c r="U40" s="100">
        <f t="shared" si="8"/>
        <v>13</v>
      </c>
      <c r="V40" s="53">
        <v>10</v>
      </c>
    </row>
    <row r="41" spans="1:22" ht="21.6" x14ac:dyDescent="0.3">
      <c r="A41" s="192">
        <v>13</v>
      </c>
      <c r="B41" s="174"/>
      <c r="C41" s="249" t="s">
        <v>3</v>
      </c>
      <c r="D41" s="193">
        <v>46163</v>
      </c>
      <c r="E41" s="194" t="s">
        <v>310</v>
      </c>
      <c r="F41" s="249" t="s">
        <v>422</v>
      </c>
      <c r="G41" s="192" t="s">
        <v>84</v>
      </c>
      <c r="H41" s="286">
        <v>322639770751</v>
      </c>
      <c r="I41" s="251">
        <v>8</v>
      </c>
      <c r="J41" s="286">
        <v>25811181662</v>
      </c>
      <c r="K41" s="192" t="s">
        <v>917</v>
      </c>
      <c r="L41" s="192" t="s">
        <v>83</v>
      </c>
      <c r="M41" s="192">
        <v>1625</v>
      </c>
      <c r="N41" s="193">
        <v>46163</v>
      </c>
      <c r="O41" s="193">
        <v>46163</v>
      </c>
      <c r="P41" s="251">
        <v>5056387417</v>
      </c>
      <c r="Q41" s="192" t="s">
        <v>10</v>
      </c>
      <c r="R41" s="192" t="s">
        <v>423</v>
      </c>
      <c r="S41" s="192" t="s">
        <v>82</v>
      </c>
      <c r="T41" s="99" t="str">
        <f t="shared" si="7"/>
        <v>DIEN01</v>
      </c>
      <c r="U41" s="100">
        <f t="shared" si="8"/>
        <v>16</v>
      </c>
      <c r="V41" s="53">
        <v>10</v>
      </c>
    </row>
    <row r="42" spans="1:22" ht="21.6" x14ac:dyDescent="0.3">
      <c r="A42" s="192">
        <v>14</v>
      </c>
      <c r="B42" s="174"/>
      <c r="C42" s="249" t="s">
        <v>3</v>
      </c>
      <c r="D42" s="193">
        <v>46163</v>
      </c>
      <c r="E42" s="194" t="s">
        <v>311</v>
      </c>
      <c r="F42" s="249" t="s">
        <v>424</v>
      </c>
      <c r="G42" s="192" t="s">
        <v>127</v>
      </c>
      <c r="H42" s="286">
        <v>68682060</v>
      </c>
      <c r="I42" s="251">
        <v>8</v>
      </c>
      <c r="J42" s="286">
        <v>5494565</v>
      </c>
      <c r="K42" s="192" t="s">
        <v>918</v>
      </c>
      <c r="L42" s="192" t="s">
        <v>83</v>
      </c>
      <c r="M42" s="192">
        <v>1626</v>
      </c>
      <c r="N42" s="193">
        <v>46163</v>
      </c>
      <c r="O42" s="193">
        <v>46163</v>
      </c>
      <c r="P42" s="174"/>
      <c r="Q42" s="192" t="s">
        <v>10</v>
      </c>
      <c r="R42" s="192" t="s">
        <v>423</v>
      </c>
      <c r="S42" s="192" t="s">
        <v>82</v>
      </c>
      <c r="T42" s="99" t="str">
        <f t="shared" si="7"/>
        <v>CSPK02</v>
      </c>
      <c r="U42" s="100">
        <f t="shared" si="8"/>
        <v>13</v>
      </c>
      <c r="V42" s="53">
        <v>8</v>
      </c>
    </row>
    <row r="43" spans="1:22" ht="15.6" customHeight="1" x14ac:dyDescent="0.3">
      <c r="A43" s="192">
        <v>15</v>
      </c>
      <c r="B43" s="174"/>
      <c r="C43" s="249" t="s">
        <v>3</v>
      </c>
      <c r="D43" s="193">
        <v>46173</v>
      </c>
      <c r="E43" s="194" t="s">
        <v>312</v>
      </c>
      <c r="F43" s="249" t="s">
        <v>422</v>
      </c>
      <c r="G43" s="192" t="s">
        <v>84</v>
      </c>
      <c r="H43" s="286">
        <v>-229956478</v>
      </c>
      <c r="I43" s="251">
        <v>8</v>
      </c>
      <c r="J43" s="286">
        <v>-18396522</v>
      </c>
      <c r="K43" s="192" t="s">
        <v>929</v>
      </c>
      <c r="L43" s="192" t="s">
        <v>83</v>
      </c>
      <c r="M43" s="192">
        <v>1639</v>
      </c>
      <c r="N43" s="193">
        <v>46173</v>
      </c>
      <c r="O43" s="193">
        <v>46173</v>
      </c>
      <c r="P43" s="251">
        <v>-248353000</v>
      </c>
      <c r="Q43" s="192" t="s">
        <v>10</v>
      </c>
      <c r="R43" s="192" t="s">
        <v>423</v>
      </c>
      <c r="S43" s="192" t="s">
        <v>82</v>
      </c>
      <c r="T43" s="99" t="str">
        <f t="shared" si="7"/>
        <v>DIEN01</v>
      </c>
      <c r="U43" s="100">
        <f t="shared" si="8"/>
        <v>16</v>
      </c>
      <c r="V43" s="53">
        <v>8</v>
      </c>
    </row>
    <row r="44" spans="1:22" ht="12" customHeight="1" x14ac:dyDescent="0.3">
      <c r="A44" s="192">
        <v>16</v>
      </c>
      <c r="B44" s="174"/>
      <c r="C44" s="249" t="s">
        <v>3</v>
      </c>
      <c r="D44" s="193">
        <v>46173</v>
      </c>
      <c r="E44" s="194" t="s">
        <v>313</v>
      </c>
      <c r="F44" s="249" t="s">
        <v>422</v>
      </c>
      <c r="G44" s="192" t="s">
        <v>84</v>
      </c>
      <c r="H44" s="286">
        <v>459004122</v>
      </c>
      <c r="I44" s="251">
        <v>8</v>
      </c>
      <c r="J44" s="286">
        <v>36720327</v>
      </c>
      <c r="K44" s="192" t="s">
        <v>930</v>
      </c>
      <c r="L44" s="192" t="s">
        <v>83</v>
      </c>
      <c r="M44" s="192">
        <v>1640</v>
      </c>
      <c r="N44" s="193">
        <v>46173</v>
      </c>
      <c r="O44" s="193">
        <v>46173</v>
      </c>
      <c r="P44" s="174"/>
      <c r="Q44" s="192" t="s">
        <v>10</v>
      </c>
      <c r="R44" s="192" t="s">
        <v>423</v>
      </c>
      <c r="S44" s="192" t="s">
        <v>82</v>
      </c>
      <c r="T44" s="99" t="str">
        <f t="shared" si="7"/>
        <v>DIEN01</v>
      </c>
      <c r="U44" s="100">
        <f t="shared" si="8"/>
        <v>16</v>
      </c>
      <c r="V44" s="53">
        <v>8</v>
      </c>
    </row>
    <row r="45" spans="1:22" ht="21.6" x14ac:dyDescent="0.3">
      <c r="A45" s="192">
        <v>17</v>
      </c>
      <c r="B45" s="174"/>
      <c r="C45" s="249" t="s">
        <v>3</v>
      </c>
      <c r="D45" s="193">
        <v>46173</v>
      </c>
      <c r="E45" s="194" t="s">
        <v>315</v>
      </c>
      <c r="F45" s="249" t="s">
        <v>422</v>
      </c>
      <c r="G45" s="192" t="s">
        <v>84</v>
      </c>
      <c r="H45" s="286">
        <v>282245344</v>
      </c>
      <c r="I45" s="251">
        <v>8</v>
      </c>
      <c r="J45" s="286">
        <v>22579627</v>
      </c>
      <c r="K45" s="192" t="s">
        <v>931</v>
      </c>
      <c r="L45" s="192" t="s">
        <v>83</v>
      </c>
      <c r="M45" s="192">
        <v>1641</v>
      </c>
      <c r="N45" s="193">
        <v>46173</v>
      </c>
      <c r="O45" s="193">
        <v>46173</v>
      </c>
      <c r="P45" s="174"/>
      <c r="Q45" s="192" t="s">
        <v>10</v>
      </c>
      <c r="R45" s="192" t="s">
        <v>423</v>
      </c>
      <c r="S45" s="192" t="s">
        <v>82</v>
      </c>
      <c r="T45" s="99" t="str">
        <f t="shared" si="7"/>
        <v>DIEN01</v>
      </c>
      <c r="U45" s="100">
        <f t="shared" si="8"/>
        <v>16</v>
      </c>
      <c r="V45" s="53">
        <v>8</v>
      </c>
    </row>
    <row r="46" spans="1:22" ht="15.6" customHeight="1" x14ac:dyDescent="0.3">
      <c r="A46" s="192">
        <v>18</v>
      </c>
      <c r="B46" s="174"/>
      <c r="C46" s="249" t="s">
        <v>3</v>
      </c>
      <c r="D46" s="193">
        <v>46173</v>
      </c>
      <c r="E46" s="194" t="s">
        <v>314</v>
      </c>
      <c r="F46" s="249" t="s">
        <v>422</v>
      </c>
      <c r="G46" s="192" t="s">
        <v>84</v>
      </c>
      <c r="H46" s="286">
        <v>-37491358</v>
      </c>
      <c r="I46" s="251">
        <v>8</v>
      </c>
      <c r="J46" s="286">
        <v>-2999309</v>
      </c>
      <c r="K46" s="192" t="s">
        <v>932</v>
      </c>
      <c r="L46" s="192" t="s">
        <v>83</v>
      </c>
      <c r="M46" s="192">
        <v>1662</v>
      </c>
      <c r="N46" s="193">
        <v>46173</v>
      </c>
      <c r="O46" s="193">
        <v>46173</v>
      </c>
      <c r="P46" s="251">
        <v>-40490667</v>
      </c>
      <c r="Q46" s="192" t="s">
        <v>10</v>
      </c>
      <c r="R46" s="192" t="s">
        <v>423</v>
      </c>
      <c r="S46" s="192" t="s">
        <v>82</v>
      </c>
      <c r="T46" s="99" t="str">
        <f t="shared" si="7"/>
        <v>DIEN01</v>
      </c>
      <c r="U46" s="100">
        <f t="shared" si="8"/>
        <v>16</v>
      </c>
      <c r="V46" s="53">
        <v>8</v>
      </c>
    </row>
    <row r="47" spans="1:22" ht="15.6" customHeight="1" x14ac:dyDescent="0.3">
      <c r="A47" s="354" t="s">
        <v>2</v>
      </c>
      <c r="B47" s="355"/>
      <c r="C47" s="355"/>
      <c r="D47" s="355"/>
      <c r="E47" s="355"/>
      <c r="F47" s="355"/>
      <c r="G47" s="356"/>
      <c r="H47" s="252">
        <v>1362062694836</v>
      </c>
      <c r="I47" s="174"/>
      <c r="J47" s="287">
        <v>108965015793</v>
      </c>
      <c r="K47" s="174"/>
      <c r="L47" s="174"/>
      <c r="M47" s="174"/>
      <c r="N47" s="174"/>
      <c r="O47" s="174"/>
      <c r="P47" s="252">
        <v>1041937401957</v>
      </c>
      <c r="Q47" s="174"/>
      <c r="R47" s="174"/>
      <c r="S47" s="174"/>
      <c r="T47" s="99" t="str">
        <f t="shared" si="7"/>
        <v/>
      </c>
      <c r="V47" s="53"/>
    </row>
    <row r="48" spans="1:22" ht="15.6" customHeight="1" x14ac:dyDescent="0.25">
      <c r="A48" s="349" t="s">
        <v>81</v>
      </c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1"/>
      <c r="T48" s="99" t="str">
        <f t="shared" si="7"/>
        <v/>
      </c>
      <c r="V48" s="53"/>
    </row>
    <row r="49" spans="1:23" ht="15.6" customHeight="1" x14ac:dyDescent="0.3">
      <c r="A49" s="192">
        <v>1</v>
      </c>
      <c r="B49" s="174"/>
      <c r="C49" s="249" t="s">
        <v>3</v>
      </c>
      <c r="D49" s="174"/>
      <c r="E49" s="174"/>
      <c r="F49" s="249" t="s">
        <v>3</v>
      </c>
      <c r="G49" s="174"/>
      <c r="H49" s="174"/>
      <c r="I49" s="174"/>
      <c r="J49" s="285"/>
      <c r="K49" s="174"/>
      <c r="L49" s="174"/>
      <c r="M49" s="174"/>
      <c r="N49" s="174"/>
      <c r="O49" s="174"/>
      <c r="P49" s="174"/>
      <c r="Q49" s="174"/>
      <c r="R49" s="250"/>
      <c r="S49" s="174"/>
      <c r="T49" s="99" t="str">
        <f t="shared" si="7"/>
        <v/>
      </c>
      <c r="V49" s="53"/>
    </row>
    <row r="50" spans="1:23" ht="15.6" customHeight="1" x14ac:dyDescent="0.3">
      <c r="A50" s="354" t="s">
        <v>2</v>
      </c>
      <c r="B50" s="355"/>
      <c r="C50" s="355"/>
      <c r="D50" s="355"/>
      <c r="E50" s="355"/>
      <c r="F50" s="355"/>
      <c r="G50" s="356"/>
      <c r="H50" s="174"/>
      <c r="I50" s="174"/>
      <c r="J50" s="285"/>
      <c r="K50" s="174"/>
      <c r="L50" s="174"/>
      <c r="M50" s="174"/>
      <c r="N50" s="174"/>
      <c r="O50" s="174"/>
      <c r="P50" s="174"/>
      <c r="Q50" s="174"/>
      <c r="R50" s="174"/>
      <c r="S50" s="174"/>
      <c r="T50" s="99" t="str">
        <f t="shared" si="7"/>
        <v/>
      </c>
      <c r="V50" s="53"/>
    </row>
    <row r="51" spans="1:23" ht="15.6" customHeight="1" x14ac:dyDescent="0.3">
      <c r="A51" s="354" t="s">
        <v>2</v>
      </c>
      <c r="B51" s="355"/>
      <c r="C51" s="355"/>
      <c r="D51" s="355"/>
      <c r="E51" s="355"/>
      <c r="F51" s="355"/>
      <c r="G51" s="356"/>
      <c r="H51" s="252">
        <v>1362302588436</v>
      </c>
      <c r="I51" s="174"/>
      <c r="J51" s="287">
        <v>108965015793</v>
      </c>
      <c r="K51" s="174"/>
      <c r="L51" s="174"/>
      <c r="M51" s="174"/>
      <c r="N51" s="174"/>
      <c r="O51" s="174"/>
      <c r="P51" s="174"/>
      <c r="Q51" s="174"/>
      <c r="R51" s="358"/>
      <c r="S51" s="359"/>
      <c r="T51" s="99" t="str">
        <f t="shared" si="7"/>
        <v/>
      </c>
      <c r="V51" s="53"/>
    </row>
    <row r="52" spans="1:23" ht="15.6" customHeight="1" x14ac:dyDescent="0.3">
      <c r="A52" s="360" t="s">
        <v>939</v>
      </c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248"/>
      <c r="N52" s="248"/>
      <c r="O52" s="248"/>
      <c r="P52" s="248"/>
      <c r="Q52" s="248"/>
      <c r="R52" s="361"/>
      <c r="S52" s="361"/>
      <c r="T52" s="99" t="str">
        <f t="shared" si="7"/>
        <v/>
      </c>
      <c r="V52" s="53"/>
    </row>
    <row r="53" spans="1:23" ht="15.6" customHeight="1" x14ac:dyDescent="0.3">
      <c r="A53" s="362" t="s">
        <v>940</v>
      </c>
      <c r="B53" s="362"/>
      <c r="C53" s="362"/>
      <c r="D53" s="362"/>
      <c r="E53" s="362"/>
      <c r="F53" s="362"/>
      <c r="G53" s="362"/>
      <c r="H53" s="362"/>
      <c r="I53" s="362"/>
      <c r="J53" s="362"/>
      <c r="K53" s="362"/>
      <c r="L53" s="362"/>
      <c r="M53" s="170"/>
      <c r="N53" s="170"/>
      <c r="O53" s="170"/>
      <c r="P53" s="170"/>
      <c r="Q53" s="170"/>
      <c r="R53" s="330"/>
      <c r="S53" s="330"/>
      <c r="T53" s="99" t="str">
        <f t="shared" si="7"/>
        <v/>
      </c>
      <c r="V53" s="53"/>
    </row>
    <row r="54" spans="1:23" ht="15.6" customHeight="1" x14ac:dyDescent="0.3">
      <c r="T54" s="99" t="str">
        <f t="shared" si="7"/>
        <v/>
      </c>
      <c r="V54" s="87"/>
    </row>
    <row r="55" spans="1:23" ht="15.6" customHeight="1" x14ac:dyDescent="0.3">
      <c r="A55" s="170"/>
      <c r="B55" s="170"/>
      <c r="C55" s="170"/>
      <c r="D55" s="170"/>
      <c r="E55" s="170"/>
      <c r="F55" s="170"/>
      <c r="G55" s="170"/>
      <c r="H55" s="170"/>
      <c r="I55" s="170"/>
      <c r="J55" s="288"/>
      <c r="K55" s="170"/>
      <c r="L55" s="170"/>
      <c r="M55" s="170"/>
      <c r="N55" s="170"/>
      <c r="O55" s="170"/>
      <c r="P55" s="170"/>
      <c r="Q55" s="170"/>
      <c r="T55" s="99" t="str">
        <f t="shared" si="7"/>
        <v/>
      </c>
      <c r="V55" s="51"/>
    </row>
    <row r="56" spans="1:23" ht="15.6" customHeight="1" x14ac:dyDescent="0.3">
      <c r="A56" s="170"/>
      <c r="B56" s="170"/>
      <c r="C56" s="170"/>
      <c r="D56" s="170"/>
      <c r="E56" s="170"/>
      <c r="F56" s="170"/>
      <c r="G56" s="170"/>
      <c r="H56" s="170"/>
      <c r="I56" s="170"/>
      <c r="J56" s="357" t="s">
        <v>354</v>
      </c>
      <c r="K56" s="357"/>
      <c r="L56" s="357"/>
      <c r="M56" s="357"/>
      <c r="N56" s="170"/>
      <c r="O56" s="170"/>
      <c r="P56" s="170"/>
      <c r="Q56" s="170"/>
      <c r="T56" s="99" t="str">
        <f t="shared" si="7"/>
        <v/>
      </c>
      <c r="V56" s="87"/>
    </row>
    <row r="57" spans="1:23" x14ac:dyDescent="0.3">
      <c r="A57" s="170"/>
      <c r="B57" s="170"/>
      <c r="C57" s="170"/>
      <c r="D57" s="170"/>
      <c r="E57" s="170"/>
      <c r="F57" s="170"/>
      <c r="G57" s="170"/>
      <c r="H57" s="170"/>
      <c r="I57" s="170"/>
      <c r="J57" s="363" t="s">
        <v>355</v>
      </c>
      <c r="K57" s="363"/>
      <c r="L57" s="363"/>
      <c r="M57" s="363"/>
      <c r="N57" s="170"/>
      <c r="O57" s="170"/>
      <c r="P57" s="170"/>
      <c r="Q57" s="170"/>
      <c r="T57" s="99" t="str">
        <f t="shared" si="7"/>
        <v/>
      </c>
      <c r="V57" s="87"/>
    </row>
    <row r="58" spans="1:23" ht="15.6" customHeight="1" x14ac:dyDescent="0.3">
      <c r="A58" s="170"/>
      <c r="B58" s="170"/>
      <c r="C58" s="170"/>
      <c r="D58" s="170"/>
      <c r="E58" s="170"/>
      <c r="F58" s="170"/>
      <c r="G58" s="170"/>
      <c r="H58" s="170"/>
      <c r="I58" s="170"/>
      <c r="J58" s="363" t="s">
        <v>356</v>
      </c>
      <c r="K58" s="363"/>
      <c r="L58" s="363"/>
      <c r="M58" s="363"/>
      <c r="N58" s="170"/>
      <c r="O58" s="170"/>
      <c r="P58" s="170"/>
      <c r="Q58" s="170"/>
      <c r="T58" s="99" t="str">
        <f t="shared" si="7"/>
        <v/>
      </c>
      <c r="V58" s="87"/>
      <c r="W58" s="89"/>
    </row>
    <row r="59" spans="1:23" ht="15.6" customHeight="1" x14ac:dyDescent="0.3">
      <c r="A59" s="170"/>
      <c r="B59" s="170"/>
      <c r="C59" s="170"/>
      <c r="D59" s="170"/>
      <c r="E59" s="170"/>
      <c r="F59" s="170"/>
      <c r="G59" s="170"/>
      <c r="H59" s="170"/>
      <c r="I59" s="170"/>
      <c r="J59" s="357" t="s">
        <v>357</v>
      </c>
      <c r="K59" s="357"/>
      <c r="L59" s="357"/>
      <c r="M59" s="357"/>
      <c r="N59" s="170"/>
      <c r="O59" s="170"/>
      <c r="P59" s="170"/>
      <c r="Q59" s="170"/>
      <c r="V59" s="105"/>
    </row>
    <row r="60" spans="1:23" x14ac:dyDescent="0.3">
      <c r="A60" s="170"/>
      <c r="B60" s="170"/>
      <c r="C60" s="170"/>
      <c r="D60" s="170"/>
      <c r="E60" s="170"/>
      <c r="F60" s="170"/>
      <c r="G60" s="170"/>
      <c r="H60" s="170"/>
      <c r="I60" s="170"/>
      <c r="J60" s="288"/>
      <c r="K60" s="170"/>
      <c r="L60" s="170"/>
      <c r="M60" s="170"/>
      <c r="N60" s="170"/>
      <c r="O60" s="170"/>
      <c r="P60" s="170"/>
      <c r="Q60" s="170"/>
      <c r="V60" s="74"/>
    </row>
    <row r="63" spans="1:23" x14ac:dyDescent="0.3">
      <c r="V63" s="86"/>
    </row>
    <row r="64" spans="1:23" x14ac:dyDescent="0.3">
      <c r="V64" s="86"/>
    </row>
    <row r="65" spans="22:22" x14ac:dyDescent="0.3">
      <c r="V65" s="86"/>
    </row>
    <row r="66" spans="22:22" x14ac:dyDescent="0.3">
      <c r="V66" s="86"/>
    </row>
  </sheetData>
  <sortState xmlns:xlrd2="http://schemas.microsoft.com/office/spreadsheetml/2017/richdata2" ref="K72:K77">
    <sortCondition ref="K72:K77"/>
  </sortState>
  <mergeCells count="77">
    <mergeCell ref="J59:M59"/>
    <mergeCell ref="A47:G47"/>
    <mergeCell ref="A48:S48"/>
    <mergeCell ref="A50:G50"/>
    <mergeCell ref="A51:G51"/>
    <mergeCell ref="R51:S51"/>
    <mergeCell ref="A52:L52"/>
    <mergeCell ref="R52:S52"/>
    <mergeCell ref="A53:L53"/>
    <mergeCell ref="R53:S53"/>
    <mergeCell ref="J56:M56"/>
    <mergeCell ref="J57:M57"/>
    <mergeCell ref="J58:M58"/>
    <mergeCell ref="A19:G19"/>
    <mergeCell ref="A20:S20"/>
    <mergeCell ref="A24:G24"/>
    <mergeCell ref="A25:S25"/>
    <mergeCell ref="A27:G27"/>
    <mergeCell ref="A28:S28"/>
    <mergeCell ref="O14:O15"/>
    <mergeCell ref="P14:P15"/>
    <mergeCell ref="Q14:Q15"/>
    <mergeCell ref="R14:R15"/>
    <mergeCell ref="S14:S15"/>
    <mergeCell ref="A17:S17"/>
    <mergeCell ref="I14:I15"/>
    <mergeCell ref="J14:J15"/>
    <mergeCell ref="K14:K15"/>
    <mergeCell ref="L14:L15"/>
    <mergeCell ref="M14:M15"/>
    <mergeCell ref="N14:N15"/>
    <mergeCell ref="A14:A15"/>
    <mergeCell ref="B14:D14"/>
    <mergeCell ref="E14:E15"/>
    <mergeCell ref="F14:F15"/>
    <mergeCell ref="G14:G15"/>
    <mergeCell ref="H14:H15"/>
    <mergeCell ref="A11:N11"/>
    <mergeCell ref="O11:P11"/>
    <mergeCell ref="Q11:R11"/>
    <mergeCell ref="A12:N12"/>
    <mergeCell ref="O12:P12"/>
    <mergeCell ref="Q12:R12"/>
    <mergeCell ref="A9:N9"/>
    <mergeCell ref="O9:P9"/>
    <mergeCell ref="Q9:R9"/>
    <mergeCell ref="A10:N10"/>
    <mergeCell ref="O10:P10"/>
    <mergeCell ref="Q10:R10"/>
    <mergeCell ref="A7:N7"/>
    <mergeCell ref="O7:P7"/>
    <mergeCell ref="Q7:R7"/>
    <mergeCell ref="A8:N8"/>
    <mergeCell ref="O8:P8"/>
    <mergeCell ref="Q8:R8"/>
    <mergeCell ref="J5:M5"/>
    <mergeCell ref="N5:O5"/>
    <mergeCell ref="P5:Q5"/>
    <mergeCell ref="R5:S5"/>
    <mergeCell ref="N6:O6"/>
    <mergeCell ref="P6:Q6"/>
    <mergeCell ref="R6:S6"/>
    <mergeCell ref="J3:M3"/>
    <mergeCell ref="N3:O3"/>
    <mergeCell ref="P3:Q3"/>
    <mergeCell ref="R3:S3"/>
    <mergeCell ref="J4:M4"/>
    <mergeCell ref="N4:O4"/>
    <mergeCell ref="P4:Q4"/>
    <mergeCell ref="R4:S4"/>
    <mergeCell ref="N1:O1"/>
    <mergeCell ref="P1:Q1"/>
    <mergeCell ref="R1:S1"/>
    <mergeCell ref="J2:M2"/>
    <mergeCell ref="N2:O2"/>
    <mergeCell ref="P2:Q2"/>
    <mergeCell ref="R2:S2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E727-11CD-4C53-858E-524B83257D85}">
  <sheetPr codeName="Sheet8"/>
  <dimension ref="A1:Q60"/>
  <sheetViews>
    <sheetView topLeftCell="A24" workbookViewId="0">
      <selection activeCell="E30" activeCellId="1" sqref="E24 E30"/>
    </sheetView>
  </sheetViews>
  <sheetFormatPr defaultColWidth="9" defaultRowHeight="15.6" x14ac:dyDescent="0.3"/>
  <cols>
    <col min="1" max="1" width="35.19921875" bestFit="1" customWidth="1"/>
    <col min="2" max="2" width="8.5" bestFit="1" customWidth="1"/>
    <col min="3" max="3" width="11.19921875" bestFit="1" customWidth="1"/>
    <col min="4" max="4" width="35.19921875" bestFit="1" customWidth="1"/>
    <col min="5" max="5" width="12.8984375" bestFit="1" customWidth="1"/>
    <col min="6" max="6" width="11.69921875" bestFit="1" customWidth="1"/>
    <col min="7" max="7" width="15.59765625" bestFit="1" customWidth="1"/>
    <col min="8" max="8" width="8.3984375" bestFit="1" customWidth="1"/>
    <col min="9" max="9" width="2.3984375" style="82" bestFit="1" customWidth="1"/>
    <col min="10" max="10" width="11.19921875" style="83" bestFit="1" customWidth="1"/>
    <col min="11" max="11" width="5.3984375" style="84" bestFit="1" customWidth="1"/>
    <col min="12" max="12" width="6.09765625" style="85" bestFit="1" customWidth="1"/>
    <col min="13" max="13" width="12.69921875" style="85" customWidth="1"/>
    <col min="14" max="15" width="9.3984375" style="85" bestFit="1" customWidth="1"/>
    <col min="16" max="16" width="11.19921875" style="85" bestFit="1" customWidth="1"/>
    <col min="17" max="17" width="13.09765625" style="85" bestFit="1" customWidth="1"/>
    <col min="18" max="16384" width="9" style="85"/>
  </cols>
  <sheetData>
    <row r="1" spans="1:17" ht="27" x14ac:dyDescent="0.3">
      <c r="A1" s="167" t="s">
        <v>75</v>
      </c>
      <c r="J1" s="156">
        <f>E11</f>
        <v>1500000000</v>
      </c>
      <c r="L1" s="92"/>
      <c r="M1" s="92" t="s">
        <v>383</v>
      </c>
      <c r="N1" s="92" t="s">
        <v>384</v>
      </c>
      <c r="O1" s="92" t="s">
        <v>385</v>
      </c>
      <c r="P1" s="92"/>
    </row>
    <row r="2" spans="1:17" ht="40.200000000000003" x14ac:dyDescent="0.3">
      <c r="A2" s="167" t="s">
        <v>74</v>
      </c>
      <c r="L2" s="93" t="s">
        <v>84</v>
      </c>
      <c r="M2" s="94">
        <f t="shared" ref="M2:O6" si="0">SUMIFS($F:$F,$K:$K,M$1,$J:$J,$L2,$I:$I,5)</f>
        <v>52389375828</v>
      </c>
      <c r="N2" s="94">
        <f t="shared" si="0"/>
        <v>0</v>
      </c>
      <c r="O2" s="94">
        <f t="shared" si="0"/>
        <v>0</v>
      </c>
      <c r="P2" s="92"/>
    </row>
    <row r="3" spans="1:17" ht="34.799999999999997" x14ac:dyDescent="0.3">
      <c r="A3" s="168" t="s">
        <v>73</v>
      </c>
      <c r="J3" s="163">
        <f>E33</f>
        <v>1500000000</v>
      </c>
      <c r="L3" s="93" t="s">
        <v>127</v>
      </c>
      <c r="M3" s="94">
        <f t="shared" si="0"/>
        <v>13283972</v>
      </c>
      <c r="N3" s="94">
        <f t="shared" si="0"/>
        <v>0</v>
      </c>
      <c r="O3" s="94">
        <f t="shared" si="0"/>
        <v>0</v>
      </c>
      <c r="P3" s="92"/>
    </row>
    <row r="4" spans="1:17" ht="27" x14ac:dyDescent="0.3">
      <c r="A4" s="169" t="s">
        <v>408</v>
      </c>
      <c r="L4" s="93" t="s">
        <v>1686</v>
      </c>
      <c r="M4" s="94">
        <f t="shared" si="0"/>
        <v>0</v>
      </c>
      <c r="N4" s="94">
        <f t="shared" si="0"/>
        <v>356080855</v>
      </c>
      <c r="O4" s="94">
        <f t="shared" si="0"/>
        <v>0</v>
      </c>
      <c r="P4" s="92"/>
      <c r="Q4" s="85" t="s">
        <v>386</v>
      </c>
    </row>
    <row r="5" spans="1:17" x14ac:dyDescent="0.3">
      <c r="A5" s="169" t="s">
        <v>72</v>
      </c>
      <c r="L5" s="93" t="s">
        <v>361</v>
      </c>
      <c r="M5" s="94">
        <f t="shared" si="0"/>
        <v>0</v>
      </c>
      <c r="N5" s="94">
        <f t="shared" si="0"/>
        <v>0</v>
      </c>
      <c r="O5" s="94">
        <f t="shared" si="0"/>
        <v>0</v>
      </c>
      <c r="P5" s="92"/>
      <c r="Q5" s="85" t="s">
        <v>387</v>
      </c>
    </row>
    <row r="6" spans="1:17" x14ac:dyDescent="0.3">
      <c r="A6" s="169" t="s">
        <v>941</v>
      </c>
      <c r="L6" s="93" t="s">
        <v>276</v>
      </c>
      <c r="M6" s="94">
        <f t="shared" si="0"/>
        <v>0</v>
      </c>
      <c r="N6" s="94">
        <f t="shared" si="0"/>
        <v>0</v>
      </c>
      <c r="O6" s="94">
        <f t="shared" si="0"/>
        <v>20285870</v>
      </c>
      <c r="P6" s="92"/>
      <c r="Q6" s="85" t="s">
        <v>388</v>
      </c>
    </row>
    <row r="7" spans="1:17" x14ac:dyDescent="0.3">
      <c r="A7" s="170"/>
      <c r="L7" s="92"/>
      <c r="M7" s="95">
        <f>SUM(M2:M6)</f>
        <v>52402659800</v>
      </c>
      <c r="N7" s="95">
        <f t="shared" ref="N7:P7" si="1">SUM(N2:N6)</f>
        <v>356080855</v>
      </c>
      <c r="O7" s="95">
        <f t="shared" si="1"/>
        <v>20285870</v>
      </c>
      <c r="P7" s="95">
        <f t="shared" si="1"/>
        <v>0</v>
      </c>
    </row>
    <row r="9" spans="1:17" ht="12" x14ac:dyDescent="0.25">
      <c r="A9" s="371" t="s">
        <v>71</v>
      </c>
      <c r="B9" s="372"/>
      <c r="C9" s="373"/>
      <c r="D9" s="366" t="s">
        <v>70</v>
      </c>
      <c r="E9" s="366" t="s">
        <v>358</v>
      </c>
      <c r="F9" s="366" t="s">
        <v>359</v>
      </c>
      <c r="G9" s="366" t="s">
        <v>69</v>
      </c>
      <c r="H9" s="366" t="s">
        <v>27</v>
      </c>
      <c r="I9" s="80"/>
    </row>
    <row r="10" spans="1:17" ht="12" x14ac:dyDescent="0.25">
      <c r="A10" s="171" t="s">
        <v>68</v>
      </c>
      <c r="B10" s="171" t="s">
        <v>33</v>
      </c>
      <c r="C10" s="171" t="s">
        <v>34</v>
      </c>
      <c r="D10" s="367"/>
      <c r="E10" s="367"/>
      <c r="F10" s="367"/>
      <c r="G10" s="367"/>
      <c r="H10" s="367"/>
      <c r="I10" s="80"/>
    </row>
    <row r="11" spans="1:17" x14ac:dyDescent="0.3">
      <c r="A11" s="368" t="s">
        <v>128</v>
      </c>
      <c r="B11" s="369"/>
      <c r="C11" s="370"/>
      <c r="D11" s="172" t="s">
        <v>66</v>
      </c>
      <c r="E11" s="173">
        <v>1500000000</v>
      </c>
      <c r="F11" s="174"/>
      <c r="G11" s="174"/>
      <c r="H11" s="174"/>
      <c r="I11" s="82">
        <f>LEN(A11)</f>
        <v>22</v>
      </c>
      <c r="K11" s="84" t="str">
        <f>IF(LEFT(A11,11)="Tài khoản: ",MID(A11,12,6),K10)</f>
        <v>333111</v>
      </c>
    </row>
    <row r="12" spans="1:17" ht="24.6" x14ac:dyDescent="0.3">
      <c r="A12" s="36">
        <v>46153</v>
      </c>
      <c r="B12" s="37" t="s">
        <v>942</v>
      </c>
      <c r="C12" s="38" t="s">
        <v>83</v>
      </c>
      <c r="D12" s="19" t="s">
        <v>921</v>
      </c>
      <c r="E12" s="174"/>
      <c r="F12" s="175">
        <v>25480346999</v>
      </c>
      <c r="G12" s="38" t="s">
        <v>99</v>
      </c>
      <c r="H12" s="38" t="s">
        <v>1592</v>
      </c>
      <c r="I12" s="82">
        <f t="shared" ref="I12:I46" si="2">LEN(A12)</f>
        <v>5</v>
      </c>
      <c r="J12" s="83" t="str">
        <f>LEFT(D12,6)</f>
        <v>DIEN01</v>
      </c>
      <c r="K12" s="84" t="str">
        <f t="shared" ref="K12:K46" si="3">IF(LEFT(A12,11)="Tài khoản: ",MID(A12,12,6),K11)</f>
        <v>333111</v>
      </c>
      <c r="M12" s="88"/>
    </row>
    <row r="13" spans="1:17" ht="24.6" x14ac:dyDescent="0.3">
      <c r="A13" s="36">
        <v>46153</v>
      </c>
      <c r="B13" s="37" t="s">
        <v>943</v>
      </c>
      <c r="C13" s="38" t="s">
        <v>83</v>
      </c>
      <c r="D13" s="19" t="s">
        <v>923</v>
      </c>
      <c r="E13" s="174"/>
      <c r="F13" s="175">
        <v>5042756</v>
      </c>
      <c r="G13" s="38" t="s">
        <v>99</v>
      </c>
      <c r="H13" s="38" t="s">
        <v>1592</v>
      </c>
      <c r="I13" s="82">
        <f t="shared" si="2"/>
        <v>5</v>
      </c>
      <c r="J13" s="83" t="str">
        <f t="shared" ref="J13:J46" si="4">LEFT(D13,6)</f>
        <v>CSPK02</v>
      </c>
      <c r="K13" s="84" t="str">
        <f t="shared" si="3"/>
        <v>333111</v>
      </c>
      <c r="L13" s="89"/>
      <c r="M13" s="90"/>
    </row>
    <row r="14" spans="1:17" ht="24.6" x14ac:dyDescent="0.3">
      <c r="A14" s="36">
        <v>46158</v>
      </c>
      <c r="B14" s="37" t="s">
        <v>944</v>
      </c>
      <c r="C14" s="38" t="s">
        <v>83</v>
      </c>
      <c r="D14" s="19" t="s">
        <v>924</v>
      </c>
      <c r="E14" s="174"/>
      <c r="F14" s="175">
        <v>1059943044</v>
      </c>
      <c r="G14" s="38" t="s">
        <v>99</v>
      </c>
      <c r="H14" s="38" t="s">
        <v>1592</v>
      </c>
      <c r="I14" s="82">
        <f t="shared" si="2"/>
        <v>5</v>
      </c>
      <c r="J14" s="83" t="str">
        <f t="shared" si="4"/>
        <v>DIEN01</v>
      </c>
      <c r="K14" s="84" t="str">
        <f t="shared" si="3"/>
        <v>333111</v>
      </c>
    </row>
    <row r="15" spans="1:17" ht="24.6" x14ac:dyDescent="0.3">
      <c r="A15" s="36">
        <v>46158</v>
      </c>
      <c r="B15" s="37" t="s">
        <v>945</v>
      </c>
      <c r="C15" s="38" t="s">
        <v>83</v>
      </c>
      <c r="D15" s="19" t="s">
        <v>915</v>
      </c>
      <c r="E15" s="174"/>
      <c r="F15" s="175">
        <v>2746651</v>
      </c>
      <c r="G15" s="38" t="s">
        <v>99</v>
      </c>
      <c r="H15" s="38" t="s">
        <v>1592</v>
      </c>
      <c r="I15" s="82">
        <f t="shared" si="2"/>
        <v>5</v>
      </c>
      <c r="J15" s="83" t="str">
        <f t="shared" si="4"/>
        <v>CSPK02</v>
      </c>
      <c r="K15" s="84" t="str">
        <f t="shared" si="3"/>
        <v>333111</v>
      </c>
    </row>
    <row r="16" spans="1:17" ht="24.6" x14ac:dyDescent="0.3">
      <c r="A16" s="36">
        <v>46163</v>
      </c>
      <c r="B16" s="37" t="s">
        <v>946</v>
      </c>
      <c r="C16" s="38" t="s">
        <v>15</v>
      </c>
      <c r="D16" s="19" t="s">
        <v>948</v>
      </c>
      <c r="E16" s="174"/>
      <c r="F16" s="175">
        <v>56147955041</v>
      </c>
      <c r="G16" s="38" t="s">
        <v>99</v>
      </c>
      <c r="H16" s="38" t="s">
        <v>882</v>
      </c>
      <c r="I16" s="82">
        <f t="shared" si="2"/>
        <v>5</v>
      </c>
      <c r="J16" s="83" t="str">
        <f t="shared" si="4"/>
        <v>Giải t</v>
      </c>
      <c r="K16" s="84" t="str">
        <f t="shared" si="3"/>
        <v>333111</v>
      </c>
    </row>
    <row r="17" spans="1:15" ht="24.6" x14ac:dyDescent="0.3">
      <c r="A17" s="36">
        <v>46163</v>
      </c>
      <c r="B17" s="37" t="s">
        <v>946</v>
      </c>
      <c r="C17" s="38" t="s">
        <v>15</v>
      </c>
      <c r="D17" s="19" t="s">
        <v>947</v>
      </c>
      <c r="E17" s="174"/>
      <c r="F17" s="175">
        <v>38034227</v>
      </c>
      <c r="G17" s="38" t="s">
        <v>99</v>
      </c>
      <c r="H17" s="38" t="s">
        <v>882</v>
      </c>
      <c r="I17" s="82">
        <f t="shared" si="2"/>
        <v>5</v>
      </c>
      <c r="J17" s="83" t="str">
        <f t="shared" si="4"/>
        <v>Giải t</v>
      </c>
      <c r="K17" s="84" t="str">
        <f t="shared" si="3"/>
        <v>333111</v>
      </c>
    </row>
    <row r="18" spans="1:15" ht="24.6" x14ac:dyDescent="0.3">
      <c r="A18" s="36">
        <v>46163</v>
      </c>
      <c r="B18" s="37" t="s">
        <v>949</v>
      </c>
      <c r="C18" s="38" t="s">
        <v>83</v>
      </c>
      <c r="D18" s="19" t="s">
        <v>917</v>
      </c>
      <c r="E18" s="174"/>
      <c r="F18" s="175">
        <v>25811181662</v>
      </c>
      <c r="G18" s="38" t="s">
        <v>99</v>
      </c>
      <c r="H18" s="38" t="s">
        <v>1592</v>
      </c>
      <c r="I18" s="82">
        <f t="shared" si="2"/>
        <v>5</v>
      </c>
      <c r="J18" s="83" t="str">
        <f t="shared" si="4"/>
        <v>DIEN01</v>
      </c>
      <c r="K18" s="84" t="str">
        <f t="shared" si="3"/>
        <v>333111</v>
      </c>
      <c r="L18" s="90"/>
      <c r="O18" s="90"/>
    </row>
    <row r="19" spans="1:15" ht="24.6" x14ac:dyDescent="0.3">
      <c r="A19" s="36">
        <v>46163</v>
      </c>
      <c r="B19" s="37" t="s">
        <v>950</v>
      </c>
      <c r="C19" s="38" t="s">
        <v>83</v>
      </c>
      <c r="D19" s="19" t="s">
        <v>918</v>
      </c>
      <c r="E19" s="174"/>
      <c r="F19" s="175">
        <v>5494565</v>
      </c>
      <c r="G19" s="38" t="s">
        <v>99</v>
      </c>
      <c r="H19" s="38" t="s">
        <v>1592</v>
      </c>
      <c r="I19" s="82">
        <f t="shared" si="2"/>
        <v>5</v>
      </c>
      <c r="J19" s="83" t="str">
        <f t="shared" si="4"/>
        <v>CSPK02</v>
      </c>
      <c r="K19" s="84" t="str">
        <f t="shared" si="3"/>
        <v>333111</v>
      </c>
      <c r="L19" s="90"/>
      <c r="O19" s="90"/>
    </row>
    <row r="20" spans="1:15" x14ac:dyDescent="0.3">
      <c r="A20" s="36">
        <v>46173</v>
      </c>
      <c r="B20" s="37" t="s">
        <v>951</v>
      </c>
      <c r="C20" s="38" t="s">
        <v>15</v>
      </c>
      <c r="D20" s="19" t="s">
        <v>952</v>
      </c>
      <c r="E20" s="300">
        <v>598313</v>
      </c>
      <c r="F20" s="174"/>
      <c r="G20" s="38" t="s">
        <v>16</v>
      </c>
      <c r="H20" s="38" t="s">
        <v>882</v>
      </c>
      <c r="I20" s="82">
        <f t="shared" si="2"/>
        <v>5</v>
      </c>
      <c r="J20" s="83" t="str">
        <f t="shared" si="4"/>
        <v>Kết ch</v>
      </c>
      <c r="K20" s="84" t="str">
        <f t="shared" si="3"/>
        <v>333111</v>
      </c>
      <c r="L20" s="90"/>
      <c r="O20" s="90"/>
    </row>
    <row r="21" spans="1:15" x14ac:dyDescent="0.3">
      <c r="A21" s="36">
        <v>46173</v>
      </c>
      <c r="B21" s="37" t="s">
        <v>953</v>
      </c>
      <c r="C21" s="38" t="s">
        <v>15</v>
      </c>
      <c r="D21" s="19" t="s">
        <v>954</v>
      </c>
      <c r="E21" s="300">
        <v>26248888</v>
      </c>
      <c r="F21" s="174"/>
      <c r="G21" s="38" t="s">
        <v>16</v>
      </c>
      <c r="H21" s="38" t="s">
        <v>882</v>
      </c>
      <c r="I21" s="82">
        <f t="shared" si="2"/>
        <v>5</v>
      </c>
      <c r="J21" s="83" t="str">
        <f t="shared" si="4"/>
        <v>Kết ch</v>
      </c>
      <c r="K21" s="84" t="str">
        <f t="shared" si="3"/>
        <v>333111</v>
      </c>
      <c r="L21" s="90"/>
      <c r="O21" s="90"/>
    </row>
    <row r="22" spans="1:15" x14ac:dyDescent="0.3">
      <c r="A22" s="36">
        <v>46173</v>
      </c>
      <c r="B22" s="37" t="s">
        <v>955</v>
      </c>
      <c r="C22" s="38" t="s">
        <v>15</v>
      </c>
      <c r="D22" s="19" t="s">
        <v>956</v>
      </c>
      <c r="E22" s="300">
        <v>122327822</v>
      </c>
      <c r="F22" s="174"/>
      <c r="G22" s="38" t="s">
        <v>299</v>
      </c>
      <c r="H22" s="38" t="s">
        <v>882</v>
      </c>
      <c r="I22" s="82">
        <f t="shared" si="2"/>
        <v>5</v>
      </c>
      <c r="J22" s="83" t="str">
        <f t="shared" si="4"/>
        <v>Kết ch</v>
      </c>
      <c r="K22" s="84" t="str">
        <f t="shared" si="3"/>
        <v>333111</v>
      </c>
      <c r="L22" s="90"/>
      <c r="O22" s="90"/>
    </row>
    <row r="23" spans="1:15" x14ac:dyDescent="0.3">
      <c r="A23" s="36">
        <v>46173</v>
      </c>
      <c r="B23" s="37" t="s">
        <v>1593</v>
      </c>
      <c r="C23" s="38" t="s">
        <v>15</v>
      </c>
      <c r="D23" s="19" t="s">
        <v>1594</v>
      </c>
      <c r="E23" s="285"/>
      <c r="F23" s="175">
        <v>376366725</v>
      </c>
      <c r="G23" s="38" t="s">
        <v>366</v>
      </c>
      <c r="H23" s="38" t="s">
        <v>882</v>
      </c>
      <c r="I23" s="82">
        <f t="shared" si="2"/>
        <v>5</v>
      </c>
      <c r="J23" s="83" t="str">
        <f t="shared" si="4"/>
        <v>Kết ch</v>
      </c>
      <c r="K23" s="84" t="str">
        <f t="shared" si="3"/>
        <v>333111</v>
      </c>
      <c r="L23" s="90"/>
      <c r="O23" s="90"/>
    </row>
    <row r="24" spans="1:15" x14ac:dyDescent="0.3">
      <c r="A24" s="36">
        <v>46173</v>
      </c>
      <c r="B24" s="37" t="s">
        <v>1595</v>
      </c>
      <c r="C24" s="38" t="s">
        <v>15</v>
      </c>
      <c r="D24" s="19" t="s">
        <v>1596</v>
      </c>
      <c r="E24" s="300">
        <v>108965015793</v>
      </c>
      <c r="F24" s="174"/>
      <c r="G24" s="38" t="s">
        <v>366</v>
      </c>
      <c r="H24" s="38" t="s">
        <v>882</v>
      </c>
      <c r="I24" s="82">
        <f t="shared" si="2"/>
        <v>5</v>
      </c>
      <c r="J24" s="83" t="str">
        <f t="shared" si="4"/>
        <v>Kết ch</v>
      </c>
      <c r="K24" s="84" t="str">
        <f t="shared" si="3"/>
        <v>333111</v>
      </c>
      <c r="L24" s="90"/>
      <c r="O24" s="90"/>
    </row>
    <row r="25" spans="1:15" ht="24.6" x14ac:dyDescent="0.3">
      <c r="A25" s="36">
        <v>46173</v>
      </c>
      <c r="B25" s="37" t="s">
        <v>957</v>
      </c>
      <c r="C25" s="38" t="s">
        <v>83</v>
      </c>
      <c r="D25" s="19" t="s">
        <v>929</v>
      </c>
      <c r="E25" s="285"/>
      <c r="F25" s="175">
        <v>-18396522</v>
      </c>
      <c r="G25" s="38" t="s">
        <v>99</v>
      </c>
      <c r="H25" s="38" t="s">
        <v>1592</v>
      </c>
      <c r="I25" s="82">
        <f t="shared" si="2"/>
        <v>5</v>
      </c>
      <c r="J25" s="83" t="str">
        <f t="shared" si="4"/>
        <v>DIEN01</v>
      </c>
      <c r="K25" s="84" t="str">
        <f t="shared" si="3"/>
        <v>333111</v>
      </c>
      <c r="L25" s="90"/>
      <c r="O25" s="90"/>
    </row>
    <row r="26" spans="1:15" ht="24.6" x14ac:dyDescent="0.3">
      <c r="A26" s="36">
        <v>46173</v>
      </c>
      <c r="B26" s="37" t="s">
        <v>958</v>
      </c>
      <c r="C26" s="38" t="s">
        <v>83</v>
      </c>
      <c r="D26" s="19" t="s">
        <v>930</v>
      </c>
      <c r="E26" s="285"/>
      <c r="F26" s="175">
        <v>36720327</v>
      </c>
      <c r="G26" s="38" t="s">
        <v>99</v>
      </c>
      <c r="H26" s="38" t="s">
        <v>1592</v>
      </c>
      <c r="I26" s="82">
        <f t="shared" si="2"/>
        <v>5</v>
      </c>
      <c r="J26" s="83" t="str">
        <f t="shared" si="4"/>
        <v>DIEN01</v>
      </c>
      <c r="K26" s="84" t="str">
        <f t="shared" si="3"/>
        <v>333111</v>
      </c>
      <c r="L26" s="90"/>
      <c r="O26" s="90"/>
    </row>
    <row r="27" spans="1:15" ht="24.6" x14ac:dyDescent="0.3">
      <c r="A27" s="36">
        <v>46173</v>
      </c>
      <c r="B27" s="37" t="s">
        <v>959</v>
      </c>
      <c r="C27" s="38" t="s">
        <v>83</v>
      </c>
      <c r="D27" s="19" t="s">
        <v>931</v>
      </c>
      <c r="E27" s="285"/>
      <c r="F27" s="175">
        <v>22579627</v>
      </c>
      <c r="G27" s="38" t="s">
        <v>99</v>
      </c>
      <c r="H27" s="38" t="s">
        <v>1592</v>
      </c>
      <c r="I27" s="82">
        <f t="shared" ref="I27:I32" si="5">LEN(A27)</f>
        <v>5</v>
      </c>
      <c r="J27" s="83" t="str">
        <f t="shared" ref="J27:J32" si="6">LEFT(D27,6)</f>
        <v>DIEN01</v>
      </c>
      <c r="K27" s="84" t="str">
        <f t="shared" ref="K27:K32" si="7">IF(LEFT(A27,11)="Tài khoản: ",MID(A27,12,6),K26)</f>
        <v>333111</v>
      </c>
      <c r="L27" s="90"/>
      <c r="O27" s="90"/>
    </row>
    <row r="28" spans="1:15" x14ac:dyDescent="0.3">
      <c r="A28" s="36">
        <v>46173</v>
      </c>
      <c r="B28" s="37" t="s">
        <v>1683</v>
      </c>
      <c r="C28" s="38" t="s">
        <v>15</v>
      </c>
      <c r="D28" s="19" t="s">
        <v>1684</v>
      </c>
      <c r="E28" s="300">
        <v>218813875</v>
      </c>
      <c r="F28" s="174"/>
      <c r="G28" s="38" t="s">
        <v>299</v>
      </c>
      <c r="H28" s="38" t="s">
        <v>882</v>
      </c>
      <c r="I28" s="82">
        <f t="shared" si="5"/>
        <v>5</v>
      </c>
      <c r="J28" s="83" t="str">
        <f t="shared" si="6"/>
        <v>Kết ch</v>
      </c>
      <c r="K28" s="84" t="str">
        <f t="shared" si="7"/>
        <v>333111</v>
      </c>
      <c r="L28" s="90"/>
      <c r="M28" s="88"/>
      <c r="O28" s="90"/>
    </row>
    <row r="29" spans="1:15" x14ac:dyDescent="0.3">
      <c r="A29" s="36">
        <v>46173</v>
      </c>
      <c r="B29" s="37" t="s">
        <v>1677</v>
      </c>
      <c r="C29" s="38" t="s">
        <v>15</v>
      </c>
      <c r="D29" s="19" t="s">
        <v>1678</v>
      </c>
      <c r="E29" s="300">
        <v>1417502240</v>
      </c>
      <c r="F29" s="174"/>
      <c r="G29" s="38" t="s">
        <v>366</v>
      </c>
      <c r="H29" s="38" t="s">
        <v>1679</v>
      </c>
      <c r="I29" s="82">
        <f t="shared" si="5"/>
        <v>5</v>
      </c>
      <c r="J29" s="83" t="str">
        <f t="shared" si="6"/>
        <v>K/C Th</v>
      </c>
      <c r="K29" s="84" t="str">
        <f t="shared" si="7"/>
        <v>333111</v>
      </c>
      <c r="L29" s="90"/>
      <c r="O29" s="90"/>
    </row>
    <row r="30" spans="1:15" ht="24.6" x14ac:dyDescent="0.3">
      <c r="A30" s="36">
        <v>46173</v>
      </c>
      <c r="B30" s="37" t="s">
        <v>1687</v>
      </c>
      <c r="C30" s="38" t="s">
        <v>15</v>
      </c>
      <c r="D30" s="19" t="s">
        <v>1688</v>
      </c>
      <c r="E30" s="300">
        <v>-1785491138</v>
      </c>
      <c r="F30" s="174"/>
      <c r="G30" s="38" t="s">
        <v>366</v>
      </c>
      <c r="H30" s="38" t="s">
        <v>1679</v>
      </c>
      <c r="I30" s="82">
        <f t="shared" si="5"/>
        <v>5</v>
      </c>
      <c r="J30" s="83" t="str">
        <f t="shared" si="6"/>
        <v>Đ/c Kế</v>
      </c>
      <c r="K30" s="84" t="str">
        <f t="shared" si="7"/>
        <v>333111</v>
      </c>
      <c r="L30" s="90"/>
      <c r="O30" s="90"/>
    </row>
    <row r="31" spans="1:15" ht="24.6" x14ac:dyDescent="0.3">
      <c r="A31" s="36">
        <v>46173</v>
      </c>
      <c r="B31" s="37" t="s">
        <v>960</v>
      </c>
      <c r="C31" s="38" t="s">
        <v>83</v>
      </c>
      <c r="D31" s="19" t="s">
        <v>932</v>
      </c>
      <c r="E31" s="285"/>
      <c r="F31" s="175">
        <v>-2999309</v>
      </c>
      <c r="G31" s="38" t="s">
        <v>99</v>
      </c>
      <c r="H31" s="38" t="s">
        <v>1592</v>
      </c>
      <c r="I31" s="82">
        <f t="shared" si="5"/>
        <v>5</v>
      </c>
      <c r="J31" s="83" t="str">
        <f t="shared" si="6"/>
        <v>DIEN01</v>
      </c>
      <c r="K31" s="84" t="str">
        <f t="shared" si="7"/>
        <v>333111</v>
      </c>
      <c r="L31" s="90"/>
      <c r="O31" s="90"/>
    </row>
    <row r="32" spans="1:15" x14ac:dyDescent="0.3">
      <c r="A32" s="174"/>
      <c r="B32" s="174"/>
      <c r="C32" s="174"/>
      <c r="D32" s="172" t="s">
        <v>65</v>
      </c>
      <c r="E32" s="173">
        <v>108965015793</v>
      </c>
      <c r="F32" s="173">
        <v>108965015793</v>
      </c>
      <c r="G32" s="174"/>
      <c r="H32" s="174"/>
      <c r="I32" s="82">
        <f t="shared" si="5"/>
        <v>0</v>
      </c>
      <c r="J32" s="83" t="str">
        <f t="shared" si="6"/>
        <v>Cộng p</v>
      </c>
      <c r="K32" s="84" t="str">
        <f t="shared" si="7"/>
        <v>333111</v>
      </c>
      <c r="L32" s="90"/>
      <c r="O32" s="90"/>
    </row>
    <row r="33" spans="1:15" x14ac:dyDescent="0.3">
      <c r="A33" s="174"/>
      <c r="B33" s="174"/>
      <c r="C33" s="174"/>
      <c r="D33" s="172" t="s">
        <v>64</v>
      </c>
      <c r="E33" s="173">
        <v>1500000000</v>
      </c>
      <c r="F33" s="174"/>
      <c r="G33" s="174"/>
      <c r="H33" s="174"/>
      <c r="I33" s="82">
        <f t="shared" si="2"/>
        <v>0</v>
      </c>
      <c r="J33" s="83" t="str">
        <f t="shared" si="4"/>
        <v>Dư cuố</v>
      </c>
      <c r="K33" s="84" t="str">
        <f>IF(LEFT(A33,11)="Tài khoản: ",MID(A33,12,6),K32)</f>
        <v>333111</v>
      </c>
      <c r="L33" s="90"/>
      <c r="O33" s="90"/>
    </row>
    <row r="34" spans="1:15" x14ac:dyDescent="0.3">
      <c r="A34" s="368" t="s">
        <v>243</v>
      </c>
      <c r="B34" s="369"/>
      <c r="C34" s="370"/>
      <c r="D34" s="172" t="s">
        <v>66</v>
      </c>
      <c r="E34" s="174"/>
      <c r="F34" s="174"/>
      <c r="G34" s="174"/>
      <c r="H34" s="174"/>
      <c r="I34" s="82">
        <f t="shared" si="2"/>
        <v>22</v>
      </c>
      <c r="J34" s="83" t="str">
        <f t="shared" si="4"/>
        <v>Dư đầu</v>
      </c>
      <c r="K34" s="84" t="str">
        <f t="shared" si="3"/>
        <v>333113</v>
      </c>
      <c r="L34" s="90"/>
      <c r="O34" s="90"/>
    </row>
    <row r="35" spans="1:15" ht="24.6" x14ac:dyDescent="0.3">
      <c r="A35" s="36">
        <v>46160</v>
      </c>
      <c r="B35" s="37" t="s">
        <v>961</v>
      </c>
      <c r="C35" s="38" t="s">
        <v>83</v>
      </c>
      <c r="D35" s="19" t="s">
        <v>934</v>
      </c>
      <c r="E35" s="174"/>
      <c r="F35" s="175">
        <v>143434480</v>
      </c>
      <c r="G35" s="38" t="s">
        <v>196</v>
      </c>
      <c r="H35" s="38" t="s">
        <v>1592</v>
      </c>
      <c r="I35" s="82">
        <f t="shared" si="2"/>
        <v>5</v>
      </c>
      <c r="J35" s="83" t="str">
        <f t="shared" si="4"/>
        <v>1388ĐĐ</v>
      </c>
      <c r="K35" s="84" t="str">
        <f t="shared" si="3"/>
        <v>333113</v>
      </c>
      <c r="L35" s="90"/>
      <c r="O35" s="90"/>
    </row>
    <row r="36" spans="1:15" ht="24.6" x14ac:dyDescent="0.3">
      <c r="A36" s="36">
        <v>46161</v>
      </c>
      <c r="B36" s="37" t="s">
        <v>962</v>
      </c>
      <c r="C36" s="38" t="s">
        <v>83</v>
      </c>
      <c r="D36" s="19" t="s">
        <v>935</v>
      </c>
      <c r="E36" s="174"/>
      <c r="F36" s="175">
        <v>210487600</v>
      </c>
      <c r="G36" s="38" t="s">
        <v>196</v>
      </c>
      <c r="H36" s="38" t="s">
        <v>1592</v>
      </c>
      <c r="I36" s="82">
        <f t="shared" si="2"/>
        <v>5</v>
      </c>
      <c r="J36" s="83" t="str">
        <f t="shared" si="4"/>
        <v>1388ĐĐ</v>
      </c>
      <c r="K36" s="84" t="str">
        <f t="shared" si="3"/>
        <v>333113</v>
      </c>
      <c r="L36" s="90"/>
      <c r="O36" s="90"/>
    </row>
    <row r="37" spans="1:15" ht="24.6" x14ac:dyDescent="0.3">
      <c r="A37" s="36">
        <v>46164</v>
      </c>
      <c r="B37" s="37" t="s">
        <v>963</v>
      </c>
      <c r="C37" s="38" t="s">
        <v>83</v>
      </c>
      <c r="D37" s="19" t="s">
        <v>937</v>
      </c>
      <c r="E37" s="174"/>
      <c r="F37" s="175">
        <v>2158775</v>
      </c>
      <c r="G37" s="38" t="s">
        <v>196</v>
      </c>
      <c r="H37" s="38" t="s">
        <v>1592</v>
      </c>
      <c r="I37" s="82">
        <f t="shared" si="2"/>
        <v>5</v>
      </c>
      <c r="J37" s="83" t="str">
        <f t="shared" si="4"/>
        <v>1388ĐĐ</v>
      </c>
      <c r="K37" s="84" t="str">
        <f t="shared" si="3"/>
        <v>333113</v>
      </c>
      <c r="L37" s="90"/>
      <c r="O37" s="90"/>
    </row>
    <row r="38" spans="1:15" x14ac:dyDescent="0.3">
      <c r="A38" s="36">
        <v>46173</v>
      </c>
      <c r="B38" s="37" t="s">
        <v>1593</v>
      </c>
      <c r="C38" s="38" t="s">
        <v>15</v>
      </c>
      <c r="D38" s="19" t="s">
        <v>1594</v>
      </c>
      <c r="E38" s="174"/>
      <c r="F38" s="175">
        <v>-356080855</v>
      </c>
      <c r="G38" s="38" t="s">
        <v>366</v>
      </c>
      <c r="H38" s="38" t="s">
        <v>882</v>
      </c>
      <c r="I38" s="82">
        <f t="shared" si="2"/>
        <v>5</v>
      </c>
      <c r="J38" s="83" t="str">
        <f t="shared" si="4"/>
        <v>Kết ch</v>
      </c>
      <c r="K38" s="84" t="str">
        <f t="shared" si="3"/>
        <v>333113</v>
      </c>
      <c r="L38" s="90"/>
      <c r="O38" s="90"/>
    </row>
    <row r="39" spans="1:15" s="91" customFormat="1" x14ac:dyDescent="0.3">
      <c r="A39" s="174"/>
      <c r="B39" s="174"/>
      <c r="C39" s="174"/>
      <c r="D39" s="172" t="s">
        <v>65</v>
      </c>
      <c r="E39" s="174"/>
      <c r="F39" s="278">
        <v>0</v>
      </c>
      <c r="G39" s="174"/>
      <c r="H39" s="174"/>
      <c r="I39" s="82">
        <f t="shared" si="2"/>
        <v>0</v>
      </c>
      <c r="J39" s="83" t="str">
        <f t="shared" si="4"/>
        <v>Cộng p</v>
      </c>
      <c r="K39" s="84" t="str">
        <f t="shared" si="3"/>
        <v>333113</v>
      </c>
      <c r="L39" s="90"/>
      <c r="M39" s="88"/>
      <c r="N39" s="85"/>
      <c r="O39" s="90"/>
    </row>
    <row r="40" spans="1:15" s="91" customFormat="1" x14ac:dyDescent="0.3">
      <c r="A40" s="174"/>
      <c r="B40" s="174"/>
      <c r="C40" s="174"/>
      <c r="D40" s="172" t="s">
        <v>64</v>
      </c>
      <c r="E40" s="174"/>
      <c r="F40" s="174"/>
      <c r="G40" s="174"/>
      <c r="H40" s="174"/>
      <c r="I40" s="82">
        <f t="shared" si="2"/>
        <v>0</v>
      </c>
      <c r="J40" s="83" t="str">
        <f t="shared" si="4"/>
        <v>Dư cuố</v>
      </c>
      <c r="K40" s="84" t="str">
        <f t="shared" si="3"/>
        <v>333113</v>
      </c>
      <c r="L40" s="90"/>
      <c r="M40" s="85"/>
      <c r="N40" s="85"/>
      <c r="O40" s="90"/>
    </row>
    <row r="41" spans="1:15" s="91" customFormat="1" x14ac:dyDescent="0.3">
      <c r="A41" s="368" t="s">
        <v>264</v>
      </c>
      <c r="B41" s="369"/>
      <c r="C41" s="370"/>
      <c r="D41" s="172" t="s">
        <v>66</v>
      </c>
      <c r="E41" s="174"/>
      <c r="F41" s="174"/>
      <c r="G41" s="174"/>
      <c r="H41" s="174"/>
      <c r="I41" s="82">
        <f t="shared" si="2"/>
        <v>22</v>
      </c>
      <c r="J41" s="83" t="str">
        <f t="shared" si="4"/>
        <v>Dư đầu</v>
      </c>
      <c r="K41" s="84" t="str">
        <f t="shared" si="3"/>
        <v>333114</v>
      </c>
      <c r="L41" s="90"/>
      <c r="M41" s="85"/>
      <c r="N41" s="85"/>
      <c r="O41" s="90"/>
    </row>
    <row r="42" spans="1:15" ht="24.6" x14ac:dyDescent="0.3">
      <c r="A42" s="36">
        <v>46168</v>
      </c>
      <c r="B42" s="37" t="s">
        <v>964</v>
      </c>
      <c r="C42" s="38" t="s">
        <v>83</v>
      </c>
      <c r="D42" s="19" t="s">
        <v>912</v>
      </c>
      <c r="E42" s="174"/>
      <c r="F42" s="175">
        <v>4586922</v>
      </c>
      <c r="G42" s="38" t="s">
        <v>196</v>
      </c>
      <c r="H42" s="38" t="s">
        <v>1592</v>
      </c>
      <c r="I42" s="82">
        <f t="shared" si="2"/>
        <v>5</v>
      </c>
      <c r="J42" s="83" t="str">
        <f t="shared" si="4"/>
        <v>4500TT</v>
      </c>
      <c r="K42" s="84" t="str">
        <f t="shared" si="3"/>
        <v>333114</v>
      </c>
      <c r="L42" s="90"/>
      <c r="O42" s="90"/>
    </row>
    <row r="43" spans="1:15" ht="36.6" x14ac:dyDescent="0.3">
      <c r="A43" s="36">
        <v>46168</v>
      </c>
      <c r="B43" s="37" t="s">
        <v>965</v>
      </c>
      <c r="C43" s="38" t="s">
        <v>83</v>
      </c>
      <c r="D43" s="19" t="s">
        <v>928</v>
      </c>
      <c r="E43" s="174"/>
      <c r="F43" s="175">
        <v>3675206</v>
      </c>
      <c r="G43" s="38" t="s">
        <v>196</v>
      </c>
      <c r="H43" s="38" t="s">
        <v>1592</v>
      </c>
      <c r="I43" s="82">
        <f t="shared" si="2"/>
        <v>5</v>
      </c>
      <c r="J43" s="83" t="str">
        <f t="shared" si="4"/>
        <v>4500TT</v>
      </c>
      <c r="K43" s="84" t="str">
        <f t="shared" si="3"/>
        <v>333114</v>
      </c>
      <c r="L43" s="90"/>
      <c r="O43" s="90"/>
    </row>
    <row r="44" spans="1:15" s="91" customFormat="1" ht="24.6" x14ac:dyDescent="0.3">
      <c r="A44" s="36">
        <v>46168</v>
      </c>
      <c r="B44" s="37" t="s">
        <v>966</v>
      </c>
      <c r="C44" s="38" t="s">
        <v>83</v>
      </c>
      <c r="D44" s="19" t="s">
        <v>920</v>
      </c>
      <c r="E44" s="174"/>
      <c r="F44" s="175">
        <v>12023742</v>
      </c>
      <c r="G44" s="38" t="s">
        <v>196</v>
      </c>
      <c r="H44" s="38" t="s">
        <v>1592</v>
      </c>
      <c r="I44" s="82">
        <f t="shared" si="2"/>
        <v>5</v>
      </c>
      <c r="J44" s="83" t="str">
        <f t="shared" si="4"/>
        <v>4500TT</v>
      </c>
      <c r="K44" s="84" t="str">
        <f t="shared" si="3"/>
        <v>333114</v>
      </c>
      <c r="L44" s="90"/>
      <c r="M44" s="85"/>
      <c r="N44" s="85"/>
      <c r="O44" s="90"/>
    </row>
    <row r="45" spans="1:15" s="91" customFormat="1" x14ac:dyDescent="0.3">
      <c r="A45" s="36">
        <v>46173</v>
      </c>
      <c r="B45" s="37" t="s">
        <v>1593</v>
      </c>
      <c r="C45" s="38" t="s">
        <v>15</v>
      </c>
      <c r="D45" s="19" t="s">
        <v>1594</v>
      </c>
      <c r="E45" s="174"/>
      <c r="F45" s="175">
        <v>-20285870</v>
      </c>
      <c r="G45" s="38" t="s">
        <v>366</v>
      </c>
      <c r="H45" s="38" t="s">
        <v>882</v>
      </c>
      <c r="I45" s="82">
        <f t="shared" si="2"/>
        <v>5</v>
      </c>
      <c r="J45" s="83" t="str">
        <f t="shared" si="4"/>
        <v>Kết ch</v>
      </c>
      <c r="K45" s="84" t="str">
        <f t="shared" si="3"/>
        <v>333114</v>
      </c>
      <c r="L45" s="90"/>
      <c r="M45" s="85"/>
      <c r="N45" s="85"/>
      <c r="O45" s="90"/>
    </row>
    <row r="46" spans="1:15" x14ac:dyDescent="0.3">
      <c r="A46" s="174"/>
      <c r="B46" s="174"/>
      <c r="C46" s="174"/>
      <c r="D46" s="172" t="s">
        <v>65</v>
      </c>
      <c r="E46" s="174"/>
      <c r="F46" s="278">
        <v>0</v>
      </c>
      <c r="G46" s="174"/>
      <c r="H46" s="174"/>
      <c r="I46" s="82">
        <f t="shared" si="2"/>
        <v>0</v>
      </c>
      <c r="J46" s="83" t="str">
        <f t="shared" si="4"/>
        <v>Cộng p</v>
      </c>
      <c r="K46" s="84" t="str">
        <f t="shared" si="3"/>
        <v>333114</v>
      </c>
      <c r="L46" s="90"/>
      <c r="O46" s="90"/>
    </row>
    <row r="47" spans="1:15" x14ac:dyDescent="0.3">
      <c r="A47" s="174"/>
      <c r="B47" s="174"/>
      <c r="C47" s="174"/>
      <c r="D47" s="172" t="s">
        <v>64</v>
      </c>
      <c r="E47" s="174"/>
      <c r="F47" s="174"/>
      <c r="G47" s="174"/>
      <c r="H47" s="174"/>
      <c r="L47" s="90"/>
      <c r="O47" s="90"/>
    </row>
    <row r="48" spans="1:15" x14ac:dyDescent="0.3">
      <c r="A48" s="368" t="s">
        <v>967</v>
      </c>
      <c r="B48" s="369"/>
      <c r="C48" s="370"/>
      <c r="D48" s="172" t="s">
        <v>66</v>
      </c>
      <c r="E48" s="174"/>
      <c r="F48" s="174"/>
      <c r="G48" s="174"/>
      <c r="H48" s="174"/>
      <c r="L48" s="90"/>
      <c r="O48" s="90"/>
    </row>
    <row r="49" spans="1:15" x14ac:dyDescent="0.3">
      <c r="A49" s="36">
        <v>46173</v>
      </c>
      <c r="B49" s="37" t="s">
        <v>968</v>
      </c>
      <c r="C49" s="38" t="s">
        <v>15</v>
      </c>
      <c r="D49" s="19" t="s">
        <v>969</v>
      </c>
      <c r="E49" s="175">
        <v>218813875</v>
      </c>
      <c r="F49" s="174"/>
      <c r="G49" s="38" t="s">
        <v>299</v>
      </c>
      <c r="H49" s="38" t="s">
        <v>882</v>
      </c>
      <c r="L49" s="90"/>
      <c r="O49" s="90"/>
    </row>
    <row r="50" spans="1:15" x14ac:dyDescent="0.3">
      <c r="A50" s="36">
        <v>46173</v>
      </c>
      <c r="B50" s="37" t="s">
        <v>1683</v>
      </c>
      <c r="C50" s="38" t="s">
        <v>15</v>
      </c>
      <c r="D50" s="19" t="s">
        <v>1685</v>
      </c>
      <c r="E50" s="175">
        <v>-218813875</v>
      </c>
      <c r="F50" s="174"/>
      <c r="G50" s="38" t="s">
        <v>299</v>
      </c>
      <c r="H50" s="38" t="s">
        <v>882</v>
      </c>
    </row>
    <row r="51" spans="1:15" x14ac:dyDescent="0.3">
      <c r="A51" s="174"/>
      <c r="B51" s="174"/>
      <c r="C51" s="174"/>
      <c r="D51" s="172" t="s">
        <v>65</v>
      </c>
      <c r="E51" s="278">
        <v>0</v>
      </c>
      <c r="F51" s="174"/>
      <c r="G51" s="174"/>
      <c r="H51" s="174"/>
    </row>
    <row r="52" spans="1:15" x14ac:dyDescent="0.3">
      <c r="A52" s="174"/>
      <c r="B52" s="174"/>
      <c r="C52" s="174"/>
      <c r="D52" s="172" t="s">
        <v>64</v>
      </c>
      <c r="E52" s="174"/>
      <c r="F52" s="174"/>
      <c r="G52" s="174"/>
      <c r="H52" s="174"/>
    </row>
    <row r="53" spans="1:15" x14ac:dyDescent="0.3">
      <c r="A53" s="174"/>
      <c r="B53" s="174"/>
      <c r="C53" s="174"/>
      <c r="D53" s="172" t="s">
        <v>63</v>
      </c>
      <c r="E53" s="173">
        <v>1500000000</v>
      </c>
      <c r="F53" s="174"/>
      <c r="G53" s="174"/>
      <c r="H53" s="174"/>
    </row>
    <row r="54" spans="1:15" x14ac:dyDescent="0.3">
      <c r="A54" s="174"/>
      <c r="B54" s="174"/>
      <c r="C54" s="174"/>
      <c r="D54" s="172" t="s">
        <v>62</v>
      </c>
      <c r="E54" s="173">
        <v>108965015793</v>
      </c>
      <c r="F54" s="173">
        <v>108965015793</v>
      </c>
      <c r="G54" s="174"/>
      <c r="H54" s="174"/>
    </row>
    <row r="55" spans="1:15" x14ac:dyDescent="0.3">
      <c r="A55" s="174"/>
      <c r="B55" s="174"/>
      <c r="C55" s="174"/>
      <c r="D55" s="172" t="s">
        <v>61</v>
      </c>
      <c r="E55" s="173">
        <v>1500000000</v>
      </c>
      <c r="F55" s="174"/>
      <c r="G55" s="174"/>
      <c r="H55" s="174"/>
    </row>
    <row r="57" spans="1:15" x14ac:dyDescent="0.3">
      <c r="A57" s="364" t="s">
        <v>185</v>
      </c>
      <c r="B57" s="365"/>
      <c r="C57" s="365"/>
      <c r="D57" s="365"/>
      <c r="E57" s="365"/>
      <c r="F57" s="365"/>
      <c r="G57" s="365"/>
      <c r="H57" s="365"/>
    </row>
    <row r="58" spans="1:15" x14ac:dyDescent="0.3">
      <c r="A58" s="170"/>
    </row>
    <row r="60" spans="1:15" x14ac:dyDescent="0.3">
      <c r="A60" s="59" t="s">
        <v>1689</v>
      </c>
    </row>
  </sheetData>
  <mergeCells count="11">
    <mergeCell ref="A57:H57"/>
    <mergeCell ref="F9:F10"/>
    <mergeCell ref="G9:G10"/>
    <mergeCell ref="H9:H10"/>
    <mergeCell ref="A11:C11"/>
    <mergeCell ref="A9:C9"/>
    <mergeCell ref="D9:D10"/>
    <mergeCell ref="E9:E10"/>
    <mergeCell ref="A34:C34"/>
    <mergeCell ref="A41:C41"/>
    <mergeCell ref="A48:C48"/>
  </mergeCells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567E-6A47-4C59-B081-4B8ED0630006}">
  <sheetPr codeName="Sheet9"/>
  <dimension ref="A1:O124"/>
  <sheetViews>
    <sheetView zoomScale="90" zoomScaleNormal="90" workbookViewId="0">
      <selection activeCell="H25" sqref="H25:H26"/>
    </sheetView>
  </sheetViews>
  <sheetFormatPr defaultColWidth="9" defaultRowHeight="15.6" x14ac:dyDescent="0.3"/>
  <cols>
    <col min="1" max="1" width="13.296875" bestFit="1" customWidth="1"/>
    <col min="2" max="2" width="7.09765625" bestFit="1" customWidth="1"/>
    <col min="3" max="3" width="16.19921875" bestFit="1" customWidth="1"/>
    <col min="4" max="4" width="10.59765625" bestFit="1" customWidth="1"/>
    <col min="5" max="5" width="35.19921875" bestFit="1" customWidth="1"/>
    <col min="6" max="6" width="13.5" bestFit="1" customWidth="1"/>
    <col min="7" max="7" width="13.3984375" bestFit="1" customWidth="1"/>
    <col min="8" max="8" width="15.59765625" bestFit="1" customWidth="1"/>
    <col min="9" max="9" width="9.5" bestFit="1" customWidth="1"/>
    <col min="10" max="10" width="12" style="110" customWidth="1"/>
    <col min="11" max="11" width="13.3984375" style="111" customWidth="1"/>
    <col min="12" max="12" width="9" style="112"/>
    <col min="13" max="14" width="13.3984375" style="112" bestFit="1" customWidth="1"/>
    <col min="15" max="16384" width="9" style="112"/>
  </cols>
  <sheetData>
    <row r="1" spans="1:15" ht="15.75" customHeight="1" x14ac:dyDescent="0.3">
      <c r="A1" s="398" t="s">
        <v>75</v>
      </c>
      <c r="B1" s="365"/>
      <c r="C1" s="365"/>
      <c r="D1" s="365"/>
      <c r="E1" s="365"/>
      <c r="F1" s="365"/>
      <c r="G1" s="365"/>
      <c r="H1" s="365"/>
      <c r="I1" s="365"/>
      <c r="L1" s="113"/>
      <c r="M1" s="113" t="s">
        <v>380</v>
      </c>
      <c r="N1" s="113" t="s">
        <v>381</v>
      </c>
    </row>
    <row r="2" spans="1:15" ht="15.75" customHeight="1" x14ac:dyDescent="0.3">
      <c r="A2" s="398" t="s">
        <v>74</v>
      </c>
      <c r="B2" s="365"/>
      <c r="C2" s="365"/>
      <c r="D2" s="365"/>
      <c r="E2" s="365"/>
      <c r="F2" s="365"/>
      <c r="G2" s="365"/>
      <c r="H2" s="365"/>
      <c r="I2" s="365"/>
      <c r="L2" s="113" t="s">
        <v>84</v>
      </c>
      <c r="M2" s="114">
        <f>SUMIF($J:$J,$L2,F:F)</f>
        <v>0</v>
      </c>
      <c r="N2" s="114">
        <f>SUMIF($J:$J,$L2,G:G)</f>
        <v>61251406929</v>
      </c>
      <c r="O2" s="98"/>
    </row>
    <row r="3" spans="1:15" ht="18.75" customHeight="1" x14ac:dyDescent="0.3">
      <c r="A3" s="399" t="s">
        <v>163</v>
      </c>
      <c r="B3" s="365"/>
      <c r="C3" s="365"/>
      <c r="D3" s="365"/>
      <c r="E3" s="365"/>
      <c r="F3" s="365"/>
      <c r="G3" s="365"/>
      <c r="H3" s="365"/>
      <c r="I3" s="365"/>
      <c r="L3" s="113" t="s">
        <v>127</v>
      </c>
      <c r="M3" s="114">
        <f>SUMIF($J:$J,$L3,F:F)</f>
        <v>0</v>
      </c>
      <c r="N3" s="114">
        <f>SUMIF($J:$J,$L3,G:G)</f>
        <v>47724956</v>
      </c>
      <c r="O3" s="98"/>
    </row>
    <row r="4" spans="1:15" ht="15.75" customHeight="1" x14ac:dyDescent="0.3">
      <c r="A4" s="400" t="s">
        <v>204</v>
      </c>
      <c r="B4" s="365"/>
      <c r="C4" s="365"/>
      <c r="D4" s="365"/>
      <c r="E4" s="365"/>
      <c r="F4" s="365"/>
      <c r="G4" s="365"/>
      <c r="H4" s="365"/>
      <c r="I4" s="365"/>
      <c r="L4" s="113"/>
      <c r="M4" s="115">
        <f>SUM(M2:M3)</f>
        <v>0</v>
      </c>
      <c r="N4" s="116">
        <f>SUM(N2:N3)</f>
        <v>61299131885</v>
      </c>
      <c r="O4" s="98"/>
    </row>
    <row r="5" spans="1:15" x14ac:dyDescent="0.3">
      <c r="A5" s="400" t="s">
        <v>162</v>
      </c>
      <c r="B5" s="365"/>
      <c r="C5" s="365"/>
      <c r="D5" s="365"/>
      <c r="E5" s="365"/>
      <c r="F5" s="365"/>
      <c r="G5" s="365"/>
      <c r="H5" s="365"/>
      <c r="I5" s="365"/>
      <c r="M5" s="98"/>
      <c r="N5" s="98"/>
      <c r="O5" s="98"/>
    </row>
    <row r="6" spans="1:15" ht="15.75" customHeight="1" x14ac:dyDescent="0.3">
      <c r="A6" s="400" t="s">
        <v>906</v>
      </c>
      <c r="B6" s="365"/>
      <c r="C6" s="365"/>
      <c r="D6" s="365"/>
      <c r="E6" s="365"/>
      <c r="F6" s="365"/>
      <c r="G6" s="365"/>
      <c r="H6" s="365"/>
      <c r="I6" s="365"/>
    </row>
    <row r="7" spans="1:15" ht="16.2" customHeight="1" x14ac:dyDescent="0.25">
      <c r="A7" s="395" t="s">
        <v>161</v>
      </c>
      <c r="B7" s="401" t="s">
        <v>154</v>
      </c>
      <c r="C7" s="402"/>
      <c r="D7" s="403"/>
      <c r="E7" s="395" t="s">
        <v>160</v>
      </c>
      <c r="F7" s="395" t="s">
        <v>362</v>
      </c>
      <c r="G7" s="395" t="s">
        <v>363</v>
      </c>
      <c r="H7" s="177" t="s">
        <v>159</v>
      </c>
      <c r="I7" s="395" t="s">
        <v>158</v>
      </c>
    </row>
    <row r="8" spans="1:15" ht="15.9" customHeight="1" x14ac:dyDescent="0.25">
      <c r="A8" s="396"/>
      <c r="B8" s="395" t="s">
        <v>157</v>
      </c>
      <c r="C8" s="395" t="s">
        <v>156</v>
      </c>
      <c r="D8" s="178" t="s">
        <v>155</v>
      </c>
      <c r="E8" s="396"/>
      <c r="F8" s="396"/>
      <c r="G8" s="396"/>
      <c r="H8" s="179" t="s">
        <v>154</v>
      </c>
      <c r="I8" s="396"/>
    </row>
    <row r="9" spans="1:15" ht="15.9" customHeight="1" x14ac:dyDescent="0.3">
      <c r="A9" s="397"/>
      <c r="B9" s="397"/>
      <c r="C9" s="397"/>
      <c r="D9" s="180" t="s">
        <v>153</v>
      </c>
      <c r="E9" s="397"/>
      <c r="F9" s="397"/>
      <c r="G9" s="397"/>
      <c r="H9" s="181"/>
      <c r="I9" s="397"/>
      <c r="K9" s="117" t="s">
        <v>99</v>
      </c>
    </row>
    <row r="10" spans="1:15" ht="13.95" customHeight="1" x14ac:dyDescent="0.25">
      <c r="A10" s="388" t="s">
        <v>205</v>
      </c>
      <c r="B10" s="389"/>
      <c r="C10" s="389"/>
      <c r="D10" s="389"/>
      <c r="E10" s="389"/>
      <c r="F10" s="389"/>
      <c r="G10" s="389"/>
      <c r="H10" s="389"/>
      <c r="I10" s="390"/>
    </row>
    <row r="11" spans="1:15" ht="13.95" customHeight="1" x14ac:dyDescent="0.3">
      <c r="A11" s="358"/>
      <c r="B11" s="391"/>
      <c r="C11" s="391"/>
      <c r="D11" s="391"/>
      <c r="E11" s="182" t="s">
        <v>152</v>
      </c>
      <c r="F11" s="183"/>
      <c r="G11" s="184">
        <v>56185989268</v>
      </c>
      <c r="H11" s="185"/>
      <c r="I11" s="185"/>
    </row>
    <row r="12" spans="1:15" ht="13.95" customHeight="1" x14ac:dyDescent="0.3">
      <c r="A12" s="392" t="s">
        <v>151</v>
      </c>
      <c r="B12" s="393"/>
      <c r="C12" s="393"/>
      <c r="D12" s="393"/>
      <c r="E12" s="394"/>
      <c r="F12" s="183"/>
      <c r="G12" s="184">
        <v>56185989268</v>
      </c>
      <c r="H12" s="185"/>
      <c r="I12" s="185"/>
    </row>
    <row r="13" spans="1:15" ht="13.95" customHeight="1" x14ac:dyDescent="0.3">
      <c r="A13" s="392" t="s">
        <v>150</v>
      </c>
      <c r="B13" s="393"/>
      <c r="C13" s="393"/>
      <c r="D13" s="393"/>
      <c r="E13" s="394"/>
      <c r="F13" s="183"/>
      <c r="G13" s="184">
        <v>56185989268</v>
      </c>
      <c r="H13" s="185"/>
      <c r="I13" s="185"/>
    </row>
    <row r="14" spans="1:15" ht="13.95" customHeight="1" x14ac:dyDescent="0.3">
      <c r="A14" s="392" t="s">
        <v>149</v>
      </c>
      <c r="B14" s="393"/>
      <c r="C14" s="393"/>
      <c r="D14" s="393"/>
      <c r="E14" s="394"/>
      <c r="F14" s="183"/>
      <c r="G14" s="184">
        <v>56185989268</v>
      </c>
      <c r="H14" s="185"/>
      <c r="I14" s="185"/>
    </row>
    <row r="15" spans="1:15" ht="15" customHeight="1" x14ac:dyDescent="0.25">
      <c r="A15" s="377" t="s">
        <v>231</v>
      </c>
      <c r="B15" s="386">
        <v>46163</v>
      </c>
      <c r="C15" s="377"/>
      <c r="D15" s="377">
        <v>1356</v>
      </c>
      <c r="E15" s="186" t="s">
        <v>207</v>
      </c>
      <c r="F15" s="384">
        <v>38034227</v>
      </c>
      <c r="G15" s="382"/>
      <c r="H15" s="377" t="s">
        <v>99</v>
      </c>
      <c r="I15" s="377" t="s">
        <v>413</v>
      </c>
      <c r="J15" s="110" t="str">
        <f>LEFT(E16,6)</f>
        <v>Giải t</v>
      </c>
      <c r="K15" s="111">
        <f>IF(H15=$K$9,G15,0)</f>
        <v>0</v>
      </c>
    </row>
    <row r="16" spans="1:15" ht="15" customHeight="1" x14ac:dyDescent="0.25">
      <c r="A16" s="378"/>
      <c r="B16" s="387"/>
      <c r="C16" s="378"/>
      <c r="D16" s="378"/>
      <c r="E16" s="187" t="s">
        <v>947</v>
      </c>
      <c r="F16" s="385"/>
      <c r="G16" s="383"/>
      <c r="H16" s="378"/>
      <c r="I16" s="378"/>
      <c r="J16" s="110" t="str">
        <f t="shared" ref="J16:J26" si="0">LEFT(E17,6)</f>
        <v>082900</v>
      </c>
      <c r="K16" s="111">
        <f t="shared" ref="K16:K26" si="1">IF(H16=$K$9,G16,0)</f>
        <v>0</v>
      </c>
    </row>
    <row r="17" spans="1:11" ht="15" customHeight="1" x14ac:dyDescent="0.25">
      <c r="A17" s="377" t="s">
        <v>231</v>
      </c>
      <c r="B17" s="386">
        <v>46163</v>
      </c>
      <c r="C17" s="377"/>
      <c r="D17" s="377">
        <v>1356</v>
      </c>
      <c r="E17" s="186" t="s">
        <v>207</v>
      </c>
      <c r="F17" s="382"/>
      <c r="G17" s="382"/>
      <c r="H17" s="377" t="s">
        <v>99</v>
      </c>
      <c r="I17" s="377" t="s">
        <v>413</v>
      </c>
      <c r="J17" s="110" t="str">
        <f t="shared" si="0"/>
        <v>Giải t</v>
      </c>
      <c r="K17" s="111">
        <f t="shared" si="1"/>
        <v>0</v>
      </c>
    </row>
    <row r="18" spans="1:11" ht="15" customHeight="1" x14ac:dyDescent="0.25">
      <c r="A18" s="378"/>
      <c r="B18" s="387"/>
      <c r="C18" s="378"/>
      <c r="D18" s="378"/>
      <c r="E18" s="187" t="s">
        <v>970</v>
      </c>
      <c r="F18" s="383"/>
      <c r="G18" s="383"/>
      <c r="H18" s="378"/>
      <c r="I18" s="378"/>
      <c r="J18" s="110" t="str">
        <f t="shared" si="0"/>
        <v>082900</v>
      </c>
      <c r="K18" s="111">
        <f t="shared" si="1"/>
        <v>0</v>
      </c>
    </row>
    <row r="19" spans="1:11" ht="15" customHeight="1" x14ac:dyDescent="0.25">
      <c r="A19" s="377" t="s">
        <v>231</v>
      </c>
      <c r="B19" s="386">
        <v>46163</v>
      </c>
      <c r="C19" s="377"/>
      <c r="D19" s="377">
        <v>1356</v>
      </c>
      <c r="E19" s="186" t="s">
        <v>207</v>
      </c>
      <c r="F19" s="384">
        <v>56147955041</v>
      </c>
      <c r="G19" s="382"/>
      <c r="H19" s="377" t="s">
        <v>99</v>
      </c>
      <c r="I19" s="377" t="s">
        <v>413</v>
      </c>
      <c r="J19" s="110" t="str">
        <f t="shared" si="0"/>
        <v>Giải t</v>
      </c>
      <c r="K19" s="111">
        <f t="shared" si="1"/>
        <v>0</v>
      </c>
    </row>
    <row r="20" spans="1:11" ht="15" customHeight="1" x14ac:dyDescent="0.25">
      <c r="A20" s="378"/>
      <c r="B20" s="387"/>
      <c r="C20" s="378"/>
      <c r="D20" s="378"/>
      <c r="E20" s="187" t="s">
        <v>948</v>
      </c>
      <c r="F20" s="385"/>
      <c r="G20" s="383"/>
      <c r="H20" s="378"/>
      <c r="I20" s="378"/>
      <c r="J20" s="110" t="str">
        <f t="shared" si="0"/>
        <v>082900</v>
      </c>
      <c r="K20" s="111">
        <f t="shared" si="1"/>
        <v>0</v>
      </c>
    </row>
    <row r="21" spans="1:11" ht="15" customHeight="1" x14ac:dyDescent="0.25">
      <c r="A21" s="377" t="s">
        <v>206</v>
      </c>
      <c r="B21" s="386">
        <v>46173</v>
      </c>
      <c r="C21" s="377">
        <v>1647</v>
      </c>
      <c r="D21" s="377"/>
      <c r="E21" s="186" t="s">
        <v>207</v>
      </c>
      <c r="F21" s="382"/>
      <c r="G21" s="384">
        <v>61251406929</v>
      </c>
      <c r="H21" s="377" t="s">
        <v>99</v>
      </c>
      <c r="I21" s="377" t="s">
        <v>414</v>
      </c>
      <c r="J21" s="110" t="str">
        <f t="shared" si="0"/>
        <v>DIEN01</v>
      </c>
      <c r="K21" s="111">
        <f t="shared" si="1"/>
        <v>61251406929</v>
      </c>
    </row>
    <row r="22" spans="1:11" ht="45.75" customHeight="1" x14ac:dyDescent="0.25">
      <c r="A22" s="378"/>
      <c r="B22" s="387"/>
      <c r="C22" s="378"/>
      <c r="D22" s="378"/>
      <c r="E22" s="187" t="s">
        <v>925</v>
      </c>
      <c r="F22" s="383"/>
      <c r="G22" s="385"/>
      <c r="H22" s="378"/>
      <c r="I22" s="378"/>
      <c r="J22" s="110" t="str">
        <f t="shared" si="0"/>
        <v>082900</v>
      </c>
      <c r="K22" s="111">
        <f t="shared" si="1"/>
        <v>0</v>
      </c>
    </row>
    <row r="23" spans="1:11" ht="15" customHeight="1" x14ac:dyDescent="0.25">
      <c r="A23" s="377" t="s">
        <v>206</v>
      </c>
      <c r="B23" s="386">
        <v>46173</v>
      </c>
      <c r="C23" s="377">
        <v>1648</v>
      </c>
      <c r="D23" s="377"/>
      <c r="E23" s="186" t="s">
        <v>207</v>
      </c>
      <c r="F23" s="382"/>
      <c r="G23" s="382"/>
      <c r="H23" s="377" t="s">
        <v>99</v>
      </c>
      <c r="I23" s="377" t="s">
        <v>414</v>
      </c>
      <c r="J23" s="110" t="str">
        <f t="shared" si="0"/>
        <v>DIEN00</v>
      </c>
      <c r="K23" s="111">
        <f t="shared" si="1"/>
        <v>0</v>
      </c>
    </row>
    <row r="24" spans="1:11" ht="15" customHeight="1" x14ac:dyDescent="0.25">
      <c r="A24" s="378"/>
      <c r="B24" s="387"/>
      <c r="C24" s="378"/>
      <c r="D24" s="378"/>
      <c r="E24" s="187" t="s">
        <v>926</v>
      </c>
      <c r="F24" s="383"/>
      <c r="G24" s="383"/>
      <c r="H24" s="378"/>
      <c r="I24" s="378"/>
      <c r="J24" s="110" t="str">
        <f t="shared" si="0"/>
        <v>082900</v>
      </c>
      <c r="K24" s="111">
        <f t="shared" si="1"/>
        <v>0</v>
      </c>
    </row>
    <row r="25" spans="1:11" ht="15" customHeight="1" x14ac:dyDescent="0.25">
      <c r="A25" s="377" t="s">
        <v>206</v>
      </c>
      <c r="B25" s="386">
        <v>46173</v>
      </c>
      <c r="C25" s="377">
        <v>1649</v>
      </c>
      <c r="D25" s="377"/>
      <c r="E25" s="186" t="s">
        <v>207</v>
      </c>
      <c r="F25" s="382"/>
      <c r="G25" s="384">
        <v>47724956</v>
      </c>
      <c r="H25" s="377" t="s">
        <v>99</v>
      </c>
      <c r="I25" s="377" t="s">
        <v>414</v>
      </c>
      <c r="J25" s="110" t="str">
        <f t="shared" si="0"/>
        <v>CSPK02</v>
      </c>
      <c r="K25" s="111">
        <f t="shared" si="1"/>
        <v>47724956</v>
      </c>
    </row>
    <row r="26" spans="1:11" ht="47.25" customHeight="1" x14ac:dyDescent="0.25">
      <c r="A26" s="378"/>
      <c r="B26" s="387"/>
      <c r="C26" s="378"/>
      <c r="D26" s="378"/>
      <c r="E26" s="187" t="s">
        <v>927</v>
      </c>
      <c r="F26" s="383"/>
      <c r="G26" s="385"/>
      <c r="H26" s="378"/>
      <c r="I26" s="378"/>
      <c r="J26" s="110" t="str">
        <f t="shared" si="0"/>
        <v/>
      </c>
      <c r="K26" s="111">
        <f t="shared" si="1"/>
        <v>0</v>
      </c>
    </row>
    <row r="27" spans="1:11" ht="15" customHeight="1" x14ac:dyDescent="0.3">
      <c r="A27" s="255"/>
      <c r="B27" s="379" t="s">
        <v>148</v>
      </c>
      <c r="C27" s="380"/>
      <c r="D27" s="380"/>
      <c r="E27" s="381"/>
      <c r="F27" s="184">
        <v>56185989268</v>
      </c>
      <c r="G27" s="184">
        <v>61299131885</v>
      </c>
      <c r="H27" s="183"/>
      <c r="I27" s="185"/>
      <c r="J27" s="110" t="str">
        <f t="shared" ref="J27:J79" si="2">LEFT(E28,6)</f>
        <v/>
      </c>
      <c r="K27" s="111">
        <f t="shared" ref="K27:K79" si="3">IF(H27=$K$9,G27,0)</f>
        <v>0</v>
      </c>
    </row>
    <row r="28" spans="1:11" ht="15" customHeight="1" x14ac:dyDescent="0.3">
      <c r="A28" s="174"/>
      <c r="B28" s="374" t="s">
        <v>145</v>
      </c>
      <c r="C28" s="375"/>
      <c r="D28" s="375"/>
      <c r="E28" s="376"/>
      <c r="F28" s="183"/>
      <c r="G28" s="184">
        <v>61299131885</v>
      </c>
      <c r="H28" s="185"/>
      <c r="I28" s="185"/>
      <c r="J28" s="110" t="str">
        <f t="shared" si="2"/>
        <v/>
      </c>
      <c r="K28" s="111">
        <f t="shared" si="3"/>
        <v>0</v>
      </c>
    </row>
    <row r="29" spans="1:11" ht="15" customHeight="1" x14ac:dyDescent="0.3">
      <c r="A29" s="174"/>
      <c r="B29" s="374" t="s">
        <v>147</v>
      </c>
      <c r="C29" s="375"/>
      <c r="D29" s="375"/>
      <c r="E29" s="376"/>
      <c r="F29" s="184">
        <v>56185989268</v>
      </c>
      <c r="G29" s="184">
        <v>61299131885</v>
      </c>
      <c r="H29" s="185"/>
      <c r="I29" s="185"/>
      <c r="J29" s="110" t="str">
        <f t="shared" si="2"/>
        <v/>
      </c>
      <c r="K29" s="111">
        <f t="shared" si="3"/>
        <v>0</v>
      </c>
    </row>
    <row r="30" spans="1:11" ht="15" customHeight="1" x14ac:dyDescent="0.3">
      <c r="A30" s="174"/>
      <c r="B30" s="374" t="s">
        <v>418</v>
      </c>
      <c r="C30" s="375"/>
      <c r="D30" s="375"/>
      <c r="E30" s="376"/>
      <c r="F30" s="183"/>
      <c r="G30" s="184">
        <v>61299131885</v>
      </c>
      <c r="H30" s="185"/>
      <c r="I30" s="185"/>
      <c r="J30" s="110" t="str">
        <f t="shared" si="2"/>
        <v/>
      </c>
      <c r="K30" s="111">
        <f t="shared" si="3"/>
        <v>0</v>
      </c>
    </row>
    <row r="31" spans="1:11" ht="15" customHeight="1" x14ac:dyDescent="0.3">
      <c r="A31" s="174"/>
      <c r="B31" s="374" t="s">
        <v>146</v>
      </c>
      <c r="C31" s="375"/>
      <c r="D31" s="375"/>
      <c r="E31" s="376"/>
      <c r="F31" s="184">
        <v>56185989268</v>
      </c>
      <c r="G31" s="184">
        <v>61299131885</v>
      </c>
      <c r="H31" s="185"/>
      <c r="I31" s="185"/>
      <c r="J31" s="110" t="str">
        <f t="shared" si="2"/>
        <v/>
      </c>
      <c r="K31" s="111">
        <f t="shared" si="3"/>
        <v>0</v>
      </c>
    </row>
    <row r="32" spans="1:11" ht="15" customHeight="1" x14ac:dyDescent="0.3">
      <c r="A32" s="174"/>
      <c r="B32" s="374" t="s">
        <v>145</v>
      </c>
      <c r="C32" s="375"/>
      <c r="D32" s="375"/>
      <c r="E32" s="376"/>
      <c r="F32" s="183"/>
      <c r="G32" s="184">
        <v>61299131885</v>
      </c>
      <c r="H32" s="185"/>
      <c r="I32" s="185"/>
      <c r="J32" s="110" t="str">
        <f t="shared" si="2"/>
        <v/>
      </c>
      <c r="K32" s="111">
        <f t="shared" si="3"/>
        <v>0</v>
      </c>
    </row>
    <row r="33" spans="1:11" ht="15" customHeight="1" x14ac:dyDescent="0.3">
      <c r="A33" s="174"/>
      <c r="B33" s="374" t="s">
        <v>419</v>
      </c>
      <c r="C33" s="375"/>
      <c r="D33" s="375"/>
      <c r="E33" s="376"/>
      <c r="F33" s="184">
        <v>56185989268</v>
      </c>
      <c r="G33" s="184">
        <v>61299131885</v>
      </c>
      <c r="H33" s="185"/>
      <c r="I33" s="185"/>
      <c r="J33" s="110" t="str">
        <f t="shared" si="2"/>
        <v/>
      </c>
      <c r="K33" s="111">
        <f t="shared" si="3"/>
        <v>0</v>
      </c>
    </row>
    <row r="34" spans="1:11" ht="15" customHeight="1" x14ac:dyDescent="0.3">
      <c r="A34" s="174"/>
      <c r="B34" s="374" t="s">
        <v>420</v>
      </c>
      <c r="C34" s="375"/>
      <c r="D34" s="375"/>
      <c r="E34" s="376"/>
      <c r="F34" s="183"/>
      <c r="G34" s="184">
        <v>61299131885</v>
      </c>
      <c r="H34" s="185"/>
      <c r="I34" s="185"/>
      <c r="J34" s="110" t="str">
        <f t="shared" si="2"/>
        <v/>
      </c>
      <c r="K34" s="111">
        <f t="shared" si="3"/>
        <v>0</v>
      </c>
    </row>
    <row r="35" spans="1:11" ht="15" customHeight="1" x14ac:dyDescent="0.3">
      <c r="A35" s="174"/>
      <c r="B35" s="374" t="s">
        <v>421</v>
      </c>
      <c r="C35" s="375"/>
      <c r="D35" s="375"/>
      <c r="E35" s="376"/>
      <c r="F35" s="183"/>
      <c r="G35" s="184">
        <v>56185989268</v>
      </c>
      <c r="H35" s="185"/>
      <c r="I35" s="185"/>
      <c r="J35" s="110" t="str">
        <f t="shared" si="2"/>
        <v/>
      </c>
      <c r="K35" s="111">
        <f t="shared" si="3"/>
        <v>0</v>
      </c>
    </row>
    <row r="36" spans="1:11" ht="15" customHeight="1" x14ac:dyDescent="0.3">
      <c r="A36" s="174"/>
      <c r="B36" s="374" t="s">
        <v>144</v>
      </c>
      <c r="C36" s="375"/>
      <c r="D36" s="375"/>
      <c r="E36" s="376"/>
      <c r="F36" s="184">
        <v>56185989268</v>
      </c>
      <c r="G36" s="184">
        <v>61299131885</v>
      </c>
      <c r="H36" s="185"/>
      <c r="I36" s="185"/>
      <c r="J36" s="110" t="str">
        <f t="shared" si="2"/>
        <v/>
      </c>
      <c r="K36" s="111">
        <f t="shared" si="3"/>
        <v>0</v>
      </c>
    </row>
    <row r="37" spans="1:11" ht="16.2" customHeight="1" x14ac:dyDescent="0.3">
      <c r="A37" s="174"/>
      <c r="B37" s="374" t="s">
        <v>143</v>
      </c>
      <c r="C37" s="375"/>
      <c r="D37" s="375"/>
      <c r="E37" s="376"/>
      <c r="F37" s="183"/>
      <c r="G37" s="184">
        <v>61299131885</v>
      </c>
      <c r="H37" s="185"/>
      <c r="I37" s="185"/>
      <c r="J37" s="110" t="str">
        <f t="shared" si="2"/>
        <v/>
      </c>
      <c r="K37" s="111">
        <f t="shared" si="3"/>
        <v>0</v>
      </c>
    </row>
    <row r="38" spans="1:11" ht="18.899999999999999" customHeight="1" x14ac:dyDescent="0.3">
      <c r="A38" s="188"/>
      <c r="B38" s="170"/>
      <c r="C38" s="189" t="s">
        <v>142</v>
      </c>
      <c r="D38" s="189" t="s">
        <v>141</v>
      </c>
      <c r="E38" s="188"/>
      <c r="J38" s="110" t="str">
        <f t="shared" si="2"/>
        <v/>
      </c>
      <c r="K38" s="111">
        <f t="shared" si="3"/>
        <v>0</v>
      </c>
    </row>
    <row r="39" spans="1:11" ht="16.2" customHeight="1" x14ac:dyDescent="0.3">
      <c r="A39" s="188"/>
      <c r="B39" s="170"/>
      <c r="C39" s="190" t="s">
        <v>140</v>
      </c>
      <c r="D39" s="190" t="s">
        <v>140</v>
      </c>
      <c r="E39" s="188"/>
      <c r="J39" s="110" t="str">
        <f t="shared" si="2"/>
        <v/>
      </c>
      <c r="K39" s="111">
        <f t="shared" si="3"/>
        <v>0</v>
      </c>
    </row>
    <row r="40" spans="1:11" ht="16.2" customHeight="1" x14ac:dyDescent="0.3">
      <c r="A40" s="188"/>
      <c r="B40" s="170"/>
      <c r="C40" s="170"/>
      <c r="D40" s="170"/>
      <c r="E40" s="188"/>
      <c r="J40" s="110" t="str">
        <f t="shared" si="2"/>
        <v/>
      </c>
      <c r="K40" s="111">
        <f t="shared" si="3"/>
        <v>0</v>
      </c>
    </row>
    <row r="41" spans="1:11" ht="16.2" customHeight="1" x14ac:dyDescent="0.3">
      <c r="A41" s="188"/>
      <c r="B41" s="170"/>
      <c r="C41" s="170"/>
      <c r="D41" s="170"/>
      <c r="E41" s="188"/>
      <c r="J41" s="110" t="str">
        <f t="shared" si="2"/>
        <v/>
      </c>
      <c r="K41" s="111">
        <f t="shared" si="3"/>
        <v>0</v>
      </c>
    </row>
    <row r="42" spans="1:11" ht="16.2" customHeight="1" x14ac:dyDescent="0.3">
      <c r="A42" s="188"/>
      <c r="B42" s="170"/>
      <c r="C42" s="170"/>
      <c r="D42" s="170"/>
      <c r="E42" s="188"/>
      <c r="J42" s="110" t="str">
        <f t="shared" si="2"/>
        <v/>
      </c>
      <c r="K42" s="111">
        <f t="shared" si="3"/>
        <v>0</v>
      </c>
    </row>
    <row r="43" spans="1:11" ht="13.95" customHeight="1" x14ac:dyDescent="0.3">
      <c r="A43" s="188"/>
      <c r="B43" s="170"/>
      <c r="C43" s="170"/>
      <c r="D43" s="170"/>
      <c r="E43" s="188"/>
      <c r="J43" s="110" t="str">
        <f t="shared" si="2"/>
        <v/>
      </c>
      <c r="K43" s="111">
        <f t="shared" si="3"/>
        <v>0</v>
      </c>
    </row>
    <row r="44" spans="1:11" ht="13.95" customHeight="1" x14ac:dyDescent="0.3">
      <c r="A44" s="188"/>
      <c r="B44" s="170"/>
      <c r="C44" s="170"/>
      <c r="D44" s="170"/>
      <c r="E44" s="188"/>
      <c r="J44" s="110" t="str">
        <f t="shared" si="2"/>
        <v/>
      </c>
      <c r="K44" s="111">
        <f t="shared" si="3"/>
        <v>0</v>
      </c>
    </row>
    <row r="45" spans="1:11" ht="13.95" customHeight="1" x14ac:dyDescent="0.3">
      <c r="J45" s="110" t="str">
        <f t="shared" si="2"/>
        <v/>
      </c>
      <c r="K45" s="111">
        <f t="shared" si="3"/>
        <v>0</v>
      </c>
    </row>
    <row r="46" spans="1:11" ht="15" customHeight="1" x14ac:dyDescent="0.3">
      <c r="J46" s="110" t="str">
        <f t="shared" si="2"/>
        <v/>
      </c>
      <c r="K46" s="111">
        <f t="shared" si="3"/>
        <v>0</v>
      </c>
    </row>
    <row r="47" spans="1:11" ht="15" customHeight="1" x14ac:dyDescent="0.3">
      <c r="J47" s="110" t="str">
        <f t="shared" si="2"/>
        <v/>
      </c>
      <c r="K47" s="111">
        <f t="shared" si="3"/>
        <v>0</v>
      </c>
    </row>
    <row r="48" spans="1:11" ht="15" customHeight="1" x14ac:dyDescent="0.3">
      <c r="J48" s="110" t="str">
        <f t="shared" si="2"/>
        <v/>
      </c>
      <c r="K48" s="111">
        <f t="shared" si="3"/>
        <v>0</v>
      </c>
    </row>
    <row r="49" spans="10:11" ht="15" customHeight="1" x14ac:dyDescent="0.3">
      <c r="J49" s="110" t="str">
        <f t="shared" si="2"/>
        <v/>
      </c>
      <c r="K49" s="111">
        <f t="shared" si="3"/>
        <v>0</v>
      </c>
    </row>
    <row r="50" spans="10:11" ht="15" customHeight="1" x14ac:dyDescent="0.3">
      <c r="J50" s="110" t="str">
        <f t="shared" si="2"/>
        <v/>
      </c>
      <c r="K50" s="111">
        <f t="shared" si="3"/>
        <v>0</v>
      </c>
    </row>
    <row r="51" spans="10:11" ht="15" customHeight="1" x14ac:dyDescent="0.3">
      <c r="J51" s="110" t="str">
        <f t="shared" si="2"/>
        <v/>
      </c>
      <c r="K51" s="111">
        <f t="shared" si="3"/>
        <v>0</v>
      </c>
    </row>
    <row r="52" spans="10:11" ht="16.2" customHeight="1" x14ac:dyDescent="0.3">
      <c r="J52" s="110" t="str">
        <f t="shared" si="2"/>
        <v/>
      </c>
      <c r="K52" s="111">
        <f t="shared" si="3"/>
        <v>0</v>
      </c>
    </row>
    <row r="53" spans="10:11" ht="18.899999999999999" customHeight="1" x14ac:dyDescent="0.3">
      <c r="J53" s="110" t="str">
        <f t="shared" si="2"/>
        <v/>
      </c>
      <c r="K53" s="111">
        <f t="shared" si="3"/>
        <v>0</v>
      </c>
    </row>
    <row r="54" spans="10:11" ht="16.2" customHeight="1" x14ac:dyDescent="0.3">
      <c r="J54" s="110" t="str">
        <f t="shared" si="2"/>
        <v/>
      </c>
      <c r="K54" s="111">
        <f t="shared" si="3"/>
        <v>0</v>
      </c>
    </row>
    <row r="55" spans="10:11" ht="16.2" customHeight="1" x14ac:dyDescent="0.3">
      <c r="J55" s="110" t="str">
        <f t="shared" si="2"/>
        <v/>
      </c>
      <c r="K55" s="111">
        <f t="shared" si="3"/>
        <v>0</v>
      </c>
    </row>
    <row r="56" spans="10:11" ht="16.2" customHeight="1" x14ac:dyDescent="0.3">
      <c r="J56" s="110" t="str">
        <f t="shared" si="2"/>
        <v/>
      </c>
      <c r="K56" s="111">
        <f t="shared" si="3"/>
        <v>0</v>
      </c>
    </row>
    <row r="57" spans="10:11" ht="16.2" customHeight="1" x14ac:dyDescent="0.3">
      <c r="J57" s="110" t="str">
        <f t="shared" si="2"/>
        <v/>
      </c>
      <c r="K57" s="111">
        <f t="shared" si="3"/>
        <v>0</v>
      </c>
    </row>
    <row r="58" spans="10:11" ht="13.95" customHeight="1" x14ac:dyDescent="0.3">
      <c r="J58" s="110" t="str">
        <f t="shared" si="2"/>
        <v/>
      </c>
      <c r="K58" s="111">
        <f t="shared" si="3"/>
        <v>0</v>
      </c>
    </row>
    <row r="59" spans="10:11" ht="13.95" customHeight="1" x14ac:dyDescent="0.3">
      <c r="J59" s="110" t="str">
        <f t="shared" si="2"/>
        <v/>
      </c>
      <c r="K59" s="111">
        <f t="shared" si="3"/>
        <v>0</v>
      </c>
    </row>
    <row r="60" spans="10:11" ht="13.95" customHeight="1" x14ac:dyDescent="0.3">
      <c r="J60" s="110" t="str">
        <f t="shared" si="2"/>
        <v/>
      </c>
      <c r="K60" s="111">
        <f t="shared" si="3"/>
        <v>0</v>
      </c>
    </row>
    <row r="61" spans="10:11" ht="15" customHeight="1" x14ac:dyDescent="0.3">
      <c r="J61" s="110" t="str">
        <f t="shared" si="2"/>
        <v/>
      </c>
      <c r="K61" s="111">
        <f t="shared" si="3"/>
        <v>0</v>
      </c>
    </row>
    <row r="62" spans="10:11" ht="15" customHeight="1" x14ac:dyDescent="0.3">
      <c r="J62" s="110" t="str">
        <f t="shared" si="2"/>
        <v/>
      </c>
      <c r="K62" s="111">
        <f t="shared" si="3"/>
        <v>0</v>
      </c>
    </row>
    <row r="63" spans="10:11" ht="15" customHeight="1" x14ac:dyDescent="0.3">
      <c r="J63" s="110" t="str">
        <f t="shared" si="2"/>
        <v/>
      </c>
      <c r="K63" s="111">
        <f t="shared" si="3"/>
        <v>0</v>
      </c>
    </row>
    <row r="64" spans="10:11" ht="15" customHeight="1" x14ac:dyDescent="0.3">
      <c r="J64" s="110" t="str">
        <f t="shared" si="2"/>
        <v/>
      </c>
      <c r="K64" s="111">
        <f t="shared" si="3"/>
        <v>0</v>
      </c>
    </row>
    <row r="65" spans="10:11" ht="15" customHeight="1" x14ac:dyDescent="0.3">
      <c r="J65" s="110" t="str">
        <f t="shared" si="2"/>
        <v/>
      </c>
      <c r="K65" s="111">
        <f t="shared" si="3"/>
        <v>0</v>
      </c>
    </row>
    <row r="66" spans="10:11" ht="15" customHeight="1" x14ac:dyDescent="0.3">
      <c r="J66" s="110" t="str">
        <f t="shared" si="2"/>
        <v/>
      </c>
      <c r="K66" s="111">
        <f t="shared" si="3"/>
        <v>0</v>
      </c>
    </row>
    <row r="67" spans="10:11" ht="15" customHeight="1" x14ac:dyDescent="0.3">
      <c r="J67" s="110" t="str">
        <f t="shared" si="2"/>
        <v/>
      </c>
      <c r="K67" s="111">
        <f t="shared" si="3"/>
        <v>0</v>
      </c>
    </row>
    <row r="68" spans="10:11" ht="15" customHeight="1" x14ac:dyDescent="0.3">
      <c r="J68" s="110" t="str">
        <f t="shared" si="2"/>
        <v/>
      </c>
      <c r="K68" s="111">
        <f t="shared" si="3"/>
        <v>0</v>
      </c>
    </row>
    <row r="69" spans="10:11" ht="15" customHeight="1" x14ac:dyDescent="0.3">
      <c r="J69" s="110" t="str">
        <f t="shared" si="2"/>
        <v/>
      </c>
      <c r="K69" s="111">
        <f t="shared" si="3"/>
        <v>0</v>
      </c>
    </row>
    <row r="70" spans="10:11" ht="15" customHeight="1" x14ac:dyDescent="0.3">
      <c r="J70" s="110" t="str">
        <f t="shared" si="2"/>
        <v/>
      </c>
      <c r="K70" s="111">
        <f t="shared" si="3"/>
        <v>0</v>
      </c>
    </row>
    <row r="71" spans="10:11" ht="15" customHeight="1" x14ac:dyDescent="0.3">
      <c r="J71" s="110" t="str">
        <f t="shared" si="2"/>
        <v/>
      </c>
      <c r="K71" s="111">
        <f t="shared" si="3"/>
        <v>0</v>
      </c>
    </row>
    <row r="72" spans="10:11" ht="15" customHeight="1" x14ac:dyDescent="0.3">
      <c r="J72" s="110" t="str">
        <f t="shared" si="2"/>
        <v/>
      </c>
      <c r="K72" s="111">
        <f t="shared" si="3"/>
        <v>0</v>
      </c>
    </row>
    <row r="73" spans="10:11" ht="15" customHeight="1" x14ac:dyDescent="0.3">
      <c r="J73" s="110" t="str">
        <f t="shared" si="2"/>
        <v/>
      </c>
      <c r="K73" s="111">
        <f t="shared" si="3"/>
        <v>0</v>
      </c>
    </row>
    <row r="74" spans="10:11" ht="15" customHeight="1" x14ac:dyDescent="0.3">
      <c r="J74" s="110" t="str">
        <f t="shared" si="2"/>
        <v/>
      </c>
      <c r="K74" s="111">
        <f t="shared" si="3"/>
        <v>0</v>
      </c>
    </row>
    <row r="75" spans="10:11" ht="15" customHeight="1" x14ac:dyDescent="0.3">
      <c r="J75" s="110" t="str">
        <f t="shared" si="2"/>
        <v/>
      </c>
      <c r="K75" s="111">
        <f t="shared" si="3"/>
        <v>0</v>
      </c>
    </row>
    <row r="76" spans="10:11" ht="15" customHeight="1" x14ac:dyDescent="0.3">
      <c r="J76" s="110" t="str">
        <f t="shared" si="2"/>
        <v/>
      </c>
      <c r="K76" s="111">
        <f t="shared" si="3"/>
        <v>0</v>
      </c>
    </row>
    <row r="77" spans="10:11" ht="15" customHeight="1" x14ac:dyDescent="0.3">
      <c r="J77" s="110" t="str">
        <f t="shared" si="2"/>
        <v/>
      </c>
      <c r="K77" s="111">
        <f t="shared" si="3"/>
        <v>0</v>
      </c>
    </row>
    <row r="78" spans="10:11" ht="15" customHeight="1" x14ac:dyDescent="0.3">
      <c r="J78" s="110" t="str">
        <f t="shared" si="2"/>
        <v/>
      </c>
      <c r="K78" s="111">
        <f t="shared" si="3"/>
        <v>0</v>
      </c>
    </row>
    <row r="79" spans="10:11" ht="15" customHeight="1" x14ac:dyDescent="0.3">
      <c r="J79" s="110" t="str">
        <f t="shared" si="2"/>
        <v/>
      </c>
      <c r="K79" s="111">
        <f t="shared" si="3"/>
        <v>0</v>
      </c>
    </row>
    <row r="80" spans="10:11" ht="15" customHeight="1" x14ac:dyDescent="0.3">
      <c r="J80" s="110" t="str">
        <f t="shared" ref="J80:J124" si="4">LEFT(E81,6)</f>
        <v/>
      </c>
      <c r="K80" s="111">
        <f t="shared" ref="K80:K123" si="5">IF(H80=$K$9,G80,0)</f>
        <v>0</v>
      </c>
    </row>
    <row r="81" spans="10:11" ht="15" customHeight="1" x14ac:dyDescent="0.3">
      <c r="J81" s="110" t="str">
        <f t="shared" si="4"/>
        <v/>
      </c>
      <c r="K81" s="111">
        <f t="shared" si="5"/>
        <v>0</v>
      </c>
    </row>
    <row r="82" spans="10:11" ht="15" customHeight="1" x14ac:dyDescent="0.3">
      <c r="J82" s="110" t="str">
        <f t="shared" si="4"/>
        <v/>
      </c>
      <c r="K82" s="111">
        <f t="shared" si="5"/>
        <v>0</v>
      </c>
    </row>
    <row r="83" spans="10:11" ht="15" customHeight="1" x14ac:dyDescent="0.3">
      <c r="J83" s="110" t="str">
        <f t="shared" si="4"/>
        <v/>
      </c>
      <c r="K83" s="111">
        <f t="shared" si="5"/>
        <v>0</v>
      </c>
    </row>
    <row r="84" spans="10:11" ht="15" customHeight="1" x14ac:dyDescent="0.3">
      <c r="J84" s="110" t="str">
        <f t="shared" si="4"/>
        <v/>
      </c>
      <c r="K84" s="111">
        <f t="shared" si="5"/>
        <v>0</v>
      </c>
    </row>
    <row r="85" spans="10:11" ht="15" customHeight="1" x14ac:dyDescent="0.3">
      <c r="J85" s="110" t="str">
        <f t="shared" si="4"/>
        <v/>
      </c>
      <c r="K85" s="111">
        <f t="shared" si="5"/>
        <v>0</v>
      </c>
    </row>
    <row r="86" spans="10:11" ht="15" customHeight="1" x14ac:dyDescent="0.3">
      <c r="J86" s="110" t="str">
        <f t="shared" si="4"/>
        <v/>
      </c>
      <c r="K86" s="111">
        <f t="shared" si="5"/>
        <v>0</v>
      </c>
    </row>
    <row r="87" spans="10:11" ht="15" customHeight="1" x14ac:dyDescent="0.3">
      <c r="J87" s="110" t="str">
        <f t="shared" si="4"/>
        <v/>
      </c>
      <c r="K87" s="111">
        <f t="shared" si="5"/>
        <v>0</v>
      </c>
    </row>
    <row r="88" spans="10:11" ht="15" customHeight="1" x14ac:dyDescent="0.3">
      <c r="J88" s="110" t="str">
        <f t="shared" si="4"/>
        <v/>
      </c>
      <c r="K88" s="111">
        <f t="shared" si="5"/>
        <v>0</v>
      </c>
    </row>
    <row r="89" spans="10:11" ht="15" customHeight="1" x14ac:dyDescent="0.3">
      <c r="J89" s="110" t="str">
        <f t="shared" si="4"/>
        <v/>
      </c>
      <c r="K89" s="111">
        <f t="shared" si="5"/>
        <v>0</v>
      </c>
    </row>
    <row r="90" spans="10:11" ht="15" customHeight="1" x14ac:dyDescent="0.3">
      <c r="J90" s="110" t="str">
        <f t="shared" si="4"/>
        <v/>
      </c>
      <c r="K90" s="111">
        <f t="shared" si="5"/>
        <v>0</v>
      </c>
    </row>
    <row r="91" spans="10:11" ht="15" customHeight="1" x14ac:dyDescent="0.3">
      <c r="J91" s="110" t="str">
        <f t="shared" si="4"/>
        <v/>
      </c>
      <c r="K91" s="111">
        <f t="shared" si="5"/>
        <v>0</v>
      </c>
    </row>
    <row r="92" spans="10:11" ht="15" customHeight="1" x14ac:dyDescent="0.3">
      <c r="J92" s="110" t="str">
        <f t="shared" si="4"/>
        <v/>
      </c>
      <c r="K92" s="111">
        <f t="shared" si="5"/>
        <v>0</v>
      </c>
    </row>
    <row r="93" spans="10:11" ht="15" customHeight="1" x14ac:dyDescent="0.3">
      <c r="J93" s="110" t="str">
        <f t="shared" si="4"/>
        <v/>
      </c>
      <c r="K93" s="111">
        <f t="shared" si="5"/>
        <v>0</v>
      </c>
    </row>
    <row r="94" spans="10:11" ht="15" customHeight="1" x14ac:dyDescent="0.3">
      <c r="J94" s="110" t="str">
        <f t="shared" si="4"/>
        <v/>
      </c>
      <c r="K94" s="111">
        <f t="shared" si="5"/>
        <v>0</v>
      </c>
    </row>
    <row r="95" spans="10:11" ht="15" customHeight="1" x14ac:dyDescent="0.3">
      <c r="J95" s="110" t="str">
        <f t="shared" si="4"/>
        <v/>
      </c>
      <c r="K95" s="111">
        <f t="shared" si="5"/>
        <v>0</v>
      </c>
    </row>
    <row r="96" spans="10:11" ht="15" customHeight="1" x14ac:dyDescent="0.3">
      <c r="J96" s="110" t="str">
        <f t="shared" si="4"/>
        <v/>
      </c>
      <c r="K96" s="111">
        <f t="shared" si="5"/>
        <v>0</v>
      </c>
    </row>
    <row r="97" spans="10:11" ht="15" customHeight="1" x14ac:dyDescent="0.3">
      <c r="J97" s="110" t="str">
        <f t="shared" si="4"/>
        <v/>
      </c>
      <c r="K97" s="111">
        <f t="shared" si="5"/>
        <v>0</v>
      </c>
    </row>
    <row r="98" spans="10:11" ht="15" customHeight="1" x14ac:dyDescent="0.3">
      <c r="J98" s="110" t="str">
        <f t="shared" si="4"/>
        <v/>
      </c>
      <c r="K98" s="111">
        <f t="shared" si="5"/>
        <v>0</v>
      </c>
    </row>
    <row r="99" spans="10:11" ht="15" customHeight="1" x14ac:dyDescent="0.3">
      <c r="J99" s="110" t="str">
        <f t="shared" si="4"/>
        <v/>
      </c>
      <c r="K99" s="111">
        <f t="shared" si="5"/>
        <v>0</v>
      </c>
    </row>
    <row r="100" spans="10:11" ht="15" customHeight="1" x14ac:dyDescent="0.3">
      <c r="J100" s="110" t="str">
        <f t="shared" si="4"/>
        <v/>
      </c>
      <c r="K100" s="111">
        <f t="shared" si="5"/>
        <v>0</v>
      </c>
    </row>
    <row r="101" spans="10:11" ht="16.2" customHeight="1" x14ac:dyDescent="0.3">
      <c r="J101" s="110" t="str">
        <f t="shared" si="4"/>
        <v/>
      </c>
      <c r="K101" s="111">
        <f t="shared" si="5"/>
        <v>0</v>
      </c>
    </row>
    <row r="102" spans="10:11" ht="18.899999999999999" customHeight="1" x14ac:dyDescent="0.3">
      <c r="J102" s="110" t="str">
        <f t="shared" si="4"/>
        <v/>
      </c>
      <c r="K102" s="111">
        <f t="shared" si="5"/>
        <v>0</v>
      </c>
    </row>
    <row r="103" spans="10:11" ht="16.2" customHeight="1" x14ac:dyDescent="0.3">
      <c r="J103" s="110" t="str">
        <f t="shared" si="4"/>
        <v/>
      </c>
      <c r="K103" s="111">
        <f t="shared" si="5"/>
        <v>0</v>
      </c>
    </row>
    <row r="104" spans="10:11" ht="16.2" customHeight="1" x14ac:dyDescent="0.3">
      <c r="J104" s="110" t="str">
        <f t="shared" si="4"/>
        <v/>
      </c>
      <c r="K104" s="111">
        <f t="shared" si="5"/>
        <v>0</v>
      </c>
    </row>
    <row r="105" spans="10:11" ht="16.2" customHeight="1" x14ac:dyDescent="0.3">
      <c r="J105" s="110" t="str">
        <f t="shared" si="4"/>
        <v/>
      </c>
      <c r="K105" s="111">
        <f t="shared" si="5"/>
        <v>0</v>
      </c>
    </row>
    <row r="106" spans="10:11" ht="16.2" customHeight="1" x14ac:dyDescent="0.3">
      <c r="J106" s="110" t="str">
        <f t="shared" si="4"/>
        <v/>
      </c>
      <c r="K106" s="111">
        <f t="shared" si="5"/>
        <v>0</v>
      </c>
    </row>
    <row r="107" spans="10:11" ht="16.2" customHeight="1" x14ac:dyDescent="0.3">
      <c r="J107" s="110" t="str">
        <f t="shared" si="4"/>
        <v/>
      </c>
      <c r="K107" s="111">
        <f t="shared" si="5"/>
        <v>0</v>
      </c>
    </row>
    <row r="108" spans="10:11" ht="17.399999999999999" customHeight="1" x14ac:dyDescent="0.3">
      <c r="J108" s="110" t="str">
        <f t="shared" si="4"/>
        <v/>
      </c>
      <c r="K108" s="111">
        <f t="shared" si="5"/>
        <v>0</v>
      </c>
    </row>
    <row r="109" spans="10:11" ht="16.2" customHeight="1" x14ac:dyDescent="0.3">
      <c r="J109" s="110" t="str">
        <f t="shared" si="4"/>
        <v/>
      </c>
      <c r="K109" s="111">
        <f t="shared" si="5"/>
        <v>0</v>
      </c>
    </row>
    <row r="110" spans="10:11" ht="16.2" customHeight="1" x14ac:dyDescent="0.3">
      <c r="J110" s="110" t="str">
        <f t="shared" si="4"/>
        <v/>
      </c>
      <c r="K110" s="111">
        <f t="shared" si="5"/>
        <v>0</v>
      </c>
    </row>
    <row r="111" spans="10:11" ht="16.2" customHeight="1" x14ac:dyDescent="0.3">
      <c r="J111" s="110" t="str">
        <f t="shared" si="4"/>
        <v/>
      </c>
      <c r="K111" s="111">
        <f t="shared" si="5"/>
        <v>0</v>
      </c>
    </row>
    <row r="112" spans="10:11" ht="23.7" customHeight="1" x14ac:dyDescent="0.3">
      <c r="J112" s="110" t="str">
        <f t="shared" si="4"/>
        <v/>
      </c>
      <c r="K112" s="111">
        <f t="shared" si="5"/>
        <v>0</v>
      </c>
    </row>
    <row r="113" spans="10:11" ht="23.7" customHeight="1" x14ac:dyDescent="0.3">
      <c r="J113" s="110" t="str">
        <f t="shared" si="4"/>
        <v/>
      </c>
      <c r="K113" s="111">
        <f t="shared" si="5"/>
        <v>0</v>
      </c>
    </row>
    <row r="114" spans="10:11" ht="26.1" customHeight="1" x14ac:dyDescent="0.3">
      <c r="J114" s="110" t="str">
        <f t="shared" si="4"/>
        <v/>
      </c>
      <c r="K114" s="111">
        <f t="shared" si="5"/>
        <v>0</v>
      </c>
    </row>
    <row r="115" spans="10:11" ht="26.1" customHeight="1" x14ac:dyDescent="0.3">
      <c r="J115" s="110" t="str">
        <f t="shared" si="4"/>
        <v/>
      </c>
      <c r="K115" s="111">
        <f t="shared" si="5"/>
        <v>0</v>
      </c>
    </row>
    <row r="116" spans="10:11" ht="26.1" customHeight="1" x14ac:dyDescent="0.3">
      <c r="J116" s="110" t="str">
        <f t="shared" si="4"/>
        <v/>
      </c>
      <c r="K116" s="111">
        <f t="shared" si="5"/>
        <v>0</v>
      </c>
    </row>
    <row r="117" spans="10:11" ht="26.1" customHeight="1" x14ac:dyDescent="0.3">
      <c r="J117" s="110" t="str">
        <f t="shared" si="4"/>
        <v/>
      </c>
      <c r="K117" s="111">
        <f t="shared" si="5"/>
        <v>0</v>
      </c>
    </row>
    <row r="118" spans="10:11" ht="26.1" customHeight="1" x14ac:dyDescent="0.3">
      <c r="J118" s="110" t="str">
        <f t="shared" si="4"/>
        <v/>
      </c>
      <c r="K118" s="111">
        <f t="shared" si="5"/>
        <v>0</v>
      </c>
    </row>
    <row r="119" spans="10:11" x14ac:dyDescent="0.3">
      <c r="J119" s="110" t="str">
        <f t="shared" si="4"/>
        <v/>
      </c>
      <c r="K119" s="111">
        <f t="shared" si="5"/>
        <v>0</v>
      </c>
    </row>
    <row r="120" spans="10:11" x14ac:dyDescent="0.3">
      <c r="J120" s="110" t="str">
        <f t="shared" si="4"/>
        <v/>
      </c>
      <c r="K120" s="111">
        <f t="shared" si="5"/>
        <v>0</v>
      </c>
    </row>
    <row r="121" spans="10:11" x14ac:dyDescent="0.3">
      <c r="J121" s="110" t="str">
        <f t="shared" si="4"/>
        <v/>
      </c>
      <c r="K121" s="111">
        <f t="shared" si="5"/>
        <v>0</v>
      </c>
    </row>
    <row r="122" spans="10:11" x14ac:dyDescent="0.3">
      <c r="J122" s="110" t="str">
        <f t="shared" si="4"/>
        <v/>
      </c>
      <c r="K122" s="111">
        <f t="shared" si="5"/>
        <v>0</v>
      </c>
    </row>
    <row r="123" spans="10:11" x14ac:dyDescent="0.3">
      <c r="J123" s="110" t="str">
        <f t="shared" si="4"/>
        <v/>
      </c>
      <c r="K123" s="111">
        <f t="shared" si="5"/>
        <v>0</v>
      </c>
    </row>
    <row r="124" spans="10:11" x14ac:dyDescent="0.3">
      <c r="J124" s="110" t="str">
        <f t="shared" si="4"/>
        <v/>
      </c>
    </row>
  </sheetData>
  <mergeCells count="78">
    <mergeCell ref="I7:I9"/>
    <mergeCell ref="B8:B9"/>
    <mergeCell ref="C8:C9"/>
    <mergeCell ref="A1:I1"/>
    <mergeCell ref="A2:I2"/>
    <mergeCell ref="A3:I3"/>
    <mergeCell ref="A4:I4"/>
    <mergeCell ref="A5:I5"/>
    <mergeCell ref="A6:I6"/>
    <mergeCell ref="A7:A9"/>
    <mergeCell ref="B7:D7"/>
    <mergeCell ref="E7:E9"/>
    <mergeCell ref="F7:F9"/>
    <mergeCell ref="G7:G9"/>
    <mergeCell ref="A10:I10"/>
    <mergeCell ref="A11:D11"/>
    <mergeCell ref="A12:E12"/>
    <mergeCell ref="A13:E13"/>
    <mergeCell ref="A14:E14"/>
    <mergeCell ref="G15:G16"/>
    <mergeCell ref="H15:H16"/>
    <mergeCell ref="I15:I16"/>
    <mergeCell ref="A17:A18"/>
    <mergeCell ref="B17:B18"/>
    <mergeCell ref="C17:C18"/>
    <mergeCell ref="D17:D18"/>
    <mergeCell ref="F17:F18"/>
    <mergeCell ref="G17:G18"/>
    <mergeCell ref="H17:H18"/>
    <mergeCell ref="A15:A16"/>
    <mergeCell ref="B15:B16"/>
    <mergeCell ref="C15:C16"/>
    <mergeCell ref="D15:D16"/>
    <mergeCell ref="F15:F16"/>
    <mergeCell ref="I17:I18"/>
    <mergeCell ref="A19:A20"/>
    <mergeCell ref="B19:B20"/>
    <mergeCell ref="C19:C20"/>
    <mergeCell ref="D19:D20"/>
    <mergeCell ref="F19:F20"/>
    <mergeCell ref="G19:G20"/>
    <mergeCell ref="H19:H20"/>
    <mergeCell ref="I19:I20"/>
    <mergeCell ref="H21:H22"/>
    <mergeCell ref="I21:I22"/>
    <mergeCell ref="G23:G24"/>
    <mergeCell ref="H23:H24"/>
    <mergeCell ref="I23:I24"/>
    <mergeCell ref="A21:A22"/>
    <mergeCell ref="B21:B22"/>
    <mergeCell ref="C21:C22"/>
    <mergeCell ref="D21:D22"/>
    <mergeCell ref="F21:F22"/>
    <mergeCell ref="G21:G22"/>
    <mergeCell ref="A23:A24"/>
    <mergeCell ref="B23:B24"/>
    <mergeCell ref="C23:C24"/>
    <mergeCell ref="D23:D24"/>
    <mergeCell ref="F23:F24"/>
    <mergeCell ref="B30:E30"/>
    <mergeCell ref="A25:A26"/>
    <mergeCell ref="B25:B26"/>
    <mergeCell ref="C25:C26"/>
    <mergeCell ref="D25:D26"/>
    <mergeCell ref="H25:H26"/>
    <mergeCell ref="I25:I26"/>
    <mergeCell ref="B27:E27"/>
    <mergeCell ref="B28:E28"/>
    <mergeCell ref="B29:E29"/>
    <mergeCell ref="F25:F26"/>
    <mergeCell ref="G25:G26"/>
    <mergeCell ref="B37:E37"/>
    <mergeCell ref="B31:E31"/>
    <mergeCell ref="B32:E32"/>
    <mergeCell ref="B33:E33"/>
    <mergeCell ref="B34:E34"/>
    <mergeCell ref="B35:E35"/>
    <mergeCell ref="B36:E36"/>
  </mergeCells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098C-B416-42C0-92FB-0232A3671BA3}">
  <sheetPr codeName="Sheet10" filterMode="1"/>
  <dimension ref="A1:AB963"/>
  <sheetViews>
    <sheetView showGridLines="0" zoomScale="90" zoomScaleNormal="90" workbookViewId="0">
      <pane xSplit="6" ySplit="20" topLeftCell="H115" activePane="bottomRight" state="frozen"/>
      <selection activeCell="S16" sqref="S16"/>
      <selection pane="topRight" activeCell="S16" sqref="S16"/>
      <selection pane="bottomLeft" activeCell="S16" sqref="S16"/>
      <selection pane="bottomRight" activeCell="A16" sqref="A16:XFD16"/>
    </sheetView>
  </sheetViews>
  <sheetFormatPr defaultColWidth="9" defaultRowHeight="15.6" x14ac:dyDescent="0.3"/>
  <cols>
    <col min="1" max="1" width="7.296875" bestFit="1" customWidth="1"/>
    <col min="2" max="2" width="11" bestFit="1" customWidth="1"/>
    <col min="3" max="3" width="7.8984375" bestFit="1" customWidth="1"/>
    <col min="4" max="4" width="19.19921875" bestFit="1" customWidth="1"/>
    <col min="5" max="5" width="35.19921875" bestFit="1" customWidth="1"/>
    <col min="6" max="6" width="14.796875" bestFit="1" customWidth="1"/>
    <col min="7" max="7" width="25.8984375" bestFit="1" customWidth="1"/>
    <col min="8" max="8" width="20.296875" style="1" bestFit="1" customWidth="1"/>
    <col min="9" max="9" width="10.09765625" bestFit="1" customWidth="1"/>
    <col min="10" max="10" width="18.796875" style="1" bestFit="1" customWidth="1"/>
    <col min="11" max="11" width="7.8984375" bestFit="1" customWidth="1"/>
    <col min="12" max="12" width="11" bestFit="1" customWidth="1"/>
    <col min="13" max="13" width="9.8984375" bestFit="1" customWidth="1"/>
    <col min="14" max="14" width="12.5" bestFit="1" customWidth="1"/>
    <col min="15" max="15" width="20.09765625" bestFit="1" customWidth="1"/>
    <col min="16" max="16" width="14.8984375" bestFit="1" customWidth="1"/>
    <col min="17" max="17" width="12.09765625" bestFit="1" customWidth="1"/>
    <col min="18" max="18" width="13" bestFit="1" customWidth="1"/>
    <col min="19" max="19" width="8.296875" bestFit="1" customWidth="1"/>
    <col min="20" max="20" width="7.19921875" style="64" customWidth="1"/>
    <col min="21" max="21" width="15.5" style="61" customWidth="1"/>
    <col min="22" max="22" width="6.59765625" style="62" customWidth="1"/>
    <col min="23" max="23" width="15.09765625" style="41" bestFit="1" customWidth="1"/>
    <col min="24" max="24" width="17" style="41" bestFit="1" customWidth="1"/>
    <col min="25" max="26" width="15.5" style="41" bestFit="1" customWidth="1"/>
    <col min="27" max="27" width="16.09765625" style="41" bestFit="1" customWidth="1"/>
    <col min="28" max="16384" width="9" style="41"/>
  </cols>
  <sheetData>
    <row r="1" spans="1:28" ht="15.6" customHeight="1" x14ac:dyDescent="0.3">
      <c r="A1" s="170"/>
      <c r="B1" s="170"/>
      <c r="C1" s="170"/>
      <c r="D1" s="170"/>
      <c r="E1" s="170"/>
      <c r="F1" s="170"/>
      <c r="G1" s="170"/>
      <c r="H1" s="288"/>
      <c r="I1" s="170"/>
      <c r="J1" s="404" t="s">
        <v>53</v>
      </c>
      <c r="K1" s="405"/>
      <c r="L1" s="170"/>
      <c r="M1" s="170"/>
      <c r="N1" s="188"/>
      <c r="O1" s="188"/>
      <c r="P1" s="188"/>
      <c r="Q1" s="188"/>
      <c r="R1" s="188"/>
      <c r="S1" s="188"/>
      <c r="T1" s="60"/>
      <c r="W1" s="75" t="s">
        <v>366</v>
      </c>
      <c r="X1" s="76">
        <f>SUMIF($R:$R,$W1,$H:$H)</f>
        <v>1291995987299</v>
      </c>
      <c r="Y1" s="76">
        <f>SUMIF($R:$R,$W1,$J:$J)</f>
        <v>103359678984</v>
      </c>
      <c r="Z1" s="76">
        <f>SUMIF('13311'!$G:$G,'TA36'!$W1,'13311'!$E:$E)</f>
        <v>103359678984</v>
      </c>
      <c r="AA1" s="76">
        <f>Y1-Z1</f>
        <v>0</v>
      </c>
    </row>
    <row r="2" spans="1:28" ht="15.6" customHeight="1" x14ac:dyDescent="0.3">
      <c r="A2" s="170"/>
      <c r="B2" s="170"/>
      <c r="C2" s="170"/>
      <c r="D2" s="170"/>
      <c r="E2" s="170"/>
      <c r="F2" s="170"/>
      <c r="G2" s="170"/>
      <c r="H2" s="288"/>
      <c r="I2" s="170"/>
      <c r="J2" s="406" t="s">
        <v>52</v>
      </c>
      <c r="K2" s="407"/>
      <c r="L2" s="170"/>
      <c r="M2" s="170"/>
      <c r="N2" s="188"/>
      <c r="O2" s="188"/>
      <c r="P2" s="188"/>
      <c r="Q2" s="188"/>
      <c r="R2" s="188"/>
      <c r="S2" s="188"/>
      <c r="T2" s="60"/>
      <c r="W2" s="75" t="s">
        <v>16</v>
      </c>
      <c r="X2" s="76">
        <f t="shared" ref="X2:X9" si="0">SUMIF($R:$R,$W2,$H:$H)</f>
        <v>334094213</v>
      </c>
      <c r="Y2" s="76">
        <f t="shared" ref="Y2:Y9" si="1">SUMIF($R:$R,$W2,$J:$J)</f>
        <v>26847201</v>
      </c>
      <c r="Z2" s="76">
        <f>SUMIF('13311'!$G:$G,'TA36'!$W2,'13311'!$E:$E)</f>
        <v>26847201</v>
      </c>
      <c r="AA2" s="76">
        <f t="shared" ref="AA2:AA9" si="2">Y2-Z2</f>
        <v>0</v>
      </c>
    </row>
    <row r="3" spans="1:28" ht="15.6" customHeight="1" x14ac:dyDescent="0.3">
      <c r="A3" s="170"/>
      <c r="B3" s="170"/>
      <c r="C3" s="170"/>
      <c r="D3" s="170"/>
      <c r="E3" s="170"/>
      <c r="F3" s="170"/>
      <c r="G3" s="170"/>
      <c r="H3" s="288"/>
      <c r="I3" s="170"/>
      <c r="J3" s="408" t="s">
        <v>51</v>
      </c>
      <c r="K3" s="409"/>
      <c r="L3" s="170"/>
      <c r="M3" s="170"/>
      <c r="N3" s="188"/>
      <c r="O3" s="188"/>
      <c r="P3" s="188"/>
      <c r="Q3" s="188"/>
      <c r="R3" s="188"/>
      <c r="S3" s="188"/>
      <c r="T3" s="60"/>
      <c r="W3" s="75" t="s">
        <v>195</v>
      </c>
      <c r="X3" s="76">
        <f t="shared" si="0"/>
        <v>19828437023</v>
      </c>
      <c r="Y3" s="76">
        <f t="shared" si="1"/>
        <v>1586121323</v>
      </c>
      <c r="Z3" s="76">
        <f>SUMIF('13311'!$G:$G,'TA36'!$W3,'13311'!$E:$E)</f>
        <v>1586121323</v>
      </c>
      <c r="AA3" s="76">
        <f t="shared" si="2"/>
        <v>0</v>
      </c>
    </row>
    <row r="4" spans="1:28" ht="16.2" customHeight="1" thickBot="1" x14ac:dyDescent="0.35">
      <c r="A4" s="170"/>
      <c r="B4" s="170"/>
      <c r="C4" s="170"/>
      <c r="D4" s="170"/>
      <c r="E4" s="170"/>
      <c r="F4" s="170"/>
      <c r="G4" s="170"/>
      <c r="H4" s="288"/>
      <c r="I4" s="170"/>
      <c r="J4" s="410" t="s">
        <v>50</v>
      </c>
      <c r="K4" s="411"/>
      <c r="L4" s="170"/>
      <c r="M4" s="170"/>
      <c r="N4" s="188"/>
      <c r="O4" s="188"/>
      <c r="P4" s="188"/>
      <c r="Q4" s="188"/>
      <c r="R4" s="188"/>
      <c r="S4" s="188"/>
      <c r="T4" s="60"/>
      <c r="W4" s="75" t="s">
        <v>299</v>
      </c>
      <c r="X4" s="76">
        <f t="shared" si="0"/>
        <v>4264271219</v>
      </c>
      <c r="Y4" s="76">
        <f t="shared" si="1"/>
        <v>341141697</v>
      </c>
      <c r="Z4" s="76">
        <f>SUMIF('13311'!$G:$G,'TA36'!$W4,'13311'!$E:$E)</f>
        <v>341141697</v>
      </c>
      <c r="AA4" s="76">
        <f t="shared" si="2"/>
        <v>0</v>
      </c>
    </row>
    <row r="5" spans="1:28" ht="17.399999999999999" x14ac:dyDescent="0.3">
      <c r="A5" s="170"/>
      <c r="B5" s="170"/>
      <c r="C5" s="170"/>
      <c r="D5" s="170"/>
      <c r="E5" s="170"/>
      <c r="F5" s="170"/>
      <c r="G5" s="170"/>
      <c r="H5" s="288"/>
      <c r="I5" s="170"/>
      <c r="J5" s="297"/>
      <c r="K5" s="294"/>
      <c r="L5" s="170"/>
      <c r="M5" s="170"/>
      <c r="N5" s="188"/>
      <c r="O5" s="188"/>
      <c r="P5" s="188"/>
      <c r="Q5" s="188"/>
      <c r="R5" s="188"/>
      <c r="S5" s="188"/>
      <c r="T5" s="60"/>
      <c r="W5" s="75" t="s">
        <v>99</v>
      </c>
      <c r="X5" s="76">
        <f t="shared" si="0"/>
        <v>17682276</v>
      </c>
      <c r="Y5" s="76">
        <f t="shared" si="1"/>
        <v>1768229</v>
      </c>
      <c r="Z5" s="76">
        <f>SUMIF('13311'!$G:$G,'TA36'!$W5,'13311'!$E:$E)</f>
        <v>1768229</v>
      </c>
      <c r="AA5" s="76">
        <f t="shared" si="2"/>
        <v>0</v>
      </c>
    </row>
    <row r="6" spans="1:28" ht="17.399999999999999" customHeight="1" x14ac:dyDescent="0.3">
      <c r="A6" s="170"/>
      <c r="B6" s="344" t="s">
        <v>49</v>
      </c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188"/>
      <c r="O6" s="188"/>
      <c r="P6" s="188"/>
      <c r="Q6" s="188"/>
      <c r="R6" s="188"/>
      <c r="S6" s="188"/>
      <c r="T6" s="60"/>
      <c r="W6" s="75" t="s">
        <v>179</v>
      </c>
      <c r="X6" s="76">
        <f t="shared" si="0"/>
        <v>1015525132</v>
      </c>
      <c r="Y6" s="76">
        <f t="shared" si="1"/>
        <v>82569755</v>
      </c>
      <c r="Z6" s="76">
        <f>SUMIF('13311'!$G:$G,'TA36'!$W6,'13311'!$E:$E)</f>
        <v>82569755</v>
      </c>
      <c r="AA6" s="76">
        <f t="shared" si="2"/>
        <v>0</v>
      </c>
    </row>
    <row r="7" spans="1:28" ht="15.6" customHeight="1" x14ac:dyDescent="0.3">
      <c r="A7" s="170"/>
      <c r="B7" s="345" t="s">
        <v>48</v>
      </c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188"/>
      <c r="O7" s="188"/>
      <c r="P7" s="188"/>
      <c r="Q7" s="188"/>
      <c r="R7" s="188"/>
      <c r="S7" s="188"/>
      <c r="T7" s="60"/>
      <c r="W7" s="75" t="s">
        <v>259</v>
      </c>
      <c r="X7" s="76">
        <f t="shared" si="0"/>
        <v>26031867076</v>
      </c>
      <c r="Y7" s="76">
        <f t="shared" si="1"/>
        <v>2082579117</v>
      </c>
      <c r="Z7" s="76">
        <f>SUMIF('13311'!$G:$G,'TA36'!$W7,'13311'!$E:$E)</f>
        <v>2082579117</v>
      </c>
      <c r="AA7" s="76">
        <f t="shared" si="2"/>
        <v>0</v>
      </c>
    </row>
    <row r="8" spans="1:28" ht="15.6" customHeight="1" x14ac:dyDescent="0.3">
      <c r="A8" s="170"/>
      <c r="B8" s="345" t="s">
        <v>906</v>
      </c>
      <c r="C8" s="345"/>
      <c r="D8" s="345"/>
      <c r="E8" s="345"/>
      <c r="F8" s="345"/>
      <c r="G8" s="345"/>
      <c r="H8" s="345"/>
      <c r="I8" s="345"/>
      <c r="J8" s="345"/>
      <c r="K8" s="345"/>
      <c r="L8" s="345"/>
      <c r="M8" s="345"/>
      <c r="N8" s="188"/>
      <c r="O8" s="188"/>
      <c r="P8" s="188"/>
      <c r="Q8" s="188"/>
      <c r="R8" s="188"/>
      <c r="S8" s="188"/>
      <c r="T8" s="60"/>
      <c r="W8" s="75" t="s">
        <v>196</v>
      </c>
      <c r="X8" s="76">
        <f t="shared" si="0"/>
        <v>250000</v>
      </c>
      <c r="Y8" s="76">
        <f t="shared" si="1"/>
        <v>25000</v>
      </c>
      <c r="Z8" s="76">
        <f>SUMIF('13311'!$G:$G,'TA36'!$W8,'13311'!$E:$E)</f>
        <v>25000</v>
      </c>
      <c r="AA8" s="76">
        <f t="shared" si="2"/>
        <v>0</v>
      </c>
    </row>
    <row r="9" spans="1:28" x14ac:dyDescent="0.3">
      <c r="A9" s="170"/>
      <c r="B9" s="330"/>
      <c r="C9" s="330"/>
      <c r="D9" s="330"/>
      <c r="E9" s="330"/>
      <c r="F9" s="330"/>
      <c r="G9" s="330"/>
      <c r="H9" s="330"/>
      <c r="I9" s="330"/>
      <c r="J9" s="330"/>
      <c r="K9" s="330"/>
      <c r="L9" s="330"/>
      <c r="M9" s="330"/>
      <c r="N9" s="188"/>
      <c r="O9" s="188"/>
      <c r="P9" s="188"/>
      <c r="Q9" s="188"/>
      <c r="R9" s="188"/>
      <c r="S9" s="188"/>
      <c r="T9" s="60"/>
      <c r="W9" s="75" t="s">
        <v>290</v>
      </c>
      <c r="X9" s="76">
        <f t="shared" si="0"/>
        <v>50000</v>
      </c>
      <c r="Y9" s="76">
        <f t="shared" si="1"/>
        <v>5000</v>
      </c>
      <c r="Z9" s="76">
        <f>SUMIF('13311'!$G:$G,'TA36'!$W9,'13311'!$E:$E)</f>
        <v>5000</v>
      </c>
      <c r="AA9" s="76">
        <f t="shared" si="2"/>
        <v>0</v>
      </c>
    </row>
    <row r="10" spans="1:28" ht="15.6" customHeight="1" x14ac:dyDescent="0.3">
      <c r="A10" s="170"/>
      <c r="B10" s="412" t="s">
        <v>47</v>
      </c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2"/>
      <c r="N10" s="188"/>
      <c r="O10" s="188"/>
      <c r="P10" s="188"/>
      <c r="Q10" s="188"/>
      <c r="R10" s="188"/>
      <c r="S10" s="188"/>
      <c r="T10" s="60"/>
      <c r="X10" s="78">
        <f t="shared" ref="X10:AA10" si="3">SUM(X1:X9)</f>
        <v>1343488164238</v>
      </c>
      <c r="Y10" s="77">
        <f>SUM(Y1:Y9)</f>
        <v>107480736306</v>
      </c>
      <c r="Z10" s="78">
        <f t="shared" si="3"/>
        <v>107480736306</v>
      </c>
      <c r="AA10" s="77">
        <f t="shared" si="3"/>
        <v>0</v>
      </c>
    </row>
    <row r="11" spans="1:28" ht="15.6" customHeight="1" x14ac:dyDescent="0.3">
      <c r="A11" s="170"/>
      <c r="B11" s="412" t="s">
        <v>46</v>
      </c>
      <c r="C11" s="412"/>
      <c r="D11" s="412"/>
      <c r="E11" s="412"/>
      <c r="F11" s="412"/>
      <c r="G11" s="412"/>
      <c r="H11" s="412"/>
      <c r="I11" s="412"/>
      <c r="J11" s="412"/>
      <c r="K11" s="412"/>
      <c r="L11" s="412"/>
      <c r="M11" s="412"/>
      <c r="N11" s="188"/>
      <c r="O11" s="188"/>
      <c r="P11" s="188"/>
      <c r="Q11" s="188"/>
      <c r="R11" s="188"/>
      <c r="S11" s="188"/>
      <c r="T11" s="60"/>
      <c r="X11" s="50" t="s">
        <v>376</v>
      </c>
      <c r="Y11" s="50" t="s">
        <v>376</v>
      </c>
      <c r="Z11" s="50" t="s">
        <v>180</v>
      </c>
    </row>
    <row r="12" spans="1:28" x14ac:dyDescent="0.3">
      <c r="A12" s="170"/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279" t="s">
        <v>45</v>
      </c>
      <c r="O12" s="279"/>
      <c r="P12" s="279"/>
      <c r="Q12" s="279"/>
      <c r="R12" s="279"/>
      <c r="S12" s="279"/>
      <c r="T12" s="63"/>
      <c r="V12" s="79" t="s">
        <v>17</v>
      </c>
      <c r="X12" s="50" t="s">
        <v>123</v>
      </c>
      <c r="Y12" s="50" t="s">
        <v>377</v>
      </c>
    </row>
    <row r="13" spans="1:28" x14ac:dyDescent="0.3">
      <c r="A13" s="280" t="s">
        <v>44</v>
      </c>
      <c r="B13" s="281"/>
      <c r="C13" s="281"/>
      <c r="D13" s="281"/>
      <c r="E13" s="281"/>
      <c r="F13" s="281"/>
      <c r="G13" s="281"/>
      <c r="H13" s="289">
        <f>SUBTOTAL(9,H18:H505)</f>
        <v>26769800</v>
      </c>
      <c r="I13" s="281"/>
      <c r="J13" s="289">
        <f>SUBTOTAL(9,J18:J505)</f>
        <v>1338490</v>
      </c>
      <c r="K13" s="281"/>
      <c r="L13" s="281"/>
      <c r="M13" s="281"/>
      <c r="N13" s="281"/>
      <c r="O13" s="281"/>
      <c r="P13" s="281"/>
      <c r="Q13" s="281"/>
      <c r="R13" s="281"/>
      <c r="S13" s="281"/>
      <c r="W13" s="50" t="s">
        <v>378</v>
      </c>
      <c r="X13" s="15">
        <f>X10-X14</f>
        <v>1321171020806</v>
      </c>
      <c r="Y13" s="15">
        <f t="shared" ref="Y13" si="4">Y10-Y14</f>
        <v>85163592874</v>
      </c>
      <c r="Z13" s="15"/>
      <c r="AA13" s="15"/>
      <c r="AB13" s="15"/>
    </row>
    <row r="14" spans="1:28" ht="14.4" customHeight="1" x14ac:dyDescent="0.3">
      <c r="A14" s="347" t="s">
        <v>43</v>
      </c>
      <c r="B14" s="354" t="s">
        <v>42</v>
      </c>
      <c r="C14" s="355"/>
      <c r="D14" s="356"/>
      <c r="E14" s="347" t="s">
        <v>41</v>
      </c>
      <c r="F14" s="347" t="s">
        <v>40</v>
      </c>
      <c r="G14" s="347" t="s">
        <v>39</v>
      </c>
      <c r="H14" s="352" t="s">
        <v>38</v>
      </c>
      <c r="I14" s="347" t="s">
        <v>37</v>
      </c>
      <c r="J14" s="352" t="s">
        <v>36</v>
      </c>
      <c r="K14" s="347" t="s">
        <v>35</v>
      </c>
      <c r="L14" s="347" t="s">
        <v>34</v>
      </c>
      <c r="M14" s="347" t="s">
        <v>33</v>
      </c>
      <c r="N14" s="347" t="s">
        <v>32</v>
      </c>
      <c r="O14" s="347" t="s">
        <v>31</v>
      </c>
      <c r="P14" s="347" t="s">
        <v>30</v>
      </c>
      <c r="Q14" s="347" t="s">
        <v>29</v>
      </c>
      <c r="R14" s="347" t="s">
        <v>28</v>
      </c>
      <c r="S14" s="347" t="s">
        <v>27</v>
      </c>
      <c r="T14" s="64" t="s">
        <v>54</v>
      </c>
      <c r="U14" s="61" t="s">
        <v>54</v>
      </c>
      <c r="V14" s="62" t="s">
        <v>56</v>
      </c>
      <c r="W14" s="50" t="s">
        <v>379</v>
      </c>
      <c r="X14" s="15">
        <f>SUMIF($Q:$Q,$V$12,$H:$H)</f>
        <v>22317143432</v>
      </c>
      <c r="Y14" s="15">
        <f t="shared" ref="Y14" si="5">SUMIF($Q:$Q,$V$12,$H:$H)</f>
        <v>22317143432</v>
      </c>
      <c r="Z14" s="15"/>
      <c r="AA14" s="15"/>
      <c r="AB14" s="15"/>
    </row>
    <row r="15" spans="1:28" ht="21.6" x14ac:dyDescent="0.3">
      <c r="A15" s="348"/>
      <c r="B15" s="191" t="s">
        <v>26</v>
      </c>
      <c r="C15" s="191" t="s">
        <v>25</v>
      </c>
      <c r="D15" s="191" t="s">
        <v>24</v>
      </c>
      <c r="E15" s="348"/>
      <c r="F15" s="348"/>
      <c r="G15" s="348"/>
      <c r="H15" s="353"/>
      <c r="I15" s="348"/>
      <c r="J15" s="353"/>
      <c r="K15" s="348"/>
      <c r="L15" s="348"/>
      <c r="M15" s="348"/>
      <c r="N15" s="348"/>
      <c r="O15" s="348"/>
      <c r="P15" s="348"/>
      <c r="Q15" s="348"/>
      <c r="R15" s="348"/>
      <c r="S15" s="348"/>
      <c r="T15" s="64" t="s">
        <v>55</v>
      </c>
      <c r="U15" s="61" t="s">
        <v>57</v>
      </c>
      <c r="W15" s="65"/>
      <c r="X15" s="78">
        <f>SUM(X13:X14)</f>
        <v>1343488164238</v>
      </c>
      <c r="Y15" s="78">
        <f>SUM(Y13:Y14)</f>
        <v>107480736306</v>
      </c>
      <c r="Z15" s="15"/>
      <c r="AA15" s="15"/>
      <c r="AB15" s="15"/>
    </row>
    <row r="16" spans="1:28" ht="14.4" x14ac:dyDescent="0.3">
      <c r="A16" s="295" t="s">
        <v>23</v>
      </c>
      <c r="B16" s="295" t="s">
        <v>22</v>
      </c>
      <c r="C16" s="295" t="s">
        <v>21</v>
      </c>
      <c r="D16" s="295" t="s">
        <v>20</v>
      </c>
      <c r="E16" s="295" t="s">
        <v>164</v>
      </c>
      <c r="F16" s="295" t="s">
        <v>165</v>
      </c>
      <c r="G16" s="295" t="s">
        <v>166</v>
      </c>
      <c r="H16" s="298" t="s">
        <v>167</v>
      </c>
      <c r="I16" s="295" t="s">
        <v>168</v>
      </c>
      <c r="J16" s="298" t="s">
        <v>169</v>
      </c>
      <c r="K16" s="295" t="s">
        <v>170</v>
      </c>
      <c r="L16" s="295" t="s">
        <v>171</v>
      </c>
      <c r="M16" s="295" t="s">
        <v>172</v>
      </c>
      <c r="N16" s="295" t="s">
        <v>173</v>
      </c>
      <c r="O16" s="295" t="s">
        <v>174</v>
      </c>
      <c r="P16" s="295" t="s">
        <v>175</v>
      </c>
      <c r="Q16" s="295" t="s">
        <v>176</v>
      </c>
      <c r="R16" s="295" t="s">
        <v>177</v>
      </c>
      <c r="S16" s="295" t="s">
        <v>178</v>
      </c>
      <c r="U16" s="61" t="s">
        <v>58</v>
      </c>
      <c r="X16" s="15"/>
      <c r="Y16" s="15"/>
      <c r="Z16" s="15"/>
      <c r="AA16" s="15"/>
      <c r="AB16" s="15"/>
    </row>
    <row r="17" spans="1:28" ht="14.4" hidden="1" customHeight="1" x14ac:dyDescent="0.3">
      <c r="A17" s="349" t="s">
        <v>19</v>
      </c>
      <c r="B17" s="350"/>
      <c r="C17" s="350"/>
      <c r="D17" s="350"/>
      <c r="E17" s="350"/>
      <c r="F17" s="350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1"/>
      <c r="X17" s="15"/>
      <c r="Y17" s="15"/>
      <c r="Z17" s="15"/>
      <c r="AA17" s="15"/>
      <c r="AB17" s="15"/>
    </row>
    <row r="18" spans="1:28" hidden="1" x14ac:dyDescent="0.3">
      <c r="A18" s="192">
        <v>1</v>
      </c>
      <c r="B18" s="194" t="s">
        <v>1602</v>
      </c>
      <c r="C18" s="296" t="s">
        <v>1603</v>
      </c>
      <c r="D18" s="193">
        <v>46146</v>
      </c>
      <c r="E18" s="194" t="s">
        <v>1604</v>
      </c>
      <c r="F18" s="296" t="s">
        <v>1605</v>
      </c>
      <c r="G18" s="194" t="s">
        <v>1606</v>
      </c>
      <c r="H18" s="286">
        <v>27273</v>
      </c>
      <c r="I18" s="192">
        <v>10</v>
      </c>
      <c r="J18" s="286">
        <v>2727</v>
      </c>
      <c r="K18" s="174"/>
      <c r="L18" s="194" t="s">
        <v>15</v>
      </c>
      <c r="M18" s="296" t="s">
        <v>1607</v>
      </c>
      <c r="N18" s="193">
        <v>46173</v>
      </c>
      <c r="O18" s="193">
        <v>46173</v>
      </c>
      <c r="P18" s="251">
        <v>30000</v>
      </c>
      <c r="Q18" s="192" t="s">
        <v>17</v>
      </c>
      <c r="R18" s="192" t="s">
        <v>16</v>
      </c>
      <c r="S18" s="194" t="s">
        <v>14</v>
      </c>
      <c r="T18" s="64" t="str">
        <f>IF(OR(LEN(F18)=11,LEN(F18)=15),"Đ","SAI")</f>
        <v>Đ</v>
      </c>
      <c r="U18" s="66">
        <f>ROUND(H18*I18%,0)-J18</f>
        <v>0</v>
      </c>
      <c r="V18" s="62">
        <f>IF(Q18=$V$12,13313,13311)</f>
        <v>13313</v>
      </c>
      <c r="X18" s="15"/>
      <c r="Y18" s="15"/>
      <c r="Z18" s="15"/>
      <c r="AA18" s="15"/>
      <c r="AB18" s="15"/>
    </row>
    <row r="19" spans="1:28" ht="21.6" hidden="1" x14ac:dyDescent="0.3">
      <c r="A19" s="192">
        <v>2</v>
      </c>
      <c r="B19" s="194" t="s">
        <v>281</v>
      </c>
      <c r="C19" s="296" t="s">
        <v>1608</v>
      </c>
      <c r="D19" s="193">
        <v>46150</v>
      </c>
      <c r="E19" s="194" t="s">
        <v>1609</v>
      </c>
      <c r="F19" s="296" t="s">
        <v>18</v>
      </c>
      <c r="G19" s="194" t="s">
        <v>1610</v>
      </c>
      <c r="H19" s="286">
        <v>50000</v>
      </c>
      <c r="I19" s="192">
        <v>10</v>
      </c>
      <c r="J19" s="286">
        <v>5000</v>
      </c>
      <c r="K19" s="174"/>
      <c r="L19" s="194" t="s">
        <v>15</v>
      </c>
      <c r="M19" s="296" t="s">
        <v>1607</v>
      </c>
      <c r="N19" s="193">
        <v>46173</v>
      </c>
      <c r="O19" s="193">
        <v>46173</v>
      </c>
      <c r="P19" s="251">
        <v>55000</v>
      </c>
      <c r="Q19" s="192" t="s">
        <v>17</v>
      </c>
      <c r="R19" s="192" t="s">
        <v>16</v>
      </c>
      <c r="S19" s="194" t="s">
        <v>14</v>
      </c>
      <c r="T19" s="64" t="str">
        <f t="shared" ref="T19:T82" si="6">IF(OR(LEN(F19)=11,LEN(F19)=15),"Đ","SAI")</f>
        <v>Đ</v>
      </c>
      <c r="U19" s="66">
        <f t="shared" ref="U19:U82" si="7">ROUND(H19*I19%,0)-J19</f>
        <v>0</v>
      </c>
      <c r="V19" s="62">
        <f t="shared" ref="V19:V82" si="8">IF(Q19=$V$12,13313,13311)</f>
        <v>13313</v>
      </c>
    </row>
    <row r="20" spans="1:28" ht="21.6" hidden="1" x14ac:dyDescent="0.3">
      <c r="A20" s="192">
        <v>3</v>
      </c>
      <c r="B20" s="194" t="s">
        <v>281</v>
      </c>
      <c r="C20" s="296" t="s">
        <v>1611</v>
      </c>
      <c r="D20" s="193">
        <v>46156</v>
      </c>
      <c r="E20" s="194" t="s">
        <v>1609</v>
      </c>
      <c r="F20" s="296" t="s">
        <v>18</v>
      </c>
      <c r="G20" s="194" t="s">
        <v>1610</v>
      </c>
      <c r="H20" s="286">
        <v>870075</v>
      </c>
      <c r="I20" s="192">
        <v>10</v>
      </c>
      <c r="J20" s="286">
        <v>87008</v>
      </c>
      <c r="K20" s="174"/>
      <c r="L20" s="194" t="s">
        <v>15</v>
      </c>
      <c r="M20" s="296" t="s">
        <v>1607</v>
      </c>
      <c r="N20" s="193">
        <v>46173</v>
      </c>
      <c r="O20" s="193">
        <v>46173</v>
      </c>
      <c r="P20" s="251">
        <v>957083</v>
      </c>
      <c r="Q20" s="192" t="s">
        <v>17</v>
      </c>
      <c r="R20" s="192" t="s">
        <v>16</v>
      </c>
      <c r="S20" s="194" t="s">
        <v>14</v>
      </c>
      <c r="T20" s="64" t="str">
        <f t="shared" si="6"/>
        <v>Đ</v>
      </c>
      <c r="U20" s="66">
        <f t="shared" si="7"/>
        <v>0</v>
      </c>
      <c r="V20" s="62">
        <f t="shared" si="8"/>
        <v>13313</v>
      </c>
    </row>
    <row r="21" spans="1:28" ht="21.6" hidden="1" x14ac:dyDescent="0.3">
      <c r="A21" s="192">
        <v>4</v>
      </c>
      <c r="B21" s="194" t="s">
        <v>281</v>
      </c>
      <c r="C21" s="296" t="s">
        <v>1612</v>
      </c>
      <c r="D21" s="193">
        <v>46164</v>
      </c>
      <c r="E21" s="194" t="s">
        <v>1609</v>
      </c>
      <c r="F21" s="296" t="s">
        <v>18</v>
      </c>
      <c r="G21" s="194" t="s">
        <v>1610</v>
      </c>
      <c r="H21" s="286">
        <v>3146172</v>
      </c>
      <c r="I21" s="192">
        <v>10</v>
      </c>
      <c r="J21" s="286">
        <v>314617</v>
      </c>
      <c r="K21" s="174"/>
      <c r="L21" s="194" t="s">
        <v>15</v>
      </c>
      <c r="M21" s="296" t="s">
        <v>1607</v>
      </c>
      <c r="N21" s="193">
        <v>46173</v>
      </c>
      <c r="O21" s="193">
        <v>46173</v>
      </c>
      <c r="P21" s="251">
        <v>3460789</v>
      </c>
      <c r="Q21" s="192" t="s">
        <v>17</v>
      </c>
      <c r="R21" s="192" t="s">
        <v>16</v>
      </c>
      <c r="S21" s="194" t="s">
        <v>14</v>
      </c>
      <c r="T21" s="64" t="str">
        <f t="shared" si="6"/>
        <v>Đ</v>
      </c>
      <c r="U21" s="66">
        <f t="shared" si="7"/>
        <v>0</v>
      </c>
      <c r="V21" s="62">
        <f t="shared" si="8"/>
        <v>13313</v>
      </c>
    </row>
    <row r="22" spans="1:28" ht="21.6" hidden="1" x14ac:dyDescent="0.3">
      <c r="A22" s="192">
        <v>5</v>
      </c>
      <c r="B22" s="194" t="s">
        <v>281</v>
      </c>
      <c r="C22" s="296" t="s">
        <v>1613</v>
      </c>
      <c r="D22" s="193">
        <v>46168</v>
      </c>
      <c r="E22" s="194" t="s">
        <v>1609</v>
      </c>
      <c r="F22" s="296" t="s">
        <v>18</v>
      </c>
      <c r="G22" s="194" t="s">
        <v>1610</v>
      </c>
      <c r="H22" s="286">
        <v>243805</v>
      </c>
      <c r="I22" s="192">
        <v>10</v>
      </c>
      <c r="J22" s="286">
        <v>24381</v>
      </c>
      <c r="K22" s="174"/>
      <c r="L22" s="194" t="s">
        <v>15</v>
      </c>
      <c r="M22" s="296" t="s">
        <v>1607</v>
      </c>
      <c r="N22" s="193">
        <v>46173</v>
      </c>
      <c r="O22" s="193">
        <v>46173</v>
      </c>
      <c r="P22" s="251">
        <v>268186</v>
      </c>
      <c r="Q22" s="192" t="s">
        <v>17</v>
      </c>
      <c r="R22" s="192" t="s">
        <v>16</v>
      </c>
      <c r="S22" s="194" t="s">
        <v>14</v>
      </c>
      <c r="T22" s="64" t="str">
        <f t="shared" si="6"/>
        <v>Đ</v>
      </c>
      <c r="U22" s="66">
        <f t="shared" si="7"/>
        <v>0</v>
      </c>
      <c r="V22" s="62">
        <f t="shared" si="8"/>
        <v>13313</v>
      </c>
    </row>
    <row r="23" spans="1:28" ht="21.6" hidden="1" x14ac:dyDescent="0.3">
      <c r="A23" s="192">
        <v>6</v>
      </c>
      <c r="B23" s="194" t="s">
        <v>281</v>
      </c>
      <c r="C23" s="296" t="s">
        <v>1614</v>
      </c>
      <c r="D23" s="193">
        <v>46170</v>
      </c>
      <c r="E23" s="194" t="s">
        <v>1609</v>
      </c>
      <c r="F23" s="296" t="s">
        <v>18</v>
      </c>
      <c r="G23" s="194" t="s">
        <v>1610</v>
      </c>
      <c r="H23" s="286">
        <v>151244</v>
      </c>
      <c r="I23" s="192">
        <v>10</v>
      </c>
      <c r="J23" s="286">
        <v>15124</v>
      </c>
      <c r="K23" s="174"/>
      <c r="L23" s="194" t="s">
        <v>15</v>
      </c>
      <c r="M23" s="296" t="s">
        <v>1607</v>
      </c>
      <c r="N23" s="193">
        <v>46173</v>
      </c>
      <c r="O23" s="193">
        <v>46173</v>
      </c>
      <c r="P23" s="251">
        <v>166368</v>
      </c>
      <c r="Q23" s="192" t="s">
        <v>17</v>
      </c>
      <c r="R23" s="192" t="s">
        <v>16</v>
      </c>
      <c r="S23" s="194" t="s">
        <v>14</v>
      </c>
      <c r="T23" s="64" t="str">
        <f t="shared" si="6"/>
        <v>Đ</v>
      </c>
      <c r="U23" s="66">
        <f t="shared" si="7"/>
        <v>0</v>
      </c>
      <c r="V23" s="62">
        <f t="shared" si="8"/>
        <v>13313</v>
      </c>
    </row>
    <row r="24" spans="1:28" ht="21.6" hidden="1" x14ac:dyDescent="0.3">
      <c r="A24" s="192">
        <v>7</v>
      </c>
      <c r="B24" s="194" t="s">
        <v>281</v>
      </c>
      <c r="C24" s="296" t="s">
        <v>1615</v>
      </c>
      <c r="D24" s="193">
        <v>46171</v>
      </c>
      <c r="E24" s="194" t="s">
        <v>1609</v>
      </c>
      <c r="F24" s="296" t="s">
        <v>18</v>
      </c>
      <c r="G24" s="194" t="s">
        <v>1610</v>
      </c>
      <c r="H24" s="286">
        <v>1494552</v>
      </c>
      <c r="I24" s="192">
        <v>10</v>
      </c>
      <c r="J24" s="286">
        <v>149456</v>
      </c>
      <c r="K24" s="174"/>
      <c r="L24" s="194" t="s">
        <v>15</v>
      </c>
      <c r="M24" s="296" t="s">
        <v>1607</v>
      </c>
      <c r="N24" s="193">
        <v>46173</v>
      </c>
      <c r="O24" s="193">
        <v>46173</v>
      </c>
      <c r="P24" s="251">
        <v>1644008</v>
      </c>
      <c r="Q24" s="192" t="s">
        <v>17</v>
      </c>
      <c r="R24" s="192" t="s">
        <v>16</v>
      </c>
      <c r="S24" s="194" t="s">
        <v>14</v>
      </c>
      <c r="T24" s="64" t="str">
        <f t="shared" si="6"/>
        <v>Đ</v>
      </c>
      <c r="U24" s="66">
        <f t="shared" si="7"/>
        <v>-1</v>
      </c>
      <c r="V24" s="62">
        <f t="shared" si="8"/>
        <v>13313</v>
      </c>
    </row>
    <row r="25" spans="1:28" ht="14.4" hidden="1" x14ac:dyDescent="0.3">
      <c r="A25" s="192">
        <v>8</v>
      </c>
      <c r="B25" s="194" t="s">
        <v>281</v>
      </c>
      <c r="C25" s="296" t="s">
        <v>1252</v>
      </c>
      <c r="D25" s="193">
        <v>46153</v>
      </c>
      <c r="E25" s="194" t="s">
        <v>285</v>
      </c>
      <c r="F25" s="296" t="s">
        <v>197</v>
      </c>
      <c r="G25" s="194" t="s">
        <v>1616</v>
      </c>
      <c r="H25" s="286">
        <v>321600000</v>
      </c>
      <c r="I25" s="192">
        <v>8</v>
      </c>
      <c r="J25" s="286">
        <v>25728000</v>
      </c>
      <c r="K25" s="194" t="s">
        <v>12</v>
      </c>
      <c r="L25" s="194" t="s">
        <v>15</v>
      </c>
      <c r="M25" s="296" t="s">
        <v>973</v>
      </c>
      <c r="N25" s="193">
        <v>46173</v>
      </c>
      <c r="O25" s="193">
        <v>46173</v>
      </c>
      <c r="P25" s="251">
        <v>347328000</v>
      </c>
      <c r="Q25" s="192" t="s">
        <v>17</v>
      </c>
      <c r="R25" s="192" t="s">
        <v>195</v>
      </c>
      <c r="S25" s="194" t="s">
        <v>14</v>
      </c>
      <c r="T25" s="64" t="str">
        <f t="shared" si="6"/>
        <v>Đ</v>
      </c>
      <c r="U25" s="66">
        <f t="shared" si="7"/>
        <v>0</v>
      </c>
      <c r="V25" s="62">
        <f t="shared" si="8"/>
        <v>13313</v>
      </c>
    </row>
    <row r="26" spans="1:28" ht="14.4" hidden="1" x14ac:dyDescent="0.3">
      <c r="A26" s="192">
        <v>9</v>
      </c>
      <c r="B26" s="194" t="s">
        <v>281</v>
      </c>
      <c r="C26" s="296" t="s">
        <v>971</v>
      </c>
      <c r="D26" s="193">
        <v>46155</v>
      </c>
      <c r="E26" s="194" t="s">
        <v>285</v>
      </c>
      <c r="F26" s="296" t="s">
        <v>197</v>
      </c>
      <c r="G26" s="194" t="s">
        <v>972</v>
      </c>
      <c r="H26" s="286">
        <v>670800000</v>
      </c>
      <c r="I26" s="192">
        <v>8</v>
      </c>
      <c r="J26" s="286">
        <v>53664000</v>
      </c>
      <c r="K26" s="194" t="s">
        <v>12</v>
      </c>
      <c r="L26" s="194" t="s">
        <v>15</v>
      </c>
      <c r="M26" s="296" t="s">
        <v>973</v>
      </c>
      <c r="N26" s="193">
        <v>46173</v>
      </c>
      <c r="O26" s="193">
        <v>46173</v>
      </c>
      <c r="P26" s="251">
        <v>724464000</v>
      </c>
      <c r="Q26" s="192" t="s">
        <v>10</v>
      </c>
      <c r="R26" s="192" t="s">
        <v>195</v>
      </c>
      <c r="S26" s="194" t="s">
        <v>14</v>
      </c>
      <c r="T26" s="64" t="str">
        <f t="shared" si="6"/>
        <v>Đ</v>
      </c>
      <c r="U26" s="66">
        <f t="shared" si="7"/>
        <v>0</v>
      </c>
      <c r="V26" s="62">
        <f t="shared" si="8"/>
        <v>13311</v>
      </c>
    </row>
    <row r="27" spans="1:28" ht="14.4" hidden="1" x14ac:dyDescent="0.3">
      <c r="A27" s="192">
        <v>10</v>
      </c>
      <c r="B27" s="194" t="s">
        <v>281</v>
      </c>
      <c r="C27" s="296" t="s">
        <v>1617</v>
      </c>
      <c r="D27" s="193">
        <v>46155</v>
      </c>
      <c r="E27" s="194" t="s">
        <v>285</v>
      </c>
      <c r="F27" s="296" t="s">
        <v>197</v>
      </c>
      <c r="G27" s="194" t="s">
        <v>1618</v>
      </c>
      <c r="H27" s="286">
        <v>1286400000</v>
      </c>
      <c r="I27" s="192">
        <v>8</v>
      </c>
      <c r="J27" s="286">
        <v>102912000</v>
      </c>
      <c r="K27" s="194" t="s">
        <v>12</v>
      </c>
      <c r="L27" s="194" t="s">
        <v>15</v>
      </c>
      <c r="M27" s="296" t="s">
        <v>973</v>
      </c>
      <c r="N27" s="193">
        <v>46173</v>
      </c>
      <c r="O27" s="193">
        <v>46173</v>
      </c>
      <c r="P27" s="251">
        <v>1389312000</v>
      </c>
      <c r="Q27" s="192" t="s">
        <v>17</v>
      </c>
      <c r="R27" s="192" t="s">
        <v>195</v>
      </c>
      <c r="S27" s="194" t="s">
        <v>14</v>
      </c>
      <c r="T27" s="64" t="str">
        <f t="shared" si="6"/>
        <v>Đ</v>
      </c>
      <c r="U27" s="66">
        <f t="shared" si="7"/>
        <v>0</v>
      </c>
      <c r="V27" s="62">
        <f t="shared" si="8"/>
        <v>13313</v>
      </c>
    </row>
    <row r="28" spans="1:28" ht="14.4" hidden="1" x14ac:dyDescent="0.3">
      <c r="A28" s="192">
        <v>11</v>
      </c>
      <c r="B28" s="194" t="s">
        <v>281</v>
      </c>
      <c r="C28" s="296" t="s">
        <v>974</v>
      </c>
      <c r="D28" s="193">
        <v>46161</v>
      </c>
      <c r="E28" s="194" t="s">
        <v>285</v>
      </c>
      <c r="F28" s="296" t="s">
        <v>197</v>
      </c>
      <c r="G28" s="194" t="s">
        <v>975</v>
      </c>
      <c r="H28" s="286">
        <v>332362200</v>
      </c>
      <c r="I28" s="192">
        <v>8</v>
      </c>
      <c r="J28" s="286">
        <v>26588976</v>
      </c>
      <c r="K28" s="194" t="s">
        <v>12</v>
      </c>
      <c r="L28" s="194" t="s">
        <v>15</v>
      </c>
      <c r="M28" s="296" t="s">
        <v>973</v>
      </c>
      <c r="N28" s="193">
        <v>46173</v>
      </c>
      <c r="O28" s="193">
        <v>46173</v>
      </c>
      <c r="P28" s="251">
        <v>358951176</v>
      </c>
      <c r="Q28" s="192" t="s">
        <v>10</v>
      </c>
      <c r="R28" s="192" t="s">
        <v>195</v>
      </c>
      <c r="S28" s="194" t="s">
        <v>14</v>
      </c>
      <c r="T28" s="64" t="str">
        <f t="shared" si="6"/>
        <v>Đ</v>
      </c>
      <c r="U28" s="66">
        <f t="shared" si="7"/>
        <v>0</v>
      </c>
      <c r="V28" s="62">
        <f t="shared" si="8"/>
        <v>13311</v>
      </c>
    </row>
    <row r="29" spans="1:28" ht="14.4" hidden="1" x14ac:dyDescent="0.3">
      <c r="A29" s="192">
        <v>12</v>
      </c>
      <c r="B29" s="194" t="s">
        <v>281</v>
      </c>
      <c r="C29" s="296" t="s">
        <v>976</v>
      </c>
      <c r="D29" s="193">
        <v>46161</v>
      </c>
      <c r="E29" s="194" t="s">
        <v>285</v>
      </c>
      <c r="F29" s="296" t="s">
        <v>197</v>
      </c>
      <c r="G29" s="194" t="s">
        <v>977</v>
      </c>
      <c r="H29" s="286">
        <v>168300000</v>
      </c>
      <c r="I29" s="192">
        <v>8</v>
      </c>
      <c r="J29" s="286">
        <v>13464000</v>
      </c>
      <c r="K29" s="194" t="s">
        <v>12</v>
      </c>
      <c r="L29" s="194" t="s">
        <v>15</v>
      </c>
      <c r="M29" s="296" t="s">
        <v>973</v>
      </c>
      <c r="N29" s="193">
        <v>46173</v>
      </c>
      <c r="O29" s="193">
        <v>46173</v>
      </c>
      <c r="P29" s="251">
        <v>181764000</v>
      </c>
      <c r="Q29" s="192" t="s">
        <v>10</v>
      </c>
      <c r="R29" s="192" t="s">
        <v>195</v>
      </c>
      <c r="S29" s="194" t="s">
        <v>14</v>
      </c>
      <c r="T29" s="64" t="str">
        <f t="shared" si="6"/>
        <v>Đ</v>
      </c>
      <c r="U29" s="66">
        <f t="shared" si="7"/>
        <v>0</v>
      </c>
      <c r="V29" s="62">
        <f t="shared" si="8"/>
        <v>13311</v>
      </c>
    </row>
    <row r="30" spans="1:28" ht="14.4" hidden="1" x14ac:dyDescent="0.3">
      <c r="A30" s="192">
        <v>13</v>
      </c>
      <c r="B30" s="194" t="s">
        <v>281</v>
      </c>
      <c r="C30" s="296" t="s">
        <v>978</v>
      </c>
      <c r="D30" s="193">
        <v>46161</v>
      </c>
      <c r="E30" s="194" t="s">
        <v>285</v>
      </c>
      <c r="F30" s="296" t="s">
        <v>197</v>
      </c>
      <c r="G30" s="194" t="s">
        <v>979</v>
      </c>
      <c r="H30" s="286">
        <v>225911443</v>
      </c>
      <c r="I30" s="192">
        <v>8</v>
      </c>
      <c r="J30" s="286">
        <v>18072915</v>
      </c>
      <c r="K30" s="194" t="s">
        <v>12</v>
      </c>
      <c r="L30" s="194" t="s">
        <v>15</v>
      </c>
      <c r="M30" s="296" t="s">
        <v>973</v>
      </c>
      <c r="N30" s="193">
        <v>46173</v>
      </c>
      <c r="O30" s="193">
        <v>46173</v>
      </c>
      <c r="P30" s="251">
        <v>243984358</v>
      </c>
      <c r="Q30" s="192" t="s">
        <v>10</v>
      </c>
      <c r="R30" s="192" t="s">
        <v>195</v>
      </c>
      <c r="S30" s="194" t="s">
        <v>14</v>
      </c>
      <c r="T30" s="64" t="str">
        <f t="shared" si="6"/>
        <v>Đ</v>
      </c>
      <c r="U30" s="66">
        <f t="shared" si="7"/>
        <v>0</v>
      </c>
      <c r="V30" s="62">
        <f t="shared" si="8"/>
        <v>13311</v>
      </c>
    </row>
    <row r="31" spans="1:28" ht="14.4" hidden="1" x14ac:dyDescent="0.3">
      <c r="A31" s="192">
        <v>14</v>
      </c>
      <c r="B31" s="194" t="s">
        <v>281</v>
      </c>
      <c r="C31" s="296" t="s">
        <v>1619</v>
      </c>
      <c r="D31" s="193">
        <v>46167</v>
      </c>
      <c r="E31" s="194" t="s">
        <v>285</v>
      </c>
      <c r="F31" s="296" t="s">
        <v>197</v>
      </c>
      <c r="G31" s="194" t="s">
        <v>1620</v>
      </c>
      <c r="H31" s="286">
        <v>1809648000</v>
      </c>
      <c r="I31" s="192">
        <v>8</v>
      </c>
      <c r="J31" s="286">
        <v>144771840</v>
      </c>
      <c r="K31" s="194" t="s">
        <v>12</v>
      </c>
      <c r="L31" s="194" t="s">
        <v>15</v>
      </c>
      <c r="M31" s="296" t="s">
        <v>973</v>
      </c>
      <c r="N31" s="193">
        <v>46173</v>
      </c>
      <c r="O31" s="193">
        <v>46173</v>
      </c>
      <c r="P31" s="251">
        <v>1954419840</v>
      </c>
      <c r="Q31" s="192" t="s">
        <v>17</v>
      </c>
      <c r="R31" s="192" t="s">
        <v>195</v>
      </c>
      <c r="S31" s="194" t="s">
        <v>14</v>
      </c>
      <c r="T31" s="64" t="str">
        <f t="shared" si="6"/>
        <v>Đ</v>
      </c>
      <c r="U31" s="66">
        <f t="shared" si="7"/>
        <v>0</v>
      </c>
      <c r="V31" s="62">
        <f t="shared" si="8"/>
        <v>13313</v>
      </c>
    </row>
    <row r="32" spans="1:28" ht="14.4" hidden="1" x14ac:dyDescent="0.3">
      <c r="A32" s="192">
        <v>15</v>
      </c>
      <c r="B32" s="194" t="s">
        <v>281</v>
      </c>
      <c r="C32" s="296" t="s">
        <v>1621</v>
      </c>
      <c r="D32" s="193">
        <v>46168</v>
      </c>
      <c r="E32" s="194" t="s">
        <v>285</v>
      </c>
      <c r="F32" s="296" t="s">
        <v>197</v>
      </c>
      <c r="G32" s="194" t="s">
        <v>1622</v>
      </c>
      <c r="H32" s="286">
        <v>4700000000</v>
      </c>
      <c r="I32" s="192">
        <v>8</v>
      </c>
      <c r="J32" s="286">
        <v>376000000</v>
      </c>
      <c r="K32" s="194" t="s">
        <v>12</v>
      </c>
      <c r="L32" s="194" t="s">
        <v>15</v>
      </c>
      <c r="M32" s="296" t="s">
        <v>973</v>
      </c>
      <c r="N32" s="193">
        <v>46173</v>
      </c>
      <c r="O32" s="193">
        <v>46173</v>
      </c>
      <c r="P32" s="251">
        <v>5076000000</v>
      </c>
      <c r="Q32" s="192" t="s">
        <v>17</v>
      </c>
      <c r="R32" s="192" t="s">
        <v>195</v>
      </c>
      <c r="S32" s="194" t="s">
        <v>14</v>
      </c>
      <c r="T32" s="64" t="str">
        <f t="shared" si="6"/>
        <v>Đ</v>
      </c>
      <c r="U32" s="66">
        <f t="shared" si="7"/>
        <v>0</v>
      </c>
      <c r="V32" s="62">
        <f t="shared" si="8"/>
        <v>13313</v>
      </c>
    </row>
    <row r="33" spans="1:24" ht="14.4" hidden="1" x14ac:dyDescent="0.3">
      <c r="A33" s="192">
        <v>16</v>
      </c>
      <c r="B33" s="194" t="s">
        <v>281</v>
      </c>
      <c r="C33" s="296" t="s">
        <v>1623</v>
      </c>
      <c r="D33" s="193">
        <v>46168</v>
      </c>
      <c r="E33" s="194" t="s">
        <v>285</v>
      </c>
      <c r="F33" s="296" t="s">
        <v>197</v>
      </c>
      <c r="G33" s="194" t="s">
        <v>1624</v>
      </c>
      <c r="H33" s="286">
        <v>4700000000</v>
      </c>
      <c r="I33" s="192">
        <v>8</v>
      </c>
      <c r="J33" s="286">
        <v>376000000</v>
      </c>
      <c r="K33" s="194" t="s">
        <v>12</v>
      </c>
      <c r="L33" s="194" t="s">
        <v>15</v>
      </c>
      <c r="M33" s="296" t="s">
        <v>973</v>
      </c>
      <c r="N33" s="193">
        <v>46173</v>
      </c>
      <c r="O33" s="193">
        <v>46173</v>
      </c>
      <c r="P33" s="251">
        <v>5076000000</v>
      </c>
      <c r="Q33" s="192" t="s">
        <v>17</v>
      </c>
      <c r="R33" s="192" t="s">
        <v>195</v>
      </c>
      <c r="S33" s="194" t="s">
        <v>14</v>
      </c>
      <c r="T33" s="64" t="str">
        <f t="shared" si="6"/>
        <v>Đ</v>
      </c>
      <c r="U33" s="66">
        <f t="shared" si="7"/>
        <v>0</v>
      </c>
      <c r="V33" s="62">
        <f t="shared" si="8"/>
        <v>13313</v>
      </c>
    </row>
    <row r="34" spans="1:24" ht="14.4" hidden="1" x14ac:dyDescent="0.3">
      <c r="A34" s="192">
        <v>17</v>
      </c>
      <c r="B34" s="194" t="s">
        <v>281</v>
      </c>
      <c r="C34" s="296" t="s">
        <v>1625</v>
      </c>
      <c r="D34" s="193">
        <v>46168</v>
      </c>
      <c r="E34" s="194" t="s">
        <v>285</v>
      </c>
      <c r="F34" s="296" t="s">
        <v>197</v>
      </c>
      <c r="G34" s="194" t="s">
        <v>1626</v>
      </c>
      <c r="H34" s="286">
        <v>3619296000</v>
      </c>
      <c r="I34" s="192">
        <v>8</v>
      </c>
      <c r="J34" s="286">
        <v>289543680</v>
      </c>
      <c r="K34" s="194" t="s">
        <v>12</v>
      </c>
      <c r="L34" s="194" t="s">
        <v>15</v>
      </c>
      <c r="M34" s="296" t="s">
        <v>973</v>
      </c>
      <c r="N34" s="193">
        <v>46173</v>
      </c>
      <c r="O34" s="193">
        <v>46173</v>
      </c>
      <c r="P34" s="251">
        <v>3908839680</v>
      </c>
      <c r="Q34" s="192" t="s">
        <v>17</v>
      </c>
      <c r="R34" s="192" t="s">
        <v>195</v>
      </c>
      <c r="S34" s="194" t="s">
        <v>14</v>
      </c>
      <c r="T34" s="64" t="str">
        <f t="shared" si="6"/>
        <v>Đ</v>
      </c>
      <c r="U34" s="66">
        <f t="shared" si="7"/>
        <v>0</v>
      </c>
      <c r="V34" s="62">
        <f t="shared" si="8"/>
        <v>13313</v>
      </c>
    </row>
    <row r="35" spans="1:24" ht="14.4" hidden="1" x14ac:dyDescent="0.3">
      <c r="A35" s="192">
        <v>18</v>
      </c>
      <c r="B35" s="194" t="s">
        <v>281</v>
      </c>
      <c r="C35" s="296" t="s">
        <v>1627</v>
      </c>
      <c r="D35" s="193">
        <v>46169</v>
      </c>
      <c r="E35" s="194" t="s">
        <v>285</v>
      </c>
      <c r="F35" s="296" t="s">
        <v>197</v>
      </c>
      <c r="G35" s="194" t="s">
        <v>1628</v>
      </c>
      <c r="H35" s="286">
        <v>1281834000</v>
      </c>
      <c r="I35" s="192">
        <v>8</v>
      </c>
      <c r="J35" s="286">
        <v>102546720</v>
      </c>
      <c r="K35" s="194" t="s">
        <v>12</v>
      </c>
      <c r="L35" s="194" t="s">
        <v>15</v>
      </c>
      <c r="M35" s="296" t="s">
        <v>973</v>
      </c>
      <c r="N35" s="193">
        <v>46173</v>
      </c>
      <c r="O35" s="193">
        <v>46173</v>
      </c>
      <c r="P35" s="251">
        <v>1384380720</v>
      </c>
      <c r="Q35" s="192" t="s">
        <v>17</v>
      </c>
      <c r="R35" s="192" t="s">
        <v>195</v>
      </c>
      <c r="S35" s="194" t="s">
        <v>14</v>
      </c>
      <c r="T35" s="64" t="str">
        <f t="shared" si="6"/>
        <v>Đ</v>
      </c>
      <c r="U35" s="66">
        <f t="shared" si="7"/>
        <v>0</v>
      </c>
      <c r="V35" s="62">
        <f t="shared" si="8"/>
        <v>13313</v>
      </c>
    </row>
    <row r="36" spans="1:24" ht="21.6" hidden="1" x14ac:dyDescent="0.3">
      <c r="A36" s="192">
        <v>19</v>
      </c>
      <c r="B36" s="194" t="s">
        <v>1629</v>
      </c>
      <c r="C36" s="296" t="s">
        <v>1630</v>
      </c>
      <c r="D36" s="193">
        <v>45944</v>
      </c>
      <c r="E36" s="194" t="s">
        <v>1631</v>
      </c>
      <c r="F36" s="296" t="s">
        <v>1632</v>
      </c>
      <c r="G36" s="194" t="s">
        <v>1633</v>
      </c>
      <c r="H36" s="286">
        <v>148568460</v>
      </c>
      <c r="I36" s="192">
        <v>8</v>
      </c>
      <c r="J36" s="286">
        <v>11885477</v>
      </c>
      <c r="K36" s="174"/>
      <c r="L36" s="194" t="s">
        <v>15</v>
      </c>
      <c r="M36" s="296" t="s">
        <v>1634</v>
      </c>
      <c r="N36" s="193">
        <v>46173</v>
      </c>
      <c r="O36" s="193">
        <v>46173</v>
      </c>
      <c r="P36" s="251">
        <v>160453937</v>
      </c>
      <c r="Q36" s="192" t="s">
        <v>17</v>
      </c>
      <c r="R36" s="192" t="s">
        <v>16</v>
      </c>
      <c r="S36" s="194" t="s">
        <v>14</v>
      </c>
      <c r="T36" s="64" t="str">
        <f t="shared" si="6"/>
        <v>Đ</v>
      </c>
      <c r="U36" s="66">
        <f t="shared" si="7"/>
        <v>0</v>
      </c>
      <c r="V36" s="62">
        <f t="shared" si="8"/>
        <v>13313</v>
      </c>
      <c r="W36" s="67"/>
      <c r="X36" s="67"/>
    </row>
    <row r="37" spans="1:24" ht="21.6" hidden="1" x14ac:dyDescent="0.3">
      <c r="A37" s="192">
        <v>20</v>
      </c>
      <c r="B37" s="194" t="s">
        <v>1629</v>
      </c>
      <c r="C37" s="296" t="s">
        <v>1635</v>
      </c>
      <c r="D37" s="193">
        <v>45944</v>
      </c>
      <c r="E37" s="194" t="s">
        <v>1631</v>
      </c>
      <c r="F37" s="296" t="s">
        <v>1632</v>
      </c>
      <c r="G37" s="194" t="s">
        <v>1633</v>
      </c>
      <c r="H37" s="286">
        <v>640217</v>
      </c>
      <c r="I37" s="192">
        <v>8</v>
      </c>
      <c r="J37" s="286">
        <v>51217</v>
      </c>
      <c r="K37" s="174"/>
      <c r="L37" s="194" t="s">
        <v>15</v>
      </c>
      <c r="M37" s="296" t="s">
        <v>1634</v>
      </c>
      <c r="N37" s="193">
        <v>46173</v>
      </c>
      <c r="O37" s="193">
        <v>46173</v>
      </c>
      <c r="P37" s="251">
        <v>691434</v>
      </c>
      <c r="Q37" s="192" t="s">
        <v>17</v>
      </c>
      <c r="R37" s="192" t="s">
        <v>16</v>
      </c>
      <c r="S37" s="194" t="s">
        <v>14</v>
      </c>
      <c r="T37" s="64" t="str">
        <f t="shared" si="6"/>
        <v>Đ</v>
      </c>
      <c r="U37" s="66">
        <f t="shared" si="7"/>
        <v>0</v>
      </c>
      <c r="V37" s="62">
        <f t="shared" si="8"/>
        <v>13313</v>
      </c>
    </row>
    <row r="38" spans="1:24" ht="21.6" hidden="1" x14ac:dyDescent="0.3">
      <c r="A38" s="192">
        <v>21</v>
      </c>
      <c r="B38" s="194" t="s">
        <v>1629</v>
      </c>
      <c r="C38" s="296" t="s">
        <v>1636</v>
      </c>
      <c r="D38" s="193">
        <v>46016</v>
      </c>
      <c r="E38" s="194" t="s">
        <v>1631</v>
      </c>
      <c r="F38" s="296" t="s">
        <v>1632</v>
      </c>
      <c r="G38" s="194" t="s">
        <v>1633</v>
      </c>
      <c r="H38" s="286">
        <v>139125661</v>
      </c>
      <c r="I38" s="192">
        <v>8</v>
      </c>
      <c r="J38" s="286">
        <v>11130053</v>
      </c>
      <c r="K38" s="174"/>
      <c r="L38" s="194" t="s">
        <v>15</v>
      </c>
      <c r="M38" s="296" t="s">
        <v>1634</v>
      </c>
      <c r="N38" s="193">
        <v>46173</v>
      </c>
      <c r="O38" s="193">
        <v>46173</v>
      </c>
      <c r="P38" s="251">
        <v>150255714</v>
      </c>
      <c r="Q38" s="192" t="s">
        <v>17</v>
      </c>
      <c r="R38" s="192" t="s">
        <v>16</v>
      </c>
      <c r="S38" s="194" t="s">
        <v>14</v>
      </c>
      <c r="T38" s="64" t="str">
        <f t="shared" si="6"/>
        <v>Đ</v>
      </c>
      <c r="U38" s="66">
        <f t="shared" si="7"/>
        <v>0</v>
      </c>
      <c r="V38" s="62">
        <f t="shared" si="8"/>
        <v>13313</v>
      </c>
    </row>
    <row r="39" spans="1:24" ht="21.6" hidden="1" x14ac:dyDescent="0.3">
      <c r="A39" s="192">
        <v>22</v>
      </c>
      <c r="B39" s="194" t="s">
        <v>1629</v>
      </c>
      <c r="C39" s="296" t="s">
        <v>1637</v>
      </c>
      <c r="D39" s="193">
        <v>46016</v>
      </c>
      <c r="E39" s="194" t="s">
        <v>1631</v>
      </c>
      <c r="F39" s="296" t="s">
        <v>1632</v>
      </c>
      <c r="G39" s="194" t="s">
        <v>1633</v>
      </c>
      <c r="H39" s="286">
        <v>15482358</v>
      </c>
      <c r="I39" s="192">
        <v>8</v>
      </c>
      <c r="J39" s="286">
        <v>1238589</v>
      </c>
      <c r="K39" s="174"/>
      <c r="L39" s="194" t="s">
        <v>15</v>
      </c>
      <c r="M39" s="296" t="s">
        <v>1634</v>
      </c>
      <c r="N39" s="193">
        <v>46173</v>
      </c>
      <c r="O39" s="193">
        <v>46173</v>
      </c>
      <c r="P39" s="251">
        <v>16720947</v>
      </c>
      <c r="Q39" s="192" t="s">
        <v>17</v>
      </c>
      <c r="R39" s="192" t="s">
        <v>16</v>
      </c>
      <c r="S39" s="194" t="s">
        <v>14</v>
      </c>
      <c r="T39" s="64" t="str">
        <f t="shared" si="6"/>
        <v>Đ</v>
      </c>
      <c r="U39" s="66">
        <f t="shared" si="7"/>
        <v>0</v>
      </c>
      <c r="V39" s="62">
        <f t="shared" si="8"/>
        <v>13313</v>
      </c>
    </row>
    <row r="40" spans="1:24" ht="21.6" hidden="1" x14ac:dyDescent="0.3">
      <c r="A40" s="192">
        <v>23</v>
      </c>
      <c r="B40" s="194" t="s">
        <v>1629</v>
      </c>
      <c r="C40" s="296" t="s">
        <v>1638</v>
      </c>
      <c r="D40" s="193">
        <v>46016</v>
      </c>
      <c r="E40" s="194" t="s">
        <v>1631</v>
      </c>
      <c r="F40" s="296" t="s">
        <v>1632</v>
      </c>
      <c r="G40" s="194" t="s">
        <v>1633</v>
      </c>
      <c r="H40" s="286">
        <v>15482358</v>
      </c>
      <c r="I40" s="192">
        <v>8</v>
      </c>
      <c r="J40" s="286">
        <v>1238589</v>
      </c>
      <c r="K40" s="174"/>
      <c r="L40" s="194" t="s">
        <v>15</v>
      </c>
      <c r="M40" s="296" t="s">
        <v>1634</v>
      </c>
      <c r="N40" s="193">
        <v>46173</v>
      </c>
      <c r="O40" s="193">
        <v>46173</v>
      </c>
      <c r="P40" s="251">
        <v>16720947</v>
      </c>
      <c r="Q40" s="192" t="s">
        <v>17</v>
      </c>
      <c r="R40" s="192" t="s">
        <v>16</v>
      </c>
      <c r="S40" s="194" t="s">
        <v>14</v>
      </c>
      <c r="T40" s="64" t="str">
        <f t="shared" si="6"/>
        <v>Đ</v>
      </c>
      <c r="U40" s="66">
        <f t="shared" si="7"/>
        <v>0</v>
      </c>
      <c r="V40" s="62">
        <f t="shared" si="8"/>
        <v>13313</v>
      </c>
    </row>
    <row r="41" spans="1:24" ht="21.6" hidden="1" x14ac:dyDescent="0.3">
      <c r="A41" s="192">
        <v>24</v>
      </c>
      <c r="B41" s="194" t="s">
        <v>1629</v>
      </c>
      <c r="C41" s="296" t="s">
        <v>1639</v>
      </c>
      <c r="D41" s="193">
        <v>46022</v>
      </c>
      <c r="E41" s="194" t="s">
        <v>1631</v>
      </c>
      <c r="F41" s="296" t="s">
        <v>1632</v>
      </c>
      <c r="G41" s="194" t="s">
        <v>1633</v>
      </c>
      <c r="H41" s="286">
        <v>8812038</v>
      </c>
      <c r="I41" s="192">
        <v>8</v>
      </c>
      <c r="J41" s="286">
        <v>704963</v>
      </c>
      <c r="K41" s="174"/>
      <c r="L41" s="194" t="s">
        <v>15</v>
      </c>
      <c r="M41" s="296" t="s">
        <v>1634</v>
      </c>
      <c r="N41" s="193">
        <v>46173</v>
      </c>
      <c r="O41" s="193">
        <v>46173</v>
      </c>
      <c r="P41" s="251">
        <v>9517001</v>
      </c>
      <c r="Q41" s="192" t="s">
        <v>17</v>
      </c>
      <c r="R41" s="192" t="s">
        <v>16</v>
      </c>
      <c r="S41" s="194" t="s">
        <v>14</v>
      </c>
      <c r="T41" s="64" t="str">
        <f t="shared" si="6"/>
        <v>Đ</v>
      </c>
      <c r="U41" s="66">
        <f t="shared" si="7"/>
        <v>0</v>
      </c>
      <c r="V41" s="62">
        <f t="shared" si="8"/>
        <v>13313</v>
      </c>
    </row>
    <row r="42" spans="1:24" ht="21.6" hidden="1" x14ac:dyDescent="0.3">
      <c r="A42" s="192">
        <v>25</v>
      </c>
      <c r="B42" s="194" t="s">
        <v>284</v>
      </c>
      <c r="C42" s="296" t="s">
        <v>980</v>
      </c>
      <c r="D42" s="193">
        <v>46144</v>
      </c>
      <c r="E42" s="194" t="s">
        <v>826</v>
      </c>
      <c r="F42" s="296" t="s">
        <v>827</v>
      </c>
      <c r="G42" s="194" t="s">
        <v>981</v>
      </c>
      <c r="H42" s="286">
        <v>40710380</v>
      </c>
      <c r="I42" s="192">
        <v>8</v>
      </c>
      <c r="J42" s="286">
        <v>3256830</v>
      </c>
      <c r="K42" s="194" t="s">
        <v>12</v>
      </c>
      <c r="L42" s="194" t="s">
        <v>15</v>
      </c>
      <c r="M42" s="296" t="s">
        <v>982</v>
      </c>
      <c r="N42" s="193">
        <v>46173</v>
      </c>
      <c r="O42" s="193">
        <v>46173</v>
      </c>
      <c r="P42" s="251">
        <v>43967210</v>
      </c>
      <c r="Q42" s="192" t="s">
        <v>10</v>
      </c>
      <c r="R42" s="192" t="s">
        <v>195</v>
      </c>
      <c r="S42" s="194" t="s">
        <v>14</v>
      </c>
      <c r="T42" s="64" t="str">
        <f t="shared" si="6"/>
        <v>Đ</v>
      </c>
      <c r="U42" s="66">
        <f t="shared" si="7"/>
        <v>0</v>
      </c>
      <c r="V42" s="62">
        <f t="shared" si="8"/>
        <v>13311</v>
      </c>
    </row>
    <row r="43" spans="1:24" ht="21.6" hidden="1" x14ac:dyDescent="0.3">
      <c r="A43" s="192">
        <v>26</v>
      </c>
      <c r="B43" s="194" t="s">
        <v>284</v>
      </c>
      <c r="C43" s="296" t="s">
        <v>983</v>
      </c>
      <c r="D43" s="193">
        <v>46144</v>
      </c>
      <c r="E43" s="194" t="s">
        <v>826</v>
      </c>
      <c r="F43" s="296" t="s">
        <v>827</v>
      </c>
      <c r="G43" s="194" t="s">
        <v>981</v>
      </c>
      <c r="H43" s="286">
        <v>3851136</v>
      </c>
      <c r="I43" s="192">
        <v>8</v>
      </c>
      <c r="J43" s="286">
        <v>308091</v>
      </c>
      <c r="K43" s="194" t="s">
        <v>12</v>
      </c>
      <c r="L43" s="194" t="s">
        <v>15</v>
      </c>
      <c r="M43" s="296" t="s">
        <v>982</v>
      </c>
      <c r="N43" s="193">
        <v>46173</v>
      </c>
      <c r="O43" s="193">
        <v>46173</v>
      </c>
      <c r="P43" s="251">
        <v>4159227</v>
      </c>
      <c r="Q43" s="192" t="s">
        <v>10</v>
      </c>
      <c r="R43" s="192" t="s">
        <v>195</v>
      </c>
      <c r="S43" s="194" t="s">
        <v>14</v>
      </c>
      <c r="T43" s="64" t="str">
        <f t="shared" si="6"/>
        <v>Đ</v>
      </c>
      <c r="U43" s="66">
        <f t="shared" si="7"/>
        <v>0</v>
      </c>
      <c r="V43" s="62">
        <f t="shared" si="8"/>
        <v>13311</v>
      </c>
    </row>
    <row r="44" spans="1:24" ht="21.6" hidden="1" x14ac:dyDescent="0.3">
      <c r="A44" s="192">
        <v>27</v>
      </c>
      <c r="B44" s="194" t="s">
        <v>284</v>
      </c>
      <c r="C44" s="296" t="s">
        <v>984</v>
      </c>
      <c r="D44" s="193">
        <v>46144</v>
      </c>
      <c r="E44" s="194" t="s">
        <v>826</v>
      </c>
      <c r="F44" s="296" t="s">
        <v>827</v>
      </c>
      <c r="G44" s="194" t="s">
        <v>981</v>
      </c>
      <c r="H44" s="286">
        <v>2534391</v>
      </c>
      <c r="I44" s="192">
        <v>8</v>
      </c>
      <c r="J44" s="286">
        <v>202751</v>
      </c>
      <c r="K44" s="194" t="s">
        <v>12</v>
      </c>
      <c r="L44" s="194" t="s">
        <v>15</v>
      </c>
      <c r="M44" s="296" t="s">
        <v>982</v>
      </c>
      <c r="N44" s="193">
        <v>46173</v>
      </c>
      <c r="O44" s="193">
        <v>46173</v>
      </c>
      <c r="P44" s="251">
        <v>2737142</v>
      </c>
      <c r="Q44" s="192" t="s">
        <v>10</v>
      </c>
      <c r="R44" s="192" t="s">
        <v>195</v>
      </c>
      <c r="S44" s="194" t="s">
        <v>14</v>
      </c>
      <c r="T44" s="64" t="str">
        <f t="shared" si="6"/>
        <v>Đ</v>
      </c>
      <c r="U44" s="66">
        <f t="shared" si="7"/>
        <v>0</v>
      </c>
      <c r="V44" s="62">
        <f t="shared" si="8"/>
        <v>13311</v>
      </c>
    </row>
    <row r="45" spans="1:24" s="68" customFormat="1" ht="21.6" hidden="1" x14ac:dyDescent="0.3">
      <c r="A45" s="192">
        <v>28</v>
      </c>
      <c r="B45" s="194" t="s">
        <v>284</v>
      </c>
      <c r="C45" s="296" t="s">
        <v>985</v>
      </c>
      <c r="D45" s="193">
        <v>46144</v>
      </c>
      <c r="E45" s="194" t="s">
        <v>826</v>
      </c>
      <c r="F45" s="296" t="s">
        <v>827</v>
      </c>
      <c r="G45" s="194" t="s">
        <v>981</v>
      </c>
      <c r="H45" s="286">
        <v>23203647</v>
      </c>
      <c r="I45" s="192">
        <v>8</v>
      </c>
      <c r="J45" s="286">
        <v>1856292</v>
      </c>
      <c r="K45" s="194" t="s">
        <v>12</v>
      </c>
      <c r="L45" s="194" t="s">
        <v>15</v>
      </c>
      <c r="M45" s="296" t="s">
        <v>982</v>
      </c>
      <c r="N45" s="193">
        <v>46173</v>
      </c>
      <c r="O45" s="193">
        <v>46173</v>
      </c>
      <c r="P45" s="251">
        <v>25059939</v>
      </c>
      <c r="Q45" s="192" t="s">
        <v>10</v>
      </c>
      <c r="R45" s="192" t="s">
        <v>195</v>
      </c>
      <c r="S45" s="194" t="s">
        <v>14</v>
      </c>
      <c r="T45" s="64" t="str">
        <f t="shared" si="6"/>
        <v>Đ</v>
      </c>
      <c r="U45" s="66">
        <f t="shared" si="7"/>
        <v>0</v>
      </c>
      <c r="V45" s="62">
        <f t="shared" si="8"/>
        <v>13311</v>
      </c>
    </row>
    <row r="46" spans="1:24" ht="21.6" hidden="1" x14ac:dyDescent="0.3">
      <c r="A46" s="192">
        <v>29</v>
      </c>
      <c r="B46" s="194" t="s">
        <v>284</v>
      </c>
      <c r="C46" s="296" t="s">
        <v>986</v>
      </c>
      <c r="D46" s="193">
        <v>46144</v>
      </c>
      <c r="E46" s="194" t="s">
        <v>826</v>
      </c>
      <c r="F46" s="296" t="s">
        <v>827</v>
      </c>
      <c r="G46" s="194" t="s">
        <v>981</v>
      </c>
      <c r="H46" s="286">
        <v>9143636</v>
      </c>
      <c r="I46" s="192">
        <v>8</v>
      </c>
      <c r="J46" s="286">
        <v>731491</v>
      </c>
      <c r="K46" s="194" t="s">
        <v>12</v>
      </c>
      <c r="L46" s="194" t="s">
        <v>15</v>
      </c>
      <c r="M46" s="296" t="s">
        <v>982</v>
      </c>
      <c r="N46" s="193">
        <v>46173</v>
      </c>
      <c r="O46" s="193">
        <v>46173</v>
      </c>
      <c r="P46" s="251">
        <v>9875127</v>
      </c>
      <c r="Q46" s="192" t="s">
        <v>10</v>
      </c>
      <c r="R46" s="192" t="s">
        <v>195</v>
      </c>
      <c r="S46" s="194" t="s">
        <v>14</v>
      </c>
      <c r="T46" s="64" t="str">
        <f t="shared" si="6"/>
        <v>Đ</v>
      </c>
      <c r="U46" s="66">
        <f t="shared" si="7"/>
        <v>0</v>
      </c>
      <c r="V46" s="62">
        <f t="shared" si="8"/>
        <v>13311</v>
      </c>
    </row>
    <row r="47" spans="1:24" ht="31.8" hidden="1" x14ac:dyDescent="0.3">
      <c r="A47" s="192">
        <v>30</v>
      </c>
      <c r="B47" s="194" t="s">
        <v>823</v>
      </c>
      <c r="C47" s="296" t="s">
        <v>987</v>
      </c>
      <c r="D47" s="193">
        <v>46144</v>
      </c>
      <c r="E47" s="194" t="s">
        <v>988</v>
      </c>
      <c r="F47" s="296" t="s">
        <v>824</v>
      </c>
      <c r="G47" s="194" t="s">
        <v>989</v>
      </c>
      <c r="H47" s="286">
        <v>20000</v>
      </c>
      <c r="I47" s="192">
        <v>10</v>
      </c>
      <c r="J47" s="286">
        <v>2000</v>
      </c>
      <c r="K47" s="194" t="s">
        <v>12</v>
      </c>
      <c r="L47" s="194" t="s">
        <v>15</v>
      </c>
      <c r="M47" s="296" t="s">
        <v>982</v>
      </c>
      <c r="N47" s="193">
        <v>46173</v>
      </c>
      <c r="O47" s="193">
        <v>46173</v>
      </c>
      <c r="P47" s="251">
        <v>22000</v>
      </c>
      <c r="Q47" s="192" t="s">
        <v>10</v>
      </c>
      <c r="R47" s="192" t="s">
        <v>195</v>
      </c>
      <c r="S47" s="194" t="s">
        <v>14</v>
      </c>
      <c r="T47" s="64" t="str">
        <f t="shared" si="6"/>
        <v>Đ</v>
      </c>
      <c r="U47" s="66">
        <f t="shared" si="7"/>
        <v>0</v>
      </c>
      <c r="V47" s="62">
        <f t="shared" si="8"/>
        <v>13311</v>
      </c>
    </row>
    <row r="48" spans="1:24" s="69" customFormat="1" ht="31.8" hidden="1" x14ac:dyDescent="0.3">
      <c r="A48" s="192">
        <v>31</v>
      </c>
      <c r="B48" s="194" t="s">
        <v>823</v>
      </c>
      <c r="C48" s="296" t="s">
        <v>990</v>
      </c>
      <c r="D48" s="193">
        <v>46144</v>
      </c>
      <c r="E48" s="194" t="s">
        <v>988</v>
      </c>
      <c r="F48" s="296" t="s">
        <v>824</v>
      </c>
      <c r="G48" s="194" t="s">
        <v>989</v>
      </c>
      <c r="H48" s="286">
        <v>218182</v>
      </c>
      <c r="I48" s="192">
        <v>10</v>
      </c>
      <c r="J48" s="286">
        <v>21818</v>
      </c>
      <c r="K48" s="194" t="s">
        <v>12</v>
      </c>
      <c r="L48" s="194" t="s">
        <v>15</v>
      </c>
      <c r="M48" s="296" t="s">
        <v>982</v>
      </c>
      <c r="N48" s="193">
        <v>46173</v>
      </c>
      <c r="O48" s="193">
        <v>46173</v>
      </c>
      <c r="P48" s="251">
        <v>240000</v>
      </c>
      <c r="Q48" s="192" t="s">
        <v>10</v>
      </c>
      <c r="R48" s="192" t="s">
        <v>195</v>
      </c>
      <c r="S48" s="194" t="s">
        <v>14</v>
      </c>
      <c r="T48" s="64" t="str">
        <f t="shared" si="6"/>
        <v>Đ</v>
      </c>
      <c r="U48" s="66">
        <f t="shared" si="7"/>
        <v>0</v>
      </c>
      <c r="V48" s="62">
        <f t="shared" si="8"/>
        <v>13311</v>
      </c>
    </row>
    <row r="49" spans="1:23" s="70" customFormat="1" ht="31.8" hidden="1" x14ac:dyDescent="0.3">
      <c r="A49" s="192">
        <v>32</v>
      </c>
      <c r="B49" s="194" t="s">
        <v>823</v>
      </c>
      <c r="C49" s="296" t="s">
        <v>991</v>
      </c>
      <c r="D49" s="193">
        <v>46144</v>
      </c>
      <c r="E49" s="194" t="s">
        <v>988</v>
      </c>
      <c r="F49" s="296" t="s">
        <v>824</v>
      </c>
      <c r="G49" s="194" t="s">
        <v>989</v>
      </c>
      <c r="H49" s="286">
        <v>69091</v>
      </c>
      <c r="I49" s="192">
        <v>10</v>
      </c>
      <c r="J49" s="286">
        <v>6909</v>
      </c>
      <c r="K49" s="194" t="s">
        <v>12</v>
      </c>
      <c r="L49" s="194" t="s">
        <v>15</v>
      </c>
      <c r="M49" s="296" t="s">
        <v>982</v>
      </c>
      <c r="N49" s="193">
        <v>46173</v>
      </c>
      <c r="O49" s="193">
        <v>46173</v>
      </c>
      <c r="P49" s="251">
        <v>76000</v>
      </c>
      <c r="Q49" s="192" t="s">
        <v>10</v>
      </c>
      <c r="R49" s="192" t="s">
        <v>195</v>
      </c>
      <c r="S49" s="194" t="s">
        <v>14</v>
      </c>
      <c r="T49" s="64" t="str">
        <f t="shared" si="6"/>
        <v>Đ</v>
      </c>
      <c r="U49" s="66">
        <f t="shared" si="7"/>
        <v>0</v>
      </c>
      <c r="V49" s="62">
        <f t="shared" si="8"/>
        <v>13311</v>
      </c>
      <c r="W49" s="70" t="s">
        <v>246</v>
      </c>
    </row>
    <row r="50" spans="1:23" ht="31.8" hidden="1" x14ac:dyDescent="0.3">
      <c r="A50" s="192">
        <v>33</v>
      </c>
      <c r="B50" s="194" t="s">
        <v>823</v>
      </c>
      <c r="C50" s="296" t="s">
        <v>992</v>
      </c>
      <c r="D50" s="193">
        <v>46144</v>
      </c>
      <c r="E50" s="194" t="s">
        <v>988</v>
      </c>
      <c r="F50" s="296" t="s">
        <v>824</v>
      </c>
      <c r="G50" s="194" t="s">
        <v>989</v>
      </c>
      <c r="H50" s="286">
        <v>1450000</v>
      </c>
      <c r="I50" s="192">
        <v>10</v>
      </c>
      <c r="J50" s="286">
        <v>145000</v>
      </c>
      <c r="K50" s="194" t="s">
        <v>12</v>
      </c>
      <c r="L50" s="194" t="s">
        <v>15</v>
      </c>
      <c r="M50" s="296" t="s">
        <v>982</v>
      </c>
      <c r="N50" s="193">
        <v>46173</v>
      </c>
      <c r="O50" s="193">
        <v>46173</v>
      </c>
      <c r="P50" s="251">
        <v>1595000</v>
      </c>
      <c r="Q50" s="192" t="s">
        <v>10</v>
      </c>
      <c r="R50" s="192" t="s">
        <v>195</v>
      </c>
      <c r="S50" s="194" t="s">
        <v>14</v>
      </c>
      <c r="T50" s="64" t="str">
        <f t="shared" si="6"/>
        <v>Đ</v>
      </c>
      <c r="U50" s="66">
        <f t="shared" si="7"/>
        <v>0</v>
      </c>
      <c r="V50" s="62">
        <f t="shared" si="8"/>
        <v>13311</v>
      </c>
    </row>
    <row r="51" spans="1:23" ht="31.8" hidden="1" x14ac:dyDescent="0.3">
      <c r="A51" s="192">
        <v>34</v>
      </c>
      <c r="B51" s="194" t="s">
        <v>823</v>
      </c>
      <c r="C51" s="296" t="s">
        <v>993</v>
      </c>
      <c r="D51" s="193">
        <v>46144</v>
      </c>
      <c r="E51" s="194" t="s">
        <v>988</v>
      </c>
      <c r="F51" s="296" t="s">
        <v>824</v>
      </c>
      <c r="G51" s="194" t="s">
        <v>989</v>
      </c>
      <c r="H51" s="286">
        <v>3277274</v>
      </c>
      <c r="I51" s="192">
        <v>10</v>
      </c>
      <c r="J51" s="286">
        <v>327727</v>
      </c>
      <c r="K51" s="194" t="s">
        <v>12</v>
      </c>
      <c r="L51" s="194" t="s">
        <v>15</v>
      </c>
      <c r="M51" s="296" t="s">
        <v>982</v>
      </c>
      <c r="N51" s="193">
        <v>46173</v>
      </c>
      <c r="O51" s="193">
        <v>46173</v>
      </c>
      <c r="P51" s="251">
        <v>3605001</v>
      </c>
      <c r="Q51" s="192" t="s">
        <v>10</v>
      </c>
      <c r="R51" s="192" t="s">
        <v>195</v>
      </c>
      <c r="S51" s="194" t="s">
        <v>14</v>
      </c>
      <c r="T51" s="64" t="str">
        <f t="shared" si="6"/>
        <v>Đ</v>
      </c>
      <c r="U51" s="66">
        <f t="shared" si="7"/>
        <v>0</v>
      </c>
      <c r="V51" s="62">
        <f t="shared" si="8"/>
        <v>13311</v>
      </c>
    </row>
    <row r="52" spans="1:23" ht="31.8" hidden="1" x14ac:dyDescent="0.3">
      <c r="A52" s="192">
        <v>35</v>
      </c>
      <c r="B52" s="194" t="s">
        <v>823</v>
      </c>
      <c r="C52" s="296" t="s">
        <v>994</v>
      </c>
      <c r="D52" s="193">
        <v>46144</v>
      </c>
      <c r="E52" s="194" t="s">
        <v>988</v>
      </c>
      <c r="F52" s="296" t="s">
        <v>824</v>
      </c>
      <c r="G52" s="194" t="s">
        <v>989</v>
      </c>
      <c r="H52" s="286">
        <v>1118182</v>
      </c>
      <c r="I52" s="192">
        <v>10</v>
      </c>
      <c r="J52" s="286">
        <v>111818</v>
      </c>
      <c r="K52" s="194" t="s">
        <v>12</v>
      </c>
      <c r="L52" s="194" t="s">
        <v>15</v>
      </c>
      <c r="M52" s="296" t="s">
        <v>982</v>
      </c>
      <c r="N52" s="193">
        <v>46173</v>
      </c>
      <c r="O52" s="193">
        <v>46173</v>
      </c>
      <c r="P52" s="251">
        <v>1230000</v>
      </c>
      <c r="Q52" s="192" t="s">
        <v>10</v>
      </c>
      <c r="R52" s="192" t="s">
        <v>195</v>
      </c>
      <c r="S52" s="194" t="s">
        <v>14</v>
      </c>
      <c r="T52" s="64" t="str">
        <f t="shared" si="6"/>
        <v>Đ</v>
      </c>
      <c r="U52" s="66">
        <f t="shared" si="7"/>
        <v>0</v>
      </c>
      <c r="V52" s="62">
        <f t="shared" si="8"/>
        <v>13311</v>
      </c>
    </row>
    <row r="53" spans="1:23" ht="31.8" hidden="1" x14ac:dyDescent="0.3">
      <c r="A53" s="192">
        <v>36</v>
      </c>
      <c r="B53" s="194" t="s">
        <v>823</v>
      </c>
      <c r="C53" s="296" t="s">
        <v>995</v>
      </c>
      <c r="D53" s="193">
        <v>46144</v>
      </c>
      <c r="E53" s="194" t="s">
        <v>988</v>
      </c>
      <c r="F53" s="296" t="s">
        <v>824</v>
      </c>
      <c r="G53" s="194" t="s">
        <v>989</v>
      </c>
      <c r="H53" s="286">
        <v>39865</v>
      </c>
      <c r="I53" s="192">
        <v>10</v>
      </c>
      <c r="J53" s="286">
        <v>3987</v>
      </c>
      <c r="K53" s="194" t="s">
        <v>12</v>
      </c>
      <c r="L53" s="194" t="s">
        <v>15</v>
      </c>
      <c r="M53" s="296" t="s">
        <v>982</v>
      </c>
      <c r="N53" s="193">
        <v>46173</v>
      </c>
      <c r="O53" s="193">
        <v>46173</v>
      </c>
      <c r="P53" s="251">
        <v>43852</v>
      </c>
      <c r="Q53" s="192" t="s">
        <v>10</v>
      </c>
      <c r="R53" s="192" t="s">
        <v>195</v>
      </c>
      <c r="S53" s="194" t="s">
        <v>14</v>
      </c>
      <c r="T53" s="64" t="str">
        <f t="shared" si="6"/>
        <v>Đ</v>
      </c>
      <c r="U53" s="66">
        <f t="shared" si="7"/>
        <v>0</v>
      </c>
      <c r="V53" s="62">
        <f t="shared" si="8"/>
        <v>13311</v>
      </c>
    </row>
    <row r="54" spans="1:23" ht="31.8" hidden="1" x14ac:dyDescent="0.3">
      <c r="A54" s="192">
        <v>37</v>
      </c>
      <c r="B54" s="194" t="s">
        <v>823</v>
      </c>
      <c r="C54" s="296" t="s">
        <v>996</v>
      </c>
      <c r="D54" s="193">
        <v>46144</v>
      </c>
      <c r="E54" s="194" t="s">
        <v>988</v>
      </c>
      <c r="F54" s="296" t="s">
        <v>824</v>
      </c>
      <c r="G54" s="194" t="s">
        <v>989</v>
      </c>
      <c r="H54" s="286">
        <v>163636</v>
      </c>
      <c r="I54" s="192">
        <v>10</v>
      </c>
      <c r="J54" s="286">
        <v>16364</v>
      </c>
      <c r="K54" s="194" t="s">
        <v>12</v>
      </c>
      <c r="L54" s="194" t="s">
        <v>15</v>
      </c>
      <c r="M54" s="296" t="s">
        <v>982</v>
      </c>
      <c r="N54" s="193">
        <v>46173</v>
      </c>
      <c r="O54" s="193">
        <v>46173</v>
      </c>
      <c r="P54" s="251">
        <v>180000</v>
      </c>
      <c r="Q54" s="192" t="s">
        <v>10</v>
      </c>
      <c r="R54" s="192" t="s">
        <v>195</v>
      </c>
      <c r="S54" s="194" t="s">
        <v>14</v>
      </c>
      <c r="T54" s="64" t="str">
        <f t="shared" si="6"/>
        <v>Đ</v>
      </c>
      <c r="U54" s="66">
        <f t="shared" si="7"/>
        <v>0</v>
      </c>
      <c r="V54" s="62">
        <f t="shared" si="8"/>
        <v>13311</v>
      </c>
    </row>
    <row r="55" spans="1:23" ht="31.8" hidden="1" x14ac:dyDescent="0.3">
      <c r="A55" s="192">
        <v>38</v>
      </c>
      <c r="B55" s="194" t="s">
        <v>823</v>
      </c>
      <c r="C55" s="296" t="s">
        <v>997</v>
      </c>
      <c r="D55" s="193">
        <v>46144</v>
      </c>
      <c r="E55" s="194" t="s">
        <v>988</v>
      </c>
      <c r="F55" s="296" t="s">
        <v>824</v>
      </c>
      <c r="G55" s="194" t="s">
        <v>989</v>
      </c>
      <c r="H55" s="286">
        <v>550562</v>
      </c>
      <c r="I55" s="192">
        <v>10</v>
      </c>
      <c r="J55" s="286">
        <v>55056</v>
      </c>
      <c r="K55" s="194" t="s">
        <v>12</v>
      </c>
      <c r="L55" s="194" t="s">
        <v>15</v>
      </c>
      <c r="M55" s="296" t="s">
        <v>982</v>
      </c>
      <c r="N55" s="193">
        <v>46173</v>
      </c>
      <c r="O55" s="193">
        <v>46173</v>
      </c>
      <c r="P55" s="251">
        <v>605618</v>
      </c>
      <c r="Q55" s="192" t="s">
        <v>10</v>
      </c>
      <c r="R55" s="192" t="s">
        <v>195</v>
      </c>
      <c r="S55" s="194" t="s">
        <v>14</v>
      </c>
      <c r="T55" s="64" t="str">
        <f t="shared" si="6"/>
        <v>Đ</v>
      </c>
      <c r="U55" s="66">
        <f t="shared" si="7"/>
        <v>0</v>
      </c>
      <c r="V55" s="62">
        <f t="shared" si="8"/>
        <v>13311</v>
      </c>
    </row>
    <row r="56" spans="1:23" ht="31.8" hidden="1" x14ac:dyDescent="0.3">
      <c r="A56" s="192">
        <v>39</v>
      </c>
      <c r="B56" s="194" t="s">
        <v>823</v>
      </c>
      <c r="C56" s="296" t="s">
        <v>998</v>
      </c>
      <c r="D56" s="193">
        <v>46144</v>
      </c>
      <c r="E56" s="194" t="s">
        <v>988</v>
      </c>
      <c r="F56" s="296" t="s">
        <v>824</v>
      </c>
      <c r="G56" s="194" t="s">
        <v>989</v>
      </c>
      <c r="H56" s="286">
        <v>20213</v>
      </c>
      <c r="I56" s="192">
        <v>10</v>
      </c>
      <c r="J56" s="286">
        <v>2021</v>
      </c>
      <c r="K56" s="194" t="s">
        <v>12</v>
      </c>
      <c r="L56" s="194" t="s">
        <v>15</v>
      </c>
      <c r="M56" s="296" t="s">
        <v>982</v>
      </c>
      <c r="N56" s="193">
        <v>46173</v>
      </c>
      <c r="O56" s="193">
        <v>46173</v>
      </c>
      <c r="P56" s="251">
        <v>22234</v>
      </c>
      <c r="Q56" s="192" t="s">
        <v>10</v>
      </c>
      <c r="R56" s="192" t="s">
        <v>195</v>
      </c>
      <c r="S56" s="194" t="s">
        <v>14</v>
      </c>
      <c r="T56" s="64" t="str">
        <f t="shared" si="6"/>
        <v>Đ</v>
      </c>
      <c r="U56" s="66">
        <f t="shared" si="7"/>
        <v>0</v>
      </c>
      <c r="V56" s="62">
        <f t="shared" si="8"/>
        <v>13311</v>
      </c>
    </row>
    <row r="57" spans="1:23" ht="31.8" hidden="1" x14ac:dyDescent="0.3">
      <c r="A57" s="192">
        <v>40</v>
      </c>
      <c r="B57" s="194" t="s">
        <v>823</v>
      </c>
      <c r="C57" s="296" t="s">
        <v>999</v>
      </c>
      <c r="D57" s="193">
        <v>46144</v>
      </c>
      <c r="E57" s="194" t="s">
        <v>988</v>
      </c>
      <c r="F57" s="296" t="s">
        <v>824</v>
      </c>
      <c r="G57" s="194" t="s">
        <v>989</v>
      </c>
      <c r="H57" s="286">
        <v>306465</v>
      </c>
      <c r="I57" s="192">
        <v>10</v>
      </c>
      <c r="J57" s="286">
        <v>30647</v>
      </c>
      <c r="K57" s="194" t="s">
        <v>12</v>
      </c>
      <c r="L57" s="194" t="s">
        <v>15</v>
      </c>
      <c r="M57" s="296" t="s">
        <v>982</v>
      </c>
      <c r="N57" s="193">
        <v>46173</v>
      </c>
      <c r="O57" s="193">
        <v>46173</v>
      </c>
      <c r="P57" s="251">
        <v>337112</v>
      </c>
      <c r="Q57" s="192" t="s">
        <v>10</v>
      </c>
      <c r="R57" s="192" t="s">
        <v>195</v>
      </c>
      <c r="S57" s="194" t="s">
        <v>14</v>
      </c>
      <c r="T57" s="64" t="str">
        <f t="shared" si="6"/>
        <v>Đ</v>
      </c>
      <c r="U57" s="66">
        <f t="shared" si="7"/>
        <v>0</v>
      </c>
      <c r="V57" s="62">
        <f t="shared" si="8"/>
        <v>13311</v>
      </c>
    </row>
    <row r="58" spans="1:23" ht="31.8" hidden="1" x14ac:dyDescent="0.3">
      <c r="A58" s="192">
        <v>41</v>
      </c>
      <c r="B58" s="194" t="s">
        <v>823</v>
      </c>
      <c r="C58" s="296" t="s">
        <v>1000</v>
      </c>
      <c r="D58" s="193">
        <v>46144</v>
      </c>
      <c r="E58" s="194" t="s">
        <v>988</v>
      </c>
      <c r="F58" s="296" t="s">
        <v>824</v>
      </c>
      <c r="G58" s="194" t="s">
        <v>989</v>
      </c>
      <c r="H58" s="286">
        <v>144545</v>
      </c>
      <c r="I58" s="192">
        <v>10</v>
      </c>
      <c r="J58" s="286">
        <v>14455</v>
      </c>
      <c r="K58" s="194" t="s">
        <v>12</v>
      </c>
      <c r="L58" s="194" t="s">
        <v>15</v>
      </c>
      <c r="M58" s="296" t="s">
        <v>982</v>
      </c>
      <c r="N58" s="193">
        <v>46173</v>
      </c>
      <c r="O58" s="193">
        <v>46173</v>
      </c>
      <c r="P58" s="251">
        <v>159000</v>
      </c>
      <c r="Q58" s="192" t="s">
        <v>10</v>
      </c>
      <c r="R58" s="192" t="s">
        <v>195</v>
      </c>
      <c r="S58" s="194" t="s">
        <v>14</v>
      </c>
      <c r="T58" s="64" t="str">
        <f t="shared" si="6"/>
        <v>Đ</v>
      </c>
      <c r="U58" s="66">
        <f t="shared" si="7"/>
        <v>0</v>
      </c>
      <c r="V58" s="62">
        <f t="shared" si="8"/>
        <v>13311</v>
      </c>
    </row>
    <row r="59" spans="1:23" ht="31.8" hidden="1" x14ac:dyDescent="0.3">
      <c r="A59" s="192">
        <v>42</v>
      </c>
      <c r="B59" s="194" t="s">
        <v>823</v>
      </c>
      <c r="C59" s="296" t="s">
        <v>1001</v>
      </c>
      <c r="D59" s="193">
        <v>46144</v>
      </c>
      <c r="E59" s="194" t="s">
        <v>988</v>
      </c>
      <c r="F59" s="296" t="s">
        <v>824</v>
      </c>
      <c r="G59" s="194" t="s">
        <v>989</v>
      </c>
      <c r="H59" s="286">
        <v>53885</v>
      </c>
      <c r="I59" s="192">
        <v>10</v>
      </c>
      <c r="J59" s="286">
        <v>5389</v>
      </c>
      <c r="K59" s="194" t="s">
        <v>12</v>
      </c>
      <c r="L59" s="194" t="s">
        <v>15</v>
      </c>
      <c r="M59" s="296" t="s">
        <v>982</v>
      </c>
      <c r="N59" s="193">
        <v>46173</v>
      </c>
      <c r="O59" s="193">
        <v>46173</v>
      </c>
      <c r="P59" s="251">
        <v>59274</v>
      </c>
      <c r="Q59" s="192" t="s">
        <v>10</v>
      </c>
      <c r="R59" s="192" t="s">
        <v>195</v>
      </c>
      <c r="S59" s="194" t="s">
        <v>14</v>
      </c>
      <c r="T59" s="64" t="str">
        <f t="shared" si="6"/>
        <v>Đ</v>
      </c>
      <c r="U59" s="66">
        <f t="shared" si="7"/>
        <v>0</v>
      </c>
      <c r="V59" s="62">
        <f t="shared" si="8"/>
        <v>13311</v>
      </c>
    </row>
    <row r="60" spans="1:23" ht="31.8" hidden="1" x14ac:dyDescent="0.3">
      <c r="A60" s="192">
        <v>43</v>
      </c>
      <c r="B60" s="194" t="s">
        <v>823</v>
      </c>
      <c r="C60" s="296" t="s">
        <v>1002</v>
      </c>
      <c r="D60" s="193">
        <v>46144</v>
      </c>
      <c r="E60" s="194" t="s">
        <v>988</v>
      </c>
      <c r="F60" s="296" t="s">
        <v>824</v>
      </c>
      <c r="G60" s="194" t="s">
        <v>989</v>
      </c>
      <c r="H60" s="286">
        <v>20000</v>
      </c>
      <c r="I60" s="192">
        <v>10</v>
      </c>
      <c r="J60" s="286">
        <v>2000</v>
      </c>
      <c r="K60" s="194" t="s">
        <v>12</v>
      </c>
      <c r="L60" s="194" t="s">
        <v>15</v>
      </c>
      <c r="M60" s="296" t="s">
        <v>982</v>
      </c>
      <c r="N60" s="193">
        <v>46173</v>
      </c>
      <c r="O60" s="193">
        <v>46173</v>
      </c>
      <c r="P60" s="251">
        <v>22000</v>
      </c>
      <c r="Q60" s="192" t="s">
        <v>10</v>
      </c>
      <c r="R60" s="192" t="s">
        <v>195</v>
      </c>
      <c r="S60" s="194" t="s">
        <v>14</v>
      </c>
      <c r="T60" s="64" t="str">
        <f t="shared" si="6"/>
        <v>Đ</v>
      </c>
      <c r="U60" s="66">
        <f t="shared" si="7"/>
        <v>0</v>
      </c>
      <c r="V60" s="62">
        <f t="shared" si="8"/>
        <v>13311</v>
      </c>
    </row>
    <row r="61" spans="1:23" ht="31.8" hidden="1" x14ac:dyDescent="0.3">
      <c r="A61" s="192">
        <v>44</v>
      </c>
      <c r="B61" s="194" t="s">
        <v>823</v>
      </c>
      <c r="C61" s="296" t="s">
        <v>1003</v>
      </c>
      <c r="D61" s="193">
        <v>46144</v>
      </c>
      <c r="E61" s="194" t="s">
        <v>988</v>
      </c>
      <c r="F61" s="296" t="s">
        <v>824</v>
      </c>
      <c r="G61" s="194" t="s">
        <v>989</v>
      </c>
      <c r="H61" s="286">
        <v>90000</v>
      </c>
      <c r="I61" s="192">
        <v>10</v>
      </c>
      <c r="J61" s="286">
        <v>9000</v>
      </c>
      <c r="K61" s="194" t="s">
        <v>12</v>
      </c>
      <c r="L61" s="194" t="s">
        <v>15</v>
      </c>
      <c r="M61" s="296" t="s">
        <v>982</v>
      </c>
      <c r="N61" s="193">
        <v>46173</v>
      </c>
      <c r="O61" s="193">
        <v>46173</v>
      </c>
      <c r="P61" s="251">
        <v>99000</v>
      </c>
      <c r="Q61" s="192" t="s">
        <v>10</v>
      </c>
      <c r="R61" s="192" t="s">
        <v>195</v>
      </c>
      <c r="S61" s="194" t="s">
        <v>14</v>
      </c>
      <c r="T61" s="64" t="str">
        <f t="shared" si="6"/>
        <v>Đ</v>
      </c>
      <c r="U61" s="66">
        <f t="shared" si="7"/>
        <v>0</v>
      </c>
      <c r="V61" s="62">
        <f t="shared" si="8"/>
        <v>13311</v>
      </c>
    </row>
    <row r="62" spans="1:23" ht="31.8" hidden="1" x14ac:dyDescent="0.3">
      <c r="A62" s="192">
        <v>45</v>
      </c>
      <c r="B62" s="194" t="s">
        <v>823</v>
      </c>
      <c r="C62" s="296" t="s">
        <v>1004</v>
      </c>
      <c r="D62" s="193">
        <v>46144</v>
      </c>
      <c r="E62" s="194" t="s">
        <v>988</v>
      </c>
      <c r="F62" s="296" t="s">
        <v>824</v>
      </c>
      <c r="G62" s="194" t="s">
        <v>989</v>
      </c>
      <c r="H62" s="286">
        <v>92273</v>
      </c>
      <c r="I62" s="192">
        <v>10</v>
      </c>
      <c r="J62" s="286">
        <v>9227</v>
      </c>
      <c r="K62" s="194" t="s">
        <v>12</v>
      </c>
      <c r="L62" s="194" t="s">
        <v>15</v>
      </c>
      <c r="M62" s="296" t="s">
        <v>982</v>
      </c>
      <c r="N62" s="193">
        <v>46173</v>
      </c>
      <c r="O62" s="193">
        <v>46173</v>
      </c>
      <c r="P62" s="251">
        <v>101500</v>
      </c>
      <c r="Q62" s="192" t="s">
        <v>10</v>
      </c>
      <c r="R62" s="192" t="s">
        <v>195</v>
      </c>
      <c r="S62" s="194" t="s">
        <v>14</v>
      </c>
      <c r="T62" s="64" t="str">
        <f t="shared" si="6"/>
        <v>Đ</v>
      </c>
      <c r="U62" s="66">
        <f t="shared" si="7"/>
        <v>0</v>
      </c>
      <c r="V62" s="62">
        <f t="shared" si="8"/>
        <v>13311</v>
      </c>
    </row>
    <row r="63" spans="1:23" ht="31.8" hidden="1" x14ac:dyDescent="0.3">
      <c r="A63" s="192">
        <v>46</v>
      </c>
      <c r="B63" s="194" t="s">
        <v>823</v>
      </c>
      <c r="C63" s="296" t="s">
        <v>1005</v>
      </c>
      <c r="D63" s="193">
        <v>46144</v>
      </c>
      <c r="E63" s="194" t="s">
        <v>988</v>
      </c>
      <c r="F63" s="296" t="s">
        <v>824</v>
      </c>
      <c r="G63" s="194" t="s">
        <v>989</v>
      </c>
      <c r="H63" s="286">
        <v>20000</v>
      </c>
      <c r="I63" s="192">
        <v>10</v>
      </c>
      <c r="J63" s="286">
        <v>2000</v>
      </c>
      <c r="K63" s="194" t="s">
        <v>12</v>
      </c>
      <c r="L63" s="194" t="s">
        <v>15</v>
      </c>
      <c r="M63" s="296" t="s">
        <v>982</v>
      </c>
      <c r="N63" s="193">
        <v>46173</v>
      </c>
      <c r="O63" s="193">
        <v>46173</v>
      </c>
      <c r="P63" s="251">
        <v>22000</v>
      </c>
      <c r="Q63" s="192" t="s">
        <v>10</v>
      </c>
      <c r="R63" s="192" t="s">
        <v>195</v>
      </c>
      <c r="S63" s="194" t="s">
        <v>14</v>
      </c>
      <c r="T63" s="64" t="str">
        <f t="shared" si="6"/>
        <v>Đ</v>
      </c>
      <c r="U63" s="66">
        <f t="shared" si="7"/>
        <v>0</v>
      </c>
      <c r="V63" s="62">
        <f t="shared" si="8"/>
        <v>13311</v>
      </c>
    </row>
    <row r="64" spans="1:23" ht="31.8" hidden="1" x14ac:dyDescent="0.3">
      <c r="A64" s="192">
        <v>47</v>
      </c>
      <c r="B64" s="194" t="s">
        <v>823</v>
      </c>
      <c r="C64" s="296" t="s">
        <v>1006</v>
      </c>
      <c r="D64" s="193">
        <v>46144</v>
      </c>
      <c r="E64" s="194" t="s">
        <v>988</v>
      </c>
      <c r="F64" s="296" t="s">
        <v>824</v>
      </c>
      <c r="G64" s="194" t="s">
        <v>989</v>
      </c>
      <c r="H64" s="286">
        <v>900000</v>
      </c>
      <c r="I64" s="192">
        <v>10</v>
      </c>
      <c r="J64" s="286">
        <v>90000</v>
      </c>
      <c r="K64" s="194" t="s">
        <v>12</v>
      </c>
      <c r="L64" s="194" t="s">
        <v>15</v>
      </c>
      <c r="M64" s="296" t="s">
        <v>982</v>
      </c>
      <c r="N64" s="193">
        <v>46173</v>
      </c>
      <c r="O64" s="193">
        <v>46173</v>
      </c>
      <c r="P64" s="251">
        <v>990000</v>
      </c>
      <c r="Q64" s="192" t="s">
        <v>10</v>
      </c>
      <c r="R64" s="192" t="s">
        <v>195</v>
      </c>
      <c r="S64" s="194" t="s">
        <v>14</v>
      </c>
      <c r="T64" s="64" t="str">
        <f t="shared" si="6"/>
        <v>Đ</v>
      </c>
      <c r="U64" s="66">
        <f t="shared" si="7"/>
        <v>0</v>
      </c>
      <c r="V64" s="62">
        <f t="shared" si="8"/>
        <v>13311</v>
      </c>
    </row>
    <row r="65" spans="1:22" ht="31.8" hidden="1" x14ac:dyDescent="0.3">
      <c r="A65" s="192">
        <v>48</v>
      </c>
      <c r="B65" s="194" t="s">
        <v>823</v>
      </c>
      <c r="C65" s="296" t="s">
        <v>1007</v>
      </c>
      <c r="D65" s="193">
        <v>46144</v>
      </c>
      <c r="E65" s="194" t="s">
        <v>988</v>
      </c>
      <c r="F65" s="296" t="s">
        <v>824</v>
      </c>
      <c r="G65" s="194" t="s">
        <v>989</v>
      </c>
      <c r="H65" s="286">
        <v>230000</v>
      </c>
      <c r="I65" s="192">
        <v>10</v>
      </c>
      <c r="J65" s="286">
        <v>23000</v>
      </c>
      <c r="K65" s="194" t="s">
        <v>12</v>
      </c>
      <c r="L65" s="194" t="s">
        <v>15</v>
      </c>
      <c r="M65" s="296" t="s">
        <v>982</v>
      </c>
      <c r="N65" s="193">
        <v>46173</v>
      </c>
      <c r="O65" s="193">
        <v>46173</v>
      </c>
      <c r="P65" s="251">
        <v>253000</v>
      </c>
      <c r="Q65" s="192" t="s">
        <v>10</v>
      </c>
      <c r="R65" s="192" t="s">
        <v>195</v>
      </c>
      <c r="S65" s="194" t="s">
        <v>14</v>
      </c>
      <c r="T65" s="64" t="str">
        <f t="shared" si="6"/>
        <v>Đ</v>
      </c>
      <c r="U65" s="66">
        <f t="shared" si="7"/>
        <v>0</v>
      </c>
      <c r="V65" s="62">
        <f t="shared" si="8"/>
        <v>13311</v>
      </c>
    </row>
    <row r="66" spans="1:22" ht="14.4" hidden="1" customHeight="1" x14ac:dyDescent="0.3">
      <c r="A66" s="192">
        <v>49</v>
      </c>
      <c r="B66" s="194" t="s">
        <v>823</v>
      </c>
      <c r="C66" s="296" t="s">
        <v>1008</v>
      </c>
      <c r="D66" s="193">
        <v>46144</v>
      </c>
      <c r="E66" s="194" t="s">
        <v>988</v>
      </c>
      <c r="F66" s="296" t="s">
        <v>824</v>
      </c>
      <c r="G66" s="194" t="s">
        <v>989</v>
      </c>
      <c r="H66" s="286">
        <v>790909</v>
      </c>
      <c r="I66" s="192">
        <v>10</v>
      </c>
      <c r="J66" s="286">
        <v>79091</v>
      </c>
      <c r="K66" s="194" t="s">
        <v>12</v>
      </c>
      <c r="L66" s="194" t="s">
        <v>15</v>
      </c>
      <c r="M66" s="296" t="s">
        <v>982</v>
      </c>
      <c r="N66" s="193">
        <v>46173</v>
      </c>
      <c r="O66" s="193">
        <v>46173</v>
      </c>
      <c r="P66" s="251">
        <v>870000</v>
      </c>
      <c r="Q66" s="192" t="s">
        <v>10</v>
      </c>
      <c r="R66" s="192" t="s">
        <v>195</v>
      </c>
      <c r="S66" s="194" t="s">
        <v>14</v>
      </c>
      <c r="T66" s="64" t="str">
        <f t="shared" si="6"/>
        <v>Đ</v>
      </c>
      <c r="U66" s="66">
        <f t="shared" si="7"/>
        <v>0</v>
      </c>
      <c r="V66" s="62">
        <f t="shared" si="8"/>
        <v>13311</v>
      </c>
    </row>
    <row r="67" spans="1:22" ht="31.8" hidden="1" x14ac:dyDescent="0.3">
      <c r="A67" s="192">
        <v>50</v>
      </c>
      <c r="B67" s="194" t="s">
        <v>823</v>
      </c>
      <c r="C67" s="296" t="s">
        <v>1009</v>
      </c>
      <c r="D67" s="193">
        <v>46144</v>
      </c>
      <c r="E67" s="194" t="s">
        <v>988</v>
      </c>
      <c r="F67" s="296" t="s">
        <v>824</v>
      </c>
      <c r="G67" s="194" t="s">
        <v>989</v>
      </c>
      <c r="H67" s="286">
        <v>531000</v>
      </c>
      <c r="I67" s="192">
        <v>10</v>
      </c>
      <c r="J67" s="286">
        <v>53100</v>
      </c>
      <c r="K67" s="194" t="s">
        <v>12</v>
      </c>
      <c r="L67" s="194" t="s">
        <v>15</v>
      </c>
      <c r="M67" s="296" t="s">
        <v>982</v>
      </c>
      <c r="N67" s="193">
        <v>46173</v>
      </c>
      <c r="O67" s="193">
        <v>46173</v>
      </c>
      <c r="P67" s="251">
        <v>584100</v>
      </c>
      <c r="Q67" s="192" t="s">
        <v>10</v>
      </c>
      <c r="R67" s="192" t="s">
        <v>195</v>
      </c>
      <c r="S67" s="194" t="s">
        <v>14</v>
      </c>
      <c r="T67" s="64" t="str">
        <f t="shared" si="6"/>
        <v>Đ</v>
      </c>
      <c r="U67" s="66">
        <f t="shared" si="7"/>
        <v>0</v>
      </c>
      <c r="V67" s="62">
        <f t="shared" si="8"/>
        <v>13311</v>
      </c>
    </row>
    <row r="68" spans="1:22" ht="31.8" hidden="1" x14ac:dyDescent="0.3">
      <c r="A68" s="192">
        <v>51</v>
      </c>
      <c r="B68" s="194" t="s">
        <v>823</v>
      </c>
      <c r="C68" s="296" t="s">
        <v>1010</v>
      </c>
      <c r="D68" s="193">
        <v>46144</v>
      </c>
      <c r="E68" s="194" t="s">
        <v>988</v>
      </c>
      <c r="F68" s="296" t="s">
        <v>824</v>
      </c>
      <c r="G68" s="194" t="s">
        <v>989</v>
      </c>
      <c r="H68" s="286">
        <v>354000</v>
      </c>
      <c r="I68" s="192">
        <v>10</v>
      </c>
      <c r="J68" s="286">
        <v>35400</v>
      </c>
      <c r="K68" s="194" t="s">
        <v>12</v>
      </c>
      <c r="L68" s="194" t="s">
        <v>15</v>
      </c>
      <c r="M68" s="296" t="s">
        <v>982</v>
      </c>
      <c r="N68" s="193">
        <v>46173</v>
      </c>
      <c r="O68" s="193">
        <v>46173</v>
      </c>
      <c r="P68" s="251">
        <v>389400</v>
      </c>
      <c r="Q68" s="192" t="s">
        <v>10</v>
      </c>
      <c r="R68" s="192" t="s">
        <v>195</v>
      </c>
      <c r="S68" s="194" t="s">
        <v>14</v>
      </c>
      <c r="T68" s="64" t="str">
        <f t="shared" si="6"/>
        <v>Đ</v>
      </c>
      <c r="U68" s="66">
        <f t="shared" si="7"/>
        <v>0</v>
      </c>
      <c r="V68" s="62">
        <f t="shared" si="8"/>
        <v>13311</v>
      </c>
    </row>
    <row r="69" spans="1:22" ht="14.4" hidden="1" customHeight="1" x14ac:dyDescent="0.3">
      <c r="A69" s="192">
        <v>52</v>
      </c>
      <c r="B69" s="194" t="s">
        <v>284</v>
      </c>
      <c r="C69" s="296" t="s">
        <v>1011</v>
      </c>
      <c r="D69" s="193">
        <v>46144</v>
      </c>
      <c r="E69" s="194" t="s">
        <v>826</v>
      </c>
      <c r="F69" s="296" t="s">
        <v>827</v>
      </c>
      <c r="G69" s="194" t="s">
        <v>981</v>
      </c>
      <c r="H69" s="286">
        <v>6353210</v>
      </c>
      <c r="I69" s="192">
        <v>8</v>
      </c>
      <c r="J69" s="286">
        <v>508257</v>
      </c>
      <c r="K69" s="194" t="s">
        <v>12</v>
      </c>
      <c r="L69" s="194" t="s">
        <v>15</v>
      </c>
      <c r="M69" s="296" t="s">
        <v>982</v>
      </c>
      <c r="N69" s="193">
        <v>46173</v>
      </c>
      <c r="O69" s="193">
        <v>46173</v>
      </c>
      <c r="P69" s="251">
        <v>6861467</v>
      </c>
      <c r="Q69" s="192" t="s">
        <v>10</v>
      </c>
      <c r="R69" s="192" t="s">
        <v>195</v>
      </c>
      <c r="S69" s="194" t="s">
        <v>14</v>
      </c>
      <c r="T69" s="64" t="str">
        <f t="shared" si="6"/>
        <v>Đ</v>
      </c>
      <c r="U69" s="66">
        <f t="shared" si="7"/>
        <v>0</v>
      </c>
      <c r="V69" s="62">
        <f t="shared" si="8"/>
        <v>13311</v>
      </c>
    </row>
    <row r="70" spans="1:22" ht="21.6" hidden="1" x14ac:dyDescent="0.3">
      <c r="A70" s="192">
        <v>53</v>
      </c>
      <c r="B70" s="194" t="s">
        <v>284</v>
      </c>
      <c r="C70" s="296" t="s">
        <v>1012</v>
      </c>
      <c r="D70" s="193">
        <v>46144</v>
      </c>
      <c r="E70" s="194" t="s">
        <v>826</v>
      </c>
      <c r="F70" s="296" t="s">
        <v>827</v>
      </c>
      <c r="G70" s="194" t="s">
        <v>981</v>
      </c>
      <c r="H70" s="286">
        <v>6143760</v>
      </c>
      <c r="I70" s="192">
        <v>8</v>
      </c>
      <c r="J70" s="286">
        <v>491501</v>
      </c>
      <c r="K70" s="194" t="s">
        <v>12</v>
      </c>
      <c r="L70" s="194" t="s">
        <v>15</v>
      </c>
      <c r="M70" s="296" t="s">
        <v>982</v>
      </c>
      <c r="N70" s="193">
        <v>46173</v>
      </c>
      <c r="O70" s="193">
        <v>46173</v>
      </c>
      <c r="P70" s="251">
        <v>6635261</v>
      </c>
      <c r="Q70" s="192" t="s">
        <v>10</v>
      </c>
      <c r="R70" s="192" t="s">
        <v>195</v>
      </c>
      <c r="S70" s="194" t="s">
        <v>14</v>
      </c>
      <c r="T70" s="64" t="str">
        <f t="shared" si="6"/>
        <v>Đ</v>
      </c>
      <c r="U70" s="66">
        <f t="shared" si="7"/>
        <v>0</v>
      </c>
      <c r="V70" s="62">
        <f t="shared" si="8"/>
        <v>13311</v>
      </c>
    </row>
    <row r="71" spans="1:22" ht="21.6" hidden="1" x14ac:dyDescent="0.3">
      <c r="A71" s="192">
        <v>54</v>
      </c>
      <c r="B71" s="194" t="s">
        <v>284</v>
      </c>
      <c r="C71" s="296" t="s">
        <v>1013</v>
      </c>
      <c r="D71" s="193">
        <v>46144</v>
      </c>
      <c r="E71" s="194" t="s">
        <v>826</v>
      </c>
      <c r="F71" s="296" t="s">
        <v>827</v>
      </c>
      <c r="G71" s="194" t="s">
        <v>981</v>
      </c>
      <c r="H71" s="286">
        <v>1929377</v>
      </c>
      <c r="I71" s="192">
        <v>8</v>
      </c>
      <c r="J71" s="286">
        <v>154350</v>
      </c>
      <c r="K71" s="194" t="s">
        <v>12</v>
      </c>
      <c r="L71" s="194" t="s">
        <v>15</v>
      </c>
      <c r="M71" s="296" t="s">
        <v>982</v>
      </c>
      <c r="N71" s="193">
        <v>46173</v>
      </c>
      <c r="O71" s="193">
        <v>46173</v>
      </c>
      <c r="P71" s="251">
        <v>2083727</v>
      </c>
      <c r="Q71" s="192" t="s">
        <v>10</v>
      </c>
      <c r="R71" s="192" t="s">
        <v>195</v>
      </c>
      <c r="S71" s="194" t="s">
        <v>14</v>
      </c>
      <c r="T71" s="64" t="str">
        <f t="shared" si="6"/>
        <v>Đ</v>
      </c>
      <c r="U71" s="66">
        <f t="shared" si="7"/>
        <v>0</v>
      </c>
      <c r="V71" s="62">
        <f t="shared" si="8"/>
        <v>13311</v>
      </c>
    </row>
    <row r="72" spans="1:22" ht="14.4" hidden="1" customHeight="1" x14ac:dyDescent="0.3">
      <c r="A72" s="192">
        <v>55</v>
      </c>
      <c r="B72" s="194" t="s">
        <v>284</v>
      </c>
      <c r="C72" s="296" t="s">
        <v>1014</v>
      </c>
      <c r="D72" s="193">
        <v>46144</v>
      </c>
      <c r="E72" s="194" t="s">
        <v>826</v>
      </c>
      <c r="F72" s="296" t="s">
        <v>827</v>
      </c>
      <c r="G72" s="194" t="s">
        <v>981</v>
      </c>
      <c r="H72" s="286">
        <v>4514158</v>
      </c>
      <c r="I72" s="192">
        <v>8</v>
      </c>
      <c r="J72" s="286">
        <v>361133</v>
      </c>
      <c r="K72" s="194" t="s">
        <v>12</v>
      </c>
      <c r="L72" s="194" t="s">
        <v>15</v>
      </c>
      <c r="M72" s="296" t="s">
        <v>982</v>
      </c>
      <c r="N72" s="193">
        <v>46173</v>
      </c>
      <c r="O72" s="193">
        <v>46173</v>
      </c>
      <c r="P72" s="251">
        <v>4875291</v>
      </c>
      <c r="Q72" s="192" t="s">
        <v>10</v>
      </c>
      <c r="R72" s="192" t="s">
        <v>195</v>
      </c>
      <c r="S72" s="194" t="s">
        <v>14</v>
      </c>
      <c r="T72" s="64" t="str">
        <f t="shared" si="6"/>
        <v>Đ</v>
      </c>
      <c r="U72" s="66">
        <f t="shared" si="7"/>
        <v>0</v>
      </c>
      <c r="V72" s="62">
        <f t="shared" si="8"/>
        <v>13311</v>
      </c>
    </row>
    <row r="73" spans="1:22" ht="14.4" hidden="1" x14ac:dyDescent="0.3">
      <c r="A73" s="192">
        <v>56</v>
      </c>
      <c r="B73" s="194" t="s">
        <v>821</v>
      </c>
      <c r="C73" s="296" t="s">
        <v>1015</v>
      </c>
      <c r="D73" s="193">
        <v>46145</v>
      </c>
      <c r="E73" s="194" t="s">
        <v>825</v>
      </c>
      <c r="F73" s="296" t="s">
        <v>822</v>
      </c>
      <c r="G73" s="194" t="s">
        <v>1016</v>
      </c>
      <c r="H73" s="286">
        <v>27273</v>
      </c>
      <c r="I73" s="192">
        <v>10</v>
      </c>
      <c r="J73" s="286">
        <v>2727</v>
      </c>
      <c r="K73" s="194" t="s">
        <v>12</v>
      </c>
      <c r="L73" s="194" t="s">
        <v>15</v>
      </c>
      <c r="M73" s="296" t="s">
        <v>982</v>
      </c>
      <c r="N73" s="193">
        <v>46173</v>
      </c>
      <c r="O73" s="193">
        <v>46173</v>
      </c>
      <c r="P73" s="251">
        <v>30000</v>
      </c>
      <c r="Q73" s="192" t="s">
        <v>10</v>
      </c>
      <c r="R73" s="192" t="s">
        <v>195</v>
      </c>
      <c r="S73" s="194" t="s">
        <v>14</v>
      </c>
      <c r="T73" s="64" t="str">
        <f t="shared" si="6"/>
        <v>Đ</v>
      </c>
      <c r="U73" s="66">
        <f t="shared" si="7"/>
        <v>0</v>
      </c>
      <c r="V73" s="62">
        <f t="shared" si="8"/>
        <v>13311</v>
      </c>
    </row>
    <row r="74" spans="1:22" ht="14.4" hidden="1" x14ac:dyDescent="0.3">
      <c r="A74" s="192">
        <v>57</v>
      </c>
      <c r="B74" s="194" t="s">
        <v>821</v>
      </c>
      <c r="C74" s="296" t="s">
        <v>1017</v>
      </c>
      <c r="D74" s="193">
        <v>46145</v>
      </c>
      <c r="E74" s="194" t="s">
        <v>825</v>
      </c>
      <c r="F74" s="296" t="s">
        <v>822</v>
      </c>
      <c r="G74" s="194" t="s">
        <v>1016</v>
      </c>
      <c r="H74" s="286">
        <v>19334</v>
      </c>
      <c r="I74" s="192">
        <v>10</v>
      </c>
      <c r="J74" s="286">
        <v>1933</v>
      </c>
      <c r="K74" s="194" t="s">
        <v>12</v>
      </c>
      <c r="L74" s="194" t="s">
        <v>15</v>
      </c>
      <c r="M74" s="296" t="s">
        <v>982</v>
      </c>
      <c r="N74" s="193">
        <v>46173</v>
      </c>
      <c r="O74" s="193">
        <v>46173</v>
      </c>
      <c r="P74" s="251">
        <v>21267</v>
      </c>
      <c r="Q74" s="192" t="s">
        <v>10</v>
      </c>
      <c r="R74" s="192" t="s">
        <v>195</v>
      </c>
      <c r="S74" s="194" t="s">
        <v>14</v>
      </c>
      <c r="T74" s="64" t="str">
        <f t="shared" si="6"/>
        <v>Đ</v>
      </c>
      <c r="U74" s="66">
        <f t="shared" si="7"/>
        <v>0</v>
      </c>
      <c r="V74" s="62">
        <f t="shared" si="8"/>
        <v>13311</v>
      </c>
    </row>
    <row r="75" spans="1:22" ht="14.4" hidden="1" customHeight="1" x14ac:dyDescent="0.3">
      <c r="A75" s="192">
        <v>58</v>
      </c>
      <c r="B75" s="194" t="s">
        <v>821</v>
      </c>
      <c r="C75" s="296" t="s">
        <v>1018</v>
      </c>
      <c r="D75" s="193">
        <v>46145</v>
      </c>
      <c r="E75" s="194" t="s">
        <v>825</v>
      </c>
      <c r="F75" s="296" t="s">
        <v>822</v>
      </c>
      <c r="G75" s="194" t="s">
        <v>1016</v>
      </c>
      <c r="H75" s="286">
        <v>119095</v>
      </c>
      <c r="I75" s="192">
        <v>10</v>
      </c>
      <c r="J75" s="286">
        <v>11910</v>
      </c>
      <c r="K75" s="194" t="s">
        <v>12</v>
      </c>
      <c r="L75" s="194" t="s">
        <v>15</v>
      </c>
      <c r="M75" s="296" t="s">
        <v>982</v>
      </c>
      <c r="N75" s="193">
        <v>46173</v>
      </c>
      <c r="O75" s="193">
        <v>46173</v>
      </c>
      <c r="P75" s="251">
        <v>131005</v>
      </c>
      <c r="Q75" s="192" t="s">
        <v>10</v>
      </c>
      <c r="R75" s="192" t="s">
        <v>195</v>
      </c>
      <c r="S75" s="194" t="s">
        <v>14</v>
      </c>
      <c r="T75" s="64" t="str">
        <f t="shared" si="6"/>
        <v>Đ</v>
      </c>
      <c r="U75" s="66">
        <f t="shared" si="7"/>
        <v>0</v>
      </c>
      <c r="V75" s="62">
        <f t="shared" si="8"/>
        <v>13311</v>
      </c>
    </row>
    <row r="76" spans="1:22" ht="14.4" hidden="1" x14ac:dyDescent="0.3">
      <c r="A76" s="192">
        <v>59</v>
      </c>
      <c r="B76" s="194" t="s">
        <v>821</v>
      </c>
      <c r="C76" s="296" t="s">
        <v>1019</v>
      </c>
      <c r="D76" s="193">
        <v>46145</v>
      </c>
      <c r="E76" s="194" t="s">
        <v>825</v>
      </c>
      <c r="F76" s="296" t="s">
        <v>822</v>
      </c>
      <c r="G76" s="194" t="s">
        <v>1016</v>
      </c>
      <c r="H76" s="286">
        <v>394502</v>
      </c>
      <c r="I76" s="192">
        <v>10</v>
      </c>
      <c r="J76" s="286">
        <v>39450</v>
      </c>
      <c r="K76" s="194" t="s">
        <v>12</v>
      </c>
      <c r="L76" s="194" t="s">
        <v>15</v>
      </c>
      <c r="M76" s="296" t="s">
        <v>982</v>
      </c>
      <c r="N76" s="193">
        <v>46173</v>
      </c>
      <c r="O76" s="193">
        <v>46173</v>
      </c>
      <c r="P76" s="251">
        <v>433952</v>
      </c>
      <c r="Q76" s="192" t="s">
        <v>10</v>
      </c>
      <c r="R76" s="192" t="s">
        <v>195</v>
      </c>
      <c r="S76" s="194" t="s">
        <v>14</v>
      </c>
      <c r="T76" s="64" t="str">
        <f t="shared" si="6"/>
        <v>Đ</v>
      </c>
      <c r="U76" s="66">
        <f t="shared" si="7"/>
        <v>0</v>
      </c>
      <c r="V76" s="62">
        <f t="shared" si="8"/>
        <v>13311</v>
      </c>
    </row>
    <row r="77" spans="1:22" ht="14.4" hidden="1" x14ac:dyDescent="0.3">
      <c r="A77" s="192">
        <v>60</v>
      </c>
      <c r="B77" s="194" t="s">
        <v>821</v>
      </c>
      <c r="C77" s="296" t="s">
        <v>1020</v>
      </c>
      <c r="D77" s="193">
        <v>46145</v>
      </c>
      <c r="E77" s="194" t="s">
        <v>825</v>
      </c>
      <c r="F77" s="296" t="s">
        <v>822</v>
      </c>
      <c r="G77" s="194" t="s">
        <v>1016</v>
      </c>
      <c r="H77" s="286">
        <v>746666</v>
      </c>
      <c r="I77" s="192">
        <v>10</v>
      </c>
      <c r="J77" s="286">
        <v>74667</v>
      </c>
      <c r="K77" s="194" t="s">
        <v>12</v>
      </c>
      <c r="L77" s="194" t="s">
        <v>15</v>
      </c>
      <c r="M77" s="296" t="s">
        <v>982</v>
      </c>
      <c r="N77" s="193">
        <v>46173</v>
      </c>
      <c r="O77" s="193">
        <v>46173</v>
      </c>
      <c r="P77" s="251">
        <v>821333</v>
      </c>
      <c r="Q77" s="192" t="s">
        <v>10</v>
      </c>
      <c r="R77" s="192" t="s">
        <v>195</v>
      </c>
      <c r="S77" s="194" t="s">
        <v>14</v>
      </c>
      <c r="T77" s="64" t="str">
        <f t="shared" si="6"/>
        <v>Đ</v>
      </c>
      <c r="U77" s="66">
        <f t="shared" si="7"/>
        <v>0</v>
      </c>
      <c r="V77" s="62">
        <f t="shared" si="8"/>
        <v>13311</v>
      </c>
    </row>
    <row r="78" spans="1:22" ht="14.4" hidden="1" customHeight="1" x14ac:dyDescent="0.3">
      <c r="A78" s="192">
        <v>61</v>
      </c>
      <c r="B78" s="194" t="s">
        <v>821</v>
      </c>
      <c r="C78" s="296" t="s">
        <v>1021</v>
      </c>
      <c r="D78" s="193">
        <v>46145</v>
      </c>
      <c r="E78" s="194" t="s">
        <v>825</v>
      </c>
      <c r="F78" s="296" t="s">
        <v>822</v>
      </c>
      <c r="G78" s="194" t="s">
        <v>1016</v>
      </c>
      <c r="H78" s="286">
        <v>27273</v>
      </c>
      <c r="I78" s="192">
        <v>10</v>
      </c>
      <c r="J78" s="286">
        <v>2727</v>
      </c>
      <c r="K78" s="194" t="s">
        <v>12</v>
      </c>
      <c r="L78" s="194" t="s">
        <v>15</v>
      </c>
      <c r="M78" s="296" t="s">
        <v>982</v>
      </c>
      <c r="N78" s="193">
        <v>46173</v>
      </c>
      <c r="O78" s="193">
        <v>46173</v>
      </c>
      <c r="P78" s="251">
        <v>30000</v>
      </c>
      <c r="Q78" s="192" t="s">
        <v>10</v>
      </c>
      <c r="R78" s="192" t="s">
        <v>195</v>
      </c>
      <c r="S78" s="194" t="s">
        <v>14</v>
      </c>
      <c r="T78" s="64" t="str">
        <f t="shared" si="6"/>
        <v>Đ</v>
      </c>
      <c r="U78" s="66">
        <f t="shared" si="7"/>
        <v>0</v>
      </c>
      <c r="V78" s="62">
        <f t="shared" si="8"/>
        <v>13311</v>
      </c>
    </row>
    <row r="79" spans="1:22" ht="14.4" hidden="1" x14ac:dyDescent="0.3">
      <c r="A79" s="192">
        <v>62</v>
      </c>
      <c r="B79" s="194" t="s">
        <v>821</v>
      </c>
      <c r="C79" s="296" t="s">
        <v>1022</v>
      </c>
      <c r="D79" s="193">
        <v>46145</v>
      </c>
      <c r="E79" s="194" t="s">
        <v>825</v>
      </c>
      <c r="F79" s="296" t="s">
        <v>822</v>
      </c>
      <c r="G79" s="194" t="s">
        <v>1016</v>
      </c>
      <c r="H79" s="286">
        <v>27273</v>
      </c>
      <c r="I79" s="192">
        <v>10</v>
      </c>
      <c r="J79" s="286">
        <v>2727</v>
      </c>
      <c r="K79" s="194" t="s">
        <v>12</v>
      </c>
      <c r="L79" s="194" t="s">
        <v>15</v>
      </c>
      <c r="M79" s="296" t="s">
        <v>982</v>
      </c>
      <c r="N79" s="193">
        <v>46173</v>
      </c>
      <c r="O79" s="193">
        <v>46173</v>
      </c>
      <c r="P79" s="251">
        <v>30000</v>
      </c>
      <c r="Q79" s="192" t="s">
        <v>10</v>
      </c>
      <c r="R79" s="192" t="s">
        <v>195</v>
      </c>
      <c r="S79" s="194" t="s">
        <v>14</v>
      </c>
      <c r="T79" s="64" t="str">
        <f t="shared" si="6"/>
        <v>Đ</v>
      </c>
      <c r="U79" s="66">
        <f t="shared" si="7"/>
        <v>0</v>
      </c>
      <c r="V79" s="62">
        <f t="shared" si="8"/>
        <v>13311</v>
      </c>
    </row>
    <row r="80" spans="1:22" ht="14.4" hidden="1" x14ac:dyDescent="0.3">
      <c r="A80" s="192">
        <v>63</v>
      </c>
      <c r="B80" s="194" t="s">
        <v>821</v>
      </c>
      <c r="C80" s="296" t="s">
        <v>1023</v>
      </c>
      <c r="D80" s="193">
        <v>46145</v>
      </c>
      <c r="E80" s="194" t="s">
        <v>825</v>
      </c>
      <c r="F80" s="296" t="s">
        <v>822</v>
      </c>
      <c r="G80" s="194" t="s">
        <v>1016</v>
      </c>
      <c r="H80" s="286">
        <v>27273</v>
      </c>
      <c r="I80" s="192">
        <v>10</v>
      </c>
      <c r="J80" s="286">
        <v>2727</v>
      </c>
      <c r="K80" s="194" t="s">
        <v>12</v>
      </c>
      <c r="L80" s="194" t="s">
        <v>15</v>
      </c>
      <c r="M80" s="296" t="s">
        <v>982</v>
      </c>
      <c r="N80" s="193">
        <v>46173</v>
      </c>
      <c r="O80" s="193">
        <v>46173</v>
      </c>
      <c r="P80" s="251">
        <v>30000</v>
      </c>
      <c r="Q80" s="192" t="s">
        <v>10</v>
      </c>
      <c r="R80" s="192" t="s">
        <v>195</v>
      </c>
      <c r="S80" s="194" t="s">
        <v>14</v>
      </c>
      <c r="T80" s="64" t="str">
        <f t="shared" si="6"/>
        <v>Đ</v>
      </c>
      <c r="U80" s="66">
        <f t="shared" si="7"/>
        <v>0</v>
      </c>
      <c r="V80" s="62">
        <f t="shared" si="8"/>
        <v>13311</v>
      </c>
    </row>
    <row r="81" spans="1:24" ht="14.4" hidden="1" x14ac:dyDescent="0.3">
      <c r="A81" s="192">
        <v>64</v>
      </c>
      <c r="B81" s="194" t="s">
        <v>821</v>
      </c>
      <c r="C81" s="296" t="s">
        <v>1024</v>
      </c>
      <c r="D81" s="193">
        <v>46145</v>
      </c>
      <c r="E81" s="194" t="s">
        <v>825</v>
      </c>
      <c r="F81" s="296" t="s">
        <v>822</v>
      </c>
      <c r="G81" s="194" t="s">
        <v>1016</v>
      </c>
      <c r="H81" s="286">
        <v>27273</v>
      </c>
      <c r="I81" s="192">
        <v>10</v>
      </c>
      <c r="J81" s="286">
        <v>2727</v>
      </c>
      <c r="K81" s="194" t="s">
        <v>12</v>
      </c>
      <c r="L81" s="194" t="s">
        <v>15</v>
      </c>
      <c r="M81" s="296" t="s">
        <v>982</v>
      </c>
      <c r="N81" s="193">
        <v>46173</v>
      </c>
      <c r="O81" s="193">
        <v>46173</v>
      </c>
      <c r="P81" s="251">
        <v>30000</v>
      </c>
      <c r="Q81" s="192" t="s">
        <v>10</v>
      </c>
      <c r="R81" s="192" t="s">
        <v>195</v>
      </c>
      <c r="S81" s="194" t="s">
        <v>14</v>
      </c>
      <c r="T81" s="64" t="str">
        <f t="shared" si="6"/>
        <v>Đ</v>
      </c>
      <c r="U81" s="66">
        <f t="shared" si="7"/>
        <v>0</v>
      </c>
      <c r="V81" s="62">
        <f t="shared" si="8"/>
        <v>13311</v>
      </c>
    </row>
    <row r="82" spans="1:24" ht="14.4" hidden="1" x14ac:dyDescent="0.3">
      <c r="A82" s="192">
        <v>65</v>
      </c>
      <c r="B82" s="194" t="s">
        <v>821</v>
      </c>
      <c r="C82" s="296" t="s">
        <v>1025</v>
      </c>
      <c r="D82" s="193">
        <v>46145</v>
      </c>
      <c r="E82" s="194" t="s">
        <v>825</v>
      </c>
      <c r="F82" s="296" t="s">
        <v>822</v>
      </c>
      <c r="G82" s="194" t="s">
        <v>1016</v>
      </c>
      <c r="H82" s="286">
        <v>27273</v>
      </c>
      <c r="I82" s="192">
        <v>10</v>
      </c>
      <c r="J82" s="286">
        <v>2727</v>
      </c>
      <c r="K82" s="194" t="s">
        <v>12</v>
      </c>
      <c r="L82" s="194" t="s">
        <v>15</v>
      </c>
      <c r="M82" s="296" t="s">
        <v>982</v>
      </c>
      <c r="N82" s="193">
        <v>46173</v>
      </c>
      <c r="O82" s="193">
        <v>46173</v>
      </c>
      <c r="P82" s="251">
        <v>30000</v>
      </c>
      <c r="Q82" s="192" t="s">
        <v>10</v>
      </c>
      <c r="R82" s="192" t="s">
        <v>195</v>
      </c>
      <c r="S82" s="194" t="s">
        <v>14</v>
      </c>
      <c r="T82" s="64" t="str">
        <f t="shared" si="6"/>
        <v>Đ</v>
      </c>
      <c r="U82" s="66">
        <f t="shared" si="7"/>
        <v>0</v>
      </c>
      <c r="V82" s="62">
        <f t="shared" si="8"/>
        <v>13311</v>
      </c>
    </row>
    <row r="83" spans="1:24" ht="14.4" hidden="1" x14ac:dyDescent="0.3">
      <c r="A83" s="192">
        <v>66</v>
      </c>
      <c r="B83" s="194" t="s">
        <v>821</v>
      </c>
      <c r="C83" s="296" t="s">
        <v>1026</v>
      </c>
      <c r="D83" s="193">
        <v>46145</v>
      </c>
      <c r="E83" s="194" t="s">
        <v>825</v>
      </c>
      <c r="F83" s="296" t="s">
        <v>822</v>
      </c>
      <c r="G83" s="194" t="s">
        <v>1016</v>
      </c>
      <c r="H83" s="286">
        <v>27273</v>
      </c>
      <c r="I83" s="192">
        <v>10</v>
      </c>
      <c r="J83" s="286">
        <v>2727</v>
      </c>
      <c r="K83" s="194" t="s">
        <v>12</v>
      </c>
      <c r="L83" s="194" t="s">
        <v>15</v>
      </c>
      <c r="M83" s="296" t="s">
        <v>982</v>
      </c>
      <c r="N83" s="193">
        <v>46173</v>
      </c>
      <c r="O83" s="193">
        <v>46173</v>
      </c>
      <c r="P83" s="251">
        <v>30000</v>
      </c>
      <c r="Q83" s="192" t="s">
        <v>10</v>
      </c>
      <c r="R83" s="192" t="s">
        <v>195</v>
      </c>
      <c r="S83" s="194" t="s">
        <v>14</v>
      </c>
      <c r="T83" s="64" t="str">
        <f t="shared" ref="T83:T146" si="9">IF(OR(LEN(F83)=11,LEN(F83)=15),"Đ","SAI")</f>
        <v>Đ</v>
      </c>
      <c r="U83" s="66">
        <f t="shared" ref="U83:U146" si="10">ROUND(H83*I83%,0)-J83</f>
        <v>0</v>
      </c>
      <c r="V83" s="62">
        <f t="shared" ref="V83:V146" si="11">IF(Q83=$V$12,13313,13311)</f>
        <v>13311</v>
      </c>
    </row>
    <row r="84" spans="1:24" ht="14.4" hidden="1" x14ac:dyDescent="0.3">
      <c r="A84" s="192">
        <v>67</v>
      </c>
      <c r="B84" s="194" t="s">
        <v>821</v>
      </c>
      <c r="C84" s="296" t="s">
        <v>1027</v>
      </c>
      <c r="D84" s="193">
        <v>46145</v>
      </c>
      <c r="E84" s="194" t="s">
        <v>825</v>
      </c>
      <c r="F84" s="296" t="s">
        <v>822</v>
      </c>
      <c r="G84" s="194" t="s">
        <v>1016</v>
      </c>
      <c r="H84" s="286">
        <v>409006</v>
      </c>
      <c r="I84" s="192">
        <v>10</v>
      </c>
      <c r="J84" s="286">
        <v>40901</v>
      </c>
      <c r="K84" s="194" t="s">
        <v>12</v>
      </c>
      <c r="L84" s="194" t="s">
        <v>15</v>
      </c>
      <c r="M84" s="296" t="s">
        <v>982</v>
      </c>
      <c r="N84" s="193">
        <v>46173</v>
      </c>
      <c r="O84" s="193">
        <v>46173</v>
      </c>
      <c r="P84" s="251">
        <v>449907</v>
      </c>
      <c r="Q84" s="192" t="s">
        <v>10</v>
      </c>
      <c r="R84" s="192" t="s">
        <v>195</v>
      </c>
      <c r="S84" s="194" t="s">
        <v>14</v>
      </c>
      <c r="T84" s="64" t="str">
        <f t="shared" si="9"/>
        <v>Đ</v>
      </c>
      <c r="U84" s="66">
        <f t="shared" si="10"/>
        <v>0</v>
      </c>
      <c r="V84" s="62">
        <f t="shared" si="11"/>
        <v>13311</v>
      </c>
    </row>
    <row r="85" spans="1:24" ht="14.4" hidden="1" x14ac:dyDescent="0.3">
      <c r="A85" s="192">
        <v>68</v>
      </c>
      <c r="B85" s="194" t="s">
        <v>821</v>
      </c>
      <c r="C85" s="296" t="s">
        <v>1028</v>
      </c>
      <c r="D85" s="193">
        <v>46145</v>
      </c>
      <c r="E85" s="194" t="s">
        <v>825</v>
      </c>
      <c r="F85" s="296" t="s">
        <v>822</v>
      </c>
      <c r="G85" s="194" t="s">
        <v>1016</v>
      </c>
      <c r="H85" s="286">
        <v>21242</v>
      </c>
      <c r="I85" s="192">
        <v>10</v>
      </c>
      <c r="J85" s="286">
        <v>2124</v>
      </c>
      <c r="K85" s="194" t="s">
        <v>12</v>
      </c>
      <c r="L85" s="194" t="s">
        <v>15</v>
      </c>
      <c r="M85" s="296" t="s">
        <v>982</v>
      </c>
      <c r="N85" s="193">
        <v>46173</v>
      </c>
      <c r="O85" s="193">
        <v>46173</v>
      </c>
      <c r="P85" s="251">
        <v>23366</v>
      </c>
      <c r="Q85" s="192" t="s">
        <v>10</v>
      </c>
      <c r="R85" s="192" t="s">
        <v>195</v>
      </c>
      <c r="S85" s="194" t="s">
        <v>14</v>
      </c>
      <c r="T85" s="64" t="str">
        <f t="shared" si="9"/>
        <v>Đ</v>
      </c>
      <c r="U85" s="66">
        <f t="shared" si="10"/>
        <v>0</v>
      </c>
      <c r="V85" s="62">
        <f t="shared" si="11"/>
        <v>13311</v>
      </c>
    </row>
    <row r="86" spans="1:24" ht="15.6" hidden="1" customHeight="1" x14ac:dyDescent="0.3">
      <c r="A86" s="192">
        <v>69</v>
      </c>
      <c r="B86" s="194" t="s">
        <v>821</v>
      </c>
      <c r="C86" s="296" t="s">
        <v>1029</v>
      </c>
      <c r="D86" s="193">
        <v>46145</v>
      </c>
      <c r="E86" s="194" t="s">
        <v>825</v>
      </c>
      <c r="F86" s="296" t="s">
        <v>822</v>
      </c>
      <c r="G86" s="194" t="s">
        <v>1016</v>
      </c>
      <c r="H86" s="286">
        <v>27273</v>
      </c>
      <c r="I86" s="192">
        <v>10</v>
      </c>
      <c r="J86" s="286">
        <v>2727</v>
      </c>
      <c r="K86" s="194" t="s">
        <v>12</v>
      </c>
      <c r="L86" s="194" t="s">
        <v>15</v>
      </c>
      <c r="M86" s="296" t="s">
        <v>982</v>
      </c>
      <c r="N86" s="193">
        <v>46173</v>
      </c>
      <c r="O86" s="193">
        <v>46173</v>
      </c>
      <c r="P86" s="251">
        <v>30000</v>
      </c>
      <c r="Q86" s="192" t="s">
        <v>10</v>
      </c>
      <c r="R86" s="192" t="s">
        <v>195</v>
      </c>
      <c r="S86" s="194" t="s">
        <v>14</v>
      </c>
      <c r="T86" s="64" t="str">
        <f t="shared" si="9"/>
        <v>Đ</v>
      </c>
      <c r="U86" s="66">
        <f t="shared" si="10"/>
        <v>0</v>
      </c>
      <c r="V86" s="62">
        <f t="shared" si="11"/>
        <v>13311</v>
      </c>
    </row>
    <row r="87" spans="1:24" ht="15.6" hidden="1" customHeight="1" x14ac:dyDescent="0.3">
      <c r="A87" s="192">
        <v>70</v>
      </c>
      <c r="B87" s="194" t="s">
        <v>821</v>
      </c>
      <c r="C87" s="296" t="s">
        <v>1030</v>
      </c>
      <c r="D87" s="193">
        <v>46145</v>
      </c>
      <c r="E87" s="194" t="s">
        <v>825</v>
      </c>
      <c r="F87" s="296" t="s">
        <v>822</v>
      </c>
      <c r="G87" s="194" t="s">
        <v>1016</v>
      </c>
      <c r="H87" s="286">
        <v>78514</v>
      </c>
      <c r="I87" s="192">
        <v>10</v>
      </c>
      <c r="J87" s="286">
        <v>7851</v>
      </c>
      <c r="K87" s="194" t="s">
        <v>12</v>
      </c>
      <c r="L87" s="194" t="s">
        <v>15</v>
      </c>
      <c r="M87" s="296" t="s">
        <v>982</v>
      </c>
      <c r="N87" s="193">
        <v>46173</v>
      </c>
      <c r="O87" s="193">
        <v>46173</v>
      </c>
      <c r="P87" s="251">
        <v>86365</v>
      </c>
      <c r="Q87" s="192" t="s">
        <v>10</v>
      </c>
      <c r="R87" s="192" t="s">
        <v>195</v>
      </c>
      <c r="S87" s="194" t="s">
        <v>14</v>
      </c>
      <c r="T87" s="64" t="str">
        <f t="shared" si="9"/>
        <v>Đ</v>
      </c>
      <c r="U87" s="66">
        <f t="shared" si="10"/>
        <v>0</v>
      </c>
      <c r="V87" s="62">
        <f t="shared" si="11"/>
        <v>13311</v>
      </c>
    </row>
    <row r="88" spans="1:24" ht="15.6" hidden="1" customHeight="1" x14ac:dyDescent="0.3">
      <c r="A88" s="192">
        <v>71</v>
      </c>
      <c r="B88" s="194" t="s">
        <v>821</v>
      </c>
      <c r="C88" s="296" t="s">
        <v>1031</v>
      </c>
      <c r="D88" s="193">
        <v>46145</v>
      </c>
      <c r="E88" s="194" t="s">
        <v>825</v>
      </c>
      <c r="F88" s="296" t="s">
        <v>822</v>
      </c>
      <c r="G88" s="194" t="s">
        <v>1016</v>
      </c>
      <c r="H88" s="286">
        <v>159356</v>
      </c>
      <c r="I88" s="192">
        <v>10</v>
      </c>
      <c r="J88" s="286">
        <v>15936</v>
      </c>
      <c r="K88" s="194" t="s">
        <v>12</v>
      </c>
      <c r="L88" s="194" t="s">
        <v>15</v>
      </c>
      <c r="M88" s="296" t="s">
        <v>982</v>
      </c>
      <c r="N88" s="193">
        <v>46173</v>
      </c>
      <c r="O88" s="193">
        <v>46173</v>
      </c>
      <c r="P88" s="251">
        <v>175292</v>
      </c>
      <c r="Q88" s="192" t="s">
        <v>10</v>
      </c>
      <c r="R88" s="192" t="s">
        <v>195</v>
      </c>
      <c r="S88" s="194" t="s">
        <v>14</v>
      </c>
      <c r="T88" s="64" t="str">
        <f t="shared" si="9"/>
        <v>Đ</v>
      </c>
      <c r="U88" s="66">
        <f t="shared" si="10"/>
        <v>0</v>
      </c>
      <c r="V88" s="62">
        <f t="shared" si="11"/>
        <v>13311</v>
      </c>
    </row>
    <row r="89" spans="1:24" s="69" customFormat="1" ht="15.6" hidden="1" customHeight="1" x14ac:dyDescent="0.3">
      <c r="A89" s="192">
        <v>72</v>
      </c>
      <c r="B89" s="194" t="s">
        <v>821</v>
      </c>
      <c r="C89" s="296" t="s">
        <v>1032</v>
      </c>
      <c r="D89" s="193">
        <v>46145</v>
      </c>
      <c r="E89" s="194" t="s">
        <v>825</v>
      </c>
      <c r="F89" s="296" t="s">
        <v>822</v>
      </c>
      <c r="G89" s="194" t="s">
        <v>1016</v>
      </c>
      <c r="H89" s="286">
        <v>27273</v>
      </c>
      <c r="I89" s="192">
        <v>10</v>
      </c>
      <c r="J89" s="286">
        <v>2727</v>
      </c>
      <c r="K89" s="194" t="s">
        <v>12</v>
      </c>
      <c r="L89" s="194" t="s">
        <v>15</v>
      </c>
      <c r="M89" s="296" t="s">
        <v>982</v>
      </c>
      <c r="N89" s="193">
        <v>46173</v>
      </c>
      <c r="O89" s="193">
        <v>46173</v>
      </c>
      <c r="P89" s="251">
        <v>30000</v>
      </c>
      <c r="Q89" s="192" t="s">
        <v>10</v>
      </c>
      <c r="R89" s="192" t="s">
        <v>195</v>
      </c>
      <c r="S89" s="194" t="s">
        <v>14</v>
      </c>
      <c r="T89" s="64" t="str">
        <f t="shared" si="9"/>
        <v>Đ</v>
      </c>
      <c r="U89" s="66">
        <f t="shared" si="10"/>
        <v>0</v>
      </c>
      <c r="V89" s="62">
        <f t="shared" si="11"/>
        <v>13311</v>
      </c>
      <c r="W89" s="71"/>
      <c r="X89" s="71"/>
    </row>
    <row r="90" spans="1:24" ht="14.4" hidden="1" x14ac:dyDescent="0.3">
      <c r="A90" s="192">
        <v>73</v>
      </c>
      <c r="B90" s="194" t="s">
        <v>821</v>
      </c>
      <c r="C90" s="296" t="s">
        <v>1033</v>
      </c>
      <c r="D90" s="193">
        <v>46145</v>
      </c>
      <c r="E90" s="194" t="s">
        <v>825</v>
      </c>
      <c r="F90" s="296" t="s">
        <v>822</v>
      </c>
      <c r="G90" s="194" t="s">
        <v>1016</v>
      </c>
      <c r="H90" s="286">
        <v>27273</v>
      </c>
      <c r="I90" s="192">
        <v>10</v>
      </c>
      <c r="J90" s="286">
        <v>2727</v>
      </c>
      <c r="K90" s="194" t="s">
        <v>12</v>
      </c>
      <c r="L90" s="194" t="s">
        <v>15</v>
      </c>
      <c r="M90" s="296" t="s">
        <v>982</v>
      </c>
      <c r="N90" s="193">
        <v>46173</v>
      </c>
      <c r="O90" s="193">
        <v>46173</v>
      </c>
      <c r="P90" s="251">
        <v>30000</v>
      </c>
      <c r="Q90" s="192" t="s">
        <v>10</v>
      </c>
      <c r="R90" s="192" t="s">
        <v>195</v>
      </c>
      <c r="S90" s="194" t="s">
        <v>14</v>
      </c>
      <c r="T90" s="64" t="str">
        <f t="shared" si="9"/>
        <v>Đ</v>
      </c>
      <c r="U90" s="66">
        <f t="shared" si="10"/>
        <v>0</v>
      </c>
      <c r="V90" s="62">
        <f t="shared" si="11"/>
        <v>13311</v>
      </c>
    </row>
    <row r="91" spans="1:24" ht="14.4" hidden="1" x14ac:dyDescent="0.3">
      <c r="A91" s="192">
        <v>74</v>
      </c>
      <c r="B91" s="194" t="s">
        <v>821</v>
      </c>
      <c r="C91" s="296" t="s">
        <v>1034</v>
      </c>
      <c r="D91" s="193">
        <v>46145</v>
      </c>
      <c r="E91" s="194" t="s">
        <v>825</v>
      </c>
      <c r="F91" s="296" t="s">
        <v>822</v>
      </c>
      <c r="G91" s="194" t="s">
        <v>1016</v>
      </c>
      <c r="H91" s="286">
        <v>27273</v>
      </c>
      <c r="I91" s="192">
        <v>10</v>
      </c>
      <c r="J91" s="286">
        <v>2727</v>
      </c>
      <c r="K91" s="194" t="s">
        <v>12</v>
      </c>
      <c r="L91" s="194" t="s">
        <v>15</v>
      </c>
      <c r="M91" s="296" t="s">
        <v>982</v>
      </c>
      <c r="N91" s="193">
        <v>46173</v>
      </c>
      <c r="O91" s="193">
        <v>46173</v>
      </c>
      <c r="P91" s="251">
        <v>30000</v>
      </c>
      <c r="Q91" s="192" t="s">
        <v>10</v>
      </c>
      <c r="R91" s="192" t="s">
        <v>195</v>
      </c>
      <c r="S91" s="194" t="s">
        <v>14</v>
      </c>
      <c r="T91" s="64" t="str">
        <f t="shared" si="9"/>
        <v>Đ</v>
      </c>
      <c r="U91" s="66">
        <f t="shared" si="10"/>
        <v>0</v>
      </c>
      <c r="V91" s="62">
        <f t="shared" si="11"/>
        <v>13311</v>
      </c>
    </row>
    <row r="92" spans="1:24" ht="14.4" hidden="1" x14ac:dyDescent="0.3">
      <c r="A92" s="192">
        <v>75</v>
      </c>
      <c r="B92" s="194" t="s">
        <v>821</v>
      </c>
      <c r="C92" s="296" t="s">
        <v>1035</v>
      </c>
      <c r="D92" s="193">
        <v>46145</v>
      </c>
      <c r="E92" s="194" t="s">
        <v>825</v>
      </c>
      <c r="F92" s="296" t="s">
        <v>822</v>
      </c>
      <c r="G92" s="194" t="s">
        <v>1016</v>
      </c>
      <c r="H92" s="286">
        <v>70252</v>
      </c>
      <c r="I92" s="192">
        <v>10</v>
      </c>
      <c r="J92" s="286">
        <v>7025</v>
      </c>
      <c r="K92" s="194" t="s">
        <v>12</v>
      </c>
      <c r="L92" s="194" t="s">
        <v>15</v>
      </c>
      <c r="M92" s="296" t="s">
        <v>982</v>
      </c>
      <c r="N92" s="193">
        <v>46173</v>
      </c>
      <c r="O92" s="193">
        <v>46173</v>
      </c>
      <c r="P92" s="251">
        <v>77277</v>
      </c>
      <c r="Q92" s="192" t="s">
        <v>10</v>
      </c>
      <c r="R92" s="192" t="s">
        <v>195</v>
      </c>
      <c r="S92" s="194" t="s">
        <v>14</v>
      </c>
      <c r="T92" s="64" t="str">
        <f t="shared" si="9"/>
        <v>Đ</v>
      </c>
      <c r="U92" s="66">
        <f t="shared" si="10"/>
        <v>0</v>
      </c>
      <c r="V92" s="62">
        <f t="shared" si="11"/>
        <v>13311</v>
      </c>
    </row>
    <row r="93" spans="1:24" ht="14.4" hidden="1" x14ac:dyDescent="0.3">
      <c r="A93" s="192">
        <v>76</v>
      </c>
      <c r="B93" s="194" t="s">
        <v>821</v>
      </c>
      <c r="C93" s="296" t="s">
        <v>1036</v>
      </c>
      <c r="D93" s="193">
        <v>46145</v>
      </c>
      <c r="E93" s="194" t="s">
        <v>825</v>
      </c>
      <c r="F93" s="296" t="s">
        <v>822</v>
      </c>
      <c r="G93" s="194" t="s">
        <v>1016</v>
      </c>
      <c r="H93" s="286">
        <v>27273</v>
      </c>
      <c r="I93" s="192">
        <v>10</v>
      </c>
      <c r="J93" s="286">
        <v>2727</v>
      </c>
      <c r="K93" s="194" t="s">
        <v>12</v>
      </c>
      <c r="L93" s="194" t="s">
        <v>15</v>
      </c>
      <c r="M93" s="296" t="s">
        <v>982</v>
      </c>
      <c r="N93" s="193">
        <v>46173</v>
      </c>
      <c r="O93" s="193">
        <v>46173</v>
      </c>
      <c r="P93" s="251">
        <v>30000</v>
      </c>
      <c r="Q93" s="192" t="s">
        <v>10</v>
      </c>
      <c r="R93" s="192" t="s">
        <v>195</v>
      </c>
      <c r="S93" s="194" t="s">
        <v>14</v>
      </c>
      <c r="T93" s="64" t="str">
        <f t="shared" si="9"/>
        <v>Đ</v>
      </c>
      <c r="U93" s="66">
        <f t="shared" si="10"/>
        <v>0</v>
      </c>
      <c r="V93" s="62">
        <f t="shared" si="11"/>
        <v>13311</v>
      </c>
    </row>
    <row r="94" spans="1:24" ht="14.4" hidden="1" x14ac:dyDescent="0.3">
      <c r="A94" s="192">
        <v>77</v>
      </c>
      <c r="B94" s="194" t="s">
        <v>821</v>
      </c>
      <c r="C94" s="296" t="s">
        <v>1037</v>
      </c>
      <c r="D94" s="193">
        <v>46145</v>
      </c>
      <c r="E94" s="194" t="s">
        <v>825</v>
      </c>
      <c r="F94" s="296" t="s">
        <v>822</v>
      </c>
      <c r="G94" s="194" t="s">
        <v>1016</v>
      </c>
      <c r="H94" s="286">
        <v>27273</v>
      </c>
      <c r="I94" s="192">
        <v>10</v>
      </c>
      <c r="J94" s="286">
        <v>2727</v>
      </c>
      <c r="K94" s="194" t="s">
        <v>12</v>
      </c>
      <c r="L94" s="194" t="s">
        <v>15</v>
      </c>
      <c r="M94" s="296" t="s">
        <v>982</v>
      </c>
      <c r="N94" s="193">
        <v>46173</v>
      </c>
      <c r="O94" s="193">
        <v>46173</v>
      </c>
      <c r="P94" s="251">
        <v>30000</v>
      </c>
      <c r="Q94" s="192" t="s">
        <v>10</v>
      </c>
      <c r="R94" s="192" t="s">
        <v>195</v>
      </c>
      <c r="S94" s="194" t="s">
        <v>14</v>
      </c>
      <c r="T94" s="64" t="str">
        <f t="shared" si="9"/>
        <v>Đ</v>
      </c>
      <c r="U94" s="66">
        <f t="shared" si="10"/>
        <v>0</v>
      </c>
      <c r="V94" s="62">
        <f t="shared" si="11"/>
        <v>13311</v>
      </c>
    </row>
    <row r="95" spans="1:24" ht="14.4" hidden="1" x14ac:dyDescent="0.3">
      <c r="A95" s="192">
        <v>78</v>
      </c>
      <c r="B95" s="194" t="s">
        <v>821</v>
      </c>
      <c r="C95" s="296" t="s">
        <v>1038</v>
      </c>
      <c r="D95" s="193">
        <v>46145</v>
      </c>
      <c r="E95" s="194" t="s">
        <v>825</v>
      </c>
      <c r="F95" s="296" t="s">
        <v>822</v>
      </c>
      <c r="G95" s="194" t="s">
        <v>1016</v>
      </c>
      <c r="H95" s="286">
        <v>900000</v>
      </c>
      <c r="I95" s="192">
        <v>10</v>
      </c>
      <c r="J95" s="286">
        <v>90000</v>
      </c>
      <c r="K95" s="194" t="s">
        <v>12</v>
      </c>
      <c r="L95" s="194" t="s">
        <v>15</v>
      </c>
      <c r="M95" s="296" t="s">
        <v>982</v>
      </c>
      <c r="N95" s="193">
        <v>46173</v>
      </c>
      <c r="O95" s="193">
        <v>46173</v>
      </c>
      <c r="P95" s="251">
        <v>990000</v>
      </c>
      <c r="Q95" s="192" t="s">
        <v>10</v>
      </c>
      <c r="R95" s="192" t="s">
        <v>195</v>
      </c>
      <c r="S95" s="194" t="s">
        <v>14</v>
      </c>
      <c r="T95" s="64" t="str">
        <f t="shared" si="9"/>
        <v>Đ</v>
      </c>
      <c r="U95" s="66">
        <f t="shared" si="10"/>
        <v>0</v>
      </c>
      <c r="V95" s="62">
        <f t="shared" si="11"/>
        <v>13311</v>
      </c>
    </row>
    <row r="96" spans="1:24" s="69" customFormat="1" ht="14.4" hidden="1" x14ac:dyDescent="0.3">
      <c r="A96" s="192">
        <v>79</v>
      </c>
      <c r="B96" s="194" t="s">
        <v>821</v>
      </c>
      <c r="C96" s="296" t="s">
        <v>1039</v>
      </c>
      <c r="D96" s="193">
        <v>46145</v>
      </c>
      <c r="E96" s="194" t="s">
        <v>825</v>
      </c>
      <c r="F96" s="296" t="s">
        <v>822</v>
      </c>
      <c r="G96" s="194" t="s">
        <v>1016</v>
      </c>
      <c r="H96" s="286">
        <v>27273</v>
      </c>
      <c r="I96" s="192">
        <v>10</v>
      </c>
      <c r="J96" s="286">
        <v>2727</v>
      </c>
      <c r="K96" s="194" t="s">
        <v>12</v>
      </c>
      <c r="L96" s="194" t="s">
        <v>15</v>
      </c>
      <c r="M96" s="296" t="s">
        <v>982</v>
      </c>
      <c r="N96" s="193">
        <v>46173</v>
      </c>
      <c r="O96" s="193">
        <v>46173</v>
      </c>
      <c r="P96" s="251">
        <v>30000</v>
      </c>
      <c r="Q96" s="192" t="s">
        <v>10</v>
      </c>
      <c r="R96" s="192" t="s">
        <v>195</v>
      </c>
      <c r="S96" s="194" t="s">
        <v>14</v>
      </c>
      <c r="T96" s="64" t="str">
        <f t="shared" si="9"/>
        <v>Đ</v>
      </c>
      <c r="U96" s="66">
        <f t="shared" si="10"/>
        <v>0</v>
      </c>
      <c r="V96" s="62">
        <f t="shared" si="11"/>
        <v>13311</v>
      </c>
    </row>
    <row r="97" spans="1:22" ht="14.4" hidden="1" x14ac:dyDescent="0.3">
      <c r="A97" s="192">
        <v>80</v>
      </c>
      <c r="B97" s="194" t="s">
        <v>821</v>
      </c>
      <c r="C97" s="296" t="s">
        <v>1040</v>
      </c>
      <c r="D97" s="193">
        <v>46145</v>
      </c>
      <c r="E97" s="194" t="s">
        <v>825</v>
      </c>
      <c r="F97" s="296" t="s">
        <v>822</v>
      </c>
      <c r="G97" s="194" t="s">
        <v>1016</v>
      </c>
      <c r="H97" s="286">
        <v>109091</v>
      </c>
      <c r="I97" s="192">
        <v>10</v>
      </c>
      <c r="J97" s="286">
        <v>10909</v>
      </c>
      <c r="K97" s="194" t="s">
        <v>12</v>
      </c>
      <c r="L97" s="194" t="s">
        <v>15</v>
      </c>
      <c r="M97" s="296" t="s">
        <v>982</v>
      </c>
      <c r="N97" s="193">
        <v>46173</v>
      </c>
      <c r="O97" s="193">
        <v>46173</v>
      </c>
      <c r="P97" s="251">
        <v>120000</v>
      </c>
      <c r="Q97" s="192" t="s">
        <v>10</v>
      </c>
      <c r="R97" s="192" t="s">
        <v>195</v>
      </c>
      <c r="S97" s="194" t="s">
        <v>14</v>
      </c>
      <c r="T97" s="64" t="str">
        <f t="shared" si="9"/>
        <v>Đ</v>
      </c>
      <c r="U97" s="66">
        <f t="shared" si="10"/>
        <v>0</v>
      </c>
      <c r="V97" s="62">
        <f t="shared" si="11"/>
        <v>13311</v>
      </c>
    </row>
    <row r="98" spans="1:22" ht="14.4" hidden="1" x14ac:dyDescent="0.3">
      <c r="A98" s="192">
        <v>81</v>
      </c>
      <c r="B98" s="194" t="s">
        <v>821</v>
      </c>
      <c r="C98" s="296" t="s">
        <v>1041</v>
      </c>
      <c r="D98" s="193">
        <v>46145</v>
      </c>
      <c r="E98" s="194" t="s">
        <v>825</v>
      </c>
      <c r="F98" s="296" t="s">
        <v>822</v>
      </c>
      <c r="G98" s="194" t="s">
        <v>1016</v>
      </c>
      <c r="H98" s="286">
        <v>19334</v>
      </c>
      <c r="I98" s="192">
        <v>10</v>
      </c>
      <c r="J98" s="286">
        <v>1933</v>
      </c>
      <c r="K98" s="194" t="s">
        <v>12</v>
      </c>
      <c r="L98" s="194" t="s">
        <v>15</v>
      </c>
      <c r="M98" s="296" t="s">
        <v>982</v>
      </c>
      <c r="N98" s="193">
        <v>46173</v>
      </c>
      <c r="O98" s="193">
        <v>46173</v>
      </c>
      <c r="P98" s="251">
        <v>21267</v>
      </c>
      <c r="Q98" s="192" t="s">
        <v>10</v>
      </c>
      <c r="R98" s="192" t="s">
        <v>195</v>
      </c>
      <c r="S98" s="194" t="s">
        <v>14</v>
      </c>
      <c r="T98" s="64" t="str">
        <f t="shared" si="9"/>
        <v>Đ</v>
      </c>
      <c r="U98" s="66">
        <f t="shared" si="10"/>
        <v>0</v>
      </c>
      <c r="V98" s="62">
        <f t="shared" si="11"/>
        <v>13311</v>
      </c>
    </row>
    <row r="99" spans="1:22" ht="14.4" hidden="1" x14ac:dyDescent="0.3">
      <c r="A99" s="192">
        <v>82</v>
      </c>
      <c r="B99" s="194" t="s">
        <v>821</v>
      </c>
      <c r="C99" s="296" t="s">
        <v>1042</v>
      </c>
      <c r="D99" s="193">
        <v>46145</v>
      </c>
      <c r="E99" s="194" t="s">
        <v>825</v>
      </c>
      <c r="F99" s="296" t="s">
        <v>822</v>
      </c>
      <c r="G99" s="194" t="s">
        <v>1016</v>
      </c>
      <c r="H99" s="286">
        <v>156188</v>
      </c>
      <c r="I99" s="192">
        <v>10</v>
      </c>
      <c r="J99" s="286">
        <v>15619</v>
      </c>
      <c r="K99" s="194" t="s">
        <v>12</v>
      </c>
      <c r="L99" s="194" t="s">
        <v>15</v>
      </c>
      <c r="M99" s="296" t="s">
        <v>982</v>
      </c>
      <c r="N99" s="193">
        <v>46173</v>
      </c>
      <c r="O99" s="193">
        <v>46173</v>
      </c>
      <c r="P99" s="251">
        <v>171807</v>
      </c>
      <c r="Q99" s="192" t="s">
        <v>10</v>
      </c>
      <c r="R99" s="192" t="s">
        <v>195</v>
      </c>
      <c r="S99" s="194" t="s">
        <v>14</v>
      </c>
      <c r="T99" s="64" t="str">
        <f t="shared" si="9"/>
        <v>Đ</v>
      </c>
      <c r="U99" s="66">
        <f t="shared" si="10"/>
        <v>0</v>
      </c>
      <c r="V99" s="62">
        <f t="shared" si="11"/>
        <v>13311</v>
      </c>
    </row>
    <row r="100" spans="1:22" ht="14.4" hidden="1" x14ac:dyDescent="0.3">
      <c r="A100" s="192">
        <v>83</v>
      </c>
      <c r="B100" s="194" t="s">
        <v>821</v>
      </c>
      <c r="C100" s="296" t="s">
        <v>1043</v>
      </c>
      <c r="D100" s="193">
        <v>46145</v>
      </c>
      <c r="E100" s="194" t="s">
        <v>825</v>
      </c>
      <c r="F100" s="296" t="s">
        <v>822</v>
      </c>
      <c r="G100" s="194" t="s">
        <v>1016</v>
      </c>
      <c r="H100" s="286">
        <v>27273</v>
      </c>
      <c r="I100" s="192">
        <v>10</v>
      </c>
      <c r="J100" s="286">
        <v>2727</v>
      </c>
      <c r="K100" s="194" t="s">
        <v>12</v>
      </c>
      <c r="L100" s="194" t="s">
        <v>15</v>
      </c>
      <c r="M100" s="296" t="s">
        <v>982</v>
      </c>
      <c r="N100" s="193">
        <v>46173</v>
      </c>
      <c r="O100" s="193">
        <v>46173</v>
      </c>
      <c r="P100" s="251">
        <v>30000</v>
      </c>
      <c r="Q100" s="192" t="s">
        <v>10</v>
      </c>
      <c r="R100" s="192" t="s">
        <v>195</v>
      </c>
      <c r="S100" s="194" t="s">
        <v>14</v>
      </c>
      <c r="T100" s="64" t="str">
        <f t="shared" si="9"/>
        <v>Đ</v>
      </c>
      <c r="U100" s="66">
        <f t="shared" si="10"/>
        <v>0</v>
      </c>
      <c r="V100" s="62">
        <f t="shared" si="11"/>
        <v>13311</v>
      </c>
    </row>
    <row r="101" spans="1:22" ht="14.4" hidden="1" x14ac:dyDescent="0.3">
      <c r="A101" s="192">
        <v>84</v>
      </c>
      <c r="B101" s="194" t="s">
        <v>821</v>
      </c>
      <c r="C101" s="296" t="s">
        <v>1044</v>
      </c>
      <c r="D101" s="193">
        <v>46145</v>
      </c>
      <c r="E101" s="194" t="s">
        <v>825</v>
      </c>
      <c r="F101" s="296" t="s">
        <v>822</v>
      </c>
      <c r="G101" s="194" t="s">
        <v>1016</v>
      </c>
      <c r="H101" s="286">
        <v>27273</v>
      </c>
      <c r="I101" s="192">
        <v>10</v>
      </c>
      <c r="J101" s="286">
        <v>2727</v>
      </c>
      <c r="K101" s="194" t="s">
        <v>12</v>
      </c>
      <c r="L101" s="194" t="s">
        <v>15</v>
      </c>
      <c r="M101" s="296" t="s">
        <v>982</v>
      </c>
      <c r="N101" s="193">
        <v>46173</v>
      </c>
      <c r="O101" s="193">
        <v>46173</v>
      </c>
      <c r="P101" s="251">
        <v>30000</v>
      </c>
      <c r="Q101" s="192" t="s">
        <v>10</v>
      </c>
      <c r="R101" s="192" t="s">
        <v>195</v>
      </c>
      <c r="S101" s="194" t="s">
        <v>14</v>
      </c>
      <c r="T101" s="64" t="str">
        <f t="shared" si="9"/>
        <v>Đ</v>
      </c>
      <c r="U101" s="66">
        <f t="shared" si="10"/>
        <v>0</v>
      </c>
      <c r="V101" s="62">
        <f t="shared" si="11"/>
        <v>13311</v>
      </c>
    </row>
    <row r="102" spans="1:22" ht="14.4" hidden="1" x14ac:dyDescent="0.3">
      <c r="A102" s="192">
        <v>85</v>
      </c>
      <c r="B102" s="194" t="s">
        <v>821</v>
      </c>
      <c r="C102" s="296" t="s">
        <v>1045</v>
      </c>
      <c r="D102" s="193">
        <v>46145</v>
      </c>
      <c r="E102" s="194" t="s">
        <v>825</v>
      </c>
      <c r="F102" s="296" t="s">
        <v>822</v>
      </c>
      <c r="G102" s="194" t="s">
        <v>1016</v>
      </c>
      <c r="H102" s="286">
        <v>27273</v>
      </c>
      <c r="I102" s="192">
        <v>10</v>
      </c>
      <c r="J102" s="286">
        <v>2727</v>
      </c>
      <c r="K102" s="194" t="s">
        <v>12</v>
      </c>
      <c r="L102" s="194" t="s">
        <v>15</v>
      </c>
      <c r="M102" s="296" t="s">
        <v>982</v>
      </c>
      <c r="N102" s="193">
        <v>46173</v>
      </c>
      <c r="O102" s="193">
        <v>46173</v>
      </c>
      <c r="P102" s="251">
        <v>30000</v>
      </c>
      <c r="Q102" s="192" t="s">
        <v>10</v>
      </c>
      <c r="R102" s="192" t="s">
        <v>195</v>
      </c>
      <c r="S102" s="194" t="s">
        <v>14</v>
      </c>
      <c r="T102" s="64" t="str">
        <f t="shared" si="9"/>
        <v>Đ</v>
      </c>
      <c r="U102" s="66">
        <f t="shared" si="10"/>
        <v>0</v>
      </c>
      <c r="V102" s="62">
        <f t="shared" si="11"/>
        <v>13311</v>
      </c>
    </row>
    <row r="103" spans="1:22" ht="14.4" hidden="1" x14ac:dyDescent="0.3">
      <c r="A103" s="192">
        <v>86</v>
      </c>
      <c r="B103" s="194" t="s">
        <v>821</v>
      </c>
      <c r="C103" s="296" t="s">
        <v>1046</v>
      </c>
      <c r="D103" s="193">
        <v>46145</v>
      </c>
      <c r="E103" s="194" t="s">
        <v>825</v>
      </c>
      <c r="F103" s="296" t="s">
        <v>822</v>
      </c>
      <c r="G103" s="194" t="s">
        <v>1016</v>
      </c>
      <c r="H103" s="286">
        <v>27273</v>
      </c>
      <c r="I103" s="192">
        <v>10</v>
      </c>
      <c r="J103" s="286">
        <v>2727</v>
      </c>
      <c r="K103" s="194" t="s">
        <v>12</v>
      </c>
      <c r="L103" s="194" t="s">
        <v>15</v>
      </c>
      <c r="M103" s="296" t="s">
        <v>982</v>
      </c>
      <c r="N103" s="193">
        <v>46173</v>
      </c>
      <c r="O103" s="193">
        <v>46173</v>
      </c>
      <c r="P103" s="251">
        <v>30000</v>
      </c>
      <c r="Q103" s="192" t="s">
        <v>10</v>
      </c>
      <c r="R103" s="192" t="s">
        <v>195</v>
      </c>
      <c r="S103" s="194" t="s">
        <v>14</v>
      </c>
      <c r="T103" s="64" t="str">
        <f t="shared" si="9"/>
        <v>Đ</v>
      </c>
      <c r="U103" s="66">
        <f t="shared" si="10"/>
        <v>0</v>
      </c>
      <c r="V103" s="62">
        <f t="shared" si="11"/>
        <v>13311</v>
      </c>
    </row>
    <row r="104" spans="1:22" ht="14.4" hidden="1" x14ac:dyDescent="0.3">
      <c r="A104" s="192">
        <v>87</v>
      </c>
      <c r="B104" s="194" t="s">
        <v>821</v>
      </c>
      <c r="C104" s="296" t="s">
        <v>1047</v>
      </c>
      <c r="D104" s="193">
        <v>46145</v>
      </c>
      <c r="E104" s="194" t="s">
        <v>825</v>
      </c>
      <c r="F104" s="296" t="s">
        <v>822</v>
      </c>
      <c r="G104" s="194" t="s">
        <v>1016</v>
      </c>
      <c r="H104" s="286">
        <v>9998</v>
      </c>
      <c r="I104" s="192">
        <v>10</v>
      </c>
      <c r="J104" s="286">
        <v>1000</v>
      </c>
      <c r="K104" s="194" t="s">
        <v>12</v>
      </c>
      <c r="L104" s="194" t="s">
        <v>15</v>
      </c>
      <c r="M104" s="296" t="s">
        <v>982</v>
      </c>
      <c r="N104" s="193">
        <v>46173</v>
      </c>
      <c r="O104" s="193">
        <v>46173</v>
      </c>
      <c r="P104" s="251">
        <v>10998</v>
      </c>
      <c r="Q104" s="192" t="s">
        <v>10</v>
      </c>
      <c r="R104" s="192" t="s">
        <v>195</v>
      </c>
      <c r="S104" s="194" t="s">
        <v>14</v>
      </c>
      <c r="T104" s="64" t="str">
        <f t="shared" si="9"/>
        <v>Đ</v>
      </c>
      <c r="U104" s="66">
        <f t="shared" si="10"/>
        <v>0</v>
      </c>
      <c r="V104" s="62">
        <f t="shared" si="11"/>
        <v>13311</v>
      </c>
    </row>
    <row r="105" spans="1:22" ht="14.4" hidden="1" x14ac:dyDescent="0.3">
      <c r="A105" s="192">
        <v>88</v>
      </c>
      <c r="B105" s="194" t="s">
        <v>821</v>
      </c>
      <c r="C105" s="296" t="s">
        <v>1048</v>
      </c>
      <c r="D105" s="193">
        <v>46145</v>
      </c>
      <c r="E105" s="194" t="s">
        <v>825</v>
      </c>
      <c r="F105" s="296" t="s">
        <v>822</v>
      </c>
      <c r="G105" s="194" t="s">
        <v>1016</v>
      </c>
      <c r="H105" s="286">
        <v>115000</v>
      </c>
      <c r="I105" s="192">
        <v>10</v>
      </c>
      <c r="J105" s="286">
        <v>11500</v>
      </c>
      <c r="K105" s="194" t="s">
        <v>12</v>
      </c>
      <c r="L105" s="194" t="s">
        <v>15</v>
      </c>
      <c r="M105" s="296" t="s">
        <v>982</v>
      </c>
      <c r="N105" s="193">
        <v>46173</v>
      </c>
      <c r="O105" s="193">
        <v>46173</v>
      </c>
      <c r="P105" s="251">
        <v>126500</v>
      </c>
      <c r="Q105" s="192" t="s">
        <v>10</v>
      </c>
      <c r="R105" s="192" t="s">
        <v>195</v>
      </c>
      <c r="S105" s="194" t="s">
        <v>14</v>
      </c>
      <c r="T105" s="64" t="str">
        <f t="shared" si="9"/>
        <v>Đ</v>
      </c>
      <c r="U105" s="66">
        <f t="shared" si="10"/>
        <v>0</v>
      </c>
      <c r="V105" s="62">
        <f t="shared" si="11"/>
        <v>13311</v>
      </c>
    </row>
    <row r="106" spans="1:22" ht="14.4" hidden="1" x14ac:dyDescent="0.3">
      <c r="A106" s="192">
        <v>89</v>
      </c>
      <c r="B106" s="194" t="s">
        <v>821</v>
      </c>
      <c r="C106" s="296" t="s">
        <v>1049</v>
      </c>
      <c r="D106" s="193">
        <v>46145</v>
      </c>
      <c r="E106" s="194" t="s">
        <v>825</v>
      </c>
      <c r="F106" s="296" t="s">
        <v>822</v>
      </c>
      <c r="G106" s="194" t="s">
        <v>1016</v>
      </c>
      <c r="H106" s="286">
        <v>181818</v>
      </c>
      <c r="I106" s="192">
        <v>10</v>
      </c>
      <c r="J106" s="286">
        <v>18182</v>
      </c>
      <c r="K106" s="194" t="s">
        <v>12</v>
      </c>
      <c r="L106" s="194" t="s">
        <v>15</v>
      </c>
      <c r="M106" s="296" t="s">
        <v>982</v>
      </c>
      <c r="N106" s="193">
        <v>46173</v>
      </c>
      <c r="O106" s="193">
        <v>46173</v>
      </c>
      <c r="P106" s="251">
        <v>200000</v>
      </c>
      <c r="Q106" s="192" t="s">
        <v>10</v>
      </c>
      <c r="R106" s="192" t="s">
        <v>195</v>
      </c>
      <c r="S106" s="194" t="s">
        <v>14</v>
      </c>
      <c r="T106" s="64" t="str">
        <f t="shared" si="9"/>
        <v>Đ</v>
      </c>
      <c r="U106" s="66">
        <f t="shared" si="10"/>
        <v>0</v>
      </c>
      <c r="V106" s="62">
        <f t="shared" si="11"/>
        <v>13311</v>
      </c>
    </row>
    <row r="107" spans="1:22" ht="14.4" hidden="1" x14ac:dyDescent="0.3">
      <c r="A107" s="192">
        <v>90</v>
      </c>
      <c r="B107" s="194" t="s">
        <v>821</v>
      </c>
      <c r="C107" s="296" t="s">
        <v>1050</v>
      </c>
      <c r="D107" s="193">
        <v>46145</v>
      </c>
      <c r="E107" s="194" t="s">
        <v>825</v>
      </c>
      <c r="F107" s="296" t="s">
        <v>822</v>
      </c>
      <c r="G107" s="194" t="s">
        <v>1016</v>
      </c>
      <c r="H107" s="286">
        <v>338519</v>
      </c>
      <c r="I107" s="192">
        <v>10</v>
      </c>
      <c r="J107" s="286">
        <v>33852</v>
      </c>
      <c r="K107" s="194" t="s">
        <v>12</v>
      </c>
      <c r="L107" s="194" t="s">
        <v>15</v>
      </c>
      <c r="M107" s="296" t="s">
        <v>982</v>
      </c>
      <c r="N107" s="193">
        <v>46173</v>
      </c>
      <c r="O107" s="193">
        <v>46173</v>
      </c>
      <c r="P107" s="251">
        <v>372371</v>
      </c>
      <c r="Q107" s="192" t="s">
        <v>10</v>
      </c>
      <c r="R107" s="192" t="s">
        <v>195</v>
      </c>
      <c r="S107" s="194" t="s">
        <v>14</v>
      </c>
      <c r="T107" s="64" t="str">
        <f t="shared" si="9"/>
        <v>Đ</v>
      </c>
      <c r="U107" s="66">
        <f t="shared" si="10"/>
        <v>0</v>
      </c>
      <c r="V107" s="62">
        <f t="shared" si="11"/>
        <v>13311</v>
      </c>
    </row>
    <row r="108" spans="1:22" ht="21.6" hidden="1" x14ac:dyDescent="0.3">
      <c r="A108" s="192">
        <v>91</v>
      </c>
      <c r="B108" s="194" t="s">
        <v>297</v>
      </c>
      <c r="C108" s="296" t="s">
        <v>631</v>
      </c>
      <c r="D108" s="193">
        <v>46146</v>
      </c>
      <c r="E108" s="194" t="s">
        <v>302</v>
      </c>
      <c r="F108" s="296" t="s">
        <v>303</v>
      </c>
      <c r="G108" s="194" t="s">
        <v>1051</v>
      </c>
      <c r="H108" s="286">
        <v>5083196</v>
      </c>
      <c r="I108" s="192">
        <v>8</v>
      </c>
      <c r="J108" s="286">
        <v>406656</v>
      </c>
      <c r="K108" s="194" t="s">
        <v>12</v>
      </c>
      <c r="L108" s="194" t="s">
        <v>15</v>
      </c>
      <c r="M108" s="296" t="s">
        <v>982</v>
      </c>
      <c r="N108" s="193">
        <v>46173</v>
      </c>
      <c r="O108" s="193">
        <v>46173</v>
      </c>
      <c r="P108" s="251">
        <v>5489852</v>
      </c>
      <c r="Q108" s="192" t="s">
        <v>10</v>
      </c>
      <c r="R108" s="192" t="s">
        <v>195</v>
      </c>
      <c r="S108" s="194" t="s">
        <v>14</v>
      </c>
      <c r="T108" s="64" t="str">
        <f t="shared" si="9"/>
        <v>Đ</v>
      </c>
      <c r="U108" s="66">
        <f t="shared" si="10"/>
        <v>0</v>
      </c>
      <c r="V108" s="62">
        <f t="shared" si="11"/>
        <v>13311</v>
      </c>
    </row>
    <row r="109" spans="1:22" ht="14.4" hidden="1" x14ac:dyDescent="0.3">
      <c r="A109" s="192">
        <v>92</v>
      </c>
      <c r="B109" s="194" t="s">
        <v>451</v>
      </c>
      <c r="C109" s="296" t="s">
        <v>1052</v>
      </c>
      <c r="D109" s="193">
        <v>46117</v>
      </c>
      <c r="E109" s="194" t="s">
        <v>1053</v>
      </c>
      <c r="F109" s="296" t="s">
        <v>854</v>
      </c>
      <c r="G109" s="194" t="s">
        <v>1054</v>
      </c>
      <c r="H109" s="286">
        <v>1183296</v>
      </c>
      <c r="I109" s="192">
        <v>8</v>
      </c>
      <c r="J109" s="286">
        <v>94704</v>
      </c>
      <c r="K109" s="194" t="s">
        <v>12</v>
      </c>
      <c r="L109" s="194" t="s">
        <v>15</v>
      </c>
      <c r="M109" s="296" t="s">
        <v>982</v>
      </c>
      <c r="N109" s="193">
        <v>46173</v>
      </c>
      <c r="O109" s="193">
        <v>46173</v>
      </c>
      <c r="P109" s="251">
        <v>1278000</v>
      </c>
      <c r="Q109" s="192" t="s">
        <v>10</v>
      </c>
      <c r="R109" s="192" t="s">
        <v>195</v>
      </c>
      <c r="S109" s="194" t="s">
        <v>14</v>
      </c>
      <c r="T109" s="64" t="str">
        <f t="shared" si="9"/>
        <v>Đ</v>
      </c>
      <c r="U109" s="66">
        <f t="shared" si="10"/>
        <v>-40</v>
      </c>
      <c r="V109" s="62">
        <f t="shared" si="11"/>
        <v>13311</v>
      </c>
    </row>
    <row r="110" spans="1:22" ht="21.6" hidden="1" x14ac:dyDescent="0.3">
      <c r="A110" s="192">
        <v>93</v>
      </c>
      <c r="B110" s="194" t="s">
        <v>836</v>
      </c>
      <c r="C110" s="296" t="s">
        <v>1055</v>
      </c>
      <c r="D110" s="193">
        <v>46147</v>
      </c>
      <c r="E110" s="194" t="s">
        <v>837</v>
      </c>
      <c r="F110" s="296" t="s">
        <v>838</v>
      </c>
      <c r="G110" s="194" t="s">
        <v>1056</v>
      </c>
      <c r="H110" s="286">
        <v>212963</v>
      </c>
      <c r="I110" s="192">
        <v>8</v>
      </c>
      <c r="J110" s="286">
        <v>17037</v>
      </c>
      <c r="K110" s="194" t="s">
        <v>12</v>
      </c>
      <c r="L110" s="194" t="s">
        <v>15</v>
      </c>
      <c r="M110" s="296" t="s">
        <v>982</v>
      </c>
      <c r="N110" s="193">
        <v>46173</v>
      </c>
      <c r="O110" s="193">
        <v>46173</v>
      </c>
      <c r="P110" s="251">
        <v>230000</v>
      </c>
      <c r="Q110" s="192" t="s">
        <v>10</v>
      </c>
      <c r="R110" s="192" t="s">
        <v>195</v>
      </c>
      <c r="S110" s="194" t="s">
        <v>14</v>
      </c>
      <c r="T110" s="64" t="str">
        <f t="shared" si="9"/>
        <v>Đ</v>
      </c>
      <c r="U110" s="66">
        <f t="shared" si="10"/>
        <v>0</v>
      </c>
      <c r="V110" s="62">
        <f t="shared" si="11"/>
        <v>13311</v>
      </c>
    </row>
    <row r="111" spans="1:22" ht="21.6" hidden="1" x14ac:dyDescent="0.3">
      <c r="A111" s="192">
        <v>94</v>
      </c>
      <c r="B111" s="194" t="s">
        <v>1057</v>
      </c>
      <c r="C111" s="296" t="s">
        <v>1058</v>
      </c>
      <c r="D111" s="193">
        <v>46147</v>
      </c>
      <c r="E111" s="194" t="s">
        <v>1059</v>
      </c>
      <c r="F111" s="296" t="s">
        <v>1060</v>
      </c>
      <c r="G111" s="194" t="s">
        <v>1061</v>
      </c>
      <c r="H111" s="286">
        <v>13200000</v>
      </c>
      <c r="I111" s="192">
        <v>8</v>
      </c>
      <c r="J111" s="286">
        <v>1056000</v>
      </c>
      <c r="K111" s="194" t="s">
        <v>12</v>
      </c>
      <c r="L111" s="194" t="s">
        <v>15</v>
      </c>
      <c r="M111" s="296" t="s">
        <v>982</v>
      </c>
      <c r="N111" s="193">
        <v>46173</v>
      </c>
      <c r="O111" s="193">
        <v>46173</v>
      </c>
      <c r="P111" s="251">
        <v>14256000</v>
      </c>
      <c r="Q111" s="192" t="s">
        <v>10</v>
      </c>
      <c r="R111" s="192" t="s">
        <v>195</v>
      </c>
      <c r="S111" s="194" t="s">
        <v>14</v>
      </c>
      <c r="T111" s="64" t="str">
        <f t="shared" si="9"/>
        <v>Đ</v>
      </c>
      <c r="U111" s="66">
        <f t="shared" si="10"/>
        <v>0</v>
      </c>
      <c r="V111" s="62">
        <f t="shared" si="11"/>
        <v>13311</v>
      </c>
    </row>
    <row r="112" spans="1:22" ht="14.4" hidden="1" x14ac:dyDescent="0.3">
      <c r="A112" s="192">
        <v>95</v>
      </c>
      <c r="B112" s="194" t="s">
        <v>346</v>
      </c>
      <c r="C112" s="296" t="s">
        <v>1062</v>
      </c>
      <c r="D112" s="193">
        <v>46147</v>
      </c>
      <c r="E112" s="194" t="s">
        <v>881</v>
      </c>
      <c r="F112" s="296" t="s">
        <v>347</v>
      </c>
      <c r="G112" s="194" t="s">
        <v>280</v>
      </c>
      <c r="H112" s="286">
        <v>6306018</v>
      </c>
      <c r="I112" s="192">
        <v>8</v>
      </c>
      <c r="J112" s="286">
        <v>504482</v>
      </c>
      <c r="K112" s="194" t="s">
        <v>12</v>
      </c>
      <c r="L112" s="194" t="s">
        <v>15</v>
      </c>
      <c r="M112" s="296" t="s">
        <v>982</v>
      </c>
      <c r="N112" s="193">
        <v>46173</v>
      </c>
      <c r="O112" s="193">
        <v>46173</v>
      </c>
      <c r="P112" s="251">
        <v>6810500</v>
      </c>
      <c r="Q112" s="192" t="s">
        <v>10</v>
      </c>
      <c r="R112" s="192" t="s">
        <v>195</v>
      </c>
      <c r="S112" s="194" t="s">
        <v>14</v>
      </c>
      <c r="T112" s="64" t="str">
        <f t="shared" si="9"/>
        <v>Đ</v>
      </c>
      <c r="U112" s="66">
        <f t="shared" si="10"/>
        <v>-1</v>
      </c>
      <c r="V112" s="62">
        <f t="shared" si="11"/>
        <v>13311</v>
      </c>
    </row>
    <row r="113" spans="1:22" ht="14.4" hidden="1" x14ac:dyDescent="0.3">
      <c r="A113" s="192">
        <v>96</v>
      </c>
      <c r="B113" s="194" t="s">
        <v>510</v>
      </c>
      <c r="C113" s="296" t="s">
        <v>1063</v>
      </c>
      <c r="D113" s="193">
        <v>46118</v>
      </c>
      <c r="E113" s="194" t="s">
        <v>1064</v>
      </c>
      <c r="F113" s="296" t="s">
        <v>1065</v>
      </c>
      <c r="G113" s="194" t="s">
        <v>1066</v>
      </c>
      <c r="H113" s="286">
        <v>6750000</v>
      </c>
      <c r="I113" s="192">
        <v>8</v>
      </c>
      <c r="J113" s="286">
        <v>540000</v>
      </c>
      <c r="K113" s="194" t="s">
        <v>12</v>
      </c>
      <c r="L113" s="194" t="s">
        <v>15</v>
      </c>
      <c r="M113" s="296" t="s">
        <v>982</v>
      </c>
      <c r="N113" s="193">
        <v>46173</v>
      </c>
      <c r="O113" s="193">
        <v>46173</v>
      </c>
      <c r="P113" s="251">
        <v>7290000</v>
      </c>
      <c r="Q113" s="192" t="s">
        <v>10</v>
      </c>
      <c r="R113" s="192" t="s">
        <v>195</v>
      </c>
      <c r="S113" s="194" t="s">
        <v>14</v>
      </c>
      <c r="T113" s="64" t="str">
        <f t="shared" si="9"/>
        <v>Đ</v>
      </c>
      <c r="U113" s="66">
        <f t="shared" si="10"/>
        <v>0</v>
      </c>
      <c r="V113" s="62">
        <f t="shared" si="11"/>
        <v>13311</v>
      </c>
    </row>
    <row r="114" spans="1:22" ht="14.4" hidden="1" x14ac:dyDescent="0.3">
      <c r="A114" s="192">
        <v>97</v>
      </c>
      <c r="B114" s="194" t="s">
        <v>438</v>
      </c>
      <c r="C114" s="296" t="s">
        <v>1067</v>
      </c>
      <c r="D114" s="193">
        <v>46148</v>
      </c>
      <c r="E114" s="194" t="s">
        <v>839</v>
      </c>
      <c r="F114" s="296" t="s">
        <v>840</v>
      </c>
      <c r="G114" s="194" t="s">
        <v>1068</v>
      </c>
      <c r="H114" s="286">
        <v>546296</v>
      </c>
      <c r="I114" s="192">
        <v>8</v>
      </c>
      <c r="J114" s="286">
        <v>43704</v>
      </c>
      <c r="K114" s="194" t="s">
        <v>12</v>
      </c>
      <c r="L114" s="194" t="s">
        <v>15</v>
      </c>
      <c r="M114" s="296" t="s">
        <v>982</v>
      </c>
      <c r="N114" s="193">
        <v>46173</v>
      </c>
      <c r="O114" s="193">
        <v>46173</v>
      </c>
      <c r="P114" s="251">
        <v>590000</v>
      </c>
      <c r="Q114" s="192" t="s">
        <v>10</v>
      </c>
      <c r="R114" s="192" t="s">
        <v>195</v>
      </c>
      <c r="S114" s="194" t="s">
        <v>14</v>
      </c>
      <c r="T114" s="64" t="str">
        <f t="shared" si="9"/>
        <v>Đ</v>
      </c>
      <c r="U114" s="66">
        <f t="shared" si="10"/>
        <v>0</v>
      </c>
      <c r="V114" s="62">
        <f t="shared" si="11"/>
        <v>13311</v>
      </c>
    </row>
    <row r="115" spans="1:22" ht="14.4" x14ac:dyDescent="0.3">
      <c r="A115" s="192">
        <v>98</v>
      </c>
      <c r="B115" s="194" t="s">
        <v>830</v>
      </c>
      <c r="C115" s="296" t="s">
        <v>1069</v>
      </c>
      <c r="D115" s="193">
        <v>46148</v>
      </c>
      <c r="E115" s="194" t="s">
        <v>831</v>
      </c>
      <c r="F115" s="296" t="s">
        <v>832</v>
      </c>
      <c r="G115" s="194" t="s">
        <v>1070</v>
      </c>
      <c r="H115" s="286">
        <v>736600</v>
      </c>
      <c r="I115" s="192">
        <v>5</v>
      </c>
      <c r="J115" s="286">
        <v>36830</v>
      </c>
      <c r="K115" s="194" t="s">
        <v>12</v>
      </c>
      <c r="L115" s="194" t="s">
        <v>15</v>
      </c>
      <c r="M115" s="296" t="s">
        <v>982</v>
      </c>
      <c r="N115" s="193">
        <v>46173</v>
      </c>
      <c r="O115" s="193">
        <v>46173</v>
      </c>
      <c r="P115" s="251">
        <v>773430</v>
      </c>
      <c r="Q115" s="192" t="s">
        <v>10</v>
      </c>
      <c r="R115" s="192" t="s">
        <v>195</v>
      </c>
      <c r="S115" s="194" t="s">
        <v>14</v>
      </c>
      <c r="T115" s="64" t="str">
        <f t="shared" si="9"/>
        <v>Đ</v>
      </c>
      <c r="U115" s="66">
        <f t="shared" si="10"/>
        <v>0</v>
      </c>
      <c r="V115" s="62">
        <f t="shared" si="11"/>
        <v>13311</v>
      </c>
    </row>
    <row r="116" spans="1:22" ht="14.4" x14ac:dyDescent="0.3">
      <c r="A116" s="192">
        <v>99</v>
      </c>
      <c r="B116" s="194" t="s">
        <v>830</v>
      </c>
      <c r="C116" s="296" t="s">
        <v>1071</v>
      </c>
      <c r="D116" s="193">
        <v>46148</v>
      </c>
      <c r="E116" s="194" t="s">
        <v>831</v>
      </c>
      <c r="F116" s="296" t="s">
        <v>832</v>
      </c>
      <c r="G116" s="194" t="s">
        <v>1070</v>
      </c>
      <c r="H116" s="286">
        <v>1976000</v>
      </c>
      <c r="I116" s="192">
        <v>5</v>
      </c>
      <c r="J116" s="286">
        <v>98800</v>
      </c>
      <c r="K116" s="194" t="s">
        <v>12</v>
      </c>
      <c r="L116" s="194" t="s">
        <v>15</v>
      </c>
      <c r="M116" s="296" t="s">
        <v>982</v>
      </c>
      <c r="N116" s="193">
        <v>46173</v>
      </c>
      <c r="O116" s="193">
        <v>46173</v>
      </c>
      <c r="P116" s="251">
        <v>2074800</v>
      </c>
      <c r="Q116" s="192" t="s">
        <v>10</v>
      </c>
      <c r="R116" s="192" t="s">
        <v>195</v>
      </c>
      <c r="S116" s="194" t="s">
        <v>14</v>
      </c>
      <c r="T116" s="64" t="str">
        <f t="shared" si="9"/>
        <v>Đ</v>
      </c>
      <c r="U116" s="66">
        <f t="shared" si="10"/>
        <v>0</v>
      </c>
      <c r="V116" s="62">
        <f t="shared" si="11"/>
        <v>13311</v>
      </c>
    </row>
    <row r="117" spans="1:22" ht="14.4" x14ac:dyDescent="0.3">
      <c r="A117" s="192">
        <v>100</v>
      </c>
      <c r="B117" s="194" t="s">
        <v>830</v>
      </c>
      <c r="C117" s="296" t="s">
        <v>1072</v>
      </c>
      <c r="D117" s="193">
        <v>46148</v>
      </c>
      <c r="E117" s="194" t="s">
        <v>831</v>
      </c>
      <c r="F117" s="296" t="s">
        <v>832</v>
      </c>
      <c r="G117" s="194" t="s">
        <v>1070</v>
      </c>
      <c r="H117" s="286">
        <v>299000</v>
      </c>
      <c r="I117" s="192">
        <v>5</v>
      </c>
      <c r="J117" s="286">
        <v>14950</v>
      </c>
      <c r="K117" s="194" t="s">
        <v>12</v>
      </c>
      <c r="L117" s="194" t="s">
        <v>15</v>
      </c>
      <c r="M117" s="296" t="s">
        <v>982</v>
      </c>
      <c r="N117" s="193">
        <v>46173</v>
      </c>
      <c r="O117" s="193">
        <v>46173</v>
      </c>
      <c r="P117" s="251">
        <v>313950</v>
      </c>
      <c r="Q117" s="192" t="s">
        <v>10</v>
      </c>
      <c r="R117" s="192" t="s">
        <v>195</v>
      </c>
      <c r="S117" s="194" t="s">
        <v>14</v>
      </c>
      <c r="T117" s="64" t="str">
        <f t="shared" si="9"/>
        <v>Đ</v>
      </c>
      <c r="U117" s="66">
        <f t="shared" si="10"/>
        <v>0</v>
      </c>
      <c r="V117" s="62">
        <f t="shared" si="11"/>
        <v>13311</v>
      </c>
    </row>
    <row r="118" spans="1:22" ht="14.4" hidden="1" x14ac:dyDescent="0.3">
      <c r="A118" s="192">
        <v>101</v>
      </c>
      <c r="B118" s="194" t="s">
        <v>873</v>
      </c>
      <c r="C118" s="296" t="s">
        <v>1073</v>
      </c>
      <c r="D118" s="193">
        <v>46119</v>
      </c>
      <c r="E118" s="194" t="s">
        <v>874</v>
      </c>
      <c r="F118" s="296" t="s">
        <v>875</v>
      </c>
      <c r="G118" s="194" t="s">
        <v>1074</v>
      </c>
      <c r="H118" s="286">
        <v>925926</v>
      </c>
      <c r="I118" s="192">
        <v>8</v>
      </c>
      <c r="J118" s="286">
        <v>74074</v>
      </c>
      <c r="K118" s="194" t="s">
        <v>12</v>
      </c>
      <c r="L118" s="194" t="s">
        <v>15</v>
      </c>
      <c r="M118" s="296" t="s">
        <v>982</v>
      </c>
      <c r="N118" s="193">
        <v>46173</v>
      </c>
      <c r="O118" s="193">
        <v>46173</v>
      </c>
      <c r="P118" s="251">
        <v>1000000</v>
      </c>
      <c r="Q118" s="192" t="s">
        <v>10</v>
      </c>
      <c r="R118" s="192" t="s">
        <v>195</v>
      </c>
      <c r="S118" s="194" t="s">
        <v>14</v>
      </c>
      <c r="T118" s="64" t="str">
        <f t="shared" si="9"/>
        <v>Đ</v>
      </c>
      <c r="U118" s="66">
        <f t="shared" si="10"/>
        <v>0</v>
      </c>
      <c r="V118" s="62">
        <f t="shared" si="11"/>
        <v>13311</v>
      </c>
    </row>
    <row r="119" spans="1:22" ht="21.6" hidden="1" x14ac:dyDescent="0.3">
      <c r="A119" s="192">
        <v>102</v>
      </c>
      <c r="B119" s="194" t="s">
        <v>1057</v>
      </c>
      <c r="C119" s="296" t="s">
        <v>1075</v>
      </c>
      <c r="D119" s="193">
        <v>46119</v>
      </c>
      <c r="E119" s="194" t="s">
        <v>1059</v>
      </c>
      <c r="F119" s="296" t="s">
        <v>1060</v>
      </c>
      <c r="G119" s="194" t="s">
        <v>1061</v>
      </c>
      <c r="H119" s="286">
        <v>3850000</v>
      </c>
      <c r="I119" s="192">
        <v>8</v>
      </c>
      <c r="J119" s="286">
        <v>308000</v>
      </c>
      <c r="K119" s="194" t="s">
        <v>12</v>
      </c>
      <c r="L119" s="194" t="s">
        <v>15</v>
      </c>
      <c r="M119" s="296" t="s">
        <v>982</v>
      </c>
      <c r="N119" s="193">
        <v>46173</v>
      </c>
      <c r="O119" s="193">
        <v>46173</v>
      </c>
      <c r="P119" s="251">
        <v>4158000</v>
      </c>
      <c r="Q119" s="192" t="s">
        <v>10</v>
      </c>
      <c r="R119" s="192" t="s">
        <v>195</v>
      </c>
      <c r="S119" s="194" t="s">
        <v>14</v>
      </c>
      <c r="T119" s="64" t="str">
        <f t="shared" si="9"/>
        <v>Đ</v>
      </c>
      <c r="U119" s="66">
        <f t="shared" si="10"/>
        <v>0</v>
      </c>
      <c r="V119" s="62">
        <f t="shared" si="11"/>
        <v>13311</v>
      </c>
    </row>
    <row r="120" spans="1:22" ht="21.6" hidden="1" x14ac:dyDescent="0.3">
      <c r="A120" s="192">
        <v>103</v>
      </c>
      <c r="B120" s="194" t="s">
        <v>1076</v>
      </c>
      <c r="C120" s="296" t="s">
        <v>743</v>
      </c>
      <c r="D120" s="193">
        <v>46149</v>
      </c>
      <c r="E120" s="194" t="s">
        <v>1077</v>
      </c>
      <c r="F120" s="296" t="s">
        <v>1078</v>
      </c>
      <c r="G120" s="194" t="s">
        <v>1079</v>
      </c>
      <c r="H120" s="286">
        <v>462963</v>
      </c>
      <c r="I120" s="192">
        <v>8</v>
      </c>
      <c r="J120" s="286">
        <v>37037</v>
      </c>
      <c r="K120" s="194" t="s">
        <v>12</v>
      </c>
      <c r="L120" s="194" t="s">
        <v>15</v>
      </c>
      <c r="M120" s="296" t="s">
        <v>982</v>
      </c>
      <c r="N120" s="193">
        <v>46173</v>
      </c>
      <c r="O120" s="193">
        <v>46173</v>
      </c>
      <c r="P120" s="251">
        <v>500000</v>
      </c>
      <c r="Q120" s="192" t="s">
        <v>10</v>
      </c>
      <c r="R120" s="192" t="s">
        <v>195</v>
      </c>
      <c r="S120" s="194" t="s">
        <v>14</v>
      </c>
      <c r="T120" s="64" t="str">
        <f t="shared" si="9"/>
        <v>Đ</v>
      </c>
      <c r="U120" s="66">
        <f t="shared" si="10"/>
        <v>0</v>
      </c>
      <c r="V120" s="62">
        <f t="shared" si="11"/>
        <v>13311</v>
      </c>
    </row>
    <row r="121" spans="1:22" ht="14.4" hidden="1" x14ac:dyDescent="0.3">
      <c r="A121" s="192">
        <v>104</v>
      </c>
      <c r="B121" s="194" t="s">
        <v>288</v>
      </c>
      <c r="C121" s="296" t="s">
        <v>933</v>
      </c>
      <c r="D121" s="193">
        <v>46154</v>
      </c>
      <c r="E121" s="194" t="s">
        <v>431</v>
      </c>
      <c r="F121" s="296" t="s">
        <v>432</v>
      </c>
      <c r="G121" s="194" t="s">
        <v>1080</v>
      </c>
      <c r="H121" s="286">
        <v>36450000</v>
      </c>
      <c r="I121" s="192">
        <v>8</v>
      </c>
      <c r="J121" s="286">
        <v>2916000</v>
      </c>
      <c r="K121" s="194" t="s">
        <v>12</v>
      </c>
      <c r="L121" s="194" t="s">
        <v>15</v>
      </c>
      <c r="M121" s="296" t="s">
        <v>982</v>
      </c>
      <c r="N121" s="193">
        <v>46173</v>
      </c>
      <c r="O121" s="193">
        <v>46173</v>
      </c>
      <c r="P121" s="251">
        <v>39366000</v>
      </c>
      <c r="Q121" s="192" t="s">
        <v>10</v>
      </c>
      <c r="R121" s="192" t="s">
        <v>195</v>
      </c>
      <c r="S121" s="194" t="s">
        <v>14</v>
      </c>
      <c r="T121" s="64" t="str">
        <f t="shared" si="9"/>
        <v>Đ</v>
      </c>
      <c r="U121" s="66">
        <f t="shared" si="10"/>
        <v>0</v>
      </c>
      <c r="V121" s="62">
        <f t="shared" si="11"/>
        <v>13311</v>
      </c>
    </row>
    <row r="122" spans="1:22" ht="21.6" hidden="1" x14ac:dyDescent="0.3">
      <c r="A122" s="192">
        <v>105</v>
      </c>
      <c r="B122" s="194" t="s">
        <v>297</v>
      </c>
      <c r="C122" s="296" t="s">
        <v>371</v>
      </c>
      <c r="D122" s="193">
        <v>46154</v>
      </c>
      <c r="E122" s="194" t="s">
        <v>302</v>
      </c>
      <c r="F122" s="296" t="s">
        <v>303</v>
      </c>
      <c r="G122" s="194" t="s">
        <v>1081</v>
      </c>
      <c r="H122" s="286">
        <v>43833645</v>
      </c>
      <c r="I122" s="192">
        <v>8</v>
      </c>
      <c r="J122" s="286">
        <v>3506692</v>
      </c>
      <c r="K122" s="194" t="s">
        <v>12</v>
      </c>
      <c r="L122" s="194" t="s">
        <v>15</v>
      </c>
      <c r="M122" s="296" t="s">
        <v>982</v>
      </c>
      <c r="N122" s="193">
        <v>46173</v>
      </c>
      <c r="O122" s="193">
        <v>46173</v>
      </c>
      <c r="P122" s="251">
        <v>47340337</v>
      </c>
      <c r="Q122" s="192" t="s">
        <v>10</v>
      </c>
      <c r="R122" s="192" t="s">
        <v>195</v>
      </c>
      <c r="S122" s="194" t="s">
        <v>14</v>
      </c>
      <c r="T122" s="64" t="str">
        <f t="shared" si="9"/>
        <v>Đ</v>
      </c>
      <c r="U122" s="66">
        <f t="shared" si="10"/>
        <v>0</v>
      </c>
      <c r="V122" s="62">
        <f t="shared" si="11"/>
        <v>13311</v>
      </c>
    </row>
    <row r="123" spans="1:22" ht="14.4" hidden="1" x14ac:dyDescent="0.3">
      <c r="A123" s="192">
        <v>106</v>
      </c>
      <c r="B123" s="194" t="s">
        <v>471</v>
      </c>
      <c r="C123" s="296" t="s">
        <v>668</v>
      </c>
      <c r="D123" s="193">
        <v>46154</v>
      </c>
      <c r="E123" s="194" t="s">
        <v>1082</v>
      </c>
      <c r="F123" s="296" t="s">
        <v>1083</v>
      </c>
      <c r="G123" s="194" t="s">
        <v>1084</v>
      </c>
      <c r="H123" s="286">
        <v>6064814</v>
      </c>
      <c r="I123" s="192">
        <v>8</v>
      </c>
      <c r="J123" s="286">
        <v>485186</v>
      </c>
      <c r="K123" s="194" t="s">
        <v>12</v>
      </c>
      <c r="L123" s="194" t="s">
        <v>15</v>
      </c>
      <c r="M123" s="296" t="s">
        <v>982</v>
      </c>
      <c r="N123" s="193">
        <v>46173</v>
      </c>
      <c r="O123" s="193">
        <v>46173</v>
      </c>
      <c r="P123" s="251">
        <v>6550000</v>
      </c>
      <c r="Q123" s="192" t="s">
        <v>10</v>
      </c>
      <c r="R123" s="192" t="s">
        <v>195</v>
      </c>
      <c r="S123" s="194" t="s">
        <v>14</v>
      </c>
      <c r="T123" s="64" t="str">
        <f t="shared" si="9"/>
        <v>Đ</v>
      </c>
      <c r="U123" s="66">
        <f t="shared" si="10"/>
        <v>-1</v>
      </c>
      <c r="V123" s="62">
        <f t="shared" si="11"/>
        <v>13311</v>
      </c>
    </row>
    <row r="124" spans="1:22" ht="21.6" hidden="1" x14ac:dyDescent="0.3">
      <c r="A124" s="192">
        <v>107</v>
      </c>
      <c r="B124" s="194" t="s">
        <v>1085</v>
      </c>
      <c r="C124" s="296" t="s">
        <v>1086</v>
      </c>
      <c r="D124" s="193">
        <v>46125</v>
      </c>
      <c r="E124" s="194" t="s">
        <v>1087</v>
      </c>
      <c r="F124" s="296" t="s">
        <v>1088</v>
      </c>
      <c r="G124" s="194" t="s">
        <v>1089</v>
      </c>
      <c r="H124" s="286">
        <v>5531334</v>
      </c>
      <c r="I124" s="192">
        <v>8</v>
      </c>
      <c r="J124" s="286">
        <v>442666</v>
      </c>
      <c r="K124" s="194" t="s">
        <v>12</v>
      </c>
      <c r="L124" s="194" t="s">
        <v>15</v>
      </c>
      <c r="M124" s="296" t="s">
        <v>982</v>
      </c>
      <c r="N124" s="193">
        <v>46173</v>
      </c>
      <c r="O124" s="193">
        <v>46173</v>
      </c>
      <c r="P124" s="251">
        <v>5974000</v>
      </c>
      <c r="Q124" s="192" t="s">
        <v>10</v>
      </c>
      <c r="R124" s="192" t="s">
        <v>195</v>
      </c>
      <c r="S124" s="194" t="s">
        <v>14</v>
      </c>
      <c r="T124" s="64" t="str">
        <f t="shared" si="9"/>
        <v>Đ</v>
      </c>
      <c r="U124" s="66">
        <f t="shared" si="10"/>
        <v>-159</v>
      </c>
      <c r="V124" s="62">
        <f t="shared" si="11"/>
        <v>13311</v>
      </c>
    </row>
    <row r="125" spans="1:22" ht="14.4" hidden="1" x14ac:dyDescent="0.3">
      <c r="A125" s="192">
        <v>108</v>
      </c>
      <c r="B125" s="194" t="s">
        <v>368</v>
      </c>
      <c r="C125" s="296" t="s">
        <v>1090</v>
      </c>
      <c r="D125" s="193">
        <v>46155</v>
      </c>
      <c r="E125" s="194" t="s">
        <v>369</v>
      </c>
      <c r="F125" s="296" t="s">
        <v>370</v>
      </c>
      <c r="G125" s="194" t="s">
        <v>1091</v>
      </c>
      <c r="H125" s="286">
        <v>24895000</v>
      </c>
      <c r="I125" s="192">
        <v>8</v>
      </c>
      <c r="J125" s="286">
        <v>1991600</v>
      </c>
      <c r="K125" s="194" t="s">
        <v>12</v>
      </c>
      <c r="L125" s="194" t="s">
        <v>15</v>
      </c>
      <c r="M125" s="296" t="s">
        <v>982</v>
      </c>
      <c r="N125" s="193">
        <v>46173</v>
      </c>
      <c r="O125" s="193">
        <v>46173</v>
      </c>
      <c r="P125" s="251">
        <v>26886600</v>
      </c>
      <c r="Q125" s="192" t="s">
        <v>10</v>
      </c>
      <c r="R125" s="192" t="s">
        <v>195</v>
      </c>
      <c r="S125" s="194" t="s">
        <v>14</v>
      </c>
      <c r="T125" s="64" t="str">
        <f t="shared" si="9"/>
        <v>Đ</v>
      </c>
      <c r="U125" s="66">
        <f t="shared" si="10"/>
        <v>0</v>
      </c>
      <c r="V125" s="62">
        <f t="shared" si="11"/>
        <v>13311</v>
      </c>
    </row>
    <row r="126" spans="1:22" ht="14.4" hidden="1" x14ac:dyDescent="0.3">
      <c r="A126" s="192">
        <v>109</v>
      </c>
      <c r="B126" s="194" t="s">
        <v>372</v>
      </c>
      <c r="C126" s="296" t="s">
        <v>1092</v>
      </c>
      <c r="D126" s="193">
        <v>46157</v>
      </c>
      <c r="E126" s="194" t="s">
        <v>1093</v>
      </c>
      <c r="F126" s="296" t="s">
        <v>198</v>
      </c>
      <c r="G126" s="194" t="s">
        <v>1094</v>
      </c>
      <c r="H126" s="286">
        <v>10696482</v>
      </c>
      <c r="I126" s="192">
        <v>8</v>
      </c>
      <c r="J126" s="286">
        <v>855719</v>
      </c>
      <c r="K126" s="194" t="s">
        <v>12</v>
      </c>
      <c r="L126" s="194" t="s">
        <v>15</v>
      </c>
      <c r="M126" s="296" t="s">
        <v>982</v>
      </c>
      <c r="N126" s="193">
        <v>46173</v>
      </c>
      <c r="O126" s="193">
        <v>46173</v>
      </c>
      <c r="P126" s="251">
        <v>11552201</v>
      </c>
      <c r="Q126" s="192" t="s">
        <v>10</v>
      </c>
      <c r="R126" s="192" t="s">
        <v>195</v>
      </c>
      <c r="S126" s="194" t="s">
        <v>14</v>
      </c>
      <c r="T126" s="64" t="str">
        <f t="shared" si="9"/>
        <v>Đ</v>
      </c>
      <c r="U126" s="66">
        <f t="shared" si="10"/>
        <v>0</v>
      </c>
      <c r="V126" s="62">
        <f t="shared" si="11"/>
        <v>13311</v>
      </c>
    </row>
    <row r="127" spans="1:22" ht="14.4" hidden="1" x14ac:dyDescent="0.3">
      <c r="A127" s="192">
        <v>110</v>
      </c>
      <c r="B127" s="194" t="s">
        <v>1095</v>
      </c>
      <c r="C127" s="296" t="s">
        <v>1096</v>
      </c>
      <c r="D127" s="193">
        <v>46097</v>
      </c>
      <c r="E127" s="194" t="s">
        <v>1097</v>
      </c>
      <c r="F127" s="296" t="s">
        <v>1098</v>
      </c>
      <c r="G127" s="194" t="s">
        <v>1094</v>
      </c>
      <c r="H127" s="286">
        <v>16280553</v>
      </c>
      <c r="I127" s="192">
        <v>8</v>
      </c>
      <c r="J127" s="286">
        <v>1302447</v>
      </c>
      <c r="K127" s="194" t="s">
        <v>12</v>
      </c>
      <c r="L127" s="194" t="s">
        <v>15</v>
      </c>
      <c r="M127" s="296" t="s">
        <v>982</v>
      </c>
      <c r="N127" s="193">
        <v>46173</v>
      </c>
      <c r="O127" s="193">
        <v>46173</v>
      </c>
      <c r="P127" s="251">
        <v>17583000</v>
      </c>
      <c r="Q127" s="192" t="s">
        <v>10</v>
      </c>
      <c r="R127" s="192" t="s">
        <v>195</v>
      </c>
      <c r="S127" s="194" t="s">
        <v>14</v>
      </c>
      <c r="T127" s="64" t="str">
        <f t="shared" si="9"/>
        <v>Đ</v>
      </c>
      <c r="U127" s="66">
        <f t="shared" si="10"/>
        <v>-3</v>
      </c>
      <c r="V127" s="62">
        <f t="shared" si="11"/>
        <v>13311</v>
      </c>
    </row>
    <row r="128" spans="1:22" ht="14.4" hidden="1" x14ac:dyDescent="0.3">
      <c r="A128" s="192">
        <v>111</v>
      </c>
      <c r="B128" s="194" t="s">
        <v>287</v>
      </c>
      <c r="C128" s="296" t="s">
        <v>1099</v>
      </c>
      <c r="D128" s="193">
        <v>46128</v>
      </c>
      <c r="E128" s="194" t="s">
        <v>844</v>
      </c>
      <c r="F128" s="296" t="s">
        <v>845</v>
      </c>
      <c r="G128" s="194" t="s">
        <v>1094</v>
      </c>
      <c r="H128" s="286">
        <v>220000</v>
      </c>
      <c r="I128" s="192">
        <v>10</v>
      </c>
      <c r="J128" s="286">
        <v>22000</v>
      </c>
      <c r="K128" s="194" t="s">
        <v>12</v>
      </c>
      <c r="L128" s="194" t="s">
        <v>15</v>
      </c>
      <c r="M128" s="296" t="s">
        <v>982</v>
      </c>
      <c r="N128" s="193">
        <v>46173</v>
      </c>
      <c r="O128" s="193">
        <v>46173</v>
      </c>
      <c r="P128" s="251">
        <v>242000</v>
      </c>
      <c r="Q128" s="192" t="s">
        <v>10</v>
      </c>
      <c r="R128" s="192" t="s">
        <v>195</v>
      </c>
      <c r="S128" s="194" t="s">
        <v>14</v>
      </c>
      <c r="T128" s="64" t="str">
        <f t="shared" si="9"/>
        <v>Đ</v>
      </c>
      <c r="U128" s="66">
        <f t="shared" si="10"/>
        <v>0</v>
      </c>
      <c r="V128" s="62">
        <f t="shared" si="11"/>
        <v>13311</v>
      </c>
    </row>
    <row r="129" spans="1:22" ht="14.4" hidden="1" x14ac:dyDescent="0.3">
      <c r="A129" s="192">
        <v>112</v>
      </c>
      <c r="B129" s="194" t="s">
        <v>287</v>
      </c>
      <c r="C129" s="296" t="s">
        <v>1099</v>
      </c>
      <c r="D129" s="193">
        <v>46128</v>
      </c>
      <c r="E129" s="194" t="s">
        <v>844</v>
      </c>
      <c r="F129" s="296" t="s">
        <v>845</v>
      </c>
      <c r="G129" s="194" t="s">
        <v>1094</v>
      </c>
      <c r="H129" s="286">
        <v>9037000</v>
      </c>
      <c r="I129" s="192">
        <v>8</v>
      </c>
      <c r="J129" s="286">
        <v>722960</v>
      </c>
      <c r="K129" s="194" t="s">
        <v>12</v>
      </c>
      <c r="L129" s="194" t="s">
        <v>15</v>
      </c>
      <c r="M129" s="296" t="s">
        <v>982</v>
      </c>
      <c r="N129" s="193">
        <v>46173</v>
      </c>
      <c r="O129" s="193">
        <v>46173</v>
      </c>
      <c r="P129" s="251">
        <v>9759960</v>
      </c>
      <c r="Q129" s="192" t="s">
        <v>10</v>
      </c>
      <c r="R129" s="192" t="s">
        <v>195</v>
      </c>
      <c r="S129" s="194" t="s">
        <v>14</v>
      </c>
      <c r="T129" s="64" t="str">
        <f t="shared" si="9"/>
        <v>Đ</v>
      </c>
      <c r="U129" s="66">
        <f t="shared" si="10"/>
        <v>0</v>
      </c>
      <c r="V129" s="62">
        <f t="shared" si="11"/>
        <v>13311</v>
      </c>
    </row>
    <row r="130" spans="1:22" ht="21.6" hidden="1" x14ac:dyDescent="0.3">
      <c r="A130" s="192">
        <v>113</v>
      </c>
      <c r="B130" s="194" t="s">
        <v>1100</v>
      </c>
      <c r="C130" s="296" t="s">
        <v>1101</v>
      </c>
      <c r="D130" s="193">
        <v>46129</v>
      </c>
      <c r="E130" s="194" t="s">
        <v>1102</v>
      </c>
      <c r="F130" s="296" t="s">
        <v>1103</v>
      </c>
      <c r="G130" s="194" t="s">
        <v>1104</v>
      </c>
      <c r="H130" s="286">
        <v>10555556</v>
      </c>
      <c r="I130" s="192">
        <v>8</v>
      </c>
      <c r="J130" s="286">
        <v>844444</v>
      </c>
      <c r="K130" s="194" t="s">
        <v>12</v>
      </c>
      <c r="L130" s="194" t="s">
        <v>15</v>
      </c>
      <c r="M130" s="296" t="s">
        <v>982</v>
      </c>
      <c r="N130" s="193">
        <v>46173</v>
      </c>
      <c r="O130" s="193">
        <v>46173</v>
      </c>
      <c r="P130" s="251">
        <v>11400000</v>
      </c>
      <c r="Q130" s="192" t="s">
        <v>10</v>
      </c>
      <c r="R130" s="192" t="s">
        <v>195</v>
      </c>
      <c r="S130" s="194" t="s">
        <v>14</v>
      </c>
      <c r="T130" s="64" t="str">
        <f t="shared" si="9"/>
        <v>Đ</v>
      </c>
      <c r="U130" s="66">
        <f t="shared" si="10"/>
        <v>0</v>
      </c>
      <c r="V130" s="62">
        <f t="shared" si="11"/>
        <v>13311</v>
      </c>
    </row>
    <row r="131" spans="1:22" ht="21.6" hidden="1" x14ac:dyDescent="0.3">
      <c r="A131" s="192">
        <v>114</v>
      </c>
      <c r="B131" s="194" t="s">
        <v>428</v>
      </c>
      <c r="C131" s="296" t="s">
        <v>435</v>
      </c>
      <c r="D131" s="193">
        <v>46129</v>
      </c>
      <c r="E131" s="194" t="s">
        <v>429</v>
      </c>
      <c r="F131" s="296" t="s">
        <v>430</v>
      </c>
      <c r="G131" s="194" t="s">
        <v>1105</v>
      </c>
      <c r="H131" s="286">
        <v>29000000</v>
      </c>
      <c r="I131" s="192">
        <v>8</v>
      </c>
      <c r="J131" s="286">
        <v>2320000</v>
      </c>
      <c r="K131" s="194" t="s">
        <v>12</v>
      </c>
      <c r="L131" s="194" t="s">
        <v>15</v>
      </c>
      <c r="M131" s="296" t="s">
        <v>982</v>
      </c>
      <c r="N131" s="193">
        <v>46173</v>
      </c>
      <c r="O131" s="193">
        <v>46173</v>
      </c>
      <c r="P131" s="251">
        <v>31320000</v>
      </c>
      <c r="Q131" s="192" t="s">
        <v>10</v>
      </c>
      <c r="R131" s="192" t="s">
        <v>195</v>
      </c>
      <c r="S131" s="194" t="s">
        <v>14</v>
      </c>
      <c r="T131" s="64" t="str">
        <f t="shared" si="9"/>
        <v>Đ</v>
      </c>
      <c r="U131" s="66">
        <f t="shared" si="10"/>
        <v>0</v>
      </c>
      <c r="V131" s="62">
        <f t="shared" si="11"/>
        <v>13311</v>
      </c>
    </row>
    <row r="132" spans="1:22" ht="14.4" x14ac:dyDescent="0.3">
      <c r="A132" s="192">
        <v>115</v>
      </c>
      <c r="B132" s="194" t="s">
        <v>851</v>
      </c>
      <c r="C132" s="296" t="s">
        <v>1106</v>
      </c>
      <c r="D132" s="193">
        <v>46159</v>
      </c>
      <c r="E132" s="194" t="s">
        <v>852</v>
      </c>
      <c r="F132" s="296" t="s">
        <v>853</v>
      </c>
      <c r="G132" s="194" t="s">
        <v>1107</v>
      </c>
      <c r="H132" s="286">
        <v>723600</v>
      </c>
      <c r="I132" s="192">
        <v>5</v>
      </c>
      <c r="J132" s="286">
        <v>36180</v>
      </c>
      <c r="K132" s="194" t="s">
        <v>12</v>
      </c>
      <c r="L132" s="194" t="s">
        <v>15</v>
      </c>
      <c r="M132" s="296" t="s">
        <v>982</v>
      </c>
      <c r="N132" s="193">
        <v>46173</v>
      </c>
      <c r="O132" s="193">
        <v>46173</v>
      </c>
      <c r="P132" s="251">
        <v>759780</v>
      </c>
      <c r="Q132" s="192" t="s">
        <v>10</v>
      </c>
      <c r="R132" s="192" t="s">
        <v>195</v>
      </c>
      <c r="S132" s="194" t="s">
        <v>14</v>
      </c>
      <c r="T132" s="64" t="str">
        <f t="shared" si="9"/>
        <v>Đ</v>
      </c>
      <c r="U132" s="66">
        <f t="shared" si="10"/>
        <v>0</v>
      </c>
      <c r="V132" s="62">
        <f t="shared" si="11"/>
        <v>13311</v>
      </c>
    </row>
    <row r="133" spans="1:22" ht="14.4" hidden="1" x14ac:dyDescent="0.3">
      <c r="A133" s="192">
        <v>116</v>
      </c>
      <c r="B133" s="194" t="s">
        <v>281</v>
      </c>
      <c r="C133" s="296" t="s">
        <v>1108</v>
      </c>
      <c r="D133" s="193">
        <v>46159</v>
      </c>
      <c r="E133" s="194" t="s">
        <v>849</v>
      </c>
      <c r="F133" s="296" t="s">
        <v>850</v>
      </c>
      <c r="G133" s="194" t="s">
        <v>1109</v>
      </c>
      <c r="H133" s="286">
        <v>8035904</v>
      </c>
      <c r="I133" s="192">
        <v>8</v>
      </c>
      <c r="J133" s="286">
        <v>642872</v>
      </c>
      <c r="K133" s="194" t="s">
        <v>12</v>
      </c>
      <c r="L133" s="194" t="s">
        <v>15</v>
      </c>
      <c r="M133" s="296" t="s">
        <v>982</v>
      </c>
      <c r="N133" s="193">
        <v>46173</v>
      </c>
      <c r="O133" s="193">
        <v>46173</v>
      </c>
      <c r="P133" s="251">
        <v>8678776</v>
      </c>
      <c r="Q133" s="192" t="s">
        <v>10</v>
      </c>
      <c r="R133" s="192" t="s">
        <v>195</v>
      </c>
      <c r="S133" s="194" t="s">
        <v>14</v>
      </c>
      <c r="T133" s="64" t="str">
        <f t="shared" si="9"/>
        <v>Đ</v>
      </c>
      <c r="U133" s="66">
        <f t="shared" si="10"/>
        <v>0</v>
      </c>
      <c r="V133" s="62">
        <f t="shared" si="11"/>
        <v>13311</v>
      </c>
    </row>
    <row r="134" spans="1:22" ht="14.4" x14ac:dyDescent="0.3">
      <c r="A134" s="192">
        <v>117</v>
      </c>
      <c r="B134" s="194" t="s">
        <v>281</v>
      </c>
      <c r="C134" s="296" t="s">
        <v>1108</v>
      </c>
      <c r="D134" s="193">
        <v>46159</v>
      </c>
      <c r="E134" s="194" t="s">
        <v>849</v>
      </c>
      <c r="F134" s="296" t="s">
        <v>850</v>
      </c>
      <c r="G134" s="194" t="s">
        <v>1109</v>
      </c>
      <c r="H134" s="286">
        <v>17446800</v>
      </c>
      <c r="I134" s="192">
        <v>5</v>
      </c>
      <c r="J134" s="286">
        <v>872340</v>
      </c>
      <c r="K134" s="194" t="s">
        <v>12</v>
      </c>
      <c r="L134" s="194" t="s">
        <v>15</v>
      </c>
      <c r="M134" s="296" t="s">
        <v>982</v>
      </c>
      <c r="N134" s="193">
        <v>46173</v>
      </c>
      <c r="O134" s="193">
        <v>46173</v>
      </c>
      <c r="P134" s="251">
        <v>18319140</v>
      </c>
      <c r="Q134" s="192" t="s">
        <v>10</v>
      </c>
      <c r="R134" s="192" t="s">
        <v>195</v>
      </c>
      <c r="S134" s="194" t="s">
        <v>14</v>
      </c>
      <c r="T134" s="64" t="str">
        <f t="shared" si="9"/>
        <v>Đ</v>
      </c>
      <c r="U134" s="66">
        <f t="shared" si="10"/>
        <v>0</v>
      </c>
      <c r="V134" s="62">
        <f t="shared" si="11"/>
        <v>13311</v>
      </c>
    </row>
    <row r="135" spans="1:22" ht="14.4" hidden="1" x14ac:dyDescent="0.3">
      <c r="A135" s="192">
        <v>118</v>
      </c>
      <c r="B135" s="194" t="s">
        <v>1110</v>
      </c>
      <c r="C135" s="296" t="s">
        <v>452</v>
      </c>
      <c r="D135" s="193">
        <v>46160</v>
      </c>
      <c r="E135" s="194" t="s">
        <v>1111</v>
      </c>
      <c r="F135" s="296" t="s">
        <v>1112</v>
      </c>
      <c r="G135" s="194" t="s">
        <v>1113</v>
      </c>
      <c r="H135" s="286">
        <v>32800000</v>
      </c>
      <c r="I135" s="192">
        <v>8</v>
      </c>
      <c r="J135" s="286">
        <v>2624000</v>
      </c>
      <c r="K135" s="194" t="s">
        <v>12</v>
      </c>
      <c r="L135" s="194" t="s">
        <v>15</v>
      </c>
      <c r="M135" s="296" t="s">
        <v>982</v>
      </c>
      <c r="N135" s="193">
        <v>46173</v>
      </c>
      <c r="O135" s="193">
        <v>46173</v>
      </c>
      <c r="P135" s="251">
        <v>35424000</v>
      </c>
      <c r="Q135" s="192" t="s">
        <v>10</v>
      </c>
      <c r="R135" s="192" t="s">
        <v>195</v>
      </c>
      <c r="S135" s="194" t="s">
        <v>14</v>
      </c>
      <c r="T135" s="64" t="str">
        <f t="shared" si="9"/>
        <v>Đ</v>
      </c>
      <c r="U135" s="66">
        <f t="shared" si="10"/>
        <v>0</v>
      </c>
      <c r="V135" s="62">
        <f t="shared" si="11"/>
        <v>13311</v>
      </c>
    </row>
    <row r="136" spans="1:22" ht="14.4" hidden="1" x14ac:dyDescent="0.3">
      <c r="A136" s="192">
        <v>119</v>
      </c>
      <c r="B136" s="194" t="s">
        <v>862</v>
      </c>
      <c r="C136" s="296" t="s">
        <v>1114</v>
      </c>
      <c r="D136" s="193">
        <v>46131</v>
      </c>
      <c r="E136" s="194" t="s">
        <v>863</v>
      </c>
      <c r="F136" s="296" t="s">
        <v>864</v>
      </c>
      <c r="G136" s="194" t="s">
        <v>865</v>
      </c>
      <c r="H136" s="286">
        <v>808500</v>
      </c>
      <c r="I136" s="192">
        <v>8</v>
      </c>
      <c r="J136" s="286">
        <v>64680</v>
      </c>
      <c r="K136" s="194" t="s">
        <v>12</v>
      </c>
      <c r="L136" s="194" t="s">
        <v>15</v>
      </c>
      <c r="M136" s="296" t="s">
        <v>982</v>
      </c>
      <c r="N136" s="193">
        <v>46173</v>
      </c>
      <c r="O136" s="193">
        <v>46173</v>
      </c>
      <c r="P136" s="251">
        <v>873180</v>
      </c>
      <c r="Q136" s="192" t="s">
        <v>10</v>
      </c>
      <c r="R136" s="192" t="s">
        <v>195</v>
      </c>
      <c r="S136" s="194" t="s">
        <v>14</v>
      </c>
      <c r="T136" s="64" t="str">
        <f t="shared" si="9"/>
        <v>Đ</v>
      </c>
      <c r="U136" s="66">
        <f t="shared" si="10"/>
        <v>0</v>
      </c>
      <c r="V136" s="62">
        <f t="shared" si="11"/>
        <v>13311</v>
      </c>
    </row>
    <row r="137" spans="1:22" ht="14.4" hidden="1" x14ac:dyDescent="0.3">
      <c r="A137" s="192">
        <v>120</v>
      </c>
      <c r="B137" s="194" t="s">
        <v>291</v>
      </c>
      <c r="C137" s="296" t="s">
        <v>1115</v>
      </c>
      <c r="D137" s="193">
        <v>46161</v>
      </c>
      <c r="E137" s="194" t="s">
        <v>834</v>
      </c>
      <c r="F137" s="296" t="s">
        <v>835</v>
      </c>
      <c r="G137" s="194" t="s">
        <v>1094</v>
      </c>
      <c r="H137" s="286">
        <v>3627778</v>
      </c>
      <c r="I137" s="192">
        <v>8</v>
      </c>
      <c r="J137" s="286">
        <v>290222</v>
      </c>
      <c r="K137" s="194" t="s">
        <v>12</v>
      </c>
      <c r="L137" s="194" t="s">
        <v>15</v>
      </c>
      <c r="M137" s="296" t="s">
        <v>982</v>
      </c>
      <c r="N137" s="193">
        <v>46173</v>
      </c>
      <c r="O137" s="193">
        <v>46173</v>
      </c>
      <c r="P137" s="251">
        <v>3918000</v>
      </c>
      <c r="Q137" s="192" t="s">
        <v>10</v>
      </c>
      <c r="R137" s="192" t="s">
        <v>195</v>
      </c>
      <c r="S137" s="194" t="s">
        <v>14</v>
      </c>
      <c r="T137" s="64" t="str">
        <f t="shared" si="9"/>
        <v>Đ</v>
      </c>
      <c r="U137" s="66">
        <f t="shared" si="10"/>
        <v>0</v>
      </c>
      <c r="V137" s="62">
        <f t="shared" si="11"/>
        <v>13311</v>
      </c>
    </row>
    <row r="138" spans="1:22" ht="14.4" hidden="1" x14ac:dyDescent="0.3">
      <c r="A138" s="192">
        <v>121</v>
      </c>
      <c r="B138" s="194" t="s">
        <v>291</v>
      </c>
      <c r="C138" s="296" t="s">
        <v>1115</v>
      </c>
      <c r="D138" s="193">
        <v>46161</v>
      </c>
      <c r="E138" s="194" t="s">
        <v>834</v>
      </c>
      <c r="F138" s="296" t="s">
        <v>835</v>
      </c>
      <c r="G138" s="194" t="s">
        <v>1094</v>
      </c>
      <c r="H138" s="286">
        <v>100000</v>
      </c>
      <c r="I138" s="192">
        <v>10</v>
      </c>
      <c r="J138" s="286">
        <v>10000</v>
      </c>
      <c r="K138" s="194" t="s">
        <v>12</v>
      </c>
      <c r="L138" s="194" t="s">
        <v>15</v>
      </c>
      <c r="M138" s="296" t="s">
        <v>982</v>
      </c>
      <c r="N138" s="193">
        <v>46173</v>
      </c>
      <c r="O138" s="193">
        <v>46173</v>
      </c>
      <c r="P138" s="251">
        <v>110000</v>
      </c>
      <c r="Q138" s="192" t="s">
        <v>10</v>
      </c>
      <c r="R138" s="192" t="s">
        <v>195</v>
      </c>
      <c r="S138" s="194" t="s">
        <v>14</v>
      </c>
      <c r="T138" s="64" t="str">
        <f t="shared" si="9"/>
        <v>Đ</v>
      </c>
      <c r="U138" s="66">
        <f t="shared" si="10"/>
        <v>0</v>
      </c>
      <c r="V138" s="62">
        <f t="shared" si="11"/>
        <v>13311</v>
      </c>
    </row>
    <row r="139" spans="1:22" ht="21.6" hidden="1" x14ac:dyDescent="0.3">
      <c r="A139" s="192">
        <v>122</v>
      </c>
      <c r="B139" s="194" t="s">
        <v>818</v>
      </c>
      <c r="C139" s="296" t="s">
        <v>1116</v>
      </c>
      <c r="D139" s="193">
        <v>46161</v>
      </c>
      <c r="E139" s="194" t="s">
        <v>819</v>
      </c>
      <c r="F139" s="296" t="s">
        <v>820</v>
      </c>
      <c r="G139" s="194" t="s">
        <v>1094</v>
      </c>
      <c r="H139" s="286">
        <v>27273</v>
      </c>
      <c r="I139" s="192">
        <v>10</v>
      </c>
      <c r="J139" s="286">
        <v>2727</v>
      </c>
      <c r="K139" s="194" t="s">
        <v>12</v>
      </c>
      <c r="L139" s="194" t="s">
        <v>15</v>
      </c>
      <c r="M139" s="296" t="s">
        <v>982</v>
      </c>
      <c r="N139" s="193">
        <v>46173</v>
      </c>
      <c r="O139" s="193">
        <v>46173</v>
      </c>
      <c r="P139" s="251">
        <v>30000</v>
      </c>
      <c r="Q139" s="192" t="s">
        <v>10</v>
      </c>
      <c r="R139" s="192" t="s">
        <v>195</v>
      </c>
      <c r="S139" s="194" t="s">
        <v>14</v>
      </c>
      <c r="T139" s="64" t="str">
        <f t="shared" si="9"/>
        <v>Đ</v>
      </c>
      <c r="U139" s="66">
        <f t="shared" si="10"/>
        <v>0</v>
      </c>
      <c r="V139" s="62">
        <f t="shared" si="11"/>
        <v>13311</v>
      </c>
    </row>
    <row r="140" spans="1:22" ht="21.6" hidden="1" x14ac:dyDescent="0.3">
      <c r="A140" s="192">
        <v>123</v>
      </c>
      <c r="B140" s="194" t="s">
        <v>818</v>
      </c>
      <c r="C140" s="296" t="s">
        <v>1116</v>
      </c>
      <c r="D140" s="193">
        <v>46161</v>
      </c>
      <c r="E140" s="194" t="s">
        <v>819</v>
      </c>
      <c r="F140" s="296" t="s">
        <v>820</v>
      </c>
      <c r="G140" s="194" t="s">
        <v>1094</v>
      </c>
      <c r="H140" s="286">
        <v>3709259</v>
      </c>
      <c r="I140" s="192">
        <v>8</v>
      </c>
      <c r="J140" s="286">
        <v>296741</v>
      </c>
      <c r="K140" s="194" t="s">
        <v>12</v>
      </c>
      <c r="L140" s="194" t="s">
        <v>15</v>
      </c>
      <c r="M140" s="296" t="s">
        <v>982</v>
      </c>
      <c r="N140" s="193">
        <v>46173</v>
      </c>
      <c r="O140" s="193">
        <v>46173</v>
      </c>
      <c r="P140" s="251">
        <v>4006000</v>
      </c>
      <c r="Q140" s="192" t="s">
        <v>10</v>
      </c>
      <c r="R140" s="192" t="s">
        <v>195</v>
      </c>
      <c r="S140" s="194" t="s">
        <v>14</v>
      </c>
      <c r="T140" s="64" t="str">
        <f t="shared" si="9"/>
        <v>Đ</v>
      </c>
      <c r="U140" s="66">
        <f t="shared" si="10"/>
        <v>0</v>
      </c>
      <c r="V140" s="62">
        <f t="shared" si="11"/>
        <v>13311</v>
      </c>
    </row>
    <row r="141" spans="1:22" ht="14.4" hidden="1" x14ac:dyDescent="0.3">
      <c r="A141" s="192">
        <v>124</v>
      </c>
      <c r="B141" s="194" t="s">
        <v>873</v>
      </c>
      <c r="C141" s="296" t="s">
        <v>1117</v>
      </c>
      <c r="D141" s="193">
        <v>46132</v>
      </c>
      <c r="E141" s="194" t="s">
        <v>874</v>
      </c>
      <c r="F141" s="296" t="s">
        <v>875</v>
      </c>
      <c r="G141" s="194" t="s">
        <v>1074</v>
      </c>
      <c r="H141" s="286">
        <v>1388889</v>
      </c>
      <c r="I141" s="192">
        <v>8</v>
      </c>
      <c r="J141" s="286">
        <v>111111</v>
      </c>
      <c r="K141" s="194" t="s">
        <v>12</v>
      </c>
      <c r="L141" s="194" t="s">
        <v>15</v>
      </c>
      <c r="M141" s="296" t="s">
        <v>982</v>
      </c>
      <c r="N141" s="193">
        <v>46173</v>
      </c>
      <c r="O141" s="193">
        <v>46173</v>
      </c>
      <c r="P141" s="251">
        <v>1500000</v>
      </c>
      <c r="Q141" s="192" t="s">
        <v>10</v>
      </c>
      <c r="R141" s="192" t="s">
        <v>195</v>
      </c>
      <c r="S141" s="194" t="s">
        <v>14</v>
      </c>
      <c r="T141" s="64" t="str">
        <f t="shared" si="9"/>
        <v>Đ</v>
      </c>
      <c r="U141" s="66">
        <f t="shared" si="10"/>
        <v>0</v>
      </c>
      <c r="V141" s="62">
        <f t="shared" si="11"/>
        <v>13311</v>
      </c>
    </row>
    <row r="142" spans="1:22" ht="21.6" hidden="1" x14ac:dyDescent="0.3">
      <c r="A142" s="192">
        <v>125</v>
      </c>
      <c r="B142" s="194" t="s">
        <v>841</v>
      </c>
      <c r="C142" s="296" t="s">
        <v>1118</v>
      </c>
      <c r="D142" s="193">
        <v>46132</v>
      </c>
      <c r="E142" s="194" t="s">
        <v>842</v>
      </c>
      <c r="F142" s="296" t="s">
        <v>843</v>
      </c>
      <c r="G142" s="194" t="s">
        <v>1119</v>
      </c>
      <c r="H142" s="286">
        <v>1963889</v>
      </c>
      <c r="I142" s="192">
        <v>8</v>
      </c>
      <c r="J142" s="286">
        <v>157111</v>
      </c>
      <c r="K142" s="194" t="s">
        <v>12</v>
      </c>
      <c r="L142" s="194" t="s">
        <v>15</v>
      </c>
      <c r="M142" s="296" t="s">
        <v>982</v>
      </c>
      <c r="N142" s="193">
        <v>46173</v>
      </c>
      <c r="O142" s="193">
        <v>46173</v>
      </c>
      <c r="P142" s="251">
        <v>2121000</v>
      </c>
      <c r="Q142" s="192" t="s">
        <v>10</v>
      </c>
      <c r="R142" s="192" t="s">
        <v>195</v>
      </c>
      <c r="S142" s="194" t="s">
        <v>14</v>
      </c>
      <c r="T142" s="64" t="str">
        <f t="shared" si="9"/>
        <v>Đ</v>
      </c>
      <c r="U142" s="66">
        <f t="shared" si="10"/>
        <v>0</v>
      </c>
      <c r="V142" s="62">
        <f t="shared" si="11"/>
        <v>13311</v>
      </c>
    </row>
    <row r="143" spans="1:22" ht="21.6" hidden="1" x14ac:dyDescent="0.3">
      <c r="A143" s="192">
        <v>126</v>
      </c>
      <c r="B143" s="194" t="s">
        <v>876</v>
      </c>
      <c r="C143" s="296" t="s">
        <v>1120</v>
      </c>
      <c r="D143" s="193">
        <v>46132</v>
      </c>
      <c r="E143" s="194" t="s">
        <v>877</v>
      </c>
      <c r="F143" s="296" t="s">
        <v>878</v>
      </c>
      <c r="G143" s="194" t="s">
        <v>1074</v>
      </c>
      <c r="H143" s="286">
        <v>812778</v>
      </c>
      <c r="I143" s="192">
        <v>8</v>
      </c>
      <c r="J143" s="286">
        <v>65022</v>
      </c>
      <c r="K143" s="194" t="s">
        <v>12</v>
      </c>
      <c r="L143" s="194" t="s">
        <v>15</v>
      </c>
      <c r="M143" s="296" t="s">
        <v>982</v>
      </c>
      <c r="N143" s="193">
        <v>46173</v>
      </c>
      <c r="O143" s="193">
        <v>46173</v>
      </c>
      <c r="P143" s="251">
        <v>877800</v>
      </c>
      <c r="Q143" s="192" t="s">
        <v>10</v>
      </c>
      <c r="R143" s="192" t="s">
        <v>195</v>
      </c>
      <c r="S143" s="194" t="s">
        <v>14</v>
      </c>
      <c r="T143" s="64" t="str">
        <f t="shared" si="9"/>
        <v>Đ</v>
      </c>
      <c r="U143" s="66">
        <f t="shared" si="10"/>
        <v>0</v>
      </c>
      <c r="V143" s="62">
        <f t="shared" si="11"/>
        <v>13311</v>
      </c>
    </row>
    <row r="144" spans="1:22" ht="14.4" hidden="1" x14ac:dyDescent="0.3">
      <c r="A144" s="192">
        <v>127</v>
      </c>
      <c r="B144" s="194" t="s">
        <v>291</v>
      </c>
      <c r="C144" s="296" t="s">
        <v>351</v>
      </c>
      <c r="D144" s="193">
        <v>46162</v>
      </c>
      <c r="E144" s="194" t="s">
        <v>834</v>
      </c>
      <c r="F144" s="296" t="s">
        <v>835</v>
      </c>
      <c r="G144" s="194" t="s">
        <v>1094</v>
      </c>
      <c r="H144" s="286">
        <v>18241000</v>
      </c>
      <c r="I144" s="192">
        <v>8</v>
      </c>
      <c r="J144" s="286">
        <v>1459280</v>
      </c>
      <c r="K144" s="194" t="s">
        <v>12</v>
      </c>
      <c r="L144" s="194" t="s">
        <v>15</v>
      </c>
      <c r="M144" s="296" t="s">
        <v>982</v>
      </c>
      <c r="N144" s="193">
        <v>46173</v>
      </c>
      <c r="O144" s="193">
        <v>46173</v>
      </c>
      <c r="P144" s="251">
        <v>19700280</v>
      </c>
      <c r="Q144" s="192" t="s">
        <v>10</v>
      </c>
      <c r="R144" s="192" t="s">
        <v>195</v>
      </c>
      <c r="S144" s="194" t="s">
        <v>14</v>
      </c>
      <c r="T144" s="64" t="str">
        <f t="shared" si="9"/>
        <v>Đ</v>
      </c>
      <c r="U144" s="66">
        <f t="shared" si="10"/>
        <v>0</v>
      </c>
      <c r="V144" s="62">
        <f t="shared" si="11"/>
        <v>13311</v>
      </c>
    </row>
    <row r="145" spans="1:22" ht="21.6" hidden="1" x14ac:dyDescent="0.3">
      <c r="A145" s="192">
        <v>128</v>
      </c>
      <c r="B145" s="194" t="s">
        <v>281</v>
      </c>
      <c r="C145" s="296" t="s">
        <v>1121</v>
      </c>
      <c r="D145" s="193">
        <v>46162</v>
      </c>
      <c r="E145" s="194" t="s">
        <v>855</v>
      </c>
      <c r="F145" s="296" t="s">
        <v>856</v>
      </c>
      <c r="G145" s="194" t="s">
        <v>1122</v>
      </c>
      <c r="H145" s="286">
        <v>16090910</v>
      </c>
      <c r="I145" s="192">
        <v>10</v>
      </c>
      <c r="J145" s="286">
        <v>1609090</v>
      </c>
      <c r="K145" s="194" t="s">
        <v>12</v>
      </c>
      <c r="L145" s="194" t="s">
        <v>15</v>
      </c>
      <c r="M145" s="296" t="s">
        <v>982</v>
      </c>
      <c r="N145" s="193">
        <v>46173</v>
      </c>
      <c r="O145" s="193">
        <v>46173</v>
      </c>
      <c r="P145" s="251">
        <v>17700000</v>
      </c>
      <c r="Q145" s="192" t="s">
        <v>10</v>
      </c>
      <c r="R145" s="192" t="s">
        <v>195</v>
      </c>
      <c r="S145" s="194" t="s">
        <v>14</v>
      </c>
      <c r="T145" s="64" t="str">
        <f t="shared" si="9"/>
        <v>Đ</v>
      </c>
      <c r="U145" s="66">
        <f t="shared" si="10"/>
        <v>1</v>
      </c>
      <c r="V145" s="62">
        <f t="shared" si="11"/>
        <v>13311</v>
      </c>
    </row>
    <row r="146" spans="1:22" ht="21.6" hidden="1" x14ac:dyDescent="0.3">
      <c r="A146" s="192">
        <v>129</v>
      </c>
      <c r="B146" s="194" t="s">
        <v>297</v>
      </c>
      <c r="C146" s="296" t="s">
        <v>642</v>
      </c>
      <c r="D146" s="193">
        <v>46162</v>
      </c>
      <c r="E146" s="194" t="s">
        <v>302</v>
      </c>
      <c r="F146" s="296" t="s">
        <v>303</v>
      </c>
      <c r="G146" s="194" t="s">
        <v>1123</v>
      </c>
      <c r="H146" s="286">
        <v>14991696</v>
      </c>
      <c r="I146" s="192">
        <v>8</v>
      </c>
      <c r="J146" s="286">
        <v>1199336</v>
      </c>
      <c r="K146" s="194" t="s">
        <v>12</v>
      </c>
      <c r="L146" s="194" t="s">
        <v>15</v>
      </c>
      <c r="M146" s="296" t="s">
        <v>982</v>
      </c>
      <c r="N146" s="193">
        <v>46173</v>
      </c>
      <c r="O146" s="193">
        <v>46173</v>
      </c>
      <c r="P146" s="251">
        <v>16191032</v>
      </c>
      <c r="Q146" s="192" t="s">
        <v>10</v>
      </c>
      <c r="R146" s="192" t="s">
        <v>195</v>
      </c>
      <c r="S146" s="194" t="s">
        <v>14</v>
      </c>
      <c r="T146" s="64" t="str">
        <f t="shared" si="9"/>
        <v>Đ</v>
      </c>
      <c r="U146" s="66">
        <f t="shared" si="10"/>
        <v>0</v>
      </c>
      <c r="V146" s="62">
        <f t="shared" si="11"/>
        <v>13311</v>
      </c>
    </row>
    <row r="147" spans="1:22" ht="21.6" hidden="1" x14ac:dyDescent="0.3">
      <c r="A147" s="192">
        <v>130</v>
      </c>
      <c r="B147" s="194" t="s">
        <v>297</v>
      </c>
      <c r="C147" s="296" t="s">
        <v>618</v>
      </c>
      <c r="D147" s="193">
        <v>46133</v>
      </c>
      <c r="E147" s="194" t="s">
        <v>302</v>
      </c>
      <c r="F147" s="296" t="s">
        <v>303</v>
      </c>
      <c r="G147" s="194" t="s">
        <v>1051</v>
      </c>
      <c r="H147" s="286">
        <v>5539818</v>
      </c>
      <c r="I147" s="192">
        <v>8</v>
      </c>
      <c r="J147" s="286">
        <v>443186</v>
      </c>
      <c r="K147" s="194" t="s">
        <v>12</v>
      </c>
      <c r="L147" s="194" t="s">
        <v>15</v>
      </c>
      <c r="M147" s="296" t="s">
        <v>982</v>
      </c>
      <c r="N147" s="193">
        <v>46173</v>
      </c>
      <c r="O147" s="193">
        <v>46173</v>
      </c>
      <c r="P147" s="251">
        <v>5983004</v>
      </c>
      <c r="Q147" s="192" t="s">
        <v>10</v>
      </c>
      <c r="R147" s="192" t="s">
        <v>195</v>
      </c>
      <c r="S147" s="194" t="s">
        <v>14</v>
      </c>
      <c r="T147" s="64" t="str">
        <f t="shared" ref="T147:T210" si="12">IF(OR(LEN(F147)=11,LEN(F147)=15),"Đ","SAI")</f>
        <v>Đ</v>
      </c>
      <c r="U147" s="66">
        <f t="shared" ref="U147:U210" si="13">ROUND(H147*I147%,0)-J147</f>
        <v>-1</v>
      </c>
      <c r="V147" s="62">
        <f t="shared" ref="V147:V210" si="14">IF(Q147=$V$12,13313,13311)</f>
        <v>13311</v>
      </c>
    </row>
    <row r="148" spans="1:22" ht="21.6" hidden="1" x14ac:dyDescent="0.3">
      <c r="A148" s="192">
        <v>131</v>
      </c>
      <c r="B148" s="194" t="s">
        <v>297</v>
      </c>
      <c r="C148" s="296" t="s">
        <v>435</v>
      </c>
      <c r="D148" s="193">
        <v>46133</v>
      </c>
      <c r="E148" s="194" t="s">
        <v>302</v>
      </c>
      <c r="F148" s="296" t="s">
        <v>303</v>
      </c>
      <c r="G148" s="194" t="s">
        <v>1051</v>
      </c>
      <c r="H148" s="286">
        <v>5221918</v>
      </c>
      <c r="I148" s="192">
        <v>8</v>
      </c>
      <c r="J148" s="286">
        <v>417754</v>
      </c>
      <c r="K148" s="194" t="s">
        <v>12</v>
      </c>
      <c r="L148" s="194" t="s">
        <v>15</v>
      </c>
      <c r="M148" s="296" t="s">
        <v>982</v>
      </c>
      <c r="N148" s="193">
        <v>46173</v>
      </c>
      <c r="O148" s="193">
        <v>46173</v>
      </c>
      <c r="P148" s="251">
        <v>5639672</v>
      </c>
      <c r="Q148" s="192" t="s">
        <v>10</v>
      </c>
      <c r="R148" s="192" t="s">
        <v>195</v>
      </c>
      <c r="S148" s="194" t="s">
        <v>14</v>
      </c>
      <c r="T148" s="64" t="str">
        <f t="shared" si="12"/>
        <v>Đ</v>
      </c>
      <c r="U148" s="66">
        <f t="shared" si="13"/>
        <v>-1</v>
      </c>
      <c r="V148" s="62">
        <f t="shared" si="14"/>
        <v>13311</v>
      </c>
    </row>
    <row r="149" spans="1:22" ht="21.6" hidden="1" x14ac:dyDescent="0.3">
      <c r="A149" s="192">
        <v>132</v>
      </c>
      <c r="B149" s="194" t="s">
        <v>297</v>
      </c>
      <c r="C149" s="296" t="s">
        <v>1124</v>
      </c>
      <c r="D149" s="193">
        <v>46133</v>
      </c>
      <c r="E149" s="194" t="s">
        <v>302</v>
      </c>
      <c r="F149" s="296" t="s">
        <v>303</v>
      </c>
      <c r="G149" s="194" t="s">
        <v>1051</v>
      </c>
      <c r="H149" s="286">
        <v>4629630</v>
      </c>
      <c r="I149" s="192">
        <v>8</v>
      </c>
      <c r="J149" s="286">
        <v>370370</v>
      </c>
      <c r="K149" s="194" t="s">
        <v>12</v>
      </c>
      <c r="L149" s="194" t="s">
        <v>15</v>
      </c>
      <c r="M149" s="296" t="s">
        <v>982</v>
      </c>
      <c r="N149" s="193">
        <v>46173</v>
      </c>
      <c r="O149" s="193">
        <v>46173</v>
      </c>
      <c r="P149" s="251">
        <v>5000000</v>
      </c>
      <c r="Q149" s="192" t="s">
        <v>10</v>
      </c>
      <c r="R149" s="192" t="s">
        <v>195</v>
      </c>
      <c r="S149" s="194" t="s">
        <v>14</v>
      </c>
      <c r="T149" s="64" t="str">
        <f t="shared" si="12"/>
        <v>Đ</v>
      </c>
      <c r="U149" s="66">
        <f t="shared" si="13"/>
        <v>0</v>
      </c>
      <c r="V149" s="62">
        <f t="shared" si="14"/>
        <v>13311</v>
      </c>
    </row>
    <row r="150" spans="1:22" ht="21.6" hidden="1" x14ac:dyDescent="0.3">
      <c r="A150" s="192">
        <v>133</v>
      </c>
      <c r="B150" s="194" t="s">
        <v>297</v>
      </c>
      <c r="C150" s="296" t="s">
        <v>718</v>
      </c>
      <c r="D150" s="193">
        <v>46133</v>
      </c>
      <c r="E150" s="194" t="s">
        <v>302</v>
      </c>
      <c r="F150" s="296" t="s">
        <v>303</v>
      </c>
      <c r="G150" s="194" t="s">
        <v>1051</v>
      </c>
      <c r="H150" s="286">
        <v>6101552</v>
      </c>
      <c r="I150" s="192">
        <v>8</v>
      </c>
      <c r="J150" s="286">
        <v>488124</v>
      </c>
      <c r="K150" s="194" t="s">
        <v>12</v>
      </c>
      <c r="L150" s="194" t="s">
        <v>15</v>
      </c>
      <c r="M150" s="296" t="s">
        <v>982</v>
      </c>
      <c r="N150" s="193">
        <v>46173</v>
      </c>
      <c r="O150" s="193">
        <v>46173</v>
      </c>
      <c r="P150" s="251">
        <v>6589676</v>
      </c>
      <c r="Q150" s="192" t="s">
        <v>10</v>
      </c>
      <c r="R150" s="192" t="s">
        <v>195</v>
      </c>
      <c r="S150" s="194" t="s">
        <v>14</v>
      </c>
      <c r="T150" s="64" t="str">
        <f t="shared" si="12"/>
        <v>Đ</v>
      </c>
      <c r="U150" s="66">
        <f t="shared" si="13"/>
        <v>0</v>
      </c>
      <c r="V150" s="62">
        <f t="shared" si="14"/>
        <v>13311</v>
      </c>
    </row>
    <row r="151" spans="1:22" ht="21.6" hidden="1" x14ac:dyDescent="0.3">
      <c r="A151" s="192">
        <v>134</v>
      </c>
      <c r="B151" s="194" t="s">
        <v>297</v>
      </c>
      <c r="C151" s="296" t="s">
        <v>625</v>
      </c>
      <c r="D151" s="193">
        <v>46133</v>
      </c>
      <c r="E151" s="194" t="s">
        <v>302</v>
      </c>
      <c r="F151" s="296" t="s">
        <v>303</v>
      </c>
      <c r="G151" s="194" t="s">
        <v>1051</v>
      </c>
      <c r="H151" s="286">
        <v>4629630</v>
      </c>
      <c r="I151" s="192">
        <v>8</v>
      </c>
      <c r="J151" s="286">
        <v>370370</v>
      </c>
      <c r="K151" s="194" t="s">
        <v>12</v>
      </c>
      <c r="L151" s="194" t="s">
        <v>15</v>
      </c>
      <c r="M151" s="296" t="s">
        <v>982</v>
      </c>
      <c r="N151" s="193">
        <v>46173</v>
      </c>
      <c r="O151" s="193">
        <v>46173</v>
      </c>
      <c r="P151" s="251">
        <v>5000000</v>
      </c>
      <c r="Q151" s="192" t="s">
        <v>10</v>
      </c>
      <c r="R151" s="192" t="s">
        <v>195</v>
      </c>
      <c r="S151" s="194" t="s">
        <v>14</v>
      </c>
      <c r="T151" s="64" t="str">
        <f t="shared" si="12"/>
        <v>Đ</v>
      </c>
      <c r="U151" s="66">
        <f t="shared" si="13"/>
        <v>0</v>
      </c>
      <c r="V151" s="62">
        <f t="shared" si="14"/>
        <v>13311</v>
      </c>
    </row>
    <row r="152" spans="1:22" ht="14.4" hidden="1" x14ac:dyDescent="0.3">
      <c r="A152" s="192">
        <v>135</v>
      </c>
      <c r="B152" s="194" t="s">
        <v>291</v>
      </c>
      <c r="C152" s="296" t="s">
        <v>1125</v>
      </c>
      <c r="D152" s="193">
        <v>46163</v>
      </c>
      <c r="E152" s="194" t="s">
        <v>834</v>
      </c>
      <c r="F152" s="296" t="s">
        <v>835</v>
      </c>
      <c r="G152" s="194" t="s">
        <v>1094</v>
      </c>
      <c r="H152" s="286">
        <v>3644445</v>
      </c>
      <c r="I152" s="192">
        <v>8</v>
      </c>
      <c r="J152" s="286">
        <v>291555</v>
      </c>
      <c r="K152" s="194" t="s">
        <v>12</v>
      </c>
      <c r="L152" s="194" t="s">
        <v>15</v>
      </c>
      <c r="M152" s="296" t="s">
        <v>982</v>
      </c>
      <c r="N152" s="193">
        <v>46173</v>
      </c>
      <c r="O152" s="193">
        <v>46173</v>
      </c>
      <c r="P152" s="251">
        <v>3936000</v>
      </c>
      <c r="Q152" s="192" t="s">
        <v>10</v>
      </c>
      <c r="R152" s="192" t="s">
        <v>195</v>
      </c>
      <c r="S152" s="194" t="s">
        <v>14</v>
      </c>
      <c r="T152" s="64" t="str">
        <f t="shared" si="12"/>
        <v>Đ</v>
      </c>
      <c r="U152" s="66">
        <f t="shared" si="13"/>
        <v>1</v>
      </c>
      <c r="V152" s="62">
        <f t="shared" si="14"/>
        <v>13311</v>
      </c>
    </row>
    <row r="153" spans="1:22" ht="14.4" hidden="1" x14ac:dyDescent="0.3">
      <c r="A153" s="192">
        <v>136</v>
      </c>
      <c r="B153" s="194" t="s">
        <v>291</v>
      </c>
      <c r="C153" s="296" t="s">
        <v>1125</v>
      </c>
      <c r="D153" s="193">
        <v>46163</v>
      </c>
      <c r="E153" s="194" t="s">
        <v>834</v>
      </c>
      <c r="F153" s="296" t="s">
        <v>835</v>
      </c>
      <c r="G153" s="194" t="s">
        <v>1094</v>
      </c>
      <c r="H153" s="286">
        <v>55454</v>
      </c>
      <c r="I153" s="192">
        <v>10</v>
      </c>
      <c r="J153" s="286">
        <v>5546</v>
      </c>
      <c r="K153" s="194" t="s">
        <v>12</v>
      </c>
      <c r="L153" s="194" t="s">
        <v>15</v>
      </c>
      <c r="M153" s="296" t="s">
        <v>982</v>
      </c>
      <c r="N153" s="193">
        <v>46173</v>
      </c>
      <c r="O153" s="193">
        <v>46173</v>
      </c>
      <c r="P153" s="251">
        <v>61000</v>
      </c>
      <c r="Q153" s="192" t="s">
        <v>10</v>
      </c>
      <c r="R153" s="192" t="s">
        <v>195</v>
      </c>
      <c r="S153" s="194" t="s">
        <v>14</v>
      </c>
      <c r="T153" s="64" t="str">
        <f t="shared" si="12"/>
        <v>Đ</v>
      </c>
      <c r="U153" s="66">
        <f t="shared" si="13"/>
        <v>-1</v>
      </c>
      <c r="V153" s="62">
        <f t="shared" si="14"/>
        <v>13311</v>
      </c>
    </row>
    <row r="154" spans="1:22" ht="14.4" hidden="1" x14ac:dyDescent="0.3">
      <c r="A154" s="192">
        <v>137</v>
      </c>
      <c r="B154" s="194" t="s">
        <v>343</v>
      </c>
      <c r="C154" s="296" t="s">
        <v>1126</v>
      </c>
      <c r="D154" s="193">
        <v>46163</v>
      </c>
      <c r="E154" s="194" t="s">
        <v>817</v>
      </c>
      <c r="F154" s="296" t="s">
        <v>344</v>
      </c>
      <c r="G154" s="194" t="s">
        <v>1127</v>
      </c>
      <c r="H154" s="286">
        <v>3705555</v>
      </c>
      <c r="I154" s="192">
        <v>8</v>
      </c>
      <c r="J154" s="286">
        <v>296445</v>
      </c>
      <c r="K154" s="194" t="s">
        <v>12</v>
      </c>
      <c r="L154" s="194" t="s">
        <v>15</v>
      </c>
      <c r="M154" s="296" t="s">
        <v>982</v>
      </c>
      <c r="N154" s="193">
        <v>46173</v>
      </c>
      <c r="O154" s="193">
        <v>46173</v>
      </c>
      <c r="P154" s="251">
        <v>4002000</v>
      </c>
      <c r="Q154" s="192" t="s">
        <v>10</v>
      </c>
      <c r="R154" s="192" t="s">
        <v>195</v>
      </c>
      <c r="S154" s="194" t="s">
        <v>14</v>
      </c>
      <c r="T154" s="64" t="str">
        <f t="shared" si="12"/>
        <v>Đ</v>
      </c>
      <c r="U154" s="66">
        <f t="shared" si="13"/>
        <v>-1</v>
      </c>
      <c r="V154" s="62">
        <f t="shared" si="14"/>
        <v>13311</v>
      </c>
    </row>
    <row r="155" spans="1:22" ht="14.4" hidden="1" x14ac:dyDescent="0.3">
      <c r="A155" s="192">
        <v>138</v>
      </c>
      <c r="B155" s="194" t="s">
        <v>281</v>
      </c>
      <c r="C155" s="296" t="s">
        <v>1128</v>
      </c>
      <c r="D155" s="193">
        <v>46163</v>
      </c>
      <c r="E155" s="194" t="s">
        <v>849</v>
      </c>
      <c r="F155" s="296" t="s">
        <v>850</v>
      </c>
      <c r="G155" s="194" t="s">
        <v>1109</v>
      </c>
      <c r="H155" s="286">
        <v>1974272</v>
      </c>
      <c r="I155" s="192">
        <v>8</v>
      </c>
      <c r="J155" s="286">
        <v>157942</v>
      </c>
      <c r="K155" s="194" t="s">
        <v>12</v>
      </c>
      <c r="L155" s="194" t="s">
        <v>15</v>
      </c>
      <c r="M155" s="296" t="s">
        <v>982</v>
      </c>
      <c r="N155" s="193">
        <v>46173</v>
      </c>
      <c r="O155" s="193">
        <v>46173</v>
      </c>
      <c r="P155" s="251">
        <v>2132214</v>
      </c>
      <c r="Q155" s="192" t="s">
        <v>10</v>
      </c>
      <c r="R155" s="192" t="s">
        <v>195</v>
      </c>
      <c r="S155" s="194" t="s">
        <v>14</v>
      </c>
      <c r="T155" s="64" t="str">
        <f t="shared" si="12"/>
        <v>Đ</v>
      </c>
      <c r="U155" s="66">
        <f t="shared" si="13"/>
        <v>0</v>
      </c>
      <c r="V155" s="62">
        <f t="shared" si="14"/>
        <v>13311</v>
      </c>
    </row>
    <row r="156" spans="1:22" ht="14.4" x14ac:dyDescent="0.3">
      <c r="A156" s="192">
        <v>139</v>
      </c>
      <c r="B156" s="194" t="s">
        <v>281</v>
      </c>
      <c r="C156" s="296" t="s">
        <v>1128</v>
      </c>
      <c r="D156" s="193">
        <v>46163</v>
      </c>
      <c r="E156" s="194" t="s">
        <v>849</v>
      </c>
      <c r="F156" s="296" t="s">
        <v>850</v>
      </c>
      <c r="G156" s="194" t="s">
        <v>1109</v>
      </c>
      <c r="H156" s="286">
        <v>4288000</v>
      </c>
      <c r="I156" s="192">
        <v>5</v>
      </c>
      <c r="J156" s="286">
        <v>214400</v>
      </c>
      <c r="K156" s="194" t="s">
        <v>12</v>
      </c>
      <c r="L156" s="194" t="s">
        <v>15</v>
      </c>
      <c r="M156" s="296" t="s">
        <v>982</v>
      </c>
      <c r="N156" s="193">
        <v>46173</v>
      </c>
      <c r="O156" s="193">
        <v>46173</v>
      </c>
      <c r="P156" s="251">
        <v>4502400</v>
      </c>
      <c r="Q156" s="192" t="s">
        <v>10</v>
      </c>
      <c r="R156" s="192" t="s">
        <v>195</v>
      </c>
      <c r="S156" s="194" t="s">
        <v>14</v>
      </c>
      <c r="T156" s="64" t="str">
        <f t="shared" si="12"/>
        <v>Đ</v>
      </c>
      <c r="U156" s="66">
        <f t="shared" si="13"/>
        <v>0</v>
      </c>
      <c r="V156" s="62">
        <f t="shared" si="14"/>
        <v>13311</v>
      </c>
    </row>
    <row r="157" spans="1:22" ht="14.4" hidden="1" x14ac:dyDescent="0.3">
      <c r="A157" s="192">
        <v>140</v>
      </c>
      <c r="B157" s="194" t="s">
        <v>286</v>
      </c>
      <c r="C157" s="296" t="s">
        <v>1129</v>
      </c>
      <c r="D157" s="193">
        <v>46164</v>
      </c>
      <c r="E157" s="194" t="s">
        <v>1130</v>
      </c>
      <c r="F157" s="296" t="s">
        <v>13</v>
      </c>
      <c r="G157" s="194" t="s">
        <v>1131</v>
      </c>
      <c r="H157" s="286">
        <v>19000</v>
      </c>
      <c r="I157" s="192">
        <v>10</v>
      </c>
      <c r="J157" s="286">
        <v>1900</v>
      </c>
      <c r="K157" s="194" t="s">
        <v>12</v>
      </c>
      <c r="L157" s="194" t="s">
        <v>15</v>
      </c>
      <c r="M157" s="296" t="s">
        <v>982</v>
      </c>
      <c r="N157" s="193">
        <v>46173</v>
      </c>
      <c r="O157" s="193">
        <v>46173</v>
      </c>
      <c r="P157" s="251">
        <v>20900</v>
      </c>
      <c r="Q157" s="192" t="s">
        <v>10</v>
      </c>
      <c r="R157" s="192" t="s">
        <v>195</v>
      </c>
      <c r="S157" s="194" t="s">
        <v>14</v>
      </c>
      <c r="T157" s="64" t="str">
        <f t="shared" si="12"/>
        <v>Đ</v>
      </c>
      <c r="U157" s="66">
        <f t="shared" si="13"/>
        <v>0</v>
      </c>
      <c r="V157" s="62">
        <f t="shared" si="14"/>
        <v>13311</v>
      </c>
    </row>
    <row r="158" spans="1:22" ht="21.6" hidden="1" x14ac:dyDescent="0.3">
      <c r="A158" s="192">
        <v>141</v>
      </c>
      <c r="B158" s="194" t="s">
        <v>297</v>
      </c>
      <c r="C158" s="296" t="s">
        <v>1075</v>
      </c>
      <c r="D158" s="193">
        <v>46164</v>
      </c>
      <c r="E158" s="194" t="s">
        <v>302</v>
      </c>
      <c r="F158" s="296" t="s">
        <v>303</v>
      </c>
      <c r="G158" s="194" t="s">
        <v>1132</v>
      </c>
      <c r="H158" s="286">
        <v>4940685</v>
      </c>
      <c r="I158" s="192">
        <v>8</v>
      </c>
      <c r="J158" s="286">
        <v>395255</v>
      </c>
      <c r="K158" s="194" t="s">
        <v>12</v>
      </c>
      <c r="L158" s="194" t="s">
        <v>15</v>
      </c>
      <c r="M158" s="296" t="s">
        <v>982</v>
      </c>
      <c r="N158" s="193">
        <v>46173</v>
      </c>
      <c r="O158" s="193">
        <v>46173</v>
      </c>
      <c r="P158" s="251">
        <v>5335940</v>
      </c>
      <c r="Q158" s="192" t="s">
        <v>10</v>
      </c>
      <c r="R158" s="192" t="s">
        <v>195</v>
      </c>
      <c r="S158" s="194" t="s">
        <v>14</v>
      </c>
      <c r="T158" s="64" t="str">
        <f t="shared" si="12"/>
        <v>Đ</v>
      </c>
      <c r="U158" s="66">
        <f t="shared" si="13"/>
        <v>0</v>
      </c>
      <c r="V158" s="62">
        <f t="shared" si="14"/>
        <v>13311</v>
      </c>
    </row>
    <row r="159" spans="1:22" ht="21.6" hidden="1" x14ac:dyDescent="0.3">
      <c r="A159" s="192">
        <v>142</v>
      </c>
      <c r="B159" s="194" t="s">
        <v>297</v>
      </c>
      <c r="C159" s="296" t="s">
        <v>1133</v>
      </c>
      <c r="D159" s="193">
        <v>46164</v>
      </c>
      <c r="E159" s="194" t="s">
        <v>302</v>
      </c>
      <c r="F159" s="296" t="s">
        <v>303</v>
      </c>
      <c r="G159" s="194" t="s">
        <v>1132</v>
      </c>
      <c r="H159" s="286">
        <v>4641730</v>
      </c>
      <c r="I159" s="192">
        <v>8</v>
      </c>
      <c r="J159" s="286">
        <v>371338</v>
      </c>
      <c r="K159" s="194" t="s">
        <v>12</v>
      </c>
      <c r="L159" s="194" t="s">
        <v>15</v>
      </c>
      <c r="M159" s="296" t="s">
        <v>982</v>
      </c>
      <c r="N159" s="193">
        <v>46173</v>
      </c>
      <c r="O159" s="193">
        <v>46173</v>
      </c>
      <c r="P159" s="251">
        <v>5013068</v>
      </c>
      <c r="Q159" s="192" t="s">
        <v>10</v>
      </c>
      <c r="R159" s="192" t="s">
        <v>195</v>
      </c>
      <c r="S159" s="194" t="s">
        <v>14</v>
      </c>
      <c r="T159" s="64" t="str">
        <f t="shared" si="12"/>
        <v>Đ</v>
      </c>
      <c r="U159" s="66">
        <f t="shared" si="13"/>
        <v>0</v>
      </c>
      <c r="V159" s="62">
        <f t="shared" si="14"/>
        <v>13311</v>
      </c>
    </row>
    <row r="160" spans="1:22" ht="21.6" hidden="1" x14ac:dyDescent="0.3">
      <c r="A160" s="192">
        <v>143</v>
      </c>
      <c r="B160" s="194" t="s">
        <v>297</v>
      </c>
      <c r="C160" s="296" t="s">
        <v>1134</v>
      </c>
      <c r="D160" s="193">
        <v>46164</v>
      </c>
      <c r="E160" s="194" t="s">
        <v>302</v>
      </c>
      <c r="F160" s="296" t="s">
        <v>303</v>
      </c>
      <c r="G160" s="194" t="s">
        <v>1132</v>
      </c>
      <c r="H160" s="286">
        <v>5429085</v>
      </c>
      <c r="I160" s="192">
        <v>8</v>
      </c>
      <c r="J160" s="286">
        <v>434327</v>
      </c>
      <c r="K160" s="194" t="s">
        <v>12</v>
      </c>
      <c r="L160" s="194" t="s">
        <v>15</v>
      </c>
      <c r="M160" s="296" t="s">
        <v>982</v>
      </c>
      <c r="N160" s="193">
        <v>46173</v>
      </c>
      <c r="O160" s="193">
        <v>46173</v>
      </c>
      <c r="P160" s="251">
        <v>5863412</v>
      </c>
      <c r="Q160" s="192" t="s">
        <v>10</v>
      </c>
      <c r="R160" s="192" t="s">
        <v>195</v>
      </c>
      <c r="S160" s="194" t="s">
        <v>14</v>
      </c>
      <c r="T160" s="64" t="str">
        <f t="shared" si="12"/>
        <v>Đ</v>
      </c>
      <c r="U160" s="66">
        <f t="shared" si="13"/>
        <v>0</v>
      </c>
      <c r="V160" s="62">
        <f t="shared" si="14"/>
        <v>13311</v>
      </c>
    </row>
    <row r="161" spans="1:24" ht="21.6" hidden="1" x14ac:dyDescent="0.3">
      <c r="A161" s="192">
        <v>144</v>
      </c>
      <c r="B161" s="194" t="s">
        <v>297</v>
      </c>
      <c r="C161" s="296" t="s">
        <v>1135</v>
      </c>
      <c r="D161" s="193">
        <v>46164</v>
      </c>
      <c r="E161" s="194" t="s">
        <v>302</v>
      </c>
      <c r="F161" s="296" t="s">
        <v>303</v>
      </c>
      <c r="G161" s="194" t="s">
        <v>1132</v>
      </c>
      <c r="H161" s="286">
        <v>6065374</v>
      </c>
      <c r="I161" s="192">
        <v>8</v>
      </c>
      <c r="J161" s="286">
        <v>485230</v>
      </c>
      <c r="K161" s="194" t="s">
        <v>12</v>
      </c>
      <c r="L161" s="194" t="s">
        <v>15</v>
      </c>
      <c r="M161" s="296" t="s">
        <v>982</v>
      </c>
      <c r="N161" s="193">
        <v>46173</v>
      </c>
      <c r="O161" s="193">
        <v>46173</v>
      </c>
      <c r="P161" s="251">
        <v>6550604</v>
      </c>
      <c r="Q161" s="192" t="s">
        <v>10</v>
      </c>
      <c r="R161" s="192" t="s">
        <v>195</v>
      </c>
      <c r="S161" s="194" t="s">
        <v>14</v>
      </c>
      <c r="T161" s="64" t="str">
        <f t="shared" si="12"/>
        <v>Đ</v>
      </c>
      <c r="U161" s="66">
        <f t="shared" si="13"/>
        <v>0</v>
      </c>
      <c r="V161" s="62">
        <f t="shared" si="14"/>
        <v>13311</v>
      </c>
    </row>
    <row r="162" spans="1:24" ht="21.6" hidden="1" x14ac:dyDescent="0.3">
      <c r="A162" s="192">
        <v>145</v>
      </c>
      <c r="B162" s="194" t="s">
        <v>297</v>
      </c>
      <c r="C162" s="296" t="s">
        <v>870</v>
      </c>
      <c r="D162" s="193">
        <v>46164</v>
      </c>
      <c r="E162" s="194" t="s">
        <v>302</v>
      </c>
      <c r="F162" s="296" t="s">
        <v>303</v>
      </c>
      <c r="G162" s="194" t="s">
        <v>1132</v>
      </c>
      <c r="H162" s="286">
        <v>4668619</v>
      </c>
      <c r="I162" s="192">
        <v>8</v>
      </c>
      <c r="J162" s="286">
        <v>373489</v>
      </c>
      <c r="K162" s="194" t="s">
        <v>12</v>
      </c>
      <c r="L162" s="194" t="s">
        <v>15</v>
      </c>
      <c r="M162" s="296" t="s">
        <v>982</v>
      </c>
      <c r="N162" s="193">
        <v>46173</v>
      </c>
      <c r="O162" s="193">
        <v>46173</v>
      </c>
      <c r="P162" s="251">
        <v>5042108</v>
      </c>
      <c r="Q162" s="192" t="s">
        <v>10</v>
      </c>
      <c r="R162" s="192" t="s">
        <v>195</v>
      </c>
      <c r="S162" s="194" t="s">
        <v>14</v>
      </c>
      <c r="T162" s="64" t="str">
        <f t="shared" si="12"/>
        <v>Đ</v>
      </c>
      <c r="U162" s="66">
        <f t="shared" si="13"/>
        <v>1</v>
      </c>
      <c r="V162" s="62">
        <f t="shared" si="14"/>
        <v>13311</v>
      </c>
    </row>
    <row r="163" spans="1:24" ht="21.6" hidden="1" x14ac:dyDescent="0.3">
      <c r="A163" s="192">
        <v>146</v>
      </c>
      <c r="B163" s="194" t="s">
        <v>818</v>
      </c>
      <c r="C163" s="296" t="s">
        <v>1136</v>
      </c>
      <c r="D163" s="193">
        <v>46165</v>
      </c>
      <c r="E163" s="194" t="s">
        <v>819</v>
      </c>
      <c r="F163" s="296" t="s">
        <v>820</v>
      </c>
      <c r="G163" s="194" t="s">
        <v>1094</v>
      </c>
      <c r="H163" s="286">
        <v>81818</v>
      </c>
      <c r="I163" s="192">
        <v>10</v>
      </c>
      <c r="J163" s="286">
        <v>8182</v>
      </c>
      <c r="K163" s="194" t="s">
        <v>12</v>
      </c>
      <c r="L163" s="194" t="s">
        <v>15</v>
      </c>
      <c r="M163" s="296" t="s">
        <v>982</v>
      </c>
      <c r="N163" s="193">
        <v>46173</v>
      </c>
      <c r="O163" s="193">
        <v>46173</v>
      </c>
      <c r="P163" s="251">
        <v>90000</v>
      </c>
      <c r="Q163" s="192" t="s">
        <v>10</v>
      </c>
      <c r="R163" s="192" t="s">
        <v>195</v>
      </c>
      <c r="S163" s="194" t="s">
        <v>14</v>
      </c>
      <c r="T163" s="64" t="str">
        <f t="shared" si="12"/>
        <v>Đ</v>
      </c>
      <c r="U163" s="66">
        <f t="shared" si="13"/>
        <v>0</v>
      </c>
      <c r="V163" s="62">
        <f t="shared" si="14"/>
        <v>13311</v>
      </c>
    </row>
    <row r="164" spans="1:24" ht="21.6" hidden="1" x14ac:dyDescent="0.3">
      <c r="A164" s="192">
        <v>147</v>
      </c>
      <c r="B164" s="194" t="s">
        <v>818</v>
      </c>
      <c r="C164" s="296" t="s">
        <v>1136</v>
      </c>
      <c r="D164" s="193">
        <v>46165</v>
      </c>
      <c r="E164" s="194" t="s">
        <v>819</v>
      </c>
      <c r="F164" s="296" t="s">
        <v>820</v>
      </c>
      <c r="G164" s="194" t="s">
        <v>1094</v>
      </c>
      <c r="H164" s="286">
        <v>3618519</v>
      </c>
      <c r="I164" s="192">
        <v>8</v>
      </c>
      <c r="J164" s="286">
        <v>289481</v>
      </c>
      <c r="K164" s="194" t="s">
        <v>12</v>
      </c>
      <c r="L164" s="194" t="s">
        <v>15</v>
      </c>
      <c r="M164" s="296" t="s">
        <v>982</v>
      </c>
      <c r="N164" s="193">
        <v>46173</v>
      </c>
      <c r="O164" s="193">
        <v>46173</v>
      </c>
      <c r="P164" s="251">
        <v>3908000</v>
      </c>
      <c r="Q164" s="192" t="s">
        <v>10</v>
      </c>
      <c r="R164" s="192" t="s">
        <v>195</v>
      </c>
      <c r="S164" s="194" t="s">
        <v>14</v>
      </c>
      <c r="T164" s="64" t="str">
        <f t="shared" si="12"/>
        <v>Đ</v>
      </c>
      <c r="U164" s="66">
        <f t="shared" si="13"/>
        <v>1</v>
      </c>
      <c r="V164" s="62">
        <f t="shared" si="14"/>
        <v>13311</v>
      </c>
    </row>
    <row r="165" spans="1:24" ht="14.4" x14ac:dyDescent="0.3">
      <c r="A165" s="192">
        <v>148</v>
      </c>
      <c r="B165" s="194" t="s">
        <v>281</v>
      </c>
      <c r="C165" s="296" t="s">
        <v>1137</v>
      </c>
      <c r="D165" s="193">
        <v>46165</v>
      </c>
      <c r="E165" s="194" t="s">
        <v>849</v>
      </c>
      <c r="F165" s="296" t="s">
        <v>850</v>
      </c>
      <c r="G165" s="194" t="s">
        <v>1109</v>
      </c>
      <c r="H165" s="286">
        <v>1299800</v>
      </c>
      <c r="I165" s="192">
        <v>5</v>
      </c>
      <c r="J165" s="286">
        <v>64990</v>
      </c>
      <c r="K165" s="194" t="s">
        <v>12</v>
      </c>
      <c r="L165" s="194" t="s">
        <v>15</v>
      </c>
      <c r="M165" s="296" t="s">
        <v>982</v>
      </c>
      <c r="N165" s="193">
        <v>46173</v>
      </c>
      <c r="O165" s="193">
        <v>46173</v>
      </c>
      <c r="P165" s="251">
        <v>1364790</v>
      </c>
      <c r="Q165" s="192" t="s">
        <v>10</v>
      </c>
      <c r="R165" s="192" t="s">
        <v>195</v>
      </c>
      <c r="S165" s="194" t="s">
        <v>14</v>
      </c>
      <c r="T165" s="64" t="str">
        <f t="shared" si="12"/>
        <v>Đ</v>
      </c>
      <c r="U165" s="66">
        <f t="shared" si="13"/>
        <v>0</v>
      </c>
      <c r="V165" s="62">
        <f t="shared" si="14"/>
        <v>13311</v>
      </c>
    </row>
    <row r="166" spans="1:24" ht="14.4" hidden="1" x14ac:dyDescent="0.3">
      <c r="A166" s="192">
        <v>149</v>
      </c>
      <c r="B166" s="194" t="s">
        <v>294</v>
      </c>
      <c r="C166" s="296" t="s">
        <v>706</v>
      </c>
      <c r="D166" s="193">
        <v>46167</v>
      </c>
      <c r="E166" s="194" t="s">
        <v>1138</v>
      </c>
      <c r="F166" s="296" t="s">
        <v>1139</v>
      </c>
      <c r="G166" s="194" t="s">
        <v>1140</v>
      </c>
      <c r="H166" s="286">
        <v>16300000</v>
      </c>
      <c r="I166" s="192">
        <v>8</v>
      </c>
      <c r="J166" s="286">
        <v>1304000</v>
      </c>
      <c r="K166" s="194" t="s">
        <v>12</v>
      </c>
      <c r="L166" s="194" t="s">
        <v>15</v>
      </c>
      <c r="M166" s="296" t="s">
        <v>982</v>
      </c>
      <c r="N166" s="193">
        <v>46173</v>
      </c>
      <c r="O166" s="193">
        <v>46173</v>
      </c>
      <c r="P166" s="251">
        <v>17604000</v>
      </c>
      <c r="Q166" s="192" t="s">
        <v>10</v>
      </c>
      <c r="R166" s="192" t="s">
        <v>195</v>
      </c>
      <c r="S166" s="194" t="s">
        <v>14</v>
      </c>
      <c r="T166" s="64" t="str">
        <f t="shared" si="12"/>
        <v>Đ</v>
      </c>
      <c r="U166" s="66">
        <f t="shared" si="13"/>
        <v>0</v>
      </c>
      <c r="V166" s="62">
        <f t="shared" si="14"/>
        <v>13311</v>
      </c>
    </row>
    <row r="167" spans="1:24" ht="21.6" hidden="1" x14ac:dyDescent="0.3">
      <c r="A167" s="192">
        <v>150</v>
      </c>
      <c r="B167" s="194" t="s">
        <v>1085</v>
      </c>
      <c r="C167" s="296" t="s">
        <v>1141</v>
      </c>
      <c r="D167" s="193">
        <v>46139</v>
      </c>
      <c r="E167" s="194" t="s">
        <v>1087</v>
      </c>
      <c r="F167" s="296" t="s">
        <v>1088</v>
      </c>
      <c r="G167" s="194" t="s">
        <v>1089</v>
      </c>
      <c r="H167" s="286">
        <v>2037037</v>
      </c>
      <c r="I167" s="192">
        <v>8</v>
      </c>
      <c r="J167" s="286">
        <v>162963</v>
      </c>
      <c r="K167" s="194" t="s">
        <v>12</v>
      </c>
      <c r="L167" s="194" t="s">
        <v>15</v>
      </c>
      <c r="M167" s="296" t="s">
        <v>982</v>
      </c>
      <c r="N167" s="193">
        <v>46173</v>
      </c>
      <c r="O167" s="193">
        <v>46173</v>
      </c>
      <c r="P167" s="251">
        <v>2200000</v>
      </c>
      <c r="Q167" s="192" t="s">
        <v>10</v>
      </c>
      <c r="R167" s="192" t="s">
        <v>195</v>
      </c>
      <c r="S167" s="194" t="s">
        <v>14</v>
      </c>
      <c r="T167" s="64" t="str">
        <f t="shared" si="12"/>
        <v>Đ</v>
      </c>
      <c r="U167" s="66">
        <f t="shared" si="13"/>
        <v>0</v>
      </c>
      <c r="V167" s="62">
        <f t="shared" si="14"/>
        <v>13311</v>
      </c>
    </row>
    <row r="168" spans="1:24" ht="14.4" hidden="1" x14ac:dyDescent="0.3">
      <c r="A168" s="192">
        <v>151</v>
      </c>
      <c r="B168" s="194" t="s">
        <v>1142</v>
      </c>
      <c r="C168" s="296" t="s">
        <v>1143</v>
      </c>
      <c r="D168" s="193">
        <v>46081</v>
      </c>
      <c r="E168" s="194" t="s">
        <v>1144</v>
      </c>
      <c r="F168" s="296" t="s">
        <v>1145</v>
      </c>
      <c r="G168" s="194" t="s">
        <v>1146</v>
      </c>
      <c r="H168" s="286">
        <v>122778</v>
      </c>
      <c r="I168" s="192">
        <v>8</v>
      </c>
      <c r="J168" s="286">
        <v>9822</v>
      </c>
      <c r="K168" s="194" t="s">
        <v>12</v>
      </c>
      <c r="L168" s="194" t="s">
        <v>15</v>
      </c>
      <c r="M168" s="296" t="s">
        <v>982</v>
      </c>
      <c r="N168" s="193">
        <v>46173</v>
      </c>
      <c r="O168" s="193">
        <v>46173</v>
      </c>
      <c r="P168" s="251">
        <v>132600</v>
      </c>
      <c r="Q168" s="192" t="s">
        <v>10</v>
      </c>
      <c r="R168" s="192" t="s">
        <v>195</v>
      </c>
      <c r="S168" s="194" t="s">
        <v>14</v>
      </c>
      <c r="T168" s="64" t="str">
        <f t="shared" si="12"/>
        <v>Đ</v>
      </c>
      <c r="U168" s="66">
        <f t="shared" si="13"/>
        <v>0</v>
      </c>
      <c r="V168" s="62">
        <f t="shared" si="14"/>
        <v>13311</v>
      </c>
    </row>
    <row r="169" spans="1:24" ht="14.4" hidden="1" x14ac:dyDescent="0.3">
      <c r="A169" s="192">
        <v>152</v>
      </c>
      <c r="B169" s="194" t="s">
        <v>1142</v>
      </c>
      <c r="C169" s="296" t="s">
        <v>1147</v>
      </c>
      <c r="D169" s="193">
        <v>46140</v>
      </c>
      <c r="E169" s="194" t="s">
        <v>1148</v>
      </c>
      <c r="F169" s="296" t="s">
        <v>1149</v>
      </c>
      <c r="G169" s="194" t="s">
        <v>1150</v>
      </c>
      <c r="H169" s="286">
        <v>371296</v>
      </c>
      <c r="I169" s="192">
        <v>8</v>
      </c>
      <c r="J169" s="286">
        <v>29704</v>
      </c>
      <c r="K169" s="194" t="s">
        <v>12</v>
      </c>
      <c r="L169" s="194" t="s">
        <v>15</v>
      </c>
      <c r="M169" s="296" t="s">
        <v>982</v>
      </c>
      <c r="N169" s="193">
        <v>46173</v>
      </c>
      <c r="O169" s="193">
        <v>46173</v>
      </c>
      <c r="P169" s="251">
        <v>401000</v>
      </c>
      <c r="Q169" s="192" t="s">
        <v>10</v>
      </c>
      <c r="R169" s="192" t="s">
        <v>195</v>
      </c>
      <c r="S169" s="194" t="s">
        <v>14</v>
      </c>
      <c r="T169" s="64" t="str">
        <f t="shared" si="12"/>
        <v>Đ</v>
      </c>
      <c r="U169" s="66">
        <f t="shared" si="13"/>
        <v>0</v>
      </c>
      <c r="V169" s="62">
        <f t="shared" si="14"/>
        <v>13311</v>
      </c>
    </row>
    <row r="170" spans="1:24" ht="14.4" hidden="1" x14ac:dyDescent="0.3">
      <c r="A170" s="192">
        <v>153</v>
      </c>
      <c r="B170" s="194" t="s">
        <v>862</v>
      </c>
      <c r="C170" s="296" t="s">
        <v>1151</v>
      </c>
      <c r="D170" s="193">
        <v>46140</v>
      </c>
      <c r="E170" s="194" t="s">
        <v>863</v>
      </c>
      <c r="F170" s="296" t="s">
        <v>864</v>
      </c>
      <c r="G170" s="194" t="s">
        <v>865</v>
      </c>
      <c r="H170" s="286">
        <v>577500</v>
      </c>
      <c r="I170" s="192">
        <v>8</v>
      </c>
      <c r="J170" s="286">
        <v>46200</v>
      </c>
      <c r="K170" s="194" t="s">
        <v>12</v>
      </c>
      <c r="L170" s="194" t="s">
        <v>15</v>
      </c>
      <c r="M170" s="296" t="s">
        <v>982</v>
      </c>
      <c r="N170" s="193">
        <v>46173</v>
      </c>
      <c r="O170" s="193">
        <v>46173</v>
      </c>
      <c r="P170" s="251">
        <v>623700</v>
      </c>
      <c r="Q170" s="192" t="s">
        <v>10</v>
      </c>
      <c r="R170" s="192" t="s">
        <v>195</v>
      </c>
      <c r="S170" s="194" t="s">
        <v>14</v>
      </c>
      <c r="T170" s="64" t="str">
        <f t="shared" si="12"/>
        <v>Đ</v>
      </c>
      <c r="U170" s="66">
        <f t="shared" si="13"/>
        <v>0</v>
      </c>
      <c r="V170" s="62">
        <f t="shared" si="14"/>
        <v>13311</v>
      </c>
    </row>
    <row r="171" spans="1:24" ht="21.6" hidden="1" x14ac:dyDescent="0.3">
      <c r="A171" s="192">
        <v>154</v>
      </c>
      <c r="B171" s="194" t="s">
        <v>847</v>
      </c>
      <c r="C171" s="296" t="s">
        <v>1152</v>
      </c>
      <c r="D171" s="193">
        <v>46140</v>
      </c>
      <c r="E171" s="194" t="s">
        <v>1153</v>
      </c>
      <c r="F171" s="296" t="s">
        <v>848</v>
      </c>
      <c r="G171" s="194" t="s">
        <v>1154</v>
      </c>
      <c r="H171" s="286">
        <v>1018519</v>
      </c>
      <c r="I171" s="192">
        <v>8</v>
      </c>
      <c r="J171" s="286">
        <v>81481</v>
      </c>
      <c r="K171" s="194" t="s">
        <v>12</v>
      </c>
      <c r="L171" s="194" t="s">
        <v>15</v>
      </c>
      <c r="M171" s="296" t="s">
        <v>982</v>
      </c>
      <c r="N171" s="193">
        <v>46173</v>
      </c>
      <c r="O171" s="193">
        <v>46173</v>
      </c>
      <c r="P171" s="251">
        <v>1100000</v>
      </c>
      <c r="Q171" s="192" t="s">
        <v>10</v>
      </c>
      <c r="R171" s="192" t="s">
        <v>195</v>
      </c>
      <c r="S171" s="194" t="s">
        <v>14</v>
      </c>
      <c r="T171" s="64" t="str">
        <f t="shared" si="12"/>
        <v>Đ</v>
      </c>
      <c r="U171" s="66">
        <f t="shared" si="13"/>
        <v>1</v>
      </c>
      <c r="V171" s="62">
        <f t="shared" si="14"/>
        <v>13311</v>
      </c>
    </row>
    <row r="172" spans="1:24" s="69" customFormat="1" ht="21.6" hidden="1" x14ac:dyDescent="0.3">
      <c r="A172" s="192">
        <v>155</v>
      </c>
      <c r="B172" s="194" t="s">
        <v>818</v>
      </c>
      <c r="C172" s="296" t="s">
        <v>1155</v>
      </c>
      <c r="D172" s="193">
        <v>46141</v>
      </c>
      <c r="E172" s="194" t="s">
        <v>819</v>
      </c>
      <c r="F172" s="296" t="s">
        <v>820</v>
      </c>
      <c r="G172" s="194" t="s">
        <v>1094</v>
      </c>
      <c r="H172" s="286">
        <v>9055000</v>
      </c>
      <c r="I172" s="192">
        <v>8</v>
      </c>
      <c r="J172" s="286">
        <v>724400</v>
      </c>
      <c r="K172" s="194" t="s">
        <v>12</v>
      </c>
      <c r="L172" s="194" t="s">
        <v>15</v>
      </c>
      <c r="M172" s="296" t="s">
        <v>982</v>
      </c>
      <c r="N172" s="193">
        <v>46173</v>
      </c>
      <c r="O172" s="193">
        <v>46173</v>
      </c>
      <c r="P172" s="251">
        <v>9779400</v>
      </c>
      <c r="Q172" s="192" t="s">
        <v>10</v>
      </c>
      <c r="R172" s="192" t="s">
        <v>195</v>
      </c>
      <c r="S172" s="194" t="s">
        <v>14</v>
      </c>
      <c r="T172" s="64" t="str">
        <f t="shared" si="12"/>
        <v>Đ</v>
      </c>
      <c r="U172" s="66">
        <f t="shared" si="13"/>
        <v>0</v>
      </c>
      <c r="V172" s="62">
        <f t="shared" si="14"/>
        <v>13311</v>
      </c>
      <c r="W172" s="72"/>
      <c r="X172" s="72"/>
    </row>
    <row r="173" spans="1:24" ht="21.6" hidden="1" x14ac:dyDescent="0.3">
      <c r="A173" s="192">
        <v>156</v>
      </c>
      <c r="B173" s="194" t="s">
        <v>818</v>
      </c>
      <c r="C173" s="296" t="s">
        <v>1155</v>
      </c>
      <c r="D173" s="193">
        <v>46141</v>
      </c>
      <c r="E173" s="194" t="s">
        <v>819</v>
      </c>
      <c r="F173" s="296" t="s">
        <v>820</v>
      </c>
      <c r="G173" s="194" t="s">
        <v>1094</v>
      </c>
      <c r="H173" s="286">
        <v>210000</v>
      </c>
      <c r="I173" s="192">
        <v>10</v>
      </c>
      <c r="J173" s="286">
        <v>21000</v>
      </c>
      <c r="K173" s="194" t="s">
        <v>12</v>
      </c>
      <c r="L173" s="194" t="s">
        <v>15</v>
      </c>
      <c r="M173" s="296" t="s">
        <v>982</v>
      </c>
      <c r="N173" s="193">
        <v>46173</v>
      </c>
      <c r="O173" s="193">
        <v>46173</v>
      </c>
      <c r="P173" s="251">
        <v>231000</v>
      </c>
      <c r="Q173" s="192" t="s">
        <v>10</v>
      </c>
      <c r="R173" s="192" t="s">
        <v>195</v>
      </c>
      <c r="S173" s="194" t="s">
        <v>14</v>
      </c>
      <c r="T173" s="64" t="str">
        <f t="shared" si="12"/>
        <v>Đ</v>
      </c>
      <c r="U173" s="66">
        <f t="shared" si="13"/>
        <v>0</v>
      </c>
      <c r="V173" s="62">
        <f t="shared" si="14"/>
        <v>13311</v>
      </c>
    </row>
    <row r="174" spans="1:24" ht="14.4" hidden="1" x14ac:dyDescent="0.3">
      <c r="A174" s="192">
        <v>157</v>
      </c>
      <c r="B174" s="194" t="s">
        <v>291</v>
      </c>
      <c r="C174" s="296" t="s">
        <v>458</v>
      </c>
      <c r="D174" s="193">
        <v>46141</v>
      </c>
      <c r="E174" s="194" t="s">
        <v>834</v>
      </c>
      <c r="F174" s="296" t="s">
        <v>835</v>
      </c>
      <c r="G174" s="194" t="s">
        <v>1127</v>
      </c>
      <c r="H174" s="286">
        <v>234000</v>
      </c>
      <c r="I174" s="192">
        <v>10</v>
      </c>
      <c r="J174" s="286">
        <v>23400</v>
      </c>
      <c r="K174" s="194" t="s">
        <v>12</v>
      </c>
      <c r="L174" s="194" t="s">
        <v>15</v>
      </c>
      <c r="M174" s="296" t="s">
        <v>982</v>
      </c>
      <c r="N174" s="193">
        <v>46173</v>
      </c>
      <c r="O174" s="193">
        <v>46173</v>
      </c>
      <c r="P174" s="251">
        <v>257400</v>
      </c>
      <c r="Q174" s="192" t="s">
        <v>10</v>
      </c>
      <c r="R174" s="192" t="s">
        <v>195</v>
      </c>
      <c r="S174" s="194" t="s">
        <v>14</v>
      </c>
      <c r="T174" s="64" t="str">
        <f t="shared" si="12"/>
        <v>Đ</v>
      </c>
      <c r="U174" s="66">
        <f t="shared" si="13"/>
        <v>0</v>
      </c>
      <c r="V174" s="62">
        <f t="shared" si="14"/>
        <v>13311</v>
      </c>
    </row>
    <row r="175" spans="1:24" ht="14.4" hidden="1" x14ac:dyDescent="0.3">
      <c r="A175" s="192">
        <v>158</v>
      </c>
      <c r="B175" s="194" t="s">
        <v>291</v>
      </c>
      <c r="C175" s="296" t="s">
        <v>458</v>
      </c>
      <c r="D175" s="193">
        <v>46141</v>
      </c>
      <c r="E175" s="194" t="s">
        <v>834</v>
      </c>
      <c r="F175" s="296" t="s">
        <v>835</v>
      </c>
      <c r="G175" s="194" t="s">
        <v>1127</v>
      </c>
      <c r="H175" s="286">
        <v>34908000</v>
      </c>
      <c r="I175" s="192">
        <v>8</v>
      </c>
      <c r="J175" s="286">
        <v>2792640</v>
      </c>
      <c r="K175" s="194" t="s">
        <v>12</v>
      </c>
      <c r="L175" s="194" t="s">
        <v>15</v>
      </c>
      <c r="M175" s="296" t="s">
        <v>982</v>
      </c>
      <c r="N175" s="193">
        <v>46173</v>
      </c>
      <c r="O175" s="193">
        <v>46173</v>
      </c>
      <c r="P175" s="251">
        <v>37700640</v>
      </c>
      <c r="Q175" s="192" t="s">
        <v>10</v>
      </c>
      <c r="R175" s="192" t="s">
        <v>195</v>
      </c>
      <c r="S175" s="194" t="s">
        <v>14</v>
      </c>
      <c r="T175" s="64" t="str">
        <f t="shared" si="12"/>
        <v>Đ</v>
      </c>
      <c r="U175" s="66">
        <f t="shared" si="13"/>
        <v>0</v>
      </c>
      <c r="V175" s="62">
        <f t="shared" si="14"/>
        <v>13311</v>
      </c>
    </row>
    <row r="176" spans="1:24" ht="21.6" hidden="1" x14ac:dyDescent="0.3">
      <c r="A176" s="192">
        <v>159</v>
      </c>
      <c r="B176" s="194" t="s">
        <v>866</v>
      </c>
      <c r="C176" s="296" t="s">
        <v>1156</v>
      </c>
      <c r="D176" s="193">
        <v>46141</v>
      </c>
      <c r="E176" s="194" t="s">
        <v>860</v>
      </c>
      <c r="F176" s="296" t="s">
        <v>861</v>
      </c>
      <c r="G176" s="194" t="s">
        <v>1157</v>
      </c>
      <c r="H176" s="286">
        <v>2984259</v>
      </c>
      <c r="I176" s="192">
        <v>8</v>
      </c>
      <c r="J176" s="286">
        <v>238742</v>
      </c>
      <c r="K176" s="194" t="s">
        <v>12</v>
      </c>
      <c r="L176" s="194" t="s">
        <v>15</v>
      </c>
      <c r="M176" s="296" t="s">
        <v>982</v>
      </c>
      <c r="N176" s="193">
        <v>46173</v>
      </c>
      <c r="O176" s="193">
        <v>46173</v>
      </c>
      <c r="P176" s="251">
        <v>3223001</v>
      </c>
      <c r="Q176" s="192" t="s">
        <v>10</v>
      </c>
      <c r="R176" s="192" t="s">
        <v>195</v>
      </c>
      <c r="S176" s="194" t="s">
        <v>14</v>
      </c>
      <c r="T176" s="64" t="str">
        <f t="shared" si="12"/>
        <v>Đ</v>
      </c>
      <c r="U176" s="66">
        <f t="shared" si="13"/>
        <v>-1</v>
      </c>
      <c r="V176" s="62">
        <f t="shared" si="14"/>
        <v>13311</v>
      </c>
    </row>
    <row r="177" spans="1:22" ht="14.4" hidden="1" x14ac:dyDescent="0.3">
      <c r="A177" s="192">
        <v>160</v>
      </c>
      <c r="B177" s="194" t="s">
        <v>830</v>
      </c>
      <c r="C177" s="296" t="s">
        <v>1158</v>
      </c>
      <c r="D177" s="193">
        <v>46141</v>
      </c>
      <c r="E177" s="194" t="s">
        <v>1159</v>
      </c>
      <c r="F177" s="296" t="s">
        <v>833</v>
      </c>
      <c r="G177" s="194" t="s">
        <v>865</v>
      </c>
      <c r="H177" s="286">
        <v>570000</v>
      </c>
      <c r="I177" s="192">
        <v>10</v>
      </c>
      <c r="J177" s="286">
        <v>57000</v>
      </c>
      <c r="K177" s="194" t="s">
        <v>12</v>
      </c>
      <c r="L177" s="194" t="s">
        <v>15</v>
      </c>
      <c r="M177" s="296" t="s">
        <v>982</v>
      </c>
      <c r="N177" s="193">
        <v>46173</v>
      </c>
      <c r="O177" s="193">
        <v>46173</v>
      </c>
      <c r="P177" s="251">
        <v>627000</v>
      </c>
      <c r="Q177" s="192" t="s">
        <v>10</v>
      </c>
      <c r="R177" s="192" t="s">
        <v>195</v>
      </c>
      <c r="S177" s="194" t="s">
        <v>14</v>
      </c>
      <c r="T177" s="64" t="str">
        <f t="shared" si="12"/>
        <v>Đ</v>
      </c>
      <c r="U177" s="66">
        <f t="shared" si="13"/>
        <v>0</v>
      </c>
      <c r="V177" s="62">
        <f t="shared" si="14"/>
        <v>13311</v>
      </c>
    </row>
    <row r="178" spans="1:22" ht="21.6" hidden="1" x14ac:dyDescent="0.3">
      <c r="A178" s="192">
        <v>161</v>
      </c>
      <c r="B178" s="194" t="s">
        <v>876</v>
      </c>
      <c r="C178" s="296" t="s">
        <v>1160</v>
      </c>
      <c r="D178" s="193">
        <v>46141</v>
      </c>
      <c r="E178" s="194" t="s">
        <v>877</v>
      </c>
      <c r="F178" s="296" t="s">
        <v>878</v>
      </c>
      <c r="G178" s="194" t="s">
        <v>1074</v>
      </c>
      <c r="H178" s="286">
        <v>812778</v>
      </c>
      <c r="I178" s="192">
        <v>8</v>
      </c>
      <c r="J178" s="286">
        <v>65022</v>
      </c>
      <c r="K178" s="194" t="s">
        <v>12</v>
      </c>
      <c r="L178" s="194" t="s">
        <v>15</v>
      </c>
      <c r="M178" s="296" t="s">
        <v>982</v>
      </c>
      <c r="N178" s="193">
        <v>46173</v>
      </c>
      <c r="O178" s="193">
        <v>46173</v>
      </c>
      <c r="P178" s="251">
        <v>877800</v>
      </c>
      <c r="Q178" s="192" t="s">
        <v>10</v>
      </c>
      <c r="R178" s="192" t="s">
        <v>195</v>
      </c>
      <c r="S178" s="194" t="s">
        <v>14</v>
      </c>
      <c r="T178" s="64" t="str">
        <f t="shared" si="12"/>
        <v>Đ</v>
      </c>
      <c r="U178" s="66">
        <f t="shared" si="13"/>
        <v>0</v>
      </c>
      <c r="V178" s="62">
        <f t="shared" si="14"/>
        <v>13311</v>
      </c>
    </row>
    <row r="179" spans="1:22" ht="21.6" hidden="1" x14ac:dyDescent="0.3">
      <c r="A179" s="192">
        <v>162</v>
      </c>
      <c r="B179" s="194" t="s">
        <v>876</v>
      </c>
      <c r="C179" s="296" t="s">
        <v>1161</v>
      </c>
      <c r="D179" s="193">
        <v>46141</v>
      </c>
      <c r="E179" s="194" t="s">
        <v>877</v>
      </c>
      <c r="F179" s="296" t="s">
        <v>878</v>
      </c>
      <c r="G179" s="194" t="s">
        <v>1074</v>
      </c>
      <c r="H179" s="286">
        <v>812778</v>
      </c>
      <c r="I179" s="192">
        <v>8</v>
      </c>
      <c r="J179" s="286">
        <v>65022</v>
      </c>
      <c r="K179" s="194" t="s">
        <v>12</v>
      </c>
      <c r="L179" s="194" t="s">
        <v>15</v>
      </c>
      <c r="M179" s="296" t="s">
        <v>982</v>
      </c>
      <c r="N179" s="193">
        <v>46173</v>
      </c>
      <c r="O179" s="193">
        <v>46173</v>
      </c>
      <c r="P179" s="251">
        <v>877800</v>
      </c>
      <c r="Q179" s="192" t="s">
        <v>10</v>
      </c>
      <c r="R179" s="192" t="s">
        <v>195</v>
      </c>
      <c r="S179" s="194" t="s">
        <v>14</v>
      </c>
      <c r="T179" s="64" t="str">
        <f t="shared" si="12"/>
        <v>Đ</v>
      </c>
      <c r="U179" s="66">
        <f t="shared" si="13"/>
        <v>0</v>
      </c>
      <c r="V179" s="62">
        <f t="shared" si="14"/>
        <v>13311</v>
      </c>
    </row>
    <row r="180" spans="1:22" ht="21.6" hidden="1" x14ac:dyDescent="0.3">
      <c r="A180" s="192">
        <v>163</v>
      </c>
      <c r="B180" s="194" t="s">
        <v>876</v>
      </c>
      <c r="C180" s="296" t="s">
        <v>1162</v>
      </c>
      <c r="D180" s="193">
        <v>46141</v>
      </c>
      <c r="E180" s="194" t="s">
        <v>877</v>
      </c>
      <c r="F180" s="296" t="s">
        <v>878</v>
      </c>
      <c r="G180" s="194" t="s">
        <v>1074</v>
      </c>
      <c r="H180" s="286">
        <v>812778</v>
      </c>
      <c r="I180" s="192">
        <v>8</v>
      </c>
      <c r="J180" s="286">
        <v>65022</v>
      </c>
      <c r="K180" s="194" t="s">
        <v>12</v>
      </c>
      <c r="L180" s="194" t="s">
        <v>15</v>
      </c>
      <c r="M180" s="296" t="s">
        <v>982</v>
      </c>
      <c r="N180" s="193">
        <v>46173</v>
      </c>
      <c r="O180" s="193">
        <v>46173</v>
      </c>
      <c r="P180" s="251">
        <v>877800</v>
      </c>
      <c r="Q180" s="192" t="s">
        <v>10</v>
      </c>
      <c r="R180" s="192" t="s">
        <v>195</v>
      </c>
      <c r="S180" s="194" t="s">
        <v>14</v>
      </c>
      <c r="T180" s="64" t="str">
        <f t="shared" si="12"/>
        <v>Đ</v>
      </c>
      <c r="U180" s="66">
        <f t="shared" si="13"/>
        <v>0</v>
      </c>
      <c r="V180" s="62">
        <f t="shared" si="14"/>
        <v>13311</v>
      </c>
    </row>
    <row r="181" spans="1:22" ht="21.6" hidden="1" x14ac:dyDescent="0.3">
      <c r="A181" s="192">
        <v>164</v>
      </c>
      <c r="B181" s="194" t="s">
        <v>876</v>
      </c>
      <c r="C181" s="296" t="s">
        <v>1163</v>
      </c>
      <c r="D181" s="193">
        <v>46141</v>
      </c>
      <c r="E181" s="194" t="s">
        <v>877</v>
      </c>
      <c r="F181" s="296" t="s">
        <v>878</v>
      </c>
      <c r="G181" s="194" t="s">
        <v>1074</v>
      </c>
      <c r="H181" s="286">
        <v>406389</v>
      </c>
      <c r="I181" s="192">
        <v>8</v>
      </c>
      <c r="J181" s="286">
        <v>32511</v>
      </c>
      <c r="K181" s="194" t="s">
        <v>12</v>
      </c>
      <c r="L181" s="194" t="s">
        <v>15</v>
      </c>
      <c r="M181" s="296" t="s">
        <v>982</v>
      </c>
      <c r="N181" s="193">
        <v>46173</v>
      </c>
      <c r="O181" s="193">
        <v>46173</v>
      </c>
      <c r="P181" s="251">
        <v>438900</v>
      </c>
      <c r="Q181" s="192" t="s">
        <v>10</v>
      </c>
      <c r="R181" s="192" t="s">
        <v>195</v>
      </c>
      <c r="S181" s="194" t="s">
        <v>14</v>
      </c>
      <c r="T181" s="64" t="str">
        <f t="shared" si="12"/>
        <v>Đ</v>
      </c>
      <c r="U181" s="66">
        <f t="shared" si="13"/>
        <v>0</v>
      </c>
      <c r="V181" s="62">
        <f t="shared" si="14"/>
        <v>13311</v>
      </c>
    </row>
    <row r="182" spans="1:22" ht="21.6" hidden="1" x14ac:dyDescent="0.3">
      <c r="A182" s="192">
        <v>165</v>
      </c>
      <c r="B182" s="194" t="s">
        <v>876</v>
      </c>
      <c r="C182" s="296" t="s">
        <v>1164</v>
      </c>
      <c r="D182" s="193">
        <v>46141</v>
      </c>
      <c r="E182" s="194" t="s">
        <v>877</v>
      </c>
      <c r="F182" s="296" t="s">
        <v>878</v>
      </c>
      <c r="G182" s="194" t="s">
        <v>1074</v>
      </c>
      <c r="H182" s="286">
        <v>406389</v>
      </c>
      <c r="I182" s="192">
        <v>8</v>
      </c>
      <c r="J182" s="286">
        <v>32511</v>
      </c>
      <c r="K182" s="194" t="s">
        <v>12</v>
      </c>
      <c r="L182" s="194" t="s">
        <v>15</v>
      </c>
      <c r="M182" s="296" t="s">
        <v>982</v>
      </c>
      <c r="N182" s="193">
        <v>46173</v>
      </c>
      <c r="O182" s="193">
        <v>46173</v>
      </c>
      <c r="P182" s="251">
        <v>438900</v>
      </c>
      <c r="Q182" s="192" t="s">
        <v>10</v>
      </c>
      <c r="R182" s="192" t="s">
        <v>195</v>
      </c>
      <c r="S182" s="194" t="s">
        <v>14</v>
      </c>
      <c r="T182" s="64" t="str">
        <f t="shared" si="12"/>
        <v>Đ</v>
      </c>
      <c r="U182" s="66">
        <f t="shared" si="13"/>
        <v>0</v>
      </c>
      <c r="V182" s="62">
        <f t="shared" si="14"/>
        <v>13311</v>
      </c>
    </row>
    <row r="183" spans="1:22" ht="21.6" hidden="1" x14ac:dyDescent="0.3">
      <c r="A183" s="192">
        <v>166</v>
      </c>
      <c r="B183" s="194" t="s">
        <v>876</v>
      </c>
      <c r="C183" s="296" t="s">
        <v>1165</v>
      </c>
      <c r="D183" s="193">
        <v>46141</v>
      </c>
      <c r="E183" s="194" t="s">
        <v>877</v>
      </c>
      <c r="F183" s="296" t="s">
        <v>878</v>
      </c>
      <c r="G183" s="194" t="s">
        <v>1074</v>
      </c>
      <c r="H183" s="286">
        <v>406389</v>
      </c>
      <c r="I183" s="192">
        <v>8</v>
      </c>
      <c r="J183" s="286">
        <v>32511</v>
      </c>
      <c r="K183" s="194" t="s">
        <v>12</v>
      </c>
      <c r="L183" s="194" t="s">
        <v>15</v>
      </c>
      <c r="M183" s="296" t="s">
        <v>982</v>
      </c>
      <c r="N183" s="193">
        <v>46173</v>
      </c>
      <c r="O183" s="193">
        <v>46173</v>
      </c>
      <c r="P183" s="251">
        <v>438900</v>
      </c>
      <c r="Q183" s="192" t="s">
        <v>10</v>
      </c>
      <c r="R183" s="192" t="s">
        <v>195</v>
      </c>
      <c r="S183" s="194" t="s">
        <v>14</v>
      </c>
      <c r="T183" s="64" t="str">
        <f t="shared" si="12"/>
        <v>Đ</v>
      </c>
      <c r="U183" s="66">
        <f t="shared" si="13"/>
        <v>0</v>
      </c>
      <c r="V183" s="62">
        <f t="shared" si="14"/>
        <v>13311</v>
      </c>
    </row>
    <row r="184" spans="1:22" ht="21.6" hidden="1" x14ac:dyDescent="0.3">
      <c r="A184" s="192">
        <v>167</v>
      </c>
      <c r="B184" s="194" t="s">
        <v>876</v>
      </c>
      <c r="C184" s="296" t="s">
        <v>1166</v>
      </c>
      <c r="D184" s="193">
        <v>46141</v>
      </c>
      <c r="E184" s="194" t="s">
        <v>877</v>
      </c>
      <c r="F184" s="296" t="s">
        <v>878</v>
      </c>
      <c r="G184" s="194" t="s">
        <v>1074</v>
      </c>
      <c r="H184" s="286">
        <v>406389</v>
      </c>
      <c r="I184" s="192">
        <v>8</v>
      </c>
      <c r="J184" s="286">
        <v>32511</v>
      </c>
      <c r="K184" s="194" t="s">
        <v>12</v>
      </c>
      <c r="L184" s="194" t="s">
        <v>15</v>
      </c>
      <c r="M184" s="296" t="s">
        <v>982</v>
      </c>
      <c r="N184" s="193">
        <v>46173</v>
      </c>
      <c r="O184" s="193">
        <v>46173</v>
      </c>
      <c r="P184" s="251">
        <v>438900</v>
      </c>
      <c r="Q184" s="192" t="s">
        <v>10</v>
      </c>
      <c r="R184" s="192" t="s">
        <v>195</v>
      </c>
      <c r="S184" s="194" t="s">
        <v>14</v>
      </c>
      <c r="T184" s="64" t="str">
        <f t="shared" si="12"/>
        <v>Đ</v>
      </c>
      <c r="U184" s="66">
        <f t="shared" si="13"/>
        <v>0</v>
      </c>
      <c r="V184" s="62">
        <f t="shared" si="14"/>
        <v>13311</v>
      </c>
    </row>
    <row r="185" spans="1:22" ht="14.4" hidden="1" x14ac:dyDescent="0.3">
      <c r="A185" s="192">
        <v>168</v>
      </c>
      <c r="B185" s="194" t="s">
        <v>1167</v>
      </c>
      <c r="C185" s="296" t="s">
        <v>1168</v>
      </c>
      <c r="D185" s="193">
        <v>46111</v>
      </c>
      <c r="E185" s="194" t="s">
        <v>436</v>
      </c>
      <c r="F185" s="296" t="s">
        <v>437</v>
      </c>
      <c r="G185" s="194" t="s">
        <v>1169</v>
      </c>
      <c r="H185" s="286">
        <v>14550000</v>
      </c>
      <c r="I185" s="192">
        <v>8</v>
      </c>
      <c r="J185" s="286">
        <v>1164000</v>
      </c>
      <c r="K185" s="194" t="s">
        <v>12</v>
      </c>
      <c r="L185" s="194" t="s">
        <v>15</v>
      </c>
      <c r="M185" s="296" t="s">
        <v>982</v>
      </c>
      <c r="N185" s="193">
        <v>46173</v>
      </c>
      <c r="O185" s="193">
        <v>46173</v>
      </c>
      <c r="P185" s="251">
        <v>15714000</v>
      </c>
      <c r="Q185" s="192" t="s">
        <v>10</v>
      </c>
      <c r="R185" s="192" t="s">
        <v>195</v>
      </c>
      <c r="S185" s="194" t="s">
        <v>14</v>
      </c>
      <c r="T185" s="64" t="str">
        <f t="shared" si="12"/>
        <v>Đ</v>
      </c>
      <c r="U185" s="66">
        <f t="shared" si="13"/>
        <v>0</v>
      </c>
      <c r="V185" s="62">
        <f t="shared" si="14"/>
        <v>13311</v>
      </c>
    </row>
    <row r="186" spans="1:22" ht="14.4" hidden="1" x14ac:dyDescent="0.3">
      <c r="A186" s="192">
        <v>169</v>
      </c>
      <c r="B186" s="194" t="s">
        <v>1142</v>
      </c>
      <c r="C186" s="296" t="s">
        <v>1170</v>
      </c>
      <c r="D186" s="193">
        <v>46142</v>
      </c>
      <c r="E186" s="194" t="s">
        <v>1144</v>
      </c>
      <c r="F186" s="296" t="s">
        <v>1145</v>
      </c>
      <c r="G186" s="194" t="s">
        <v>1146</v>
      </c>
      <c r="H186" s="286">
        <v>335609</v>
      </c>
      <c r="I186" s="192">
        <v>8</v>
      </c>
      <c r="J186" s="286">
        <v>26849</v>
      </c>
      <c r="K186" s="194" t="s">
        <v>12</v>
      </c>
      <c r="L186" s="194" t="s">
        <v>15</v>
      </c>
      <c r="M186" s="296" t="s">
        <v>982</v>
      </c>
      <c r="N186" s="193">
        <v>46173</v>
      </c>
      <c r="O186" s="193">
        <v>46173</v>
      </c>
      <c r="P186" s="251">
        <v>362458</v>
      </c>
      <c r="Q186" s="192" t="s">
        <v>10</v>
      </c>
      <c r="R186" s="192" t="s">
        <v>195</v>
      </c>
      <c r="S186" s="194" t="s">
        <v>14</v>
      </c>
      <c r="T186" s="64" t="str">
        <f t="shared" si="12"/>
        <v>Đ</v>
      </c>
      <c r="U186" s="66">
        <f t="shared" si="13"/>
        <v>0</v>
      </c>
      <c r="V186" s="62">
        <f t="shared" si="14"/>
        <v>13311</v>
      </c>
    </row>
    <row r="187" spans="1:22" ht="14.4" hidden="1" x14ac:dyDescent="0.3">
      <c r="A187" s="192">
        <v>170</v>
      </c>
      <c r="B187" s="194" t="s">
        <v>610</v>
      </c>
      <c r="C187" s="296" t="s">
        <v>1171</v>
      </c>
      <c r="D187" s="193">
        <v>46142</v>
      </c>
      <c r="E187" s="194" t="s">
        <v>871</v>
      </c>
      <c r="F187" s="296" t="s">
        <v>872</v>
      </c>
      <c r="G187" s="194" t="s">
        <v>1172</v>
      </c>
      <c r="H187" s="286">
        <v>6944444</v>
      </c>
      <c r="I187" s="192">
        <v>8</v>
      </c>
      <c r="J187" s="286">
        <v>555556</v>
      </c>
      <c r="K187" s="194" t="s">
        <v>12</v>
      </c>
      <c r="L187" s="194" t="s">
        <v>15</v>
      </c>
      <c r="M187" s="296" t="s">
        <v>982</v>
      </c>
      <c r="N187" s="193">
        <v>46173</v>
      </c>
      <c r="O187" s="193">
        <v>46173</v>
      </c>
      <c r="P187" s="251">
        <v>7500000</v>
      </c>
      <c r="Q187" s="192" t="s">
        <v>10</v>
      </c>
      <c r="R187" s="192" t="s">
        <v>195</v>
      </c>
      <c r="S187" s="194" t="s">
        <v>14</v>
      </c>
      <c r="T187" s="64" t="str">
        <f t="shared" si="12"/>
        <v>Đ</v>
      </c>
      <c r="U187" s="66">
        <f t="shared" si="13"/>
        <v>0</v>
      </c>
      <c r="V187" s="62">
        <f t="shared" si="14"/>
        <v>13311</v>
      </c>
    </row>
    <row r="188" spans="1:22" ht="14.4" hidden="1" x14ac:dyDescent="0.3">
      <c r="A188" s="192">
        <v>171</v>
      </c>
      <c r="B188" s="194" t="s">
        <v>610</v>
      </c>
      <c r="C188" s="296" t="s">
        <v>1173</v>
      </c>
      <c r="D188" s="193">
        <v>46142</v>
      </c>
      <c r="E188" s="194" t="s">
        <v>871</v>
      </c>
      <c r="F188" s="296" t="s">
        <v>872</v>
      </c>
      <c r="G188" s="194" t="s">
        <v>1174</v>
      </c>
      <c r="H188" s="286">
        <v>12500000</v>
      </c>
      <c r="I188" s="192">
        <v>8</v>
      </c>
      <c r="J188" s="286">
        <v>1000000</v>
      </c>
      <c r="K188" s="194" t="s">
        <v>12</v>
      </c>
      <c r="L188" s="194" t="s">
        <v>15</v>
      </c>
      <c r="M188" s="296" t="s">
        <v>982</v>
      </c>
      <c r="N188" s="193">
        <v>46173</v>
      </c>
      <c r="O188" s="193">
        <v>46173</v>
      </c>
      <c r="P188" s="251">
        <v>13500000</v>
      </c>
      <c r="Q188" s="192" t="s">
        <v>10</v>
      </c>
      <c r="R188" s="192" t="s">
        <v>195</v>
      </c>
      <c r="S188" s="194" t="s">
        <v>14</v>
      </c>
      <c r="T188" s="64" t="str">
        <f t="shared" si="12"/>
        <v>Đ</v>
      </c>
      <c r="U188" s="66">
        <f t="shared" si="13"/>
        <v>0</v>
      </c>
      <c r="V188" s="62">
        <f t="shared" si="14"/>
        <v>13311</v>
      </c>
    </row>
    <row r="189" spans="1:22" ht="14.4" hidden="1" x14ac:dyDescent="0.3">
      <c r="A189" s="192">
        <v>172</v>
      </c>
      <c r="B189" s="194" t="s">
        <v>291</v>
      </c>
      <c r="C189" s="296" t="s">
        <v>1175</v>
      </c>
      <c r="D189" s="193">
        <v>46142</v>
      </c>
      <c r="E189" s="194" t="s">
        <v>834</v>
      </c>
      <c r="F189" s="296" t="s">
        <v>835</v>
      </c>
      <c r="G189" s="194" t="s">
        <v>1094</v>
      </c>
      <c r="H189" s="286">
        <v>55454</v>
      </c>
      <c r="I189" s="192">
        <v>10</v>
      </c>
      <c r="J189" s="286">
        <v>5546</v>
      </c>
      <c r="K189" s="194" t="s">
        <v>12</v>
      </c>
      <c r="L189" s="194" t="s">
        <v>15</v>
      </c>
      <c r="M189" s="296" t="s">
        <v>982</v>
      </c>
      <c r="N189" s="193">
        <v>46173</v>
      </c>
      <c r="O189" s="193">
        <v>46173</v>
      </c>
      <c r="P189" s="251">
        <v>61000</v>
      </c>
      <c r="Q189" s="192" t="s">
        <v>10</v>
      </c>
      <c r="R189" s="192" t="s">
        <v>195</v>
      </c>
      <c r="S189" s="194" t="s">
        <v>14</v>
      </c>
      <c r="T189" s="64" t="str">
        <f t="shared" si="12"/>
        <v>Đ</v>
      </c>
      <c r="U189" s="66">
        <f t="shared" si="13"/>
        <v>-1</v>
      </c>
      <c r="V189" s="62">
        <f t="shared" si="14"/>
        <v>13311</v>
      </c>
    </row>
    <row r="190" spans="1:22" ht="14.4" hidden="1" x14ac:dyDescent="0.3">
      <c r="A190" s="192">
        <v>173</v>
      </c>
      <c r="B190" s="194" t="s">
        <v>291</v>
      </c>
      <c r="C190" s="296" t="s">
        <v>1175</v>
      </c>
      <c r="D190" s="193">
        <v>46142</v>
      </c>
      <c r="E190" s="194" t="s">
        <v>834</v>
      </c>
      <c r="F190" s="296" t="s">
        <v>835</v>
      </c>
      <c r="G190" s="194" t="s">
        <v>1094</v>
      </c>
      <c r="H190" s="286">
        <v>2724075</v>
      </c>
      <c r="I190" s="192">
        <v>8</v>
      </c>
      <c r="J190" s="286">
        <v>217925</v>
      </c>
      <c r="K190" s="194" t="s">
        <v>12</v>
      </c>
      <c r="L190" s="194" t="s">
        <v>15</v>
      </c>
      <c r="M190" s="296" t="s">
        <v>982</v>
      </c>
      <c r="N190" s="193">
        <v>46173</v>
      </c>
      <c r="O190" s="193">
        <v>46173</v>
      </c>
      <c r="P190" s="251">
        <v>2942000</v>
      </c>
      <c r="Q190" s="192" t="s">
        <v>10</v>
      </c>
      <c r="R190" s="192" t="s">
        <v>195</v>
      </c>
      <c r="S190" s="194" t="s">
        <v>14</v>
      </c>
      <c r="T190" s="64" t="str">
        <f t="shared" si="12"/>
        <v>Đ</v>
      </c>
      <c r="U190" s="66">
        <f t="shared" si="13"/>
        <v>1</v>
      </c>
      <c r="V190" s="62">
        <f t="shared" si="14"/>
        <v>13311</v>
      </c>
    </row>
    <row r="191" spans="1:22" ht="14.4" hidden="1" x14ac:dyDescent="0.3">
      <c r="A191" s="192">
        <v>174</v>
      </c>
      <c r="B191" s="194" t="s">
        <v>1176</v>
      </c>
      <c r="C191" s="296" t="s">
        <v>1177</v>
      </c>
      <c r="D191" s="193">
        <v>46053</v>
      </c>
      <c r="E191" s="194" t="s">
        <v>1178</v>
      </c>
      <c r="F191" s="296" t="s">
        <v>1179</v>
      </c>
      <c r="G191" s="194" t="s">
        <v>1180</v>
      </c>
      <c r="H191" s="286">
        <v>40000000</v>
      </c>
      <c r="I191" s="192">
        <v>8</v>
      </c>
      <c r="J191" s="286">
        <v>3200000</v>
      </c>
      <c r="K191" s="194" t="s">
        <v>12</v>
      </c>
      <c r="L191" s="194" t="s">
        <v>15</v>
      </c>
      <c r="M191" s="296" t="s">
        <v>982</v>
      </c>
      <c r="N191" s="193">
        <v>46173</v>
      </c>
      <c r="O191" s="193">
        <v>46173</v>
      </c>
      <c r="P191" s="251">
        <v>43200000</v>
      </c>
      <c r="Q191" s="192" t="s">
        <v>10</v>
      </c>
      <c r="R191" s="192" t="s">
        <v>195</v>
      </c>
      <c r="S191" s="194" t="s">
        <v>14</v>
      </c>
      <c r="T191" s="64" t="str">
        <f t="shared" si="12"/>
        <v>Đ</v>
      </c>
      <c r="U191" s="66">
        <f t="shared" si="13"/>
        <v>0</v>
      </c>
      <c r="V191" s="62">
        <f t="shared" si="14"/>
        <v>13311</v>
      </c>
    </row>
    <row r="192" spans="1:22" ht="14.4" hidden="1" x14ac:dyDescent="0.3">
      <c r="A192" s="192">
        <v>175</v>
      </c>
      <c r="B192" s="194" t="s">
        <v>1142</v>
      </c>
      <c r="C192" s="296" t="s">
        <v>1181</v>
      </c>
      <c r="D192" s="193">
        <v>46053</v>
      </c>
      <c r="E192" s="194" t="s">
        <v>1144</v>
      </c>
      <c r="F192" s="296" t="s">
        <v>1145</v>
      </c>
      <c r="G192" s="194" t="s">
        <v>1146</v>
      </c>
      <c r="H192" s="286">
        <v>486667</v>
      </c>
      <c r="I192" s="192">
        <v>8</v>
      </c>
      <c r="J192" s="286">
        <v>38933</v>
      </c>
      <c r="K192" s="194" t="s">
        <v>12</v>
      </c>
      <c r="L192" s="194" t="s">
        <v>15</v>
      </c>
      <c r="M192" s="296" t="s">
        <v>982</v>
      </c>
      <c r="N192" s="193">
        <v>46173</v>
      </c>
      <c r="O192" s="193">
        <v>46173</v>
      </c>
      <c r="P192" s="251">
        <v>525600</v>
      </c>
      <c r="Q192" s="192" t="s">
        <v>10</v>
      </c>
      <c r="R192" s="192" t="s">
        <v>195</v>
      </c>
      <c r="S192" s="194" t="s">
        <v>14</v>
      </c>
      <c r="T192" s="64" t="str">
        <f t="shared" si="12"/>
        <v>Đ</v>
      </c>
      <c r="U192" s="66">
        <f t="shared" si="13"/>
        <v>0</v>
      </c>
      <c r="V192" s="62">
        <f t="shared" si="14"/>
        <v>13311</v>
      </c>
    </row>
    <row r="193" spans="1:22" ht="14.4" hidden="1" x14ac:dyDescent="0.3">
      <c r="A193" s="192">
        <v>176</v>
      </c>
      <c r="B193" s="194" t="s">
        <v>1142</v>
      </c>
      <c r="C193" s="296" t="s">
        <v>1182</v>
      </c>
      <c r="D193" s="193">
        <v>46112</v>
      </c>
      <c r="E193" s="194" t="s">
        <v>1144</v>
      </c>
      <c r="F193" s="296" t="s">
        <v>1145</v>
      </c>
      <c r="G193" s="194" t="s">
        <v>1146</v>
      </c>
      <c r="H193" s="286">
        <v>248571</v>
      </c>
      <c r="I193" s="192">
        <v>8</v>
      </c>
      <c r="J193" s="286">
        <v>19886</v>
      </c>
      <c r="K193" s="194" t="s">
        <v>12</v>
      </c>
      <c r="L193" s="194" t="s">
        <v>15</v>
      </c>
      <c r="M193" s="296" t="s">
        <v>982</v>
      </c>
      <c r="N193" s="193">
        <v>46173</v>
      </c>
      <c r="O193" s="193">
        <v>46173</v>
      </c>
      <c r="P193" s="251">
        <v>268457</v>
      </c>
      <c r="Q193" s="192" t="s">
        <v>10</v>
      </c>
      <c r="R193" s="192" t="s">
        <v>195</v>
      </c>
      <c r="S193" s="194" t="s">
        <v>14</v>
      </c>
      <c r="T193" s="64" t="str">
        <f t="shared" si="12"/>
        <v>Đ</v>
      </c>
      <c r="U193" s="66">
        <f t="shared" si="13"/>
        <v>0</v>
      </c>
      <c r="V193" s="62">
        <f t="shared" si="14"/>
        <v>13311</v>
      </c>
    </row>
    <row r="194" spans="1:22" ht="14.4" hidden="1" x14ac:dyDescent="0.3">
      <c r="A194" s="192">
        <v>177</v>
      </c>
      <c r="B194" s="194" t="s">
        <v>463</v>
      </c>
      <c r="C194" s="296" t="s">
        <v>709</v>
      </c>
      <c r="D194" s="193">
        <v>46112</v>
      </c>
      <c r="E194" s="194" t="s">
        <v>1183</v>
      </c>
      <c r="F194" s="296" t="s">
        <v>1184</v>
      </c>
      <c r="G194" s="194" t="s">
        <v>1185</v>
      </c>
      <c r="H194" s="286">
        <v>22222222</v>
      </c>
      <c r="I194" s="192">
        <v>8</v>
      </c>
      <c r="J194" s="286">
        <v>1777778</v>
      </c>
      <c r="K194" s="194" t="s">
        <v>12</v>
      </c>
      <c r="L194" s="194" t="s">
        <v>15</v>
      </c>
      <c r="M194" s="296" t="s">
        <v>982</v>
      </c>
      <c r="N194" s="193">
        <v>46173</v>
      </c>
      <c r="O194" s="193">
        <v>46173</v>
      </c>
      <c r="P194" s="251">
        <v>24000000</v>
      </c>
      <c r="Q194" s="192" t="s">
        <v>10</v>
      </c>
      <c r="R194" s="192" t="s">
        <v>195</v>
      </c>
      <c r="S194" s="194" t="s">
        <v>14</v>
      </c>
      <c r="T194" s="64" t="str">
        <f t="shared" si="12"/>
        <v>Đ</v>
      </c>
      <c r="U194" s="66">
        <f t="shared" si="13"/>
        <v>0</v>
      </c>
      <c r="V194" s="62">
        <f t="shared" si="14"/>
        <v>13311</v>
      </c>
    </row>
    <row r="195" spans="1:22" ht="21.6" hidden="1" x14ac:dyDescent="0.3">
      <c r="A195" s="192">
        <v>178</v>
      </c>
      <c r="B195" s="194" t="s">
        <v>294</v>
      </c>
      <c r="C195" s="296" t="s">
        <v>447</v>
      </c>
      <c r="D195" s="193">
        <v>46112</v>
      </c>
      <c r="E195" s="194" t="s">
        <v>306</v>
      </c>
      <c r="F195" s="296" t="s">
        <v>307</v>
      </c>
      <c r="G195" s="194" t="s">
        <v>1186</v>
      </c>
      <c r="H195" s="286">
        <v>1163631</v>
      </c>
      <c r="I195" s="192">
        <v>8</v>
      </c>
      <c r="J195" s="286">
        <v>93090</v>
      </c>
      <c r="K195" s="194" t="s">
        <v>12</v>
      </c>
      <c r="L195" s="194" t="s">
        <v>15</v>
      </c>
      <c r="M195" s="296" t="s">
        <v>982</v>
      </c>
      <c r="N195" s="193">
        <v>46173</v>
      </c>
      <c r="O195" s="193">
        <v>46173</v>
      </c>
      <c r="P195" s="251">
        <v>1256721</v>
      </c>
      <c r="Q195" s="192" t="s">
        <v>10</v>
      </c>
      <c r="R195" s="192" t="s">
        <v>195</v>
      </c>
      <c r="S195" s="194" t="s">
        <v>14</v>
      </c>
      <c r="T195" s="64" t="str">
        <f t="shared" si="12"/>
        <v>Đ</v>
      </c>
      <c r="U195" s="66">
        <f t="shared" si="13"/>
        <v>0</v>
      </c>
      <c r="V195" s="62">
        <f t="shared" si="14"/>
        <v>13311</v>
      </c>
    </row>
    <row r="196" spans="1:22" ht="21.6" hidden="1" x14ac:dyDescent="0.3">
      <c r="A196" s="192">
        <v>179</v>
      </c>
      <c r="B196" s="194" t="s">
        <v>601</v>
      </c>
      <c r="C196" s="296" t="s">
        <v>1187</v>
      </c>
      <c r="D196" s="193">
        <v>46118</v>
      </c>
      <c r="E196" s="194" t="s">
        <v>1188</v>
      </c>
      <c r="F196" s="296" t="s">
        <v>1189</v>
      </c>
      <c r="G196" s="194" t="s">
        <v>1190</v>
      </c>
      <c r="H196" s="286">
        <v>25125000</v>
      </c>
      <c r="I196" s="192">
        <v>10</v>
      </c>
      <c r="J196" s="286">
        <v>2512500</v>
      </c>
      <c r="K196" s="194" t="s">
        <v>1191</v>
      </c>
      <c r="L196" s="194" t="s">
        <v>15</v>
      </c>
      <c r="M196" s="296" t="s">
        <v>1192</v>
      </c>
      <c r="N196" s="193">
        <v>46173</v>
      </c>
      <c r="O196" s="193">
        <v>46173</v>
      </c>
      <c r="P196" s="251">
        <v>27637500</v>
      </c>
      <c r="Q196" s="192" t="s">
        <v>10</v>
      </c>
      <c r="R196" s="192" t="s">
        <v>179</v>
      </c>
      <c r="S196" s="194" t="s">
        <v>14</v>
      </c>
      <c r="T196" s="64" t="str">
        <f t="shared" si="12"/>
        <v>Đ</v>
      </c>
      <c r="U196" s="66">
        <f t="shared" si="13"/>
        <v>0</v>
      </c>
      <c r="V196" s="62">
        <f t="shared" si="14"/>
        <v>13311</v>
      </c>
    </row>
    <row r="197" spans="1:22" ht="14.4" hidden="1" x14ac:dyDescent="0.3">
      <c r="A197" s="192">
        <v>180</v>
      </c>
      <c r="B197" s="194" t="s">
        <v>601</v>
      </c>
      <c r="C197" s="296" t="s">
        <v>1193</v>
      </c>
      <c r="D197" s="193">
        <v>46088</v>
      </c>
      <c r="E197" s="194" t="s">
        <v>1194</v>
      </c>
      <c r="F197" s="296" t="s">
        <v>1189</v>
      </c>
      <c r="G197" s="194" t="s">
        <v>1195</v>
      </c>
      <c r="H197" s="286">
        <v>34650000</v>
      </c>
      <c r="I197" s="192">
        <v>10</v>
      </c>
      <c r="J197" s="286">
        <v>3465000</v>
      </c>
      <c r="K197" s="194" t="s">
        <v>1191</v>
      </c>
      <c r="L197" s="194" t="s">
        <v>15</v>
      </c>
      <c r="M197" s="296" t="s">
        <v>1192</v>
      </c>
      <c r="N197" s="193">
        <v>46173</v>
      </c>
      <c r="O197" s="193">
        <v>46173</v>
      </c>
      <c r="P197" s="251">
        <v>38115000</v>
      </c>
      <c r="Q197" s="192" t="s">
        <v>10</v>
      </c>
      <c r="R197" s="192" t="s">
        <v>179</v>
      </c>
      <c r="S197" s="194" t="s">
        <v>14</v>
      </c>
      <c r="T197" s="64" t="str">
        <f t="shared" si="12"/>
        <v>Đ</v>
      </c>
      <c r="U197" s="66">
        <f t="shared" si="13"/>
        <v>0</v>
      </c>
      <c r="V197" s="62">
        <f t="shared" si="14"/>
        <v>13311</v>
      </c>
    </row>
    <row r="198" spans="1:22" ht="21.6" hidden="1" x14ac:dyDescent="0.3">
      <c r="A198" s="192">
        <v>181</v>
      </c>
      <c r="B198" s="194" t="s">
        <v>1196</v>
      </c>
      <c r="C198" s="296" t="s">
        <v>1197</v>
      </c>
      <c r="D198" s="193">
        <v>46120</v>
      </c>
      <c r="E198" s="194" t="s">
        <v>1198</v>
      </c>
      <c r="F198" s="296" t="s">
        <v>897</v>
      </c>
      <c r="G198" s="194" t="s">
        <v>1199</v>
      </c>
      <c r="H198" s="286">
        <v>7619728</v>
      </c>
      <c r="I198" s="192">
        <v>8</v>
      </c>
      <c r="J198" s="286">
        <v>609578</v>
      </c>
      <c r="K198" s="194" t="s">
        <v>1191</v>
      </c>
      <c r="L198" s="194" t="s">
        <v>15</v>
      </c>
      <c r="M198" s="296" t="s">
        <v>1192</v>
      </c>
      <c r="N198" s="193">
        <v>46173</v>
      </c>
      <c r="O198" s="193">
        <v>46173</v>
      </c>
      <c r="P198" s="251">
        <v>8229306</v>
      </c>
      <c r="Q198" s="192" t="s">
        <v>10</v>
      </c>
      <c r="R198" s="192" t="s">
        <v>179</v>
      </c>
      <c r="S198" s="194" t="s">
        <v>14</v>
      </c>
      <c r="T198" s="64" t="str">
        <f t="shared" si="12"/>
        <v>Đ</v>
      </c>
      <c r="U198" s="66">
        <f t="shared" si="13"/>
        <v>0</v>
      </c>
      <c r="V198" s="62">
        <f t="shared" si="14"/>
        <v>13311</v>
      </c>
    </row>
    <row r="199" spans="1:22" ht="21.6" hidden="1" x14ac:dyDescent="0.3">
      <c r="A199" s="192">
        <v>182</v>
      </c>
      <c r="B199" s="194" t="s">
        <v>286</v>
      </c>
      <c r="C199" s="296" t="s">
        <v>1200</v>
      </c>
      <c r="D199" s="193">
        <v>46154</v>
      </c>
      <c r="E199" s="194" t="s">
        <v>444</v>
      </c>
      <c r="F199" s="296" t="s">
        <v>445</v>
      </c>
      <c r="G199" s="194" t="s">
        <v>1201</v>
      </c>
      <c r="H199" s="286">
        <v>6562244</v>
      </c>
      <c r="I199" s="192">
        <v>10</v>
      </c>
      <c r="J199" s="286">
        <v>656224</v>
      </c>
      <c r="K199" s="194" t="s">
        <v>1191</v>
      </c>
      <c r="L199" s="194" t="s">
        <v>15</v>
      </c>
      <c r="M199" s="296" t="s">
        <v>1192</v>
      </c>
      <c r="N199" s="193">
        <v>46173</v>
      </c>
      <c r="O199" s="193">
        <v>46173</v>
      </c>
      <c r="P199" s="251">
        <v>7218468</v>
      </c>
      <c r="Q199" s="192" t="s">
        <v>10</v>
      </c>
      <c r="R199" s="192" t="s">
        <v>179</v>
      </c>
      <c r="S199" s="194" t="s">
        <v>14</v>
      </c>
      <c r="T199" s="64" t="str">
        <f t="shared" si="12"/>
        <v>Đ</v>
      </c>
      <c r="U199" s="66">
        <f t="shared" si="13"/>
        <v>0</v>
      </c>
      <c r="V199" s="62">
        <f t="shared" si="14"/>
        <v>13311</v>
      </c>
    </row>
    <row r="200" spans="1:22" ht="14.4" hidden="1" x14ac:dyDescent="0.3">
      <c r="A200" s="192">
        <v>183</v>
      </c>
      <c r="B200" s="194" t="s">
        <v>294</v>
      </c>
      <c r="C200" s="296" t="s">
        <v>734</v>
      </c>
      <c r="D200" s="193">
        <v>46155</v>
      </c>
      <c r="E200" s="194" t="s">
        <v>1202</v>
      </c>
      <c r="F200" s="296" t="s">
        <v>1203</v>
      </c>
      <c r="G200" s="194" t="s">
        <v>1204</v>
      </c>
      <c r="H200" s="286">
        <v>27361111</v>
      </c>
      <c r="I200" s="192">
        <v>8</v>
      </c>
      <c r="J200" s="286">
        <v>2188889</v>
      </c>
      <c r="K200" s="194" t="s">
        <v>1191</v>
      </c>
      <c r="L200" s="194" t="s">
        <v>15</v>
      </c>
      <c r="M200" s="296" t="s">
        <v>1192</v>
      </c>
      <c r="N200" s="193">
        <v>46173</v>
      </c>
      <c r="O200" s="193">
        <v>46173</v>
      </c>
      <c r="P200" s="251">
        <v>29550000</v>
      </c>
      <c r="Q200" s="192" t="s">
        <v>10</v>
      </c>
      <c r="R200" s="192" t="s">
        <v>179</v>
      </c>
      <c r="S200" s="194" t="s">
        <v>14</v>
      </c>
      <c r="T200" s="64" t="str">
        <f t="shared" si="12"/>
        <v>Đ</v>
      </c>
      <c r="U200" s="66">
        <f t="shared" si="13"/>
        <v>0</v>
      </c>
      <c r="V200" s="62">
        <f t="shared" si="14"/>
        <v>13311</v>
      </c>
    </row>
    <row r="201" spans="1:22" ht="14.4" hidden="1" x14ac:dyDescent="0.3">
      <c r="A201" s="192">
        <v>184</v>
      </c>
      <c r="B201" s="194" t="s">
        <v>764</v>
      </c>
      <c r="C201" s="296" t="s">
        <v>1205</v>
      </c>
      <c r="D201" s="193">
        <v>46126</v>
      </c>
      <c r="E201" s="194" t="s">
        <v>1206</v>
      </c>
      <c r="F201" s="296" t="s">
        <v>1207</v>
      </c>
      <c r="G201" s="194" t="s">
        <v>1208</v>
      </c>
      <c r="H201" s="286">
        <v>402977500</v>
      </c>
      <c r="I201" s="192">
        <v>8</v>
      </c>
      <c r="J201" s="286">
        <v>32238200</v>
      </c>
      <c r="K201" s="194" t="s">
        <v>1191</v>
      </c>
      <c r="L201" s="194" t="s">
        <v>15</v>
      </c>
      <c r="M201" s="296" t="s">
        <v>1192</v>
      </c>
      <c r="N201" s="193">
        <v>46173</v>
      </c>
      <c r="O201" s="193">
        <v>46173</v>
      </c>
      <c r="P201" s="251">
        <v>435215700</v>
      </c>
      <c r="Q201" s="192" t="s">
        <v>10</v>
      </c>
      <c r="R201" s="192" t="s">
        <v>179</v>
      </c>
      <c r="S201" s="194" t="s">
        <v>14</v>
      </c>
      <c r="T201" s="64" t="str">
        <f t="shared" si="12"/>
        <v>Đ</v>
      </c>
      <c r="U201" s="66">
        <f t="shared" si="13"/>
        <v>0</v>
      </c>
      <c r="V201" s="62">
        <f t="shared" si="14"/>
        <v>13311</v>
      </c>
    </row>
    <row r="202" spans="1:22" ht="21.6" hidden="1" x14ac:dyDescent="0.3">
      <c r="A202" s="192">
        <v>185</v>
      </c>
      <c r="B202" s="194" t="s">
        <v>1196</v>
      </c>
      <c r="C202" s="296" t="s">
        <v>1209</v>
      </c>
      <c r="D202" s="193">
        <v>46128</v>
      </c>
      <c r="E202" s="194" t="s">
        <v>1198</v>
      </c>
      <c r="F202" s="296" t="s">
        <v>897</v>
      </c>
      <c r="G202" s="194" t="s">
        <v>1210</v>
      </c>
      <c r="H202" s="286">
        <v>26564000</v>
      </c>
      <c r="I202" s="192">
        <v>8</v>
      </c>
      <c r="J202" s="286">
        <v>2125120</v>
      </c>
      <c r="K202" s="194" t="s">
        <v>1191</v>
      </c>
      <c r="L202" s="194" t="s">
        <v>15</v>
      </c>
      <c r="M202" s="296" t="s">
        <v>1192</v>
      </c>
      <c r="N202" s="193">
        <v>46173</v>
      </c>
      <c r="O202" s="193">
        <v>46173</v>
      </c>
      <c r="P202" s="251">
        <v>28689120</v>
      </c>
      <c r="Q202" s="192" t="s">
        <v>10</v>
      </c>
      <c r="R202" s="192" t="s">
        <v>179</v>
      </c>
      <c r="S202" s="194" t="s">
        <v>14</v>
      </c>
      <c r="T202" s="64" t="str">
        <f t="shared" si="12"/>
        <v>Đ</v>
      </c>
      <c r="U202" s="66">
        <f t="shared" si="13"/>
        <v>0</v>
      </c>
      <c r="V202" s="62">
        <f t="shared" si="14"/>
        <v>13311</v>
      </c>
    </row>
    <row r="203" spans="1:22" ht="14.4" hidden="1" x14ac:dyDescent="0.3">
      <c r="A203" s="192">
        <v>186</v>
      </c>
      <c r="B203" s="194" t="s">
        <v>289</v>
      </c>
      <c r="C203" s="296" t="s">
        <v>1211</v>
      </c>
      <c r="D203" s="193">
        <v>46161</v>
      </c>
      <c r="E203" s="194" t="s">
        <v>1212</v>
      </c>
      <c r="F203" s="296" t="s">
        <v>1213</v>
      </c>
      <c r="G203" s="194" t="s">
        <v>1214</v>
      </c>
      <c r="H203" s="286">
        <v>5833333</v>
      </c>
      <c r="I203" s="192">
        <v>8</v>
      </c>
      <c r="J203" s="286">
        <v>466667</v>
      </c>
      <c r="K203" s="194" t="s">
        <v>1191</v>
      </c>
      <c r="L203" s="194" t="s">
        <v>15</v>
      </c>
      <c r="M203" s="296" t="s">
        <v>1192</v>
      </c>
      <c r="N203" s="193">
        <v>46173</v>
      </c>
      <c r="O203" s="193">
        <v>46173</v>
      </c>
      <c r="P203" s="251">
        <v>6300000</v>
      </c>
      <c r="Q203" s="192" t="s">
        <v>10</v>
      </c>
      <c r="R203" s="192" t="s">
        <v>179</v>
      </c>
      <c r="S203" s="194" t="s">
        <v>14</v>
      </c>
      <c r="T203" s="64" t="str">
        <f t="shared" si="12"/>
        <v>Đ</v>
      </c>
      <c r="U203" s="66">
        <f t="shared" si="13"/>
        <v>0</v>
      </c>
      <c r="V203" s="62">
        <f t="shared" si="14"/>
        <v>13311</v>
      </c>
    </row>
    <row r="204" spans="1:22" ht="14.4" hidden="1" x14ac:dyDescent="0.3">
      <c r="A204" s="192">
        <v>187</v>
      </c>
      <c r="B204" s="194" t="s">
        <v>291</v>
      </c>
      <c r="C204" s="296" t="s">
        <v>1215</v>
      </c>
      <c r="D204" s="193">
        <v>46133</v>
      </c>
      <c r="E204" s="194" t="s">
        <v>1216</v>
      </c>
      <c r="F204" s="296" t="s">
        <v>443</v>
      </c>
      <c r="G204" s="194" t="s">
        <v>1217</v>
      </c>
      <c r="H204" s="286">
        <v>33400000</v>
      </c>
      <c r="I204" s="192">
        <v>8</v>
      </c>
      <c r="J204" s="286">
        <v>2672000</v>
      </c>
      <c r="K204" s="194" t="s">
        <v>1191</v>
      </c>
      <c r="L204" s="194" t="s">
        <v>15</v>
      </c>
      <c r="M204" s="296" t="s">
        <v>1192</v>
      </c>
      <c r="N204" s="193">
        <v>46173</v>
      </c>
      <c r="O204" s="193">
        <v>46173</v>
      </c>
      <c r="P204" s="251">
        <v>36072000</v>
      </c>
      <c r="Q204" s="192" t="s">
        <v>10</v>
      </c>
      <c r="R204" s="192" t="s">
        <v>179</v>
      </c>
      <c r="S204" s="194" t="s">
        <v>14</v>
      </c>
      <c r="T204" s="64" t="str">
        <f t="shared" si="12"/>
        <v>Đ</v>
      </c>
      <c r="U204" s="66">
        <f t="shared" si="13"/>
        <v>0</v>
      </c>
      <c r="V204" s="62">
        <f t="shared" si="14"/>
        <v>13311</v>
      </c>
    </row>
    <row r="205" spans="1:22" ht="21.6" hidden="1" x14ac:dyDescent="0.3">
      <c r="A205" s="192">
        <v>188</v>
      </c>
      <c r="B205" s="194" t="s">
        <v>446</v>
      </c>
      <c r="C205" s="296" t="s">
        <v>645</v>
      </c>
      <c r="D205" s="193">
        <v>46133</v>
      </c>
      <c r="E205" s="194" t="s">
        <v>448</v>
      </c>
      <c r="F205" s="296" t="s">
        <v>449</v>
      </c>
      <c r="G205" s="194" t="s">
        <v>1218</v>
      </c>
      <c r="H205" s="286">
        <v>262440000</v>
      </c>
      <c r="I205" s="192">
        <v>8</v>
      </c>
      <c r="J205" s="286">
        <v>20995200</v>
      </c>
      <c r="K205" s="194" t="s">
        <v>1191</v>
      </c>
      <c r="L205" s="194" t="s">
        <v>15</v>
      </c>
      <c r="M205" s="296" t="s">
        <v>1192</v>
      </c>
      <c r="N205" s="193">
        <v>46173</v>
      </c>
      <c r="O205" s="193">
        <v>46173</v>
      </c>
      <c r="P205" s="251">
        <v>283435200</v>
      </c>
      <c r="Q205" s="192" t="s">
        <v>10</v>
      </c>
      <c r="R205" s="192" t="s">
        <v>179</v>
      </c>
      <c r="S205" s="194" t="s">
        <v>14</v>
      </c>
      <c r="T205" s="64" t="str">
        <f t="shared" si="12"/>
        <v>Đ</v>
      </c>
      <c r="U205" s="66">
        <f t="shared" si="13"/>
        <v>0</v>
      </c>
      <c r="V205" s="62">
        <f t="shared" si="14"/>
        <v>13311</v>
      </c>
    </row>
    <row r="206" spans="1:22" ht="14.4" hidden="1" x14ac:dyDescent="0.3">
      <c r="A206" s="192">
        <v>189</v>
      </c>
      <c r="B206" s="194" t="s">
        <v>601</v>
      </c>
      <c r="C206" s="296" t="s">
        <v>1219</v>
      </c>
      <c r="D206" s="193">
        <v>46108</v>
      </c>
      <c r="E206" s="194" t="s">
        <v>1194</v>
      </c>
      <c r="F206" s="296" t="s">
        <v>1189</v>
      </c>
      <c r="G206" s="194" t="s">
        <v>1220</v>
      </c>
      <c r="H206" s="286">
        <v>5865000</v>
      </c>
      <c r="I206" s="192">
        <v>8</v>
      </c>
      <c r="J206" s="286">
        <v>469200</v>
      </c>
      <c r="K206" s="194" t="s">
        <v>1191</v>
      </c>
      <c r="L206" s="194" t="s">
        <v>15</v>
      </c>
      <c r="M206" s="296" t="s">
        <v>1192</v>
      </c>
      <c r="N206" s="193">
        <v>46173</v>
      </c>
      <c r="O206" s="193">
        <v>46173</v>
      </c>
      <c r="P206" s="251">
        <v>6334200</v>
      </c>
      <c r="Q206" s="192" t="s">
        <v>10</v>
      </c>
      <c r="R206" s="192" t="s">
        <v>179</v>
      </c>
      <c r="S206" s="194" t="s">
        <v>14</v>
      </c>
      <c r="T206" s="64" t="str">
        <f t="shared" si="12"/>
        <v>Đ</v>
      </c>
      <c r="U206" s="66">
        <f t="shared" si="13"/>
        <v>0</v>
      </c>
      <c r="V206" s="62">
        <f t="shared" si="14"/>
        <v>13311</v>
      </c>
    </row>
    <row r="207" spans="1:22" ht="21.6" hidden="1" x14ac:dyDescent="0.3">
      <c r="A207" s="192">
        <v>190</v>
      </c>
      <c r="B207" s="194" t="s">
        <v>286</v>
      </c>
      <c r="C207" s="296" t="s">
        <v>1221</v>
      </c>
      <c r="D207" s="193">
        <v>46141</v>
      </c>
      <c r="E207" s="194" t="s">
        <v>444</v>
      </c>
      <c r="F207" s="296" t="s">
        <v>445</v>
      </c>
      <c r="G207" s="194" t="s">
        <v>1222</v>
      </c>
      <c r="H207" s="286">
        <v>5892216</v>
      </c>
      <c r="I207" s="192">
        <v>8</v>
      </c>
      <c r="J207" s="286">
        <v>471377</v>
      </c>
      <c r="K207" s="194" t="s">
        <v>1191</v>
      </c>
      <c r="L207" s="194" t="s">
        <v>15</v>
      </c>
      <c r="M207" s="296" t="s">
        <v>1192</v>
      </c>
      <c r="N207" s="193">
        <v>46173</v>
      </c>
      <c r="O207" s="193">
        <v>46173</v>
      </c>
      <c r="P207" s="251">
        <v>6363593</v>
      </c>
      <c r="Q207" s="192" t="s">
        <v>10</v>
      </c>
      <c r="R207" s="192" t="s">
        <v>179</v>
      </c>
      <c r="S207" s="194" t="s">
        <v>14</v>
      </c>
      <c r="T207" s="64" t="str">
        <f t="shared" si="12"/>
        <v>Đ</v>
      </c>
      <c r="U207" s="66">
        <f t="shared" si="13"/>
        <v>0</v>
      </c>
      <c r="V207" s="62">
        <f t="shared" si="14"/>
        <v>13311</v>
      </c>
    </row>
    <row r="208" spans="1:22" ht="14.4" hidden="1" x14ac:dyDescent="0.3">
      <c r="A208" s="192">
        <v>191</v>
      </c>
      <c r="B208" s="194" t="s">
        <v>593</v>
      </c>
      <c r="C208" s="296" t="s">
        <v>1223</v>
      </c>
      <c r="D208" s="193">
        <v>46111</v>
      </c>
      <c r="E208" s="194" t="s">
        <v>1224</v>
      </c>
      <c r="F208" s="296" t="s">
        <v>1225</v>
      </c>
      <c r="G208" s="194" t="s">
        <v>1226</v>
      </c>
      <c r="H208" s="286">
        <v>43185000</v>
      </c>
      <c r="I208" s="192">
        <v>8</v>
      </c>
      <c r="J208" s="286">
        <v>3454800</v>
      </c>
      <c r="K208" s="194" t="s">
        <v>1191</v>
      </c>
      <c r="L208" s="194" t="s">
        <v>15</v>
      </c>
      <c r="M208" s="296" t="s">
        <v>1192</v>
      </c>
      <c r="N208" s="193">
        <v>46173</v>
      </c>
      <c r="O208" s="193">
        <v>46173</v>
      </c>
      <c r="P208" s="251">
        <v>46639800</v>
      </c>
      <c r="Q208" s="192" t="s">
        <v>10</v>
      </c>
      <c r="R208" s="192" t="s">
        <v>179</v>
      </c>
      <c r="S208" s="194" t="s">
        <v>14</v>
      </c>
      <c r="T208" s="64" t="str">
        <f t="shared" si="12"/>
        <v>Đ</v>
      </c>
      <c r="U208" s="66">
        <f t="shared" si="13"/>
        <v>0</v>
      </c>
      <c r="V208" s="62">
        <f t="shared" si="14"/>
        <v>13311</v>
      </c>
    </row>
    <row r="209" spans="1:22" hidden="1" x14ac:dyDescent="0.3">
      <c r="A209" s="192">
        <v>192</v>
      </c>
      <c r="B209" s="194" t="s">
        <v>1640</v>
      </c>
      <c r="C209" s="296" t="s">
        <v>1641</v>
      </c>
      <c r="D209" s="193">
        <v>46146</v>
      </c>
      <c r="E209" s="194" t="s">
        <v>1642</v>
      </c>
      <c r="F209" s="296" t="s">
        <v>1643</v>
      </c>
      <c r="G209" s="194" t="s">
        <v>1644</v>
      </c>
      <c r="H209" s="286">
        <v>72222222</v>
      </c>
      <c r="I209" s="192">
        <v>8</v>
      </c>
      <c r="J209" s="286">
        <v>5777778</v>
      </c>
      <c r="K209" s="174"/>
      <c r="L209" s="194" t="s">
        <v>15</v>
      </c>
      <c r="M209" s="296" t="s">
        <v>1645</v>
      </c>
      <c r="N209" s="193">
        <v>46173</v>
      </c>
      <c r="O209" s="193">
        <v>46173</v>
      </c>
      <c r="P209" s="251">
        <v>78000000</v>
      </c>
      <c r="Q209" s="192" t="s">
        <v>17</v>
      </c>
      <c r="R209" s="192" t="s">
        <v>299</v>
      </c>
      <c r="S209" s="194" t="s">
        <v>14</v>
      </c>
      <c r="T209" s="64" t="str">
        <f t="shared" si="12"/>
        <v>Đ</v>
      </c>
      <c r="U209" s="66">
        <f t="shared" si="13"/>
        <v>0</v>
      </c>
      <c r="V209" s="62">
        <f t="shared" si="14"/>
        <v>13313</v>
      </c>
    </row>
    <row r="210" spans="1:22" hidden="1" x14ac:dyDescent="0.3">
      <c r="A210" s="192">
        <v>193</v>
      </c>
      <c r="B210" s="194" t="s">
        <v>1640</v>
      </c>
      <c r="C210" s="296" t="s">
        <v>1646</v>
      </c>
      <c r="D210" s="193">
        <v>46146</v>
      </c>
      <c r="E210" s="194" t="s">
        <v>1642</v>
      </c>
      <c r="F210" s="296" t="s">
        <v>1643</v>
      </c>
      <c r="G210" s="194" t="s">
        <v>1644</v>
      </c>
      <c r="H210" s="286">
        <v>55648148</v>
      </c>
      <c r="I210" s="192">
        <v>8</v>
      </c>
      <c r="J210" s="286">
        <v>4451852</v>
      </c>
      <c r="K210" s="174"/>
      <c r="L210" s="194" t="s">
        <v>15</v>
      </c>
      <c r="M210" s="296" t="s">
        <v>1645</v>
      </c>
      <c r="N210" s="193">
        <v>46173</v>
      </c>
      <c r="O210" s="193">
        <v>46173</v>
      </c>
      <c r="P210" s="251">
        <v>60100000</v>
      </c>
      <c r="Q210" s="192" t="s">
        <v>17</v>
      </c>
      <c r="R210" s="192" t="s">
        <v>299</v>
      </c>
      <c r="S210" s="194" t="s">
        <v>14</v>
      </c>
      <c r="T210" s="64" t="str">
        <f t="shared" si="12"/>
        <v>Đ</v>
      </c>
      <c r="U210" s="66">
        <f t="shared" si="13"/>
        <v>0</v>
      </c>
      <c r="V210" s="62">
        <f t="shared" si="14"/>
        <v>13313</v>
      </c>
    </row>
    <row r="211" spans="1:22" hidden="1" x14ac:dyDescent="0.3">
      <c r="A211" s="192">
        <v>194</v>
      </c>
      <c r="B211" s="194" t="s">
        <v>1647</v>
      </c>
      <c r="C211" s="296" t="s">
        <v>1648</v>
      </c>
      <c r="D211" s="193">
        <v>46146</v>
      </c>
      <c r="E211" s="194" t="s">
        <v>1649</v>
      </c>
      <c r="F211" s="296" t="s">
        <v>1650</v>
      </c>
      <c r="G211" s="194" t="s">
        <v>1644</v>
      </c>
      <c r="H211" s="286">
        <v>68577778</v>
      </c>
      <c r="I211" s="192">
        <v>8</v>
      </c>
      <c r="J211" s="286">
        <v>5486222</v>
      </c>
      <c r="K211" s="174"/>
      <c r="L211" s="194" t="s">
        <v>15</v>
      </c>
      <c r="M211" s="296" t="s">
        <v>1645</v>
      </c>
      <c r="N211" s="193">
        <v>46173</v>
      </c>
      <c r="O211" s="193">
        <v>46173</v>
      </c>
      <c r="P211" s="251">
        <v>74064000</v>
      </c>
      <c r="Q211" s="192" t="s">
        <v>17</v>
      </c>
      <c r="R211" s="192" t="s">
        <v>299</v>
      </c>
      <c r="S211" s="194" t="s">
        <v>14</v>
      </c>
      <c r="T211" s="64" t="str">
        <f t="shared" ref="T211:T274" si="15">IF(OR(LEN(F211)=11,LEN(F211)=15),"Đ","SAI")</f>
        <v>Đ</v>
      </c>
      <c r="U211" s="66">
        <f t="shared" ref="U211:U274" si="16">ROUND(H211*I211%,0)-J211</f>
        <v>0</v>
      </c>
      <c r="V211" s="62">
        <f t="shared" ref="V211:V274" si="17">IF(Q211=$V$12,13313,13311)</f>
        <v>13313</v>
      </c>
    </row>
    <row r="212" spans="1:22" hidden="1" x14ac:dyDescent="0.3">
      <c r="A212" s="192">
        <v>195</v>
      </c>
      <c r="B212" s="194" t="s">
        <v>652</v>
      </c>
      <c r="C212" s="296" t="s">
        <v>1651</v>
      </c>
      <c r="D212" s="193">
        <v>46146</v>
      </c>
      <c r="E212" s="194" t="s">
        <v>1652</v>
      </c>
      <c r="F212" s="296" t="s">
        <v>1653</v>
      </c>
      <c r="G212" s="194" t="s">
        <v>1644</v>
      </c>
      <c r="H212" s="286">
        <v>67392593</v>
      </c>
      <c r="I212" s="192">
        <v>8</v>
      </c>
      <c r="J212" s="286">
        <v>5391407</v>
      </c>
      <c r="K212" s="174"/>
      <c r="L212" s="194" t="s">
        <v>15</v>
      </c>
      <c r="M212" s="296" t="s">
        <v>1645</v>
      </c>
      <c r="N212" s="193">
        <v>46173</v>
      </c>
      <c r="O212" s="193">
        <v>46173</v>
      </c>
      <c r="P212" s="251">
        <v>72784000</v>
      </c>
      <c r="Q212" s="192" t="s">
        <v>17</v>
      </c>
      <c r="R212" s="192" t="s">
        <v>299</v>
      </c>
      <c r="S212" s="194" t="s">
        <v>14</v>
      </c>
      <c r="T212" s="64" t="str">
        <f t="shared" si="15"/>
        <v>Đ</v>
      </c>
      <c r="U212" s="66">
        <f t="shared" si="16"/>
        <v>0</v>
      </c>
      <c r="V212" s="62">
        <f t="shared" si="17"/>
        <v>13313</v>
      </c>
    </row>
    <row r="213" spans="1:22" ht="21.6" hidden="1" x14ac:dyDescent="0.3">
      <c r="A213" s="192">
        <v>196</v>
      </c>
      <c r="B213" s="194" t="s">
        <v>1654</v>
      </c>
      <c r="C213" s="296" t="s">
        <v>1655</v>
      </c>
      <c r="D213" s="193">
        <v>46150</v>
      </c>
      <c r="E213" s="194" t="s">
        <v>1656</v>
      </c>
      <c r="F213" s="296" t="s">
        <v>1657</v>
      </c>
      <c r="G213" s="194" t="s">
        <v>1658</v>
      </c>
      <c r="H213" s="286">
        <v>-37453684</v>
      </c>
      <c r="I213" s="192">
        <v>8</v>
      </c>
      <c r="J213" s="286">
        <v>-2996294</v>
      </c>
      <c r="K213" s="174"/>
      <c r="L213" s="194" t="s">
        <v>15</v>
      </c>
      <c r="M213" s="296" t="s">
        <v>1645</v>
      </c>
      <c r="N213" s="193">
        <v>46173</v>
      </c>
      <c r="O213" s="193">
        <v>46173</v>
      </c>
      <c r="P213" s="251">
        <v>-40449978</v>
      </c>
      <c r="Q213" s="192" t="s">
        <v>17</v>
      </c>
      <c r="R213" s="192" t="s">
        <v>299</v>
      </c>
      <c r="S213" s="194" t="s">
        <v>14</v>
      </c>
      <c r="T213" s="64" t="str">
        <f t="shared" si="15"/>
        <v>Đ</v>
      </c>
      <c r="U213" s="66">
        <f t="shared" si="16"/>
        <v>-1</v>
      </c>
      <c r="V213" s="62">
        <f t="shared" si="17"/>
        <v>13313</v>
      </c>
    </row>
    <row r="214" spans="1:22" hidden="1" x14ac:dyDescent="0.3">
      <c r="A214" s="192">
        <v>197</v>
      </c>
      <c r="B214" s="194" t="s">
        <v>294</v>
      </c>
      <c r="C214" s="296" t="s">
        <v>898</v>
      </c>
      <c r="D214" s="193">
        <v>46134</v>
      </c>
      <c r="E214" s="194" t="s">
        <v>1659</v>
      </c>
      <c r="F214" s="296" t="s">
        <v>1660</v>
      </c>
      <c r="G214" s="194" t="s">
        <v>1661</v>
      </c>
      <c r="H214" s="286">
        <v>2220916027</v>
      </c>
      <c r="I214" s="192">
        <v>8</v>
      </c>
      <c r="J214" s="286">
        <v>177673281</v>
      </c>
      <c r="K214" s="174"/>
      <c r="L214" s="194" t="s">
        <v>15</v>
      </c>
      <c r="M214" s="296" t="s">
        <v>1645</v>
      </c>
      <c r="N214" s="193">
        <v>46173</v>
      </c>
      <c r="O214" s="193">
        <v>46173</v>
      </c>
      <c r="P214" s="251">
        <v>2398589308</v>
      </c>
      <c r="Q214" s="192" t="s">
        <v>17</v>
      </c>
      <c r="R214" s="192" t="s">
        <v>299</v>
      </c>
      <c r="S214" s="194" t="s">
        <v>14</v>
      </c>
      <c r="T214" s="64" t="str">
        <f t="shared" si="15"/>
        <v>Đ</v>
      </c>
      <c r="U214" s="66">
        <f t="shared" si="16"/>
        <v>1</v>
      </c>
      <c r="V214" s="62">
        <f t="shared" si="17"/>
        <v>13313</v>
      </c>
    </row>
    <row r="215" spans="1:22" hidden="1" x14ac:dyDescent="0.3">
      <c r="A215" s="192">
        <v>198</v>
      </c>
      <c r="B215" s="194" t="s">
        <v>1640</v>
      </c>
      <c r="C215" s="296" t="s">
        <v>504</v>
      </c>
      <c r="D215" s="193">
        <v>46112</v>
      </c>
      <c r="E215" s="194" t="s">
        <v>1642</v>
      </c>
      <c r="F215" s="296" t="s">
        <v>1643</v>
      </c>
      <c r="G215" s="194" t="s">
        <v>1644</v>
      </c>
      <c r="H215" s="286">
        <v>42500000</v>
      </c>
      <c r="I215" s="192">
        <v>8</v>
      </c>
      <c r="J215" s="286">
        <v>3400000</v>
      </c>
      <c r="K215" s="174"/>
      <c r="L215" s="194" t="s">
        <v>15</v>
      </c>
      <c r="M215" s="296" t="s">
        <v>1645</v>
      </c>
      <c r="N215" s="193">
        <v>46173</v>
      </c>
      <c r="O215" s="193">
        <v>46173</v>
      </c>
      <c r="P215" s="251">
        <v>45900000</v>
      </c>
      <c r="Q215" s="192" t="s">
        <v>17</v>
      </c>
      <c r="R215" s="192" t="s">
        <v>299</v>
      </c>
      <c r="S215" s="194" t="s">
        <v>14</v>
      </c>
      <c r="T215" s="64" t="str">
        <f t="shared" si="15"/>
        <v>Đ</v>
      </c>
      <c r="U215" s="66">
        <f t="shared" si="16"/>
        <v>0</v>
      </c>
      <c r="V215" s="62">
        <f t="shared" si="17"/>
        <v>13313</v>
      </c>
    </row>
    <row r="216" spans="1:22" hidden="1" x14ac:dyDescent="0.3">
      <c r="A216" s="192">
        <v>199</v>
      </c>
      <c r="B216" s="194" t="s">
        <v>1640</v>
      </c>
      <c r="C216" s="296" t="s">
        <v>1662</v>
      </c>
      <c r="D216" s="193">
        <v>46112</v>
      </c>
      <c r="E216" s="194" t="s">
        <v>1642</v>
      </c>
      <c r="F216" s="296" t="s">
        <v>1643</v>
      </c>
      <c r="G216" s="194" t="s">
        <v>1644</v>
      </c>
      <c r="H216" s="286">
        <v>128703704</v>
      </c>
      <c r="I216" s="192">
        <v>8</v>
      </c>
      <c r="J216" s="286">
        <v>10296296</v>
      </c>
      <c r="K216" s="174"/>
      <c r="L216" s="194" t="s">
        <v>15</v>
      </c>
      <c r="M216" s="296" t="s">
        <v>1645</v>
      </c>
      <c r="N216" s="193">
        <v>46173</v>
      </c>
      <c r="O216" s="193">
        <v>46173</v>
      </c>
      <c r="P216" s="251">
        <v>139000000</v>
      </c>
      <c r="Q216" s="192" t="s">
        <v>17</v>
      </c>
      <c r="R216" s="192" t="s">
        <v>299</v>
      </c>
      <c r="S216" s="194" t="s">
        <v>14</v>
      </c>
      <c r="T216" s="64" t="str">
        <f t="shared" si="15"/>
        <v>Đ</v>
      </c>
      <c r="U216" s="66">
        <f t="shared" si="16"/>
        <v>0</v>
      </c>
      <c r="V216" s="62">
        <f t="shared" si="17"/>
        <v>13313</v>
      </c>
    </row>
    <row r="217" spans="1:22" hidden="1" x14ac:dyDescent="0.3">
      <c r="A217" s="192">
        <v>200</v>
      </c>
      <c r="B217" s="194" t="s">
        <v>1640</v>
      </c>
      <c r="C217" s="296" t="s">
        <v>788</v>
      </c>
      <c r="D217" s="193">
        <v>46112</v>
      </c>
      <c r="E217" s="194" t="s">
        <v>1642</v>
      </c>
      <c r="F217" s="296" t="s">
        <v>1643</v>
      </c>
      <c r="G217" s="194" t="s">
        <v>1644</v>
      </c>
      <c r="H217" s="286">
        <v>116666667</v>
      </c>
      <c r="I217" s="192">
        <v>8</v>
      </c>
      <c r="J217" s="286">
        <v>9333333</v>
      </c>
      <c r="K217" s="174"/>
      <c r="L217" s="194" t="s">
        <v>15</v>
      </c>
      <c r="M217" s="296" t="s">
        <v>1645</v>
      </c>
      <c r="N217" s="193">
        <v>46173</v>
      </c>
      <c r="O217" s="193">
        <v>46173</v>
      </c>
      <c r="P217" s="251">
        <v>126000000</v>
      </c>
      <c r="Q217" s="192" t="s">
        <v>17</v>
      </c>
      <c r="R217" s="192" t="s">
        <v>299</v>
      </c>
      <c r="S217" s="194" t="s">
        <v>14</v>
      </c>
      <c r="T217" s="64" t="str">
        <f t="shared" si="15"/>
        <v>Đ</v>
      </c>
      <c r="U217" s="66">
        <f t="shared" si="16"/>
        <v>0</v>
      </c>
      <c r="V217" s="62">
        <f t="shared" si="17"/>
        <v>13313</v>
      </c>
    </row>
    <row r="218" spans="1:22" ht="14.4" hidden="1" x14ac:dyDescent="0.3">
      <c r="A218" s="192">
        <v>201</v>
      </c>
      <c r="B218" s="194" t="s">
        <v>451</v>
      </c>
      <c r="C218" s="296" t="s">
        <v>1227</v>
      </c>
      <c r="D218" s="193">
        <v>46084</v>
      </c>
      <c r="E218" s="194" t="s">
        <v>1053</v>
      </c>
      <c r="F218" s="296" t="s">
        <v>854</v>
      </c>
      <c r="G218" s="194" t="s">
        <v>1054</v>
      </c>
      <c r="H218" s="286">
        <v>1366593</v>
      </c>
      <c r="I218" s="192">
        <v>8</v>
      </c>
      <c r="J218" s="286">
        <v>109407</v>
      </c>
      <c r="K218" s="194" t="s">
        <v>12</v>
      </c>
      <c r="L218" s="194" t="s">
        <v>15</v>
      </c>
      <c r="M218" s="296" t="s">
        <v>1228</v>
      </c>
      <c r="N218" s="193">
        <v>46173</v>
      </c>
      <c r="O218" s="193">
        <v>46173</v>
      </c>
      <c r="P218" s="251">
        <v>1476000</v>
      </c>
      <c r="Q218" s="192" t="s">
        <v>10</v>
      </c>
      <c r="R218" s="192" t="s">
        <v>259</v>
      </c>
      <c r="S218" s="194" t="s">
        <v>14</v>
      </c>
      <c r="T218" s="64" t="str">
        <f t="shared" si="15"/>
        <v>Đ</v>
      </c>
      <c r="U218" s="66">
        <f t="shared" si="16"/>
        <v>-80</v>
      </c>
      <c r="V218" s="62">
        <f t="shared" si="17"/>
        <v>13311</v>
      </c>
    </row>
    <row r="219" spans="1:22" ht="14.4" hidden="1" x14ac:dyDescent="0.3">
      <c r="A219" s="192">
        <v>202</v>
      </c>
      <c r="B219" s="194" t="s">
        <v>1229</v>
      </c>
      <c r="C219" s="296" t="s">
        <v>1230</v>
      </c>
      <c r="D219" s="193">
        <v>46146</v>
      </c>
      <c r="E219" s="194" t="s">
        <v>834</v>
      </c>
      <c r="F219" s="296" t="s">
        <v>835</v>
      </c>
      <c r="G219" s="194" t="s">
        <v>1094</v>
      </c>
      <c r="H219" s="286">
        <v>13636</v>
      </c>
      <c r="I219" s="192">
        <v>10</v>
      </c>
      <c r="J219" s="286">
        <v>1364</v>
      </c>
      <c r="K219" s="194" t="s">
        <v>12</v>
      </c>
      <c r="L219" s="194" t="s">
        <v>15</v>
      </c>
      <c r="M219" s="296" t="s">
        <v>1228</v>
      </c>
      <c r="N219" s="193">
        <v>46173</v>
      </c>
      <c r="O219" s="193">
        <v>46173</v>
      </c>
      <c r="P219" s="251">
        <v>15000</v>
      </c>
      <c r="Q219" s="192" t="s">
        <v>10</v>
      </c>
      <c r="R219" s="192" t="s">
        <v>259</v>
      </c>
      <c r="S219" s="194" t="s">
        <v>14</v>
      </c>
      <c r="T219" s="64" t="str">
        <f t="shared" si="15"/>
        <v>Đ</v>
      </c>
      <c r="U219" s="66">
        <f t="shared" si="16"/>
        <v>0</v>
      </c>
      <c r="V219" s="62">
        <f t="shared" si="17"/>
        <v>13311</v>
      </c>
    </row>
    <row r="220" spans="1:22" ht="14.4" hidden="1" x14ac:dyDescent="0.3">
      <c r="A220" s="192">
        <v>203</v>
      </c>
      <c r="B220" s="194" t="s">
        <v>1229</v>
      </c>
      <c r="C220" s="296" t="s">
        <v>1230</v>
      </c>
      <c r="D220" s="193">
        <v>46146</v>
      </c>
      <c r="E220" s="194" t="s">
        <v>834</v>
      </c>
      <c r="F220" s="296" t="s">
        <v>835</v>
      </c>
      <c r="G220" s="194" t="s">
        <v>1094</v>
      </c>
      <c r="H220" s="286">
        <v>3698148</v>
      </c>
      <c r="I220" s="192">
        <v>8</v>
      </c>
      <c r="J220" s="286">
        <v>295852</v>
      </c>
      <c r="K220" s="194" t="s">
        <v>12</v>
      </c>
      <c r="L220" s="194" t="s">
        <v>15</v>
      </c>
      <c r="M220" s="296" t="s">
        <v>1228</v>
      </c>
      <c r="N220" s="193">
        <v>46173</v>
      </c>
      <c r="O220" s="193">
        <v>46173</v>
      </c>
      <c r="P220" s="251">
        <v>3994000</v>
      </c>
      <c r="Q220" s="192" t="s">
        <v>10</v>
      </c>
      <c r="R220" s="192" t="s">
        <v>259</v>
      </c>
      <c r="S220" s="194" t="s">
        <v>14</v>
      </c>
      <c r="T220" s="64" t="str">
        <f t="shared" si="15"/>
        <v>Đ</v>
      </c>
      <c r="U220" s="66">
        <f t="shared" si="16"/>
        <v>0</v>
      </c>
      <c r="V220" s="62">
        <f t="shared" si="17"/>
        <v>13311</v>
      </c>
    </row>
    <row r="221" spans="1:22" ht="14.4" hidden="1" x14ac:dyDescent="0.3">
      <c r="A221" s="192">
        <v>204</v>
      </c>
      <c r="B221" s="194" t="s">
        <v>1229</v>
      </c>
      <c r="C221" s="296" t="s">
        <v>1231</v>
      </c>
      <c r="D221" s="193">
        <v>46148</v>
      </c>
      <c r="E221" s="194" t="s">
        <v>834</v>
      </c>
      <c r="F221" s="296" t="s">
        <v>835</v>
      </c>
      <c r="G221" s="194" t="s">
        <v>1094</v>
      </c>
      <c r="H221" s="286">
        <v>68182</v>
      </c>
      <c r="I221" s="192">
        <v>10</v>
      </c>
      <c r="J221" s="286">
        <v>6818</v>
      </c>
      <c r="K221" s="194" t="s">
        <v>12</v>
      </c>
      <c r="L221" s="194" t="s">
        <v>15</v>
      </c>
      <c r="M221" s="296" t="s">
        <v>1228</v>
      </c>
      <c r="N221" s="193">
        <v>46173</v>
      </c>
      <c r="O221" s="193">
        <v>46173</v>
      </c>
      <c r="P221" s="251">
        <v>75000</v>
      </c>
      <c r="Q221" s="192" t="s">
        <v>10</v>
      </c>
      <c r="R221" s="192" t="s">
        <v>259</v>
      </c>
      <c r="S221" s="194" t="s">
        <v>14</v>
      </c>
      <c r="T221" s="64" t="str">
        <f t="shared" si="15"/>
        <v>Đ</v>
      </c>
      <c r="U221" s="66">
        <f t="shared" si="16"/>
        <v>0</v>
      </c>
      <c r="V221" s="62">
        <f t="shared" si="17"/>
        <v>13311</v>
      </c>
    </row>
    <row r="222" spans="1:22" ht="14.4" hidden="1" x14ac:dyDescent="0.3">
      <c r="A222" s="192">
        <v>205</v>
      </c>
      <c r="B222" s="194" t="s">
        <v>1229</v>
      </c>
      <c r="C222" s="296" t="s">
        <v>1231</v>
      </c>
      <c r="D222" s="193">
        <v>46148</v>
      </c>
      <c r="E222" s="194" t="s">
        <v>834</v>
      </c>
      <c r="F222" s="296" t="s">
        <v>835</v>
      </c>
      <c r="G222" s="194" t="s">
        <v>1094</v>
      </c>
      <c r="H222" s="286">
        <v>4099076</v>
      </c>
      <c r="I222" s="192">
        <v>8</v>
      </c>
      <c r="J222" s="286">
        <v>327924</v>
      </c>
      <c r="K222" s="194" t="s">
        <v>12</v>
      </c>
      <c r="L222" s="194" t="s">
        <v>15</v>
      </c>
      <c r="M222" s="296" t="s">
        <v>1228</v>
      </c>
      <c r="N222" s="193">
        <v>46173</v>
      </c>
      <c r="O222" s="193">
        <v>46173</v>
      </c>
      <c r="P222" s="251">
        <v>4427000</v>
      </c>
      <c r="Q222" s="192" t="s">
        <v>10</v>
      </c>
      <c r="R222" s="192" t="s">
        <v>259</v>
      </c>
      <c r="S222" s="194" t="s">
        <v>14</v>
      </c>
      <c r="T222" s="64" t="str">
        <f t="shared" si="15"/>
        <v>Đ</v>
      </c>
      <c r="U222" s="66">
        <f t="shared" si="16"/>
        <v>2</v>
      </c>
      <c r="V222" s="62">
        <f t="shared" si="17"/>
        <v>13311</v>
      </c>
    </row>
    <row r="223" spans="1:22" ht="21.6" hidden="1" x14ac:dyDescent="0.3">
      <c r="A223" s="192">
        <v>206</v>
      </c>
      <c r="B223" s="194" t="s">
        <v>818</v>
      </c>
      <c r="C223" s="296" t="s">
        <v>1232</v>
      </c>
      <c r="D223" s="193">
        <v>46148</v>
      </c>
      <c r="E223" s="194" t="s">
        <v>819</v>
      </c>
      <c r="F223" s="296" t="s">
        <v>820</v>
      </c>
      <c r="G223" s="194" t="s">
        <v>1094</v>
      </c>
      <c r="H223" s="286">
        <v>4108334</v>
      </c>
      <c r="I223" s="192">
        <v>8</v>
      </c>
      <c r="J223" s="286">
        <v>328666</v>
      </c>
      <c r="K223" s="194" t="s">
        <v>12</v>
      </c>
      <c r="L223" s="194" t="s">
        <v>15</v>
      </c>
      <c r="M223" s="296" t="s">
        <v>1228</v>
      </c>
      <c r="N223" s="193">
        <v>46173</v>
      </c>
      <c r="O223" s="193">
        <v>46173</v>
      </c>
      <c r="P223" s="251">
        <v>4437000</v>
      </c>
      <c r="Q223" s="192" t="s">
        <v>10</v>
      </c>
      <c r="R223" s="192" t="s">
        <v>259</v>
      </c>
      <c r="S223" s="194" t="s">
        <v>14</v>
      </c>
      <c r="T223" s="64" t="str">
        <f t="shared" si="15"/>
        <v>Đ</v>
      </c>
      <c r="U223" s="66">
        <f t="shared" si="16"/>
        <v>1</v>
      </c>
      <c r="V223" s="62">
        <f t="shared" si="17"/>
        <v>13311</v>
      </c>
    </row>
    <row r="224" spans="1:22" ht="21.6" hidden="1" x14ac:dyDescent="0.3">
      <c r="A224" s="192">
        <v>207</v>
      </c>
      <c r="B224" s="194" t="s">
        <v>818</v>
      </c>
      <c r="C224" s="296" t="s">
        <v>1232</v>
      </c>
      <c r="D224" s="193">
        <v>46148</v>
      </c>
      <c r="E224" s="194" t="s">
        <v>819</v>
      </c>
      <c r="F224" s="296" t="s">
        <v>820</v>
      </c>
      <c r="G224" s="194" t="s">
        <v>1094</v>
      </c>
      <c r="H224" s="286">
        <v>81818</v>
      </c>
      <c r="I224" s="192">
        <v>10</v>
      </c>
      <c r="J224" s="286">
        <v>8182</v>
      </c>
      <c r="K224" s="194" t="s">
        <v>12</v>
      </c>
      <c r="L224" s="194" t="s">
        <v>15</v>
      </c>
      <c r="M224" s="296" t="s">
        <v>1228</v>
      </c>
      <c r="N224" s="193">
        <v>46173</v>
      </c>
      <c r="O224" s="193">
        <v>46173</v>
      </c>
      <c r="P224" s="251">
        <v>90000</v>
      </c>
      <c r="Q224" s="192" t="s">
        <v>10</v>
      </c>
      <c r="R224" s="192" t="s">
        <v>259</v>
      </c>
      <c r="S224" s="194" t="s">
        <v>14</v>
      </c>
      <c r="T224" s="64" t="str">
        <f t="shared" si="15"/>
        <v>Đ</v>
      </c>
      <c r="U224" s="66">
        <f t="shared" si="16"/>
        <v>0</v>
      </c>
      <c r="V224" s="62">
        <f t="shared" si="17"/>
        <v>13311</v>
      </c>
    </row>
    <row r="225" spans="1:22" ht="14.4" hidden="1" x14ac:dyDescent="0.3">
      <c r="A225" s="192">
        <v>208</v>
      </c>
      <c r="B225" s="194" t="s">
        <v>343</v>
      </c>
      <c r="C225" s="296" t="s">
        <v>1233</v>
      </c>
      <c r="D225" s="193">
        <v>46150</v>
      </c>
      <c r="E225" s="194" t="s">
        <v>817</v>
      </c>
      <c r="F225" s="296" t="s">
        <v>344</v>
      </c>
      <c r="G225" s="194" t="s">
        <v>1094</v>
      </c>
      <c r="H225" s="286">
        <v>72727</v>
      </c>
      <c r="I225" s="192">
        <v>10</v>
      </c>
      <c r="J225" s="286">
        <v>7273</v>
      </c>
      <c r="K225" s="194" t="s">
        <v>12</v>
      </c>
      <c r="L225" s="194" t="s">
        <v>15</v>
      </c>
      <c r="M225" s="296" t="s">
        <v>1228</v>
      </c>
      <c r="N225" s="193">
        <v>46173</v>
      </c>
      <c r="O225" s="193">
        <v>46173</v>
      </c>
      <c r="P225" s="251">
        <v>80000</v>
      </c>
      <c r="Q225" s="192" t="s">
        <v>10</v>
      </c>
      <c r="R225" s="192" t="s">
        <v>259</v>
      </c>
      <c r="S225" s="194" t="s">
        <v>14</v>
      </c>
      <c r="T225" s="64" t="str">
        <f t="shared" si="15"/>
        <v>Đ</v>
      </c>
      <c r="U225" s="66">
        <f t="shared" si="16"/>
        <v>0</v>
      </c>
      <c r="V225" s="62">
        <f t="shared" si="17"/>
        <v>13311</v>
      </c>
    </row>
    <row r="226" spans="1:22" ht="14.4" hidden="1" x14ac:dyDescent="0.3">
      <c r="A226" s="192">
        <v>209</v>
      </c>
      <c r="B226" s="194" t="s">
        <v>343</v>
      </c>
      <c r="C226" s="296" t="s">
        <v>1233</v>
      </c>
      <c r="D226" s="193">
        <v>46150</v>
      </c>
      <c r="E226" s="194" t="s">
        <v>817</v>
      </c>
      <c r="F226" s="296" t="s">
        <v>344</v>
      </c>
      <c r="G226" s="194" t="s">
        <v>1094</v>
      </c>
      <c r="H226" s="286">
        <v>4106482</v>
      </c>
      <c r="I226" s="192">
        <v>8</v>
      </c>
      <c r="J226" s="286">
        <v>328518</v>
      </c>
      <c r="K226" s="194" t="s">
        <v>12</v>
      </c>
      <c r="L226" s="194" t="s">
        <v>15</v>
      </c>
      <c r="M226" s="296" t="s">
        <v>1228</v>
      </c>
      <c r="N226" s="193">
        <v>46173</v>
      </c>
      <c r="O226" s="193">
        <v>46173</v>
      </c>
      <c r="P226" s="251">
        <v>4435000</v>
      </c>
      <c r="Q226" s="192" t="s">
        <v>10</v>
      </c>
      <c r="R226" s="192" t="s">
        <v>259</v>
      </c>
      <c r="S226" s="194" t="s">
        <v>14</v>
      </c>
      <c r="T226" s="64" t="str">
        <f t="shared" si="15"/>
        <v>Đ</v>
      </c>
      <c r="U226" s="66">
        <f t="shared" si="16"/>
        <v>1</v>
      </c>
      <c r="V226" s="62">
        <f t="shared" si="17"/>
        <v>13311</v>
      </c>
    </row>
    <row r="227" spans="1:22" ht="21.6" hidden="1" x14ac:dyDescent="0.3">
      <c r="A227" s="192">
        <v>210</v>
      </c>
      <c r="B227" s="194" t="s">
        <v>818</v>
      </c>
      <c r="C227" s="296" t="s">
        <v>1234</v>
      </c>
      <c r="D227" s="193">
        <v>46150</v>
      </c>
      <c r="E227" s="194" t="s">
        <v>819</v>
      </c>
      <c r="F227" s="296" t="s">
        <v>820</v>
      </c>
      <c r="G227" s="194" t="s">
        <v>1094</v>
      </c>
      <c r="H227" s="286">
        <v>4112964</v>
      </c>
      <c r="I227" s="192">
        <v>8</v>
      </c>
      <c r="J227" s="286">
        <v>329036</v>
      </c>
      <c r="K227" s="194" t="s">
        <v>12</v>
      </c>
      <c r="L227" s="194" t="s">
        <v>15</v>
      </c>
      <c r="M227" s="296" t="s">
        <v>1228</v>
      </c>
      <c r="N227" s="193">
        <v>46173</v>
      </c>
      <c r="O227" s="193">
        <v>46173</v>
      </c>
      <c r="P227" s="251">
        <v>4442000</v>
      </c>
      <c r="Q227" s="192" t="s">
        <v>10</v>
      </c>
      <c r="R227" s="192" t="s">
        <v>259</v>
      </c>
      <c r="S227" s="194" t="s">
        <v>14</v>
      </c>
      <c r="T227" s="64" t="str">
        <f t="shared" si="15"/>
        <v>Đ</v>
      </c>
      <c r="U227" s="66">
        <f t="shared" si="16"/>
        <v>1</v>
      </c>
      <c r="V227" s="62">
        <f t="shared" si="17"/>
        <v>13311</v>
      </c>
    </row>
    <row r="228" spans="1:22" ht="21.6" hidden="1" x14ac:dyDescent="0.3">
      <c r="A228" s="192">
        <v>211</v>
      </c>
      <c r="B228" s="194" t="s">
        <v>818</v>
      </c>
      <c r="C228" s="296" t="s">
        <v>1234</v>
      </c>
      <c r="D228" s="193">
        <v>46150</v>
      </c>
      <c r="E228" s="194" t="s">
        <v>819</v>
      </c>
      <c r="F228" s="296" t="s">
        <v>820</v>
      </c>
      <c r="G228" s="194" t="s">
        <v>1094</v>
      </c>
      <c r="H228" s="286">
        <v>54545</v>
      </c>
      <c r="I228" s="192">
        <v>10</v>
      </c>
      <c r="J228" s="286">
        <v>5455</v>
      </c>
      <c r="K228" s="194" t="s">
        <v>12</v>
      </c>
      <c r="L228" s="194" t="s">
        <v>15</v>
      </c>
      <c r="M228" s="296" t="s">
        <v>1228</v>
      </c>
      <c r="N228" s="193">
        <v>46173</v>
      </c>
      <c r="O228" s="193">
        <v>46173</v>
      </c>
      <c r="P228" s="251">
        <v>60000</v>
      </c>
      <c r="Q228" s="192" t="s">
        <v>10</v>
      </c>
      <c r="R228" s="192" t="s">
        <v>259</v>
      </c>
      <c r="S228" s="194" t="s">
        <v>14</v>
      </c>
      <c r="T228" s="64" t="str">
        <f t="shared" si="15"/>
        <v>Đ</v>
      </c>
      <c r="U228" s="66">
        <f t="shared" si="16"/>
        <v>0</v>
      </c>
      <c r="V228" s="62">
        <f t="shared" si="17"/>
        <v>13311</v>
      </c>
    </row>
    <row r="229" spans="1:22" ht="14.4" hidden="1" x14ac:dyDescent="0.3">
      <c r="A229" s="192">
        <v>212</v>
      </c>
      <c r="B229" s="194" t="s">
        <v>1229</v>
      </c>
      <c r="C229" s="296" t="s">
        <v>1235</v>
      </c>
      <c r="D229" s="193">
        <v>46153</v>
      </c>
      <c r="E229" s="194" t="s">
        <v>834</v>
      </c>
      <c r="F229" s="296" t="s">
        <v>835</v>
      </c>
      <c r="G229" s="194" t="s">
        <v>1094</v>
      </c>
      <c r="H229" s="286">
        <v>4183333</v>
      </c>
      <c r="I229" s="192">
        <v>8</v>
      </c>
      <c r="J229" s="286">
        <v>334667</v>
      </c>
      <c r="K229" s="194" t="s">
        <v>12</v>
      </c>
      <c r="L229" s="194" t="s">
        <v>15</v>
      </c>
      <c r="M229" s="296" t="s">
        <v>1228</v>
      </c>
      <c r="N229" s="193">
        <v>46173</v>
      </c>
      <c r="O229" s="193">
        <v>46173</v>
      </c>
      <c r="P229" s="251">
        <v>4518000</v>
      </c>
      <c r="Q229" s="192" t="s">
        <v>10</v>
      </c>
      <c r="R229" s="192" t="s">
        <v>259</v>
      </c>
      <c r="S229" s="194" t="s">
        <v>14</v>
      </c>
      <c r="T229" s="64" t="str">
        <f t="shared" si="15"/>
        <v>Đ</v>
      </c>
      <c r="U229" s="66">
        <f t="shared" si="16"/>
        <v>0</v>
      </c>
      <c r="V229" s="62">
        <f t="shared" si="17"/>
        <v>13311</v>
      </c>
    </row>
    <row r="230" spans="1:22" ht="14.4" hidden="1" x14ac:dyDescent="0.3">
      <c r="A230" s="192">
        <v>213</v>
      </c>
      <c r="B230" s="194" t="s">
        <v>1236</v>
      </c>
      <c r="C230" s="296" t="s">
        <v>1237</v>
      </c>
      <c r="D230" s="193">
        <v>46153</v>
      </c>
      <c r="E230" s="194" t="s">
        <v>1238</v>
      </c>
      <c r="F230" s="296" t="s">
        <v>1239</v>
      </c>
      <c r="G230" s="194" t="s">
        <v>1240</v>
      </c>
      <c r="H230" s="286">
        <v>226852</v>
      </c>
      <c r="I230" s="192">
        <v>8</v>
      </c>
      <c r="J230" s="286">
        <v>18148</v>
      </c>
      <c r="K230" s="194" t="s">
        <v>12</v>
      </c>
      <c r="L230" s="194" t="s">
        <v>15</v>
      </c>
      <c r="M230" s="296" t="s">
        <v>1228</v>
      </c>
      <c r="N230" s="193">
        <v>46173</v>
      </c>
      <c r="O230" s="193">
        <v>46173</v>
      </c>
      <c r="P230" s="251">
        <v>245000</v>
      </c>
      <c r="Q230" s="192" t="s">
        <v>10</v>
      </c>
      <c r="R230" s="192" t="s">
        <v>259</v>
      </c>
      <c r="S230" s="194" t="s">
        <v>14</v>
      </c>
      <c r="T230" s="64" t="str">
        <f t="shared" si="15"/>
        <v>Đ</v>
      </c>
      <c r="U230" s="66">
        <f t="shared" si="16"/>
        <v>0</v>
      </c>
      <c r="V230" s="62">
        <f t="shared" si="17"/>
        <v>13311</v>
      </c>
    </row>
    <row r="231" spans="1:22" ht="14.4" hidden="1" x14ac:dyDescent="0.3">
      <c r="A231" s="192">
        <v>214</v>
      </c>
      <c r="B231" s="194" t="s">
        <v>343</v>
      </c>
      <c r="C231" s="296" t="s">
        <v>1241</v>
      </c>
      <c r="D231" s="193">
        <v>46154</v>
      </c>
      <c r="E231" s="194" t="s">
        <v>817</v>
      </c>
      <c r="F231" s="296" t="s">
        <v>344</v>
      </c>
      <c r="G231" s="194" t="s">
        <v>1094</v>
      </c>
      <c r="H231" s="286">
        <v>64000</v>
      </c>
      <c r="I231" s="192">
        <v>10</v>
      </c>
      <c r="J231" s="286">
        <v>6400</v>
      </c>
      <c r="K231" s="194" t="s">
        <v>12</v>
      </c>
      <c r="L231" s="194" t="s">
        <v>15</v>
      </c>
      <c r="M231" s="296" t="s">
        <v>1228</v>
      </c>
      <c r="N231" s="193">
        <v>46173</v>
      </c>
      <c r="O231" s="193">
        <v>46173</v>
      </c>
      <c r="P231" s="251">
        <v>70400</v>
      </c>
      <c r="Q231" s="192" t="s">
        <v>10</v>
      </c>
      <c r="R231" s="192" t="s">
        <v>259</v>
      </c>
      <c r="S231" s="194" t="s">
        <v>14</v>
      </c>
      <c r="T231" s="64" t="str">
        <f t="shared" si="15"/>
        <v>Đ</v>
      </c>
      <c r="U231" s="66">
        <f t="shared" si="16"/>
        <v>0</v>
      </c>
      <c r="V231" s="62">
        <f t="shared" si="17"/>
        <v>13311</v>
      </c>
    </row>
    <row r="232" spans="1:22" ht="14.4" hidden="1" x14ac:dyDescent="0.3">
      <c r="A232" s="192">
        <v>215</v>
      </c>
      <c r="B232" s="194" t="s">
        <v>343</v>
      </c>
      <c r="C232" s="296" t="s">
        <v>1241</v>
      </c>
      <c r="D232" s="193">
        <v>46154</v>
      </c>
      <c r="E232" s="194" t="s">
        <v>817</v>
      </c>
      <c r="F232" s="296" t="s">
        <v>344</v>
      </c>
      <c r="G232" s="194" t="s">
        <v>1094</v>
      </c>
      <c r="H232" s="286">
        <v>4140000</v>
      </c>
      <c r="I232" s="192">
        <v>8</v>
      </c>
      <c r="J232" s="286">
        <v>331200</v>
      </c>
      <c r="K232" s="194" t="s">
        <v>12</v>
      </c>
      <c r="L232" s="194" t="s">
        <v>15</v>
      </c>
      <c r="M232" s="296" t="s">
        <v>1228</v>
      </c>
      <c r="N232" s="193">
        <v>46173</v>
      </c>
      <c r="O232" s="193">
        <v>46173</v>
      </c>
      <c r="P232" s="251">
        <v>4471200</v>
      </c>
      <c r="Q232" s="192" t="s">
        <v>10</v>
      </c>
      <c r="R232" s="192" t="s">
        <v>259</v>
      </c>
      <c r="S232" s="194" t="s">
        <v>14</v>
      </c>
      <c r="T232" s="64" t="str">
        <f t="shared" si="15"/>
        <v>Đ</v>
      </c>
      <c r="U232" s="66">
        <f t="shared" si="16"/>
        <v>0</v>
      </c>
      <c r="V232" s="62">
        <f t="shared" si="17"/>
        <v>13311</v>
      </c>
    </row>
    <row r="233" spans="1:22" ht="21.6" hidden="1" x14ac:dyDescent="0.3">
      <c r="A233" s="192">
        <v>216</v>
      </c>
      <c r="B233" s="194" t="s">
        <v>818</v>
      </c>
      <c r="C233" s="296" t="s">
        <v>1242</v>
      </c>
      <c r="D233" s="193">
        <v>46155</v>
      </c>
      <c r="E233" s="194" t="s">
        <v>819</v>
      </c>
      <c r="F233" s="296" t="s">
        <v>820</v>
      </c>
      <c r="G233" s="194" t="s">
        <v>1094</v>
      </c>
      <c r="H233" s="286">
        <v>54545</v>
      </c>
      <c r="I233" s="192">
        <v>10</v>
      </c>
      <c r="J233" s="286">
        <v>5455</v>
      </c>
      <c r="K233" s="194" t="s">
        <v>12</v>
      </c>
      <c r="L233" s="194" t="s">
        <v>15</v>
      </c>
      <c r="M233" s="296" t="s">
        <v>1228</v>
      </c>
      <c r="N233" s="193">
        <v>46173</v>
      </c>
      <c r="O233" s="193">
        <v>46173</v>
      </c>
      <c r="P233" s="251">
        <v>60000</v>
      </c>
      <c r="Q233" s="192" t="s">
        <v>10</v>
      </c>
      <c r="R233" s="192" t="s">
        <v>259</v>
      </c>
      <c r="S233" s="194" t="s">
        <v>14</v>
      </c>
      <c r="T233" s="64" t="str">
        <f t="shared" si="15"/>
        <v>Đ</v>
      </c>
      <c r="U233" s="66">
        <f t="shared" si="16"/>
        <v>0</v>
      </c>
      <c r="V233" s="62">
        <f t="shared" si="17"/>
        <v>13311</v>
      </c>
    </row>
    <row r="234" spans="1:22" ht="21.6" hidden="1" x14ac:dyDescent="0.3">
      <c r="A234" s="192">
        <v>217</v>
      </c>
      <c r="B234" s="194" t="s">
        <v>818</v>
      </c>
      <c r="C234" s="296" t="s">
        <v>1242</v>
      </c>
      <c r="D234" s="193">
        <v>46155</v>
      </c>
      <c r="E234" s="194" t="s">
        <v>819</v>
      </c>
      <c r="F234" s="296" t="s">
        <v>820</v>
      </c>
      <c r="G234" s="194" t="s">
        <v>1094</v>
      </c>
      <c r="H234" s="286">
        <v>4072223</v>
      </c>
      <c r="I234" s="192">
        <v>8</v>
      </c>
      <c r="J234" s="286">
        <v>325777</v>
      </c>
      <c r="K234" s="194" t="s">
        <v>12</v>
      </c>
      <c r="L234" s="194" t="s">
        <v>15</v>
      </c>
      <c r="M234" s="296" t="s">
        <v>1228</v>
      </c>
      <c r="N234" s="193">
        <v>46173</v>
      </c>
      <c r="O234" s="193">
        <v>46173</v>
      </c>
      <c r="P234" s="251">
        <v>4398000</v>
      </c>
      <c r="Q234" s="192" t="s">
        <v>10</v>
      </c>
      <c r="R234" s="192" t="s">
        <v>259</v>
      </c>
      <c r="S234" s="194" t="s">
        <v>14</v>
      </c>
      <c r="T234" s="64" t="str">
        <f t="shared" si="15"/>
        <v>Đ</v>
      </c>
      <c r="U234" s="66">
        <f t="shared" si="16"/>
        <v>1</v>
      </c>
      <c r="V234" s="62">
        <f t="shared" si="17"/>
        <v>13311</v>
      </c>
    </row>
    <row r="235" spans="1:22" ht="14.4" hidden="1" x14ac:dyDescent="0.3">
      <c r="A235" s="192">
        <v>218</v>
      </c>
      <c r="B235" s="194" t="s">
        <v>1229</v>
      </c>
      <c r="C235" s="296" t="s">
        <v>1243</v>
      </c>
      <c r="D235" s="193">
        <v>46156</v>
      </c>
      <c r="E235" s="194" t="s">
        <v>834</v>
      </c>
      <c r="F235" s="296" t="s">
        <v>835</v>
      </c>
      <c r="G235" s="194" t="s">
        <v>1094</v>
      </c>
      <c r="H235" s="286">
        <v>4199074</v>
      </c>
      <c r="I235" s="192">
        <v>8</v>
      </c>
      <c r="J235" s="286">
        <v>335926</v>
      </c>
      <c r="K235" s="194" t="s">
        <v>12</v>
      </c>
      <c r="L235" s="194" t="s">
        <v>15</v>
      </c>
      <c r="M235" s="296" t="s">
        <v>1228</v>
      </c>
      <c r="N235" s="193">
        <v>46173</v>
      </c>
      <c r="O235" s="193">
        <v>46173</v>
      </c>
      <c r="P235" s="251">
        <v>4535000</v>
      </c>
      <c r="Q235" s="192" t="s">
        <v>10</v>
      </c>
      <c r="R235" s="192" t="s">
        <v>259</v>
      </c>
      <c r="S235" s="194" t="s">
        <v>14</v>
      </c>
      <c r="T235" s="64" t="str">
        <f t="shared" si="15"/>
        <v>Đ</v>
      </c>
      <c r="U235" s="66">
        <f t="shared" si="16"/>
        <v>0</v>
      </c>
      <c r="V235" s="62">
        <f t="shared" si="17"/>
        <v>13311</v>
      </c>
    </row>
    <row r="236" spans="1:22" ht="14.4" hidden="1" x14ac:dyDescent="0.3">
      <c r="A236" s="192">
        <v>219</v>
      </c>
      <c r="B236" s="194" t="s">
        <v>1229</v>
      </c>
      <c r="C236" s="296" t="s">
        <v>1243</v>
      </c>
      <c r="D236" s="193">
        <v>46156</v>
      </c>
      <c r="E236" s="194" t="s">
        <v>834</v>
      </c>
      <c r="F236" s="296" t="s">
        <v>835</v>
      </c>
      <c r="G236" s="194" t="s">
        <v>1094</v>
      </c>
      <c r="H236" s="286">
        <v>27273</v>
      </c>
      <c r="I236" s="192">
        <v>10</v>
      </c>
      <c r="J236" s="286">
        <v>2727</v>
      </c>
      <c r="K236" s="194" t="s">
        <v>12</v>
      </c>
      <c r="L236" s="194" t="s">
        <v>15</v>
      </c>
      <c r="M236" s="296" t="s">
        <v>1228</v>
      </c>
      <c r="N236" s="193">
        <v>46173</v>
      </c>
      <c r="O236" s="193">
        <v>46173</v>
      </c>
      <c r="P236" s="251">
        <v>30000</v>
      </c>
      <c r="Q236" s="192" t="s">
        <v>10</v>
      </c>
      <c r="R236" s="192" t="s">
        <v>259</v>
      </c>
      <c r="S236" s="194" t="s">
        <v>14</v>
      </c>
      <c r="T236" s="64" t="str">
        <f t="shared" si="15"/>
        <v>Đ</v>
      </c>
      <c r="U236" s="66">
        <f t="shared" si="16"/>
        <v>0</v>
      </c>
      <c r="V236" s="62">
        <f t="shared" si="17"/>
        <v>13311</v>
      </c>
    </row>
    <row r="237" spans="1:22" ht="21.6" hidden="1" x14ac:dyDescent="0.3">
      <c r="A237" s="192">
        <v>220</v>
      </c>
      <c r="B237" s="194" t="s">
        <v>867</v>
      </c>
      <c r="C237" s="296" t="s">
        <v>1244</v>
      </c>
      <c r="D237" s="193">
        <v>46156</v>
      </c>
      <c r="E237" s="194" t="s">
        <v>868</v>
      </c>
      <c r="F237" s="296" t="s">
        <v>869</v>
      </c>
      <c r="G237" s="194" t="s">
        <v>1245</v>
      </c>
      <c r="H237" s="286">
        <v>300000</v>
      </c>
      <c r="I237" s="192">
        <v>8</v>
      </c>
      <c r="J237" s="286">
        <v>24000</v>
      </c>
      <c r="K237" s="194" t="s">
        <v>12</v>
      </c>
      <c r="L237" s="194" t="s">
        <v>15</v>
      </c>
      <c r="M237" s="296" t="s">
        <v>1228</v>
      </c>
      <c r="N237" s="193">
        <v>46173</v>
      </c>
      <c r="O237" s="193">
        <v>46173</v>
      </c>
      <c r="P237" s="251">
        <v>324000</v>
      </c>
      <c r="Q237" s="192" t="s">
        <v>10</v>
      </c>
      <c r="R237" s="192" t="s">
        <v>259</v>
      </c>
      <c r="S237" s="194" t="s">
        <v>14</v>
      </c>
      <c r="T237" s="64" t="str">
        <f t="shared" si="15"/>
        <v>Đ</v>
      </c>
      <c r="U237" s="66">
        <f t="shared" si="16"/>
        <v>0</v>
      </c>
      <c r="V237" s="62">
        <f t="shared" si="17"/>
        <v>13311</v>
      </c>
    </row>
    <row r="238" spans="1:22" ht="14.4" hidden="1" x14ac:dyDescent="0.3">
      <c r="A238" s="192">
        <v>221</v>
      </c>
      <c r="B238" s="194" t="s">
        <v>343</v>
      </c>
      <c r="C238" s="296" t="s">
        <v>1246</v>
      </c>
      <c r="D238" s="193">
        <v>46157</v>
      </c>
      <c r="E238" s="194" t="s">
        <v>817</v>
      </c>
      <c r="F238" s="296" t="s">
        <v>344</v>
      </c>
      <c r="G238" s="194" t="s">
        <v>1094</v>
      </c>
      <c r="H238" s="286">
        <v>4179000</v>
      </c>
      <c r="I238" s="192">
        <v>8</v>
      </c>
      <c r="J238" s="286">
        <v>334320</v>
      </c>
      <c r="K238" s="194" t="s">
        <v>12</v>
      </c>
      <c r="L238" s="194" t="s">
        <v>15</v>
      </c>
      <c r="M238" s="296" t="s">
        <v>1228</v>
      </c>
      <c r="N238" s="193">
        <v>46173</v>
      </c>
      <c r="O238" s="193">
        <v>46173</v>
      </c>
      <c r="P238" s="251">
        <v>4513320</v>
      </c>
      <c r="Q238" s="192" t="s">
        <v>10</v>
      </c>
      <c r="R238" s="192" t="s">
        <v>259</v>
      </c>
      <c r="S238" s="194" t="s">
        <v>14</v>
      </c>
      <c r="T238" s="64" t="str">
        <f t="shared" si="15"/>
        <v>Đ</v>
      </c>
      <c r="U238" s="66">
        <f t="shared" si="16"/>
        <v>0</v>
      </c>
      <c r="V238" s="62">
        <f t="shared" si="17"/>
        <v>13311</v>
      </c>
    </row>
    <row r="239" spans="1:22" ht="14.4" hidden="1" x14ac:dyDescent="0.3">
      <c r="A239" s="192">
        <v>222</v>
      </c>
      <c r="B239" s="194" t="s">
        <v>1247</v>
      </c>
      <c r="C239" s="296" t="s">
        <v>1248</v>
      </c>
      <c r="D239" s="193">
        <v>46158</v>
      </c>
      <c r="E239" s="194" t="s">
        <v>1093</v>
      </c>
      <c r="F239" s="296" t="s">
        <v>198</v>
      </c>
      <c r="G239" s="194" t="s">
        <v>1094</v>
      </c>
      <c r="H239" s="286">
        <v>32000</v>
      </c>
      <c r="I239" s="192">
        <v>10</v>
      </c>
      <c r="J239" s="286">
        <v>3200</v>
      </c>
      <c r="K239" s="194" t="s">
        <v>12</v>
      </c>
      <c r="L239" s="194" t="s">
        <v>15</v>
      </c>
      <c r="M239" s="296" t="s">
        <v>1228</v>
      </c>
      <c r="N239" s="193">
        <v>46173</v>
      </c>
      <c r="O239" s="193">
        <v>46173</v>
      </c>
      <c r="P239" s="251">
        <v>35200</v>
      </c>
      <c r="Q239" s="192" t="s">
        <v>10</v>
      </c>
      <c r="R239" s="192" t="s">
        <v>259</v>
      </c>
      <c r="S239" s="194" t="s">
        <v>14</v>
      </c>
      <c r="T239" s="64" t="str">
        <f t="shared" si="15"/>
        <v>Đ</v>
      </c>
      <c r="U239" s="66">
        <f t="shared" si="16"/>
        <v>0</v>
      </c>
      <c r="V239" s="62">
        <f t="shared" si="17"/>
        <v>13311</v>
      </c>
    </row>
    <row r="240" spans="1:22" ht="14.4" hidden="1" x14ac:dyDescent="0.3">
      <c r="A240" s="192">
        <v>223</v>
      </c>
      <c r="B240" s="194" t="s">
        <v>1247</v>
      </c>
      <c r="C240" s="296" t="s">
        <v>1248</v>
      </c>
      <c r="D240" s="193">
        <v>46158</v>
      </c>
      <c r="E240" s="194" t="s">
        <v>1093</v>
      </c>
      <c r="F240" s="296" t="s">
        <v>198</v>
      </c>
      <c r="G240" s="194" t="s">
        <v>1094</v>
      </c>
      <c r="H240" s="286">
        <v>4507593</v>
      </c>
      <c r="I240" s="192">
        <v>8</v>
      </c>
      <c r="J240" s="286">
        <v>360607</v>
      </c>
      <c r="K240" s="194" t="s">
        <v>12</v>
      </c>
      <c r="L240" s="194" t="s">
        <v>15</v>
      </c>
      <c r="M240" s="296" t="s">
        <v>1228</v>
      </c>
      <c r="N240" s="193">
        <v>46173</v>
      </c>
      <c r="O240" s="193">
        <v>46173</v>
      </c>
      <c r="P240" s="251">
        <v>4868200</v>
      </c>
      <c r="Q240" s="192" t="s">
        <v>10</v>
      </c>
      <c r="R240" s="192" t="s">
        <v>259</v>
      </c>
      <c r="S240" s="194" t="s">
        <v>14</v>
      </c>
      <c r="T240" s="64" t="str">
        <f t="shared" si="15"/>
        <v>Đ</v>
      </c>
      <c r="U240" s="66">
        <f t="shared" si="16"/>
        <v>0</v>
      </c>
      <c r="V240" s="62">
        <f t="shared" si="17"/>
        <v>13311</v>
      </c>
    </row>
    <row r="241" spans="1:22" ht="14.4" hidden="1" x14ac:dyDescent="0.3">
      <c r="A241" s="192">
        <v>224</v>
      </c>
      <c r="B241" s="194" t="s">
        <v>879</v>
      </c>
      <c r="C241" s="296" t="s">
        <v>1249</v>
      </c>
      <c r="D241" s="193">
        <v>46158</v>
      </c>
      <c r="E241" s="194" t="s">
        <v>1250</v>
      </c>
      <c r="F241" s="296" t="s">
        <v>880</v>
      </c>
      <c r="G241" s="194" t="s">
        <v>1240</v>
      </c>
      <c r="H241" s="286">
        <v>333333</v>
      </c>
      <c r="I241" s="192">
        <v>8</v>
      </c>
      <c r="J241" s="286">
        <v>26667</v>
      </c>
      <c r="K241" s="194" t="s">
        <v>12</v>
      </c>
      <c r="L241" s="194" t="s">
        <v>15</v>
      </c>
      <c r="M241" s="296" t="s">
        <v>1228</v>
      </c>
      <c r="N241" s="193">
        <v>46173</v>
      </c>
      <c r="O241" s="193">
        <v>46173</v>
      </c>
      <c r="P241" s="251">
        <v>360000</v>
      </c>
      <c r="Q241" s="192" t="s">
        <v>10</v>
      </c>
      <c r="R241" s="192" t="s">
        <v>259</v>
      </c>
      <c r="S241" s="194" t="s">
        <v>14</v>
      </c>
      <c r="T241" s="64" t="str">
        <f t="shared" si="15"/>
        <v>Đ</v>
      </c>
      <c r="U241" s="66">
        <f t="shared" si="16"/>
        <v>0</v>
      </c>
      <c r="V241" s="62">
        <f t="shared" si="17"/>
        <v>13311</v>
      </c>
    </row>
    <row r="242" spans="1:22" ht="14.4" hidden="1" x14ac:dyDescent="0.3">
      <c r="A242" s="192">
        <v>225</v>
      </c>
      <c r="B242" s="194" t="s">
        <v>879</v>
      </c>
      <c r="C242" s="296" t="s">
        <v>1251</v>
      </c>
      <c r="D242" s="193">
        <v>46160</v>
      </c>
      <c r="E242" s="194" t="s">
        <v>1250</v>
      </c>
      <c r="F242" s="296" t="s">
        <v>880</v>
      </c>
      <c r="G242" s="194" t="s">
        <v>1240</v>
      </c>
      <c r="H242" s="286">
        <v>250000</v>
      </c>
      <c r="I242" s="192">
        <v>8</v>
      </c>
      <c r="J242" s="286">
        <v>20000</v>
      </c>
      <c r="K242" s="194" t="s">
        <v>12</v>
      </c>
      <c r="L242" s="194" t="s">
        <v>15</v>
      </c>
      <c r="M242" s="296" t="s">
        <v>1228</v>
      </c>
      <c r="N242" s="193">
        <v>46173</v>
      </c>
      <c r="O242" s="193">
        <v>46173</v>
      </c>
      <c r="P242" s="251">
        <v>270000</v>
      </c>
      <c r="Q242" s="192" t="s">
        <v>10</v>
      </c>
      <c r="R242" s="192" t="s">
        <v>259</v>
      </c>
      <c r="S242" s="194" t="s">
        <v>14</v>
      </c>
      <c r="T242" s="64" t="str">
        <f t="shared" si="15"/>
        <v>Đ</v>
      </c>
      <c r="U242" s="66">
        <f t="shared" si="16"/>
        <v>0</v>
      </c>
      <c r="V242" s="62">
        <f t="shared" si="17"/>
        <v>13311</v>
      </c>
    </row>
    <row r="243" spans="1:22" ht="21.6" hidden="1" x14ac:dyDescent="0.3">
      <c r="A243" s="192">
        <v>226</v>
      </c>
      <c r="B243" s="194" t="s">
        <v>830</v>
      </c>
      <c r="C243" s="296" t="s">
        <v>1252</v>
      </c>
      <c r="D243" s="193">
        <v>46161</v>
      </c>
      <c r="E243" s="194" t="s">
        <v>868</v>
      </c>
      <c r="F243" s="296" t="s">
        <v>869</v>
      </c>
      <c r="G243" s="194" t="s">
        <v>1245</v>
      </c>
      <c r="H243" s="286">
        <v>227273</v>
      </c>
      <c r="I243" s="192">
        <v>8</v>
      </c>
      <c r="J243" s="286">
        <v>18182</v>
      </c>
      <c r="K243" s="194" t="s">
        <v>12</v>
      </c>
      <c r="L243" s="194" t="s">
        <v>15</v>
      </c>
      <c r="M243" s="296" t="s">
        <v>1228</v>
      </c>
      <c r="N243" s="193">
        <v>46173</v>
      </c>
      <c r="O243" s="193">
        <v>46173</v>
      </c>
      <c r="P243" s="251">
        <v>245455</v>
      </c>
      <c r="Q243" s="192" t="s">
        <v>10</v>
      </c>
      <c r="R243" s="192" t="s">
        <v>259</v>
      </c>
      <c r="S243" s="194" t="s">
        <v>14</v>
      </c>
      <c r="T243" s="64" t="str">
        <f t="shared" si="15"/>
        <v>Đ</v>
      </c>
      <c r="U243" s="66">
        <f t="shared" si="16"/>
        <v>0</v>
      </c>
      <c r="V243" s="62">
        <f t="shared" si="17"/>
        <v>13311</v>
      </c>
    </row>
    <row r="244" spans="1:22" ht="21.6" hidden="1" x14ac:dyDescent="0.3">
      <c r="A244" s="192">
        <v>227</v>
      </c>
      <c r="B244" s="194" t="s">
        <v>830</v>
      </c>
      <c r="C244" s="296" t="s">
        <v>1253</v>
      </c>
      <c r="D244" s="193">
        <v>46161</v>
      </c>
      <c r="E244" s="194" t="s">
        <v>868</v>
      </c>
      <c r="F244" s="296" t="s">
        <v>869</v>
      </c>
      <c r="G244" s="194" t="s">
        <v>1245</v>
      </c>
      <c r="H244" s="286">
        <v>263636</v>
      </c>
      <c r="I244" s="192">
        <v>8</v>
      </c>
      <c r="J244" s="286">
        <v>21091</v>
      </c>
      <c r="K244" s="194" t="s">
        <v>12</v>
      </c>
      <c r="L244" s="194" t="s">
        <v>15</v>
      </c>
      <c r="M244" s="296" t="s">
        <v>1228</v>
      </c>
      <c r="N244" s="193">
        <v>46173</v>
      </c>
      <c r="O244" s="193">
        <v>46173</v>
      </c>
      <c r="P244" s="251">
        <v>284727</v>
      </c>
      <c r="Q244" s="192" t="s">
        <v>10</v>
      </c>
      <c r="R244" s="192" t="s">
        <v>259</v>
      </c>
      <c r="S244" s="194" t="s">
        <v>14</v>
      </c>
      <c r="T244" s="64" t="str">
        <f t="shared" si="15"/>
        <v>Đ</v>
      </c>
      <c r="U244" s="66">
        <f t="shared" si="16"/>
        <v>0</v>
      </c>
      <c r="V244" s="62">
        <f t="shared" si="17"/>
        <v>13311</v>
      </c>
    </row>
    <row r="245" spans="1:22" ht="21.6" hidden="1" x14ac:dyDescent="0.3">
      <c r="A245" s="192">
        <v>228</v>
      </c>
      <c r="B245" s="194" t="s">
        <v>830</v>
      </c>
      <c r="C245" s="296" t="s">
        <v>1254</v>
      </c>
      <c r="D245" s="193">
        <v>46161</v>
      </c>
      <c r="E245" s="194" t="s">
        <v>868</v>
      </c>
      <c r="F245" s="296" t="s">
        <v>869</v>
      </c>
      <c r="G245" s="194" t="s">
        <v>1245</v>
      </c>
      <c r="H245" s="286">
        <v>263636</v>
      </c>
      <c r="I245" s="192">
        <v>8</v>
      </c>
      <c r="J245" s="286">
        <v>21091</v>
      </c>
      <c r="K245" s="194" t="s">
        <v>12</v>
      </c>
      <c r="L245" s="194" t="s">
        <v>15</v>
      </c>
      <c r="M245" s="296" t="s">
        <v>1228</v>
      </c>
      <c r="N245" s="193">
        <v>46173</v>
      </c>
      <c r="O245" s="193">
        <v>46173</v>
      </c>
      <c r="P245" s="251">
        <v>284727</v>
      </c>
      <c r="Q245" s="192" t="s">
        <v>10</v>
      </c>
      <c r="R245" s="192" t="s">
        <v>259</v>
      </c>
      <c r="S245" s="194" t="s">
        <v>14</v>
      </c>
      <c r="T245" s="64" t="str">
        <f t="shared" si="15"/>
        <v>Đ</v>
      </c>
      <c r="U245" s="66">
        <f t="shared" si="16"/>
        <v>0</v>
      </c>
      <c r="V245" s="62">
        <f t="shared" si="17"/>
        <v>13311</v>
      </c>
    </row>
    <row r="246" spans="1:22" ht="21.6" hidden="1" x14ac:dyDescent="0.3">
      <c r="A246" s="192">
        <v>229</v>
      </c>
      <c r="B246" s="194" t="s">
        <v>830</v>
      </c>
      <c r="C246" s="296" t="s">
        <v>1255</v>
      </c>
      <c r="D246" s="193">
        <v>46161</v>
      </c>
      <c r="E246" s="194" t="s">
        <v>868</v>
      </c>
      <c r="F246" s="296" t="s">
        <v>869</v>
      </c>
      <c r="G246" s="194" t="s">
        <v>1245</v>
      </c>
      <c r="H246" s="286">
        <v>300000</v>
      </c>
      <c r="I246" s="192">
        <v>8</v>
      </c>
      <c r="J246" s="286">
        <v>24000</v>
      </c>
      <c r="K246" s="194" t="s">
        <v>12</v>
      </c>
      <c r="L246" s="194" t="s">
        <v>15</v>
      </c>
      <c r="M246" s="296" t="s">
        <v>1228</v>
      </c>
      <c r="N246" s="193">
        <v>46173</v>
      </c>
      <c r="O246" s="193">
        <v>46173</v>
      </c>
      <c r="P246" s="251">
        <v>324000</v>
      </c>
      <c r="Q246" s="192" t="s">
        <v>10</v>
      </c>
      <c r="R246" s="192" t="s">
        <v>259</v>
      </c>
      <c r="S246" s="194" t="s">
        <v>14</v>
      </c>
      <c r="T246" s="64" t="str">
        <f t="shared" si="15"/>
        <v>Đ</v>
      </c>
      <c r="U246" s="66">
        <f t="shared" si="16"/>
        <v>0</v>
      </c>
      <c r="V246" s="62">
        <f t="shared" si="17"/>
        <v>13311</v>
      </c>
    </row>
    <row r="247" spans="1:22" ht="21.6" hidden="1" x14ac:dyDescent="0.3">
      <c r="A247" s="192">
        <v>230</v>
      </c>
      <c r="B247" s="194" t="s">
        <v>830</v>
      </c>
      <c r="C247" s="296" t="s">
        <v>1256</v>
      </c>
      <c r="D247" s="193">
        <v>46161</v>
      </c>
      <c r="E247" s="194" t="s">
        <v>868</v>
      </c>
      <c r="F247" s="296" t="s">
        <v>869</v>
      </c>
      <c r="G247" s="194" t="s">
        <v>1245</v>
      </c>
      <c r="H247" s="286">
        <v>300000</v>
      </c>
      <c r="I247" s="192">
        <v>8</v>
      </c>
      <c r="J247" s="286">
        <v>24000</v>
      </c>
      <c r="K247" s="194" t="s">
        <v>12</v>
      </c>
      <c r="L247" s="194" t="s">
        <v>15</v>
      </c>
      <c r="M247" s="296" t="s">
        <v>1228</v>
      </c>
      <c r="N247" s="193">
        <v>46173</v>
      </c>
      <c r="O247" s="193">
        <v>46173</v>
      </c>
      <c r="P247" s="251">
        <v>324000</v>
      </c>
      <c r="Q247" s="192" t="s">
        <v>10</v>
      </c>
      <c r="R247" s="192" t="s">
        <v>259</v>
      </c>
      <c r="S247" s="194" t="s">
        <v>14</v>
      </c>
      <c r="T247" s="64" t="str">
        <f t="shared" si="15"/>
        <v>Đ</v>
      </c>
      <c r="U247" s="66">
        <f t="shared" si="16"/>
        <v>0</v>
      </c>
      <c r="V247" s="62">
        <f t="shared" si="17"/>
        <v>13311</v>
      </c>
    </row>
    <row r="248" spans="1:22" ht="21.6" hidden="1" x14ac:dyDescent="0.3">
      <c r="A248" s="192">
        <v>231</v>
      </c>
      <c r="B248" s="194" t="s">
        <v>830</v>
      </c>
      <c r="C248" s="296" t="s">
        <v>427</v>
      </c>
      <c r="D248" s="193">
        <v>46161</v>
      </c>
      <c r="E248" s="194" t="s">
        <v>868</v>
      </c>
      <c r="F248" s="296" t="s">
        <v>869</v>
      </c>
      <c r="G248" s="194" t="s">
        <v>1257</v>
      </c>
      <c r="H248" s="286">
        <v>1818181</v>
      </c>
      <c r="I248" s="192">
        <v>8</v>
      </c>
      <c r="J248" s="286">
        <v>145454</v>
      </c>
      <c r="K248" s="194" t="s">
        <v>12</v>
      </c>
      <c r="L248" s="194" t="s">
        <v>15</v>
      </c>
      <c r="M248" s="296" t="s">
        <v>1228</v>
      </c>
      <c r="N248" s="193">
        <v>46173</v>
      </c>
      <c r="O248" s="193">
        <v>46173</v>
      </c>
      <c r="P248" s="251">
        <v>1963635</v>
      </c>
      <c r="Q248" s="192" t="s">
        <v>10</v>
      </c>
      <c r="R248" s="192" t="s">
        <v>259</v>
      </c>
      <c r="S248" s="194" t="s">
        <v>14</v>
      </c>
      <c r="T248" s="64" t="str">
        <f t="shared" si="15"/>
        <v>Đ</v>
      </c>
      <c r="U248" s="66">
        <f t="shared" si="16"/>
        <v>0</v>
      </c>
      <c r="V248" s="62">
        <f t="shared" si="17"/>
        <v>13311</v>
      </c>
    </row>
    <row r="249" spans="1:22" ht="14.4" hidden="1" x14ac:dyDescent="0.3">
      <c r="A249" s="192">
        <v>232</v>
      </c>
      <c r="B249" s="194" t="s">
        <v>289</v>
      </c>
      <c r="C249" s="296" t="s">
        <v>1258</v>
      </c>
      <c r="D249" s="193">
        <v>46133</v>
      </c>
      <c r="E249" s="194" t="s">
        <v>1259</v>
      </c>
      <c r="F249" s="296" t="s">
        <v>1260</v>
      </c>
      <c r="G249" s="194" t="s">
        <v>1261</v>
      </c>
      <c r="H249" s="286">
        <v>2240328</v>
      </c>
      <c r="I249" s="192">
        <v>8</v>
      </c>
      <c r="J249" s="286">
        <v>179226</v>
      </c>
      <c r="K249" s="194" t="s">
        <v>12</v>
      </c>
      <c r="L249" s="194" t="s">
        <v>15</v>
      </c>
      <c r="M249" s="296" t="s">
        <v>1228</v>
      </c>
      <c r="N249" s="193">
        <v>46173</v>
      </c>
      <c r="O249" s="193">
        <v>46173</v>
      </c>
      <c r="P249" s="251">
        <v>2419554</v>
      </c>
      <c r="Q249" s="192" t="s">
        <v>10</v>
      </c>
      <c r="R249" s="192" t="s">
        <v>259</v>
      </c>
      <c r="S249" s="194" t="s">
        <v>14</v>
      </c>
      <c r="T249" s="64" t="str">
        <f t="shared" si="15"/>
        <v>Đ</v>
      </c>
      <c r="U249" s="66">
        <f t="shared" si="16"/>
        <v>0</v>
      </c>
      <c r="V249" s="62">
        <f t="shared" si="17"/>
        <v>13311</v>
      </c>
    </row>
    <row r="250" spans="1:22" ht="14.4" hidden="1" x14ac:dyDescent="0.3">
      <c r="A250" s="192">
        <v>233</v>
      </c>
      <c r="B250" s="194" t="s">
        <v>879</v>
      </c>
      <c r="C250" s="296" t="s">
        <v>1262</v>
      </c>
      <c r="D250" s="193">
        <v>46163</v>
      </c>
      <c r="E250" s="194" t="s">
        <v>1250</v>
      </c>
      <c r="F250" s="296" t="s">
        <v>880</v>
      </c>
      <c r="G250" s="194" t="s">
        <v>1240</v>
      </c>
      <c r="H250" s="286">
        <v>388889</v>
      </c>
      <c r="I250" s="192">
        <v>8</v>
      </c>
      <c r="J250" s="286">
        <v>31111</v>
      </c>
      <c r="K250" s="194" t="s">
        <v>12</v>
      </c>
      <c r="L250" s="194" t="s">
        <v>15</v>
      </c>
      <c r="M250" s="296" t="s">
        <v>1228</v>
      </c>
      <c r="N250" s="193">
        <v>46173</v>
      </c>
      <c r="O250" s="193">
        <v>46173</v>
      </c>
      <c r="P250" s="251">
        <v>420000</v>
      </c>
      <c r="Q250" s="192" t="s">
        <v>10</v>
      </c>
      <c r="R250" s="192" t="s">
        <v>259</v>
      </c>
      <c r="S250" s="194" t="s">
        <v>14</v>
      </c>
      <c r="T250" s="64" t="str">
        <f t="shared" si="15"/>
        <v>Đ</v>
      </c>
      <c r="U250" s="66">
        <f t="shared" si="16"/>
        <v>0</v>
      </c>
      <c r="V250" s="62">
        <f t="shared" si="17"/>
        <v>13311</v>
      </c>
    </row>
    <row r="251" spans="1:22" ht="14.4" hidden="1" x14ac:dyDescent="0.3">
      <c r="A251" s="192">
        <v>234</v>
      </c>
      <c r="B251" s="194" t="s">
        <v>601</v>
      </c>
      <c r="C251" s="296" t="s">
        <v>1263</v>
      </c>
      <c r="D251" s="193">
        <v>46134</v>
      </c>
      <c r="E251" s="194" t="s">
        <v>1264</v>
      </c>
      <c r="F251" s="296" t="s">
        <v>1265</v>
      </c>
      <c r="G251" s="194" t="s">
        <v>1068</v>
      </c>
      <c r="H251" s="286">
        <v>300000</v>
      </c>
      <c r="I251" s="192">
        <v>8</v>
      </c>
      <c r="J251" s="286">
        <v>24000</v>
      </c>
      <c r="K251" s="194" t="s">
        <v>12</v>
      </c>
      <c r="L251" s="194" t="s">
        <v>15</v>
      </c>
      <c r="M251" s="296" t="s">
        <v>1228</v>
      </c>
      <c r="N251" s="193">
        <v>46173</v>
      </c>
      <c r="O251" s="193">
        <v>46173</v>
      </c>
      <c r="P251" s="251">
        <v>324000</v>
      </c>
      <c r="Q251" s="192" t="s">
        <v>10</v>
      </c>
      <c r="R251" s="192" t="s">
        <v>259</v>
      </c>
      <c r="S251" s="194" t="s">
        <v>14</v>
      </c>
      <c r="T251" s="64" t="str">
        <f t="shared" si="15"/>
        <v>Đ</v>
      </c>
      <c r="U251" s="66">
        <f t="shared" si="16"/>
        <v>0</v>
      </c>
      <c r="V251" s="62">
        <f t="shared" si="17"/>
        <v>13311</v>
      </c>
    </row>
    <row r="252" spans="1:22" ht="31.8" hidden="1" x14ac:dyDescent="0.3">
      <c r="A252" s="192">
        <v>235</v>
      </c>
      <c r="B252" s="194" t="s">
        <v>1266</v>
      </c>
      <c r="C252" s="296" t="s">
        <v>1267</v>
      </c>
      <c r="D252" s="193">
        <v>46134</v>
      </c>
      <c r="E252" s="194" t="s">
        <v>988</v>
      </c>
      <c r="F252" s="296" t="s">
        <v>824</v>
      </c>
      <c r="G252" s="194" t="s">
        <v>1268</v>
      </c>
      <c r="H252" s="286">
        <v>1000000</v>
      </c>
      <c r="I252" s="192">
        <v>10</v>
      </c>
      <c r="J252" s="286">
        <v>100000</v>
      </c>
      <c r="K252" s="194" t="s">
        <v>12</v>
      </c>
      <c r="L252" s="194" t="s">
        <v>15</v>
      </c>
      <c r="M252" s="296" t="s">
        <v>1228</v>
      </c>
      <c r="N252" s="193">
        <v>46173</v>
      </c>
      <c r="O252" s="193">
        <v>46173</v>
      </c>
      <c r="P252" s="251">
        <v>1100000</v>
      </c>
      <c r="Q252" s="192" t="s">
        <v>10</v>
      </c>
      <c r="R252" s="192" t="s">
        <v>259</v>
      </c>
      <c r="S252" s="194" t="s">
        <v>14</v>
      </c>
      <c r="T252" s="64" t="str">
        <f t="shared" si="15"/>
        <v>Đ</v>
      </c>
      <c r="U252" s="66">
        <f t="shared" si="16"/>
        <v>0</v>
      </c>
      <c r="V252" s="62">
        <f t="shared" si="17"/>
        <v>13311</v>
      </c>
    </row>
    <row r="253" spans="1:22" ht="14.4" hidden="1" x14ac:dyDescent="0.3">
      <c r="A253" s="192">
        <v>236</v>
      </c>
      <c r="B253" s="194" t="s">
        <v>510</v>
      </c>
      <c r="C253" s="296" t="s">
        <v>1269</v>
      </c>
      <c r="D253" s="193">
        <v>46135</v>
      </c>
      <c r="E253" s="194" t="s">
        <v>1064</v>
      </c>
      <c r="F253" s="296" t="s">
        <v>1065</v>
      </c>
      <c r="G253" s="194" t="s">
        <v>1270</v>
      </c>
      <c r="H253" s="286">
        <v>1200000</v>
      </c>
      <c r="I253" s="192">
        <v>8</v>
      </c>
      <c r="J253" s="286">
        <v>96000</v>
      </c>
      <c r="K253" s="194" t="s">
        <v>12</v>
      </c>
      <c r="L253" s="194" t="s">
        <v>15</v>
      </c>
      <c r="M253" s="296" t="s">
        <v>1228</v>
      </c>
      <c r="N253" s="193">
        <v>46173</v>
      </c>
      <c r="O253" s="193">
        <v>46173</v>
      </c>
      <c r="P253" s="251">
        <v>1296000</v>
      </c>
      <c r="Q253" s="192" t="s">
        <v>10</v>
      </c>
      <c r="R253" s="192" t="s">
        <v>259</v>
      </c>
      <c r="S253" s="194" t="s">
        <v>14</v>
      </c>
      <c r="T253" s="64" t="str">
        <f t="shared" si="15"/>
        <v>Đ</v>
      </c>
      <c r="U253" s="66">
        <f t="shared" si="16"/>
        <v>0</v>
      </c>
      <c r="V253" s="62">
        <f t="shared" si="17"/>
        <v>13311</v>
      </c>
    </row>
    <row r="254" spans="1:22" ht="21.6" hidden="1" x14ac:dyDescent="0.3">
      <c r="A254" s="192">
        <v>237</v>
      </c>
      <c r="B254" s="194" t="s">
        <v>510</v>
      </c>
      <c r="C254" s="296" t="s">
        <v>1271</v>
      </c>
      <c r="D254" s="193">
        <v>46136</v>
      </c>
      <c r="E254" s="194" t="s">
        <v>1272</v>
      </c>
      <c r="F254" s="296" t="s">
        <v>1273</v>
      </c>
      <c r="G254" s="194" t="s">
        <v>1270</v>
      </c>
      <c r="H254" s="286">
        <v>300000</v>
      </c>
      <c r="I254" s="192">
        <v>8</v>
      </c>
      <c r="J254" s="286">
        <v>24000</v>
      </c>
      <c r="K254" s="194" t="s">
        <v>12</v>
      </c>
      <c r="L254" s="194" t="s">
        <v>15</v>
      </c>
      <c r="M254" s="296" t="s">
        <v>1228</v>
      </c>
      <c r="N254" s="193">
        <v>46173</v>
      </c>
      <c r="O254" s="193">
        <v>46173</v>
      </c>
      <c r="P254" s="251">
        <v>324000</v>
      </c>
      <c r="Q254" s="192" t="s">
        <v>10</v>
      </c>
      <c r="R254" s="192" t="s">
        <v>259</v>
      </c>
      <c r="S254" s="194" t="s">
        <v>14</v>
      </c>
      <c r="T254" s="64" t="str">
        <f t="shared" si="15"/>
        <v>Đ</v>
      </c>
      <c r="U254" s="66">
        <f t="shared" si="16"/>
        <v>0</v>
      </c>
      <c r="V254" s="62">
        <f t="shared" si="17"/>
        <v>13311</v>
      </c>
    </row>
    <row r="255" spans="1:22" ht="14.4" hidden="1" x14ac:dyDescent="0.3">
      <c r="A255" s="192">
        <v>238</v>
      </c>
      <c r="B255" s="194" t="s">
        <v>879</v>
      </c>
      <c r="C255" s="296" t="s">
        <v>1274</v>
      </c>
      <c r="D255" s="193">
        <v>46167</v>
      </c>
      <c r="E255" s="194" t="s">
        <v>1250</v>
      </c>
      <c r="F255" s="296" t="s">
        <v>880</v>
      </c>
      <c r="G255" s="194" t="s">
        <v>1240</v>
      </c>
      <c r="H255" s="286">
        <v>166667</v>
      </c>
      <c r="I255" s="192">
        <v>8</v>
      </c>
      <c r="J255" s="286">
        <v>13333</v>
      </c>
      <c r="K255" s="194" t="s">
        <v>12</v>
      </c>
      <c r="L255" s="194" t="s">
        <v>15</v>
      </c>
      <c r="M255" s="296" t="s">
        <v>1228</v>
      </c>
      <c r="N255" s="193">
        <v>46173</v>
      </c>
      <c r="O255" s="193">
        <v>46173</v>
      </c>
      <c r="P255" s="251">
        <v>180000</v>
      </c>
      <c r="Q255" s="192" t="s">
        <v>10</v>
      </c>
      <c r="R255" s="192" t="s">
        <v>259</v>
      </c>
      <c r="S255" s="194" t="s">
        <v>14</v>
      </c>
      <c r="T255" s="64" t="str">
        <f t="shared" si="15"/>
        <v>Đ</v>
      </c>
      <c r="U255" s="66">
        <f t="shared" si="16"/>
        <v>0</v>
      </c>
      <c r="V255" s="62">
        <f t="shared" si="17"/>
        <v>13311</v>
      </c>
    </row>
    <row r="256" spans="1:22" ht="21.6" hidden="1" x14ac:dyDescent="0.3">
      <c r="A256" s="192">
        <v>239</v>
      </c>
      <c r="B256" s="194" t="s">
        <v>648</v>
      </c>
      <c r="C256" s="296" t="s">
        <v>785</v>
      </c>
      <c r="D256" s="193">
        <v>46115</v>
      </c>
      <c r="E256" s="194" t="s">
        <v>1275</v>
      </c>
      <c r="F256" s="296" t="s">
        <v>1276</v>
      </c>
      <c r="G256" s="194" t="s">
        <v>456</v>
      </c>
      <c r="H256" s="286">
        <v>1035660</v>
      </c>
      <c r="I256" s="192">
        <v>8</v>
      </c>
      <c r="J256" s="286">
        <v>82853</v>
      </c>
      <c r="K256" s="194" t="s">
        <v>12</v>
      </c>
      <c r="L256" s="194" t="s">
        <v>15</v>
      </c>
      <c r="M256" s="296" t="s">
        <v>1277</v>
      </c>
      <c r="N256" s="193">
        <v>46173</v>
      </c>
      <c r="O256" s="193">
        <v>46173</v>
      </c>
      <c r="P256" s="251">
        <v>1118513</v>
      </c>
      <c r="Q256" s="192" t="s">
        <v>457</v>
      </c>
      <c r="R256" s="192" t="s">
        <v>259</v>
      </c>
      <c r="S256" s="194" t="s">
        <v>14</v>
      </c>
      <c r="T256" s="64" t="str">
        <f t="shared" si="15"/>
        <v>Đ</v>
      </c>
      <c r="U256" s="66">
        <f t="shared" si="16"/>
        <v>0</v>
      </c>
      <c r="V256" s="62">
        <f t="shared" si="17"/>
        <v>13311</v>
      </c>
    </row>
    <row r="257" spans="1:22" ht="21.6" hidden="1" x14ac:dyDescent="0.3">
      <c r="A257" s="192">
        <v>240</v>
      </c>
      <c r="B257" s="194" t="s">
        <v>469</v>
      </c>
      <c r="C257" s="296" t="s">
        <v>486</v>
      </c>
      <c r="D257" s="193">
        <v>46115</v>
      </c>
      <c r="E257" s="194" t="s">
        <v>1278</v>
      </c>
      <c r="F257" s="296" t="s">
        <v>584</v>
      </c>
      <c r="G257" s="194" t="s">
        <v>456</v>
      </c>
      <c r="H257" s="286">
        <v>323715320</v>
      </c>
      <c r="I257" s="192">
        <v>8</v>
      </c>
      <c r="J257" s="286">
        <v>25897226</v>
      </c>
      <c r="K257" s="194" t="s">
        <v>12</v>
      </c>
      <c r="L257" s="194" t="s">
        <v>15</v>
      </c>
      <c r="M257" s="296" t="s">
        <v>1277</v>
      </c>
      <c r="N257" s="193">
        <v>46173</v>
      </c>
      <c r="O257" s="193">
        <v>46173</v>
      </c>
      <c r="P257" s="251">
        <v>349612546</v>
      </c>
      <c r="Q257" s="192" t="s">
        <v>457</v>
      </c>
      <c r="R257" s="192" t="s">
        <v>259</v>
      </c>
      <c r="S257" s="194" t="s">
        <v>14</v>
      </c>
      <c r="T257" s="64" t="str">
        <f t="shared" si="15"/>
        <v>Đ</v>
      </c>
      <c r="U257" s="66">
        <f t="shared" si="16"/>
        <v>0</v>
      </c>
      <c r="V257" s="62">
        <f t="shared" si="17"/>
        <v>13311</v>
      </c>
    </row>
    <row r="258" spans="1:22" ht="21.6" hidden="1" x14ac:dyDescent="0.3">
      <c r="A258" s="192">
        <v>241</v>
      </c>
      <c r="B258" s="194" t="s">
        <v>698</v>
      </c>
      <c r="C258" s="296" t="s">
        <v>1279</v>
      </c>
      <c r="D258" s="193">
        <v>46115</v>
      </c>
      <c r="E258" s="194" t="s">
        <v>699</v>
      </c>
      <c r="F258" s="296" t="s">
        <v>801</v>
      </c>
      <c r="G258" s="194" t="s">
        <v>456</v>
      </c>
      <c r="H258" s="286">
        <v>30105710</v>
      </c>
      <c r="I258" s="192">
        <v>8</v>
      </c>
      <c r="J258" s="286">
        <v>2408457</v>
      </c>
      <c r="K258" s="194" t="s">
        <v>12</v>
      </c>
      <c r="L258" s="194" t="s">
        <v>15</v>
      </c>
      <c r="M258" s="296" t="s">
        <v>1277</v>
      </c>
      <c r="N258" s="193">
        <v>46173</v>
      </c>
      <c r="O258" s="193">
        <v>46173</v>
      </c>
      <c r="P258" s="251">
        <v>32514167</v>
      </c>
      <c r="Q258" s="192" t="s">
        <v>457</v>
      </c>
      <c r="R258" s="192" t="s">
        <v>259</v>
      </c>
      <c r="S258" s="194" t="s">
        <v>14</v>
      </c>
      <c r="T258" s="64" t="str">
        <f t="shared" si="15"/>
        <v>Đ</v>
      </c>
      <c r="U258" s="66">
        <f t="shared" si="16"/>
        <v>0</v>
      </c>
      <c r="V258" s="62">
        <f t="shared" si="17"/>
        <v>13311</v>
      </c>
    </row>
    <row r="259" spans="1:22" ht="21.6" hidden="1" x14ac:dyDescent="0.3">
      <c r="A259" s="192">
        <v>242</v>
      </c>
      <c r="B259" s="194" t="s">
        <v>469</v>
      </c>
      <c r="C259" s="296" t="s">
        <v>309</v>
      </c>
      <c r="D259" s="193">
        <v>46115</v>
      </c>
      <c r="E259" s="194" t="s">
        <v>1278</v>
      </c>
      <c r="F259" s="296" t="s">
        <v>584</v>
      </c>
      <c r="G259" s="194" t="s">
        <v>456</v>
      </c>
      <c r="H259" s="286">
        <v>297242840</v>
      </c>
      <c r="I259" s="192">
        <v>8</v>
      </c>
      <c r="J259" s="286">
        <v>23779427</v>
      </c>
      <c r="K259" s="194" t="s">
        <v>12</v>
      </c>
      <c r="L259" s="194" t="s">
        <v>15</v>
      </c>
      <c r="M259" s="296" t="s">
        <v>1277</v>
      </c>
      <c r="N259" s="193">
        <v>46173</v>
      </c>
      <c r="O259" s="193">
        <v>46173</v>
      </c>
      <c r="P259" s="251">
        <v>321022267</v>
      </c>
      <c r="Q259" s="192" t="s">
        <v>457</v>
      </c>
      <c r="R259" s="192" t="s">
        <v>259</v>
      </c>
      <c r="S259" s="194" t="s">
        <v>14</v>
      </c>
      <c r="T259" s="64" t="str">
        <f t="shared" si="15"/>
        <v>Đ</v>
      </c>
      <c r="U259" s="66">
        <f t="shared" si="16"/>
        <v>0</v>
      </c>
      <c r="V259" s="62">
        <f t="shared" si="17"/>
        <v>13311</v>
      </c>
    </row>
    <row r="260" spans="1:22" ht="21.6" hidden="1" x14ac:dyDescent="0.3">
      <c r="A260" s="192">
        <v>243</v>
      </c>
      <c r="B260" s="194" t="s">
        <v>469</v>
      </c>
      <c r="C260" s="296" t="s">
        <v>495</v>
      </c>
      <c r="D260" s="193">
        <v>46115</v>
      </c>
      <c r="E260" s="194" t="s">
        <v>1278</v>
      </c>
      <c r="F260" s="296" t="s">
        <v>584</v>
      </c>
      <c r="G260" s="194" t="s">
        <v>456</v>
      </c>
      <c r="H260" s="286">
        <v>2393385</v>
      </c>
      <c r="I260" s="192">
        <v>8</v>
      </c>
      <c r="J260" s="286">
        <v>191471</v>
      </c>
      <c r="K260" s="194" t="s">
        <v>12</v>
      </c>
      <c r="L260" s="194" t="s">
        <v>15</v>
      </c>
      <c r="M260" s="296" t="s">
        <v>1277</v>
      </c>
      <c r="N260" s="193">
        <v>46173</v>
      </c>
      <c r="O260" s="193">
        <v>46173</v>
      </c>
      <c r="P260" s="251">
        <v>2584856</v>
      </c>
      <c r="Q260" s="192" t="s">
        <v>457</v>
      </c>
      <c r="R260" s="192" t="s">
        <v>259</v>
      </c>
      <c r="S260" s="194" t="s">
        <v>14</v>
      </c>
      <c r="T260" s="64" t="str">
        <f t="shared" si="15"/>
        <v>Đ</v>
      </c>
      <c r="U260" s="66">
        <f t="shared" si="16"/>
        <v>0</v>
      </c>
      <c r="V260" s="62">
        <f t="shared" si="17"/>
        <v>13311</v>
      </c>
    </row>
    <row r="261" spans="1:22" ht="21.6" hidden="1" x14ac:dyDescent="0.3">
      <c r="A261" s="192">
        <v>244</v>
      </c>
      <c r="B261" s="194" t="s">
        <v>469</v>
      </c>
      <c r="C261" s="296" t="s">
        <v>502</v>
      </c>
      <c r="D261" s="193">
        <v>46115</v>
      </c>
      <c r="E261" s="194" t="s">
        <v>1280</v>
      </c>
      <c r="F261" s="296" t="s">
        <v>1281</v>
      </c>
      <c r="G261" s="194" t="s">
        <v>456</v>
      </c>
      <c r="H261" s="286">
        <v>303336815</v>
      </c>
      <c r="I261" s="192">
        <v>8</v>
      </c>
      <c r="J261" s="286">
        <v>24266945</v>
      </c>
      <c r="K261" s="194" t="s">
        <v>12</v>
      </c>
      <c r="L261" s="194" t="s">
        <v>15</v>
      </c>
      <c r="M261" s="296" t="s">
        <v>1277</v>
      </c>
      <c r="N261" s="193">
        <v>46173</v>
      </c>
      <c r="O261" s="193">
        <v>46173</v>
      </c>
      <c r="P261" s="251">
        <v>327603760</v>
      </c>
      <c r="Q261" s="192" t="s">
        <v>457</v>
      </c>
      <c r="R261" s="192" t="s">
        <v>259</v>
      </c>
      <c r="S261" s="194" t="s">
        <v>14</v>
      </c>
      <c r="T261" s="64" t="str">
        <f t="shared" si="15"/>
        <v>Đ</v>
      </c>
      <c r="U261" s="66">
        <f t="shared" si="16"/>
        <v>0</v>
      </c>
      <c r="V261" s="62">
        <f t="shared" si="17"/>
        <v>13311</v>
      </c>
    </row>
    <row r="262" spans="1:22" ht="21.6" hidden="1" x14ac:dyDescent="0.3">
      <c r="A262" s="192">
        <v>245</v>
      </c>
      <c r="B262" s="194" t="s">
        <v>469</v>
      </c>
      <c r="C262" s="296" t="s">
        <v>506</v>
      </c>
      <c r="D262" s="193">
        <v>46115</v>
      </c>
      <c r="E262" s="194" t="s">
        <v>1280</v>
      </c>
      <c r="F262" s="296" t="s">
        <v>1281</v>
      </c>
      <c r="G262" s="194" t="s">
        <v>456</v>
      </c>
      <c r="H262" s="286">
        <v>181238395</v>
      </c>
      <c r="I262" s="192">
        <v>8</v>
      </c>
      <c r="J262" s="286">
        <v>14499072</v>
      </c>
      <c r="K262" s="194" t="s">
        <v>12</v>
      </c>
      <c r="L262" s="194" t="s">
        <v>15</v>
      </c>
      <c r="M262" s="296" t="s">
        <v>1277</v>
      </c>
      <c r="N262" s="193">
        <v>46173</v>
      </c>
      <c r="O262" s="193">
        <v>46173</v>
      </c>
      <c r="P262" s="251">
        <v>195737467</v>
      </c>
      <c r="Q262" s="192" t="s">
        <v>457</v>
      </c>
      <c r="R262" s="192" t="s">
        <v>259</v>
      </c>
      <c r="S262" s="194" t="s">
        <v>14</v>
      </c>
      <c r="T262" s="64" t="str">
        <f t="shared" si="15"/>
        <v>Đ</v>
      </c>
      <c r="U262" s="66">
        <f t="shared" si="16"/>
        <v>0</v>
      </c>
      <c r="V262" s="62">
        <f t="shared" si="17"/>
        <v>13311</v>
      </c>
    </row>
    <row r="263" spans="1:22" ht="21.6" hidden="1" x14ac:dyDescent="0.3">
      <c r="A263" s="192">
        <v>246</v>
      </c>
      <c r="B263" s="194" t="s">
        <v>469</v>
      </c>
      <c r="C263" s="296" t="s">
        <v>511</v>
      </c>
      <c r="D263" s="193">
        <v>46115</v>
      </c>
      <c r="E263" s="194" t="s">
        <v>1282</v>
      </c>
      <c r="F263" s="296" t="s">
        <v>1283</v>
      </c>
      <c r="G263" s="194" t="s">
        <v>456</v>
      </c>
      <c r="H263" s="286">
        <v>296146135</v>
      </c>
      <c r="I263" s="192">
        <v>8</v>
      </c>
      <c r="J263" s="286">
        <v>23691691</v>
      </c>
      <c r="K263" s="194" t="s">
        <v>12</v>
      </c>
      <c r="L263" s="194" t="s">
        <v>15</v>
      </c>
      <c r="M263" s="296" t="s">
        <v>1277</v>
      </c>
      <c r="N263" s="193">
        <v>46173</v>
      </c>
      <c r="O263" s="193">
        <v>46173</v>
      </c>
      <c r="P263" s="251">
        <v>319837826</v>
      </c>
      <c r="Q263" s="192" t="s">
        <v>457</v>
      </c>
      <c r="R263" s="192" t="s">
        <v>259</v>
      </c>
      <c r="S263" s="194" t="s">
        <v>14</v>
      </c>
      <c r="T263" s="64" t="str">
        <f t="shared" si="15"/>
        <v>Đ</v>
      </c>
      <c r="U263" s="66">
        <f t="shared" si="16"/>
        <v>0</v>
      </c>
      <c r="V263" s="62">
        <f t="shared" si="17"/>
        <v>13311</v>
      </c>
    </row>
    <row r="264" spans="1:22" ht="21.6" hidden="1" x14ac:dyDescent="0.3">
      <c r="A264" s="192">
        <v>247</v>
      </c>
      <c r="B264" s="194" t="s">
        <v>469</v>
      </c>
      <c r="C264" s="296" t="s">
        <v>349</v>
      </c>
      <c r="D264" s="193">
        <v>46115</v>
      </c>
      <c r="E264" s="194" t="s">
        <v>1282</v>
      </c>
      <c r="F264" s="296" t="s">
        <v>1283</v>
      </c>
      <c r="G264" s="194" t="s">
        <v>456</v>
      </c>
      <c r="H264" s="286">
        <v>295779865</v>
      </c>
      <c r="I264" s="192">
        <v>8</v>
      </c>
      <c r="J264" s="286">
        <v>23662389</v>
      </c>
      <c r="K264" s="194" t="s">
        <v>12</v>
      </c>
      <c r="L264" s="194" t="s">
        <v>15</v>
      </c>
      <c r="M264" s="296" t="s">
        <v>1277</v>
      </c>
      <c r="N264" s="193">
        <v>46173</v>
      </c>
      <c r="O264" s="193">
        <v>46173</v>
      </c>
      <c r="P264" s="251">
        <v>319442254</v>
      </c>
      <c r="Q264" s="192" t="s">
        <v>457</v>
      </c>
      <c r="R264" s="192" t="s">
        <v>259</v>
      </c>
      <c r="S264" s="194" t="s">
        <v>14</v>
      </c>
      <c r="T264" s="64" t="str">
        <f t="shared" si="15"/>
        <v>Đ</v>
      </c>
      <c r="U264" s="66">
        <f t="shared" si="16"/>
        <v>0</v>
      </c>
      <c r="V264" s="62">
        <f t="shared" si="17"/>
        <v>13311</v>
      </c>
    </row>
    <row r="265" spans="1:22" ht="21.6" hidden="1" x14ac:dyDescent="0.3">
      <c r="A265" s="192">
        <v>248</v>
      </c>
      <c r="B265" s="194" t="s">
        <v>469</v>
      </c>
      <c r="C265" s="296" t="s">
        <v>900</v>
      </c>
      <c r="D265" s="193">
        <v>46115</v>
      </c>
      <c r="E265" s="194" t="s">
        <v>1284</v>
      </c>
      <c r="F265" s="296" t="s">
        <v>478</v>
      </c>
      <c r="G265" s="194" t="s">
        <v>456</v>
      </c>
      <c r="H265" s="286">
        <v>8986245</v>
      </c>
      <c r="I265" s="192">
        <v>8</v>
      </c>
      <c r="J265" s="286">
        <v>718900</v>
      </c>
      <c r="K265" s="194" t="s">
        <v>12</v>
      </c>
      <c r="L265" s="194" t="s">
        <v>15</v>
      </c>
      <c r="M265" s="296" t="s">
        <v>1277</v>
      </c>
      <c r="N265" s="193">
        <v>46173</v>
      </c>
      <c r="O265" s="193">
        <v>46173</v>
      </c>
      <c r="P265" s="251">
        <v>9705145</v>
      </c>
      <c r="Q265" s="192" t="s">
        <v>457</v>
      </c>
      <c r="R265" s="192" t="s">
        <v>259</v>
      </c>
      <c r="S265" s="194" t="s">
        <v>14</v>
      </c>
      <c r="T265" s="64" t="str">
        <f t="shared" si="15"/>
        <v>Đ</v>
      </c>
      <c r="U265" s="66">
        <f t="shared" si="16"/>
        <v>0</v>
      </c>
      <c r="V265" s="62">
        <f t="shared" si="17"/>
        <v>13311</v>
      </c>
    </row>
    <row r="266" spans="1:22" ht="21.6" hidden="1" x14ac:dyDescent="0.3">
      <c r="A266" s="192">
        <v>249</v>
      </c>
      <c r="B266" s="194" t="s">
        <v>289</v>
      </c>
      <c r="C266" s="296" t="s">
        <v>461</v>
      </c>
      <c r="D266" s="193">
        <v>46115</v>
      </c>
      <c r="E266" s="194" t="s">
        <v>770</v>
      </c>
      <c r="F266" s="296" t="s">
        <v>806</v>
      </c>
      <c r="G266" s="194" t="s">
        <v>456</v>
      </c>
      <c r="H266" s="286">
        <v>286625220</v>
      </c>
      <c r="I266" s="192">
        <v>8</v>
      </c>
      <c r="J266" s="286">
        <v>22930018</v>
      </c>
      <c r="K266" s="194" t="s">
        <v>12</v>
      </c>
      <c r="L266" s="194" t="s">
        <v>15</v>
      </c>
      <c r="M266" s="296" t="s">
        <v>1277</v>
      </c>
      <c r="N266" s="193">
        <v>46173</v>
      </c>
      <c r="O266" s="193">
        <v>46173</v>
      </c>
      <c r="P266" s="251">
        <v>309555238</v>
      </c>
      <c r="Q266" s="192" t="s">
        <v>457</v>
      </c>
      <c r="R266" s="192" t="s">
        <v>259</v>
      </c>
      <c r="S266" s="194" t="s">
        <v>14</v>
      </c>
      <c r="T266" s="64" t="str">
        <f t="shared" si="15"/>
        <v>Đ</v>
      </c>
      <c r="U266" s="66">
        <f t="shared" si="16"/>
        <v>0</v>
      </c>
      <c r="V266" s="62">
        <f t="shared" si="17"/>
        <v>13311</v>
      </c>
    </row>
    <row r="267" spans="1:22" ht="21.6" hidden="1" x14ac:dyDescent="0.3">
      <c r="A267" s="192">
        <v>250</v>
      </c>
      <c r="B267" s="194" t="s">
        <v>289</v>
      </c>
      <c r="C267" s="296" t="s">
        <v>461</v>
      </c>
      <c r="D267" s="193">
        <v>46115</v>
      </c>
      <c r="E267" s="194" t="s">
        <v>778</v>
      </c>
      <c r="F267" s="296" t="s">
        <v>534</v>
      </c>
      <c r="G267" s="194" t="s">
        <v>456</v>
      </c>
      <c r="H267" s="286">
        <v>288391315</v>
      </c>
      <c r="I267" s="192">
        <v>8</v>
      </c>
      <c r="J267" s="286">
        <v>23071305</v>
      </c>
      <c r="K267" s="194" t="s">
        <v>12</v>
      </c>
      <c r="L267" s="194" t="s">
        <v>15</v>
      </c>
      <c r="M267" s="296" t="s">
        <v>1277</v>
      </c>
      <c r="N267" s="193">
        <v>46173</v>
      </c>
      <c r="O267" s="193">
        <v>46173</v>
      </c>
      <c r="P267" s="251">
        <v>311462620</v>
      </c>
      <c r="Q267" s="192" t="s">
        <v>457</v>
      </c>
      <c r="R267" s="192" t="s">
        <v>259</v>
      </c>
      <c r="S267" s="194" t="s">
        <v>14</v>
      </c>
      <c r="T267" s="64" t="str">
        <f t="shared" si="15"/>
        <v>Đ</v>
      </c>
      <c r="U267" s="66">
        <f t="shared" si="16"/>
        <v>0</v>
      </c>
      <c r="V267" s="62">
        <f t="shared" si="17"/>
        <v>13311</v>
      </c>
    </row>
    <row r="268" spans="1:22" ht="21.6" hidden="1" x14ac:dyDescent="0.3">
      <c r="A268" s="192">
        <v>251</v>
      </c>
      <c r="B268" s="194" t="s">
        <v>289</v>
      </c>
      <c r="C268" s="296" t="s">
        <v>461</v>
      </c>
      <c r="D268" s="193">
        <v>46115</v>
      </c>
      <c r="E268" s="194" t="s">
        <v>771</v>
      </c>
      <c r="F268" s="296" t="s">
        <v>455</v>
      </c>
      <c r="G268" s="194" t="s">
        <v>456</v>
      </c>
      <c r="H268" s="286">
        <v>294883135</v>
      </c>
      <c r="I268" s="192">
        <v>8</v>
      </c>
      <c r="J268" s="286">
        <v>23590651</v>
      </c>
      <c r="K268" s="194" t="s">
        <v>12</v>
      </c>
      <c r="L268" s="194" t="s">
        <v>15</v>
      </c>
      <c r="M268" s="296" t="s">
        <v>1277</v>
      </c>
      <c r="N268" s="193">
        <v>46173</v>
      </c>
      <c r="O268" s="193">
        <v>46173</v>
      </c>
      <c r="P268" s="251">
        <v>318473786</v>
      </c>
      <c r="Q268" s="192" t="s">
        <v>457</v>
      </c>
      <c r="R268" s="192" t="s">
        <v>259</v>
      </c>
      <c r="S268" s="194" t="s">
        <v>14</v>
      </c>
      <c r="T268" s="64" t="str">
        <f t="shared" si="15"/>
        <v>Đ</v>
      </c>
      <c r="U268" s="66">
        <f t="shared" si="16"/>
        <v>0</v>
      </c>
      <c r="V268" s="62">
        <f t="shared" si="17"/>
        <v>13311</v>
      </c>
    </row>
    <row r="269" spans="1:22" ht="21.6" hidden="1" x14ac:dyDescent="0.3">
      <c r="A269" s="192">
        <v>252</v>
      </c>
      <c r="B269" s="194" t="s">
        <v>289</v>
      </c>
      <c r="C269" s="296" t="s">
        <v>461</v>
      </c>
      <c r="D269" s="193">
        <v>46115</v>
      </c>
      <c r="E269" s="194" t="s">
        <v>769</v>
      </c>
      <c r="F269" s="296" t="s">
        <v>777</v>
      </c>
      <c r="G269" s="194" t="s">
        <v>456</v>
      </c>
      <c r="H269" s="286">
        <v>284322350</v>
      </c>
      <c r="I269" s="192">
        <v>8</v>
      </c>
      <c r="J269" s="286">
        <v>22745788</v>
      </c>
      <c r="K269" s="194" t="s">
        <v>12</v>
      </c>
      <c r="L269" s="194" t="s">
        <v>15</v>
      </c>
      <c r="M269" s="296" t="s">
        <v>1277</v>
      </c>
      <c r="N269" s="193">
        <v>46173</v>
      </c>
      <c r="O269" s="193">
        <v>46173</v>
      </c>
      <c r="P269" s="251">
        <v>307068138</v>
      </c>
      <c r="Q269" s="192" t="s">
        <v>457</v>
      </c>
      <c r="R269" s="192" t="s">
        <v>259</v>
      </c>
      <c r="S269" s="194" t="s">
        <v>14</v>
      </c>
      <c r="T269" s="64" t="str">
        <f t="shared" si="15"/>
        <v>Đ</v>
      </c>
      <c r="U269" s="66">
        <f t="shared" si="16"/>
        <v>0</v>
      </c>
      <c r="V269" s="62">
        <f t="shared" si="17"/>
        <v>13311</v>
      </c>
    </row>
    <row r="270" spans="1:22" ht="21.6" hidden="1" x14ac:dyDescent="0.3">
      <c r="A270" s="192">
        <v>253</v>
      </c>
      <c r="B270" s="194" t="s">
        <v>289</v>
      </c>
      <c r="C270" s="296" t="s">
        <v>461</v>
      </c>
      <c r="D270" s="193">
        <v>46115</v>
      </c>
      <c r="E270" s="194" t="s">
        <v>773</v>
      </c>
      <c r="F270" s="296" t="s">
        <v>760</v>
      </c>
      <c r="G270" s="194" t="s">
        <v>456</v>
      </c>
      <c r="H270" s="286">
        <v>300027755</v>
      </c>
      <c r="I270" s="192">
        <v>8</v>
      </c>
      <c r="J270" s="286">
        <v>24002220</v>
      </c>
      <c r="K270" s="194" t="s">
        <v>12</v>
      </c>
      <c r="L270" s="194" t="s">
        <v>15</v>
      </c>
      <c r="M270" s="296" t="s">
        <v>1277</v>
      </c>
      <c r="N270" s="193">
        <v>46173</v>
      </c>
      <c r="O270" s="193">
        <v>46173</v>
      </c>
      <c r="P270" s="251">
        <v>324029975</v>
      </c>
      <c r="Q270" s="192" t="s">
        <v>457</v>
      </c>
      <c r="R270" s="192" t="s">
        <v>259</v>
      </c>
      <c r="S270" s="194" t="s">
        <v>14</v>
      </c>
      <c r="T270" s="64" t="str">
        <f t="shared" si="15"/>
        <v>Đ</v>
      </c>
      <c r="U270" s="66">
        <f t="shared" si="16"/>
        <v>0</v>
      </c>
      <c r="V270" s="62">
        <f t="shared" si="17"/>
        <v>13311</v>
      </c>
    </row>
    <row r="271" spans="1:22" ht="21.6" hidden="1" x14ac:dyDescent="0.3">
      <c r="A271" s="192">
        <v>254</v>
      </c>
      <c r="B271" s="194" t="s">
        <v>289</v>
      </c>
      <c r="C271" s="296" t="s">
        <v>461</v>
      </c>
      <c r="D271" s="193">
        <v>46115</v>
      </c>
      <c r="E271" s="194" t="s">
        <v>775</v>
      </c>
      <c r="F271" s="296" t="s">
        <v>528</v>
      </c>
      <c r="G271" s="194" t="s">
        <v>456</v>
      </c>
      <c r="H271" s="286">
        <v>289515385</v>
      </c>
      <c r="I271" s="192">
        <v>8</v>
      </c>
      <c r="J271" s="286">
        <v>23161231</v>
      </c>
      <c r="K271" s="194" t="s">
        <v>12</v>
      </c>
      <c r="L271" s="194" t="s">
        <v>15</v>
      </c>
      <c r="M271" s="296" t="s">
        <v>1277</v>
      </c>
      <c r="N271" s="193">
        <v>46173</v>
      </c>
      <c r="O271" s="193">
        <v>46173</v>
      </c>
      <c r="P271" s="251">
        <v>312676616</v>
      </c>
      <c r="Q271" s="192" t="s">
        <v>457</v>
      </c>
      <c r="R271" s="192" t="s">
        <v>259</v>
      </c>
      <c r="S271" s="194" t="s">
        <v>14</v>
      </c>
      <c r="T271" s="64" t="str">
        <f t="shared" si="15"/>
        <v>Đ</v>
      </c>
      <c r="U271" s="66">
        <f t="shared" si="16"/>
        <v>0</v>
      </c>
      <c r="V271" s="62">
        <f t="shared" si="17"/>
        <v>13311</v>
      </c>
    </row>
    <row r="272" spans="1:22" ht="21.6" hidden="1" x14ac:dyDescent="0.3">
      <c r="A272" s="192">
        <v>255</v>
      </c>
      <c r="B272" s="194" t="s">
        <v>469</v>
      </c>
      <c r="C272" s="296" t="s">
        <v>933</v>
      </c>
      <c r="D272" s="193">
        <v>46115</v>
      </c>
      <c r="E272" s="194" t="s">
        <v>1285</v>
      </c>
      <c r="F272" s="296" t="s">
        <v>478</v>
      </c>
      <c r="G272" s="194" t="s">
        <v>456</v>
      </c>
      <c r="H272" s="286">
        <v>117713705</v>
      </c>
      <c r="I272" s="192">
        <v>8</v>
      </c>
      <c r="J272" s="286">
        <v>9417096</v>
      </c>
      <c r="K272" s="194" t="s">
        <v>12</v>
      </c>
      <c r="L272" s="194" t="s">
        <v>15</v>
      </c>
      <c r="M272" s="296" t="s">
        <v>1277</v>
      </c>
      <c r="N272" s="193">
        <v>46173</v>
      </c>
      <c r="O272" s="193">
        <v>46173</v>
      </c>
      <c r="P272" s="251">
        <v>127130801</v>
      </c>
      <c r="Q272" s="192" t="s">
        <v>457</v>
      </c>
      <c r="R272" s="192" t="s">
        <v>259</v>
      </c>
      <c r="S272" s="194" t="s">
        <v>14</v>
      </c>
      <c r="T272" s="64" t="str">
        <f t="shared" si="15"/>
        <v>Đ</v>
      </c>
      <c r="U272" s="66">
        <f t="shared" si="16"/>
        <v>0</v>
      </c>
      <c r="V272" s="62">
        <f t="shared" si="17"/>
        <v>13311</v>
      </c>
    </row>
    <row r="273" spans="1:22" ht="21.6" hidden="1" x14ac:dyDescent="0.3">
      <c r="A273" s="192">
        <v>256</v>
      </c>
      <c r="B273" s="194" t="s">
        <v>469</v>
      </c>
      <c r="C273" s="296" t="s">
        <v>611</v>
      </c>
      <c r="D273" s="193">
        <v>46115</v>
      </c>
      <c r="E273" s="194" t="s">
        <v>1285</v>
      </c>
      <c r="F273" s="296" t="s">
        <v>478</v>
      </c>
      <c r="G273" s="194" t="s">
        <v>456</v>
      </c>
      <c r="H273" s="286">
        <v>1622955</v>
      </c>
      <c r="I273" s="192">
        <v>8</v>
      </c>
      <c r="J273" s="286">
        <v>129836</v>
      </c>
      <c r="K273" s="194" t="s">
        <v>12</v>
      </c>
      <c r="L273" s="194" t="s">
        <v>15</v>
      </c>
      <c r="M273" s="296" t="s">
        <v>1277</v>
      </c>
      <c r="N273" s="193">
        <v>46173</v>
      </c>
      <c r="O273" s="193">
        <v>46173</v>
      </c>
      <c r="P273" s="251">
        <v>1752791</v>
      </c>
      <c r="Q273" s="192" t="s">
        <v>457</v>
      </c>
      <c r="R273" s="192" t="s">
        <v>259</v>
      </c>
      <c r="S273" s="194" t="s">
        <v>14</v>
      </c>
      <c r="T273" s="64" t="str">
        <f t="shared" si="15"/>
        <v>Đ</v>
      </c>
      <c r="U273" s="66">
        <f t="shared" si="16"/>
        <v>0</v>
      </c>
      <c r="V273" s="62">
        <f t="shared" si="17"/>
        <v>13311</v>
      </c>
    </row>
    <row r="274" spans="1:22" ht="21.6" hidden="1" x14ac:dyDescent="0.3">
      <c r="A274" s="192">
        <v>257</v>
      </c>
      <c r="B274" s="194" t="s">
        <v>469</v>
      </c>
      <c r="C274" s="296" t="s">
        <v>936</v>
      </c>
      <c r="D274" s="193">
        <v>46115</v>
      </c>
      <c r="E274" s="194" t="s">
        <v>1285</v>
      </c>
      <c r="F274" s="296" t="s">
        <v>478</v>
      </c>
      <c r="G274" s="194" t="s">
        <v>456</v>
      </c>
      <c r="H274" s="286">
        <v>28710095</v>
      </c>
      <c r="I274" s="192">
        <v>8</v>
      </c>
      <c r="J274" s="286">
        <v>2296808</v>
      </c>
      <c r="K274" s="194" t="s">
        <v>12</v>
      </c>
      <c r="L274" s="194" t="s">
        <v>15</v>
      </c>
      <c r="M274" s="296" t="s">
        <v>1277</v>
      </c>
      <c r="N274" s="193">
        <v>46173</v>
      </c>
      <c r="O274" s="193">
        <v>46173</v>
      </c>
      <c r="P274" s="251">
        <v>31006903</v>
      </c>
      <c r="Q274" s="192" t="s">
        <v>457</v>
      </c>
      <c r="R274" s="192" t="s">
        <v>259</v>
      </c>
      <c r="S274" s="194" t="s">
        <v>14</v>
      </c>
      <c r="T274" s="64" t="str">
        <f t="shared" si="15"/>
        <v>Đ</v>
      </c>
      <c r="U274" s="66">
        <f t="shared" si="16"/>
        <v>0</v>
      </c>
      <c r="V274" s="62">
        <f t="shared" si="17"/>
        <v>13311</v>
      </c>
    </row>
    <row r="275" spans="1:22" ht="21.6" hidden="1" x14ac:dyDescent="0.3">
      <c r="A275" s="192">
        <v>258</v>
      </c>
      <c r="B275" s="194" t="s">
        <v>289</v>
      </c>
      <c r="C275" s="296" t="s">
        <v>695</v>
      </c>
      <c r="D275" s="193">
        <v>46115</v>
      </c>
      <c r="E275" s="194" t="s">
        <v>779</v>
      </c>
      <c r="F275" s="296" t="s">
        <v>623</v>
      </c>
      <c r="G275" s="194" t="s">
        <v>456</v>
      </c>
      <c r="H275" s="286">
        <v>295013645</v>
      </c>
      <c r="I275" s="192">
        <v>8</v>
      </c>
      <c r="J275" s="286">
        <v>23601092</v>
      </c>
      <c r="K275" s="194" t="s">
        <v>12</v>
      </c>
      <c r="L275" s="194" t="s">
        <v>15</v>
      </c>
      <c r="M275" s="296" t="s">
        <v>1277</v>
      </c>
      <c r="N275" s="193">
        <v>46173</v>
      </c>
      <c r="O275" s="193">
        <v>46173</v>
      </c>
      <c r="P275" s="251">
        <v>318614737</v>
      </c>
      <c r="Q275" s="192" t="s">
        <v>457</v>
      </c>
      <c r="R275" s="192" t="s">
        <v>259</v>
      </c>
      <c r="S275" s="194" t="s">
        <v>14</v>
      </c>
      <c r="T275" s="64" t="str">
        <f t="shared" ref="T275:T338" si="18">IF(OR(LEN(F275)=11,LEN(F275)=15),"Đ","SAI")</f>
        <v>Đ</v>
      </c>
      <c r="U275" s="66">
        <f t="shared" ref="U275:U338" si="19">ROUND(H275*I275%,0)-J275</f>
        <v>0</v>
      </c>
      <c r="V275" s="62">
        <f t="shared" ref="V275:V338" si="20">IF(Q275=$V$12,13313,13311)</f>
        <v>13311</v>
      </c>
    </row>
    <row r="276" spans="1:22" ht="21.6" hidden="1" x14ac:dyDescent="0.3">
      <c r="A276" s="192">
        <v>259</v>
      </c>
      <c r="B276" s="194" t="s">
        <v>291</v>
      </c>
      <c r="C276" s="296" t="s">
        <v>816</v>
      </c>
      <c r="D276" s="193">
        <v>46057</v>
      </c>
      <c r="E276" s="194" t="s">
        <v>1286</v>
      </c>
      <c r="F276" s="296" t="s">
        <v>1287</v>
      </c>
      <c r="G276" s="194" t="s">
        <v>701</v>
      </c>
      <c r="H276" s="286">
        <v>16623185</v>
      </c>
      <c r="I276" s="192">
        <v>8</v>
      </c>
      <c r="J276" s="286">
        <v>1329855</v>
      </c>
      <c r="K276" s="194" t="s">
        <v>12</v>
      </c>
      <c r="L276" s="194" t="s">
        <v>15</v>
      </c>
      <c r="M276" s="296" t="s">
        <v>1277</v>
      </c>
      <c r="N276" s="193">
        <v>46173</v>
      </c>
      <c r="O276" s="193">
        <v>46173</v>
      </c>
      <c r="P276" s="251">
        <v>17953040</v>
      </c>
      <c r="Q276" s="192" t="s">
        <v>457</v>
      </c>
      <c r="R276" s="192" t="s">
        <v>259</v>
      </c>
      <c r="S276" s="194" t="s">
        <v>14</v>
      </c>
      <c r="T276" s="64" t="str">
        <f t="shared" si="18"/>
        <v>Đ</v>
      </c>
      <c r="U276" s="66">
        <f t="shared" si="19"/>
        <v>0</v>
      </c>
      <c r="V276" s="62">
        <f t="shared" si="20"/>
        <v>13311</v>
      </c>
    </row>
    <row r="277" spans="1:22" ht="21.6" hidden="1" x14ac:dyDescent="0.3">
      <c r="A277" s="192">
        <v>260</v>
      </c>
      <c r="B277" s="194" t="s">
        <v>291</v>
      </c>
      <c r="C277" s="296" t="s">
        <v>709</v>
      </c>
      <c r="D277" s="193">
        <v>46057</v>
      </c>
      <c r="E277" s="194" t="s">
        <v>1286</v>
      </c>
      <c r="F277" s="296" t="s">
        <v>1287</v>
      </c>
      <c r="G277" s="194" t="s">
        <v>701</v>
      </c>
      <c r="H277" s="286">
        <v>13998250</v>
      </c>
      <c r="I277" s="192">
        <v>8</v>
      </c>
      <c r="J277" s="286">
        <v>1119860</v>
      </c>
      <c r="K277" s="194" t="s">
        <v>12</v>
      </c>
      <c r="L277" s="194" t="s">
        <v>15</v>
      </c>
      <c r="M277" s="296" t="s">
        <v>1277</v>
      </c>
      <c r="N277" s="193">
        <v>46173</v>
      </c>
      <c r="O277" s="193">
        <v>46173</v>
      </c>
      <c r="P277" s="251">
        <v>15118110</v>
      </c>
      <c r="Q277" s="192" t="s">
        <v>457</v>
      </c>
      <c r="R277" s="192" t="s">
        <v>259</v>
      </c>
      <c r="S277" s="194" t="s">
        <v>14</v>
      </c>
      <c r="T277" s="64" t="str">
        <f t="shared" si="18"/>
        <v>Đ</v>
      </c>
      <c r="U277" s="66">
        <f t="shared" si="19"/>
        <v>0</v>
      </c>
      <c r="V277" s="62">
        <f t="shared" si="20"/>
        <v>13311</v>
      </c>
    </row>
    <row r="278" spans="1:22" ht="21.6" hidden="1" x14ac:dyDescent="0.3">
      <c r="A278" s="192">
        <v>261</v>
      </c>
      <c r="B278" s="194" t="s">
        <v>291</v>
      </c>
      <c r="C278" s="296" t="s">
        <v>461</v>
      </c>
      <c r="D278" s="193">
        <v>46085</v>
      </c>
      <c r="E278" s="194" t="s">
        <v>1286</v>
      </c>
      <c r="F278" s="296" t="s">
        <v>1287</v>
      </c>
      <c r="G278" s="194" t="s">
        <v>704</v>
      </c>
      <c r="H278" s="286">
        <v>15802235</v>
      </c>
      <c r="I278" s="192">
        <v>8</v>
      </c>
      <c r="J278" s="286">
        <v>1264179</v>
      </c>
      <c r="K278" s="194" t="s">
        <v>12</v>
      </c>
      <c r="L278" s="194" t="s">
        <v>15</v>
      </c>
      <c r="M278" s="296" t="s">
        <v>1277</v>
      </c>
      <c r="N278" s="193">
        <v>46173</v>
      </c>
      <c r="O278" s="193">
        <v>46173</v>
      </c>
      <c r="P278" s="251">
        <v>17066414</v>
      </c>
      <c r="Q278" s="192" t="s">
        <v>457</v>
      </c>
      <c r="R278" s="192" t="s">
        <v>259</v>
      </c>
      <c r="S278" s="194" t="s">
        <v>14</v>
      </c>
      <c r="T278" s="64" t="str">
        <f t="shared" si="18"/>
        <v>Đ</v>
      </c>
      <c r="U278" s="66">
        <f t="shared" si="19"/>
        <v>0</v>
      </c>
      <c r="V278" s="62">
        <f t="shared" si="20"/>
        <v>13311</v>
      </c>
    </row>
    <row r="279" spans="1:22" ht="21.6" hidden="1" x14ac:dyDescent="0.3">
      <c r="A279" s="192">
        <v>262</v>
      </c>
      <c r="B279" s="194" t="s">
        <v>813</v>
      </c>
      <c r="C279" s="296" t="s">
        <v>631</v>
      </c>
      <c r="D279" s="193">
        <v>46116</v>
      </c>
      <c r="E279" s="194" t="s">
        <v>814</v>
      </c>
      <c r="F279" s="296" t="s">
        <v>804</v>
      </c>
      <c r="G279" s="194" t="s">
        <v>456</v>
      </c>
      <c r="H279" s="286">
        <v>12907860</v>
      </c>
      <c r="I279" s="192">
        <v>8</v>
      </c>
      <c r="J279" s="286">
        <v>1032629</v>
      </c>
      <c r="K279" s="194" t="s">
        <v>12</v>
      </c>
      <c r="L279" s="194" t="s">
        <v>15</v>
      </c>
      <c r="M279" s="296" t="s">
        <v>1277</v>
      </c>
      <c r="N279" s="193">
        <v>46173</v>
      </c>
      <c r="O279" s="193">
        <v>46173</v>
      </c>
      <c r="P279" s="251">
        <v>13940489</v>
      </c>
      <c r="Q279" s="192" t="s">
        <v>457</v>
      </c>
      <c r="R279" s="192" t="s">
        <v>259</v>
      </c>
      <c r="S279" s="194" t="s">
        <v>14</v>
      </c>
      <c r="T279" s="64" t="str">
        <f t="shared" si="18"/>
        <v>Đ</v>
      </c>
      <c r="U279" s="66">
        <f t="shared" si="19"/>
        <v>0</v>
      </c>
      <c r="V279" s="62">
        <f t="shared" si="20"/>
        <v>13311</v>
      </c>
    </row>
    <row r="280" spans="1:22" ht="21.6" hidden="1" x14ac:dyDescent="0.3">
      <c r="A280" s="192">
        <v>263</v>
      </c>
      <c r="B280" s="194" t="s">
        <v>733</v>
      </c>
      <c r="C280" s="296" t="s">
        <v>352</v>
      </c>
      <c r="D280" s="193">
        <v>46116</v>
      </c>
      <c r="E280" s="194" t="s">
        <v>780</v>
      </c>
      <c r="F280" s="296" t="s">
        <v>521</v>
      </c>
      <c r="G280" s="194" t="s">
        <v>456</v>
      </c>
      <c r="H280" s="286">
        <v>299404675</v>
      </c>
      <c r="I280" s="192">
        <v>8</v>
      </c>
      <c r="J280" s="286">
        <v>23952374</v>
      </c>
      <c r="K280" s="194" t="s">
        <v>12</v>
      </c>
      <c r="L280" s="194" t="s">
        <v>15</v>
      </c>
      <c r="M280" s="296" t="s">
        <v>1277</v>
      </c>
      <c r="N280" s="193">
        <v>46173</v>
      </c>
      <c r="O280" s="193">
        <v>46173</v>
      </c>
      <c r="P280" s="251">
        <v>323357049</v>
      </c>
      <c r="Q280" s="192" t="s">
        <v>457</v>
      </c>
      <c r="R280" s="192" t="s">
        <v>259</v>
      </c>
      <c r="S280" s="194" t="s">
        <v>14</v>
      </c>
      <c r="T280" s="64" t="str">
        <f t="shared" si="18"/>
        <v>Đ</v>
      </c>
      <c r="U280" s="66">
        <f t="shared" si="19"/>
        <v>0</v>
      </c>
      <c r="V280" s="62">
        <f t="shared" si="20"/>
        <v>13311</v>
      </c>
    </row>
    <row r="281" spans="1:22" ht="21.6" hidden="1" x14ac:dyDescent="0.3">
      <c r="A281" s="192">
        <v>264</v>
      </c>
      <c r="B281" s="194" t="s">
        <v>353</v>
      </c>
      <c r="C281" s="296" t="s">
        <v>295</v>
      </c>
      <c r="D281" s="193">
        <v>46146</v>
      </c>
      <c r="E281" s="194" t="s">
        <v>807</v>
      </c>
      <c r="F281" s="296" t="s">
        <v>603</v>
      </c>
      <c r="G281" s="194" t="s">
        <v>1288</v>
      </c>
      <c r="H281" s="286">
        <v>5454055</v>
      </c>
      <c r="I281" s="192">
        <v>8</v>
      </c>
      <c r="J281" s="286">
        <v>436324</v>
      </c>
      <c r="K281" s="194" t="s">
        <v>12</v>
      </c>
      <c r="L281" s="194" t="s">
        <v>15</v>
      </c>
      <c r="M281" s="296" t="s">
        <v>1277</v>
      </c>
      <c r="N281" s="193">
        <v>46173</v>
      </c>
      <c r="O281" s="193">
        <v>46173</v>
      </c>
      <c r="P281" s="251">
        <v>5890379</v>
      </c>
      <c r="Q281" s="192" t="s">
        <v>457</v>
      </c>
      <c r="R281" s="192" t="s">
        <v>259</v>
      </c>
      <c r="S281" s="194" t="s">
        <v>14</v>
      </c>
      <c r="T281" s="64" t="str">
        <f t="shared" si="18"/>
        <v>Đ</v>
      </c>
      <c r="U281" s="66">
        <f t="shared" si="19"/>
        <v>0</v>
      </c>
      <c r="V281" s="62">
        <f t="shared" si="20"/>
        <v>13311</v>
      </c>
    </row>
    <row r="282" spans="1:22" ht="21.6" hidden="1" x14ac:dyDescent="0.3">
      <c r="A282" s="192">
        <v>265</v>
      </c>
      <c r="B282" s="194" t="s">
        <v>657</v>
      </c>
      <c r="C282" s="296" t="s">
        <v>295</v>
      </c>
      <c r="D282" s="193">
        <v>46146</v>
      </c>
      <c r="E282" s="194" t="s">
        <v>658</v>
      </c>
      <c r="F282" s="296" t="s">
        <v>496</v>
      </c>
      <c r="G282" s="194" t="s">
        <v>1288</v>
      </c>
      <c r="H282" s="286">
        <v>278714630</v>
      </c>
      <c r="I282" s="192">
        <v>8</v>
      </c>
      <c r="J282" s="286">
        <v>22297170</v>
      </c>
      <c r="K282" s="194" t="s">
        <v>12</v>
      </c>
      <c r="L282" s="194" t="s">
        <v>15</v>
      </c>
      <c r="M282" s="296" t="s">
        <v>1277</v>
      </c>
      <c r="N282" s="193">
        <v>46173</v>
      </c>
      <c r="O282" s="193">
        <v>46173</v>
      </c>
      <c r="P282" s="251">
        <v>301011800</v>
      </c>
      <c r="Q282" s="192" t="s">
        <v>457</v>
      </c>
      <c r="R282" s="192" t="s">
        <v>259</v>
      </c>
      <c r="S282" s="194" t="s">
        <v>14</v>
      </c>
      <c r="T282" s="64" t="str">
        <f t="shared" si="18"/>
        <v>Đ</v>
      </c>
      <c r="U282" s="66">
        <f t="shared" si="19"/>
        <v>0</v>
      </c>
      <c r="V282" s="62">
        <f t="shared" si="20"/>
        <v>13311</v>
      </c>
    </row>
    <row r="283" spans="1:22" ht="21.6" hidden="1" x14ac:dyDescent="0.3">
      <c r="A283" s="192">
        <v>266</v>
      </c>
      <c r="B283" s="194" t="s">
        <v>655</v>
      </c>
      <c r="C283" s="296" t="s">
        <v>295</v>
      </c>
      <c r="D283" s="193">
        <v>46146</v>
      </c>
      <c r="E283" s="194" t="s">
        <v>656</v>
      </c>
      <c r="F283" s="296" t="s">
        <v>659</v>
      </c>
      <c r="G283" s="194" t="s">
        <v>1288</v>
      </c>
      <c r="H283" s="286">
        <v>4308935</v>
      </c>
      <c r="I283" s="192">
        <v>8</v>
      </c>
      <c r="J283" s="286">
        <v>344715</v>
      </c>
      <c r="K283" s="194" t="s">
        <v>12</v>
      </c>
      <c r="L283" s="194" t="s">
        <v>15</v>
      </c>
      <c r="M283" s="296" t="s">
        <v>1277</v>
      </c>
      <c r="N283" s="193">
        <v>46173</v>
      </c>
      <c r="O283" s="193">
        <v>46173</v>
      </c>
      <c r="P283" s="251">
        <v>4653650</v>
      </c>
      <c r="Q283" s="192" t="s">
        <v>457</v>
      </c>
      <c r="R283" s="192" t="s">
        <v>259</v>
      </c>
      <c r="S283" s="194" t="s">
        <v>14</v>
      </c>
      <c r="T283" s="64" t="str">
        <f t="shared" si="18"/>
        <v>Đ</v>
      </c>
      <c r="U283" s="66">
        <f t="shared" si="19"/>
        <v>0</v>
      </c>
      <c r="V283" s="62">
        <f t="shared" si="20"/>
        <v>13311</v>
      </c>
    </row>
    <row r="284" spans="1:22" ht="21.6" hidden="1" x14ac:dyDescent="0.3">
      <c r="A284" s="192">
        <v>267</v>
      </c>
      <c r="B284" s="194" t="s">
        <v>799</v>
      </c>
      <c r="C284" s="296" t="s">
        <v>293</v>
      </c>
      <c r="D284" s="193">
        <v>46146</v>
      </c>
      <c r="E284" s="194" t="s">
        <v>800</v>
      </c>
      <c r="F284" s="296" t="s">
        <v>524</v>
      </c>
      <c r="G284" s="194" t="s">
        <v>1288</v>
      </c>
      <c r="H284" s="286">
        <v>5776120</v>
      </c>
      <c r="I284" s="192">
        <v>8</v>
      </c>
      <c r="J284" s="286">
        <v>462090</v>
      </c>
      <c r="K284" s="194" t="s">
        <v>12</v>
      </c>
      <c r="L284" s="194" t="s">
        <v>15</v>
      </c>
      <c r="M284" s="296" t="s">
        <v>1277</v>
      </c>
      <c r="N284" s="193">
        <v>46173</v>
      </c>
      <c r="O284" s="193">
        <v>46173</v>
      </c>
      <c r="P284" s="251">
        <v>6238210</v>
      </c>
      <c r="Q284" s="192" t="s">
        <v>457</v>
      </c>
      <c r="R284" s="192" t="s">
        <v>259</v>
      </c>
      <c r="S284" s="194" t="s">
        <v>14</v>
      </c>
      <c r="T284" s="64" t="str">
        <f t="shared" si="18"/>
        <v>Đ</v>
      </c>
      <c r="U284" s="66">
        <f t="shared" si="19"/>
        <v>0</v>
      </c>
      <c r="V284" s="62">
        <f t="shared" si="20"/>
        <v>13311</v>
      </c>
    </row>
    <row r="285" spans="1:22" ht="21.6" hidden="1" x14ac:dyDescent="0.3">
      <c r="A285" s="192">
        <v>268</v>
      </c>
      <c r="B285" s="194" t="s">
        <v>665</v>
      </c>
      <c r="C285" s="296" t="s">
        <v>425</v>
      </c>
      <c r="D285" s="193">
        <v>46146</v>
      </c>
      <c r="E285" s="194" t="s">
        <v>666</v>
      </c>
      <c r="F285" s="296" t="s">
        <v>654</v>
      </c>
      <c r="G285" s="194" t="s">
        <v>1288</v>
      </c>
      <c r="H285" s="286">
        <v>684125</v>
      </c>
      <c r="I285" s="192">
        <v>8</v>
      </c>
      <c r="J285" s="286">
        <v>54730</v>
      </c>
      <c r="K285" s="194" t="s">
        <v>12</v>
      </c>
      <c r="L285" s="194" t="s">
        <v>15</v>
      </c>
      <c r="M285" s="296" t="s">
        <v>1277</v>
      </c>
      <c r="N285" s="193">
        <v>46173</v>
      </c>
      <c r="O285" s="193">
        <v>46173</v>
      </c>
      <c r="P285" s="251">
        <v>738855</v>
      </c>
      <c r="Q285" s="192" t="s">
        <v>457</v>
      </c>
      <c r="R285" s="192" t="s">
        <v>259</v>
      </c>
      <c r="S285" s="194" t="s">
        <v>14</v>
      </c>
      <c r="T285" s="64" t="str">
        <f t="shared" si="18"/>
        <v>Đ</v>
      </c>
      <c r="U285" s="66">
        <f t="shared" si="19"/>
        <v>0</v>
      </c>
      <c r="V285" s="62">
        <f t="shared" si="20"/>
        <v>13311</v>
      </c>
    </row>
    <row r="286" spans="1:22" ht="21.6" hidden="1" x14ac:dyDescent="0.3">
      <c r="A286" s="192">
        <v>269</v>
      </c>
      <c r="B286" s="194" t="s">
        <v>808</v>
      </c>
      <c r="C286" s="296" t="s">
        <v>1289</v>
      </c>
      <c r="D286" s="193">
        <v>46146</v>
      </c>
      <c r="E286" s="194" t="s">
        <v>809</v>
      </c>
      <c r="F286" s="296" t="s">
        <v>715</v>
      </c>
      <c r="G286" s="194" t="s">
        <v>1288</v>
      </c>
      <c r="H286" s="286">
        <v>1071445</v>
      </c>
      <c r="I286" s="192">
        <v>8</v>
      </c>
      <c r="J286" s="286">
        <v>85716</v>
      </c>
      <c r="K286" s="194" t="s">
        <v>12</v>
      </c>
      <c r="L286" s="194" t="s">
        <v>15</v>
      </c>
      <c r="M286" s="296" t="s">
        <v>1277</v>
      </c>
      <c r="N286" s="193">
        <v>46173</v>
      </c>
      <c r="O286" s="193">
        <v>46173</v>
      </c>
      <c r="P286" s="251">
        <v>1157161</v>
      </c>
      <c r="Q286" s="192" t="s">
        <v>457</v>
      </c>
      <c r="R286" s="192" t="s">
        <v>259</v>
      </c>
      <c r="S286" s="194" t="s">
        <v>14</v>
      </c>
      <c r="T286" s="64" t="str">
        <f t="shared" si="18"/>
        <v>Đ</v>
      </c>
      <c r="U286" s="66">
        <f t="shared" si="19"/>
        <v>0</v>
      </c>
      <c r="V286" s="62">
        <f t="shared" si="20"/>
        <v>13311</v>
      </c>
    </row>
    <row r="287" spans="1:22" ht="21.6" hidden="1" x14ac:dyDescent="0.3">
      <c r="A287" s="192">
        <v>270</v>
      </c>
      <c r="B287" s="194" t="s">
        <v>694</v>
      </c>
      <c r="C287" s="296" t="s">
        <v>1290</v>
      </c>
      <c r="D287" s="193">
        <v>46146</v>
      </c>
      <c r="E287" s="194" t="s">
        <v>696</v>
      </c>
      <c r="F287" s="296" t="s">
        <v>798</v>
      </c>
      <c r="G287" s="194" t="s">
        <v>1288</v>
      </c>
      <c r="H287" s="286">
        <v>20557430</v>
      </c>
      <c r="I287" s="192">
        <v>8</v>
      </c>
      <c r="J287" s="286">
        <v>1644594</v>
      </c>
      <c r="K287" s="194" t="s">
        <v>12</v>
      </c>
      <c r="L287" s="194" t="s">
        <v>15</v>
      </c>
      <c r="M287" s="296" t="s">
        <v>1277</v>
      </c>
      <c r="N287" s="193">
        <v>46173</v>
      </c>
      <c r="O287" s="193">
        <v>46173</v>
      </c>
      <c r="P287" s="251">
        <v>22202024</v>
      </c>
      <c r="Q287" s="192" t="s">
        <v>457</v>
      </c>
      <c r="R287" s="192" t="s">
        <v>259</v>
      </c>
      <c r="S287" s="194" t="s">
        <v>14</v>
      </c>
      <c r="T287" s="64" t="str">
        <f t="shared" si="18"/>
        <v>Đ</v>
      </c>
      <c r="U287" s="66">
        <f t="shared" si="19"/>
        <v>0</v>
      </c>
      <c r="V287" s="62">
        <f t="shared" si="20"/>
        <v>13311</v>
      </c>
    </row>
    <row r="288" spans="1:22" ht="21.6" hidden="1" x14ac:dyDescent="0.3">
      <c r="A288" s="192">
        <v>271</v>
      </c>
      <c r="B288" s="194" t="s">
        <v>685</v>
      </c>
      <c r="C288" s="296" t="s">
        <v>1291</v>
      </c>
      <c r="D288" s="193">
        <v>46146</v>
      </c>
      <c r="E288" s="194" t="s">
        <v>686</v>
      </c>
      <c r="F288" s="296" t="s">
        <v>465</v>
      </c>
      <c r="G288" s="194" t="s">
        <v>1288</v>
      </c>
      <c r="H288" s="286">
        <v>46697320</v>
      </c>
      <c r="I288" s="192">
        <v>8</v>
      </c>
      <c r="J288" s="286">
        <v>3735786</v>
      </c>
      <c r="K288" s="194" t="s">
        <v>12</v>
      </c>
      <c r="L288" s="194" t="s">
        <v>15</v>
      </c>
      <c r="M288" s="296" t="s">
        <v>1277</v>
      </c>
      <c r="N288" s="193">
        <v>46173</v>
      </c>
      <c r="O288" s="193">
        <v>46173</v>
      </c>
      <c r="P288" s="251">
        <v>50433106</v>
      </c>
      <c r="Q288" s="192" t="s">
        <v>457</v>
      </c>
      <c r="R288" s="192" t="s">
        <v>259</v>
      </c>
      <c r="S288" s="194" t="s">
        <v>14</v>
      </c>
      <c r="T288" s="64" t="str">
        <f t="shared" si="18"/>
        <v>Đ</v>
      </c>
      <c r="U288" s="66">
        <f t="shared" si="19"/>
        <v>0</v>
      </c>
      <c r="V288" s="62">
        <f t="shared" si="20"/>
        <v>13311</v>
      </c>
    </row>
    <row r="289" spans="1:22" ht="21.6" hidden="1" x14ac:dyDescent="0.3">
      <c r="A289" s="192">
        <v>272</v>
      </c>
      <c r="B289" s="194" t="s">
        <v>802</v>
      </c>
      <c r="C289" s="296" t="s">
        <v>1292</v>
      </c>
      <c r="D289" s="193">
        <v>46146</v>
      </c>
      <c r="E289" s="194" t="s">
        <v>803</v>
      </c>
      <c r="F289" s="296" t="s">
        <v>1293</v>
      </c>
      <c r="G289" s="194" t="s">
        <v>1288</v>
      </c>
      <c r="H289" s="286">
        <v>3620600</v>
      </c>
      <c r="I289" s="192">
        <v>8</v>
      </c>
      <c r="J289" s="286">
        <v>289648</v>
      </c>
      <c r="K289" s="194" t="s">
        <v>12</v>
      </c>
      <c r="L289" s="194" t="s">
        <v>15</v>
      </c>
      <c r="M289" s="296" t="s">
        <v>1277</v>
      </c>
      <c r="N289" s="193">
        <v>46173</v>
      </c>
      <c r="O289" s="193">
        <v>46173</v>
      </c>
      <c r="P289" s="251">
        <v>3910248</v>
      </c>
      <c r="Q289" s="192" t="s">
        <v>457</v>
      </c>
      <c r="R289" s="192" t="s">
        <v>259</v>
      </c>
      <c r="S289" s="194" t="s">
        <v>14</v>
      </c>
      <c r="T289" s="64" t="str">
        <f t="shared" si="18"/>
        <v>Đ</v>
      </c>
      <c r="U289" s="66">
        <f t="shared" si="19"/>
        <v>0</v>
      </c>
      <c r="V289" s="62">
        <f t="shared" si="20"/>
        <v>13311</v>
      </c>
    </row>
    <row r="290" spans="1:22" ht="21.6" hidden="1" x14ac:dyDescent="0.3">
      <c r="A290" s="192">
        <v>273</v>
      </c>
      <c r="B290" s="194" t="s">
        <v>482</v>
      </c>
      <c r="C290" s="296" t="s">
        <v>1294</v>
      </c>
      <c r="D290" s="193">
        <v>46146</v>
      </c>
      <c r="E290" s="194" t="s">
        <v>483</v>
      </c>
      <c r="F290" s="296" t="s">
        <v>766</v>
      </c>
      <c r="G290" s="194" t="s">
        <v>1288</v>
      </c>
      <c r="H290" s="286">
        <v>40416000</v>
      </c>
      <c r="I290" s="192">
        <v>8</v>
      </c>
      <c r="J290" s="286">
        <v>3233280</v>
      </c>
      <c r="K290" s="194" t="s">
        <v>12</v>
      </c>
      <c r="L290" s="194" t="s">
        <v>15</v>
      </c>
      <c r="M290" s="296" t="s">
        <v>1277</v>
      </c>
      <c r="N290" s="193">
        <v>46173</v>
      </c>
      <c r="O290" s="193">
        <v>46173</v>
      </c>
      <c r="P290" s="251">
        <v>43649280</v>
      </c>
      <c r="Q290" s="192" t="s">
        <v>457</v>
      </c>
      <c r="R290" s="192" t="s">
        <v>259</v>
      </c>
      <c r="S290" s="194" t="s">
        <v>14</v>
      </c>
      <c r="T290" s="64" t="str">
        <f t="shared" si="18"/>
        <v>Đ</v>
      </c>
      <c r="U290" s="66">
        <f t="shared" si="19"/>
        <v>0</v>
      </c>
      <c r="V290" s="62">
        <f t="shared" si="20"/>
        <v>13311</v>
      </c>
    </row>
    <row r="291" spans="1:22" ht="21.6" hidden="1" x14ac:dyDescent="0.3">
      <c r="A291" s="192">
        <v>274</v>
      </c>
      <c r="B291" s="194" t="s">
        <v>607</v>
      </c>
      <c r="C291" s="296" t="s">
        <v>790</v>
      </c>
      <c r="D291" s="193">
        <v>46146</v>
      </c>
      <c r="E291" s="194" t="s">
        <v>732</v>
      </c>
      <c r="F291" s="296" t="s">
        <v>772</v>
      </c>
      <c r="G291" s="194" t="s">
        <v>1288</v>
      </c>
      <c r="H291" s="286">
        <v>233346588</v>
      </c>
      <c r="I291" s="192">
        <v>8</v>
      </c>
      <c r="J291" s="286">
        <v>18667727</v>
      </c>
      <c r="K291" s="194" t="s">
        <v>12</v>
      </c>
      <c r="L291" s="194" t="s">
        <v>15</v>
      </c>
      <c r="M291" s="296" t="s">
        <v>1277</v>
      </c>
      <c r="N291" s="193">
        <v>46173</v>
      </c>
      <c r="O291" s="193">
        <v>46173</v>
      </c>
      <c r="P291" s="251">
        <v>252014315</v>
      </c>
      <c r="Q291" s="192" t="s">
        <v>457</v>
      </c>
      <c r="R291" s="192" t="s">
        <v>259</v>
      </c>
      <c r="S291" s="194" t="s">
        <v>14</v>
      </c>
      <c r="T291" s="64" t="str">
        <f t="shared" si="18"/>
        <v>Đ</v>
      </c>
      <c r="U291" s="66">
        <f t="shared" si="19"/>
        <v>0</v>
      </c>
      <c r="V291" s="62">
        <f t="shared" si="20"/>
        <v>13311</v>
      </c>
    </row>
    <row r="292" spans="1:22" ht="21.6" hidden="1" x14ac:dyDescent="0.3">
      <c r="A292" s="192">
        <v>275</v>
      </c>
      <c r="B292" s="194" t="s">
        <v>497</v>
      </c>
      <c r="C292" s="296" t="s">
        <v>1295</v>
      </c>
      <c r="D292" s="193">
        <v>46146</v>
      </c>
      <c r="E292" s="194" t="s">
        <v>499</v>
      </c>
      <c r="F292" s="296" t="s">
        <v>707</v>
      </c>
      <c r="G292" s="194" t="s">
        <v>1288</v>
      </c>
      <c r="H292" s="286">
        <v>168400</v>
      </c>
      <c r="I292" s="192">
        <v>8</v>
      </c>
      <c r="J292" s="286">
        <v>13472</v>
      </c>
      <c r="K292" s="194" t="s">
        <v>12</v>
      </c>
      <c r="L292" s="194" t="s">
        <v>15</v>
      </c>
      <c r="M292" s="296" t="s">
        <v>1277</v>
      </c>
      <c r="N292" s="193">
        <v>46173</v>
      </c>
      <c r="O292" s="193">
        <v>46173</v>
      </c>
      <c r="P292" s="251">
        <v>181872</v>
      </c>
      <c r="Q292" s="192" t="s">
        <v>457</v>
      </c>
      <c r="R292" s="192" t="s">
        <v>259</v>
      </c>
      <c r="S292" s="194" t="s">
        <v>14</v>
      </c>
      <c r="T292" s="64" t="str">
        <f t="shared" si="18"/>
        <v>Đ</v>
      </c>
      <c r="U292" s="66">
        <f t="shared" si="19"/>
        <v>0</v>
      </c>
      <c r="V292" s="62">
        <f t="shared" si="20"/>
        <v>13311</v>
      </c>
    </row>
    <row r="293" spans="1:22" ht="21.6" hidden="1" x14ac:dyDescent="0.3">
      <c r="A293" s="192">
        <v>276</v>
      </c>
      <c r="B293" s="194" t="s">
        <v>501</v>
      </c>
      <c r="C293" s="296" t="s">
        <v>526</v>
      </c>
      <c r="D293" s="193">
        <v>46146</v>
      </c>
      <c r="E293" s="194" t="s">
        <v>507</v>
      </c>
      <c r="F293" s="296" t="s">
        <v>568</v>
      </c>
      <c r="G293" s="194" t="s">
        <v>1288</v>
      </c>
      <c r="H293" s="286">
        <v>30084660</v>
      </c>
      <c r="I293" s="192">
        <v>8</v>
      </c>
      <c r="J293" s="286">
        <v>2406773</v>
      </c>
      <c r="K293" s="194" t="s">
        <v>12</v>
      </c>
      <c r="L293" s="194" t="s">
        <v>15</v>
      </c>
      <c r="M293" s="296" t="s">
        <v>1277</v>
      </c>
      <c r="N293" s="193">
        <v>46173</v>
      </c>
      <c r="O293" s="193">
        <v>46173</v>
      </c>
      <c r="P293" s="251">
        <v>32491433</v>
      </c>
      <c r="Q293" s="192" t="s">
        <v>457</v>
      </c>
      <c r="R293" s="192" t="s">
        <v>259</v>
      </c>
      <c r="S293" s="194" t="s">
        <v>14</v>
      </c>
      <c r="T293" s="64" t="str">
        <f t="shared" si="18"/>
        <v>Đ</v>
      </c>
      <c r="U293" s="66">
        <f t="shared" si="19"/>
        <v>0</v>
      </c>
      <c r="V293" s="62">
        <f t="shared" si="20"/>
        <v>13311</v>
      </c>
    </row>
    <row r="294" spans="1:22" ht="21.6" hidden="1" x14ac:dyDescent="0.3">
      <c r="A294" s="192">
        <v>277</v>
      </c>
      <c r="B294" s="194" t="s">
        <v>512</v>
      </c>
      <c r="C294" s="296" t="s">
        <v>1296</v>
      </c>
      <c r="D294" s="193">
        <v>46146</v>
      </c>
      <c r="E294" s="194" t="s">
        <v>513</v>
      </c>
      <c r="F294" s="296" t="s">
        <v>662</v>
      </c>
      <c r="G294" s="194" t="s">
        <v>1288</v>
      </c>
      <c r="H294" s="286">
        <v>7531690</v>
      </c>
      <c r="I294" s="192">
        <v>8</v>
      </c>
      <c r="J294" s="286">
        <v>602535</v>
      </c>
      <c r="K294" s="194" t="s">
        <v>12</v>
      </c>
      <c r="L294" s="194" t="s">
        <v>15</v>
      </c>
      <c r="M294" s="296" t="s">
        <v>1277</v>
      </c>
      <c r="N294" s="193">
        <v>46173</v>
      </c>
      <c r="O294" s="193">
        <v>46173</v>
      </c>
      <c r="P294" s="251">
        <v>8134225</v>
      </c>
      <c r="Q294" s="192" t="s">
        <v>457</v>
      </c>
      <c r="R294" s="192" t="s">
        <v>259</v>
      </c>
      <c r="S294" s="194" t="s">
        <v>14</v>
      </c>
      <c r="T294" s="64" t="str">
        <f t="shared" si="18"/>
        <v>Đ</v>
      </c>
      <c r="U294" s="66">
        <f t="shared" si="19"/>
        <v>0</v>
      </c>
      <c r="V294" s="62">
        <f t="shared" si="20"/>
        <v>13311</v>
      </c>
    </row>
    <row r="295" spans="1:22" ht="21.6" hidden="1" x14ac:dyDescent="0.3">
      <c r="A295" s="192">
        <v>278</v>
      </c>
      <c r="B295" s="194" t="s">
        <v>756</v>
      </c>
      <c r="C295" s="296" t="s">
        <v>1297</v>
      </c>
      <c r="D295" s="193">
        <v>46146</v>
      </c>
      <c r="E295" s="194" t="s">
        <v>757</v>
      </c>
      <c r="F295" s="296" t="s">
        <v>726</v>
      </c>
      <c r="G295" s="194" t="s">
        <v>1288</v>
      </c>
      <c r="H295" s="286">
        <v>333680390</v>
      </c>
      <c r="I295" s="192">
        <v>8</v>
      </c>
      <c r="J295" s="286">
        <v>26694431</v>
      </c>
      <c r="K295" s="194" t="s">
        <v>12</v>
      </c>
      <c r="L295" s="194" t="s">
        <v>15</v>
      </c>
      <c r="M295" s="296" t="s">
        <v>1277</v>
      </c>
      <c r="N295" s="193">
        <v>46173</v>
      </c>
      <c r="O295" s="193">
        <v>46173</v>
      </c>
      <c r="P295" s="251">
        <v>360374821</v>
      </c>
      <c r="Q295" s="192" t="s">
        <v>457</v>
      </c>
      <c r="R295" s="192" t="s">
        <v>259</v>
      </c>
      <c r="S295" s="194" t="s">
        <v>14</v>
      </c>
      <c r="T295" s="64" t="str">
        <f t="shared" si="18"/>
        <v>Đ</v>
      </c>
      <c r="U295" s="66">
        <f t="shared" si="19"/>
        <v>0</v>
      </c>
      <c r="V295" s="62">
        <f t="shared" si="20"/>
        <v>13311</v>
      </c>
    </row>
    <row r="296" spans="1:22" ht="21.6" hidden="1" x14ac:dyDescent="0.3">
      <c r="A296" s="192">
        <v>279</v>
      </c>
      <c r="B296" s="194" t="s">
        <v>292</v>
      </c>
      <c r="C296" s="296" t="s">
        <v>1298</v>
      </c>
      <c r="D296" s="193">
        <v>46146</v>
      </c>
      <c r="E296" s="194" t="s">
        <v>1299</v>
      </c>
      <c r="F296" s="296" t="s">
        <v>1300</v>
      </c>
      <c r="G296" s="194" t="s">
        <v>1288</v>
      </c>
      <c r="H296" s="286">
        <v>1227215</v>
      </c>
      <c r="I296" s="192">
        <v>8</v>
      </c>
      <c r="J296" s="286">
        <v>98177</v>
      </c>
      <c r="K296" s="194" t="s">
        <v>12</v>
      </c>
      <c r="L296" s="194" t="s">
        <v>15</v>
      </c>
      <c r="M296" s="296" t="s">
        <v>1277</v>
      </c>
      <c r="N296" s="193">
        <v>46173</v>
      </c>
      <c r="O296" s="193">
        <v>46173</v>
      </c>
      <c r="P296" s="251">
        <v>1325392</v>
      </c>
      <c r="Q296" s="192" t="s">
        <v>457</v>
      </c>
      <c r="R296" s="192" t="s">
        <v>259</v>
      </c>
      <c r="S296" s="194" t="s">
        <v>14</v>
      </c>
      <c r="T296" s="64" t="str">
        <f t="shared" si="18"/>
        <v>Đ</v>
      </c>
      <c r="U296" s="66">
        <f t="shared" si="19"/>
        <v>0</v>
      </c>
      <c r="V296" s="62">
        <f t="shared" si="20"/>
        <v>13311</v>
      </c>
    </row>
    <row r="297" spans="1:22" ht="21.6" hidden="1" x14ac:dyDescent="0.3">
      <c r="A297" s="192">
        <v>280</v>
      </c>
      <c r="B297" s="194" t="s">
        <v>291</v>
      </c>
      <c r="C297" s="296" t="s">
        <v>1301</v>
      </c>
      <c r="D297" s="193">
        <v>46146</v>
      </c>
      <c r="E297" s="194" t="s">
        <v>537</v>
      </c>
      <c r="F297" s="296" t="s">
        <v>532</v>
      </c>
      <c r="G297" s="194" t="s">
        <v>1288</v>
      </c>
      <c r="H297" s="286">
        <v>448365</v>
      </c>
      <c r="I297" s="192">
        <v>8</v>
      </c>
      <c r="J297" s="286">
        <v>35869</v>
      </c>
      <c r="K297" s="194" t="s">
        <v>12</v>
      </c>
      <c r="L297" s="194" t="s">
        <v>15</v>
      </c>
      <c r="M297" s="296" t="s">
        <v>1277</v>
      </c>
      <c r="N297" s="193">
        <v>46173</v>
      </c>
      <c r="O297" s="193">
        <v>46173</v>
      </c>
      <c r="P297" s="251">
        <v>484234</v>
      </c>
      <c r="Q297" s="192" t="s">
        <v>457</v>
      </c>
      <c r="R297" s="192" t="s">
        <v>259</v>
      </c>
      <c r="S297" s="194" t="s">
        <v>14</v>
      </c>
      <c r="T297" s="64" t="str">
        <f t="shared" si="18"/>
        <v>Đ</v>
      </c>
      <c r="U297" s="66">
        <f t="shared" si="19"/>
        <v>0</v>
      </c>
      <c r="V297" s="62">
        <f t="shared" si="20"/>
        <v>13311</v>
      </c>
    </row>
    <row r="298" spans="1:22" ht="21.6" hidden="1" x14ac:dyDescent="0.3">
      <c r="A298" s="192">
        <v>281</v>
      </c>
      <c r="B298" s="194" t="s">
        <v>541</v>
      </c>
      <c r="C298" s="296" t="s">
        <v>713</v>
      </c>
      <c r="D298" s="193">
        <v>46146</v>
      </c>
      <c r="E298" s="194" t="s">
        <v>542</v>
      </c>
      <c r="F298" s="296" t="s">
        <v>488</v>
      </c>
      <c r="G298" s="194" t="s">
        <v>1288</v>
      </c>
      <c r="H298" s="286">
        <v>181312070</v>
      </c>
      <c r="I298" s="192">
        <v>8</v>
      </c>
      <c r="J298" s="286">
        <v>14504966</v>
      </c>
      <c r="K298" s="194" t="s">
        <v>12</v>
      </c>
      <c r="L298" s="194" t="s">
        <v>15</v>
      </c>
      <c r="M298" s="296" t="s">
        <v>1277</v>
      </c>
      <c r="N298" s="193">
        <v>46173</v>
      </c>
      <c r="O298" s="193">
        <v>46173</v>
      </c>
      <c r="P298" s="251">
        <v>195817036</v>
      </c>
      <c r="Q298" s="192" t="s">
        <v>457</v>
      </c>
      <c r="R298" s="192" t="s">
        <v>259</v>
      </c>
      <c r="S298" s="194" t="s">
        <v>14</v>
      </c>
      <c r="T298" s="64" t="str">
        <f t="shared" si="18"/>
        <v>Đ</v>
      </c>
      <c r="U298" s="66">
        <f t="shared" si="19"/>
        <v>0</v>
      </c>
      <c r="V298" s="62">
        <f t="shared" si="20"/>
        <v>13311</v>
      </c>
    </row>
    <row r="299" spans="1:22" ht="21.6" hidden="1" x14ac:dyDescent="0.3">
      <c r="A299" s="192">
        <v>282</v>
      </c>
      <c r="B299" s="194" t="s">
        <v>289</v>
      </c>
      <c r="C299" s="296" t="s">
        <v>350</v>
      </c>
      <c r="D299" s="193">
        <v>46146</v>
      </c>
      <c r="E299" s="194" t="s">
        <v>792</v>
      </c>
      <c r="F299" s="296" t="s">
        <v>530</v>
      </c>
      <c r="G299" s="194" t="s">
        <v>1288</v>
      </c>
      <c r="H299" s="286">
        <v>1027240</v>
      </c>
      <c r="I299" s="192">
        <v>8</v>
      </c>
      <c r="J299" s="286">
        <v>82179</v>
      </c>
      <c r="K299" s="194" t="s">
        <v>12</v>
      </c>
      <c r="L299" s="194" t="s">
        <v>15</v>
      </c>
      <c r="M299" s="296" t="s">
        <v>1277</v>
      </c>
      <c r="N299" s="193">
        <v>46173</v>
      </c>
      <c r="O299" s="193">
        <v>46173</v>
      </c>
      <c r="P299" s="251">
        <v>1109419</v>
      </c>
      <c r="Q299" s="192" t="s">
        <v>457</v>
      </c>
      <c r="R299" s="192" t="s">
        <v>259</v>
      </c>
      <c r="S299" s="194" t="s">
        <v>14</v>
      </c>
      <c r="T299" s="64" t="str">
        <f t="shared" si="18"/>
        <v>Đ</v>
      </c>
      <c r="U299" s="66">
        <f t="shared" si="19"/>
        <v>0</v>
      </c>
      <c r="V299" s="62">
        <f t="shared" si="20"/>
        <v>13311</v>
      </c>
    </row>
    <row r="300" spans="1:22" ht="21.6" hidden="1" x14ac:dyDescent="0.3">
      <c r="A300" s="192">
        <v>283</v>
      </c>
      <c r="B300" s="194" t="s">
        <v>543</v>
      </c>
      <c r="C300" s="296" t="s">
        <v>717</v>
      </c>
      <c r="D300" s="193">
        <v>46146</v>
      </c>
      <c r="E300" s="194" t="s">
        <v>545</v>
      </c>
      <c r="F300" s="296" t="s">
        <v>576</v>
      </c>
      <c r="G300" s="194" t="s">
        <v>1288</v>
      </c>
      <c r="H300" s="286">
        <v>85759805</v>
      </c>
      <c r="I300" s="192">
        <v>8</v>
      </c>
      <c r="J300" s="286">
        <v>6860784</v>
      </c>
      <c r="K300" s="194" t="s">
        <v>12</v>
      </c>
      <c r="L300" s="194" t="s">
        <v>15</v>
      </c>
      <c r="M300" s="296" t="s">
        <v>1277</v>
      </c>
      <c r="N300" s="193">
        <v>46173</v>
      </c>
      <c r="O300" s="193">
        <v>46173</v>
      </c>
      <c r="P300" s="251">
        <v>92620589</v>
      </c>
      <c r="Q300" s="192" t="s">
        <v>457</v>
      </c>
      <c r="R300" s="192" t="s">
        <v>259</v>
      </c>
      <c r="S300" s="194" t="s">
        <v>14</v>
      </c>
      <c r="T300" s="64" t="str">
        <f t="shared" si="18"/>
        <v>Đ</v>
      </c>
      <c r="U300" s="66">
        <f t="shared" si="19"/>
        <v>0</v>
      </c>
      <c r="V300" s="62">
        <f t="shared" si="20"/>
        <v>13311</v>
      </c>
    </row>
    <row r="301" spans="1:22" ht="21.6" hidden="1" x14ac:dyDescent="0.3">
      <c r="A301" s="192">
        <v>284</v>
      </c>
      <c r="B301" s="194" t="s">
        <v>345</v>
      </c>
      <c r="C301" s="296" t="s">
        <v>1302</v>
      </c>
      <c r="D301" s="193">
        <v>46146</v>
      </c>
      <c r="E301" s="194" t="s">
        <v>564</v>
      </c>
      <c r="F301" s="296" t="s">
        <v>540</v>
      </c>
      <c r="G301" s="194" t="s">
        <v>1288</v>
      </c>
      <c r="H301" s="286">
        <v>852525</v>
      </c>
      <c r="I301" s="192">
        <v>8</v>
      </c>
      <c r="J301" s="286">
        <v>68202</v>
      </c>
      <c r="K301" s="194" t="s">
        <v>12</v>
      </c>
      <c r="L301" s="194" t="s">
        <v>15</v>
      </c>
      <c r="M301" s="296" t="s">
        <v>1277</v>
      </c>
      <c r="N301" s="193">
        <v>46173</v>
      </c>
      <c r="O301" s="193">
        <v>46173</v>
      </c>
      <c r="P301" s="251">
        <v>920727</v>
      </c>
      <c r="Q301" s="192" t="s">
        <v>457</v>
      </c>
      <c r="R301" s="192" t="s">
        <v>259</v>
      </c>
      <c r="S301" s="194" t="s">
        <v>14</v>
      </c>
      <c r="T301" s="64" t="str">
        <f t="shared" si="18"/>
        <v>Đ</v>
      </c>
      <c r="U301" s="66">
        <f t="shared" si="19"/>
        <v>0</v>
      </c>
      <c r="V301" s="62">
        <f t="shared" si="20"/>
        <v>13311</v>
      </c>
    </row>
    <row r="302" spans="1:22" ht="21.6" hidden="1" x14ac:dyDescent="0.3">
      <c r="A302" s="192">
        <v>285</v>
      </c>
      <c r="B302" s="194" t="s">
        <v>761</v>
      </c>
      <c r="C302" s="296" t="s">
        <v>452</v>
      </c>
      <c r="D302" s="193">
        <v>46146</v>
      </c>
      <c r="E302" s="194" t="s">
        <v>762</v>
      </c>
      <c r="F302" s="296" t="s">
        <v>741</v>
      </c>
      <c r="G302" s="194" t="s">
        <v>1288</v>
      </c>
      <c r="H302" s="286">
        <v>362457845</v>
      </c>
      <c r="I302" s="192">
        <v>8</v>
      </c>
      <c r="J302" s="286">
        <v>28996628</v>
      </c>
      <c r="K302" s="194" t="s">
        <v>12</v>
      </c>
      <c r="L302" s="194" t="s">
        <v>15</v>
      </c>
      <c r="M302" s="296" t="s">
        <v>1277</v>
      </c>
      <c r="N302" s="193">
        <v>46173</v>
      </c>
      <c r="O302" s="193">
        <v>46173</v>
      </c>
      <c r="P302" s="251">
        <v>391454473</v>
      </c>
      <c r="Q302" s="192" t="s">
        <v>457</v>
      </c>
      <c r="R302" s="192" t="s">
        <v>259</v>
      </c>
      <c r="S302" s="194" t="s">
        <v>14</v>
      </c>
      <c r="T302" s="64" t="str">
        <f t="shared" si="18"/>
        <v>Đ</v>
      </c>
      <c r="U302" s="66">
        <f t="shared" si="19"/>
        <v>0</v>
      </c>
      <c r="V302" s="62">
        <f t="shared" si="20"/>
        <v>13311</v>
      </c>
    </row>
    <row r="303" spans="1:22" ht="21.6" hidden="1" x14ac:dyDescent="0.3">
      <c r="A303" s="192">
        <v>286</v>
      </c>
      <c r="B303" s="194" t="s">
        <v>291</v>
      </c>
      <c r="C303" s="296" t="s">
        <v>452</v>
      </c>
      <c r="D303" s="193">
        <v>46146</v>
      </c>
      <c r="E303" s="194" t="s">
        <v>579</v>
      </c>
      <c r="F303" s="296" t="s">
        <v>1303</v>
      </c>
      <c r="G303" s="194" t="s">
        <v>1288</v>
      </c>
      <c r="H303" s="286">
        <v>174064555</v>
      </c>
      <c r="I303" s="192">
        <v>8</v>
      </c>
      <c r="J303" s="286">
        <v>13925164</v>
      </c>
      <c r="K303" s="194" t="s">
        <v>12</v>
      </c>
      <c r="L303" s="194" t="s">
        <v>15</v>
      </c>
      <c r="M303" s="296" t="s">
        <v>1277</v>
      </c>
      <c r="N303" s="193">
        <v>46173</v>
      </c>
      <c r="O303" s="193">
        <v>46173</v>
      </c>
      <c r="P303" s="251">
        <v>187989719</v>
      </c>
      <c r="Q303" s="192" t="s">
        <v>457</v>
      </c>
      <c r="R303" s="192" t="s">
        <v>259</v>
      </c>
      <c r="S303" s="194" t="s">
        <v>14</v>
      </c>
      <c r="T303" s="64" t="str">
        <f t="shared" si="18"/>
        <v>Đ</v>
      </c>
      <c r="U303" s="66">
        <f t="shared" si="19"/>
        <v>0</v>
      </c>
      <c r="V303" s="62">
        <f t="shared" si="20"/>
        <v>13311</v>
      </c>
    </row>
    <row r="304" spans="1:22" ht="21.6" hidden="1" x14ac:dyDescent="0.3">
      <c r="A304" s="192">
        <v>287</v>
      </c>
      <c r="B304" s="194" t="s">
        <v>736</v>
      </c>
      <c r="C304" s="296" t="s">
        <v>452</v>
      </c>
      <c r="D304" s="193">
        <v>46146</v>
      </c>
      <c r="E304" s="194" t="s">
        <v>737</v>
      </c>
      <c r="F304" s="296" t="s">
        <v>711</v>
      </c>
      <c r="G304" s="194" t="s">
        <v>1288</v>
      </c>
      <c r="H304" s="286">
        <v>264063124</v>
      </c>
      <c r="I304" s="192">
        <v>8</v>
      </c>
      <c r="J304" s="286">
        <v>21125050</v>
      </c>
      <c r="K304" s="194" t="s">
        <v>12</v>
      </c>
      <c r="L304" s="194" t="s">
        <v>15</v>
      </c>
      <c r="M304" s="296" t="s">
        <v>1277</v>
      </c>
      <c r="N304" s="193">
        <v>46173</v>
      </c>
      <c r="O304" s="193">
        <v>46173</v>
      </c>
      <c r="P304" s="251">
        <v>285188174</v>
      </c>
      <c r="Q304" s="192" t="s">
        <v>457</v>
      </c>
      <c r="R304" s="192" t="s">
        <v>259</v>
      </c>
      <c r="S304" s="194" t="s">
        <v>14</v>
      </c>
      <c r="T304" s="64" t="str">
        <f t="shared" si="18"/>
        <v>Đ</v>
      </c>
      <c r="U304" s="66">
        <f t="shared" si="19"/>
        <v>0</v>
      </c>
      <c r="V304" s="62">
        <f t="shared" si="20"/>
        <v>13311</v>
      </c>
    </row>
    <row r="305" spans="1:22" ht="21.6" hidden="1" x14ac:dyDescent="0.3">
      <c r="A305" s="192">
        <v>288</v>
      </c>
      <c r="B305" s="194" t="s">
        <v>624</v>
      </c>
      <c r="C305" s="296" t="s">
        <v>1075</v>
      </c>
      <c r="D305" s="193">
        <v>46146</v>
      </c>
      <c r="E305" s="194" t="s">
        <v>626</v>
      </c>
      <c r="F305" s="296" t="s">
        <v>744</v>
      </c>
      <c r="G305" s="194" t="s">
        <v>1288</v>
      </c>
      <c r="H305" s="286">
        <v>3205915</v>
      </c>
      <c r="I305" s="192">
        <v>8</v>
      </c>
      <c r="J305" s="286">
        <v>256473</v>
      </c>
      <c r="K305" s="194" t="s">
        <v>12</v>
      </c>
      <c r="L305" s="194" t="s">
        <v>15</v>
      </c>
      <c r="M305" s="296" t="s">
        <v>1277</v>
      </c>
      <c r="N305" s="193">
        <v>46173</v>
      </c>
      <c r="O305" s="193">
        <v>46173</v>
      </c>
      <c r="P305" s="251">
        <v>3462388</v>
      </c>
      <c r="Q305" s="192" t="s">
        <v>457</v>
      </c>
      <c r="R305" s="192" t="s">
        <v>259</v>
      </c>
      <c r="S305" s="194" t="s">
        <v>14</v>
      </c>
      <c r="T305" s="64" t="str">
        <f t="shared" si="18"/>
        <v>Đ</v>
      </c>
      <c r="U305" s="66">
        <f t="shared" si="19"/>
        <v>0</v>
      </c>
      <c r="V305" s="62">
        <f t="shared" si="20"/>
        <v>13311</v>
      </c>
    </row>
    <row r="306" spans="1:22" ht="21.6" hidden="1" x14ac:dyDescent="0.3">
      <c r="A306" s="192">
        <v>289</v>
      </c>
      <c r="B306" s="194" t="s">
        <v>297</v>
      </c>
      <c r="C306" s="296" t="s">
        <v>1304</v>
      </c>
      <c r="D306" s="193">
        <v>46146</v>
      </c>
      <c r="E306" s="194" t="s">
        <v>1305</v>
      </c>
      <c r="F306" s="296" t="s">
        <v>689</v>
      </c>
      <c r="G306" s="194" t="s">
        <v>1288</v>
      </c>
      <c r="H306" s="286">
        <v>671528</v>
      </c>
      <c r="I306" s="192">
        <v>8</v>
      </c>
      <c r="J306" s="286">
        <v>53722</v>
      </c>
      <c r="K306" s="194" t="s">
        <v>12</v>
      </c>
      <c r="L306" s="194" t="s">
        <v>15</v>
      </c>
      <c r="M306" s="296" t="s">
        <v>1277</v>
      </c>
      <c r="N306" s="193">
        <v>46173</v>
      </c>
      <c r="O306" s="193">
        <v>46173</v>
      </c>
      <c r="P306" s="251">
        <v>725250</v>
      </c>
      <c r="Q306" s="192" t="s">
        <v>457</v>
      </c>
      <c r="R306" s="192" t="s">
        <v>259</v>
      </c>
      <c r="S306" s="194" t="s">
        <v>14</v>
      </c>
      <c r="T306" s="64" t="str">
        <f t="shared" si="18"/>
        <v>Đ</v>
      </c>
      <c r="U306" s="66">
        <f t="shared" si="19"/>
        <v>0</v>
      </c>
      <c r="V306" s="62">
        <f t="shared" si="20"/>
        <v>13311</v>
      </c>
    </row>
    <row r="307" spans="1:22" ht="21.6" hidden="1" x14ac:dyDescent="0.3">
      <c r="A307" s="192">
        <v>290</v>
      </c>
      <c r="B307" s="194" t="s">
        <v>294</v>
      </c>
      <c r="C307" s="296" t="s">
        <v>1306</v>
      </c>
      <c r="D307" s="193">
        <v>46146</v>
      </c>
      <c r="E307" s="194" t="s">
        <v>637</v>
      </c>
      <c r="F307" s="296" t="s">
        <v>776</v>
      </c>
      <c r="G307" s="194" t="s">
        <v>1288</v>
      </c>
      <c r="H307" s="286">
        <v>251926400</v>
      </c>
      <c r="I307" s="192">
        <v>8</v>
      </c>
      <c r="J307" s="286">
        <v>20154112</v>
      </c>
      <c r="K307" s="194" t="s">
        <v>12</v>
      </c>
      <c r="L307" s="194" t="s">
        <v>15</v>
      </c>
      <c r="M307" s="296" t="s">
        <v>1277</v>
      </c>
      <c r="N307" s="193">
        <v>46173</v>
      </c>
      <c r="O307" s="193">
        <v>46173</v>
      </c>
      <c r="P307" s="251">
        <v>272080512</v>
      </c>
      <c r="Q307" s="192" t="s">
        <v>457</v>
      </c>
      <c r="R307" s="192" t="s">
        <v>259</v>
      </c>
      <c r="S307" s="194" t="s">
        <v>14</v>
      </c>
      <c r="T307" s="64" t="str">
        <f t="shared" si="18"/>
        <v>Đ</v>
      </c>
      <c r="U307" s="66">
        <f t="shared" si="19"/>
        <v>0</v>
      </c>
      <c r="V307" s="62">
        <f t="shared" si="20"/>
        <v>13311</v>
      </c>
    </row>
    <row r="308" spans="1:22" ht="21.6" hidden="1" x14ac:dyDescent="0.3">
      <c r="A308" s="192">
        <v>291</v>
      </c>
      <c r="B308" s="194" t="s">
        <v>291</v>
      </c>
      <c r="C308" s="296" t="s">
        <v>352</v>
      </c>
      <c r="D308" s="193">
        <v>46146</v>
      </c>
      <c r="E308" s="194" t="s">
        <v>738</v>
      </c>
      <c r="F308" s="296" t="s">
        <v>589</v>
      </c>
      <c r="G308" s="194" t="s">
        <v>1288</v>
      </c>
      <c r="H308" s="286">
        <v>268259000</v>
      </c>
      <c r="I308" s="192">
        <v>8</v>
      </c>
      <c r="J308" s="286">
        <v>21460720</v>
      </c>
      <c r="K308" s="194" t="s">
        <v>12</v>
      </c>
      <c r="L308" s="194" t="s">
        <v>15</v>
      </c>
      <c r="M308" s="296" t="s">
        <v>1277</v>
      </c>
      <c r="N308" s="193">
        <v>46173</v>
      </c>
      <c r="O308" s="193">
        <v>46173</v>
      </c>
      <c r="P308" s="251">
        <v>289719720</v>
      </c>
      <c r="Q308" s="192" t="s">
        <v>457</v>
      </c>
      <c r="R308" s="192" t="s">
        <v>259</v>
      </c>
      <c r="S308" s="194" t="s">
        <v>14</v>
      </c>
      <c r="T308" s="64" t="str">
        <f t="shared" si="18"/>
        <v>Đ</v>
      </c>
      <c r="U308" s="66">
        <f t="shared" si="19"/>
        <v>0</v>
      </c>
      <c r="V308" s="62">
        <f t="shared" si="20"/>
        <v>13311</v>
      </c>
    </row>
    <row r="309" spans="1:22" ht="21.6" hidden="1" x14ac:dyDescent="0.3">
      <c r="A309" s="192">
        <v>292</v>
      </c>
      <c r="B309" s="194" t="s">
        <v>655</v>
      </c>
      <c r="C309" s="296" t="s">
        <v>352</v>
      </c>
      <c r="D309" s="193">
        <v>46146</v>
      </c>
      <c r="E309" s="194" t="s">
        <v>672</v>
      </c>
      <c r="F309" s="296" t="s">
        <v>659</v>
      </c>
      <c r="G309" s="194" t="s">
        <v>1288</v>
      </c>
      <c r="H309" s="286">
        <v>18364020</v>
      </c>
      <c r="I309" s="192">
        <v>8</v>
      </c>
      <c r="J309" s="286">
        <v>1469122</v>
      </c>
      <c r="K309" s="194" t="s">
        <v>12</v>
      </c>
      <c r="L309" s="194" t="s">
        <v>15</v>
      </c>
      <c r="M309" s="296" t="s">
        <v>1277</v>
      </c>
      <c r="N309" s="193">
        <v>46173</v>
      </c>
      <c r="O309" s="193">
        <v>46173</v>
      </c>
      <c r="P309" s="251">
        <v>19833142</v>
      </c>
      <c r="Q309" s="192" t="s">
        <v>457</v>
      </c>
      <c r="R309" s="192" t="s">
        <v>259</v>
      </c>
      <c r="S309" s="194" t="s">
        <v>14</v>
      </c>
      <c r="T309" s="64" t="str">
        <f t="shared" si="18"/>
        <v>Đ</v>
      </c>
      <c r="U309" s="66">
        <f t="shared" si="19"/>
        <v>0</v>
      </c>
      <c r="V309" s="62">
        <f t="shared" si="20"/>
        <v>13311</v>
      </c>
    </row>
    <row r="310" spans="1:22" ht="21.6" hidden="1" x14ac:dyDescent="0.3">
      <c r="A310" s="192">
        <v>293</v>
      </c>
      <c r="B310" s="194" t="s">
        <v>657</v>
      </c>
      <c r="C310" s="296" t="s">
        <v>352</v>
      </c>
      <c r="D310" s="193">
        <v>46146</v>
      </c>
      <c r="E310" s="194" t="s">
        <v>658</v>
      </c>
      <c r="F310" s="296" t="s">
        <v>496</v>
      </c>
      <c r="G310" s="194" t="s">
        <v>1288</v>
      </c>
      <c r="H310" s="286">
        <v>313192425</v>
      </c>
      <c r="I310" s="192">
        <v>8</v>
      </c>
      <c r="J310" s="286">
        <v>25055394</v>
      </c>
      <c r="K310" s="194" t="s">
        <v>12</v>
      </c>
      <c r="L310" s="194" t="s">
        <v>15</v>
      </c>
      <c r="M310" s="296" t="s">
        <v>1277</v>
      </c>
      <c r="N310" s="193">
        <v>46173</v>
      </c>
      <c r="O310" s="193">
        <v>46173</v>
      </c>
      <c r="P310" s="251">
        <v>338247819</v>
      </c>
      <c r="Q310" s="192" t="s">
        <v>457</v>
      </c>
      <c r="R310" s="192" t="s">
        <v>259</v>
      </c>
      <c r="S310" s="194" t="s">
        <v>14</v>
      </c>
      <c r="T310" s="64" t="str">
        <f t="shared" si="18"/>
        <v>Đ</v>
      </c>
      <c r="U310" s="66">
        <f t="shared" si="19"/>
        <v>0</v>
      </c>
      <c r="V310" s="62">
        <f t="shared" si="20"/>
        <v>13311</v>
      </c>
    </row>
    <row r="311" spans="1:22" ht="21.6" hidden="1" x14ac:dyDescent="0.3">
      <c r="A311" s="192">
        <v>294</v>
      </c>
      <c r="B311" s="194" t="s">
        <v>652</v>
      </c>
      <c r="C311" s="296" t="s">
        <v>295</v>
      </c>
      <c r="D311" s="193">
        <v>46117</v>
      </c>
      <c r="E311" s="194" t="s">
        <v>653</v>
      </c>
      <c r="F311" s="296" t="s">
        <v>1307</v>
      </c>
      <c r="G311" s="194" t="s">
        <v>456</v>
      </c>
      <c r="H311" s="286">
        <v>263945950</v>
      </c>
      <c r="I311" s="192">
        <v>8</v>
      </c>
      <c r="J311" s="286">
        <v>21115676</v>
      </c>
      <c r="K311" s="194" t="s">
        <v>12</v>
      </c>
      <c r="L311" s="194" t="s">
        <v>15</v>
      </c>
      <c r="M311" s="296" t="s">
        <v>1277</v>
      </c>
      <c r="N311" s="193">
        <v>46173</v>
      </c>
      <c r="O311" s="193">
        <v>46173</v>
      </c>
      <c r="P311" s="251">
        <v>285061626</v>
      </c>
      <c r="Q311" s="192" t="s">
        <v>457</v>
      </c>
      <c r="R311" s="192" t="s">
        <v>259</v>
      </c>
      <c r="S311" s="194" t="s">
        <v>14</v>
      </c>
      <c r="T311" s="64" t="str">
        <f t="shared" si="18"/>
        <v>Đ</v>
      </c>
      <c r="U311" s="66">
        <f t="shared" si="19"/>
        <v>0</v>
      </c>
      <c r="V311" s="62">
        <f t="shared" si="20"/>
        <v>13311</v>
      </c>
    </row>
    <row r="312" spans="1:22" ht="21.6" hidden="1" x14ac:dyDescent="0.3">
      <c r="A312" s="192">
        <v>295</v>
      </c>
      <c r="B312" s="194" t="s">
        <v>733</v>
      </c>
      <c r="C312" s="296" t="s">
        <v>1298</v>
      </c>
      <c r="D312" s="193">
        <v>46117</v>
      </c>
      <c r="E312" s="194" t="s">
        <v>735</v>
      </c>
      <c r="F312" s="296" t="s">
        <v>573</v>
      </c>
      <c r="G312" s="194" t="s">
        <v>456</v>
      </c>
      <c r="H312" s="286">
        <v>1416665</v>
      </c>
      <c r="I312" s="192">
        <v>8</v>
      </c>
      <c r="J312" s="286">
        <v>113333</v>
      </c>
      <c r="K312" s="194" t="s">
        <v>12</v>
      </c>
      <c r="L312" s="194" t="s">
        <v>15</v>
      </c>
      <c r="M312" s="296" t="s">
        <v>1277</v>
      </c>
      <c r="N312" s="193">
        <v>46173</v>
      </c>
      <c r="O312" s="193">
        <v>46173</v>
      </c>
      <c r="P312" s="251">
        <v>1529998</v>
      </c>
      <c r="Q312" s="192" t="s">
        <v>457</v>
      </c>
      <c r="R312" s="192" t="s">
        <v>259</v>
      </c>
      <c r="S312" s="194" t="s">
        <v>14</v>
      </c>
      <c r="T312" s="64" t="str">
        <f t="shared" si="18"/>
        <v>Đ</v>
      </c>
      <c r="U312" s="66">
        <f t="shared" si="19"/>
        <v>0</v>
      </c>
      <c r="V312" s="62">
        <f t="shared" si="20"/>
        <v>13311</v>
      </c>
    </row>
    <row r="313" spans="1:22" ht="21.6" hidden="1" x14ac:dyDescent="0.3">
      <c r="A313" s="192">
        <v>296</v>
      </c>
      <c r="B313" s="194" t="s">
        <v>460</v>
      </c>
      <c r="C313" s="296" t="s">
        <v>452</v>
      </c>
      <c r="D313" s="193">
        <v>46117</v>
      </c>
      <c r="E313" s="194" t="s">
        <v>462</v>
      </c>
      <c r="F313" s="296" t="s">
        <v>1308</v>
      </c>
      <c r="G313" s="194" t="s">
        <v>456</v>
      </c>
      <c r="H313" s="286">
        <v>124668625</v>
      </c>
      <c r="I313" s="192">
        <v>8</v>
      </c>
      <c r="J313" s="286">
        <v>9973490</v>
      </c>
      <c r="K313" s="194" t="s">
        <v>12</v>
      </c>
      <c r="L313" s="194" t="s">
        <v>15</v>
      </c>
      <c r="M313" s="296" t="s">
        <v>1277</v>
      </c>
      <c r="N313" s="193">
        <v>46173</v>
      </c>
      <c r="O313" s="193">
        <v>46173</v>
      </c>
      <c r="P313" s="251">
        <v>134642115</v>
      </c>
      <c r="Q313" s="192" t="s">
        <v>457</v>
      </c>
      <c r="R313" s="192" t="s">
        <v>259</v>
      </c>
      <c r="S313" s="194" t="s">
        <v>14</v>
      </c>
      <c r="T313" s="64" t="str">
        <f t="shared" si="18"/>
        <v>Đ</v>
      </c>
      <c r="U313" s="66">
        <f t="shared" si="19"/>
        <v>0</v>
      </c>
      <c r="V313" s="62">
        <f t="shared" si="20"/>
        <v>13311</v>
      </c>
    </row>
    <row r="314" spans="1:22" ht="21.6" hidden="1" x14ac:dyDescent="0.3">
      <c r="A314" s="192">
        <v>297</v>
      </c>
      <c r="B314" s="194" t="s">
        <v>463</v>
      </c>
      <c r="C314" s="296" t="s">
        <v>452</v>
      </c>
      <c r="D314" s="193">
        <v>46117</v>
      </c>
      <c r="E314" s="194" t="s">
        <v>464</v>
      </c>
      <c r="F314" s="296" t="s">
        <v>1309</v>
      </c>
      <c r="G314" s="194" t="s">
        <v>456</v>
      </c>
      <c r="H314" s="286">
        <v>230571175</v>
      </c>
      <c r="I314" s="192">
        <v>8</v>
      </c>
      <c r="J314" s="286">
        <v>18445694</v>
      </c>
      <c r="K314" s="194" t="s">
        <v>12</v>
      </c>
      <c r="L314" s="194" t="s">
        <v>15</v>
      </c>
      <c r="M314" s="296" t="s">
        <v>1277</v>
      </c>
      <c r="N314" s="193">
        <v>46173</v>
      </c>
      <c r="O314" s="193">
        <v>46173</v>
      </c>
      <c r="P314" s="251">
        <v>249016869</v>
      </c>
      <c r="Q314" s="192" t="s">
        <v>457</v>
      </c>
      <c r="R314" s="192" t="s">
        <v>259</v>
      </c>
      <c r="S314" s="194" t="s">
        <v>14</v>
      </c>
      <c r="T314" s="64" t="str">
        <f t="shared" si="18"/>
        <v>Đ</v>
      </c>
      <c r="U314" s="66">
        <f t="shared" si="19"/>
        <v>0</v>
      </c>
      <c r="V314" s="62">
        <f t="shared" si="20"/>
        <v>13311</v>
      </c>
    </row>
    <row r="315" spans="1:22" ht="21.6" hidden="1" x14ac:dyDescent="0.3">
      <c r="A315" s="192">
        <v>298</v>
      </c>
      <c r="B315" s="194" t="s">
        <v>466</v>
      </c>
      <c r="C315" s="296" t="s">
        <v>452</v>
      </c>
      <c r="D315" s="193">
        <v>46117</v>
      </c>
      <c r="E315" s="194" t="s">
        <v>467</v>
      </c>
      <c r="F315" s="296" t="s">
        <v>1310</v>
      </c>
      <c r="G315" s="194" t="s">
        <v>456</v>
      </c>
      <c r="H315" s="286">
        <v>247087005</v>
      </c>
      <c r="I315" s="192">
        <v>8</v>
      </c>
      <c r="J315" s="286">
        <v>19766960</v>
      </c>
      <c r="K315" s="194" t="s">
        <v>12</v>
      </c>
      <c r="L315" s="194" t="s">
        <v>15</v>
      </c>
      <c r="M315" s="296" t="s">
        <v>1277</v>
      </c>
      <c r="N315" s="193">
        <v>46173</v>
      </c>
      <c r="O315" s="193">
        <v>46173</v>
      </c>
      <c r="P315" s="251">
        <v>266853965</v>
      </c>
      <c r="Q315" s="192" t="s">
        <v>457</v>
      </c>
      <c r="R315" s="192" t="s">
        <v>259</v>
      </c>
      <c r="S315" s="194" t="s">
        <v>14</v>
      </c>
      <c r="T315" s="64" t="str">
        <f t="shared" si="18"/>
        <v>Đ</v>
      </c>
      <c r="U315" s="66">
        <f t="shared" si="19"/>
        <v>0</v>
      </c>
      <c r="V315" s="62">
        <f t="shared" si="20"/>
        <v>13311</v>
      </c>
    </row>
    <row r="316" spans="1:22" ht="21.6" hidden="1" x14ac:dyDescent="0.3">
      <c r="A316" s="192">
        <v>299</v>
      </c>
      <c r="B316" s="194" t="s">
        <v>660</v>
      </c>
      <c r="C316" s="296" t="s">
        <v>674</v>
      </c>
      <c r="D316" s="193">
        <v>46117</v>
      </c>
      <c r="E316" s="194" t="s">
        <v>661</v>
      </c>
      <c r="F316" s="296" t="s">
        <v>514</v>
      </c>
      <c r="G316" s="194" t="s">
        <v>456</v>
      </c>
      <c r="H316" s="286">
        <v>204858600</v>
      </c>
      <c r="I316" s="192">
        <v>8</v>
      </c>
      <c r="J316" s="286">
        <v>16388688</v>
      </c>
      <c r="K316" s="194" t="s">
        <v>12</v>
      </c>
      <c r="L316" s="194" t="s">
        <v>15</v>
      </c>
      <c r="M316" s="296" t="s">
        <v>1277</v>
      </c>
      <c r="N316" s="193">
        <v>46173</v>
      </c>
      <c r="O316" s="193">
        <v>46173</v>
      </c>
      <c r="P316" s="251">
        <v>221247288</v>
      </c>
      <c r="Q316" s="192" t="s">
        <v>457</v>
      </c>
      <c r="R316" s="192" t="s">
        <v>259</v>
      </c>
      <c r="S316" s="194" t="s">
        <v>14</v>
      </c>
      <c r="T316" s="64" t="str">
        <f t="shared" si="18"/>
        <v>Đ</v>
      </c>
      <c r="U316" s="66">
        <f t="shared" si="19"/>
        <v>0</v>
      </c>
      <c r="V316" s="62">
        <f t="shared" si="20"/>
        <v>13311</v>
      </c>
    </row>
    <row r="317" spans="1:22" ht="21.6" hidden="1" x14ac:dyDescent="0.3">
      <c r="A317" s="192">
        <v>300</v>
      </c>
      <c r="B317" s="194" t="s">
        <v>652</v>
      </c>
      <c r="C317" s="296" t="s">
        <v>352</v>
      </c>
      <c r="D317" s="193">
        <v>46117</v>
      </c>
      <c r="E317" s="194" t="s">
        <v>653</v>
      </c>
      <c r="F317" s="296" t="s">
        <v>1307</v>
      </c>
      <c r="G317" s="194" t="s">
        <v>456</v>
      </c>
      <c r="H317" s="286">
        <v>202606250</v>
      </c>
      <c r="I317" s="192">
        <v>8</v>
      </c>
      <c r="J317" s="286">
        <v>16208500</v>
      </c>
      <c r="K317" s="194" t="s">
        <v>12</v>
      </c>
      <c r="L317" s="194" t="s">
        <v>15</v>
      </c>
      <c r="M317" s="296" t="s">
        <v>1277</v>
      </c>
      <c r="N317" s="193">
        <v>46173</v>
      </c>
      <c r="O317" s="193">
        <v>46173</v>
      </c>
      <c r="P317" s="251">
        <v>218814750</v>
      </c>
      <c r="Q317" s="192" t="s">
        <v>457</v>
      </c>
      <c r="R317" s="192" t="s">
        <v>259</v>
      </c>
      <c r="S317" s="194" t="s">
        <v>14</v>
      </c>
      <c r="T317" s="64" t="str">
        <f t="shared" si="18"/>
        <v>Đ</v>
      </c>
      <c r="U317" s="66">
        <f t="shared" si="19"/>
        <v>0</v>
      </c>
      <c r="V317" s="62">
        <f t="shared" si="20"/>
        <v>13311</v>
      </c>
    </row>
    <row r="318" spans="1:22" ht="21.6" hidden="1" x14ac:dyDescent="0.3">
      <c r="A318" s="192">
        <v>301</v>
      </c>
      <c r="B318" s="194" t="s">
        <v>669</v>
      </c>
      <c r="C318" s="296" t="s">
        <v>295</v>
      </c>
      <c r="D318" s="193">
        <v>46147</v>
      </c>
      <c r="E318" s="194" t="s">
        <v>670</v>
      </c>
      <c r="F318" s="296" t="s">
        <v>712</v>
      </c>
      <c r="G318" s="194" t="s">
        <v>1288</v>
      </c>
      <c r="H318" s="286">
        <v>191505228</v>
      </c>
      <c r="I318" s="192">
        <v>8</v>
      </c>
      <c r="J318" s="286">
        <v>15320418</v>
      </c>
      <c r="K318" s="194" t="s">
        <v>12</v>
      </c>
      <c r="L318" s="194" t="s">
        <v>15</v>
      </c>
      <c r="M318" s="296" t="s">
        <v>1277</v>
      </c>
      <c r="N318" s="193">
        <v>46173</v>
      </c>
      <c r="O318" s="193">
        <v>46173</v>
      </c>
      <c r="P318" s="251">
        <v>206825646</v>
      </c>
      <c r="Q318" s="192" t="s">
        <v>457</v>
      </c>
      <c r="R318" s="192" t="s">
        <v>259</v>
      </c>
      <c r="S318" s="194" t="s">
        <v>14</v>
      </c>
      <c r="T318" s="64" t="str">
        <f t="shared" si="18"/>
        <v>Đ</v>
      </c>
      <c r="U318" s="66">
        <f t="shared" si="19"/>
        <v>0</v>
      </c>
      <c r="V318" s="62">
        <f t="shared" si="20"/>
        <v>13311</v>
      </c>
    </row>
    <row r="319" spans="1:22" ht="21.6" hidden="1" x14ac:dyDescent="0.3">
      <c r="A319" s="192">
        <v>302</v>
      </c>
      <c r="B319" s="194" t="s">
        <v>648</v>
      </c>
      <c r="C319" s="296" t="s">
        <v>295</v>
      </c>
      <c r="D319" s="193">
        <v>46147</v>
      </c>
      <c r="E319" s="194" t="s">
        <v>650</v>
      </c>
      <c r="F319" s="296" t="s">
        <v>468</v>
      </c>
      <c r="G319" s="194" t="s">
        <v>1288</v>
      </c>
      <c r="H319" s="286">
        <v>7306455</v>
      </c>
      <c r="I319" s="192">
        <v>8</v>
      </c>
      <c r="J319" s="286">
        <v>584516</v>
      </c>
      <c r="K319" s="194" t="s">
        <v>12</v>
      </c>
      <c r="L319" s="194" t="s">
        <v>15</v>
      </c>
      <c r="M319" s="296" t="s">
        <v>1277</v>
      </c>
      <c r="N319" s="193">
        <v>46173</v>
      </c>
      <c r="O319" s="193">
        <v>46173</v>
      </c>
      <c r="P319" s="251">
        <v>7890971</v>
      </c>
      <c r="Q319" s="192" t="s">
        <v>457</v>
      </c>
      <c r="R319" s="192" t="s">
        <v>259</v>
      </c>
      <c r="S319" s="194" t="s">
        <v>14</v>
      </c>
      <c r="T319" s="64" t="str">
        <f t="shared" si="18"/>
        <v>Đ</v>
      </c>
      <c r="U319" s="66">
        <f t="shared" si="19"/>
        <v>0</v>
      </c>
      <c r="V319" s="62">
        <f t="shared" si="20"/>
        <v>13311</v>
      </c>
    </row>
    <row r="320" spans="1:22" ht="21.6" hidden="1" x14ac:dyDescent="0.3">
      <c r="A320" s="192">
        <v>303</v>
      </c>
      <c r="B320" s="194" t="s">
        <v>648</v>
      </c>
      <c r="C320" s="296" t="s">
        <v>293</v>
      </c>
      <c r="D320" s="193">
        <v>46147</v>
      </c>
      <c r="E320" s="194" t="s">
        <v>650</v>
      </c>
      <c r="F320" s="296" t="s">
        <v>468</v>
      </c>
      <c r="G320" s="194" t="s">
        <v>1288</v>
      </c>
      <c r="H320" s="286">
        <v>13899315</v>
      </c>
      <c r="I320" s="192">
        <v>8</v>
      </c>
      <c r="J320" s="286">
        <v>1111945</v>
      </c>
      <c r="K320" s="194" t="s">
        <v>12</v>
      </c>
      <c r="L320" s="194" t="s">
        <v>15</v>
      </c>
      <c r="M320" s="296" t="s">
        <v>1277</v>
      </c>
      <c r="N320" s="193">
        <v>46173</v>
      </c>
      <c r="O320" s="193">
        <v>46173</v>
      </c>
      <c r="P320" s="251">
        <v>15011260</v>
      </c>
      <c r="Q320" s="192" t="s">
        <v>457</v>
      </c>
      <c r="R320" s="192" t="s">
        <v>259</v>
      </c>
      <c r="S320" s="194" t="s">
        <v>14</v>
      </c>
      <c r="T320" s="64" t="str">
        <f t="shared" si="18"/>
        <v>Đ</v>
      </c>
      <c r="U320" s="66">
        <f t="shared" si="19"/>
        <v>0</v>
      </c>
      <c r="V320" s="62">
        <f t="shared" si="20"/>
        <v>13311</v>
      </c>
    </row>
    <row r="321" spans="1:22" ht="21.6" hidden="1" x14ac:dyDescent="0.3">
      <c r="A321" s="192">
        <v>304</v>
      </c>
      <c r="B321" s="194" t="s">
        <v>724</v>
      </c>
      <c r="C321" s="296" t="s">
        <v>293</v>
      </c>
      <c r="D321" s="193">
        <v>46147</v>
      </c>
      <c r="E321" s="194" t="s">
        <v>742</v>
      </c>
      <c r="F321" s="296" t="s">
        <v>1311</v>
      </c>
      <c r="G321" s="194" t="s">
        <v>1288</v>
      </c>
      <c r="H321" s="286">
        <v>213653290</v>
      </c>
      <c r="I321" s="192">
        <v>8</v>
      </c>
      <c r="J321" s="286">
        <v>17092263</v>
      </c>
      <c r="K321" s="194" t="s">
        <v>12</v>
      </c>
      <c r="L321" s="194" t="s">
        <v>15</v>
      </c>
      <c r="M321" s="296" t="s">
        <v>1277</v>
      </c>
      <c r="N321" s="193">
        <v>46173</v>
      </c>
      <c r="O321" s="193">
        <v>46173</v>
      </c>
      <c r="P321" s="251">
        <v>230745553</v>
      </c>
      <c r="Q321" s="192" t="s">
        <v>457</v>
      </c>
      <c r="R321" s="192" t="s">
        <v>259</v>
      </c>
      <c r="S321" s="194" t="s">
        <v>14</v>
      </c>
      <c r="T321" s="64" t="str">
        <f t="shared" si="18"/>
        <v>Đ</v>
      </c>
      <c r="U321" s="66">
        <f t="shared" si="19"/>
        <v>0</v>
      </c>
      <c r="V321" s="62">
        <f t="shared" si="20"/>
        <v>13311</v>
      </c>
    </row>
    <row r="322" spans="1:22" ht="21.6" hidden="1" x14ac:dyDescent="0.3">
      <c r="A322" s="192">
        <v>305</v>
      </c>
      <c r="B322" s="194" t="s">
        <v>673</v>
      </c>
      <c r="C322" s="296" t="s">
        <v>425</v>
      </c>
      <c r="D322" s="193">
        <v>46147</v>
      </c>
      <c r="E322" s="194" t="s">
        <v>675</v>
      </c>
      <c r="F322" s="296" t="s">
        <v>473</v>
      </c>
      <c r="G322" s="194" t="s">
        <v>1288</v>
      </c>
      <c r="H322" s="286">
        <v>378900</v>
      </c>
      <c r="I322" s="192">
        <v>8</v>
      </c>
      <c r="J322" s="286">
        <v>30312</v>
      </c>
      <c r="K322" s="194" t="s">
        <v>12</v>
      </c>
      <c r="L322" s="194" t="s">
        <v>15</v>
      </c>
      <c r="M322" s="296" t="s">
        <v>1277</v>
      </c>
      <c r="N322" s="193">
        <v>46173</v>
      </c>
      <c r="O322" s="193">
        <v>46173</v>
      </c>
      <c r="P322" s="251">
        <v>409212</v>
      </c>
      <c r="Q322" s="192" t="s">
        <v>457</v>
      </c>
      <c r="R322" s="192" t="s">
        <v>259</v>
      </c>
      <c r="S322" s="194" t="s">
        <v>14</v>
      </c>
      <c r="T322" s="64" t="str">
        <f t="shared" si="18"/>
        <v>Đ</v>
      </c>
      <c r="U322" s="66">
        <f t="shared" si="19"/>
        <v>0</v>
      </c>
      <c r="V322" s="62">
        <f t="shared" si="20"/>
        <v>13311</v>
      </c>
    </row>
    <row r="323" spans="1:22" ht="21.6" hidden="1" x14ac:dyDescent="0.3">
      <c r="A323" s="192">
        <v>306</v>
      </c>
      <c r="B323" s="194" t="s">
        <v>673</v>
      </c>
      <c r="C323" s="296" t="s">
        <v>1289</v>
      </c>
      <c r="D323" s="193">
        <v>46147</v>
      </c>
      <c r="E323" s="194" t="s">
        <v>677</v>
      </c>
      <c r="F323" s="296" t="s">
        <v>473</v>
      </c>
      <c r="G323" s="194" t="s">
        <v>1288</v>
      </c>
      <c r="H323" s="286">
        <v>25723100</v>
      </c>
      <c r="I323" s="192">
        <v>8</v>
      </c>
      <c r="J323" s="286">
        <v>2057848</v>
      </c>
      <c r="K323" s="194" t="s">
        <v>12</v>
      </c>
      <c r="L323" s="194" t="s">
        <v>15</v>
      </c>
      <c r="M323" s="296" t="s">
        <v>1277</v>
      </c>
      <c r="N323" s="193">
        <v>46173</v>
      </c>
      <c r="O323" s="193">
        <v>46173</v>
      </c>
      <c r="P323" s="251">
        <v>27780948</v>
      </c>
      <c r="Q323" s="192" t="s">
        <v>457</v>
      </c>
      <c r="R323" s="192" t="s">
        <v>259</v>
      </c>
      <c r="S323" s="194" t="s">
        <v>14</v>
      </c>
      <c r="T323" s="64" t="str">
        <f t="shared" si="18"/>
        <v>Đ</v>
      </c>
      <c r="U323" s="66">
        <f t="shared" si="19"/>
        <v>0</v>
      </c>
      <c r="V323" s="62">
        <f t="shared" si="20"/>
        <v>13311</v>
      </c>
    </row>
    <row r="324" spans="1:22" ht="21.6" hidden="1" x14ac:dyDescent="0.3">
      <c r="A324" s="192">
        <v>307</v>
      </c>
      <c r="B324" s="194" t="s">
        <v>687</v>
      </c>
      <c r="C324" s="296" t="s">
        <v>1289</v>
      </c>
      <c r="D324" s="193">
        <v>46147</v>
      </c>
      <c r="E324" s="194" t="s">
        <v>688</v>
      </c>
      <c r="F324" s="296" t="s">
        <v>563</v>
      </c>
      <c r="G324" s="194" t="s">
        <v>1288</v>
      </c>
      <c r="H324" s="286">
        <v>24009630</v>
      </c>
      <c r="I324" s="192">
        <v>8</v>
      </c>
      <c r="J324" s="286">
        <v>1920770</v>
      </c>
      <c r="K324" s="194" t="s">
        <v>12</v>
      </c>
      <c r="L324" s="194" t="s">
        <v>15</v>
      </c>
      <c r="M324" s="296" t="s">
        <v>1277</v>
      </c>
      <c r="N324" s="193">
        <v>46173</v>
      </c>
      <c r="O324" s="193">
        <v>46173</v>
      </c>
      <c r="P324" s="251">
        <v>25930400</v>
      </c>
      <c r="Q324" s="192" t="s">
        <v>457</v>
      </c>
      <c r="R324" s="192" t="s">
        <v>259</v>
      </c>
      <c r="S324" s="194" t="s">
        <v>14</v>
      </c>
      <c r="T324" s="64" t="str">
        <f t="shared" si="18"/>
        <v>Đ</v>
      </c>
      <c r="U324" s="66">
        <f t="shared" si="19"/>
        <v>0</v>
      </c>
      <c r="V324" s="62">
        <f t="shared" si="20"/>
        <v>13311</v>
      </c>
    </row>
    <row r="325" spans="1:22" ht="21.6" hidden="1" x14ac:dyDescent="0.3">
      <c r="A325" s="192">
        <v>308</v>
      </c>
      <c r="B325" s="194" t="s">
        <v>673</v>
      </c>
      <c r="C325" s="296" t="s">
        <v>1312</v>
      </c>
      <c r="D325" s="193">
        <v>46147</v>
      </c>
      <c r="E325" s="194" t="s">
        <v>677</v>
      </c>
      <c r="F325" s="296" t="s">
        <v>473</v>
      </c>
      <c r="G325" s="194" t="s">
        <v>1288</v>
      </c>
      <c r="H325" s="286">
        <v>26594570</v>
      </c>
      <c r="I325" s="192">
        <v>8</v>
      </c>
      <c r="J325" s="286">
        <v>2127566</v>
      </c>
      <c r="K325" s="194" t="s">
        <v>12</v>
      </c>
      <c r="L325" s="194" t="s">
        <v>15</v>
      </c>
      <c r="M325" s="296" t="s">
        <v>1277</v>
      </c>
      <c r="N325" s="193">
        <v>46173</v>
      </c>
      <c r="O325" s="193">
        <v>46173</v>
      </c>
      <c r="P325" s="251">
        <v>28722136</v>
      </c>
      <c r="Q325" s="192" t="s">
        <v>457</v>
      </c>
      <c r="R325" s="192" t="s">
        <v>259</v>
      </c>
      <c r="S325" s="194" t="s">
        <v>14</v>
      </c>
      <c r="T325" s="64" t="str">
        <f t="shared" si="18"/>
        <v>Đ</v>
      </c>
      <c r="U325" s="66">
        <f t="shared" si="19"/>
        <v>0</v>
      </c>
      <c r="V325" s="62">
        <f t="shared" si="20"/>
        <v>13311</v>
      </c>
    </row>
    <row r="326" spans="1:22" ht="21.6" hidden="1" x14ac:dyDescent="0.3">
      <c r="A326" s="192">
        <v>309</v>
      </c>
      <c r="B326" s="194" t="s">
        <v>687</v>
      </c>
      <c r="C326" s="296" t="s">
        <v>1312</v>
      </c>
      <c r="D326" s="193">
        <v>46147</v>
      </c>
      <c r="E326" s="194" t="s">
        <v>688</v>
      </c>
      <c r="F326" s="296" t="s">
        <v>563</v>
      </c>
      <c r="G326" s="194" t="s">
        <v>1288</v>
      </c>
      <c r="H326" s="286">
        <v>62160650</v>
      </c>
      <c r="I326" s="192">
        <v>8</v>
      </c>
      <c r="J326" s="286">
        <v>4972852</v>
      </c>
      <c r="K326" s="194" t="s">
        <v>12</v>
      </c>
      <c r="L326" s="194" t="s">
        <v>15</v>
      </c>
      <c r="M326" s="296" t="s">
        <v>1277</v>
      </c>
      <c r="N326" s="193">
        <v>46173</v>
      </c>
      <c r="O326" s="193">
        <v>46173</v>
      </c>
      <c r="P326" s="251">
        <v>67133502</v>
      </c>
      <c r="Q326" s="192" t="s">
        <v>457</v>
      </c>
      <c r="R326" s="192" t="s">
        <v>259</v>
      </c>
      <c r="S326" s="194" t="s">
        <v>14</v>
      </c>
      <c r="T326" s="64" t="str">
        <f t="shared" si="18"/>
        <v>Đ</v>
      </c>
      <c r="U326" s="66">
        <f t="shared" si="19"/>
        <v>0</v>
      </c>
      <c r="V326" s="62">
        <f t="shared" si="20"/>
        <v>13311</v>
      </c>
    </row>
    <row r="327" spans="1:22" ht="21.6" hidden="1" x14ac:dyDescent="0.3">
      <c r="A327" s="192">
        <v>310</v>
      </c>
      <c r="B327" s="194" t="s">
        <v>764</v>
      </c>
      <c r="C327" s="296" t="s">
        <v>1312</v>
      </c>
      <c r="D327" s="193">
        <v>46147</v>
      </c>
      <c r="E327" s="194" t="s">
        <v>765</v>
      </c>
      <c r="F327" s="296" t="s">
        <v>681</v>
      </c>
      <c r="G327" s="194" t="s">
        <v>1288</v>
      </c>
      <c r="H327" s="286">
        <v>262731365</v>
      </c>
      <c r="I327" s="192">
        <v>8</v>
      </c>
      <c r="J327" s="286">
        <v>21018509</v>
      </c>
      <c r="K327" s="194" t="s">
        <v>12</v>
      </c>
      <c r="L327" s="194" t="s">
        <v>15</v>
      </c>
      <c r="M327" s="296" t="s">
        <v>1277</v>
      </c>
      <c r="N327" s="193">
        <v>46173</v>
      </c>
      <c r="O327" s="193">
        <v>46173</v>
      </c>
      <c r="P327" s="251">
        <v>283749874</v>
      </c>
      <c r="Q327" s="192" t="s">
        <v>457</v>
      </c>
      <c r="R327" s="192" t="s">
        <v>259</v>
      </c>
      <c r="S327" s="194" t="s">
        <v>14</v>
      </c>
      <c r="T327" s="64" t="str">
        <f t="shared" si="18"/>
        <v>Đ</v>
      </c>
      <c r="U327" s="66">
        <f t="shared" si="19"/>
        <v>0</v>
      </c>
      <c r="V327" s="62">
        <f t="shared" si="20"/>
        <v>13311</v>
      </c>
    </row>
    <row r="328" spans="1:22" ht="21.6" hidden="1" x14ac:dyDescent="0.3">
      <c r="A328" s="192">
        <v>311</v>
      </c>
      <c r="B328" s="194" t="s">
        <v>764</v>
      </c>
      <c r="C328" s="296" t="s">
        <v>1313</v>
      </c>
      <c r="D328" s="193">
        <v>46147</v>
      </c>
      <c r="E328" s="194" t="s">
        <v>765</v>
      </c>
      <c r="F328" s="296" t="s">
        <v>681</v>
      </c>
      <c r="G328" s="194" t="s">
        <v>1288</v>
      </c>
      <c r="H328" s="286">
        <v>247766920</v>
      </c>
      <c r="I328" s="192">
        <v>8</v>
      </c>
      <c r="J328" s="286">
        <v>19821354</v>
      </c>
      <c r="K328" s="194" t="s">
        <v>12</v>
      </c>
      <c r="L328" s="194" t="s">
        <v>15</v>
      </c>
      <c r="M328" s="296" t="s">
        <v>1277</v>
      </c>
      <c r="N328" s="193">
        <v>46173</v>
      </c>
      <c r="O328" s="193">
        <v>46173</v>
      </c>
      <c r="P328" s="251">
        <v>267588274</v>
      </c>
      <c r="Q328" s="192" t="s">
        <v>457</v>
      </c>
      <c r="R328" s="192" t="s">
        <v>259</v>
      </c>
      <c r="S328" s="194" t="s">
        <v>14</v>
      </c>
      <c r="T328" s="64" t="str">
        <f t="shared" si="18"/>
        <v>Đ</v>
      </c>
      <c r="U328" s="66">
        <f t="shared" si="19"/>
        <v>0</v>
      </c>
      <c r="V328" s="62">
        <f t="shared" si="20"/>
        <v>13311</v>
      </c>
    </row>
    <row r="329" spans="1:22" ht="21.6" hidden="1" x14ac:dyDescent="0.3">
      <c r="A329" s="192">
        <v>312</v>
      </c>
      <c r="B329" s="194" t="s">
        <v>673</v>
      </c>
      <c r="C329" s="296" t="s">
        <v>1313</v>
      </c>
      <c r="D329" s="193">
        <v>46147</v>
      </c>
      <c r="E329" s="194" t="s">
        <v>680</v>
      </c>
      <c r="F329" s="296" t="s">
        <v>473</v>
      </c>
      <c r="G329" s="194" t="s">
        <v>1288</v>
      </c>
      <c r="H329" s="286">
        <v>57782250</v>
      </c>
      <c r="I329" s="192">
        <v>8</v>
      </c>
      <c r="J329" s="286">
        <v>4622580</v>
      </c>
      <c r="K329" s="194" t="s">
        <v>12</v>
      </c>
      <c r="L329" s="194" t="s">
        <v>15</v>
      </c>
      <c r="M329" s="296" t="s">
        <v>1277</v>
      </c>
      <c r="N329" s="193">
        <v>46173</v>
      </c>
      <c r="O329" s="193">
        <v>46173</v>
      </c>
      <c r="P329" s="251">
        <v>62404830</v>
      </c>
      <c r="Q329" s="192" t="s">
        <v>457</v>
      </c>
      <c r="R329" s="192" t="s">
        <v>259</v>
      </c>
      <c r="S329" s="194" t="s">
        <v>14</v>
      </c>
      <c r="T329" s="64" t="str">
        <f t="shared" si="18"/>
        <v>Đ</v>
      </c>
      <c r="U329" s="66">
        <f t="shared" si="19"/>
        <v>0</v>
      </c>
      <c r="V329" s="62">
        <f t="shared" si="20"/>
        <v>13311</v>
      </c>
    </row>
    <row r="330" spans="1:22" ht="21.6" hidden="1" x14ac:dyDescent="0.3">
      <c r="A330" s="192">
        <v>313</v>
      </c>
      <c r="B330" s="194" t="s">
        <v>764</v>
      </c>
      <c r="C330" s="296" t="s">
        <v>781</v>
      </c>
      <c r="D330" s="193">
        <v>46147</v>
      </c>
      <c r="E330" s="194" t="s">
        <v>765</v>
      </c>
      <c r="F330" s="296" t="s">
        <v>681</v>
      </c>
      <c r="G330" s="194" t="s">
        <v>1288</v>
      </c>
      <c r="H330" s="286">
        <v>263198675</v>
      </c>
      <c r="I330" s="192">
        <v>8</v>
      </c>
      <c r="J330" s="286">
        <v>21055894</v>
      </c>
      <c r="K330" s="194" t="s">
        <v>12</v>
      </c>
      <c r="L330" s="194" t="s">
        <v>15</v>
      </c>
      <c r="M330" s="296" t="s">
        <v>1277</v>
      </c>
      <c r="N330" s="193">
        <v>46173</v>
      </c>
      <c r="O330" s="193">
        <v>46173</v>
      </c>
      <c r="P330" s="251">
        <v>284254569</v>
      </c>
      <c r="Q330" s="192" t="s">
        <v>457</v>
      </c>
      <c r="R330" s="192" t="s">
        <v>259</v>
      </c>
      <c r="S330" s="194" t="s">
        <v>14</v>
      </c>
      <c r="T330" s="64" t="str">
        <f t="shared" si="18"/>
        <v>Đ</v>
      </c>
      <c r="U330" s="66">
        <f t="shared" si="19"/>
        <v>0</v>
      </c>
      <c r="V330" s="62">
        <f t="shared" si="20"/>
        <v>13311</v>
      </c>
    </row>
    <row r="331" spans="1:22" ht="21.6" hidden="1" x14ac:dyDescent="0.3">
      <c r="A331" s="192">
        <v>314</v>
      </c>
      <c r="B331" s="194" t="s">
        <v>291</v>
      </c>
      <c r="C331" s="296" t="s">
        <v>458</v>
      </c>
      <c r="D331" s="193">
        <v>46147</v>
      </c>
      <c r="E331" s="194" t="s">
        <v>684</v>
      </c>
      <c r="F331" s="296" t="s">
        <v>708</v>
      </c>
      <c r="G331" s="194" t="s">
        <v>1288</v>
      </c>
      <c r="H331" s="286">
        <v>169694575</v>
      </c>
      <c r="I331" s="192">
        <v>8</v>
      </c>
      <c r="J331" s="286">
        <v>13575566</v>
      </c>
      <c r="K331" s="194" t="s">
        <v>12</v>
      </c>
      <c r="L331" s="194" t="s">
        <v>15</v>
      </c>
      <c r="M331" s="296" t="s">
        <v>1277</v>
      </c>
      <c r="N331" s="193">
        <v>46173</v>
      </c>
      <c r="O331" s="193">
        <v>46173</v>
      </c>
      <c r="P331" s="251">
        <v>183270141</v>
      </c>
      <c r="Q331" s="192" t="s">
        <v>457</v>
      </c>
      <c r="R331" s="192" t="s">
        <v>259</v>
      </c>
      <c r="S331" s="194" t="s">
        <v>14</v>
      </c>
      <c r="T331" s="64" t="str">
        <f t="shared" si="18"/>
        <v>Đ</v>
      </c>
      <c r="U331" s="66">
        <f t="shared" si="19"/>
        <v>0</v>
      </c>
      <c r="V331" s="62">
        <f t="shared" si="20"/>
        <v>13311</v>
      </c>
    </row>
    <row r="332" spans="1:22" ht="21.6" hidden="1" x14ac:dyDescent="0.3">
      <c r="A332" s="192">
        <v>315</v>
      </c>
      <c r="B332" s="194" t="s">
        <v>291</v>
      </c>
      <c r="C332" s="296" t="s">
        <v>458</v>
      </c>
      <c r="D332" s="193">
        <v>46147</v>
      </c>
      <c r="E332" s="194" t="s">
        <v>477</v>
      </c>
      <c r="F332" s="296" t="s">
        <v>797</v>
      </c>
      <c r="G332" s="194" t="s">
        <v>1288</v>
      </c>
      <c r="H332" s="286">
        <v>234313865</v>
      </c>
      <c r="I332" s="192">
        <v>8</v>
      </c>
      <c r="J332" s="286">
        <v>18745109</v>
      </c>
      <c r="K332" s="194" t="s">
        <v>12</v>
      </c>
      <c r="L332" s="194" t="s">
        <v>15</v>
      </c>
      <c r="M332" s="296" t="s">
        <v>1277</v>
      </c>
      <c r="N332" s="193">
        <v>46173</v>
      </c>
      <c r="O332" s="193">
        <v>46173</v>
      </c>
      <c r="P332" s="251">
        <v>253058974</v>
      </c>
      <c r="Q332" s="192" t="s">
        <v>457</v>
      </c>
      <c r="R332" s="192" t="s">
        <v>259</v>
      </c>
      <c r="S332" s="194" t="s">
        <v>14</v>
      </c>
      <c r="T332" s="64" t="str">
        <f t="shared" si="18"/>
        <v>Đ</v>
      </c>
      <c r="U332" s="66">
        <f t="shared" si="19"/>
        <v>0</v>
      </c>
      <c r="V332" s="62">
        <f t="shared" si="20"/>
        <v>13311</v>
      </c>
    </row>
    <row r="333" spans="1:22" ht="21.6" hidden="1" x14ac:dyDescent="0.3">
      <c r="A333" s="192">
        <v>316</v>
      </c>
      <c r="B333" s="194" t="s">
        <v>724</v>
      </c>
      <c r="C333" s="296" t="s">
        <v>458</v>
      </c>
      <c r="D333" s="193">
        <v>46147</v>
      </c>
      <c r="E333" s="194" t="s">
        <v>725</v>
      </c>
      <c r="F333" s="296" t="s">
        <v>1314</v>
      </c>
      <c r="G333" s="194" t="s">
        <v>1288</v>
      </c>
      <c r="H333" s="286">
        <v>182156175</v>
      </c>
      <c r="I333" s="192">
        <v>8</v>
      </c>
      <c r="J333" s="286">
        <v>14572494</v>
      </c>
      <c r="K333" s="194" t="s">
        <v>12</v>
      </c>
      <c r="L333" s="194" t="s">
        <v>15</v>
      </c>
      <c r="M333" s="296" t="s">
        <v>1277</v>
      </c>
      <c r="N333" s="193">
        <v>46173</v>
      </c>
      <c r="O333" s="193">
        <v>46173</v>
      </c>
      <c r="P333" s="251">
        <v>196728669</v>
      </c>
      <c r="Q333" s="192" t="s">
        <v>457</v>
      </c>
      <c r="R333" s="192" t="s">
        <v>259</v>
      </c>
      <c r="S333" s="194" t="s">
        <v>14</v>
      </c>
      <c r="T333" s="64" t="str">
        <f t="shared" si="18"/>
        <v>Đ</v>
      </c>
      <c r="U333" s="66">
        <f t="shared" si="19"/>
        <v>0</v>
      </c>
      <c r="V333" s="62">
        <f t="shared" si="20"/>
        <v>13311</v>
      </c>
    </row>
    <row r="334" spans="1:22" ht="21.6" hidden="1" x14ac:dyDescent="0.3">
      <c r="A334" s="192">
        <v>317</v>
      </c>
      <c r="B334" s="194" t="s">
        <v>291</v>
      </c>
      <c r="C334" s="296" t="s">
        <v>458</v>
      </c>
      <c r="D334" s="193">
        <v>46147</v>
      </c>
      <c r="E334" s="194" t="s">
        <v>682</v>
      </c>
      <c r="F334" s="296" t="s">
        <v>671</v>
      </c>
      <c r="G334" s="194" t="s">
        <v>1288</v>
      </c>
      <c r="H334" s="286">
        <v>260363240</v>
      </c>
      <c r="I334" s="192">
        <v>8</v>
      </c>
      <c r="J334" s="286">
        <v>20829059</v>
      </c>
      <c r="K334" s="194" t="s">
        <v>12</v>
      </c>
      <c r="L334" s="194" t="s">
        <v>15</v>
      </c>
      <c r="M334" s="296" t="s">
        <v>1277</v>
      </c>
      <c r="N334" s="193">
        <v>46173</v>
      </c>
      <c r="O334" s="193">
        <v>46173</v>
      </c>
      <c r="P334" s="251">
        <v>281192299</v>
      </c>
      <c r="Q334" s="192" t="s">
        <v>457</v>
      </c>
      <c r="R334" s="192" t="s">
        <v>259</v>
      </c>
      <c r="S334" s="194" t="s">
        <v>14</v>
      </c>
      <c r="T334" s="64" t="str">
        <f t="shared" si="18"/>
        <v>Đ</v>
      </c>
      <c r="U334" s="66">
        <f t="shared" si="19"/>
        <v>0</v>
      </c>
      <c r="V334" s="62">
        <f t="shared" si="20"/>
        <v>13311</v>
      </c>
    </row>
    <row r="335" spans="1:22" ht="21.6" hidden="1" x14ac:dyDescent="0.3">
      <c r="A335" s="192">
        <v>318</v>
      </c>
      <c r="B335" s="194" t="s">
        <v>289</v>
      </c>
      <c r="C335" s="296" t="s">
        <v>1315</v>
      </c>
      <c r="D335" s="193">
        <v>46147</v>
      </c>
      <c r="E335" s="194" t="s">
        <v>767</v>
      </c>
      <c r="F335" s="296" t="s">
        <v>703</v>
      </c>
      <c r="G335" s="194" t="s">
        <v>1288</v>
      </c>
      <c r="H335" s="286">
        <v>1414560</v>
      </c>
      <c r="I335" s="192">
        <v>8</v>
      </c>
      <c r="J335" s="286">
        <v>113165</v>
      </c>
      <c r="K335" s="194" t="s">
        <v>12</v>
      </c>
      <c r="L335" s="194" t="s">
        <v>15</v>
      </c>
      <c r="M335" s="296" t="s">
        <v>1277</v>
      </c>
      <c r="N335" s="193">
        <v>46173</v>
      </c>
      <c r="O335" s="193">
        <v>46173</v>
      </c>
      <c r="P335" s="251">
        <v>1527725</v>
      </c>
      <c r="Q335" s="192" t="s">
        <v>457</v>
      </c>
      <c r="R335" s="192" t="s">
        <v>259</v>
      </c>
      <c r="S335" s="194" t="s">
        <v>14</v>
      </c>
      <c r="T335" s="64" t="str">
        <f t="shared" si="18"/>
        <v>Đ</v>
      </c>
      <c r="U335" s="66">
        <f t="shared" si="19"/>
        <v>0</v>
      </c>
      <c r="V335" s="62">
        <f t="shared" si="20"/>
        <v>13311</v>
      </c>
    </row>
    <row r="336" spans="1:22" ht="21.6" hidden="1" x14ac:dyDescent="0.3">
      <c r="A336" s="192">
        <v>319</v>
      </c>
      <c r="B336" s="194" t="s">
        <v>291</v>
      </c>
      <c r="C336" s="296" t="s">
        <v>486</v>
      </c>
      <c r="D336" s="193">
        <v>46147</v>
      </c>
      <c r="E336" s="194" t="s">
        <v>480</v>
      </c>
      <c r="F336" s="296" t="s">
        <v>582</v>
      </c>
      <c r="G336" s="194" t="s">
        <v>1288</v>
      </c>
      <c r="H336" s="286">
        <v>123672960</v>
      </c>
      <c r="I336" s="192">
        <v>8</v>
      </c>
      <c r="J336" s="286">
        <v>9893837</v>
      </c>
      <c r="K336" s="194" t="s">
        <v>12</v>
      </c>
      <c r="L336" s="194" t="s">
        <v>15</v>
      </c>
      <c r="M336" s="296" t="s">
        <v>1277</v>
      </c>
      <c r="N336" s="193">
        <v>46173</v>
      </c>
      <c r="O336" s="193">
        <v>46173</v>
      </c>
      <c r="P336" s="251">
        <v>133566797</v>
      </c>
      <c r="Q336" s="192" t="s">
        <v>457</v>
      </c>
      <c r="R336" s="192" t="s">
        <v>259</v>
      </c>
      <c r="S336" s="194" t="s">
        <v>14</v>
      </c>
      <c r="T336" s="64" t="str">
        <f t="shared" si="18"/>
        <v>Đ</v>
      </c>
      <c r="U336" s="66">
        <f t="shared" si="19"/>
        <v>0</v>
      </c>
      <c r="V336" s="62">
        <f t="shared" si="20"/>
        <v>13311</v>
      </c>
    </row>
    <row r="337" spans="1:22" ht="21.6" hidden="1" x14ac:dyDescent="0.3">
      <c r="A337" s="192">
        <v>320</v>
      </c>
      <c r="B337" s="194" t="s">
        <v>509</v>
      </c>
      <c r="C337" s="296" t="s">
        <v>486</v>
      </c>
      <c r="D337" s="193">
        <v>46147</v>
      </c>
      <c r="E337" s="194" t="s">
        <v>747</v>
      </c>
      <c r="F337" s="296" t="s">
        <v>538</v>
      </c>
      <c r="G337" s="194" t="s">
        <v>1288</v>
      </c>
      <c r="H337" s="286">
        <v>252654730</v>
      </c>
      <c r="I337" s="192">
        <v>8</v>
      </c>
      <c r="J337" s="286">
        <v>20212378</v>
      </c>
      <c r="K337" s="194" t="s">
        <v>12</v>
      </c>
      <c r="L337" s="194" t="s">
        <v>15</v>
      </c>
      <c r="M337" s="296" t="s">
        <v>1277</v>
      </c>
      <c r="N337" s="193">
        <v>46173</v>
      </c>
      <c r="O337" s="193">
        <v>46173</v>
      </c>
      <c r="P337" s="251">
        <v>272867108</v>
      </c>
      <c r="Q337" s="192" t="s">
        <v>457</v>
      </c>
      <c r="R337" s="192" t="s">
        <v>259</v>
      </c>
      <c r="S337" s="194" t="s">
        <v>14</v>
      </c>
      <c r="T337" s="64" t="str">
        <f t="shared" si="18"/>
        <v>Đ</v>
      </c>
      <c r="U337" s="66">
        <f t="shared" si="19"/>
        <v>0</v>
      </c>
      <c r="V337" s="62">
        <f t="shared" si="20"/>
        <v>13311</v>
      </c>
    </row>
    <row r="338" spans="1:22" ht="21.6" hidden="1" x14ac:dyDescent="0.3">
      <c r="A338" s="192">
        <v>321</v>
      </c>
      <c r="B338" s="194" t="s">
        <v>690</v>
      </c>
      <c r="C338" s="296" t="s">
        <v>1316</v>
      </c>
      <c r="D338" s="193">
        <v>46147</v>
      </c>
      <c r="E338" s="194" t="s">
        <v>692</v>
      </c>
      <c r="F338" s="296" t="s">
        <v>768</v>
      </c>
      <c r="G338" s="194" t="s">
        <v>1288</v>
      </c>
      <c r="H338" s="286">
        <v>1753465</v>
      </c>
      <c r="I338" s="192">
        <v>8</v>
      </c>
      <c r="J338" s="286">
        <v>140277</v>
      </c>
      <c r="K338" s="194" t="s">
        <v>12</v>
      </c>
      <c r="L338" s="194" t="s">
        <v>15</v>
      </c>
      <c r="M338" s="296" t="s">
        <v>1277</v>
      </c>
      <c r="N338" s="193">
        <v>46173</v>
      </c>
      <c r="O338" s="193">
        <v>46173</v>
      </c>
      <c r="P338" s="251">
        <v>1893742</v>
      </c>
      <c r="Q338" s="192" t="s">
        <v>457</v>
      </c>
      <c r="R338" s="192" t="s">
        <v>259</v>
      </c>
      <c r="S338" s="194" t="s">
        <v>14</v>
      </c>
      <c r="T338" s="64" t="str">
        <f t="shared" si="18"/>
        <v>Đ</v>
      </c>
      <c r="U338" s="66">
        <f t="shared" si="19"/>
        <v>0</v>
      </c>
      <c r="V338" s="62">
        <f t="shared" si="20"/>
        <v>13311</v>
      </c>
    </row>
    <row r="339" spans="1:22" ht="21.6" hidden="1" x14ac:dyDescent="0.3">
      <c r="A339" s="192">
        <v>322</v>
      </c>
      <c r="B339" s="194" t="s">
        <v>730</v>
      </c>
      <c r="C339" s="296" t="s">
        <v>309</v>
      </c>
      <c r="D339" s="193">
        <v>46147</v>
      </c>
      <c r="E339" s="194" t="s">
        <v>731</v>
      </c>
      <c r="F339" s="296" t="s">
        <v>1317</v>
      </c>
      <c r="G339" s="194" t="s">
        <v>1288</v>
      </c>
      <c r="H339" s="286">
        <v>161066180</v>
      </c>
      <c r="I339" s="192">
        <v>8</v>
      </c>
      <c r="J339" s="286">
        <v>12885294</v>
      </c>
      <c r="K339" s="194" t="s">
        <v>12</v>
      </c>
      <c r="L339" s="194" t="s">
        <v>15</v>
      </c>
      <c r="M339" s="296" t="s">
        <v>1277</v>
      </c>
      <c r="N339" s="193">
        <v>46173</v>
      </c>
      <c r="O339" s="193">
        <v>46173</v>
      </c>
      <c r="P339" s="251">
        <v>173951474</v>
      </c>
      <c r="Q339" s="192" t="s">
        <v>457</v>
      </c>
      <c r="R339" s="192" t="s">
        <v>259</v>
      </c>
      <c r="S339" s="194" t="s">
        <v>14</v>
      </c>
      <c r="T339" s="64" t="str">
        <f t="shared" ref="T339:T402" si="21">IF(OR(LEN(F339)=11,LEN(F339)=15),"Đ","SAI")</f>
        <v>Đ</v>
      </c>
      <c r="U339" s="66">
        <f t="shared" ref="U339:U402" si="22">ROUND(H339*I339%,0)-J339</f>
        <v>0</v>
      </c>
      <c r="V339" s="62">
        <f t="shared" ref="V339:V402" si="23">IF(Q339=$V$12,13313,13311)</f>
        <v>13311</v>
      </c>
    </row>
    <row r="340" spans="1:22" ht="21.6" hidden="1" x14ac:dyDescent="0.3">
      <c r="A340" s="192">
        <v>323</v>
      </c>
      <c r="B340" s="194" t="s">
        <v>453</v>
      </c>
      <c r="C340" s="296" t="s">
        <v>495</v>
      </c>
      <c r="D340" s="193">
        <v>46147</v>
      </c>
      <c r="E340" s="194" t="s">
        <v>454</v>
      </c>
      <c r="F340" s="296" t="s">
        <v>710</v>
      </c>
      <c r="G340" s="194" t="s">
        <v>1288</v>
      </c>
      <c r="H340" s="286">
        <v>1068340</v>
      </c>
      <c r="I340" s="192">
        <v>8</v>
      </c>
      <c r="J340" s="286">
        <v>85467</v>
      </c>
      <c r="K340" s="194" t="s">
        <v>12</v>
      </c>
      <c r="L340" s="194" t="s">
        <v>15</v>
      </c>
      <c r="M340" s="296" t="s">
        <v>1277</v>
      </c>
      <c r="N340" s="193">
        <v>46173</v>
      </c>
      <c r="O340" s="193">
        <v>46173</v>
      </c>
      <c r="P340" s="251">
        <v>1153807</v>
      </c>
      <c r="Q340" s="192" t="s">
        <v>457</v>
      </c>
      <c r="R340" s="192" t="s">
        <v>259</v>
      </c>
      <c r="S340" s="194" t="s">
        <v>14</v>
      </c>
      <c r="T340" s="64" t="str">
        <f t="shared" si="21"/>
        <v>Đ</v>
      </c>
      <c r="U340" s="66">
        <f t="shared" si="22"/>
        <v>0</v>
      </c>
      <c r="V340" s="62">
        <f t="shared" si="23"/>
        <v>13311</v>
      </c>
    </row>
    <row r="341" spans="1:22" ht="21.6" hidden="1" x14ac:dyDescent="0.3">
      <c r="A341" s="192">
        <v>324</v>
      </c>
      <c r="B341" s="194" t="s">
        <v>291</v>
      </c>
      <c r="C341" s="296" t="s">
        <v>495</v>
      </c>
      <c r="D341" s="193">
        <v>46147</v>
      </c>
      <c r="E341" s="194" t="s">
        <v>727</v>
      </c>
      <c r="F341" s="296" t="s">
        <v>1319</v>
      </c>
      <c r="G341" s="194" t="s">
        <v>1288</v>
      </c>
      <c r="H341" s="286">
        <v>187132395</v>
      </c>
      <c r="I341" s="192">
        <v>8</v>
      </c>
      <c r="J341" s="286">
        <v>14970592</v>
      </c>
      <c r="K341" s="194" t="s">
        <v>12</v>
      </c>
      <c r="L341" s="194" t="s">
        <v>15</v>
      </c>
      <c r="M341" s="296" t="s">
        <v>1277</v>
      </c>
      <c r="N341" s="193">
        <v>46173</v>
      </c>
      <c r="O341" s="193">
        <v>46173</v>
      </c>
      <c r="P341" s="251">
        <v>202102987</v>
      </c>
      <c r="Q341" s="192" t="s">
        <v>457</v>
      </c>
      <c r="R341" s="192" t="s">
        <v>259</v>
      </c>
      <c r="S341" s="194" t="s">
        <v>14</v>
      </c>
      <c r="T341" s="64" t="str">
        <f t="shared" si="21"/>
        <v>Đ</v>
      </c>
      <c r="U341" s="66">
        <f t="shared" si="22"/>
        <v>0</v>
      </c>
      <c r="V341" s="62">
        <f t="shared" si="23"/>
        <v>13311</v>
      </c>
    </row>
    <row r="342" spans="1:22" ht="21.6" hidden="1" x14ac:dyDescent="0.3">
      <c r="A342" s="192">
        <v>325</v>
      </c>
      <c r="B342" s="194" t="s">
        <v>471</v>
      </c>
      <c r="C342" s="296" t="s">
        <v>495</v>
      </c>
      <c r="D342" s="193">
        <v>46147</v>
      </c>
      <c r="E342" s="194" t="s">
        <v>472</v>
      </c>
      <c r="F342" s="296" t="s">
        <v>1318</v>
      </c>
      <c r="G342" s="194" t="s">
        <v>1288</v>
      </c>
      <c r="H342" s="286">
        <v>238749100</v>
      </c>
      <c r="I342" s="192">
        <v>8</v>
      </c>
      <c r="J342" s="286">
        <v>19099928</v>
      </c>
      <c r="K342" s="194" t="s">
        <v>12</v>
      </c>
      <c r="L342" s="194" t="s">
        <v>15</v>
      </c>
      <c r="M342" s="296" t="s">
        <v>1277</v>
      </c>
      <c r="N342" s="193">
        <v>46173</v>
      </c>
      <c r="O342" s="193">
        <v>46173</v>
      </c>
      <c r="P342" s="251">
        <v>257849028</v>
      </c>
      <c r="Q342" s="192" t="s">
        <v>457</v>
      </c>
      <c r="R342" s="192" t="s">
        <v>259</v>
      </c>
      <c r="S342" s="194" t="s">
        <v>14</v>
      </c>
      <c r="T342" s="64" t="str">
        <f t="shared" si="21"/>
        <v>Đ</v>
      </c>
      <c r="U342" s="66">
        <f t="shared" si="22"/>
        <v>0</v>
      </c>
      <c r="V342" s="62">
        <f t="shared" si="23"/>
        <v>13311</v>
      </c>
    </row>
    <row r="343" spans="1:22" ht="21.6" hidden="1" x14ac:dyDescent="0.3">
      <c r="A343" s="192">
        <v>326</v>
      </c>
      <c r="B343" s="194" t="s">
        <v>489</v>
      </c>
      <c r="C343" s="296" t="s">
        <v>1320</v>
      </c>
      <c r="D343" s="193">
        <v>46147</v>
      </c>
      <c r="E343" s="194" t="s">
        <v>490</v>
      </c>
      <c r="F343" s="296" t="s">
        <v>1321</v>
      </c>
      <c r="G343" s="194" t="s">
        <v>1288</v>
      </c>
      <c r="H343" s="286">
        <v>1528230</v>
      </c>
      <c r="I343" s="192">
        <v>8</v>
      </c>
      <c r="J343" s="286">
        <v>122258</v>
      </c>
      <c r="K343" s="194" t="s">
        <v>12</v>
      </c>
      <c r="L343" s="194" t="s">
        <v>15</v>
      </c>
      <c r="M343" s="296" t="s">
        <v>1277</v>
      </c>
      <c r="N343" s="193">
        <v>46173</v>
      </c>
      <c r="O343" s="193">
        <v>46173</v>
      </c>
      <c r="P343" s="251">
        <v>1650488</v>
      </c>
      <c r="Q343" s="192" t="s">
        <v>457</v>
      </c>
      <c r="R343" s="192" t="s">
        <v>259</v>
      </c>
      <c r="S343" s="194" t="s">
        <v>14</v>
      </c>
      <c r="T343" s="64" t="str">
        <f t="shared" si="21"/>
        <v>Đ</v>
      </c>
      <c r="U343" s="66">
        <f t="shared" si="22"/>
        <v>0</v>
      </c>
      <c r="V343" s="62">
        <f t="shared" si="23"/>
        <v>13311</v>
      </c>
    </row>
    <row r="344" spans="1:22" ht="21.6" hidden="1" x14ac:dyDescent="0.3">
      <c r="A344" s="192">
        <v>327</v>
      </c>
      <c r="B344" s="194" t="s">
        <v>566</v>
      </c>
      <c r="C344" s="296" t="s">
        <v>1322</v>
      </c>
      <c r="D344" s="193">
        <v>46147</v>
      </c>
      <c r="E344" s="194" t="s">
        <v>783</v>
      </c>
      <c r="F344" s="296" t="s">
        <v>716</v>
      </c>
      <c r="G344" s="194" t="s">
        <v>1288</v>
      </c>
      <c r="H344" s="286">
        <v>25828</v>
      </c>
      <c r="I344" s="192">
        <v>8</v>
      </c>
      <c r="J344" s="286">
        <v>2066</v>
      </c>
      <c r="K344" s="194" t="s">
        <v>12</v>
      </c>
      <c r="L344" s="194" t="s">
        <v>15</v>
      </c>
      <c r="M344" s="296" t="s">
        <v>1277</v>
      </c>
      <c r="N344" s="193">
        <v>46173</v>
      </c>
      <c r="O344" s="193">
        <v>46173</v>
      </c>
      <c r="P344" s="251">
        <v>27894</v>
      </c>
      <c r="Q344" s="192" t="s">
        <v>457</v>
      </c>
      <c r="R344" s="192" t="s">
        <v>259</v>
      </c>
      <c r="S344" s="194" t="s">
        <v>14</v>
      </c>
      <c r="T344" s="64" t="str">
        <f t="shared" si="21"/>
        <v>Đ</v>
      </c>
      <c r="U344" s="66">
        <f t="shared" si="22"/>
        <v>0</v>
      </c>
      <c r="V344" s="62">
        <f t="shared" si="23"/>
        <v>13311</v>
      </c>
    </row>
    <row r="345" spans="1:22" ht="21.6" hidden="1" x14ac:dyDescent="0.3">
      <c r="A345" s="192">
        <v>328</v>
      </c>
      <c r="B345" s="194" t="s">
        <v>724</v>
      </c>
      <c r="C345" s="296" t="s">
        <v>502</v>
      </c>
      <c r="D345" s="193">
        <v>46147</v>
      </c>
      <c r="E345" s="194" t="s">
        <v>729</v>
      </c>
      <c r="F345" s="296" t="s">
        <v>1323</v>
      </c>
      <c r="G345" s="194" t="s">
        <v>1288</v>
      </c>
      <c r="H345" s="286">
        <v>218117995</v>
      </c>
      <c r="I345" s="192">
        <v>8</v>
      </c>
      <c r="J345" s="286">
        <v>17449440</v>
      </c>
      <c r="K345" s="194" t="s">
        <v>12</v>
      </c>
      <c r="L345" s="194" t="s">
        <v>15</v>
      </c>
      <c r="M345" s="296" t="s">
        <v>1277</v>
      </c>
      <c r="N345" s="193">
        <v>46173</v>
      </c>
      <c r="O345" s="193">
        <v>46173</v>
      </c>
      <c r="P345" s="251">
        <v>235567435</v>
      </c>
      <c r="Q345" s="192" t="s">
        <v>457</v>
      </c>
      <c r="R345" s="192" t="s">
        <v>259</v>
      </c>
      <c r="S345" s="194" t="s">
        <v>14</v>
      </c>
      <c r="T345" s="64" t="str">
        <f t="shared" si="21"/>
        <v>Đ</v>
      </c>
      <c r="U345" s="66">
        <f t="shared" si="22"/>
        <v>0</v>
      </c>
      <c r="V345" s="62">
        <f t="shared" si="23"/>
        <v>13311</v>
      </c>
    </row>
    <row r="346" spans="1:22" ht="21.6" hidden="1" x14ac:dyDescent="0.3">
      <c r="A346" s="192">
        <v>329</v>
      </c>
      <c r="B346" s="194" t="s">
        <v>453</v>
      </c>
      <c r="C346" s="296" t="s">
        <v>502</v>
      </c>
      <c r="D346" s="193">
        <v>46147</v>
      </c>
      <c r="E346" s="194" t="s">
        <v>454</v>
      </c>
      <c r="F346" s="296" t="s">
        <v>710</v>
      </c>
      <c r="G346" s="194" t="s">
        <v>1288</v>
      </c>
      <c r="H346" s="286">
        <v>48484465</v>
      </c>
      <c r="I346" s="192">
        <v>8</v>
      </c>
      <c r="J346" s="286">
        <v>3878757</v>
      </c>
      <c r="K346" s="194" t="s">
        <v>12</v>
      </c>
      <c r="L346" s="194" t="s">
        <v>15</v>
      </c>
      <c r="M346" s="296" t="s">
        <v>1277</v>
      </c>
      <c r="N346" s="193">
        <v>46173</v>
      </c>
      <c r="O346" s="193">
        <v>46173</v>
      </c>
      <c r="P346" s="251">
        <v>52363222</v>
      </c>
      <c r="Q346" s="192" t="s">
        <v>457</v>
      </c>
      <c r="R346" s="192" t="s">
        <v>259</v>
      </c>
      <c r="S346" s="194" t="s">
        <v>14</v>
      </c>
      <c r="T346" s="64" t="str">
        <f t="shared" si="21"/>
        <v>Đ</v>
      </c>
      <c r="U346" s="66">
        <f t="shared" si="22"/>
        <v>0</v>
      </c>
      <c r="V346" s="62">
        <f t="shared" si="23"/>
        <v>13311</v>
      </c>
    </row>
    <row r="347" spans="1:22" ht="21.6" hidden="1" x14ac:dyDescent="0.3">
      <c r="A347" s="192">
        <v>330</v>
      </c>
      <c r="B347" s="194" t="s">
        <v>566</v>
      </c>
      <c r="C347" s="296" t="s">
        <v>504</v>
      </c>
      <c r="D347" s="193">
        <v>46147</v>
      </c>
      <c r="E347" s="194" t="s">
        <v>782</v>
      </c>
      <c r="F347" s="296" t="s">
        <v>716</v>
      </c>
      <c r="G347" s="194" t="s">
        <v>1288</v>
      </c>
      <c r="H347" s="286">
        <v>970405</v>
      </c>
      <c r="I347" s="192">
        <v>8</v>
      </c>
      <c r="J347" s="286">
        <v>77632</v>
      </c>
      <c r="K347" s="194" t="s">
        <v>12</v>
      </c>
      <c r="L347" s="194" t="s">
        <v>15</v>
      </c>
      <c r="M347" s="296" t="s">
        <v>1277</v>
      </c>
      <c r="N347" s="193">
        <v>46173</v>
      </c>
      <c r="O347" s="193">
        <v>46173</v>
      </c>
      <c r="P347" s="251">
        <v>1048037</v>
      </c>
      <c r="Q347" s="192" t="s">
        <v>457</v>
      </c>
      <c r="R347" s="192" t="s">
        <v>259</v>
      </c>
      <c r="S347" s="194" t="s">
        <v>14</v>
      </c>
      <c r="T347" s="64" t="str">
        <f t="shared" si="21"/>
        <v>Đ</v>
      </c>
      <c r="U347" s="66">
        <f t="shared" si="22"/>
        <v>0</v>
      </c>
      <c r="V347" s="62">
        <f t="shared" si="23"/>
        <v>13311</v>
      </c>
    </row>
    <row r="348" spans="1:22" ht="21.6" hidden="1" x14ac:dyDescent="0.3">
      <c r="A348" s="192">
        <v>331</v>
      </c>
      <c r="B348" s="194" t="s">
        <v>287</v>
      </c>
      <c r="C348" s="296" t="s">
        <v>1324</v>
      </c>
      <c r="D348" s="193">
        <v>46147</v>
      </c>
      <c r="E348" s="194" t="s">
        <v>1325</v>
      </c>
      <c r="F348" s="296" t="s">
        <v>1326</v>
      </c>
      <c r="G348" s="194" t="s">
        <v>1288</v>
      </c>
      <c r="H348" s="286">
        <v>65255</v>
      </c>
      <c r="I348" s="192">
        <v>8</v>
      </c>
      <c r="J348" s="286">
        <v>5220</v>
      </c>
      <c r="K348" s="194" t="s">
        <v>12</v>
      </c>
      <c r="L348" s="194" t="s">
        <v>15</v>
      </c>
      <c r="M348" s="296" t="s">
        <v>1277</v>
      </c>
      <c r="N348" s="193">
        <v>46173</v>
      </c>
      <c r="O348" s="193">
        <v>46173</v>
      </c>
      <c r="P348" s="251">
        <v>70475</v>
      </c>
      <c r="Q348" s="192" t="s">
        <v>457</v>
      </c>
      <c r="R348" s="192" t="s">
        <v>259</v>
      </c>
      <c r="S348" s="194" t="s">
        <v>14</v>
      </c>
      <c r="T348" s="64" t="str">
        <f t="shared" si="21"/>
        <v>Đ</v>
      </c>
      <c r="U348" s="66">
        <f t="shared" si="22"/>
        <v>0</v>
      </c>
      <c r="V348" s="62">
        <f t="shared" si="23"/>
        <v>13311</v>
      </c>
    </row>
    <row r="349" spans="1:22" ht="21.6" hidden="1" x14ac:dyDescent="0.3">
      <c r="A349" s="192">
        <v>332</v>
      </c>
      <c r="B349" s="194" t="s">
        <v>287</v>
      </c>
      <c r="C349" s="296" t="s">
        <v>1327</v>
      </c>
      <c r="D349" s="193">
        <v>46147</v>
      </c>
      <c r="E349" s="194" t="s">
        <v>1325</v>
      </c>
      <c r="F349" s="296" t="s">
        <v>1326</v>
      </c>
      <c r="G349" s="194" t="s">
        <v>1288</v>
      </c>
      <c r="H349" s="286">
        <v>25260</v>
      </c>
      <c r="I349" s="192">
        <v>8</v>
      </c>
      <c r="J349" s="286">
        <v>2021</v>
      </c>
      <c r="K349" s="194" t="s">
        <v>12</v>
      </c>
      <c r="L349" s="194" t="s">
        <v>15</v>
      </c>
      <c r="M349" s="296" t="s">
        <v>1277</v>
      </c>
      <c r="N349" s="193">
        <v>46173</v>
      </c>
      <c r="O349" s="193">
        <v>46173</v>
      </c>
      <c r="P349" s="251">
        <v>27281</v>
      </c>
      <c r="Q349" s="192" t="s">
        <v>457</v>
      </c>
      <c r="R349" s="192" t="s">
        <v>259</v>
      </c>
      <c r="S349" s="194" t="s">
        <v>14</v>
      </c>
      <c r="T349" s="64" t="str">
        <f t="shared" si="21"/>
        <v>Đ</v>
      </c>
      <c r="U349" s="66">
        <f t="shared" si="22"/>
        <v>0</v>
      </c>
      <c r="V349" s="62">
        <f t="shared" si="23"/>
        <v>13311</v>
      </c>
    </row>
    <row r="350" spans="1:22" ht="21.6" hidden="1" x14ac:dyDescent="0.3">
      <c r="A350" s="192">
        <v>333</v>
      </c>
      <c r="B350" s="194" t="s">
        <v>287</v>
      </c>
      <c r="C350" s="296" t="s">
        <v>1328</v>
      </c>
      <c r="D350" s="193">
        <v>46147</v>
      </c>
      <c r="E350" s="194" t="s">
        <v>1325</v>
      </c>
      <c r="F350" s="296" t="s">
        <v>1326</v>
      </c>
      <c r="G350" s="194" t="s">
        <v>1288</v>
      </c>
      <c r="H350" s="286">
        <v>254705</v>
      </c>
      <c r="I350" s="192">
        <v>8</v>
      </c>
      <c r="J350" s="286">
        <v>20376</v>
      </c>
      <c r="K350" s="194" t="s">
        <v>12</v>
      </c>
      <c r="L350" s="194" t="s">
        <v>15</v>
      </c>
      <c r="M350" s="296" t="s">
        <v>1277</v>
      </c>
      <c r="N350" s="193">
        <v>46173</v>
      </c>
      <c r="O350" s="193">
        <v>46173</v>
      </c>
      <c r="P350" s="251">
        <v>275081</v>
      </c>
      <c r="Q350" s="192" t="s">
        <v>457</v>
      </c>
      <c r="R350" s="192" t="s">
        <v>259</v>
      </c>
      <c r="S350" s="194" t="s">
        <v>14</v>
      </c>
      <c r="T350" s="64" t="str">
        <f t="shared" si="21"/>
        <v>Đ</v>
      </c>
      <c r="U350" s="66">
        <f t="shared" si="22"/>
        <v>0</v>
      </c>
      <c r="V350" s="62">
        <f t="shared" si="23"/>
        <v>13311</v>
      </c>
    </row>
    <row r="351" spans="1:22" ht="21.6" hidden="1" x14ac:dyDescent="0.3">
      <c r="A351" s="192">
        <v>334</v>
      </c>
      <c r="B351" s="194" t="s">
        <v>287</v>
      </c>
      <c r="C351" s="296" t="s">
        <v>1329</v>
      </c>
      <c r="D351" s="193">
        <v>46147</v>
      </c>
      <c r="E351" s="194" t="s">
        <v>1325</v>
      </c>
      <c r="F351" s="296" t="s">
        <v>1326</v>
      </c>
      <c r="G351" s="194" t="s">
        <v>1288</v>
      </c>
      <c r="H351" s="286">
        <v>170505</v>
      </c>
      <c r="I351" s="192">
        <v>8</v>
      </c>
      <c r="J351" s="286">
        <v>13640</v>
      </c>
      <c r="K351" s="194" t="s">
        <v>12</v>
      </c>
      <c r="L351" s="194" t="s">
        <v>15</v>
      </c>
      <c r="M351" s="296" t="s">
        <v>1277</v>
      </c>
      <c r="N351" s="193">
        <v>46173</v>
      </c>
      <c r="O351" s="193">
        <v>46173</v>
      </c>
      <c r="P351" s="251">
        <v>184145</v>
      </c>
      <c r="Q351" s="192" t="s">
        <v>457</v>
      </c>
      <c r="R351" s="192" t="s">
        <v>259</v>
      </c>
      <c r="S351" s="194" t="s">
        <v>14</v>
      </c>
      <c r="T351" s="64" t="str">
        <f t="shared" si="21"/>
        <v>Đ</v>
      </c>
      <c r="U351" s="66">
        <f t="shared" si="22"/>
        <v>0</v>
      </c>
      <c r="V351" s="62">
        <f t="shared" si="23"/>
        <v>13311</v>
      </c>
    </row>
    <row r="352" spans="1:22" ht="21.6" hidden="1" x14ac:dyDescent="0.3">
      <c r="A352" s="192">
        <v>335</v>
      </c>
      <c r="B352" s="194" t="s">
        <v>492</v>
      </c>
      <c r="C352" s="296" t="s">
        <v>506</v>
      </c>
      <c r="D352" s="193">
        <v>46147</v>
      </c>
      <c r="E352" s="194" t="s">
        <v>493</v>
      </c>
      <c r="F352" s="296" t="s">
        <v>627</v>
      </c>
      <c r="G352" s="194" t="s">
        <v>1288</v>
      </c>
      <c r="H352" s="286">
        <v>56001420</v>
      </c>
      <c r="I352" s="192">
        <v>8</v>
      </c>
      <c r="J352" s="286">
        <v>4480114</v>
      </c>
      <c r="K352" s="194" t="s">
        <v>12</v>
      </c>
      <c r="L352" s="194" t="s">
        <v>15</v>
      </c>
      <c r="M352" s="296" t="s">
        <v>1277</v>
      </c>
      <c r="N352" s="193">
        <v>46173</v>
      </c>
      <c r="O352" s="193">
        <v>46173</v>
      </c>
      <c r="P352" s="251">
        <v>60481534</v>
      </c>
      <c r="Q352" s="192" t="s">
        <v>457</v>
      </c>
      <c r="R352" s="192" t="s">
        <v>259</v>
      </c>
      <c r="S352" s="194" t="s">
        <v>14</v>
      </c>
      <c r="T352" s="64" t="str">
        <f t="shared" si="21"/>
        <v>Đ</v>
      </c>
      <c r="U352" s="66">
        <f t="shared" si="22"/>
        <v>0</v>
      </c>
      <c r="V352" s="62">
        <f t="shared" si="23"/>
        <v>13311</v>
      </c>
    </row>
    <row r="353" spans="1:22" ht="21.6" hidden="1" x14ac:dyDescent="0.3">
      <c r="A353" s="192">
        <v>336</v>
      </c>
      <c r="B353" s="194" t="s">
        <v>648</v>
      </c>
      <c r="C353" s="296" t="s">
        <v>1330</v>
      </c>
      <c r="D353" s="193">
        <v>46147</v>
      </c>
      <c r="E353" s="194" t="s">
        <v>1275</v>
      </c>
      <c r="F353" s="296" t="s">
        <v>1276</v>
      </c>
      <c r="G353" s="194" t="s">
        <v>1288</v>
      </c>
      <c r="H353" s="286">
        <v>955670</v>
      </c>
      <c r="I353" s="192">
        <v>8</v>
      </c>
      <c r="J353" s="286">
        <v>76454</v>
      </c>
      <c r="K353" s="194" t="s">
        <v>12</v>
      </c>
      <c r="L353" s="194" t="s">
        <v>15</v>
      </c>
      <c r="M353" s="296" t="s">
        <v>1277</v>
      </c>
      <c r="N353" s="193">
        <v>46173</v>
      </c>
      <c r="O353" s="193">
        <v>46173</v>
      </c>
      <c r="P353" s="251">
        <v>1032124</v>
      </c>
      <c r="Q353" s="192" t="s">
        <v>457</v>
      </c>
      <c r="R353" s="192" t="s">
        <v>259</v>
      </c>
      <c r="S353" s="194" t="s">
        <v>14</v>
      </c>
      <c r="T353" s="64" t="str">
        <f t="shared" si="21"/>
        <v>Đ</v>
      </c>
      <c r="U353" s="66">
        <f t="shared" si="22"/>
        <v>0</v>
      </c>
      <c r="V353" s="62">
        <f t="shared" si="23"/>
        <v>13311</v>
      </c>
    </row>
    <row r="354" spans="1:22" ht="21.6" hidden="1" x14ac:dyDescent="0.3">
      <c r="A354" s="192">
        <v>337</v>
      </c>
      <c r="B354" s="194" t="s">
        <v>485</v>
      </c>
      <c r="C354" s="296" t="s">
        <v>511</v>
      </c>
      <c r="D354" s="193">
        <v>46147</v>
      </c>
      <c r="E354" s="194" t="s">
        <v>487</v>
      </c>
      <c r="F354" s="296" t="s">
        <v>700</v>
      </c>
      <c r="G354" s="194" t="s">
        <v>1288</v>
      </c>
      <c r="H354" s="286">
        <v>97636215</v>
      </c>
      <c r="I354" s="192">
        <v>8</v>
      </c>
      <c r="J354" s="286">
        <v>7810897</v>
      </c>
      <c r="K354" s="194" t="s">
        <v>12</v>
      </c>
      <c r="L354" s="194" t="s">
        <v>15</v>
      </c>
      <c r="M354" s="296" t="s">
        <v>1277</v>
      </c>
      <c r="N354" s="193">
        <v>46173</v>
      </c>
      <c r="O354" s="193">
        <v>46173</v>
      </c>
      <c r="P354" s="251">
        <v>105447112</v>
      </c>
      <c r="Q354" s="192" t="s">
        <v>457</v>
      </c>
      <c r="R354" s="192" t="s">
        <v>259</v>
      </c>
      <c r="S354" s="194" t="s">
        <v>14</v>
      </c>
      <c r="T354" s="64" t="str">
        <f t="shared" si="21"/>
        <v>Đ</v>
      </c>
      <c r="U354" s="66">
        <f t="shared" si="22"/>
        <v>0</v>
      </c>
      <c r="V354" s="62">
        <f t="shared" si="23"/>
        <v>13311</v>
      </c>
    </row>
    <row r="355" spans="1:22" ht="21.6" hidden="1" x14ac:dyDescent="0.3">
      <c r="A355" s="192">
        <v>338</v>
      </c>
      <c r="B355" s="194" t="s">
        <v>669</v>
      </c>
      <c r="C355" s="296" t="s">
        <v>1331</v>
      </c>
      <c r="D355" s="193">
        <v>46147</v>
      </c>
      <c r="E355" s="194" t="s">
        <v>789</v>
      </c>
      <c r="F355" s="296" t="s">
        <v>630</v>
      </c>
      <c r="G355" s="194" t="s">
        <v>1288</v>
      </c>
      <c r="H355" s="286">
        <v>2054480</v>
      </c>
      <c r="I355" s="192">
        <v>8</v>
      </c>
      <c r="J355" s="286">
        <v>164358</v>
      </c>
      <c r="K355" s="194" t="s">
        <v>12</v>
      </c>
      <c r="L355" s="194" t="s">
        <v>15</v>
      </c>
      <c r="M355" s="296" t="s">
        <v>1277</v>
      </c>
      <c r="N355" s="193">
        <v>46173</v>
      </c>
      <c r="O355" s="193">
        <v>46173</v>
      </c>
      <c r="P355" s="251">
        <v>2218838</v>
      </c>
      <c r="Q355" s="192" t="s">
        <v>457</v>
      </c>
      <c r="R355" s="192" t="s">
        <v>259</v>
      </c>
      <c r="S355" s="194" t="s">
        <v>14</v>
      </c>
      <c r="T355" s="64" t="str">
        <f t="shared" si="21"/>
        <v>Đ</v>
      </c>
      <c r="U355" s="66">
        <f t="shared" si="22"/>
        <v>0</v>
      </c>
      <c r="V355" s="62">
        <f t="shared" si="23"/>
        <v>13311</v>
      </c>
    </row>
    <row r="356" spans="1:22" ht="21.6" hidden="1" x14ac:dyDescent="0.3">
      <c r="A356" s="192">
        <v>339</v>
      </c>
      <c r="B356" s="194" t="s">
        <v>453</v>
      </c>
      <c r="C356" s="296" t="s">
        <v>1332</v>
      </c>
      <c r="D356" s="193">
        <v>46147</v>
      </c>
      <c r="E356" s="194" t="s">
        <v>505</v>
      </c>
      <c r="F356" s="296" t="s">
        <v>484</v>
      </c>
      <c r="G356" s="194" t="s">
        <v>1288</v>
      </c>
      <c r="H356" s="286">
        <v>997900</v>
      </c>
      <c r="I356" s="192">
        <v>8</v>
      </c>
      <c r="J356" s="286">
        <v>79832</v>
      </c>
      <c r="K356" s="194" t="s">
        <v>12</v>
      </c>
      <c r="L356" s="194" t="s">
        <v>15</v>
      </c>
      <c r="M356" s="296" t="s">
        <v>1277</v>
      </c>
      <c r="N356" s="193">
        <v>46173</v>
      </c>
      <c r="O356" s="193">
        <v>46173</v>
      </c>
      <c r="P356" s="251">
        <v>1077732</v>
      </c>
      <c r="Q356" s="192" t="s">
        <v>457</v>
      </c>
      <c r="R356" s="192" t="s">
        <v>259</v>
      </c>
      <c r="S356" s="194" t="s">
        <v>14</v>
      </c>
      <c r="T356" s="64" t="str">
        <f t="shared" si="21"/>
        <v>Đ</v>
      </c>
      <c r="U356" s="66">
        <f t="shared" si="22"/>
        <v>0</v>
      </c>
      <c r="V356" s="62">
        <f t="shared" si="23"/>
        <v>13311</v>
      </c>
    </row>
    <row r="357" spans="1:22" ht="21.6" hidden="1" x14ac:dyDescent="0.3">
      <c r="A357" s="192">
        <v>340</v>
      </c>
      <c r="B357" s="194" t="s">
        <v>751</v>
      </c>
      <c r="C357" s="296" t="s">
        <v>526</v>
      </c>
      <c r="D357" s="193">
        <v>46147</v>
      </c>
      <c r="E357" s="194" t="s">
        <v>752</v>
      </c>
      <c r="F357" s="296" t="s">
        <v>667</v>
      </c>
      <c r="G357" s="194" t="s">
        <v>1288</v>
      </c>
      <c r="H357" s="286">
        <v>263183940</v>
      </c>
      <c r="I357" s="192">
        <v>8</v>
      </c>
      <c r="J357" s="286">
        <v>21054715</v>
      </c>
      <c r="K357" s="194" t="s">
        <v>12</v>
      </c>
      <c r="L357" s="194" t="s">
        <v>15</v>
      </c>
      <c r="M357" s="296" t="s">
        <v>1277</v>
      </c>
      <c r="N357" s="193">
        <v>46173</v>
      </c>
      <c r="O357" s="193">
        <v>46173</v>
      </c>
      <c r="P357" s="251">
        <v>284238655</v>
      </c>
      <c r="Q357" s="192" t="s">
        <v>457</v>
      </c>
      <c r="R357" s="192" t="s">
        <v>259</v>
      </c>
      <c r="S357" s="194" t="s">
        <v>14</v>
      </c>
      <c r="T357" s="64" t="str">
        <f t="shared" si="21"/>
        <v>Đ</v>
      </c>
      <c r="U357" s="66">
        <f t="shared" si="22"/>
        <v>0</v>
      </c>
      <c r="V357" s="62">
        <f t="shared" si="23"/>
        <v>13311</v>
      </c>
    </row>
    <row r="358" spans="1:22" ht="21.6" hidden="1" x14ac:dyDescent="0.3">
      <c r="A358" s="192">
        <v>341</v>
      </c>
      <c r="B358" s="194" t="s">
        <v>751</v>
      </c>
      <c r="C358" s="296" t="s">
        <v>531</v>
      </c>
      <c r="D358" s="193">
        <v>46147</v>
      </c>
      <c r="E358" s="194" t="s">
        <v>753</v>
      </c>
      <c r="F358" s="296" t="s">
        <v>667</v>
      </c>
      <c r="G358" s="194" t="s">
        <v>1288</v>
      </c>
      <c r="H358" s="286">
        <v>243729530</v>
      </c>
      <c r="I358" s="192">
        <v>8</v>
      </c>
      <c r="J358" s="286">
        <v>19498362</v>
      </c>
      <c r="K358" s="194" t="s">
        <v>12</v>
      </c>
      <c r="L358" s="194" t="s">
        <v>15</v>
      </c>
      <c r="M358" s="296" t="s">
        <v>1277</v>
      </c>
      <c r="N358" s="193">
        <v>46173</v>
      </c>
      <c r="O358" s="193">
        <v>46173</v>
      </c>
      <c r="P358" s="251">
        <v>263227892</v>
      </c>
      <c r="Q358" s="192" t="s">
        <v>457</v>
      </c>
      <c r="R358" s="192" t="s">
        <v>259</v>
      </c>
      <c r="S358" s="194" t="s">
        <v>14</v>
      </c>
      <c r="T358" s="64" t="str">
        <f t="shared" si="21"/>
        <v>Đ</v>
      </c>
      <c r="U358" s="66">
        <f t="shared" si="22"/>
        <v>0</v>
      </c>
      <c r="V358" s="62">
        <f t="shared" si="23"/>
        <v>13311</v>
      </c>
    </row>
    <row r="359" spans="1:22" ht="21.6" hidden="1" x14ac:dyDescent="0.3">
      <c r="A359" s="192">
        <v>342</v>
      </c>
      <c r="B359" s="194" t="s">
        <v>501</v>
      </c>
      <c r="C359" s="296" t="s">
        <v>531</v>
      </c>
      <c r="D359" s="193">
        <v>46147</v>
      </c>
      <c r="E359" s="194" t="s">
        <v>503</v>
      </c>
      <c r="F359" s="296" t="s">
        <v>568</v>
      </c>
      <c r="G359" s="194" t="s">
        <v>1288</v>
      </c>
      <c r="H359" s="286">
        <v>8026365</v>
      </c>
      <c r="I359" s="192">
        <v>8</v>
      </c>
      <c r="J359" s="286">
        <v>642109</v>
      </c>
      <c r="K359" s="194" t="s">
        <v>12</v>
      </c>
      <c r="L359" s="194" t="s">
        <v>15</v>
      </c>
      <c r="M359" s="296" t="s">
        <v>1277</v>
      </c>
      <c r="N359" s="193">
        <v>46173</v>
      </c>
      <c r="O359" s="193">
        <v>46173</v>
      </c>
      <c r="P359" s="251">
        <v>8668474</v>
      </c>
      <c r="Q359" s="192" t="s">
        <v>457</v>
      </c>
      <c r="R359" s="192" t="s">
        <v>259</v>
      </c>
      <c r="S359" s="194" t="s">
        <v>14</v>
      </c>
      <c r="T359" s="64" t="str">
        <f t="shared" si="21"/>
        <v>Đ</v>
      </c>
      <c r="U359" s="66">
        <f t="shared" si="22"/>
        <v>0</v>
      </c>
      <c r="V359" s="62">
        <f t="shared" si="23"/>
        <v>13311</v>
      </c>
    </row>
    <row r="360" spans="1:22" ht="21.6" hidden="1" x14ac:dyDescent="0.3">
      <c r="A360" s="192">
        <v>343</v>
      </c>
      <c r="B360" s="194" t="s">
        <v>751</v>
      </c>
      <c r="C360" s="296" t="s">
        <v>535</v>
      </c>
      <c r="D360" s="193">
        <v>46147</v>
      </c>
      <c r="E360" s="194" t="s">
        <v>752</v>
      </c>
      <c r="F360" s="296" t="s">
        <v>667</v>
      </c>
      <c r="G360" s="194" t="s">
        <v>1288</v>
      </c>
      <c r="H360" s="286">
        <v>277956830</v>
      </c>
      <c r="I360" s="192">
        <v>8</v>
      </c>
      <c r="J360" s="286">
        <v>22236546</v>
      </c>
      <c r="K360" s="194" t="s">
        <v>12</v>
      </c>
      <c r="L360" s="194" t="s">
        <v>15</v>
      </c>
      <c r="M360" s="296" t="s">
        <v>1277</v>
      </c>
      <c r="N360" s="193">
        <v>46173</v>
      </c>
      <c r="O360" s="193">
        <v>46173</v>
      </c>
      <c r="P360" s="251">
        <v>300193376</v>
      </c>
      <c r="Q360" s="192" t="s">
        <v>457</v>
      </c>
      <c r="R360" s="192" t="s">
        <v>259</v>
      </c>
      <c r="S360" s="194" t="s">
        <v>14</v>
      </c>
      <c r="T360" s="64" t="str">
        <f t="shared" si="21"/>
        <v>Đ</v>
      </c>
      <c r="U360" s="66">
        <f t="shared" si="22"/>
        <v>0</v>
      </c>
      <c r="V360" s="62">
        <f t="shared" si="23"/>
        <v>13311</v>
      </c>
    </row>
    <row r="361" spans="1:22" ht="21.6" hidden="1" x14ac:dyDescent="0.3">
      <c r="A361" s="192">
        <v>344</v>
      </c>
      <c r="B361" s="194" t="s">
        <v>698</v>
      </c>
      <c r="C361" s="296" t="s">
        <v>535</v>
      </c>
      <c r="D361" s="193">
        <v>46147</v>
      </c>
      <c r="E361" s="194" t="s">
        <v>749</v>
      </c>
      <c r="F361" s="296" t="s">
        <v>755</v>
      </c>
      <c r="G361" s="194" t="s">
        <v>1288</v>
      </c>
      <c r="H361" s="286">
        <v>27571290</v>
      </c>
      <c r="I361" s="192">
        <v>8</v>
      </c>
      <c r="J361" s="286">
        <v>2205703</v>
      </c>
      <c r="K361" s="194" t="s">
        <v>12</v>
      </c>
      <c r="L361" s="194" t="s">
        <v>15</v>
      </c>
      <c r="M361" s="296" t="s">
        <v>1277</v>
      </c>
      <c r="N361" s="193">
        <v>46173</v>
      </c>
      <c r="O361" s="193">
        <v>46173</v>
      </c>
      <c r="P361" s="251">
        <v>29776993</v>
      </c>
      <c r="Q361" s="192" t="s">
        <v>457</v>
      </c>
      <c r="R361" s="192" t="s">
        <v>259</v>
      </c>
      <c r="S361" s="194" t="s">
        <v>14</v>
      </c>
      <c r="T361" s="64" t="str">
        <f t="shared" si="21"/>
        <v>Đ</v>
      </c>
      <c r="U361" s="66">
        <f t="shared" si="22"/>
        <v>0</v>
      </c>
      <c r="V361" s="62">
        <f t="shared" si="23"/>
        <v>13311</v>
      </c>
    </row>
    <row r="362" spans="1:22" ht="21.6" hidden="1" x14ac:dyDescent="0.3">
      <c r="A362" s="192">
        <v>345</v>
      </c>
      <c r="B362" s="194" t="s">
        <v>517</v>
      </c>
      <c r="C362" s="296" t="s">
        <v>433</v>
      </c>
      <c r="D362" s="193">
        <v>46147</v>
      </c>
      <c r="E362" s="194" t="s">
        <v>518</v>
      </c>
      <c r="F362" s="296" t="s">
        <v>774</v>
      </c>
      <c r="G362" s="194" t="s">
        <v>1288</v>
      </c>
      <c r="H362" s="286">
        <v>37511100</v>
      </c>
      <c r="I362" s="192">
        <v>8</v>
      </c>
      <c r="J362" s="286">
        <v>3000888</v>
      </c>
      <c r="K362" s="194" t="s">
        <v>12</v>
      </c>
      <c r="L362" s="194" t="s">
        <v>15</v>
      </c>
      <c r="M362" s="296" t="s">
        <v>1277</v>
      </c>
      <c r="N362" s="193">
        <v>46173</v>
      </c>
      <c r="O362" s="193">
        <v>46173</v>
      </c>
      <c r="P362" s="251">
        <v>40511988</v>
      </c>
      <c r="Q362" s="192" t="s">
        <v>457</v>
      </c>
      <c r="R362" s="192" t="s">
        <v>259</v>
      </c>
      <c r="S362" s="194" t="s">
        <v>14</v>
      </c>
      <c r="T362" s="64" t="str">
        <f t="shared" si="21"/>
        <v>Đ</v>
      </c>
      <c r="U362" s="66">
        <f t="shared" si="22"/>
        <v>0</v>
      </c>
      <c r="V362" s="62">
        <f t="shared" si="23"/>
        <v>13311</v>
      </c>
    </row>
    <row r="363" spans="1:22" ht="21.6" hidden="1" x14ac:dyDescent="0.3">
      <c r="A363" s="192">
        <v>346</v>
      </c>
      <c r="B363" s="194" t="s">
        <v>291</v>
      </c>
      <c r="C363" s="296" t="s">
        <v>342</v>
      </c>
      <c r="D363" s="193">
        <v>46147</v>
      </c>
      <c r="E363" s="194" t="s">
        <v>515</v>
      </c>
      <c r="F363" s="296" t="s">
        <v>470</v>
      </c>
      <c r="G363" s="194" t="s">
        <v>1288</v>
      </c>
      <c r="H363" s="286">
        <v>65414980</v>
      </c>
      <c r="I363" s="192">
        <v>8</v>
      </c>
      <c r="J363" s="286">
        <v>5233198</v>
      </c>
      <c r="K363" s="194" t="s">
        <v>12</v>
      </c>
      <c r="L363" s="194" t="s">
        <v>15</v>
      </c>
      <c r="M363" s="296" t="s">
        <v>1277</v>
      </c>
      <c r="N363" s="193">
        <v>46173</v>
      </c>
      <c r="O363" s="193">
        <v>46173</v>
      </c>
      <c r="P363" s="251">
        <v>70648178</v>
      </c>
      <c r="Q363" s="192" t="s">
        <v>457</v>
      </c>
      <c r="R363" s="192" t="s">
        <v>259</v>
      </c>
      <c r="S363" s="194" t="s">
        <v>14</v>
      </c>
      <c r="T363" s="64" t="str">
        <f t="shared" si="21"/>
        <v>Đ</v>
      </c>
      <c r="U363" s="66">
        <f t="shared" si="22"/>
        <v>0</v>
      </c>
      <c r="V363" s="62">
        <f t="shared" si="23"/>
        <v>13311</v>
      </c>
    </row>
    <row r="364" spans="1:22" ht="21.6" hidden="1" x14ac:dyDescent="0.3">
      <c r="A364" s="192">
        <v>347</v>
      </c>
      <c r="B364" s="194" t="s">
        <v>291</v>
      </c>
      <c r="C364" s="296" t="s">
        <v>551</v>
      </c>
      <c r="D364" s="193">
        <v>46147</v>
      </c>
      <c r="E364" s="194" t="s">
        <v>515</v>
      </c>
      <c r="F364" s="296" t="s">
        <v>470</v>
      </c>
      <c r="G364" s="194" t="s">
        <v>1288</v>
      </c>
      <c r="H364" s="286">
        <v>274531995</v>
      </c>
      <c r="I364" s="192">
        <v>8</v>
      </c>
      <c r="J364" s="286">
        <v>21962560</v>
      </c>
      <c r="K364" s="194" t="s">
        <v>12</v>
      </c>
      <c r="L364" s="194" t="s">
        <v>15</v>
      </c>
      <c r="M364" s="296" t="s">
        <v>1277</v>
      </c>
      <c r="N364" s="193">
        <v>46173</v>
      </c>
      <c r="O364" s="193">
        <v>46173</v>
      </c>
      <c r="P364" s="251">
        <v>296494555</v>
      </c>
      <c r="Q364" s="192" t="s">
        <v>457</v>
      </c>
      <c r="R364" s="192" t="s">
        <v>259</v>
      </c>
      <c r="S364" s="194" t="s">
        <v>14</v>
      </c>
      <c r="T364" s="64" t="str">
        <f t="shared" si="21"/>
        <v>Đ</v>
      </c>
      <c r="U364" s="66">
        <f t="shared" si="22"/>
        <v>0</v>
      </c>
      <c r="V364" s="62">
        <f t="shared" si="23"/>
        <v>13311</v>
      </c>
    </row>
    <row r="365" spans="1:22" ht="21.6" hidden="1" x14ac:dyDescent="0.3">
      <c r="A365" s="192">
        <v>348</v>
      </c>
      <c r="B365" s="194" t="s">
        <v>510</v>
      </c>
      <c r="C365" s="296" t="s">
        <v>300</v>
      </c>
      <c r="D365" s="193">
        <v>46147</v>
      </c>
      <c r="E365" s="194" t="s">
        <v>533</v>
      </c>
      <c r="F365" s="296" t="s">
        <v>474</v>
      </c>
      <c r="G365" s="194" t="s">
        <v>1288</v>
      </c>
      <c r="H365" s="286">
        <v>104395370</v>
      </c>
      <c r="I365" s="192">
        <v>8</v>
      </c>
      <c r="J365" s="286">
        <v>8351630</v>
      </c>
      <c r="K365" s="194" t="s">
        <v>12</v>
      </c>
      <c r="L365" s="194" t="s">
        <v>15</v>
      </c>
      <c r="M365" s="296" t="s">
        <v>1277</v>
      </c>
      <c r="N365" s="193">
        <v>46173</v>
      </c>
      <c r="O365" s="193">
        <v>46173</v>
      </c>
      <c r="P365" s="251">
        <v>112747000</v>
      </c>
      <c r="Q365" s="192" t="s">
        <v>457</v>
      </c>
      <c r="R365" s="192" t="s">
        <v>259</v>
      </c>
      <c r="S365" s="194" t="s">
        <v>14</v>
      </c>
      <c r="T365" s="64" t="str">
        <f t="shared" si="21"/>
        <v>Đ</v>
      </c>
      <c r="U365" s="66">
        <f t="shared" si="22"/>
        <v>0</v>
      </c>
      <c r="V365" s="62">
        <f t="shared" si="23"/>
        <v>13311</v>
      </c>
    </row>
    <row r="366" spans="1:22" ht="21.6" hidden="1" x14ac:dyDescent="0.3">
      <c r="A366" s="192">
        <v>349</v>
      </c>
      <c r="B366" s="194" t="s">
        <v>525</v>
      </c>
      <c r="C366" s="296" t="s">
        <v>858</v>
      </c>
      <c r="D366" s="193">
        <v>46147</v>
      </c>
      <c r="E366" s="194" t="s">
        <v>527</v>
      </c>
      <c r="F366" s="296" t="s">
        <v>553</v>
      </c>
      <c r="G366" s="194" t="s">
        <v>1288</v>
      </c>
      <c r="H366" s="286">
        <v>85867160</v>
      </c>
      <c r="I366" s="192">
        <v>8</v>
      </c>
      <c r="J366" s="286">
        <v>6869373</v>
      </c>
      <c r="K366" s="194" t="s">
        <v>12</v>
      </c>
      <c r="L366" s="194" t="s">
        <v>15</v>
      </c>
      <c r="M366" s="296" t="s">
        <v>1277</v>
      </c>
      <c r="N366" s="193">
        <v>46173</v>
      </c>
      <c r="O366" s="193">
        <v>46173</v>
      </c>
      <c r="P366" s="251">
        <v>92736533</v>
      </c>
      <c r="Q366" s="192" t="s">
        <v>457</v>
      </c>
      <c r="R366" s="192" t="s">
        <v>259</v>
      </c>
      <c r="S366" s="194" t="s">
        <v>14</v>
      </c>
      <c r="T366" s="64" t="str">
        <f t="shared" si="21"/>
        <v>Đ</v>
      </c>
      <c r="U366" s="66">
        <f t="shared" si="22"/>
        <v>0</v>
      </c>
      <c r="V366" s="62">
        <f t="shared" si="23"/>
        <v>13311</v>
      </c>
    </row>
    <row r="367" spans="1:22" ht="21.6" hidden="1" x14ac:dyDescent="0.3">
      <c r="A367" s="192">
        <v>350</v>
      </c>
      <c r="B367" s="194" t="s">
        <v>541</v>
      </c>
      <c r="C367" s="296" t="s">
        <v>559</v>
      </c>
      <c r="D367" s="193">
        <v>46147</v>
      </c>
      <c r="E367" s="194" t="s">
        <v>793</v>
      </c>
      <c r="F367" s="296" t="s">
        <v>728</v>
      </c>
      <c r="G367" s="194" t="s">
        <v>1288</v>
      </c>
      <c r="H367" s="286">
        <v>250010850</v>
      </c>
      <c r="I367" s="192">
        <v>8</v>
      </c>
      <c r="J367" s="286">
        <v>20000868</v>
      </c>
      <c r="K367" s="194" t="s">
        <v>12</v>
      </c>
      <c r="L367" s="194" t="s">
        <v>15</v>
      </c>
      <c r="M367" s="296" t="s">
        <v>1277</v>
      </c>
      <c r="N367" s="193">
        <v>46173</v>
      </c>
      <c r="O367" s="193">
        <v>46173</v>
      </c>
      <c r="P367" s="251">
        <v>270011718</v>
      </c>
      <c r="Q367" s="192" t="s">
        <v>457</v>
      </c>
      <c r="R367" s="192" t="s">
        <v>259</v>
      </c>
      <c r="S367" s="194" t="s">
        <v>14</v>
      </c>
      <c r="T367" s="64" t="str">
        <f t="shared" si="21"/>
        <v>Đ</v>
      </c>
      <c r="U367" s="66">
        <f t="shared" si="22"/>
        <v>0</v>
      </c>
      <c r="V367" s="62">
        <f t="shared" si="23"/>
        <v>13311</v>
      </c>
    </row>
    <row r="368" spans="1:22" ht="21.6" hidden="1" x14ac:dyDescent="0.3">
      <c r="A368" s="192">
        <v>351</v>
      </c>
      <c r="B368" s="194" t="s">
        <v>522</v>
      </c>
      <c r="C368" s="296" t="s">
        <v>1333</v>
      </c>
      <c r="D368" s="193">
        <v>46147</v>
      </c>
      <c r="E368" s="194" t="s">
        <v>523</v>
      </c>
      <c r="F368" s="296" t="s">
        <v>719</v>
      </c>
      <c r="G368" s="194" t="s">
        <v>1288</v>
      </c>
      <c r="H368" s="286">
        <v>239601625</v>
      </c>
      <c r="I368" s="192">
        <v>8</v>
      </c>
      <c r="J368" s="286">
        <v>19168130</v>
      </c>
      <c r="K368" s="194" t="s">
        <v>12</v>
      </c>
      <c r="L368" s="194" t="s">
        <v>15</v>
      </c>
      <c r="M368" s="296" t="s">
        <v>1277</v>
      </c>
      <c r="N368" s="193">
        <v>46173</v>
      </c>
      <c r="O368" s="193">
        <v>46173</v>
      </c>
      <c r="P368" s="251">
        <v>258769755</v>
      </c>
      <c r="Q368" s="192" t="s">
        <v>457</v>
      </c>
      <c r="R368" s="192" t="s">
        <v>259</v>
      </c>
      <c r="S368" s="194" t="s">
        <v>14</v>
      </c>
      <c r="T368" s="64" t="str">
        <f t="shared" si="21"/>
        <v>Đ</v>
      </c>
      <c r="U368" s="66">
        <f t="shared" si="22"/>
        <v>0</v>
      </c>
      <c r="V368" s="62">
        <f t="shared" si="23"/>
        <v>13311</v>
      </c>
    </row>
    <row r="369" spans="1:22" ht="21.6" hidden="1" x14ac:dyDescent="0.3">
      <c r="A369" s="192">
        <v>352</v>
      </c>
      <c r="B369" s="194" t="s">
        <v>541</v>
      </c>
      <c r="C369" s="296" t="s">
        <v>713</v>
      </c>
      <c r="D369" s="193">
        <v>46147</v>
      </c>
      <c r="E369" s="194" t="s">
        <v>793</v>
      </c>
      <c r="F369" s="296" t="s">
        <v>728</v>
      </c>
      <c r="G369" s="194" t="s">
        <v>1288</v>
      </c>
      <c r="H369" s="286">
        <v>208731800</v>
      </c>
      <c r="I369" s="192">
        <v>8</v>
      </c>
      <c r="J369" s="286">
        <v>16698544</v>
      </c>
      <c r="K369" s="194" t="s">
        <v>12</v>
      </c>
      <c r="L369" s="194" t="s">
        <v>15</v>
      </c>
      <c r="M369" s="296" t="s">
        <v>1277</v>
      </c>
      <c r="N369" s="193">
        <v>46173</v>
      </c>
      <c r="O369" s="193">
        <v>46173</v>
      </c>
      <c r="P369" s="251">
        <v>225430344</v>
      </c>
      <c r="Q369" s="192" t="s">
        <v>457</v>
      </c>
      <c r="R369" s="192" t="s">
        <v>259</v>
      </c>
      <c r="S369" s="194" t="s">
        <v>14</v>
      </c>
      <c r="T369" s="64" t="str">
        <f t="shared" si="21"/>
        <v>Đ</v>
      </c>
      <c r="U369" s="66">
        <f t="shared" si="22"/>
        <v>0</v>
      </c>
      <c r="V369" s="62">
        <f t="shared" si="23"/>
        <v>13311</v>
      </c>
    </row>
    <row r="370" spans="1:22" ht="21.6" hidden="1" x14ac:dyDescent="0.3">
      <c r="A370" s="192">
        <v>353</v>
      </c>
      <c r="B370" s="194" t="s">
        <v>554</v>
      </c>
      <c r="C370" s="296" t="s">
        <v>1334</v>
      </c>
      <c r="D370" s="193">
        <v>46147</v>
      </c>
      <c r="E370" s="194" t="s">
        <v>555</v>
      </c>
      <c r="F370" s="296" t="s">
        <v>638</v>
      </c>
      <c r="G370" s="194" t="s">
        <v>1288</v>
      </c>
      <c r="H370" s="286">
        <v>9550385</v>
      </c>
      <c r="I370" s="192">
        <v>8</v>
      </c>
      <c r="J370" s="286">
        <v>764031</v>
      </c>
      <c r="K370" s="194" t="s">
        <v>12</v>
      </c>
      <c r="L370" s="194" t="s">
        <v>15</v>
      </c>
      <c r="M370" s="296" t="s">
        <v>1277</v>
      </c>
      <c r="N370" s="193">
        <v>46173</v>
      </c>
      <c r="O370" s="193">
        <v>46173</v>
      </c>
      <c r="P370" s="251">
        <v>10314416</v>
      </c>
      <c r="Q370" s="192" t="s">
        <v>457</v>
      </c>
      <c r="R370" s="192" t="s">
        <v>259</v>
      </c>
      <c r="S370" s="194" t="s">
        <v>14</v>
      </c>
      <c r="T370" s="64" t="str">
        <f t="shared" si="21"/>
        <v>Đ</v>
      </c>
      <c r="U370" s="66">
        <f t="shared" si="22"/>
        <v>0</v>
      </c>
      <c r="V370" s="62">
        <f t="shared" si="23"/>
        <v>13311</v>
      </c>
    </row>
    <row r="371" spans="1:22" ht="21.6" hidden="1" x14ac:dyDescent="0.3">
      <c r="A371" s="192">
        <v>354</v>
      </c>
      <c r="B371" s="194" t="s">
        <v>289</v>
      </c>
      <c r="C371" s="296" t="s">
        <v>1335</v>
      </c>
      <c r="D371" s="193">
        <v>46147</v>
      </c>
      <c r="E371" s="194" t="s">
        <v>805</v>
      </c>
      <c r="F371" s="296" t="s">
        <v>1336</v>
      </c>
      <c r="G371" s="194" t="s">
        <v>1288</v>
      </c>
      <c r="H371" s="286">
        <v>7622205</v>
      </c>
      <c r="I371" s="192">
        <v>8</v>
      </c>
      <c r="J371" s="286">
        <v>609776</v>
      </c>
      <c r="K371" s="194" t="s">
        <v>12</v>
      </c>
      <c r="L371" s="194" t="s">
        <v>15</v>
      </c>
      <c r="M371" s="296" t="s">
        <v>1277</v>
      </c>
      <c r="N371" s="193">
        <v>46173</v>
      </c>
      <c r="O371" s="193">
        <v>46173</v>
      </c>
      <c r="P371" s="251">
        <v>8231981</v>
      </c>
      <c r="Q371" s="192" t="s">
        <v>457</v>
      </c>
      <c r="R371" s="192" t="s">
        <v>259</v>
      </c>
      <c r="S371" s="194" t="s">
        <v>14</v>
      </c>
      <c r="T371" s="64" t="str">
        <f t="shared" si="21"/>
        <v>Đ</v>
      </c>
      <c r="U371" s="66">
        <f t="shared" si="22"/>
        <v>0</v>
      </c>
      <c r="V371" s="62">
        <f t="shared" si="23"/>
        <v>13311</v>
      </c>
    </row>
    <row r="372" spans="1:22" ht="21.6" hidden="1" x14ac:dyDescent="0.3">
      <c r="A372" s="192">
        <v>355</v>
      </c>
      <c r="B372" s="194" t="s">
        <v>289</v>
      </c>
      <c r="C372" s="296" t="s">
        <v>1337</v>
      </c>
      <c r="D372" s="193">
        <v>46147</v>
      </c>
      <c r="E372" s="194" t="s">
        <v>805</v>
      </c>
      <c r="F372" s="296" t="s">
        <v>1336</v>
      </c>
      <c r="G372" s="194" t="s">
        <v>1288</v>
      </c>
      <c r="H372" s="286">
        <v>4030023</v>
      </c>
      <c r="I372" s="192">
        <v>8</v>
      </c>
      <c r="J372" s="286">
        <v>322402</v>
      </c>
      <c r="K372" s="194" t="s">
        <v>12</v>
      </c>
      <c r="L372" s="194" t="s">
        <v>15</v>
      </c>
      <c r="M372" s="296" t="s">
        <v>1277</v>
      </c>
      <c r="N372" s="193">
        <v>46173</v>
      </c>
      <c r="O372" s="193">
        <v>46173</v>
      </c>
      <c r="P372" s="251">
        <v>4352425</v>
      </c>
      <c r="Q372" s="192" t="s">
        <v>457</v>
      </c>
      <c r="R372" s="192" t="s">
        <v>259</v>
      </c>
      <c r="S372" s="194" t="s">
        <v>14</v>
      </c>
      <c r="T372" s="64" t="str">
        <f t="shared" si="21"/>
        <v>Đ</v>
      </c>
      <c r="U372" s="66">
        <f t="shared" si="22"/>
        <v>0</v>
      </c>
      <c r="V372" s="62">
        <f t="shared" si="23"/>
        <v>13311</v>
      </c>
    </row>
    <row r="373" spans="1:22" ht="21.6" hidden="1" x14ac:dyDescent="0.3">
      <c r="A373" s="192">
        <v>356</v>
      </c>
      <c r="B373" s="194" t="s">
        <v>550</v>
      </c>
      <c r="C373" s="296" t="s">
        <v>936</v>
      </c>
      <c r="D373" s="193">
        <v>46147</v>
      </c>
      <c r="E373" s="194" t="s">
        <v>552</v>
      </c>
      <c r="F373" s="296" t="s">
        <v>683</v>
      </c>
      <c r="G373" s="194" t="s">
        <v>1288</v>
      </c>
      <c r="H373" s="286">
        <v>26832435</v>
      </c>
      <c r="I373" s="192">
        <v>8</v>
      </c>
      <c r="J373" s="286">
        <v>2146595</v>
      </c>
      <c r="K373" s="194" t="s">
        <v>12</v>
      </c>
      <c r="L373" s="194" t="s">
        <v>15</v>
      </c>
      <c r="M373" s="296" t="s">
        <v>1277</v>
      </c>
      <c r="N373" s="193">
        <v>46173</v>
      </c>
      <c r="O373" s="193">
        <v>46173</v>
      </c>
      <c r="P373" s="251">
        <v>28979030</v>
      </c>
      <c r="Q373" s="192" t="s">
        <v>457</v>
      </c>
      <c r="R373" s="192" t="s">
        <v>259</v>
      </c>
      <c r="S373" s="194" t="s">
        <v>14</v>
      </c>
      <c r="T373" s="64" t="str">
        <f t="shared" si="21"/>
        <v>Đ</v>
      </c>
      <c r="U373" s="66">
        <f t="shared" si="22"/>
        <v>0</v>
      </c>
      <c r="V373" s="62">
        <f t="shared" si="23"/>
        <v>13311</v>
      </c>
    </row>
    <row r="374" spans="1:22" ht="21.6" hidden="1" x14ac:dyDescent="0.3">
      <c r="A374" s="192">
        <v>357</v>
      </c>
      <c r="B374" s="194" t="s">
        <v>550</v>
      </c>
      <c r="C374" s="296" t="s">
        <v>615</v>
      </c>
      <c r="D374" s="193">
        <v>46147</v>
      </c>
      <c r="E374" s="194" t="s">
        <v>558</v>
      </c>
      <c r="F374" s="296" t="s">
        <v>549</v>
      </c>
      <c r="G374" s="194" t="s">
        <v>1288</v>
      </c>
      <c r="H374" s="286">
        <v>4066860</v>
      </c>
      <c r="I374" s="192">
        <v>8</v>
      </c>
      <c r="J374" s="286">
        <v>325349</v>
      </c>
      <c r="K374" s="194" t="s">
        <v>12</v>
      </c>
      <c r="L374" s="194" t="s">
        <v>15</v>
      </c>
      <c r="M374" s="296" t="s">
        <v>1277</v>
      </c>
      <c r="N374" s="193">
        <v>46173</v>
      </c>
      <c r="O374" s="193">
        <v>46173</v>
      </c>
      <c r="P374" s="251">
        <v>4392209</v>
      </c>
      <c r="Q374" s="192" t="s">
        <v>457</v>
      </c>
      <c r="R374" s="192" t="s">
        <v>259</v>
      </c>
      <c r="S374" s="194" t="s">
        <v>14</v>
      </c>
      <c r="T374" s="64" t="str">
        <f t="shared" si="21"/>
        <v>Đ</v>
      </c>
      <c r="U374" s="66">
        <f t="shared" si="22"/>
        <v>0</v>
      </c>
      <c r="V374" s="62">
        <f t="shared" si="23"/>
        <v>13311</v>
      </c>
    </row>
    <row r="375" spans="1:22" ht="21.6" hidden="1" x14ac:dyDescent="0.3">
      <c r="A375" s="192">
        <v>358</v>
      </c>
      <c r="B375" s="194" t="s">
        <v>550</v>
      </c>
      <c r="C375" s="296" t="s">
        <v>938</v>
      </c>
      <c r="D375" s="193">
        <v>46147</v>
      </c>
      <c r="E375" s="194" t="s">
        <v>552</v>
      </c>
      <c r="F375" s="296" t="s">
        <v>683</v>
      </c>
      <c r="G375" s="194" t="s">
        <v>1288</v>
      </c>
      <c r="H375" s="286">
        <v>145419715</v>
      </c>
      <c r="I375" s="192">
        <v>8</v>
      </c>
      <c r="J375" s="286">
        <v>11633577</v>
      </c>
      <c r="K375" s="194" t="s">
        <v>12</v>
      </c>
      <c r="L375" s="194" t="s">
        <v>15</v>
      </c>
      <c r="M375" s="296" t="s">
        <v>1277</v>
      </c>
      <c r="N375" s="193">
        <v>46173</v>
      </c>
      <c r="O375" s="193">
        <v>46173</v>
      </c>
      <c r="P375" s="251">
        <v>157053292</v>
      </c>
      <c r="Q375" s="192" t="s">
        <v>457</v>
      </c>
      <c r="R375" s="192" t="s">
        <v>259</v>
      </c>
      <c r="S375" s="194" t="s">
        <v>14</v>
      </c>
      <c r="T375" s="64" t="str">
        <f t="shared" si="21"/>
        <v>Đ</v>
      </c>
      <c r="U375" s="66">
        <f t="shared" si="22"/>
        <v>0</v>
      </c>
      <c r="V375" s="62">
        <f t="shared" si="23"/>
        <v>13311</v>
      </c>
    </row>
    <row r="376" spans="1:22" ht="21.6" hidden="1" x14ac:dyDescent="0.3">
      <c r="A376" s="192">
        <v>359</v>
      </c>
      <c r="B376" s="194" t="s">
        <v>291</v>
      </c>
      <c r="C376" s="296" t="s">
        <v>452</v>
      </c>
      <c r="D376" s="193">
        <v>46147</v>
      </c>
      <c r="E376" s="194" t="s">
        <v>1286</v>
      </c>
      <c r="F376" s="296" t="s">
        <v>1287</v>
      </c>
      <c r="G376" s="194" t="s">
        <v>1288</v>
      </c>
      <c r="H376" s="286">
        <v>15265460</v>
      </c>
      <c r="I376" s="192">
        <v>8</v>
      </c>
      <c r="J376" s="286">
        <v>1221237</v>
      </c>
      <c r="K376" s="194" t="s">
        <v>12</v>
      </c>
      <c r="L376" s="194" t="s">
        <v>15</v>
      </c>
      <c r="M376" s="296" t="s">
        <v>1277</v>
      </c>
      <c r="N376" s="193">
        <v>46173</v>
      </c>
      <c r="O376" s="193">
        <v>46173</v>
      </c>
      <c r="P376" s="251">
        <v>16486697</v>
      </c>
      <c r="Q376" s="192" t="s">
        <v>457</v>
      </c>
      <c r="R376" s="192" t="s">
        <v>259</v>
      </c>
      <c r="S376" s="194" t="s">
        <v>14</v>
      </c>
      <c r="T376" s="64" t="str">
        <f t="shared" si="21"/>
        <v>Đ</v>
      </c>
      <c r="U376" s="66">
        <f t="shared" si="22"/>
        <v>0</v>
      </c>
      <c r="V376" s="62">
        <f t="shared" si="23"/>
        <v>13311</v>
      </c>
    </row>
    <row r="377" spans="1:22" ht="21.6" hidden="1" x14ac:dyDescent="0.3">
      <c r="A377" s="192">
        <v>360</v>
      </c>
      <c r="B377" s="194" t="s">
        <v>577</v>
      </c>
      <c r="C377" s="296" t="s">
        <v>452</v>
      </c>
      <c r="D377" s="193">
        <v>46147</v>
      </c>
      <c r="E377" s="194" t="s">
        <v>600</v>
      </c>
      <c r="F377" s="296" t="s">
        <v>1339</v>
      </c>
      <c r="G377" s="194" t="s">
        <v>1288</v>
      </c>
      <c r="H377" s="286">
        <v>236193630</v>
      </c>
      <c r="I377" s="192">
        <v>8</v>
      </c>
      <c r="J377" s="286">
        <v>18895490</v>
      </c>
      <c r="K377" s="194" t="s">
        <v>12</v>
      </c>
      <c r="L377" s="194" t="s">
        <v>15</v>
      </c>
      <c r="M377" s="296" t="s">
        <v>1277</v>
      </c>
      <c r="N377" s="193">
        <v>46173</v>
      </c>
      <c r="O377" s="193">
        <v>46173</v>
      </c>
      <c r="P377" s="251">
        <v>255089120</v>
      </c>
      <c r="Q377" s="192" t="s">
        <v>457</v>
      </c>
      <c r="R377" s="192" t="s">
        <v>259</v>
      </c>
      <c r="S377" s="194" t="s">
        <v>14</v>
      </c>
      <c r="T377" s="64" t="str">
        <f t="shared" si="21"/>
        <v>Đ</v>
      </c>
      <c r="U377" s="66">
        <f t="shared" si="22"/>
        <v>0</v>
      </c>
      <c r="V377" s="62">
        <f t="shared" si="23"/>
        <v>13311</v>
      </c>
    </row>
    <row r="378" spans="1:22" ht="21.6" hidden="1" x14ac:dyDescent="0.3">
      <c r="A378" s="192">
        <v>361</v>
      </c>
      <c r="B378" s="194" t="s">
        <v>652</v>
      </c>
      <c r="C378" s="296" t="s">
        <v>452</v>
      </c>
      <c r="D378" s="193">
        <v>46147</v>
      </c>
      <c r="E378" s="194" t="s">
        <v>763</v>
      </c>
      <c r="F378" s="296" t="s">
        <v>609</v>
      </c>
      <c r="G378" s="194" t="s">
        <v>1288</v>
      </c>
      <c r="H378" s="286">
        <v>243102240</v>
      </c>
      <c r="I378" s="192">
        <v>8</v>
      </c>
      <c r="J378" s="286">
        <v>19448179</v>
      </c>
      <c r="K378" s="194" t="s">
        <v>12</v>
      </c>
      <c r="L378" s="194" t="s">
        <v>15</v>
      </c>
      <c r="M378" s="296" t="s">
        <v>1277</v>
      </c>
      <c r="N378" s="193">
        <v>46173</v>
      </c>
      <c r="O378" s="193">
        <v>46173</v>
      </c>
      <c r="P378" s="251">
        <v>262550419</v>
      </c>
      <c r="Q378" s="192" t="s">
        <v>457</v>
      </c>
      <c r="R378" s="192" t="s">
        <v>259</v>
      </c>
      <c r="S378" s="194" t="s">
        <v>14</v>
      </c>
      <c r="T378" s="64" t="str">
        <f t="shared" si="21"/>
        <v>Đ</v>
      </c>
      <c r="U378" s="66">
        <f t="shared" si="22"/>
        <v>0</v>
      </c>
      <c r="V378" s="62">
        <f t="shared" si="23"/>
        <v>13311</v>
      </c>
    </row>
    <row r="379" spans="1:22" ht="21.6" hidden="1" x14ac:dyDescent="0.3">
      <c r="A379" s="192">
        <v>362</v>
      </c>
      <c r="B379" s="194" t="s">
        <v>566</v>
      </c>
      <c r="C379" s="296" t="s">
        <v>452</v>
      </c>
      <c r="D379" s="193">
        <v>46147</v>
      </c>
      <c r="E379" s="194" t="s">
        <v>567</v>
      </c>
      <c r="F379" s="296" t="s">
        <v>613</v>
      </c>
      <c r="G379" s="194" t="s">
        <v>1288</v>
      </c>
      <c r="H379" s="286">
        <v>131522505</v>
      </c>
      <c r="I379" s="192">
        <v>8</v>
      </c>
      <c r="J379" s="286">
        <v>10521800</v>
      </c>
      <c r="K379" s="194" t="s">
        <v>12</v>
      </c>
      <c r="L379" s="194" t="s">
        <v>15</v>
      </c>
      <c r="M379" s="296" t="s">
        <v>1277</v>
      </c>
      <c r="N379" s="193">
        <v>46173</v>
      </c>
      <c r="O379" s="193">
        <v>46173</v>
      </c>
      <c r="P379" s="251">
        <v>142044305</v>
      </c>
      <c r="Q379" s="192" t="s">
        <v>457</v>
      </c>
      <c r="R379" s="192" t="s">
        <v>259</v>
      </c>
      <c r="S379" s="194" t="s">
        <v>14</v>
      </c>
      <c r="T379" s="64" t="str">
        <f t="shared" si="21"/>
        <v>Đ</v>
      </c>
      <c r="U379" s="66">
        <f t="shared" si="22"/>
        <v>0</v>
      </c>
      <c r="V379" s="62">
        <f t="shared" si="23"/>
        <v>13311</v>
      </c>
    </row>
    <row r="380" spans="1:22" ht="21.6" hidden="1" x14ac:dyDescent="0.3">
      <c r="A380" s="192">
        <v>363</v>
      </c>
      <c r="B380" s="194" t="s">
        <v>590</v>
      </c>
      <c r="C380" s="296" t="s">
        <v>452</v>
      </c>
      <c r="D380" s="193">
        <v>46147</v>
      </c>
      <c r="E380" s="194" t="s">
        <v>591</v>
      </c>
      <c r="F380" s="296" t="s">
        <v>1338</v>
      </c>
      <c r="G380" s="194" t="s">
        <v>1288</v>
      </c>
      <c r="H380" s="286">
        <v>231518425</v>
      </c>
      <c r="I380" s="192">
        <v>8</v>
      </c>
      <c r="J380" s="286">
        <v>18521474</v>
      </c>
      <c r="K380" s="194" t="s">
        <v>12</v>
      </c>
      <c r="L380" s="194" t="s">
        <v>15</v>
      </c>
      <c r="M380" s="296" t="s">
        <v>1277</v>
      </c>
      <c r="N380" s="193">
        <v>46173</v>
      </c>
      <c r="O380" s="193">
        <v>46173</v>
      </c>
      <c r="P380" s="251">
        <v>250039899</v>
      </c>
      <c r="Q380" s="192" t="s">
        <v>457</v>
      </c>
      <c r="R380" s="192" t="s">
        <v>259</v>
      </c>
      <c r="S380" s="194" t="s">
        <v>14</v>
      </c>
      <c r="T380" s="64" t="str">
        <f t="shared" si="21"/>
        <v>Đ</v>
      </c>
      <c r="U380" s="66">
        <f t="shared" si="22"/>
        <v>0</v>
      </c>
      <c r="V380" s="62">
        <f t="shared" si="23"/>
        <v>13311</v>
      </c>
    </row>
    <row r="381" spans="1:22" ht="21.6" hidden="1" x14ac:dyDescent="0.3">
      <c r="A381" s="192">
        <v>364</v>
      </c>
      <c r="B381" s="194" t="s">
        <v>577</v>
      </c>
      <c r="C381" s="296" t="s">
        <v>452</v>
      </c>
      <c r="D381" s="193">
        <v>46147</v>
      </c>
      <c r="E381" s="194" t="s">
        <v>578</v>
      </c>
      <c r="F381" s="296" t="s">
        <v>1348</v>
      </c>
      <c r="G381" s="194" t="s">
        <v>1288</v>
      </c>
      <c r="H381" s="286">
        <v>298211140</v>
      </c>
      <c r="I381" s="192">
        <v>8</v>
      </c>
      <c r="J381" s="286">
        <v>23856891</v>
      </c>
      <c r="K381" s="194" t="s">
        <v>12</v>
      </c>
      <c r="L381" s="194" t="s">
        <v>15</v>
      </c>
      <c r="M381" s="296" t="s">
        <v>1277</v>
      </c>
      <c r="N381" s="193">
        <v>46173</v>
      </c>
      <c r="O381" s="193">
        <v>46173</v>
      </c>
      <c r="P381" s="251">
        <v>322068031</v>
      </c>
      <c r="Q381" s="192" t="s">
        <v>457</v>
      </c>
      <c r="R381" s="192" t="s">
        <v>259</v>
      </c>
      <c r="S381" s="194" t="s">
        <v>14</v>
      </c>
      <c r="T381" s="64" t="str">
        <f t="shared" si="21"/>
        <v>Đ</v>
      </c>
      <c r="U381" s="66">
        <f t="shared" si="22"/>
        <v>0</v>
      </c>
      <c r="V381" s="62">
        <f t="shared" si="23"/>
        <v>13311</v>
      </c>
    </row>
    <row r="382" spans="1:22" ht="21.6" hidden="1" x14ac:dyDescent="0.3">
      <c r="A382" s="192">
        <v>365</v>
      </c>
      <c r="B382" s="194" t="s">
        <v>585</v>
      </c>
      <c r="C382" s="296" t="s">
        <v>452</v>
      </c>
      <c r="D382" s="193">
        <v>46147</v>
      </c>
      <c r="E382" s="194" t="s">
        <v>586</v>
      </c>
      <c r="F382" s="296" t="s">
        <v>1347</v>
      </c>
      <c r="G382" s="194" t="s">
        <v>1288</v>
      </c>
      <c r="H382" s="286">
        <v>311798915</v>
      </c>
      <c r="I382" s="192">
        <v>8</v>
      </c>
      <c r="J382" s="286">
        <v>24943913</v>
      </c>
      <c r="K382" s="194" t="s">
        <v>12</v>
      </c>
      <c r="L382" s="194" t="s">
        <v>15</v>
      </c>
      <c r="M382" s="296" t="s">
        <v>1277</v>
      </c>
      <c r="N382" s="193">
        <v>46173</v>
      </c>
      <c r="O382" s="193">
        <v>46173</v>
      </c>
      <c r="P382" s="251">
        <v>336742828</v>
      </c>
      <c r="Q382" s="192" t="s">
        <v>457</v>
      </c>
      <c r="R382" s="192" t="s">
        <v>259</v>
      </c>
      <c r="S382" s="194" t="s">
        <v>14</v>
      </c>
      <c r="T382" s="64" t="str">
        <f t="shared" si="21"/>
        <v>Đ</v>
      </c>
      <c r="U382" s="66">
        <f t="shared" si="22"/>
        <v>0</v>
      </c>
      <c r="V382" s="62">
        <f t="shared" si="23"/>
        <v>13311</v>
      </c>
    </row>
    <row r="383" spans="1:22" ht="21.6" hidden="1" x14ac:dyDescent="0.3">
      <c r="A383" s="192">
        <v>366</v>
      </c>
      <c r="B383" s="194" t="s">
        <v>569</v>
      </c>
      <c r="C383" s="296" t="s">
        <v>452</v>
      </c>
      <c r="D383" s="193">
        <v>46147</v>
      </c>
      <c r="E383" s="194" t="s">
        <v>581</v>
      </c>
      <c r="F383" s="296" t="s">
        <v>1346</v>
      </c>
      <c r="G383" s="194" t="s">
        <v>1288</v>
      </c>
      <c r="H383" s="286">
        <v>253505150</v>
      </c>
      <c r="I383" s="192">
        <v>8</v>
      </c>
      <c r="J383" s="286">
        <v>20280412</v>
      </c>
      <c r="K383" s="194" t="s">
        <v>12</v>
      </c>
      <c r="L383" s="194" t="s">
        <v>15</v>
      </c>
      <c r="M383" s="296" t="s">
        <v>1277</v>
      </c>
      <c r="N383" s="193">
        <v>46173</v>
      </c>
      <c r="O383" s="193">
        <v>46173</v>
      </c>
      <c r="P383" s="251">
        <v>273785562</v>
      </c>
      <c r="Q383" s="192" t="s">
        <v>457</v>
      </c>
      <c r="R383" s="192" t="s">
        <v>259</v>
      </c>
      <c r="S383" s="194" t="s">
        <v>14</v>
      </c>
      <c r="T383" s="64" t="str">
        <f t="shared" si="21"/>
        <v>Đ</v>
      </c>
      <c r="U383" s="66">
        <f t="shared" si="22"/>
        <v>0</v>
      </c>
      <c r="V383" s="62">
        <f t="shared" si="23"/>
        <v>13311</v>
      </c>
    </row>
    <row r="384" spans="1:22" ht="21.6" hidden="1" x14ac:dyDescent="0.3">
      <c r="A384" s="192">
        <v>367</v>
      </c>
      <c r="B384" s="194" t="s">
        <v>569</v>
      </c>
      <c r="C384" s="296" t="s">
        <v>452</v>
      </c>
      <c r="D384" s="193">
        <v>46147</v>
      </c>
      <c r="E384" s="194" t="s">
        <v>570</v>
      </c>
      <c r="F384" s="296" t="s">
        <v>1345</v>
      </c>
      <c r="G384" s="194" t="s">
        <v>1288</v>
      </c>
      <c r="H384" s="286">
        <v>247000700</v>
      </c>
      <c r="I384" s="192">
        <v>8</v>
      </c>
      <c r="J384" s="286">
        <v>19760056</v>
      </c>
      <c r="K384" s="194" t="s">
        <v>12</v>
      </c>
      <c r="L384" s="194" t="s">
        <v>15</v>
      </c>
      <c r="M384" s="296" t="s">
        <v>1277</v>
      </c>
      <c r="N384" s="193">
        <v>46173</v>
      </c>
      <c r="O384" s="193">
        <v>46173</v>
      </c>
      <c r="P384" s="251">
        <v>266760756</v>
      </c>
      <c r="Q384" s="192" t="s">
        <v>457</v>
      </c>
      <c r="R384" s="192" t="s">
        <v>259</v>
      </c>
      <c r="S384" s="194" t="s">
        <v>14</v>
      </c>
      <c r="T384" s="64" t="str">
        <f t="shared" si="21"/>
        <v>Đ</v>
      </c>
      <c r="U384" s="66">
        <f t="shared" si="22"/>
        <v>0</v>
      </c>
      <c r="V384" s="62">
        <f t="shared" si="23"/>
        <v>13311</v>
      </c>
    </row>
    <row r="385" spans="1:22" ht="21.6" hidden="1" x14ac:dyDescent="0.3">
      <c r="A385" s="192">
        <v>368</v>
      </c>
      <c r="B385" s="194" t="s">
        <v>605</v>
      </c>
      <c r="C385" s="296" t="s">
        <v>452</v>
      </c>
      <c r="D385" s="193">
        <v>46147</v>
      </c>
      <c r="E385" s="194" t="s">
        <v>606</v>
      </c>
      <c r="F385" s="296" t="s">
        <v>1344</v>
      </c>
      <c r="G385" s="194" t="s">
        <v>1288</v>
      </c>
      <c r="H385" s="286">
        <v>225689680</v>
      </c>
      <c r="I385" s="192">
        <v>8</v>
      </c>
      <c r="J385" s="286">
        <v>18055174</v>
      </c>
      <c r="K385" s="194" t="s">
        <v>12</v>
      </c>
      <c r="L385" s="194" t="s">
        <v>15</v>
      </c>
      <c r="M385" s="296" t="s">
        <v>1277</v>
      </c>
      <c r="N385" s="193">
        <v>46173</v>
      </c>
      <c r="O385" s="193">
        <v>46173</v>
      </c>
      <c r="P385" s="251">
        <v>243744854</v>
      </c>
      <c r="Q385" s="192" t="s">
        <v>457</v>
      </c>
      <c r="R385" s="192" t="s">
        <v>259</v>
      </c>
      <c r="S385" s="194" t="s">
        <v>14</v>
      </c>
      <c r="T385" s="64" t="str">
        <f t="shared" si="21"/>
        <v>Đ</v>
      </c>
      <c r="U385" s="66">
        <f t="shared" si="22"/>
        <v>0</v>
      </c>
      <c r="V385" s="62">
        <f t="shared" si="23"/>
        <v>13311</v>
      </c>
    </row>
    <row r="386" spans="1:22" ht="21.6" hidden="1" x14ac:dyDescent="0.3">
      <c r="A386" s="192">
        <v>369</v>
      </c>
      <c r="B386" s="194" t="s">
        <v>593</v>
      </c>
      <c r="C386" s="296" t="s">
        <v>452</v>
      </c>
      <c r="D386" s="193">
        <v>46147</v>
      </c>
      <c r="E386" s="194" t="s">
        <v>594</v>
      </c>
      <c r="F386" s="296" t="s">
        <v>1343</v>
      </c>
      <c r="G386" s="194" t="s">
        <v>1288</v>
      </c>
      <c r="H386" s="286">
        <v>237688180</v>
      </c>
      <c r="I386" s="192">
        <v>8</v>
      </c>
      <c r="J386" s="286">
        <v>19015054</v>
      </c>
      <c r="K386" s="194" t="s">
        <v>12</v>
      </c>
      <c r="L386" s="194" t="s">
        <v>15</v>
      </c>
      <c r="M386" s="296" t="s">
        <v>1277</v>
      </c>
      <c r="N386" s="193">
        <v>46173</v>
      </c>
      <c r="O386" s="193">
        <v>46173</v>
      </c>
      <c r="P386" s="251">
        <v>256703234</v>
      </c>
      <c r="Q386" s="192" t="s">
        <v>457</v>
      </c>
      <c r="R386" s="192" t="s">
        <v>259</v>
      </c>
      <c r="S386" s="194" t="s">
        <v>14</v>
      </c>
      <c r="T386" s="64" t="str">
        <f t="shared" si="21"/>
        <v>Đ</v>
      </c>
      <c r="U386" s="66">
        <f t="shared" si="22"/>
        <v>0</v>
      </c>
      <c r="V386" s="62">
        <f t="shared" si="23"/>
        <v>13311</v>
      </c>
    </row>
    <row r="387" spans="1:22" ht="21.6" hidden="1" x14ac:dyDescent="0.3">
      <c r="A387" s="192">
        <v>370</v>
      </c>
      <c r="B387" s="194" t="s">
        <v>571</v>
      </c>
      <c r="C387" s="296" t="s">
        <v>452</v>
      </c>
      <c r="D387" s="193">
        <v>46147</v>
      </c>
      <c r="E387" s="194" t="s">
        <v>572</v>
      </c>
      <c r="F387" s="296" t="s">
        <v>678</v>
      </c>
      <c r="G387" s="194" t="s">
        <v>1288</v>
      </c>
      <c r="H387" s="286">
        <v>5552990</v>
      </c>
      <c r="I387" s="192">
        <v>8</v>
      </c>
      <c r="J387" s="286">
        <v>444239</v>
      </c>
      <c r="K387" s="194" t="s">
        <v>12</v>
      </c>
      <c r="L387" s="194" t="s">
        <v>15</v>
      </c>
      <c r="M387" s="296" t="s">
        <v>1277</v>
      </c>
      <c r="N387" s="193">
        <v>46173</v>
      </c>
      <c r="O387" s="193">
        <v>46173</v>
      </c>
      <c r="P387" s="251">
        <v>5997229</v>
      </c>
      <c r="Q387" s="192" t="s">
        <v>457</v>
      </c>
      <c r="R387" s="192" t="s">
        <v>259</v>
      </c>
      <c r="S387" s="194" t="s">
        <v>14</v>
      </c>
      <c r="T387" s="64" t="str">
        <f t="shared" si="21"/>
        <v>Đ</v>
      </c>
      <c r="U387" s="66">
        <f t="shared" si="22"/>
        <v>0</v>
      </c>
      <c r="V387" s="62">
        <f t="shared" si="23"/>
        <v>13311</v>
      </c>
    </row>
    <row r="388" spans="1:22" ht="21.6" hidden="1" x14ac:dyDescent="0.3">
      <c r="A388" s="192">
        <v>371</v>
      </c>
      <c r="B388" s="194" t="s">
        <v>574</v>
      </c>
      <c r="C388" s="296" t="s">
        <v>452</v>
      </c>
      <c r="D388" s="193">
        <v>46147</v>
      </c>
      <c r="E388" s="194" t="s">
        <v>575</v>
      </c>
      <c r="F388" s="296" t="s">
        <v>1342</v>
      </c>
      <c r="G388" s="194" t="s">
        <v>1288</v>
      </c>
      <c r="H388" s="286">
        <v>215181520</v>
      </c>
      <c r="I388" s="192">
        <v>8</v>
      </c>
      <c r="J388" s="286">
        <v>17214522</v>
      </c>
      <c r="K388" s="194" t="s">
        <v>12</v>
      </c>
      <c r="L388" s="194" t="s">
        <v>15</v>
      </c>
      <c r="M388" s="296" t="s">
        <v>1277</v>
      </c>
      <c r="N388" s="193">
        <v>46173</v>
      </c>
      <c r="O388" s="193">
        <v>46173</v>
      </c>
      <c r="P388" s="251">
        <v>232396042</v>
      </c>
      <c r="Q388" s="192" t="s">
        <v>457</v>
      </c>
      <c r="R388" s="192" t="s">
        <v>259</v>
      </c>
      <c r="S388" s="194" t="s">
        <v>14</v>
      </c>
      <c r="T388" s="64" t="str">
        <f t="shared" si="21"/>
        <v>Đ</v>
      </c>
      <c r="U388" s="66">
        <f t="shared" si="22"/>
        <v>0</v>
      </c>
      <c r="V388" s="62">
        <f t="shared" si="23"/>
        <v>13311</v>
      </c>
    </row>
    <row r="389" spans="1:22" ht="21.6" hidden="1" x14ac:dyDescent="0.3">
      <c r="A389" s="192">
        <v>372</v>
      </c>
      <c r="B389" s="194" t="s">
        <v>292</v>
      </c>
      <c r="C389" s="296" t="s">
        <v>452</v>
      </c>
      <c r="D389" s="193">
        <v>46147</v>
      </c>
      <c r="E389" s="194" t="s">
        <v>588</v>
      </c>
      <c r="F389" s="296" t="s">
        <v>1341</v>
      </c>
      <c r="G389" s="194" t="s">
        <v>1288</v>
      </c>
      <c r="H389" s="286">
        <v>228306195</v>
      </c>
      <c r="I389" s="192">
        <v>8</v>
      </c>
      <c r="J389" s="286">
        <v>18264496</v>
      </c>
      <c r="K389" s="194" t="s">
        <v>12</v>
      </c>
      <c r="L389" s="194" t="s">
        <v>15</v>
      </c>
      <c r="M389" s="296" t="s">
        <v>1277</v>
      </c>
      <c r="N389" s="193">
        <v>46173</v>
      </c>
      <c r="O389" s="193">
        <v>46173</v>
      </c>
      <c r="P389" s="251">
        <v>246570691</v>
      </c>
      <c r="Q389" s="192" t="s">
        <v>457</v>
      </c>
      <c r="R389" s="192" t="s">
        <v>259</v>
      </c>
      <c r="S389" s="194" t="s">
        <v>14</v>
      </c>
      <c r="T389" s="64" t="str">
        <f t="shared" si="21"/>
        <v>Đ</v>
      </c>
      <c r="U389" s="66">
        <f t="shared" si="22"/>
        <v>0</v>
      </c>
      <c r="V389" s="62">
        <f t="shared" si="23"/>
        <v>13311</v>
      </c>
    </row>
    <row r="390" spans="1:22" ht="21.6" hidden="1" x14ac:dyDescent="0.3">
      <c r="A390" s="192">
        <v>373</v>
      </c>
      <c r="B390" s="194" t="s">
        <v>595</v>
      </c>
      <c r="C390" s="296" t="s">
        <v>452</v>
      </c>
      <c r="D390" s="193">
        <v>46147</v>
      </c>
      <c r="E390" s="194" t="s">
        <v>596</v>
      </c>
      <c r="F390" s="296" t="s">
        <v>557</v>
      </c>
      <c r="G390" s="194" t="s">
        <v>1288</v>
      </c>
      <c r="H390" s="286">
        <v>198680425</v>
      </c>
      <c r="I390" s="192">
        <v>8</v>
      </c>
      <c r="J390" s="286">
        <v>15894434</v>
      </c>
      <c r="K390" s="194" t="s">
        <v>12</v>
      </c>
      <c r="L390" s="194" t="s">
        <v>15</v>
      </c>
      <c r="M390" s="296" t="s">
        <v>1277</v>
      </c>
      <c r="N390" s="193">
        <v>46173</v>
      </c>
      <c r="O390" s="193">
        <v>46173</v>
      </c>
      <c r="P390" s="251">
        <v>214574859</v>
      </c>
      <c r="Q390" s="192" t="s">
        <v>457</v>
      </c>
      <c r="R390" s="192" t="s">
        <v>259</v>
      </c>
      <c r="S390" s="194" t="s">
        <v>14</v>
      </c>
      <c r="T390" s="64" t="str">
        <f t="shared" si="21"/>
        <v>Đ</v>
      </c>
      <c r="U390" s="66">
        <f t="shared" si="22"/>
        <v>0</v>
      </c>
      <c r="V390" s="62">
        <f t="shared" si="23"/>
        <v>13311</v>
      </c>
    </row>
    <row r="391" spans="1:22" ht="21.6" hidden="1" x14ac:dyDescent="0.3">
      <c r="A391" s="192">
        <v>374</v>
      </c>
      <c r="B391" s="194" t="s">
        <v>442</v>
      </c>
      <c r="C391" s="296" t="s">
        <v>452</v>
      </c>
      <c r="D391" s="193">
        <v>46147</v>
      </c>
      <c r="E391" s="194" t="s">
        <v>604</v>
      </c>
      <c r="F391" s="296" t="s">
        <v>1340</v>
      </c>
      <c r="G391" s="194" t="s">
        <v>1288</v>
      </c>
      <c r="H391" s="286">
        <v>239349025</v>
      </c>
      <c r="I391" s="192">
        <v>8</v>
      </c>
      <c r="J391" s="286">
        <v>19147922</v>
      </c>
      <c r="K391" s="194" t="s">
        <v>12</v>
      </c>
      <c r="L391" s="194" t="s">
        <v>15</v>
      </c>
      <c r="M391" s="296" t="s">
        <v>1277</v>
      </c>
      <c r="N391" s="193">
        <v>46173</v>
      </c>
      <c r="O391" s="193">
        <v>46173</v>
      </c>
      <c r="P391" s="251">
        <v>258496947</v>
      </c>
      <c r="Q391" s="192" t="s">
        <v>457</v>
      </c>
      <c r="R391" s="192" t="s">
        <v>259</v>
      </c>
      <c r="S391" s="194" t="s">
        <v>14</v>
      </c>
      <c r="T391" s="64" t="str">
        <f t="shared" si="21"/>
        <v>Đ</v>
      </c>
      <c r="U391" s="66">
        <f t="shared" si="22"/>
        <v>0</v>
      </c>
      <c r="V391" s="62">
        <f t="shared" si="23"/>
        <v>13311</v>
      </c>
    </row>
    <row r="392" spans="1:22" ht="21.6" hidden="1" x14ac:dyDescent="0.3">
      <c r="A392" s="192">
        <v>375</v>
      </c>
      <c r="B392" s="194">
        <v>0</v>
      </c>
      <c r="C392" s="296" t="s">
        <v>1349</v>
      </c>
      <c r="D392" s="193">
        <v>46147</v>
      </c>
      <c r="E392" s="194" t="s">
        <v>562</v>
      </c>
      <c r="F392" s="296" t="s">
        <v>1350</v>
      </c>
      <c r="G392" s="194" t="s">
        <v>1288</v>
      </c>
      <c r="H392" s="286">
        <v>6201330</v>
      </c>
      <c r="I392" s="192">
        <v>8</v>
      </c>
      <c r="J392" s="286">
        <v>496106</v>
      </c>
      <c r="K392" s="194" t="s">
        <v>12</v>
      </c>
      <c r="L392" s="194" t="s">
        <v>15</v>
      </c>
      <c r="M392" s="296" t="s">
        <v>1277</v>
      </c>
      <c r="N392" s="193">
        <v>46173</v>
      </c>
      <c r="O392" s="193">
        <v>46173</v>
      </c>
      <c r="P392" s="251">
        <v>6697436</v>
      </c>
      <c r="Q392" s="192" t="s">
        <v>457</v>
      </c>
      <c r="R392" s="192" t="s">
        <v>259</v>
      </c>
      <c r="S392" s="194" t="s">
        <v>14</v>
      </c>
      <c r="T392" s="64" t="str">
        <f t="shared" si="21"/>
        <v>Đ</v>
      </c>
      <c r="U392" s="66">
        <f t="shared" si="22"/>
        <v>0</v>
      </c>
      <c r="V392" s="62">
        <f t="shared" si="23"/>
        <v>13311</v>
      </c>
    </row>
    <row r="393" spans="1:22" ht="21.6" hidden="1" x14ac:dyDescent="0.3">
      <c r="A393" s="192">
        <v>376</v>
      </c>
      <c r="B393" s="194" t="s">
        <v>614</v>
      </c>
      <c r="C393" s="296" t="s">
        <v>1351</v>
      </c>
      <c r="D393" s="193">
        <v>46147</v>
      </c>
      <c r="E393" s="194" t="s">
        <v>616</v>
      </c>
      <c r="F393" s="296" t="s">
        <v>587</v>
      </c>
      <c r="G393" s="194" t="s">
        <v>1288</v>
      </c>
      <c r="H393" s="286">
        <v>39009860</v>
      </c>
      <c r="I393" s="192">
        <v>8</v>
      </c>
      <c r="J393" s="286">
        <v>3120789</v>
      </c>
      <c r="K393" s="194" t="s">
        <v>12</v>
      </c>
      <c r="L393" s="194" t="s">
        <v>15</v>
      </c>
      <c r="M393" s="296" t="s">
        <v>1277</v>
      </c>
      <c r="N393" s="193">
        <v>46173</v>
      </c>
      <c r="O393" s="193">
        <v>46173</v>
      </c>
      <c r="P393" s="251">
        <v>42130649</v>
      </c>
      <c r="Q393" s="192" t="s">
        <v>457</v>
      </c>
      <c r="R393" s="192" t="s">
        <v>259</v>
      </c>
      <c r="S393" s="194" t="s">
        <v>14</v>
      </c>
      <c r="T393" s="64" t="str">
        <f t="shared" si="21"/>
        <v>Đ</v>
      </c>
      <c r="U393" s="66">
        <f t="shared" si="22"/>
        <v>0</v>
      </c>
      <c r="V393" s="62">
        <f t="shared" si="23"/>
        <v>13311</v>
      </c>
    </row>
    <row r="394" spans="1:22" ht="21.6" hidden="1" x14ac:dyDescent="0.3">
      <c r="A394" s="192">
        <v>377</v>
      </c>
      <c r="B394" s="194" t="s">
        <v>610</v>
      </c>
      <c r="C394" s="296" t="s">
        <v>634</v>
      </c>
      <c r="D394" s="193">
        <v>46147</v>
      </c>
      <c r="E394" s="194" t="s">
        <v>612</v>
      </c>
      <c r="F394" s="296" t="s">
        <v>640</v>
      </c>
      <c r="G394" s="194" t="s">
        <v>1288</v>
      </c>
      <c r="H394" s="286">
        <v>69370275</v>
      </c>
      <c r="I394" s="192">
        <v>8</v>
      </c>
      <c r="J394" s="286">
        <v>5549622</v>
      </c>
      <c r="K394" s="194" t="s">
        <v>12</v>
      </c>
      <c r="L394" s="194" t="s">
        <v>15</v>
      </c>
      <c r="M394" s="296" t="s">
        <v>1277</v>
      </c>
      <c r="N394" s="193">
        <v>46173</v>
      </c>
      <c r="O394" s="193">
        <v>46173</v>
      </c>
      <c r="P394" s="251">
        <v>74919897</v>
      </c>
      <c r="Q394" s="192" t="s">
        <v>457</v>
      </c>
      <c r="R394" s="192" t="s">
        <v>259</v>
      </c>
      <c r="S394" s="194" t="s">
        <v>14</v>
      </c>
      <c r="T394" s="64" t="str">
        <f t="shared" si="21"/>
        <v>Đ</v>
      </c>
      <c r="U394" s="66">
        <f t="shared" si="22"/>
        <v>0</v>
      </c>
      <c r="V394" s="62">
        <f t="shared" si="23"/>
        <v>13311</v>
      </c>
    </row>
    <row r="395" spans="1:22" ht="21.6" hidden="1" x14ac:dyDescent="0.3">
      <c r="A395" s="192">
        <v>378</v>
      </c>
      <c r="B395" s="194" t="s">
        <v>607</v>
      </c>
      <c r="C395" s="296" t="s">
        <v>1352</v>
      </c>
      <c r="D395" s="193">
        <v>46147</v>
      </c>
      <c r="E395" s="194" t="s">
        <v>608</v>
      </c>
      <c r="F395" s="296" t="s">
        <v>508</v>
      </c>
      <c r="G395" s="194" t="s">
        <v>1288</v>
      </c>
      <c r="H395" s="286">
        <v>3965820</v>
      </c>
      <c r="I395" s="192">
        <v>8</v>
      </c>
      <c r="J395" s="286">
        <v>317266</v>
      </c>
      <c r="K395" s="194" t="s">
        <v>12</v>
      </c>
      <c r="L395" s="194" t="s">
        <v>15</v>
      </c>
      <c r="M395" s="296" t="s">
        <v>1277</v>
      </c>
      <c r="N395" s="193">
        <v>46173</v>
      </c>
      <c r="O395" s="193">
        <v>46173</v>
      </c>
      <c r="P395" s="251">
        <v>4283086</v>
      </c>
      <c r="Q395" s="192" t="s">
        <v>457</v>
      </c>
      <c r="R395" s="192" t="s">
        <v>259</v>
      </c>
      <c r="S395" s="194" t="s">
        <v>14</v>
      </c>
      <c r="T395" s="64" t="str">
        <f t="shared" si="21"/>
        <v>Đ</v>
      </c>
      <c r="U395" s="66">
        <f t="shared" si="22"/>
        <v>0</v>
      </c>
      <c r="V395" s="62">
        <f t="shared" si="23"/>
        <v>13311</v>
      </c>
    </row>
    <row r="396" spans="1:22" ht="21.6" hidden="1" x14ac:dyDescent="0.3">
      <c r="A396" s="192">
        <v>379</v>
      </c>
      <c r="B396" s="194" t="s">
        <v>607</v>
      </c>
      <c r="C396" s="296" t="s">
        <v>1353</v>
      </c>
      <c r="D396" s="193">
        <v>46147</v>
      </c>
      <c r="E396" s="194" t="s">
        <v>608</v>
      </c>
      <c r="F396" s="296" t="s">
        <v>508</v>
      </c>
      <c r="G396" s="194" t="s">
        <v>1288</v>
      </c>
      <c r="H396" s="286">
        <v>2279715</v>
      </c>
      <c r="I396" s="192">
        <v>8</v>
      </c>
      <c r="J396" s="286">
        <v>182377</v>
      </c>
      <c r="K396" s="194" t="s">
        <v>12</v>
      </c>
      <c r="L396" s="194" t="s">
        <v>15</v>
      </c>
      <c r="M396" s="296" t="s">
        <v>1277</v>
      </c>
      <c r="N396" s="193">
        <v>46173</v>
      </c>
      <c r="O396" s="193">
        <v>46173</v>
      </c>
      <c r="P396" s="251">
        <v>2462092</v>
      </c>
      <c r="Q396" s="192" t="s">
        <v>457</v>
      </c>
      <c r="R396" s="192" t="s">
        <v>259</v>
      </c>
      <c r="S396" s="194" t="s">
        <v>14</v>
      </c>
      <c r="T396" s="64" t="str">
        <f t="shared" si="21"/>
        <v>Đ</v>
      </c>
      <c r="U396" s="66">
        <f t="shared" si="22"/>
        <v>0</v>
      </c>
      <c r="V396" s="62">
        <f t="shared" si="23"/>
        <v>13311</v>
      </c>
    </row>
    <row r="397" spans="1:22" ht="21.6" hidden="1" x14ac:dyDescent="0.3">
      <c r="A397" s="192">
        <v>380</v>
      </c>
      <c r="B397" s="194" t="s">
        <v>620</v>
      </c>
      <c r="C397" s="296" t="s">
        <v>1354</v>
      </c>
      <c r="D397" s="193">
        <v>46147</v>
      </c>
      <c r="E397" s="194" t="s">
        <v>621</v>
      </c>
      <c r="F397" s="296" t="s">
        <v>1355</v>
      </c>
      <c r="G397" s="194" t="s">
        <v>1288</v>
      </c>
      <c r="H397" s="286">
        <v>305182900</v>
      </c>
      <c r="I397" s="192">
        <v>8</v>
      </c>
      <c r="J397" s="286">
        <v>24414632</v>
      </c>
      <c r="K397" s="194" t="s">
        <v>12</v>
      </c>
      <c r="L397" s="194" t="s">
        <v>15</v>
      </c>
      <c r="M397" s="296" t="s">
        <v>1277</v>
      </c>
      <c r="N397" s="193">
        <v>46173</v>
      </c>
      <c r="O397" s="193">
        <v>46173</v>
      </c>
      <c r="P397" s="251">
        <v>329597532</v>
      </c>
      <c r="Q397" s="192" t="s">
        <v>457</v>
      </c>
      <c r="R397" s="192" t="s">
        <v>259</v>
      </c>
      <c r="S397" s="194" t="s">
        <v>14</v>
      </c>
      <c r="T397" s="64" t="str">
        <f t="shared" si="21"/>
        <v>Đ</v>
      </c>
      <c r="U397" s="66">
        <f t="shared" si="22"/>
        <v>0</v>
      </c>
      <c r="V397" s="62">
        <f t="shared" si="23"/>
        <v>13311</v>
      </c>
    </row>
    <row r="398" spans="1:22" ht="21.6" hidden="1" x14ac:dyDescent="0.3">
      <c r="A398" s="192">
        <v>381</v>
      </c>
      <c r="B398" s="194" t="s">
        <v>813</v>
      </c>
      <c r="C398" s="296" t="s">
        <v>1134</v>
      </c>
      <c r="D398" s="193">
        <v>46147</v>
      </c>
      <c r="E398" s="194" t="s">
        <v>814</v>
      </c>
      <c r="F398" s="296" t="s">
        <v>804</v>
      </c>
      <c r="G398" s="194" t="s">
        <v>1288</v>
      </c>
      <c r="H398" s="286">
        <v>13312020</v>
      </c>
      <c r="I398" s="192">
        <v>8</v>
      </c>
      <c r="J398" s="286">
        <v>1064962</v>
      </c>
      <c r="K398" s="194" t="s">
        <v>12</v>
      </c>
      <c r="L398" s="194" t="s">
        <v>15</v>
      </c>
      <c r="M398" s="296" t="s">
        <v>1277</v>
      </c>
      <c r="N398" s="193">
        <v>46173</v>
      </c>
      <c r="O398" s="193">
        <v>46173</v>
      </c>
      <c r="P398" s="251">
        <v>14376982</v>
      </c>
      <c r="Q398" s="192" t="s">
        <v>457</v>
      </c>
      <c r="R398" s="192" t="s">
        <v>259</v>
      </c>
      <c r="S398" s="194" t="s">
        <v>14</v>
      </c>
      <c r="T398" s="64" t="str">
        <f t="shared" si="21"/>
        <v>Đ</v>
      </c>
      <c r="U398" s="66">
        <f t="shared" si="22"/>
        <v>0</v>
      </c>
      <c r="V398" s="62">
        <f t="shared" si="23"/>
        <v>13311</v>
      </c>
    </row>
    <row r="399" spans="1:22" ht="21.6" hidden="1" x14ac:dyDescent="0.3">
      <c r="A399" s="192">
        <v>382</v>
      </c>
      <c r="B399" s="194" t="s">
        <v>291</v>
      </c>
      <c r="C399" s="296" t="s">
        <v>645</v>
      </c>
      <c r="D399" s="193">
        <v>46147</v>
      </c>
      <c r="E399" s="194" t="s">
        <v>622</v>
      </c>
      <c r="F399" s="296" t="s">
        <v>479</v>
      </c>
      <c r="G399" s="194" t="s">
        <v>1288</v>
      </c>
      <c r="H399" s="286">
        <v>111472380</v>
      </c>
      <c r="I399" s="192">
        <v>8</v>
      </c>
      <c r="J399" s="286">
        <v>8917790</v>
      </c>
      <c r="K399" s="194" t="s">
        <v>12</v>
      </c>
      <c r="L399" s="194" t="s">
        <v>15</v>
      </c>
      <c r="M399" s="296" t="s">
        <v>1277</v>
      </c>
      <c r="N399" s="193">
        <v>46173</v>
      </c>
      <c r="O399" s="193">
        <v>46173</v>
      </c>
      <c r="P399" s="251">
        <v>120390170</v>
      </c>
      <c r="Q399" s="192" t="s">
        <v>457</v>
      </c>
      <c r="R399" s="192" t="s">
        <v>259</v>
      </c>
      <c r="S399" s="194" t="s">
        <v>14</v>
      </c>
      <c r="T399" s="64" t="str">
        <f t="shared" si="21"/>
        <v>Đ</v>
      </c>
      <c r="U399" s="66">
        <f t="shared" si="22"/>
        <v>0</v>
      </c>
      <c r="V399" s="62">
        <f t="shared" si="23"/>
        <v>13311</v>
      </c>
    </row>
    <row r="400" spans="1:22" ht="21.6" hidden="1" x14ac:dyDescent="0.3">
      <c r="A400" s="192">
        <v>383</v>
      </c>
      <c r="B400" s="194" t="s">
        <v>1356</v>
      </c>
      <c r="C400" s="296" t="s">
        <v>1357</v>
      </c>
      <c r="D400" s="193">
        <v>46147</v>
      </c>
      <c r="E400" s="194" t="s">
        <v>1358</v>
      </c>
      <c r="F400" s="296" t="s">
        <v>1359</v>
      </c>
      <c r="G400" s="194" t="s">
        <v>1288</v>
      </c>
      <c r="H400" s="286">
        <v>195765</v>
      </c>
      <c r="I400" s="192">
        <v>8</v>
      </c>
      <c r="J400" s="286">
        <v>15661</v>
      </c>
      <c r="K400" s="194" t="s">
        <v>12</v>
      </c>
      <c r="L400" s="194" t="s">
        <v>15</v>
      </c>
      <c r="M400" s="296" t="s">
        <v>1277</v>
      </c>
      <c r="N400" s="193">
        <v>46173</v>
      </c>
      <c r="O400" s="193">
        <v>46173</v>
      </c>
      <c r="P400" s="251">
        <v>211426</v>
      </c>
      <c r="Q400" s="192" t="s">
        <v>457</v>
      </c>
      <c r="R400" s="192" t="s">
        <v>259</v>
      </c>
      <c r="S400" s="194" t="s">
        <v>14</v>
      </c>
      <c r="T400" s="64" t="str">
        <f t="shared" si="21"/>
        <v>Đ</v>
      </c>
      <c r="U400" s="66">
        <f t="shared" si="22"/>
        <v>0</v>
      </c>
      <c r="V400" s="62">
        <f t="shared" si="23"/>
        <v>13311</v>
      </c>
    </row>
    <row r="401" spans="1:22" ht="21.6" hidden="1" x14ac:dyDescent="0.3">
      <c r="A401" s="192">
        <v>384</v>
      </c>
      <c r="B401" s="194" t="s">
        <v>633</v>
      </c>
      <c r="C401" s="296" t="s">
        <v>1058</v>
      </c>
      <c r="D401" s="193">
        <v>46147</v>
      </c>
      <c r="E401" s="194" t="s">
        <v>635</v>
      </c>
      <c r="F401" s="296" t="s">
        <v>580</v>
      </c>
      <c r="G401" s="194" t="s">
        <v>1288</v>
      </c>
      <c r="H401" s="286">
        <v>3441675</v>
      </c>
      <c r="I401" s="192">
        <v>8</v>
      </c>
      <c r="J401" s="286">
        <v>275334</v>
      </c>
      <c r="K401" s="194" t="s">
        <v>12</v>
      </c>
      <c r="L401" s="194" t="s">
        <v>15</v>
      </c>
      <c r="M401" s="296" t="s">
        <v>1277</v>
      </c>
      <c r="N401" s="193">
        <v>46173</v>
      </c>
      <c r="O401" s="193">
        <v>46173</v>
      </c>
      <c r="P401" s="251">
        <v>3717009</v>
      </c>
      <c r="Q401" s="192" t="s">
        <v>457</v>
      </c>
      <c r="R401" s="192" t="s">
        <v>259</v>
      </c>
      <c r="S401" s="194" t="s">
        <v>14</v>
      </c>
      <c r="T401" s="64" t="str">
        <f t="shared" si="21"/>
        <v>Đ</v>
      </c>
      <c r="U401" s="66">
        <f t="shared" si="22"/>
        <v>0</v>
      </c>
      <c r="V401" s="62">
        <f t="shared" si="23"/>
        <v>13311</v>
      </c>
    </row>
    <row r="402" spans="1:22" ht="21.6" hidden="1" x14ac:dyDescent="0.3">
      <c r="A402" s="192">
        <v>385</v>
      </c>
      <c r="B402" s="194" t="s">
        <v>633</v>
      </c>
      <c r="C402" s="296" t="s">
        <v>1360</v>
      </c>
      <c r="D402" s="193">
        <v>46147</v>
      </c>
      <c r="E402" s="194" t="s">
        <v>635</v>
      </c>
      <c r="F402" s="296" t="s">
        <v>580</v>
      </c>
      <c r="G402" s="194" t="s">
        <v>1288</v>
      </c>
      <c r="H402" s="286">
        <v>930410</v>
      </c>
      <c r="I402" s="192">
        <v>8</v>
      </c>
      <c r="J402" s="286">
        <v>74433</v>
      </c>
      <c r="K402" s="194" t="s">
        <v>12</v>
      </c>
      <c r="L402" s="194" t="s">
        <v>15</v>
      </c>
      <c r="M402" s="296" t="s">
        <v>1277</v>
      </c>
      <c r="N402" s="193">
        <v>46173</v>
      </c>
      <c r="O402" s="193">
        <v>46173</v>
      </c>
      <c r="P402" s="251">
        <v>1004843</v>
      </c>
      <c r="Q402" s="192" t="s">
        <v>457</v>
      </c>
      <c r="R402" s="192" t="s">
        <v>259</v>
      </c>
      <c r="S402" s="194" t="s">
        <v>14</v>
      </c>
      <c r="T402" s="64" t="str">
        <f t="shared" si="21"/>
        <v>Đ</v>
      </c>
      <c r="U402" s="66">
        <f t="shared" si="22"/>
        <v>0</v>
      </c>
      <c r="V402" s="62">
        <f t="shared" si="23"/>
        <v>13311</v>
      </c>
    </row>
    <row r="403" spans="1:22" ht="21.6" hidden="1" x14ac:dyDescent="0.3">
      <c r="A403" s="192">
        <v>386</v>
      </c>
      <c r="B403" s="194" t="s">
        <v>291</v>
      </c>
      <c r="C403" s="296" t="s">
        <v>668</v>
      </c>
      <c r="D403" s="193">
        <v>46147</v>
      </c>
      <c r="E403" s="194" t="s">
        <v>639</v>
      </c>
      <c r="F403" s="296" t="s">
        <v>651</v>
      </c>
      <c r="G403" s="194" t="s">
        <v>1288</v>
      </c>
      <c r="H403" s="286">
        <v>237976565</v>
      </c>
      <c r="I403" s="192">
        <v>8</v>
      </c>
      <c r="J403" s="286">
        <v>19038125</v>
      </c>
      <c r="K403" s="194" t="s">
        <v>12</v>
      </c>
      <c r="L403" s="194" t="s">
        <v>15</v>
      </c>
      <c r="M403" s="296" t="s">
        <v>1277</v>
      </c>
      <c r="N403" s="193">
        <v>46173</v>
      </c>
      <c r="O403" s="193">
        <v>46173</v>
      </c>
      <c r="P403" s="251">
        <v>257014690</v>
      </c>
      <c r="Q403" s="192" t="s">
        <v>457</v>
      </c>
      <c r="R403" s="192" t="s">
        <v>259</v>
      </c>
      <c r="S403" s="194" t="s">
        <v>14</v>
      </c>
      <c r="T403" s="64" t="str">
        <f t="shared" ref="T403:T466" si="24">IF(OR(LEN(F403)=11,LEN(F403)=15),"Đ","SAI")</f>
        <v>Đ</v>
      </c>
      <c r="U403" s="66">
        <f t="shared" ref="U403:U466" si="25">ROUND(H403*I403%,0)-J403</f>
        <v>0</v>
      </c>
      <c r="V403" s="62">
        <f t="shared" ref="V403:V466" si="26">IF(Q403=$V$12,13313,13311)</f>
        <v>13311</v>
      </c>
    </row>
    <row r="404" spans="1:22" ht="21.6" hidden="1" x14ac:dyDescent="0.3">
      <c r="A404" s="192">
        <v>387</v>
      </c>
      <c r="B404" s="194" t="s">
        <v>641</v>
      </c>
      <c r="C404" s="296" t="s">
        <v>1361</v>
      </c>
      <c r="D404" s="193">
        <v>46147</v>
      </c>
      <c r="E404" s="194" t="s">
        <v>643</v>
      </c>
      <c r="F404" s="296" t="s">
        <v>636</v>
      </c>
      <c r="G404" s="194" t="s">
        <v>1288</v>
      </c>
      <c r="H404" s="286">
        <v>3081720</v>
      </c>
      <c r="I404" s="192">
        <v>8</v>
      </c>
      <c r="J404" s="286">
        <v>246538</v>
      </c>
      <c r="K404" s="194" t="s">
        <v>12</v>
      </c>
      <c r="L404" s="194" t="s">
        <v>15</v>
      </c>
      <c r="M404" s="296" t="s">
        <v>1277</v>
      </c>
      <c r="N404" s="193">
        <v>46173</v>
      </c>
      <c r="O404" s="193">
        <v>46173</v>
      </c>
      <c r="P404" s="251">
        <v>3328258</v>
      </c>
      <c r="Q404" s="192" t="s">
        <v>457</v>
      </c>
      <c r="R404" s="192" t="s">
        <v>259</v>
      </c>
      <c r="S404" s="194" t="s">
        <v>14</v>
      </c>
      <c r="T404" s="64" t="str">
        <f t="shared" si="24"/>
        <v>Đ</v>
      </c>
      <c r="U404" s="66">
        <f t="shared" si="25"/>
        <v>0</v>
      </c>
      <c r="V404" s="62">
        <f t="shared" si="26"/>
        <v>13311</v>
      </c>
    </row>
    <row r="405" spans="1:22" ht="21.6" hidden="1" x14ac:dyDescent="0.3">
      <c r="A405" s="192">
        <v>388</v>
      </c>
      <c r="B405" s="194" t="s">
        <v>663</v>
      </c>
      <c r="C405" s="296" t="s">
        <v>1362</v>
      </c>
      <c r="D405" s="193">
        <v>46147</v>
      </c>
      <c r="E405" s="194" t="s">
        <v>664</v>
      </c>
      <c r="F405" s="296" t="s">
        <v>754</v>
      </c>
      <c r="G405" s="194" t="s">
        <v>1288</v>
      </c>
      <c r="H405" s="286">
        <v>58940</v>
      </c>
      <c r="I405" s="192">
        <v>8</v>
      </c>
      <c r="J405" s="286">
        <v>4715</v>
      </c>
      <c r="K405" s="194" t="s">
        <v>12</v>
      </c>
      <c r="L405" s="194" t="s">
        <v>15</v>
      </c>
      <c r="M405" s="296" t="s">
        <v>1277</v>
      </c>
      <c r="N405" s="193">
        <v>46173</v>
      </c>
      <c r="O405" s="193">
        <v>46173</v>
      </c>
      <c r="P405" s="251">
        <v>63655</v>
      </c>
      <c r="Q405" s="192" t="s">
        <v>457</v>
      </c>
      <c r="R405" s="192" t="s">
        <v>259</v>
      </c>
      <c r="S405" s="194" t="s">
        <v>14</v>
      </c>
      <c r="T405" s="64" t="str">
        <f t="shared" si="24"/>
        <v>Đ</v>
      </c>
      <c r="U405" s="66">
        <f t="shared" si="25"/>
        <v>0</v>
      </c>
      <c r="V405" s="62">
        <f t="shared" si="26"/>
        <v>13311</v>
      </c>
    </row>
    <row r="406" spans="1:22" s="69" customFormat="1" ht="21.6" hidden="1" x14ac:dyDescent="0.3">
      <c r="A406" s="192">
        <v>389</v>
      </c>
      <c r="B406" s="194" t="s">
        <v>644</v>
      </c>
      <c r="C406" s="296" t="s">
        <v>1363</v>
      </c>
      <c r="D406" s="193">
        <v>46147</v>
      </c>
      <c r="E406" s="194" t="s">
        <v>646</v>
      </c>
      <c r="F406" s="296" t="s">
        <v>1364</v>
      </c>
      <c r="G406" s="194" t="s">
        <v>1288</v>
      </c>
      <c r="H406" s="286">
        <v>258856060</v>
      </c>
      <c r="I406" s="192">
        <v>8</v>
      </c>
      <c r="J406" s="286">
        <v>20708485</v>
      </c>
      <c r="K406" s="194" t="s">
        <v>12</v>
      </c>
      <c r="L406" s="194" t="s">
        <v>15</v>
      </c>
      <c r="M406" s="296" t="s">
        <v>1277</v>
      </c>
      <c r="N406" s="193">
        <v>46173</v>
      </c>
      <c r="O406" s="193">
        <v>46173</v>
      </c>
      <c r="P406" s="251">
        <v>279564545</v>
      </c>
      <c r="Q406" s="192" t="s">
        <v>457</v>
      </c>
      <c r="R406" s="192" t="s">
        <v>259</v>
      </c>
      <c r="S406" s="194" t="s">
        <v>14</v>
      </c>
      <c r="T406" s="64" t="str">
        <f t="shared" si="24"/>
        <v>Đ</v>
      </c>
      <c r="U406" s="66">
        <f t="shared" si="25"/>
        <v>0</v>
      </c>
      <c r="V406" s="62">
        <f t="shared" si="26"/>
        <v>13311</v>
      </c>
    </row>
    <row r="407" spans="1:22" ht="21.6" hidden="1" x14ac:dyDescent="0.3">
      <c r="A407" s="192">
        <v>390</v>
      </c>
      <c r="B407" s="194" t="s">
        <v>577</v>
      </c>
      <c r="C407" s="296" t="s">
        <v>352</v>
      </c>
      <c r="D407" s="193">
        <v>46147</v>
      </c>
      <c r="E407" s="194" t="s">
        <v>740</v>
      </c>
      <c r="F407" s="296" t="s">
        <v>1365</v>
      </c>
      <c r="G407" s="194" t="s">
        <v>1288</v>
      </c>
      <c r="H407" s="286">
        <v>133082310</v>
      </c>
      <c r="I407" s="192">
        <v>8</v>
      </c>
      <c r="J407" s="286">
        <v>10646585</v>
      </c>
      <c r="K407" s="194" t="s">
        <v>12</v>
      </c>
      <c r="L407" s="194" t="s">
        <v>15</v>
      </c>
      <c r="M407" s="296" t="s">
        <v>1277</v>
      </c>
      <c r="N407" s="193">
        <v>46173</v>
      </c>
      <c r="O407" s="193">
        <v>46173</v>
      </c>
      <c r="P407" s="251">
        <v>143728895</v>
      </c>
      <c r="Q407" s="192" t="s">
        <v>457</v>
      </c>
      <c r="R407" s="192" t="s">
        <v>259</v>
      </c>
      <c r="S407" s="194" t="s">
        <v>14</v>
      </c>
      <c r="T407" s="64" t="str">
        <f t="shared" si="24"/>
        <v>Đ</v>
      </c>
      <c r="U407" s="66">
        <f t="shared" si="25"/>
        <v>0</v>
      </c>
      <c r="V407" s="62">
        <f t="shared" si="26"/>
        <v>13311</v>
      </c>
    </row>
    <row r="408" spans="1:22" ht="21.6" hidden="1" x14ac:dyDescent="0.3">
      <c r="A408" s="192">
        <v>391</v>
      </c>
      <c r="B408" s="194" t="s">
        <v>492</v>
      </c>
      <c r="C408" s="296" t="s">
        <v>293</v>
      </c>
      <c r="D408" s="193">
        <v>46118</v>
      </c>
      <c r="E408" s="194" t="s">
        <v>722</v>
      </c>
      <c r="F408" s="296" t="s">
        <v>693</v>
      </c>
      <c r="G408" s="194" t="s">
        <v>456</v>
      </c>
      <c r="H408" s="286">
        <v>153206110</v>
      </c>
      <c r="I408" s="192">
        <v>8</v>
      </c>
      <c r="J408" s="286">
        <v>12256489</v>
      </c>
      <c r="K408" s="194" t="s">
        <v>12</v>
      </c>
      <c r="L408" s="194" t="s">
        <v>15</v>
      </c>
      <c r="M408" s="296" t="s">
        <v>1277</v>
      </c>
      <c r="N408" s="193">
        <v>46173</v>
      </c>
      <c r="O408" s="193">
        <v>46173</v>
      </c>
      <c r="P408" s="251">
        <v>165462599</v>
      </c>
      <c r="Q408" s="192" t="s">
        <v>457</v>
      </c>
      <c r="R408" s="192" t="s">
        <v>259</v>
      </c>
      <c r="S408" s="194" t="s">
        <v>14</v>
      </c>
      <c r="T408" s="64" t="str">
        <f t="shared" si="24"/>
        <v>Đ</v>
      </c>
      <c r="U408" s="66">
        <f t="shared" si="25"/>
        <v>0</v>
      </c>
      <c r="V408" s="62">
        <f t="shared" si="26"/>
        <v>13311</v>
      </c>
    </row>
    <row r="409" spans="1:22" ht="21.6" hidden="1" x14ac:dyDescent="0.3">
      <c r="A409" s="192">
        <v>392</v>
      </c>
      <c r="B409" s="194" t="s">
        <v>1366</v>
      </c>
      <c r="C409" s="296" t="s">
        <v>458</v>
      </c>
      <c r="D409" s="193">
        <v>46118</v>
      </c>
      <c r="E409" s="194" t="s">
        <v>1367</v>
      </c>
      <c r="F409" s="296" t="s">
        <v>1368</v>
      </c>
      <c r="G409" s="194" t="s">
        <v>456</v>
      </c>
      <c r="H409" s="286">
        <v>4292095</v>
      </c>
      <c r="I409" s="192">
        <v>8</v>
      </c>
      <c r="J409" s="286">
        <v>343368</v>
      </c>
      <c r="K409" s="194" t="s">
        <v>12</v>
      </c>
      <c r="L409" s="194" t="s">
        <v>15</v>
      </c>
      <c r="M409" s="296" t="s">
        <v>1277</v>
      </c>
      <c r="N409" s="193">
        <v>46173</v>
      </c>
      <c r="O409" s="193">
        <v>46173</v>
      </c>
      <c r="P409" s="251">
        <v>4635463</v>
      </c>
      <c r="Q409" s="192" t="s">
        <v>457</v>
      </c>
      <c r="R409" s="192" t="s">
        <v>259</v>
      </c>
      <c r="S409" s="194" t="s">
        <v>14</v>
      </c>
      <c r="T409" s="64" t="str">
        <f t="shared" si="24"/>
        <v>Đ</v>
      </c>
      <c r="U409" s="66">
        <f t="shared" si="25"/>
        <v>0</v>
      </c>
      <c r="V409" s="62">
        <f t="shared" si="26"/>
        <v>13311</v>
      </c>
    </row>
    <row r="410" spans="1:22" ht="21.6" hidden="1" x14ac:dyDescent="0.3">
      <c r="A410" s="192">
        <v>393</v>
      </c>
      <c r="B410" s="194" t="s">
        <v>492</v>
      </c>
      <c r="C410" s="296" t="s">
        <v>526</v>
      </c>
      <c r="D410" s="193">
        <v>46118</v>
      </c>
      <c r="E410" s="194" t="s">
        <v>702</v>
      </c>
      <c r="F410" s="296" t="s">
        <v>617</v>
      </c>
      <c r="G410" s="194" t="s">
        <v>456</v>
      </c>
      <c r="H410" s="286">
        <v>94211380</v>
      </c>
      <c r="I410" s="192">
        <v>8</v>
      </c>
      <c r="J410" s="286">
        <v>7536910</v>
      </c>
      <c r="K410" s="194" t="s">
        <v>12</v>
      </c>
      <c r="L410" s="194" t="s">
        <v>15</v>
      </c>
      <c r="M410" s="296" t="s">
        <v>1277</v>
      </c>
      <c r="N410" s="193">
        <v>46173</v>
      </c>
      <c r="O410" s="193">
        <v>46173</v>
      </c>
      <c r="P410" s="251">
        <v>101748290</v>
      </c>
      <c r="Q410" s="192" t="s">
        <v>457</v>
      </c>
      <c r="R410" s="192" t="s">
        <v>259</v>
      </c>
      <c r="S410" s="194" t="s">
        <v>14</v>
      </c>
      <c r="T410" s="64" t="str">
        <f t="shared" si="24"/>
        <v>Đ</v>
      </c>
      <c r="U410" s="66">
        <f t="shared" si="25"/>
        <v>0</v>
      </c>
      <c r="V410" s="62">
        <f t="shared" si="26"/>
        <v>13311</v>
      </c>
    </row>
    <row r="411" spans="1:22" ht="21.6" hidden="1" x14ac:dyDescent="0.3">
      <c r="A411" s="192">
        <v>394</v>
      </c>
      <c r="B411" s="194" t="s">
        <v>492</v>
      </c>
      <c r="C411" s="296" t="s">
        <v>535</v>
      </c>
      <c r="D411" s="193">
        <v>46118</v>
      </c>
      <c r="E411" s="194" t="s">
        <v>702</v>
      </c>
      <c r="F411" s="296" t="s">
        <v>617</v>
      </c>
      <c r="G411" s="194" t="s">
        <v>456</v>
      </c>
      <c r="H411" s="286">
        <v>121567960</v>
      </c>
      <c r="I411" s="192">
        <v>8</v>
      </c>
      <c r="J411" s="286">
        <v>9725437</v>
      </c>
      <c r="K411" s="194" t="s">
        <v>12</v>
      </c>
      <c r="L411" s="194" t="s">
        <v>15</v>
      </c>
      <c r="M411" s="296" t="s">
        <v>1277</v>
      </c>
      <c r="N411" s="193">
        <v>46173</v>
      </c>
      <c r="O411" s="193">
        <v>46173</v>
      </c>
      <c r="P411" s="251">
        <v>131293397</v>
      </c>
      <c r="Q411" s="192" t="s">
        <v>457</v>
      </c>
      <c r="R411" s="192" t="s">
        <v>259</v>
      </c>
      <c r="S411" s="194" t="s">
        <v>14</v>
      </c>
      <c r="T411" s="64" t="str">
        <f t="shared" si="24"/>
        <v>Đ</v>
      </c>
      <c r="U411" s="66">
        <f t="shared" si="25"/>
        <v>0</v>
      </c>
      <c r="V411" s="62">
        <f t="shared" si="26"/>
        <v>13311</v>
      </c>
    </row>
    <row r="412" spans="1:22" ht="21.6" hidden="1" x14ac:dyDescent="0.3">
      <c r="A412" s="192">
        <v>395</v>
      </c>
      <c r="B412" s="194" t="s">
        <v>492</v>
      </c>
      <c r="C412" s="296" t="s">
        <v>539</v>
      </c>
      <c r="D412" s="193">
        <v>46118</v>
      </c>
      <c r="E412" s="194" t="s">
        <v>702</v>
      </c>
      <c r="F412" s="296" t="s">
        <v>617</v>
      </c>
      <c r="G412" s="194" t="s">
        <v>456</v>
      </c>
      <c r="H412" s="286">
        <v>225049760</v>
      </c>
      <c r="I412" s="192">
        <v>8</v>
      </c>
      <c r="J412" s="286">
        <v>18003981</v>
      </c>
      <c r="K412" s="194" t="s">
        <v>12</v>
      </c>
      <c r="L412" s="194" t="s">
        <v>15</v>
      </c>
      <c r="M412" s="296" t="s">
        <v>1277</v>
      </c>
      <c r="N412" s="193">
        <v>46173</v>
      </c>
      <c r="O412" s="193">
        <v>46173</v>
      </c>
      <c r="P412" s="251">
        <v>243053741</v>
      </c>
      <c r="Q412" s="192" t="s">
        <v>457</v>
      </c>
      <c r="R412" s="192" t="s">
        <v>259</v>
      </c>
      <c r="S412" s="194" t="s">
        <v>14</v>
      </c>
      <c r="T412" s="64" t="str">
        <f t="shared" si="24"/>
        <v>Đ</v>
      </c>
      <c r="U412" s="66">
        <f t="shared" si="25"/>
        <v>0</v>
      </c>
      <c r="V412" s="62">
        <f t="shared" si="26"/>
        <v>13311</v>
      </c>
    </row>
    <row r="413" spans="1:22" ht="21.6" hidden="1" x14ac:dyDescent="0.3">
      <c r="A413" s="192">
        <v>396</v>
      </c>
      <c r="B413" s="194" t="s">
        <v>810</v>
      </c>
      <c r="C413" s="296" t="s">
        <v>461</v>
      </c>
      <c r="D413" s="193">
        <v>46118</v>
      </c>
      <c r="E413" s="194" t="s">
        <v>811</v>
      </c>
      <c r="F413" s="296" t="s">
        <v>1369</v>
      </c>
      <c r="G413" s="194" t="s">
        <v>456</v>
      </c>
      <c r="H413" s="286">
        <v>1351410</v>
      </c>
      <c r="I413" s="192">
        <v>8</v>
      </c>
      <c r="J413" s="286">
        <v>108113</v>
      </c>
      <c r="K413" s="194" t="s">
        <v>12</v>
      </c>
      <c r="L413" s="194" t="s">
        <v>15</v>
      </c>
      <c r="M413" s="296" t="s">
        <v>1277</v>
      </c>
      <c r="N413" s="193">
        <v>46173</v>
      </c>
      <c r="O413" s="193">
        <v>46173</v>
      </c>
      <c r="P413" s="251">
        <v>1459523</v>
      </c>
      <c r="Q413" s="192" t="s">
        <v>457</v>
      </c>
      <c r="R413" s="192" t="s">
        <v>259</v>
      </c>
      <c r="S413" s="194" t="s">
        <v>14</v>
      </c>
      <c r="T413" s="64" t="str">
        <f t="shared" si="24"/>
        <v>Đ</v>
      </c>
      <c r="U413" s="66">
        <f t="shared" si="25"/>
        <v>0</v>
      </c>
      <c r="V413" s="62">
        <f t="shared" si="26"/>
        <v>13311</v>
      </c>
    </row>
    <row r="414" spans="1:22" ht="21.6" hidden="1" x14ac:dyDescent="0.3">
      <c r="A414" s="192">
        <v>397</v>
      </c>
      <c r="B414" s="194" t="s">
        <v>509</v>
      </c>
      <c r="C414" s="296" t="s">
        <v>434</v>
      </c>
      <c r="D414" s="193">
        <v>46118</v>
      </c>
      <c r="E414" s="194" t="s">
        <v>714</v>
      </c>
      <c r="F414" s="296" t="s">
        <v>481</v>
      </c>
      <c r="G414" s="194" t="s">
        <v>456</v>
      </c>
      <c r="H414" s="286">
        <v>210310550</v>
      </c>
      <c r="I414" s="192">
        <v>8</v>
      </c>
      <c r="J414" s="286">
        <v>16824844</v>
      </c>
      <c r="K414" s="194" t="s">
        <v>12</v>
      </c>
      <c r="L414" s="194" t="s">
        <v>15</v>
      </c>
      <c r="M414" s="296" t="s">
        <v>1277</v>
      </c>
      <c r="N414" s="193">
        <v>46173</v>
      </c>
      <c r="O414" s="193">
        <v>46173</v>
      </c>
      <c r="P414" s="251">
        <v>227135394</v>
      </c>
      <c r="Q414" s="192" t="s">
        <v>457</v>
      </c>
      <c r="R414" s="192" t="s">
        <v>259</v>
      </c>
      <c r="S414" s="194" t="s">
        <v>14</v>
      </c>
      <c r="T414" s="64" t="str">
        <f t="shared" si="24"/>
        <v>Đ</v>
      </c>
      <c r="U414" s="66">
        <f t="shared" si="25"/>
        <v>0</v>
      </c>
      <c r="V414" s="62">
        <f t="shared" si="26"/>
        <v>13311</v>
      </c>
    </row>
    <row r="415" spans="1:22" ht="21.6" hidden="1" x14ac:dyDescent="0.3">
      <c r="A415" s="192">
        <v>398</v>
      </c>
      <c r="B415" s="194" t="s">
        <v>509</v>
      </c>
      <c r="C415" s="296" t="s">
        <v>631</v>
      </c>
      <c r="D415" s="193">
        <v>46118</v>
      </c>
      <c r="E415" s="194" t="s">
        <v>714</v>
      </c>
      <c r="F415" s="296" t="s">
        <v>481</v>
      </c>
      <c r="G415" s="194" t="s">
        <v>456</v>
      </c>
      <c r="H415" s="286">
        <v>252025335</v>
      </c>
      <c r="I415" s="192">
        <v>8</v>
      </c>
      <c r="J415" s="286">
        <v>20162027</v>
      </c>
      <c r="K415" s="194" t="s">
        <v>12</v>
      </c>
      <c r="L415" s="194" t="s">
        <v>15</v>
      </c>
      <c r="M415" s="296" t="s">
        <v>1277</v>
      </c>
      <c r="N415" s="193">
        <v>46173</v>
      </c>
      <c r="O415" s="193">
        <v>46173</v>
      </c>
      <c r="P415" s="251">
        <v>272187362</v>
      </c>
      <c r="Q415" s="192" t="s">
        <v>457</v>
      </c>
      <c r="R415" s="192" t="s">
        <v>259</v>
      </c>
      <c r="S415" s="194" t="s">
        <v>14</v>
      </c>
      <c r="T415" s="64" t="str">
        <f t="shared" si="24"/>
        <v>Đ</v>
      </c>
      <c r="U415" s="66">
        <f t="shared" si="25"/>
        <v>0</v>
      </c>
      <c r="V415" s="62">
        <f t="shared" si="26"/>
        <v>13311</v>
      </c>
    </row>
    <row r="416" spans="1:22" ht="21.6" hidden="1" x14ac:dyDescent="0.3">
      <c r="A416" s="192">
        <v>399</v>
      </c>
      <c r="B416" s="194" t="s">
        <v>509</v>
      </c>
      <c r="C416" s="296" t="s">
        <v>1370</v>
      </c>
      <c r="D416" s="193">
        <v>46118</v>
      </c>
      <c r="E416" s="194" t="s">
        <v>714</v>
      </c>
      <c r="F416" s="296" t="s">
        <v>481</v>
      </c>
      <c r="G416" s="194" t="s">
        <v>456</v>
      </c>
      <c r="H416" s="286">
        <v>63032120</v>
      </c>
      <c r="I416" s="192">
        <v>8</v>
      </c>
      <c r="J416" s="286">
        <v>5042570</v>
      </c>
      <c r="K416" s="194" t="s">
        <v>12</v>
      </c>
      <c r="L416" s="194" t="s">
        <v>15</v>
      </c>
      <c r="M416" s="296" t="s">
        <v>1277</v>
      </c>
      <c r="N416" s="193">
        <v>46173</v>
      </c>
      <c r="O416" s="193">
        <v>46173</v>
      </c>
      <c r="P416" s="251">
        <v>68074690</v>
      </c>
      <c r="Q416" s="192" t="s">
        <v>457</v>
      </c>
      <c r="R416" s="192" t="s">
        <v>259</v>
      </c>
      <c r="S416" s="194" t="s">
        <v>14</v>
      </c>
      <c r="T416" s="64" t="str">
        <f t="shared" si="24"/>
        <v>Đ</v>
      </c>
      <c r="U416" s="66">
        <f t="shared" si="25"/>
        <v>0</v>
      </c>
      <c r="V416" s="62">
        <f t="shared" si="26"/>
        <v>13311</v>
      </c>
    </row>
    <row r="417" spans="1:22" ht="21.6" hidden="1" x14ac:dyDescent="0.3">
      <c r="A417" s="192">
        <v>400</v>
      </c>
      <c r="B417" s="194" t="s">
        <v>601</v>
      </c>
      <c r="C417" s="296" t="s">
        <v>1371</v>
      </c>
      <c r="D417" s="193">
        <v>46148</v>
      </c>
      <c r="E417" s="194" t="s">
        <v>1372</v>
      </c>
      <c r="F417" s="296" t="s">
        <v>723</v>
      </c>
      <c r="G417" s="194" t="s">
        <v>1288</v>
      </c>
      <c r="H417" s="286">
        <v>3595340</v>
      </c>
      <c r="I417" s="192">
        <v>8</v>
      </c>
      <c r="J417" s="286">
        <v>287627</v>
      </c>
      <c r="K417" s="194" t="s">
        <v>12</v>
      </c>
      <c r="L417" s="194" t="s">
        <v>15</v>
      </c>
      <c r="M417" s="296" t="s">
        <v>1277</v>
      </c>
      <c r="N417" s="193">
        <v>46173</v>
      </c>
      <c r="O417" s="193">
        <v>46173</v>
      </c>
      <c r="P417" s="251">
        <v>3882967</v>
      </c>
      <c r="Q417" s="192" t="s">
        <v>457</v>
      </c>
      <c r="R417" s="192" t="s">
        <v>259</v>
      </c>
      <c r="S417" s="194" t="s">
        <v>14</v>
      </c>
      <c r="T417" s="64" t="str">
        <f t="shared" si="24"/>
        <v>Đ</v>
      </c>
      <c r="U417" s="66">
        <f t="shared" si="25"/>
        <v>0</v>
      </c>
      <c r="V417" s="62">
        <f t="shared" si="26"/>
        <v>13311</v>
      </c>
    </row>
    <row r="418" spans="1:22" ht="21.6" hidden="1" x14ac:dyDescent="0.3">
      <c r="A418" s="192">
        <v>401</v>
      </c>
      <c r="B418" s="194" t="s">
        <v>601</v>
      </c>
      <c r="C418" s="296" t="s">
        <v>1373</v>
      </c>
      <c r="D418" s="193">
        <v>46148</v>
      </c>
      <c r="E418" s="194" t="s">
        <v>1372</v>
      </c>
      <c r="F418" s="296" t="s">
        <v>723</v>
      </c>
      <c r="G418" s="194" t="s">
        <v>1288</v>
      </c>
      <c r="H418" s="286">
        <v>3060670</v>
      </c>
      <c r="I418" s="192">
        <v>8</v>
      </c>
      <c r="J418" s="286">
        <v>244854</v>
      </c>
      <c r="K418" s="194" t="s">
        <v>12</v>
      </c>
      <c r="L418" s="194" t="s">
        <v>15</v>
      </c>
      <c r="M418" s="296" t="s">
        <v>1277</v>
      </c>
      <c r="N418" s="193">
        <v>46173</v>
      </c>
      <c r="O418" s="193">
        <v>46173</v>
      </c>
      <c r="P418" s="251">
        <v>3305524</v>
      </c>
      <c r="Q418" s="192" t="s">
        <v>457</v>
      </c>
      <c r="R418" s="192" t="s">
        <v>259</v>
      </c>
      <c r="S418" s="194" t="s">
        <v>14</v>
      </c>
      <c r="T418" s="64" t="str">
        <f t="shared" si="24"/>
        <v>Đ</v>
      </c>
      <c r="U418" s="66">
        <f t="shared" si="25"/>
        <v>0</v>
      </c>
      <c r="V418" s="62">
        <f t="shared" si="26"/>
        <v>13311</v>
      </c>
    </row>
    <row r="419" spans="1:22" ht="21.6" hidden="1" x14ac:dyDescent="0.3">
      <c r="A419" s="192">
        <v>402</v>
      </c>
      <c r="B419" s="194" t="s">
        <v>492</v>
      </c>
      <c r="C419" s="296" t="s">
        <v>309</v>
      </c>
      <c r="D419" s="193">
        <v>46148</v>
      </c>
      <c r="E419" s="194" t="s">
        <v>722</v>
      </c>
      <c r="F419" s="296" t="s">
        <v>693</v>
      </c>
      <c r="G419" s="194" t="s">
        <v>1288</v>
      </c>
      <c r="H419" s="286">
        <v>147583655</v>
      </c>
      <c r="I419" s="192">
        <v>8</v>
      </c>
      <c r="J419" s="286">
        <v>11806692</v>
      </c>
      <c r="K419" s="194" t="s">
        <v>12</v>
      </c>
      <c r="L419" s="194" t="s">
        <v>15</v>
      </c>
      <c r="M419" s="296" t="s">
        <v>1277</v>
      </c>
      <c r="N419" s="193">
        <v>46173</v>
      </c>
      <c r="O419" s="193">
        <v>46173</v>
      </c>
      <c r="P419" s="251">
        <v>159390347</v>
      </c>
      <c r="Q419" s="192" t="s">
        <v>457</v>
      </c>
      <c r="R419" s="192" t="s">
        <v>259</v>
      </c>
      <c r="S419" s="194" t="s">
        <v>14</v>
      </c>
      <c r="T419" s="64" t="str">
        <f t="shared" si="24"/>
        <v>Đ</v>
      </c>
      <c r="U419" s="66">
        <f t="shared" si="25"/>
        <v>0</v>
      </c>
      <c r="V419" s="62">
        <f t="shared" si="26"/>
        <v>13311</v>
      </c>
    </row>
    <row r="420" spans="1:22" ht="21.6" hidden="1" x14ac:dyDescent="0.3">
      <c r="A420" s="192">
        <v>403</v>
      </c>
      <c r="B420" s="194" t="s">
        <v>720</v>
      </c>
      <c r="C420" s="296" t="s">
        <v>495</v>
      </c>
      <c r="D420" s="193">
        <v>46148</v>
      </c>
      <c r="E420" s="194" t="s">
        <v>721</v>
      </c>
      <c r="F420" s="296" t="s">
        <v>1374</v>
      </c>
      <c r="G420" s="194" t="s">
        <v>1288</v>
      </c>
      <c r="H420" s="286">
        <v>261020</v>
      </c>
      <c r="I420" s="192">
        <v>8</v>
      </c>
      <c r="J420" s="286">
        <v>20882</v>
      </c>
      <c r="K420" s="194" t="s">
        <v>12</v>
      </c>
      <c r="L420" s="194" t="s">
        <v>15</v>
      </c>
      <c r="M420" s="296" t="s">
        <v>1277</v>
      </c>
      <c r="N420" s="193">
        <v>46173</v>
      </c>
      <c r="O420" s="193">
        <v>46173</v>
      </c>
      <c r="P420" s="251">
        <v>281902</v>
      </c>
      <c r="Q420" s="192" t="s">
        <v>457</v>
      </c>
      <c r="R420" s="192" t="s">
        <v>259</v>
      </c>
      <c r="S420" s="194" t="s">
        <v>14</v>
      </c>
      <c r="T420" s="64" t="str">
        <f t="shared" si="24"/>
        <v>Đ</v>
      </c>
      <c r="U420" s="66">
        <f t="shared" si="25"/>
        <v>0</v>
      </c>
      <c r="V420" s="62">
        <f t="shared" si="26"/>
        <v>13311</v>
      </c>
    </row>
    <row r="421" spans="1:22" ht="21.6" hidden="1" x14ac:dyDescent="0.3">
      <c r="A421" s="192">
        <v>404</v>
      </c>
      <c r="B421" s="194" t="s">
        <v>784</v>
      </c>
      <c r="C421" s="296" t="s">
        <v>788</v>
      </c>
      <c r="D421" s="193">
        <v>46148</v>
      </c>
      <c r="E421" s="194" t="s">
        <v>787</v>
      </c>
      <c r="F421" s="296" t="s">
        <v>561</v>
      </c>
      <c r="G421" s="194" t="s">
        <v>1288</v>
      </c>
      <c r="H421" s="286">
        <v>9567225</v>
      </c>
      <c r="I421" s="192">
        <v>8</v>
      </c>
      <c r="J421" s="286">
        <v>765378</v>
      </c>
      <c r="K421" s="194" t="s">
        <v>12</v>
      </c>
      <c r="L421" s="194" t="s">
        <v>15</v>
      </c>
      <c r="M421" s="296" t="s">
        <v>1277</v>
      </c>
      <c r="N421" s="193">
        <v>46173</v>
      </c>
      <c r="O421" s="193">
        <v>46173</v>
      </c>
      <c r="P421" s="251">
        <v>10332603</v>
      </c>
      <c r="Q421" s="192" t="s">
        <v>457</v>
      </c>
      <c r="R421" s="192" t="s">
        <v>259</v>
      </c>
      <c r="S421" s="194" t="s">
        <v>14</v>
      </c>
      <c r="T421" s="64" t="str">
        <f t="shared" si="24"/>
        <v>Đ</v>
      </c>
      <c r="U421" s="66">
        <f t="shared" si="25"/>
        <v>0</v>
      </c>
      <c r="V421" s="62">
        <f t="shared" si="26"/>
        <v>13311</v>
      </c>
    </row>
    <row r="422" spans="1:22" ht="21.6" hidden="1" x14ac:dyDescent="0.3">
      <c r="A422" s="192">
        <v>405</v>
      </c>
      <c r="B422" s="194" t="s">
        <v>784</v>
      </c>
      <c r="C422" s="296" t="s">
        <v>857</v>
      </c>
      <c r="D422" s="193">
        <v>46148</v>
      </c>
      <c r="E422" s="194" t="s">
        <v>786</v>
      </c>
      <c r="F422" s="296" t="s">
        <v>561</v>
      </c>
      <c r="G422" s="194" t="s">
        <v>1288</v>
      </c>
      <c r="H422" s="286">
        <v>6027316</v>
      </c>
      <c r="I422" s="192">
        <v>8</v>
      </c>
      <c r="J422" s="286">
        <v>482185</v>
      </c>
      <c r="K422" s="194" t="s">
        <v>12</v>
      </c>
      <c r="L422" s="194" t="s">
        <v>15</v>
      </c>
      <c r="M422" s="296" t="s">
        <v>1277</v>
      </c>
      <c r="N422" s="193">
        <v>46173</v>
      </c>
      <c r="O422" s="193">
        <v>46173</v>
      </c>
      <c r="P422" s="251">
        <v>6509501</v>
      </c>
      <c r="Q422" s="192" t="s">
        <v>457</v>
      </c>
      <c r="R422" s="192" t="s">
        <v>259</v>
      </c>
      <c r="S422" s="194" t="s">
        <v>14</v>
      </c>
      <c r="T422" s="64" t="str">
        <f t="shared" si="24"/>
        <v>Đ</v>
      </c>
      <c r="U422" s="66">
        <f t="shared" si="25"/>
        <v>0</v>
      </c>
      <c r="V422" s="62">
        <f t="shared" si="26"/>
        <v>13311</v>
      </c>
    </row>
    <row r="423" spans="1:22" ht="21.6" hidden="1" x14ac:dyDescent="0.3">
      <c r="A423" s="192">
        <v>406</v>
      </c>
      <c r="B423" s="194" t="s">
        <v>784</v>
      </c>
      <c r="C423" s="296" t="s">
        <v>1375</v>
      </c>
      <c r="D423" s="193">
        <v>46148</v>
      </c>
      <c r="E423" s="194" t="s">
        <v>787</v>
      </c>
      <c r="F423" s="296" t="s">
        <v>561</v>
      </c>
      <c r="G423" s="194" t="s">
        <v>1288</v>
      </c>
      <c r="H423" s="286">
        <v>10653405</v>
      </c>
      <c r="I423" s="192">
        <v>8</v>
      </c>
      <c r="J423" s="286">
        <v>852272</v>
      </c>
      <c r="K423" s="194" t="s">
        <v>12</v>
      </c>
      <c r="L423" s="194" t="s">
        <v>15</v>
      </c>
      <c r="M423" s="296" t="s">
        <v>1277</v>
      </c>
      <c r="N423" s="193">
        <v>46173</v>
      </c>
      <c r="O423" s="193">
        <v>46173</v>
      </c>
      <c r="P423" s="251">
        <v>11505677</v>
      </c>
      <c r="Q423" s="192" t="s">
        <v>457</v>
      </c>
      <c r="R423" s="192" t="s">
        <v>259</v>
      </c>
      <c r="S423" s="194" t="s">
        <v>14</v>
      </c>
      <c r="T423" s="64" t="str">
        <f t="shared" si="24"/>
        <v>Đ</v>
      </c>
      <c r="U423" s="66">
        <f t="shared" si="25"/>
        <v>0</v>
      </c>
      <c r="V423" s="62">
        <f t="shared" si="26"/>
        <v>13311</v>
      </c>
    </row>
    <row r="424" spans="1:22" ht="21.6" hidden="1" x14ac:dyDescent="0.3">
      <c r="A424" s="192">
        <v>407</v>
      </c>
      <c r="B424" s="194" t="s">
        <v>469</v>
      </c>
      <c r="C424" s="296" t="s">
        <v>706</v>
      </c>
      <c r="D424" s="193">
        <v>46148</v>
      </c>
      <c r="E424" s="194" t="s">
        <v>1278</v>
      </c>
      <c r="F424" s="296" t="s">
        <v>584</v>
      </c>
      <c r="G424" s="194" t="s">
        <v>1288</v>
      </c>
      <c r="H424" s="286">
        <v>11152290</v>
      </c>
      <c r="I424" s="192">
        <v>8</v>
      </c>
      <c r="J424" s="286">
        <v>892183</v>
      </c>
      <c r="K424" s="194" t="s">
        <v>12</v>
      </c>
      <c r="L424" s="194" t="s">
        <v>15</v>
      </c>
      <c r="M424" s="296" t="s">
        <v>1277</v>
      </c>
      <c r="N424" s="193">
        <v>46173</v>
      </c>
      <c r="O424" s="193">
        <v>46173</v>
      </c>
      <c r="P424" s="251">
        <v>12044473</v>
      </c>
      <c r="Q424" s="192" t="s">
        <v>457</v>
      </c>
      <c r="R424" s="192" t="s">
        <v>259</v>
      </c>
      <c r="S424" s="194" t="s">
        <v>14</v>
      </c>
      <c r="T424" s="64" t="str">
        <f t="shared" si="24"/>
        <v>Đ</v>
      </c>
      <c r="U424" s="66">
        <f t="shared" si="25"/>
        <v>0</v>
      </c>
      <c r="V424" s="62">
        <f t="shared" si="26"/>
        <v>13311</v>
      </c>
    </row>
    <row r="425" spans="1:22" ht="21.6" hidden="1" x14ac:dyDescent="0.3">
      <c r="A425" s="192">
        <v>408</v>
      </c>
      <c r="B425" s="194" t="s">
        <v>469</v>
      </c>
      <c r="C425" s="296" t="s">
        <v>511</v>
      </c>
      <c r="D425" s="193">
        <v>46148</v>
      </c>
      <c r="E425" s="194" t="s">
        <v>1278</v>
      </c>
      <c r="F425" s="296" t="s">
        <v>584</v>
      </c>
      <c r="G425" s="194" t="s">
        <v>1288</v>
      </c>
      <c r="H425" s="286">
        <v>297356510</v>
      </c>
      <c r="I425" s="192">
        <v>8</v>
      </c>
      <c r="J425" s="286">
        <v>23788521</v>
      </c>
      <c r="K425" s="194" t="s">
        <v>12</v>
      </c>
      <c r="L425" s="194" t="s">
        <v>15</v>
      </c>
      <c r="M425" s="296" t="s">
        <v>1277</v>
      </c>
      <c r="N425" s="193">
        <v>46173</v>
      </c>
      <c r="O425" s="193">
        <v>46173</v>
      </c>
      <c r="P425" s="251">
        <v>321145031</v>
      </c>
      <c r="Q425" s="192" t="s">
        <v>457</v>
      </c>
      <c r="R425" s="192" t="s">
        <v>259</v>
      </c>
      <c r="S425" s="194" t="s">
        <v>14</v>
      </c>
      <c r="T425" s="64" t="str">
        <f t="shared" si="24"/>
        <v>Đ</v>
      </c>
      <c r="U425" s="66">
        <f t="shared" si="25"/>
        <v>0</v>
      </c>
      <c r="V425" s="62">
        <f t="shared" si="26"/>
        <v>13311</v>
      </c>
    </row>
    <row r="426" spans="1:22" ht="21.6" hidden="1" x14ac:dyDescent="0.3">
      <c r="A426" s="192">
        <v>409</v>
      </c>
      <c r="B426" s="194" t="s">
        <v>469</v>
      </c>
      <c r="C426" s="296" t="s">
        <v>349</v>
      </c>
      <c r="D426" s="193">
        <v>46148</v>
      </c>
      <c r="E426" s="194" t="s">
        <v>1278</v>
      </c>
      <c r="F426" s="296" t="s">
        <v>584</v>
      </c>
      <c r="G426" s="194" t="s">
        <v>1288</v>
      </c>
      <c r="H426" s="286">
        <v>294847350</v>
      </c>
      <c r="I426" s="192">
        <v>8</v>
      </c>
      <c r="J426" s="286">
        <v>23587788</v>
      </c>
      <c r="K426" s="194" t="s">
        <v>12</v>
      </c>
      <c r="L426" s="194" t="s">
        <v>15</v>
      </c>
      <c r="M426" s="296" t="s">
        <v>1277</v>
      </c>
      <c r="N426" s="193">
        <v>46173</v>
      </c>
      <c r="O426" s="193">
        <v>46173</v>
      </c>
      <c r="P426" s="251">
        <v>318435138</v>
      </c>
      <c r="Q426" s="192" t="s">
        <v>457</v>
      </c>
      <c r="R426" s="192" t="s">
        <v>259</v>
      </c>
      <c r="S426" s="194" t="s">
        <v>14</v>
      </c>
      <c r="T426" s="64" t="str">
        <f t="shared" si="24"/>
        <v>Đ</v>
      </c>
      <c r="U426" s="66">
        <f t="shared" si="25"/>
        <v>0</v>
      </c>
      <c r="V426" s="62">
        <f t="shared" si="26"/>
        <v>13311</v>
      </c>
    </row>
    <row r="427" spans="1:22" ht="21.6" hidden="1" x14ac:dyDescent="0.3">
      <c r="A427" s="192">
        <v>410</v>
      </c>
      <c r="B427" s="194" t="s">
        <v>291</v>
      </c>
      <c r="C427" s="296" t="s">
        <v>351</v>
      </c>
      <c r="D427" s="193">
        <v>46148</v>
      </c>
      <c r="E427" s="194" t="s">
        <v>748</v>
      </c>
      <c r="F427" s="296" t="s">
        <v>1376</v>
      </c>
      <c r="G427" s="194" t="s">
        <v>1288</v>
      </c>
      <c r="H427" s="286">
        <v>104620605</v>
      </c>
      <c r="I427" s="192">
        <v>8</v>
      </c>
      <c r="J427" s="286">
        <v>8369648</v>
      </c>
      <c r="K427" s="194" t="s">
        <v>12</v>
      </c>
      <c r="L427" s="194" t="s">
        <v>15</v>
      </c>
      <c r="M427" s="296" t="s">
        <v>1277</v>
      </c>
      <c r="N427" s="193">
        <v>46173</v>
      </c>
      <c r="O427" s="193">
        <v>46173</v>
      </c>
      <c r="P427" s="251">
        <v>112990253</v>
      </c>
      <c r="Q427" s="192" t="s">
        <v>457</v>
      </c>
      <c r="R427" s="192" t="s">
        <v>259</v>
      </c>
      <c r="S427" s="194" t="s">
        <v>14</v>
      </c>
      <c r="T427" s="64" t="str">
        <f t="shared" si="24"/>
        <v>Đ</v>
      </c>
      <c r="U427" s="66">
        <f t="shared" si="25"/>
        <v>0</v>
      </c>
      <c r="V427" s="62">
        <f t="shared" si="26"/>
        <v>13311</v>
      </c>
    </row>
    <row r="428" spans="1:22" ht="21.6" hidden="1" x14ac:dyDescent="0.3">
      <c r="A428" s="192">
        <v>411</v>
      </c>
      <c r="B428" s="194" t="s">
        <v>345</v>
      </c>
      <c r="C428" s="296" t="s">
        <v>1377</v>
      </c>
      <c r="D428" s="193">
        <v>46148</v>
      </c>
      <c r="E428" s="194" t="s">
        <v>475</v>
      </c>
      <c r="F428" s="296" t="s">
        <v>476</v>
      </c>
      <c r="G428" s="194" t="s">
        <v>1288</v>
      </c>
      <c r="H428" s="286">
        <v>671495</v>
      </c>
      <c r="I428" s="192">
        <v>8</v>
      </c>
      <c r="J428" s="286">
        <v>53720</v>
      </c>
      <c r="K428" s="194" t="s">
        <v>12</v>
      </c>
      <c r="L428" s="194" t="s">
        <v>15</v>
      </c>
      <c r="M428" s="296" t="s">
        <v>1277</v>
      </c>
      <c r="N428" s="193">
        <v>46173</v>
      </c>
      <c r="O428" s="193">
        <v>46173</v>
      </c>
      <c r="P428" s="251">
        <v>725215</v>
      </c>
      <c r="Q428" s="192" t="s">
        <v>457</v>
      </c>
      <c r="R428" s="192" t="s">
        <v>259</v>
      </c>
      <c r="S428" s="194" t="s">
        <v>14</v>
      </c>
      <c r="T428" s="64" t="str">
        <f t="shared" si="24"/>
        <v>Đ</v>
      </c>
      <c r="U428" s="66">
        <f t="shared" si="25"/>
        <v>0</v>
      </c>
      <c r="V428" s="62">
        <f t="shared" si="26"/>
        <v>13311</v>
      </c>
    </row>
    <row r="429" spans="1:22" ht="21.6" hidden="1" x14ac:dyDescent="0.3">
      <c r="A429" s="192">
        <v>412</v>
      </c>
      <c r="B429" s="194" t="s">
        <v>345</v>
      </c>
      <c r="C429" s="296" t="s">
        <v>1378</v>
      </c>
      <c r="D429" s="193">
        <v>46148</v>
      </c>
      <c r="E429" s="194" t="s">
        <v>475</v>
      </c>
      <c r="F429" s="296" t="s">
        <v>476</v>
      </c>
      <c r="G429" s="194" t="s">
        <v>1288</v>
      </c>
      <c r="H429" s="286">
        <v>1591380</v>
      </c>
      <c r="I429" s="192">
        <v>8</v>
      </c>
      <c r="J429" s="286">
        <v>127310</v>
      </c>
      <c r="K429" s="194" t="s">
        <v>12</v>
      </c>
      <c r="L429" s="194" t="s">
        <v>15</v>
      </c>
      <c r="M429" s="296" t="s">
        <v>1277</v>
      </c>
      <c r="N429" s="193">
        <v>46173</v>
      </c>
      <c r="O429" s="193">
        <v>46173</v>
      </c>
      <c r="P429" s="251">
        <v>1718690</v>
      </c>
      <c r="Q429" s="192" t="s">
        <v>457</v>
      </c>
      <c r="R429" s="192" t="s">
        <v>259</v>
      </c>
      <c r="S429" s="194" t="s">
        <v>14</v>
      </c>
      <c r="T429" s="64" t="str">
        <f t="shared" si="24"/>
        <v>Đ</v>
      </c>
      <c r="U429" s="66">
        <f t="shared" si="25"/>
        <v>0</v>
      </c>
      <c r="V429" s="62">
        <f t="shared" si="26"/>
        <v>13311</v>
      </c>
    </row>
    <row r="430" spans="1:22" ht="21.6" hidden="1" x14ac:dyDescent="0.3">
      <c r="A430" s="192">
        <v>413</v>
      </c>
      <c r="B430" s="194" t="s">
        <v>291</v>
      </c>
      <c r="C430" s="296" t="s">
        <v>526</v>
      </c>
      <c r="D430" s="193">
        <v>46148</v>
      </c>
      <c r="E430" s="194" t="s">
        <v>750</v>
      </c>
      <c r="F430" s="296" t="s">
        <v>1376</v>
      </c>
      <c r="G430" s="194" t="s">
        <v>1288</v>
      </c>
      <c r="H430" s="286">
        <v>184985295</v>
      </c>
      <c r="I430" s="192">
        <v>8</v>
      </c>
      <c r="J430" s="286">
        <v>14798824</v>
      </c>
      <c r="K430" s="194" t="s">
        <v>12</v>
      </c>
      <c r="L430" s="194" t="s">
        <v>15</v>
      </c>
      <c r="M430" s="296" t="s">
        <v>1277</v>
      </c>
      <c r="N430" s="193">
        <v>46173</v>
      </c>
      <c r="O430" s="193">
        <v>46173</v>
      </c>
      <c r="P430" s="251">
        <v>199784119</v>
      </c>
      <c r="Q430" s="192" t="s">
        <v>457</v>
      </c>
      <c r="R430" s="192" t="s">
        <v>259</v>
      </c>
      <c r="S430" s="194" t="s">
        <v>14</v>
      </c>
      <c r="T430" s="64" t="str">
        <f t="shared" si="24"/>
        <v>Đ</v>
      </c>
      <c r="U430" s="66">
        <f t="shared" si="25"/>
        <v>0</v>
      </c>
      <c r="V430" s="62">
        <f t="shared" si="26"/>
        <v>13311</v>
      </c>
    </row>
    <row r="431" spans="1:22" ht="21.6" hidden="1" x14ac:dyDescent="0.3">
      <c r="A431" s="192">
        <v>414</v>
      </c>
      <c r="B431" s="194" t="s">
        <v>292</v>
      </c>
      <c r="C431" s="296" t="s">
        <v>531</v>
      </c>
      <c r="D431" s="193">
        <v>46148</v>
      </c>
      <c r="E431" s="194" t="s">
        <v>791</v>
      </c>
      <c r="F431" s="296" t="s">
        <v>745</v>
      </c>
      <c r="G431" s="194" t="s">
        <v>1288</v>
      </c>
      <c r="H431" s="286">
        <v>8224235</v>
      </c>
      <c r="I431" s="192">
        <v>8</v>
      </c>
      <c r="J431" s="286">
        <v>657939</v>
      </c>
      <c r="K431" s="194" t="s">
        <v>12</v>
      </c>
      <c r="L431" s="194" t="s">
        <v>15</v>
      </c>
      <c r="M431" s="296" t="s">
        <v>1277</v>
      </c>
      <c r="N431" s="193">
        <v>46173</v>
      </c>
      <c r="O431" s="193">
        <v>46173</v>
      </c>
      <c r="P431" s="251">
        <v>8882174</v>
      </c>
      <c r="Q431" s="192" t="s">
        <v>457</v>
      </c>
      <c r="R431" s="192" t="s">
        <v>259</v>
      </c>
      <c r="S431" s="194" t="s">
        <v>14</v>
      </c>
      <c r="T431" s="64" t="str">
        <f t="shared" si="24"/>
        <v>Đ</v>
      </c>
      <c r="U431" s="66">
        <f t="shared" si="25"/>
        <v>0</v>
      </c>
      <c r="V431" s="62">
        <f t="shared" si="26"/>
        <v>13311</v>
      </c>
    </row>
    <row r="432" spans="1:22" ht="21.6" hidden="1" x14ac:dyDescent="0.3">
      <c r="A432" s="192">
        <v>415</v>
      </c>
      <c r="B432" s="194" t="s">
        <v>291</v>
      </c>
      <c r="C432" s="296" t="s">
        <v>531</v>
      </c>
      <c r="D432" s="193">
        <v>46148</v>
      </c>
      <c r="E432" s="194" t="s">
        <v>750</v>
      </c>
      <c r="F432" s="296" t="s">
        <v>1376</v>
      </c>
      <c r="G432" s="194" t="s">
        <v>1288</v>
      </c>
      <c r="H432" s="286">
        <v>182530865</v>
      </c>
      <c r="I432" s="192">
        <v>8</v>
      </c>
      <c r="J432" s="286">
        <v>14602469</v>
      </c>
      <c r="K432" s="194" t="s">
        <v>12</v>
      </c>
      <c r="L432" s="194" t="s">
        <v>15</v>
      </c>
      <c r="M432" s="296" t="s">
        <v>1277</v>
      </c>
      <c r="N432" s="193">
        <v>46173</v>
      </c>
      <c r="O432" s="193">
        <v>46173</v>
      </c>
      <c r="P432" s="251">
        <v>197133334</v>
      </c>
      <c r="Q432" s="192" t="s">
        <v>457</v>
      </c>
      <c r="R432" s="192" t="s">
        <v>259</v>
      </c>
      <c r="S432" s="194" t="s">
        <v>14</v>
      </c>
      <c r="T432" s="64" t="str">
        <f t="shared" si="24"/>
        <v>Đ</v>
      </c>
      <c r="U432" s="66">
        <f t="shared" si="25"/>
        <v>0</v>
      </c>
      <c r="V432" s="62">
        <f t="shared" si="26"/>
        <v>13311</v>
      </c>
    </row>
    <row r="433" spans="1:22" ht="21.6" hidden="1" x14ac:dyDescent="0.3">
      <c r="A433" s="192">
        <v>416</v>
      </c>
      <c r="B433" s="194" t="s">
        <v>469</v>
      </c>
      <c r="C433" s="296" t="s">
        <v>531</v>
      </c>
      <c r="D433" s="193">
        <v>46148</v>
      </c>
      <c r="E433" s="194" t="s">
        <v>1280</v>
      </c>
      <c r="F433" s="296" t="s">
        <v>1281</v>
      </c>
      <c r="G433" s="194" t="s">
        <v>1288</v>
      </c>
      <c r="H433" s="286">
        <v>275355050</v>
      </c>
      <c r="I433" s="192">
        <v>8</v>
      </c>
      <c r="J433" s="286">
        <v>22028404</v>
      </c>
      <c r="K433" s="194" t="s">
        <v>12</v>
      </c>
      <c r="L433" s="194" t="s">
        <v>15</v>
      </c>
      <c r="M433" s="296" t="s">
        <v>1277</v>
      </c>
      <c r="N433" s="193">
        <v>46173</v>
      </c>
      <c r="O433" s="193">
        <v>46173</v>
      </c>
      <c r="P433" s="251">
        <v>297383454</v>
      </c>
      <c r="Q433" s="192" t="s">
        <v>457</v>
      </c>
      <c r="R433" s="192" t="s">
        <v>259</v>
      </c>
      <c r="S433" s="194" t="s">
        <v>14</v>
      </c>
      <c r="T433" s="64" t="str">
        <f t="shared" si="24"/>
        <v>Đ</v>
      </c>
      <c r="U433" s="66">
        <f t="shared" si="25"/>
        <v>0</v>
      </c>
      <c r="V433" s="62">
        <f t="shared" si="26"/>
        <v>13311</v>
      </c>
    </row>
    <row r="434" spans="1:22" ht="21.6" hidden="1" x14ac:dyDescent="0.3">
      <c r="A434" s="192">
        <v>417</v>
      </c>
      <c r="B434" s="194" t="s">
        <v>469</v>
      </c>
      <c r="C434" s="296" t="s">
        <v>535</v>
      </c>
      <c r="D434" s="193">
        <v>46148</v>
      </c>
      <c r="E434" s="194" t="s">
        <v>1280</v>
      </c>
      <c r="F434" s="296" t="s">
        <v>1281</v>
      </c>
      <c r="G434" s="194" t="s">
        <v>1288</v>
      </c>
      <c r="H434" s="286">
        <v>142523235</v>
      </c>
      <c r="I434" s="192">
        <v>8</v>
      </c>
      <c r="J434" s="286">
        <v>11401859</v>
      </c>
      <c r="K434" s="194" t="s">
        <v>12</v>
      </c>
      <c r="L434" s="194" t="s">
        <v>15</v>
      </c>
      <c r="M434" s="296" t="s">
        <v>1277</v>
      </c>
      <c r="N434" s="193">
        <v>46173</v>
      </c>
      <c r="O434" s="193">
        <v>46173</v>
      </c>
      <c r="P434" s="251">
        <v>153925094</v>
      </c>
      <c r="Q434" s="192" t="s">
        <v>457</v>
      </c>
      <c r="R434" s="192" t="s">
        <v>259</v>
      </c>
      <c r="S434" s="194" t="s">
        <v>14</v>
      </c>
      <c r="T434" s="64" t="str">
        <f t="shared" si="24"/>
        <v>Đ</v>
      </c>
      <c r="U434" s="66">
        <f t="shared" si="25"/>
        <v>0</v>
      </c>
      <c r="V434" s="62">
        <f t="shared" si="26"/>
        <v>13311</v>
      </c>
    </row>
    <row r="435" spans="1:22" ht="21.6" hidden="1" x14ac:dyDescent="0.3">
      <c r="A435" s="192">
        <v>418</v>
      </c>
      <c r="B435" s="194" t="s">
        <v>291</v>
      </c>
      <c r="C435" s="296" t="s">
        <v>342</v>
      </c>
      <c r="D435" s="193">
        <v>46148</v>
      </c>
      <c r="E435" s="194" t="s">
        <v>529</v>
      </c>
      <c r="F435" s="296" t="s">
        <v>697</v>
      </c>
      <c r="G435" s="194" t="s">
        <v>1288</v>
      </c>
      <c r="H435" s="286">
        <v>318835930</v>
      </c>
      <c r="I435" s="192">
        <v>8</v>
      </c>
      <c r="J435" s="286">
        <v>25506874</v>
      </c>
      <c r="K435" s="194" t="s">
        <v>12</v>
      </c>
      <c r="L435" s="194" t="s">
        <v>15</v>
      </c>
      <c r="M435" s="296" t="s">
        <v>1277</v>
      </c>
      <c r="N435" s="193">
        <v>46173</v>
      </c>
      <c r="O435" s="193">
        <v>46173</v>
      </c>
      <c r="P435" s="251">
        <v>344342804</v>
      </c>
      <c r="Q435" s="192" t="s">
        <v>457</v>
      </c>
      <c r="R435" s="192" t="s">
        <v>259</v>
      </c>
      <c r="S435" s="194" t="s">
        <v>14</v>
      </c>
      <c r="T435" s="64" t="str">
        <f t="shared" si="24"/>
        <v>Đ</v>
      </c>
      <c r="U435" s="66">
        <f t="shared" si="25"/>
        <v>0</v>
      </c>
      <c r="V435" s="62">
        <f t="shared" si="26"/>
        <v>13311</v>
      </c>
    </row>
    <row r="436" spans="1:22" ht="21.6" hidden="1" x14ac:dyDescent="0.3">
      <c r="A436" s="192">
        <v>419</v>
      </c>
      <c r="B436" s="194" t="s">
        <v>291</v>
      </c>
      <c r="C436" s="296" t="s">
        <v>544</v>
      </c>
      <c r="D436" s="193">
        <v>46148</v>
      </c>
      <c r="E436" s="194" t="s">
        <v>529</v>
      </c>
      <c r="F436" s="296" t="s">
        <v>697</v>
      </c>
      <c r="G436" s="194" t="s">
        <v>1288</v>
      </c>
      <c r="H436" s="286">
        <v>320976715</v>
      </c>
      <c r="I436" s="192">
        <v>8</v>
      </c>
      <c r="J436" s="286">
        <v>25678137</v>
      </c>
      <c r="K436" s="194" t="s">
        <v>12</v>
      </c>
      <c r="L436" s="194" t="s">
        <v>15</v>
      </c>
      <c r="M436" s="296" t="s">
        <v>1277</v>
      </c>
      <c r="N436" s="193">
        <v>46173</v>
      </c>
      <c r="O436" s="193">
        <v>46173</v>
      </c>
      <c r="P436" s="251">
        <v>346654852</v>
      </c>
      <c r="Q436" s="192" t="s">
        <v>457</v>
      </c>
      <c r="R436" s="192" t="s">
        <v>259</v>
      </c>
      <c r="S436" s="194" t="s">
        <v>14</v>
      </c>
      <c r="T436" s="64" t="str">
        <f t="shared" si="24"/>
        <v>Đ</v>
      </c>
      <c r="U436" s="66">
        <f t="shared" si="25"/>
        <v>0</v>
      </c>
      <c r="V436" s="62">
        <f t="shared" si="26"/>
        <v>13311</v>
      </c>
    </row>
    <row r="437" spans="1:22" ht="21.6" hidden="1" x14ac:dyDescent="0.3">
      <c r="A437" s="192">
        <v>420</v>
      </c>
      <c r="B437" s="194" t="s">
        <v>469</v>
      </c>
      <c r="C437" s="296" t="s">
        <v>544</v>
      </c>
      <c r="D437" s="193">
        <v>46148</v>
      </c>
      <c r="E437" s="194" t="s">
        <v>1282</v>
      </c>
      <c r="F437" s="296" t="s">
        <v>1283</v>
      </c>
      <c r="G437" s="194" t="s">
        <v>1288</v>
      </c>
      <c r="H437" s="286">
        <v>266796120</v>
      </c>
      <c r="I437" s="192">
        <v>8</v>
      </c>
      <c r="J437" s="286">
        <v>21343690</v>
      </c>
      <c r="K437" s="194" t="s">
        <v>12</v>
      </c>
      <c r="L437" s="194" t="s">
        <v>15</v>
      </c>
      <c r="M437" s="296" t="s">
        <v>1277</v>
      </c>
      <c r="N437" s="193">
        <v>46173</v>
      </c>
      <c r="O437" s="193">
        <v>46173</v>
      </c>
      <c r="P437" s="251">
        <v>288139810</v>
      </c>
      <c r="Q437" s="192" t="s">
        <v>457</v>
      </c>
      <c r="R437" s="192" t="s">
        <v>259</v>
      </c>
      <c r="S437" s="194" t="s">
        <v>14</v>
      </c>
      <c r="T437" s="64" t="str">
        <f t="shared" si="24"/>
        <v>Đ</v>
      </c>
      <c r="U437" s="66">
        <f t="shared" si="25"/>
        <v>0</v>
      </c>
      <c r="V437" s="62">
        <f t="shared" si="26"/>
        <v>13311</v>
      </c>
    </row>
    <row r="438" spans="1:22" ht="21.6" hidden="1" x14ac:dyDescent="0.3">
      <c r="A438" s="192">
        <v>421</v>
      </c>
      <c r="B438" s="194" t="s">
        <v>469</v>
      </c>
      <c r="C438" s="296" t="s">
        <v>551</v>
      </c>
      <c r="D438" s="193">
        <v>46148</v>
      </c>
      <c r="E438" s="194" t="s">
        <v>1282</v>
      </c>
      <c r="F438" s="296" t="s">
        <v>1283</v>
      </c>
      <c r="G438" s="194" t="s">
        <v>1288</v>
      </c>
      <c r="H438" s="286">
        <v>237938675</v>
      </c>
      <c r="I438" s="192">
        <v>8</v>
      </c>
      <c r="J438" s="286">
        <v>19035094</v>
      </c>
      <c r="K438" s="194" t="s">
        <v>12</v>
      </c>
      <c r="L438" s="194" t="s">
        <v>15</v>
      </c>
      <c r="M438" s="296" t="s">
        <v>1277</v>
      </c>
      <c r="N438" s="193">
        <v>46173</v>
      </c>
      <c r="O438" s="193">
        <v>46173</v>
      </c>
      <c r="P438" s="251">
        <v>256973769</v>
      </c>
      <c r="Q438" s="192" t="s">
        <v>457</v>
      </c>
      <c r="R438" s="192" t="s">
        <v>259</v>
      </c>
      <c r="S438" s="194" t="s">
        <v>14</v>
      </c>
      <c r="T438" s="64" t="str">
        <f t="shared" si="24"/>
        <v>Đ</v>
      </c>
      <c r="U438" s="66">
        <f t="shared" si="25"/>
        <v>0</v>
      </c>
      <c r="V438" s="62">
        <f t="shared" si="26"/>
        <v>13311</v>
      </c>
    </row>
    <row r="439" spans="1:22" ht="21.6" hidden="1" x14ac:dyDescent="0.3">
      <c r="A439" s="192">
        <v>422</v>
      </c>
      <c r="B439" s="194" t="s">
        <v>291</v>
      </c>
      <c r="C439" s="296" t="s">
        <v>551</v>
      </c>
      <c r="D439" s="193">
        <v>46148</v>
      </c>
      <c r="E439" s="194" t="s">
        <v>529</v>
      </c>
      <c r="F439" s="296" t="s">
        <v>697</v>
      </c>
      <c r="G439" s="194" t="s">
        <v>1288</v>
      </c>
      <c r="H439" s="286">
        <v>322961730</v>
      </c>
      <c r="I439" s="192">
        <v>8</v>
      </c>
      <c r="J439" s="286">
        <v>25836938</v>
      </c>
      <c r="K439" s="194" t="s">
        <v>12</v>
      </c>
      <c r="L439" s="194" t="s">
        <v>15</v>
      </c>
      <c r="M439" s="296" t="s">
        <v>1277</v>
      </c>
      <c r="N439" s="193">
        <v>46173</v>
      </c>
      <c r="O439" s="193">
        <v>46173</v>
      </c>
      <c r="P439" s="251">
        <v>348798668</v>
      </c>
      <c r="Q439" s="192" t="s">
        <v>457</v>
      </c>
      <c r="R439" s="192" t="s">
        <v>259</v>
      </c>
      <c r="S439" s="194" t="s">
        <v>14</v>
      </c>
      <c r="T439" s="64" t="str">
        <f t="shared" si="24"/>
        <v>Đ</v>
      </c>
      <c r="U439" s="66">
        <f t="shared" si="25"/>
        <v>0</v>
      </c>
      <c r="V439" s="62">
        <f t="shared" si="26"/>
        <v>13311</v>
      </c>
    </row>
    <row r="440" spans="1:22" ht="21.6" hidden="1" x14ac:dyDescent="0.3">
      <c r="A440" s="192">
        <v>423</v>
      </c>
      <c r="B440" s="194" t="s">
        <v>492</v>
      </c>
      <c r="C440" s="296" t="s">
        <v>551</v>
      </c>
      <c r="D440" s="193">
        <v>46148</v>
      </c>
      <c r="E440" s="194" t="s">
        <v>702</v>
      </c>
      <c r="F440" s="296" t="s">
        <v>617</v>
      </c>
      <c r="G440" s="194" t="s">
        <v>1288</v>
      </c>
      <c r="H440" s="286">
        <v>69077680</v>
      </c>
      <c r="I440" s="192">
        <v>8</v>
      </c>
      <c r="J440" s="286">
        <v>5526214</v>
      </c>
      <c r="K440" s="194" t="s">
        <v>12</v>
      </c>
      <c r="L440" s="194" t="s">
        <v>15</v>
      </c>
      <c r="M440" s="296" t="s">
        <v>1277</v>
      </c>
      <c r="N440" s="193">
        <v>46173</v>
      </c>
      <c r="O440" s="193">
        <v>46173</v>
      </c>
      <c r="P440" s="251">
        <v>74603894</v>
      </c>
      <c r="Q440" s="192" t="s">
        <v>457</v>
      </c>
      <c r="R440" s="192" t="s">
        <v>259</v>
      </c>
      <c r="S440" s="194" t="s">
        <v>14</v>
      </c>
      <c r="T440" s="64" t="str">
        <f t="shared" si="24"/>
        <v>Đ</v>
      </c>
      <c r="U440" s="66">
        <f t="shared" si="25"/>
        <v>0</v>
      </c>
      <c r="V440" s="62">
        <f t="shared" si="26"/>
        <v>13311</v>
      </c>
    </row>
    <row r="441" spans="1:22" ht="21.6" hidden="1" x14ac:dyDescent="0.3">
      <c r="A441" s="192">
        <v>424</v>
      </c>
      <c r="B441" s="194" t="s">
        <v>291</v>
      </c>
      <c r="C441" s="296" t="s">
        <v>300</v>
      </c>
      <c r="D441" s="193">
        <v>46148</v>
      </c>
      <c r="E441" s="194" t="s">
        <v>529</v>
      </c>
      <c r="F441" s="296" t="s">
        <v>697</v>
      </c>
      <c r="G441" s="194" t="s">
        <v>1288</v>
      </c>
      <c r="H441" s="286">
        <v>311697875</v>
      </c>
      <c r="I441" s="192">
        <v>8</v>
      </c>
      <c r="J441" s="286">
        <v>24935830</v>
      </c>
      <c r="K441" s="194" t="s">
        <v>12</v>
      </c>
      <c r="L441" s="194" t="s">
        <v>15</v>
      </c>
      <c r="M441" s="296" t="s">
        <v>1277</v>
      </c>
      <c r="N441" s="193">
        <v>46173</v>
      </c>
      <c r="O441" s="193">
        <v>46173</v>
      </c>
      <c r="P441" s="251">
        <v>336633705</v>
      </c>
      <c r="Q441" s="192" t="s">
        <v>457</v>
      </c>
      <c r="R441" s="192" t="s">
        <v>259</v>
      </c>
      <c r="S441" s="194" t="s">
        <v>14</v>
      </c>
      <c r="T441" s="64" t="str">
        <f t="shared" si="24"/>
        <v>Đ</v>
      </c>
      <c r="U441" s="66">
        <f t="shared" si="25"/>
        <v>0</v>
      </c>
      <c r="V441" s="62">
        <f t="shared" si="26"/>
        <v>13311</v>
      </c>
    </row>
    <row r="442" spans="1:22" ht="21.6" hidden="1" x14ac:dyDescent="0.3">
      <c r="A442" s="192">
        <v>425</v>
      </c>
      <c r="B442" s="194" t="s">
        <v>492</v>
      </c>
      <c r="C442" s="296" t="s">
        <v>858</v>
      </c>
      <c r="D442" s="193">
        <v>46148</v>
      </c>
      <c r="E442" s="194" t="s">
        <v>702</v>
      </c>
      <c r="F442" s="296" t="s">
        <v>617</v>
      </c>
      <c r="G442" s="194" t="s">
        <v>1288</v>
      </c>
      <c r="H442" s="286">
        <v>112407000</v>
      </c>
      <c r="I442" s="192">
        <v>8</v>
      </c>
      <c r="J442" s="286">
        <v>8992560</v>
      </c>
      <c r="K442" s="194" t="s">
        <v>12</v>
      </c>
      <c r="L442" s="194" t="s">
        <v>15</v>
      </c>
      <c r="M442" s="296" t="s">
        <v>1277</v>
      </c>
      <c r="N442" s="193">
        <v>46173</v>
      </c>
      <c r="O442" s="193">
        <v>46173</v>
      </c>
      <c r="P442" s="251">
        <v>121399560</v>
      </c>
      <c r="Q442" s="192" t="s">
        <v>457</v>
      </c>
      <c r="R442" s="192" t="s">
        <v>259</v>
      </c>
      <c r="S442" s="194" t="s">
        <v>14</v>
      </c>
      <c r="T442" s="64" t="str">
        <f t="shared" si="24"/>
        <v>Đ</v>
      </c>
      <c r="U442" s="66">
        <f t="shared" si="25"/>
        <v>0</v>
      </c>
      <c r="V442" s="62">
        <f t="shared" si="26"/>
        <v>13311</v>
      </c>
    </row>
    <row r="443" spans="1:22" ht="21.6" hidden="1" x14ac:dyDescent="0.3">
      <c r="A443" s="192">
        <v>426</v>
      </c>
      <c r="B443" s="194" t="s">
        <v>492</v>
      </c>
      <c r="C443" s="296" t="s">
        <v>559</v>
      </c>
      <c r="D443" s="193">
        <v>46148</v>
      </c>
      <c r="E443" s="194" t="s">
        <v>702</v>
      </c>
      <c r="F443" s="296" t="s">
        <v>617</v>
      </c>
      <c r="G443" s="194" t="s">
        <v>1288</v>
      </c>
      <c r="H443" s="286">
        <v>177398875</v>
      </c>
      <c r="I443" s="192">
        <v>8</v>
      </c>
      <c r="J443" s="286">
        <v>14191910</v>
      </c>
      <c r="K443" s="194" t="s">
        <v>12</v>
      </c>
      <c r="L443" s="194" t="s">
        <v>15</v>
      </c>
      <c r="M443" s="296" t="s">
        <v>1277</v>
      </c>
      <c r="N443" s="193">
        <v>46173</v>
      </c>
      <c r="O443" s="193">
        <v>46173</v>
      </c>
      <c r="P443" s="251">
        <v>191590785</v>
      </c>
      <c r="Q443" s="192" t="s">
        <v>457</v>
      </c>
      <c r="R443" s="192" t="s">
        <v>259</v>
      </c>
      <c r="S443" s="194" t="s">
        <v>14</v>
      </c>
      <c r="T443" s="64" t="str">
        <f t="shared" si="24"/>
        <v>Đ</v>
      </c>
      <c r="U443" s="66">
        <f t="shared" si="25"/>
        <v>0</v>
      </c>
      <c r="V443" s="62">
        <f t="shared" si="26"/>
        <v>13311</v>
      </c>
    </row>
    <row r="444" spans="1:22" ht="21.6" hidden="1" x14ac:dyDescent="0.3">
      <c r="A444" s="192">
        <v>427</v>
      </c>
      <c r="B444" s="194" t="s">
        <v>546</v>
      </c>
      <c r="C444" s="296" t="s">
        <v>898</v>
      </c>
      <c r="D444" s="193">
        <v>46148</v>
      </c>
      <c r="E444" s="194" t="s">
        <v>547</v>
      </c>
      <c r="F444" s="296" t="s">
        <v>812</v>
      </c>
      <c r="G444" s="194" t="s">
        <v>1288</v>
      </c>
      <c r="H444" s="286">
        <v>237170350</v>
      </c>
      <c r="I444" s="192">
        <v>8</v>
      </c>
      <c r="J444" s="286">
        <v>18973628</v>
      </c>
      <c r="K444" s="194" t="s">
        <v>12</v>
      </c>
      <c r="L444" s="194" t="s">
        <v>15</v>
      </c>
      <c r="M444" s="296" t="s">
        <v>1277</v>
      </c>
      <c r="N444" s="193">
        <v>46173</v>
      </c>
      <c r="O444" s="193">
        <v>46173</v>
      </c>
      <c r="P444" s="251">
        <v>256143978</v>
      </c>
      <c r="Q444" s="192" t="s">
        <v>457</v>
      </c>
      <c r="R444" s="192" t="s">
        <v>259</v>
      </c>
      <c r="S444" s="194" t="s">
        <v>14</v>
      </c>
      <c r="T444" s="64" t="str">
        <f t="shared" si="24"/>
        <v>Đ</v>
      </c>
      <c r="U444" s="66">
        <f t="shared" si="25"/>
        <v>0</v>
      </c>
      <c r="V444" s="62">
        <f t="shared" si="26"/>
        <v>13311</v>
      </c>
    </row>
    <row r="445" spans="1:22" ht="21.6" hidden="1" x14ac:dyDescent="0.3">
      <c r="A445" s="192">
        <v>428</v>
      </c>
      <c r="B445" s="194" t="s">
        <v>546</v>
      </c>
      <c r="C445" s="296" t="s">
        <v>938</v>
      </c>
      <c r="D445" s="193">
        <v>46148</v>
      </c>
      <c r="E445" s="194" t="s">
        <v>560</v>
      </c>
      <c r="F445" s="296" t="s">
        <v>491</v>
      </c>
      <c r="G445" s="194" t="s">
        <v>1288</v>
      </c>
      <c r="H445" s="286">
        <v>253515675</v>
      </c>
      <c r="I445" s="192">
        <v>8</v>
      </c>
      <c r="J445" s="286">
        <v>20281254</v>
      </c>
      <c r="K445" s="194" t="s">
        <v>12</v>
      </c>
      <c r="L445" s="194" t="s">
        <v>15</v>
      </c>
      <c r="M445" s="296" t="s">
        <v>1277</v>
      </c>
      <c r="N445" s="193">
        <v>46173</v>
      </c>
      <c r="O445" s="193">
        <v>46173</v>
      </c>
      <c r="P445" s="251">
        <v>273796929</v>
      </c>
      <c r="Q445" s="192" t="s">
        <v>457</v>
      </c>
      <c r="R445" s="192" t="s">
        <v>259</v>
      </c>
      <c r="S445" s="194" t="s">
        <v>14</v>
      </c>
      <c r="T445" s="64" t="str">
        <f t="shared" si="24"/>
        <v>Đ</v>
      </c>
      <c r="U445" s="66">
        <f t="shared" si="25"/>
        <v>0</v>
      </c>
      <c r="V445" s="62">
        <f t="shared" si="26"/>
        <v>13311</v>
      </c>
    </row>
    <row r="446" spans="1:22" ht="21.6" hidden="1" x14ac:dyDescent="0.3">
      <c r="A446" s="192">
        <v>429</v>
      </c>
      <c r="B446" s="194" t="s">
        <v>294</v>
      </c>
      <c r="C446" s="296" t="s">
        <v>435</v>
      </c>
      <c r="D446" s="193">
        <v>46148</v>
      </c>
      <c r="E446" s="194" t="s">
        <v>794</v>
      </c>
      <c r="F446" s="296" t="s">
        <v>516</v>
      </c>
      <c r="G446" s="194" t="s">
        <v>1288</v>
      </c>
      <c r="H446" s="286">
        <v>214710</v>
      </c>
      <c r="I446" s="192">
        <v>8</v>
      </c>
      <c r="J446" s="286">
        <v>17177</v>
      </c>
      <c r="K446" s="194" t="s">
        <v>12</v>
      </c>
      <c r="L446" s="194" t="s">
        <v>15</v>
      </c>
      <c r="M446" s="296" t="s">
        <v>1277</v>
      </c>
      <c r="N446" s="193">
        <v>46173</v>
      </c>
      <c r="O446" s="193">
        <v>46173</v>
      </c>
      <c r="P446" s="251">
        <v>231887</v>
      </c>
      <c r="Q446" s="192" t="s">
        <v>457</v>
      </c>
      <c r="R446" s="192" t="s">
        <v>259</v>
      </c>
      <c r="S446" s="194" t="s">
        <v>14</v>
      </c>
      <c r="T446" s="64" t="str">
        <f t="shared" si="24"/>
        <v>Đ</v>
      </c>
      <c r="U446" s="66">
        <f t="shared" si="25"/>
        <v>0</v>
      </c>
      <c r="V446" s="62">
        <f t="shared" si="26"/>
        <v>13311</v>
      </c>
    </row>
    <row r="447" spans="1:22" ht="21.6" hidden="1" x14ac:dyDescent="0.3">
      <c r="A447" s="192">
        <v>430</v>
      </c>
      <c r="B447" s="194" t="s">
        <v>795</v>
      </c>
      <c r="C447" s="296" t="s">
        <v>452</v>
      </c>
      <c r="D447" s="193">
        <v>46148</v>
      </c>
      <c r="E447" s="194" t="s">
        <v>796</v>
      </c>
      <c r="F447" s="296" t="s">
        <v>592</v>
      </c>
      <c r="G447" s="194" t="s">
        <v>1288</v>
      </c>
      <c r="H447" s="286">
        <v>1037765</v>
      </c>
      <c r="I447" s="192">
        <v>8</v>
      </c>
      <c r="J447" s="286">
        <v>83021</v>
      </c>
      <c r="K447" s="194" t="s">
        <v>12</v>
      </c>
      <c r="L447" s="194" t="s">
        <v>15</v>
      </c>
      <c r="M447" s="296" t="s">
        <v>1277</v>
      </c>
      <c r="N447" s="193">
        <v>46173</v>
      </c>
      <c r="O447" s="193">
        <v>46173</v>
      </c>
      <c r="P447" s="251">
        <v>1120786</v>
      </c>
      <c r="Q447" s="192" t="s">
        <v>457</v>
      </c>
      <c r="R447" s="192" t="s">
        <v>259</v>
      </c>
      <c r="S447" s="194" t="s">
        <v>14</v>
      </c>
      <c r="T447" s="64" t="str">
        <f t="shared" si="24"/>
        <v>Đ</v>
      </c>
      <c r="U447" s="66">
        <f t="shared" si="25"/>
        <v>0</v>
      </c>
      <c r="V447" s="62">
        <f t="shared" si="26"/>
        <v>13311</v>
      </c>
    </row>
    <row r="448" spans="1:22" ht="21.6" hidden="1" x14ac:dyDescent="0.3">
      <c r="A448" s="192">
        <v>431</v>
      </c>
      <c r="B448" s="194" t="s">
        <v>291</v>
      </c>
      <c r="C448" s="296" t="s">
        <v>452</v>
      </c>
      <c r="D448" s="193">
        <v>46148</v>
      </c>
      <c r="E448" s="194" t="s">
        <v>583</v>
      </c>
      <c r="F448" s="296" t="s">
        <v>494</v>
      </c>
      <c r="G448" s="194" t="s">
        <v>1288</v>
      </c>
      <c r="H448" s="286">
        <v>128672335</v>
      </c>
      <c r="I448" s="192">
        <v>8</v>
      </c>
      <c r="J448" s="286">
        <v>10293787</v>
      </c>
      <c r="K448" s="194" t="s">
        <v>12</v>
      </c>
      <c r="L448" s="194" t="s">
        <v>15</v>
      </c>
      <c r="M448" s="296" t="s">
        <v>1277</v>
      </c>
      <c r="N448" s="193">
        <v>46173</v>
      </c>
      <c r="O448" s="193">
        <v>46173</v>
      </c>
      <c r="P448" s="251">
        <v>138966122</v>
      </c>
      <c r="Q448" s="192" t="s">
        <v>457</v>
      </c>
      <c r="R448" s="192" t="s">
        <v>259</v>
      </c>
      <c r="S448" s="194" t="s">
        <v>14</v>
      </c>
      <c r="T448" s="64" t="str">
        <f t="shared" si="24"/>
        <v>Đ</v>
      </c>
      <c r="U448" s="66">
        <f t="shared" si="25"/>
        <v>0</v>
      </c>
      <c r="V448" s="62">
        <f t="shared" si="26"/>
        <v>13311</v>
      </c>
    </row>
    <row r="449" spans="1:22" ht="21.6" hidden="1" x14ac:dyDescent="0.3">
      <c r="A449" s="192">
        <v>432</v>
      </c>
      <c r="B449" s="194" t="s">
        <v>597</v>
      </c>
      <c r="C449" s="296" t="s">
        <v>452</v>
      </c>
      <c r="D449" s="193">
        <v>46148</v>
      </c>
      <c r="E449" s="194" t="s">
        <v>598</v>
      </c>
      <c r="F449" s="296" t="s">
        <v>548</v>
      </c>
      <c r="G449" s="194" t="s">
        <v>1288</v>
      </c>
      <c r="H449" s="286">
        <v>547300</v>
      </c>
      <c r="I449" s="192">
        <v>8</v>
      </c>
      <c r="J449" s="286">
        <v>43784</v>
      </c>
      <c r="K449" s="194" t="s">
        <v>12</v>
      </c>
      <c r="L449" s="194" t="s">
        <v>15</v>
      </c>
      <c r="M449" s="296" t="s">
        <v>1277</v>
      </c>
      <c r="N449" s="193">
        <v>46173</v>
      </c>
      <c r="O449" s="193">
        <v>46173</v>
      </c>
      <c r="P449" s="251">
        <v>591084</v>
      </c>
      <c r="Q449" s="192" t="s">
        <v>457</v>
      </c>
      <c r="R449" s="192" t="s">
        <v>259</v>
      </c>
      <c r="S449" s="194" t="s">
        <v>14</v>
      </c>
      <c r="T449" s="64" t="str">
        <f t="shared" si="24"/>
        <v>Đ</v>
      </c>
      <c r="U449" s="66">
        <f t="shared" si="25"/>
        <v>0</v>
      </c>
      <c r="V449" s="62">
        <f t="shared" si="26"/>
        <v>13311</v>
      </c>
    </row>
    <row r="450" spans="1:22" ht="21.6" hidden="1" x14ac:dyDescent="0.3">
      <c r="A450" s="192">
        <v>433</v>
      </c>
      <c r="B450" s="194" t="s">
        <v>601</v>
      </c>
      <c r="C450" s="296" t="s">
        <v>452</v>
      </c>
      <c r="D450" s="193">
        <v>46148</v>
      </c>
      <c r="E450" s="194" t="s">
        <v>602</v>
      </c>
      <c r="F450" s="296" t="s">
        <v>1379</v>
      </c>
      <c r="G450" s="194" t="s">
        <v>1288</v>
      </c>
      <c r="H450" s="286">
        <v>210996780</v>
      </c>
      <c r="I450" s="192">
        <v>8</v>
      </c>
      <c r="J450" s="286">
        <v>16879742</v>
      </c>
      <c r="K450" s="194" t="s">
        <v>12</v>
      </c>
      <c r="L450" s="194" t="s">
        <v>15</v>
      </c>
      <c r="M450" s="296" t="s">
        <v>1277</v>
      </c>
      <c r="N450" s="193">
        <v>46173</v>
      </c>
      <c r="O450" s="193">
        <v>46173</v>
      </c>
      <c r="P450" s="251">
        <v>227876522</v>
      </c>
      <c r="Q450" s="192" t="s">
        <v>457</v>
      </c>
      <c r="R450" s="192" t="s">
        <v>259</v>
      </c>
      <c r="S450" s="194" t="s">
        <v>14</v>
      </c>
      <c r="T450" s="64" t="str">
        <f t="shared" si="24"/>
        <v>Đ</v>
      </c>
      <c r="U450" s="66">
        <f t="shared" si="25"/>
        <v>0</v>
      </c>
      <c r="V450" s="62">
        <f t="shared" si="26"/>
        <v>13311</v>
      </c>
    </row>
    <row r="451" spans="1:22" s="69" customFormat="1" ht="21.6" hidden="1" x14ac:dyDescent="0.3">
      <c r="A451" s="192">
        <v>434</v>
      </c>
      <c r="B451" s="194" t="s">
        <v>546</v>
      </c>
      <c r="C451" s="296" t="s">
        <v>1380</v>
      </c>
      <c r="D451" s="193">
        <v>46148</v>
      </c>
      <c r="E451" s="194" t="s">
        <v>619</v>
      </c>
      <c r="F451" s="296" t="s">
        <v>565</v>
      </c>
      <c r="G451" s="194" t="s">
        <v>1288</v>
      </c>
      <c r="H451" s="286">
        <v>226306445</v>
      </c>
      <c r="I451" s="192">
        <v>8</v>
      </c>
      <c r="J451" s="286">
        <v>18104516</v>
      </c>
      <c r="K451" s="194" t="s">
        <v>12</v>
      </c>
      <c r="L451" s="194" t="s">
        <v>15</v>
      </c>
      <c r="M451" s="296" t="s">
        <v>1277</v>
      </c>
      <c r="N451" s="193">
        <v>46173</v>
      </c>
      <c r="O451" s="193">
        <v>46173</v>
      </c>
      <c r="P451" s="251">
        <v>244410961</v>
      </c>
      <c r="Q451" s="192" t="s">
        <v>457</v>
      </c>
      <c r="R451" s="192" t="s">
        <v>259</v>
      </c>
      <c r="S451" s="194" t="s">
        <v>14</v>
      </c>
      <c r="T451" s="64" t="str">
        <f t="shared" si="24"/>
        <v>Đ</v>
      </c>
      <c r="U451" s="66">
        <f t="shared" si="25"/>
        <v>0</v>
      </c>
      <c r="V451" s="62">
        <f t="shared" si="26"/>
        <v>13311</v>
      </c>
    </row>
    <row r="452" spans="1:22" ht="21.6" hidden="1" x14ac:dyDescent="0.3">
      <c r="A452" s="192">
        <v>435</v>
      </c>
      <c r="B452" s="194" t="s">
        <v>469</v>
      </c>
      <c r="C452" s="296" t="s">
        <v>1380</v>
      </c>
      <c r="D452" s="193">
        <v>46148</v>
      </c>
      <c r="E452" s="194" t="s">
        <v>1285</v>
      </c>
      <c r="F452" s="296" t="s">
        <v>478</v>
      </c>
      <c r="G452" s="194" t="s">
        <v>1288</v>
      </c>
      <c r="H452" s="286">
        <v>132840235</v>
      </c>
      <c r="I452" s="192">
        <v>8</v>
      </c>
      <c r="J452" s="286">
        <v>10627219</v>
      </c>
      <c r="K452" s="194" t="s">
        <v>12</v>
      </c>
      <c r="L452" s="194" t="s">
        <v>15</v>
      </c>
      <c r="M452" s="296" t="s">
        <v>1277</v>
      </c>
      <c r="N452" s="193">
        <v>46173</v>
      </c>
      <c r="O452" s="193">
        <v>46173</v>
      </c>
      <c r="P452" s="251">
        <v>143467454</v>
      </c>
      <c r="Q452" s="192" t="s">
        <v>457</v>
      </c>
      <c r="R452" s="192" t="s">
        <v>259</v>
      </c>
      <c r="S452" s="194" t="s">
        <v>14</v>
      </c>
      <c r="T452" s="64" t="str">
        <f t="shared" si="24"/>
        <v>Đ</v>
      </c>
      <c r="U452" s="66">
        <f t="shared" si="25"/>
        <v>0</v>
      </c>
      <c r="V452" s="62">
        <f t="shared" si="26"/>
        <v>13311</v>
      </c>
    </row>
    <row r="453" spans="1:22" ht="21.6" hidden="1" x14ac:dyDescent="0.3">
      <c r="A453" s="192">
        <v>436</v>
      </c>
      <c r="B453" s="194" t="s">
        <v>469</v>
      </c>
      <c r="C453" s="296" t="s">
        <v>1381</v>
      </c>
      <c r="D453" s="193">
        <v>46148</v>
      </c>
      <c r="E453" s="194" t="s">
        <v>1285</v>
      </c>
      <c r="F453" s="296" t="s">
        <v>478</v>
      </c>
      <c r="G453" s="194" t="s">
        <v>1288</v>
      </c>
      <c r="H453" s="286">
        <v>4576270</v>
      </c>
      <c r="I453" s="192">
        <v>8</v>
      </c>
      <c r="J453" s="286">
        <v>366102</v>
      </c>
      <c r="K453" s="194" t="s">
        <v>12</v>
      </c>
      <c r="L453" s="194" t="s">
        <v>15</v>
      </c>
      <c r="M453" s="296" t="s">
        <v>1277</v>
      </c>
      <c r="N453" s="193">
        <v>46173</v>
      </c>
      <c r="O453" s="193">
        <v>46173</v>
      </c>
      <c r="P453" s="251">
        <v>4942372</v>
      </c>
      <c r="Q453" s="192" t="s">
        <v>457</v>
      </c>
      <c r="R453" s="192" t="s">
        <v>259</v>
      </c>
      <c r="S453" s="194" t="s">
        <v>14</v>
      </c>
      <c r="T453" s="64" t="str">
        <f t="shared" si="24"/>
        <v>Đ</v>
      </c>
      <c r="U453" s="66">
        <f t="shared" si="25"/>
        <v>0</v>
      </c>
      <c r="V453" s="62">
        <f t="shared" si="26"/>
        <v>13311</v>
      </c>
    </row>
    <row r="454" spans="1:22" ht="21.6" hidden="1" x14ac:dyDescent="0.3">
      <c r="A454" s="192">
        <v>437</v>
      </c>
      <c r="B454" s="194" t="s">
        <v>469</v>
      </c>
      <c r="C454" s="296" t="s">
        <v>642</v>
      </c>
      <c r="D454" s="193">
        <v>46148</v>
      </c>
      <c r="E454" s="194" t="s">
        <v>1285</v>
      </c>
      <c r="F454" s="296" t="s">
        <v>478</v>
      </c>
      <c r="G454" s="194" t="s">
        <v>1288</v>
      </c>
      <c r="H454" s="286">
        <v>7820075</v>
      </c>
      <c r="I454" s="192">
        <v>8</v>
      </c>
      <c r="J454" s="286">
        <v>625606</v>
      </c>
      <c r="K454" s="194" t="s">
        <v>12</v>
      </c>
      <c r="L454" s="194" t="s">
        <v>15</v>
      </c>
      <c r="M454" s="296" t="s">
        <v>1277</v>
      </c>
      <c r="N454" s="193">
        <v>46173</v>
      </c>
      <c r="O454" s="193">
        <v>46173</v>
      </c>
      <c r="P454" s="251">
        <v>8445681</v>
      </c>
      <c r="Q454" s="192" t="s">
        <v>457</v>
      </c>
      <c r="R454" s="192" t="s">
        <v>259</v>
      </c>
      <c r="S454" s="194" t="s">
        <v>14</v>
      </c>
      <c r="T454" s="64" t="str">
        <f t="shared" si="24"/>
        <v>Đ</v>
      </c>
      <c r="U454" s="66">
        <f t="shared" si="25"/>
        <v>0</v>
      </c>
      <c r="V454" s="62">
        <f t="shared" si="26"/>
        <v>13311</v>
      </c>
    </row>
    <row r="455" spans="1:22" ht="21.6" hidden="1" x14ac:dyDescent="0.3">
      <c r="A455" s="192">
        <v>438</v>
      </c>
      <c r="B455" s="194" t="s">
        <v>509</v>
      </c>
      <c r="C455" s="296" t="s">
        <v>1134</v>
      </c>
      <c r="D455" s="193">
        <v>46148</v>
      </c>
      <c r="E455" s="194" t="s">
        <v>714</v>
      </c>
      <c r="F455" s="296" t="s">
        <v>481</v>
      </c>
      <c r="G455" s="194" t="s">
        <v>1288</v>
      </c>
      <c r="H455" s="286">
        <v>144158820</v>
      </c>
      <c r="I455" s="192">
        <v>8</v>
      </c>
      <c r="J455" s="286">
        <v>11532706</v>
      </c>
      <c r="K455" s="194" t="s">
        <v>12</v>
      </c>
      <c r="L455" s="194" t="s">
        <v>15</v>
      </c>
      <c r="M455" s="296" t="s">
        <v>1277</v>
      </c>
      <c r="N455" s="193">
        <v>46173</v>
      </c>
      <c r="O455" s="193">
        <v>46173</v>
      </c>
      <c r="P455" s="251">
        <v>155691526</v>
      </c>
      <c r="Q455" s="192" t="s">
        <v>457</v>
      </c>
      <c r="R455" s="192" t="s">
        <v>259</v>
      </c>
      <c r="S455" s="194" t="s">
        <v>14</v>
      </c>
      <c r="T455" s="64" t="str">
        <f t="shared" si="24"/>
        <v>Đ</v>
      </c>
      <c r="U455" s="66">
        <f t="shared" si="25"/>
        <v>0</v>
      </c>
      <c r="V455" s="62">
        <f t="shared" si="26"/>
        <v>13311</v>
      </c>
    </row>
    <row r="456" spans="1:22" ht="21.6" hidden="1" x14ac:dyDescent="0.3">
      <c r="A456" s="192">
        <v>439</v>
      </c>
      <c r="B456" s="194" t="s">
        <v>509</v>
      </c>
      <c r="C456" s="296" t="s">
        <v>870</v>
      </c>
      <c r="D456" s="193">
        <v>46148</v>
      </c>
      <c r="E456" s="194" t="s">
        <v>714</v>
      </c>
      <c r="F456" s="296" t="s">
        <v>481</v>
      </c>
      <c r="G456" s="194" t="s">
        <v>1288</v>
      </c>
      <c r="H456" s="286">
        <v>64284595</v>
      </c>
      <c r="I456" s="192">
        <v>8</v>
      </c>
      <c r="J456" s="286">
        <v>5142768</v>
      </c>
      <c r="K456" s="194" t="s">
        <v>12</v>
      </c>
      <c r="L456" s="194" t="s">
        <v>15</v>
      </c>
      <c r="M456" s="296" t="s">
        <v>1277</v>
      </c>
      <c r="N456" s="193">
        <v>46173</v>
      </c>
      <c r="O456" s="193">
        <v>46173</v>
      </c>
      <c r="P456" s="251">
        <v>69427363</v>
      </c>
      <c r="Q456" s="192" t="s">
        <v>457</v>
      </c>
      <c r="R456" s="192" t="s">
        <v>259</v>
      </c>
      <c r="S456" s="194" t="s">
        <v>14</v>
      </c>
      <c r="T456" s="64" t="str">
        <f t="shared" si="24"/>
        <v>Đ</v>
      </c>
      <c r="U456" s="66">
        <f t="shared" si="25"/>
        <v>0</v>
      </c>
      <c r="V456" s="62">
        <f t="shared" si="26"/>
        <v>13311</v>
      </c>
    </row>
    <row r="457" spans="1:22" ht="21.6" hidden="1" x14ac:dyDescent="0.3">
      <c r="A457" s="192">
        <v>440</v>
      </c>
      <c r="B457" s="194" t="s">
        <v>509</v>
      </c>
      <c r="C457" s="296" t="s">
        <v>1382</v>
      </c>
      <c r="D457" s="193">
        <v>46148</v>
      </c>
      <c r="E457" s="194" t="s">
        <v>714</v>
      </c>
      <c r="F457" s="296" t="s">
        <v>481</v>
      </c>
      <c r="G457" s="194" t="s">
        <v>1288</v>
      </c>
      <c r="H457" s="286">
        <v>207477220</v>
      </c>
      <c r="I457" s="192">
        <v>8</v>
      </c>
      <c r="J457" s="286">
        <v>16598178</v>
      </c>
      <c r="K457" s="194" t="s">
        <v>12</v>
      </c>
      <c r="L457" s="194" t="s">
        <v>15</v>
      </c>
      <c r="M457" s="296" t="s">
        <v>1277</v>
      </c>
      <c r="N457" s="193">
        <v>46173</v>
      </c>
      <c r="O457" s="193">
        <v>46173</v>
      </c>
      <c r="P457" s="251">
        <v>224075398</v>
      </c>
      <c r="Q457" s="192" t="s">
        <v>457</v>
      </c>
      <c r="R457" s="192" t="s">
        <v>259</v>
      </c>
      <c r="S457" s="194" t="s">
        <v>14</v>
      </c>
      <c r="T457" s="64" t="str">
        <f t="shared" si="24"/>
        <v>Đ</v>
      </c>
      <c r="U457" s="66">
        <f t="shared" si="25"/>
        <v>0</v>
      </c>
      <c r="V457" s="62">
        <f t="shared" si="26"/>
        <v>13311</v>
      </c>
    </row>
    <row r="458" spans="1:22" ht="21.6" hidden="1" x14ac:dyDescent="0.3">
      <c r="A458" s="192">
        <v>441</v>
      </c>
      <c r="B458" s="194" t="s">
        <v>585</v>
      </c>
      <c r="C458" s="296" t="s">
        <v>649</v>
      </c>
      <c r="D458" s="193">
        <v>46148</v>
      </c>
      <c r="E458" s="194" t="s">
        <v>599</v>
      </c>
      <c r="F458" s="296" t="s">
        <v>746</v>
      </c>
      <c r="G458" s="194" t="s">
        <v>1288</v>
      </c>
      <c r="H458" s="286">
        <v>22209855</v>
      </c>
      <c r="I458" s="192">
        <v>8</v>
      </c>
      <c r="J458" s="286">
        <v>1776788</v>
      </c>
      <c r="K458" s="194" t="s">
        <v>12</v>
      </c>
      <c r="L458" s="194" t="s">
        <v>15</v>
      </c>
      <c r="M458" s="296" t="s">
        <v>1277</v>
      </c>
      <c r="N458" s="193">
        <v>46173</v>
      </c>
      <c r="O458" s="193">
        <v>46173</v>
      </c>
      <c r="P458" s="251">
        <v>23986643</v>
      </c>
      <c r="Q458" s="192" t="s">
        <v>457</v>
      </c>
      <c r="R458" s="192" t="s">
        <v>259</v>
      </c>
      <c r="S458" s="194" t="s">
        <v>14</v>
      </c>
      <c r="T458" s="64" t="str">
        <f t="shared" si="24"/>
        <v>Đ</v>
      </c>
      <c r="U458" s="66">
        <f t="shared" si="25"/>
        <v>0</v>
      </c>
      <c r="V458" s="62">
        <f t="shared" si="26"/>
        <v>13311</v>
      </c>
    </row>
    <row r="459" spans="1:22" ht="21.6" hidden="1" x14ac:dyDescent="0.3">
      <c r="A459" s="192">
        <v>442</v>
      </c>
      <c r="B459" s="194" t="s">
        <v>294</v>
      </c>
      <c r="C459" s="296" t="s">
        <v>352</v>
      </c>
      <c r="D459" s="193">
        <v>46148</v>
      </c>
      <c r="E459" s="194" t="s">
        <v>739</v>
      </c>
      <c r="F459" s="296" t="s">
        <v>676</v>
      </c>
      <c r="G459" s="194" t="s">
        <v>1288</v>
      </c>
      <c r="H459" s="286">
        <v>14248745</v>
      </c>
      <c r="I459" s="192">
        <v>8</v>
      </c>
      <c r="J459" s="286">
        <v>1139900</v>
      </c>
      <c r="K459" s="194" t="s">
        <v>12</v>
      </c>
      <c r="L459" s="194" t="s">
        <v>15</v>
      </c>
      <c r="M459" s="296" t="s">
        <v>1277</v>
      </c>
      <c r="N459" s="193">
        <v>46173</v>
      </c>
      <c r="O459" s="193">
        <v>46173</v>
      </c>
      <c r="P459" s="251">
        <v>15388645</v>
      </c>
      <c r="Q459" s="192" t="s">
        <v>457</v>
      </c>
      <c r="R459" s="192" t="s">
        <v>259</v>
      </c>
      <c r="S459" s="194" t="s">
        <v>14</v>
      </c>
      <c r="T459" s="64" t="str">
        <f t="shared" si="24"/>
        <v>Đ</v>
      </c>
      <c r="U459" s="66">
        <f t="shared" si="25"/>
        <v>0</v>
      </c>
      <c r="V459" s="62">
        <f t="shared" si="26"/>
        <v>13311</v>
      </c>
    </row>
    <row r="460" spans="1:22" ht="21.6" hidden="1" x14ac:dyDescent="0.3">
      <c r="A460" s="192">
        <v>443</v>
      </c>
      <c r="B460" s="194" t="s">
        <v>546</v>
      </c>
      <c r="C460" s="296" t="s">
        <v>691</v>
      </c>
      <c r="D460" s="193">
        <v>46148</v>
      </c>
      <c r="E460" s="194" t="s">
        <v>647</v>
      </c>
      <c r="F460" s="296" t="s">
        <v>815</v>
      </c>
      <c r="G460" s="194" t="s">
        <v>1288</v>
      </c>
      <c r="H460" s="286">
        <v>251463300</v>
      </c>
      <c r="I460" s="192">
        <v>8</v>
      </c>
      <c r="J460" s="286">
        <v>20117064</v>
      </c>
      <c r="K460" s="194" t="s">
        <v>12</v>
      </c>
      <c r="L460" s="194" t="s">
        <v>15</v>
      </c>
      <c r="M460" s="296" t="s">
        <v>1277</v>
      </c>
      <c r="N460" s="193">
        <v>46173</v>
      </c>
      <c r="O460" s="193">
        <v>46173</v>
      </c>
      <c r="P460" s="251">
        <v>271580364</v>
      </c>
      <c r="Q460" s="192" t="s">
        <v>457</v>
      </c>
      <c r="R460" s="192" t="s">
        <v>259</v>
      </c>
      <c r="S460" s="194" t="s">
        <v>14</v>
      </c>
      <c r="T460" s="64" t="str">
        <f t="shared" si="24"/>
        <v>Đ</v>
      </c>
      <c r="U460" s="66">
        <f t="shared" si="25"/>
        <v>0</v>
      </c>
      <c r="V460" s="62">
        <f t="shared" si="26"/>
        <v>13311</v>
      </c>
    </row>
    <row r="461" spans="1:22" ht="21.6" hidden="1" x14ac:dyDescent="0.3">
      <c r="A461" s="192">
        <v>444</v>
      </c>
      <c r="B461" s="194" t="s">
        <v>698</v>
      </c>
      <c r="C461" s="296" t="s">
        <v>1383</v>
      </c>
      <c r="D461" s="193">
        <v>46149</v>
      </c>
      <c r="E461" s="194" t="s">
        <v>699</v>
      </c>
      <c r="F461" s="296" t="s">
        <v>801</v>
      </c>
      <c r="G461" s="194" t="s">
        <v>1288</v>
      </c>
      <c r="H461" s="286">
        <v>26116735</v>
      </c>
      <c r="I461" s="192">
        <v>8</v>
      </c>
      <c r="J461" s="286">
        <v>2089339</v>
      </c>
      <c r="K461" s="194" t="s">
        <v>12</v>
      </c>
      <c r="L461" s="194" t="s">
        <v>15</v>
      </c>
      <c r="M461" s="296" t="s">
        <v>1277</v>
      </c>
      <c r="N461" s="193">
        <v>46173</v>
      </c>
      <c r="O461" s="193">
        <v>46173</v>
      </c>
      <c r="P461" s="251">
        <v>28206074</v>
      </c>
      <c r="Q461" s="192" t="s">
        <v>457</v>
      </c>
      <c r="R461" s="192" t="s">
        <v>259</v>
      </c>
      <c r="S461" s="194" t="s">
        <v>14</v>
      </c>
      <c r="T461" s="64" t="str">
        <f t="shared" si="24"/>
        <v>Đ</v>
      </c>
      <c r="U461" s="66">
        <f t="shared" si="25"/>
        <v>0</v>
      </c>
      <c r="V461" s="62">
        <f t="shared" si="26"/>
        <v>13311</v>
      </c>
    </row>
    <row r="462" spans="1:22" ht="21.6" hidden="1" x14ac:dyDescent="0.3">
      <c r="A462" s="192">
        <v>445</v>
      </c>
      <c r="B462" s="194" t="s">
        <v>519</v>
      </c>
      <c r="C462" s="296" t="s">
        <v>544</v>
      </c>
      <c r="D462" s="193">
        <v>46149</v>
      </c>
      <c r="E462" s="194" t="s">
        <v>520</v>
      </c>
      <c r="F462" s="296" t="s">
        <v>556</v>
      </c>
      <c r="G462" s="194" t="s">
        <v>1288</v>
      </c>
      <c r="H462" s="286">
        <v>20786875</v>
      </c>
      <c r="I462" s="192">
        <v>8</v>
      </c>
      <c r="J462" s="286">
        <v>1662950</v>
      </c>
      <c r="K462" s="194" t="s">
        <v>12</v>
      </c>
      <c r="L462" s="194" t="s">
        <v>15</v>
      </c>
      <c r="M462" s="296" t="s">
        <v>1277</v>
      </c>
      <c r="N462" s="193">
        <v>46173</v>
      </c>
      <c r="O462" s="193">
        <v>46173</v>
      </c>
      <c r="P462" s="251">
        <v>22449825</v>
      </c>
      <c r="Q462" s="192" t="s">
        <v>457</v>
      </c>
      <c r="R462" s="192" t="s">
        <v>259</v>
      </c>
      <c r="S462" s="194" t="s">
        <v>14</v>
      </c>
      <c r="T462" s="64" t="str">
        <f t="shared" si="24"/>
        <v>Đ</v>
      </c>
      <c r="U462" s="66">
        <f t="shared" si="25"/>
        <v>0</v>
      </c>
      <c r="V462" s="62">
        <f t="shared" si="26"/>
        <v>13311</v>
      </c>
    </row>
    <row r="463" spans="1:22" ht="21.6" hidden="1" x14ac:dyDescent="0.3">
      <c r="A463" s="192">
        <v>446</v>
      </c>
      <c r="B463" s="194" t="s">
        <v>756</v>
      </c>
      <c r="C463" s="296" t="s">
        <v>300</v>
      </c>
      <c r="D463" s="193">
        <v>46149</v>
      </c>
      <c r="E463" s="194" t="s">
        <v>1384</v>
      </c>
      <c r="F463" s="296" t="s">
        <v>536</v>
      </c>
      <c r="G463" s="194" t="s">
        <v>1288</v>
      </c>
      <c r="H463" s="286">
        <v>3850045</v>
      </c>
      <c r="I463" s="192">
        <v>8</v>
      </c>
      <c r="J463" s="286">
        <v>308004</v>
      </c>
      <c r="K463" s="194" t="s">
        <v>12</v>
      </c>
      <c r="L463" s="194" t="s">
        <v>15</v>
      </c>
      <c r="M463" s="296" t="s">
        <v>1277</v>
      </c>
      <c r="N463" s="193">
        <v>46173</v>
      </c>
      <c r="O463" s="193">
        <v>46173</v>
      </c>
      <c r="P463" s="251">
        <v>4158049</v>
      </c>
      <c r="Q463" s="192" t="s">
        <v>457</v>
      </c>
      <c r="R463" s="192" t="s">
        <v>259</v>
      </c>
      <c r="S463" s="194" t="s">
        <v>14</v>
      </c>
      <c r="T463" s="64" t="str">
        <f t="shared" si="24"/>
        <v>Đ</v>
      </c>
      <c r="U463" s="66">
        <f t="shared" si="25"/>
        <v>0</v>
      </c>
      <c r="V463" s="62">
        <f t="shared" si="26"/>
        <v>13311</v>
      </c>
    </row>
    <row r="464" spans="1:22" ht="21.6" hidden="1" x14ac:dyDescent="0.3">
      <c r="A464" s="192">
        <v>447</v>
      </c>
      <c r="B464" s="194" t="s">
        <v>758</v>
      </c>
      <c r="C464" s="296" t="s">
        <v>1385</v>
      </c>
      <c r="D464" s="193">
        <v>46149</v>
      </c>
      <c r="E464" s="194" t="s">
        <v>759</v>
      </c>
      <c r="F464" s="296" t="s">
        <v>500</v>
      </c>
      <c r="G464" s="194" t="s">
        <v>1288</v>
      </c>
      <c r="H464" s="286">
        <v>2182885</v>
      </c>
      <c r="I464" s="192">
        <v>8</v>
      </c>
      <c r="J464" s="286">
        <v>174631</v>
      </c>
      <c r="K464" s="194" t="s">
        <v>12</v>
      </c>
      <c r="L464" s="194" t="s">
        <v>15</v>
      </c>
      <c r="M464" s="296" t="s">
        <v>1277</v>
      </c>
      <c r="N464" s="193">
        <v>46173</v>
      </c>
      <c r="O464" s="193">
        <v>46173</v>
      </c>
      <c r="P464" s="251">
        <v>2357516</v>
      </c>
      <c r="Q464" s="192" t="s">
        <v>457</v>
      </c>
      <c r="R464" s="192" t="s">
        <v>259</v>
      </c>
      <c r="S464" s="194" t="s">
        <v>14</v>
      </c>
      <c r="T464" s="64" t="str">
        <f t="shared" si="24"/>
        <v>Đ</v>
      </c>
      <c r="U464" s="66">
        <f t="shared" si="25"/>
        <v>0</v>
      </c>
      <c r="V464" s="62">
        <f t="shared" si="26"/>
        <v>13311</v>
      </c>
    </row>
    <row r="465" spans="1:22" ht="21.6" hidden="1" x14ac:dyDescent="0.3">
      <c r="A465" s="192">
        <v>448</v>
      </c>
      <c r="B465" s="194" t="s">
        <v>810</v>
      </c>
      <c r="C465" s="296" t="s">
        <v>452</v>
      </c>
      <c r="D465" s="193">
        <v>46149</v>
      </c>
      <c r="E465" s="194" t="s">
        <v>811</v>
      </c>
      <c r="F465" s="296" t="s">
        <v>1369</v>
      </c>
      <c r="G465" s="194" t="s">
        <v>1288</v>
      </c>
      <c r="H465" s="286">
        <v>562035</v>
      </c>
      <c r="I465" s="192">
        <v>8</v>
      </c>
      <c r="J465" s="286">
        <v>44963</v>
      </c>
      <c r="K465" s="194" t="s">
        <v>12</v>
      </c>
      <c r="L465" s="194" t="s">
        <v>15</v>
      </c>
      <c r="M465" s="296" t="s">
        <v>1277</v>
      </c>
      <c r="N465" s="193">
        <v>46173</v>
      </c>
      <c r="O465" s="193">
        <v>46173</v>
      </c>
      <c r="P465" s="251">
        <v>606998</v>
      </c>
      <c r="Q465" s="192" t="s">
        <v>457</v>
      </c>
      <c r="R465" s="192" t="s">
        <v>259</v>
      </c>
      <c r="S465" s="194" t="s">
        <v>14</v>
      </c>
      <c r="T465" s="64" t="str">
        <f t="shared" si="24"/>
        <v>Đ</v>
      </c>
      <c r="U465" s="66">
        <f t="shared" si="25"/>
        <v>0</v>
      </c>
      <c r="V465" s="62">
        <f t="shared" si="26"/>
        <v>13311</v>
      </c>
    </row>
    <row r="466" spans="1:22" ht="21.6" hidden="1" x14ac:dyDescent="0.3">
      <c r="A466" s="192">
        <v>449</v>
      </c>
      <c r="B466" s="194" t="s">
        <v>288</v>
      </c>
      <c r="C466" s="296" t="s">
        <v>1075</v>
      </c>
      <c r="D466" s="193">
        <v>46149</v>
      </c>
      <c r="E466" s="194" t="s">
        <v>632</v>
      </c>
      <c r="F466" s="296" t="s">
        <v>459</v>
      </c>
      <c r="G466" s="194" t="s">
        <v>1288</v>
      </c>
      <c r="H466" s="286">
        <v>692660</v>
      </c>
      <c r="I466" s="192">
        <v>8</v>
      </c>
      <c r="J466" s="286">
        <v>55413</v>
      </c>
      <c r="K466" s="194" t="s">
        <v>12</v>
      </c>
      <c r="L466" s="194" t="s">
        <v>15</v>
      </c>
      <c r="M466" s="296" t="s">
        <v>1277</v>
      </c>
      <c r="N466" s="193">
        <v>46173</v>
      </c>
      <c r="O466" s="193">
        <v>46173</v>
      </c>
      <c r="P466" s="251">
        <v>748073</v>
      </c>
      <c r="Q466" s="192" t="s">
        <v>457</v>
      </c>
      <c r="R466" s="192" t="s">
        <v>259</v>
      </c>
      <c r="S466" s="194" t="s">
        <v>14</v>
      </c>
      <c r="T466" s="64" t="str">
        <f t="shared" si="24"/>
        <v>Đ</v>
      </c>
      <c r="U466" s="66">
        <f t="shared" si="25"/>
        <v>0</v>
      </c>
      <c r="V466" s="62">
        <f t="shared" si="26"/>
        <v>13311</v>
      </c>
    </row>
    <row r="467" spans="1:22" ht="21.6" hidden="1" x14ac:dyDescent="0.3">
      <c r="A467" s="192">
        <v>450</v>
      </c>
      <c r="B467" s="194" t="s">
        <v>288</v>
      </c>
      <c r="C467" s="296" t="s">
        <v>1133</v>
      </c>
      <c r="D467" s="193">
        <v>46149</v>
      </c>
      <c r="E467" s="194" t="s">
        <v>632</v>
      </c>
      <c r="F467" s="296" t="s">
        <v>459</v>
      </c>
      <c r="G467" s="194" t="s">
        <v>1288</v>
      </c>
      <c r="H467" s="286">
        <v>766220</v>
      </c>
      <c r="I467" s="192">
        <v>8</v>
      </c>
      <c r="J467" s="286">
        <v>61298</v>
      </c>
      <c r="K467" s="194" t="s">
        <v>12</v>
      </c>
      <c r="L467" s="194" t="s">
        <v>15</v>
      </c>
      <c r="M467" s="296" t="s">
        <v>1277</v>
      </c>
      <c r="N467" s="193">
        <v>46173</v>
      </c>
      <c r="O467" s="193">
        <v>46173</v>
      </c>
      <c r="P467" s="251">
        <v>827518</v>
      </c>
      <c r="Q467" s="192" t="s">
        <v>457</v>
      </c>
      <c r="R467" s="192" t="s">
        <v>259</v>
      </c>
      <c r="S467" s="194" t="s">
        <v>14</v>
      </c>
      <c r="T467" s="64" t="str">
        <f t="shared" ref="T467:T472" si="27">IF(OR(LEN(F467)=11,LEN(F467)=15),"Đ","SAI")</f>
        <v>Đ</v>
      </c>
      <c r="U467" s="66">
        <f t="shared" ref="U467:U472" si="28">ROUND(H467*I467%,0)-J467</f>
        <v>0</v>
      </c>
      <c r="V467" s="62">
        <f t="shared" ref="V467:V472" si="29">IF(Q467=$V$12,13313,13311)</f>
        <v>13311</v>
      </c>
    </row>
    <row r="468" spans="1:22" ht="21.6" hidden="1" x14ac:dyDescent="0.3">
      <c r="A468" s="192">
        <v>451</v>
      </c>
      <c r="B468" s="194" t="s">
        <v>648</v>
      </c>
      <c r="C468" s="296" t="s">
        <v>846</v>
      </c>
      <c r="D468" s="193">
        <v>46089</v>
      </c>
      <c r="E468" s="194" t="s">
        <v>1275</v>
      </c>
      <c r="F468" s="296" t="s">
        <v>1276</v>
      </c>
      <c r="G468" s="194" t="s">
        <v>704</v>
      </c>
      <c r="H468" s="286">
        <v>957775</v>
      </c>
      <c r="I468" s="192">
        <v>8</v>
      </c>
      <c r="J468" s="286">
        <v>76622</v>
      </c>
      <c r="K468" s="194" t="s">
        <v>12</v>
      </c>
      <c r="L468" s="194" t="s">
        <v>15</v>
      </c>
      <c r="M468" s="296" t="s">
        <v>1277</v>
      </c>
      <c r="N468" s="193">
        <v>46173</v>
      </c>
      <c r="O468" s="193">
        <v>46173</v>
      </c>
      <c r="P468" s="251">
        <v>1034397</v>
      </c>
      <c r="Q468" s="192" t="s">
        <v>457</v>
      </c>
      <c r="R468" s="192" t="s">
        <v>259</v>
      </c>
      <c r="S468" s="194" t="s">
        <v>14</v>
      </c>
      <c r="T468" s="64" t="str">
        <f t="shared" si="27"/>
        <v>Đ</v>
      </c>
      <c r="U468" s="66">
        <f t="shared" si="28"/>
        <v>0</v>
      </c>
      <c r="V468" s="62">
        <f t="shared" si="29"/>
        <v>13311</v>
      </c>
    </row>
    <row r="469" spans="1:22" ht="21.6" hidden="1" x14ac:dyDescent="0.3">
      <c r="A469" s="192">
        <v>452</v>
      </c>
      <c r="B469" s="194" t="s">
        <v>756</v>
      </c>
      <c r="C469" s="296" t="s">
        <v>342</v>
      </c>
      <c r="D469" s="193">
        <v>46120</v>
      </c>
      <c r="E469" s="194" t="s">
        <v>1384</v>
      </c>
      <c r="F469" s="296" t="s">
        <v>536</v>
      </c>
      <c r="G469" s="194" t="s">
        <v>456</v>
      </c>
      <c r="H469" s="286">
        <v>6085555</v>
      </c>
      <c r="I469" s="192">
        <v>8</v>
      </c>
      <c r="J469" s="286">
        <v>486844</v>
      </c>
      <c r="K469" s="194" t="s">
        <v>12</v>
      </c>
      <c r="L469" s="194" t="s">
        <v>15</v>
      </c>
      <c r="M469" s="296" t="s">
        <v>1277</v>
      </c>
      <c r="N469" s="193">
        <v>46173</v>
      </c>
      <c r="O469" s="193">
        <v>46173</v>
      </c>
      <c r="P469" s="251">
        <v>6572399</v>
      </c>
      <c r="Q469" s="192" t="s">
        <v>457</v>
      </c>
      <c r="R469" s="192" t="s">
        <v>259</v>
      </c>
      <c r="S469" s="194" t="s">
        <v>14</v>
      </c>
      <c r="T469" s="64" t="str">
        <f t="shared" si="27"/>
        <v>Đ</v>
      </c>
      <c r="U469" s="66">
        <f t="shared" si="28"/>
        <v>0</v>
      </c>
      <c r="V469" s="62">
        <f t="shared" si="29"/>
        <v>13311</v>
      </c>
    </row>
    <row r="470" spans="1:22" ht="21.6" hidden="1" x14ac:dyDescent="0.3">
      <c r="A470" s="192">
        <v>453</v>
      </c>
      <c r="B470" s="194" t="s">
        <v>585</v>
      </c>
      <c r="C470" s="296" t="s">
        <v>1386</v>
      </c>
      <c r="D470" s="193">
        <v>46120</v>
      </c>
      <c r="E470" s="194" t="s">
        <v>1387</v>
      </c>
      <c r="F470" s="296" t="s">
        <v>1388</v>
      </c>
      <c r="G470" s="194" t="s">
        <v>456</v>
      </c>
      <c r="H470" s="286">
        <v>2037640</v>
      </c>
      <c r="I470" s="192">
        <v>8</v>
      </c>
      <c r="J470" s="286">
        <v>163011</v>
      </c>
      <c r="K470" s="194" t="s">
        <v>12</v>
      </c>
      <c r="L470" s="194" t="s">
        <v>15</v>
      </c>
      <c r="M470" s="296" t="s">
        <v>1277</v>
      </c>
      <c r="N470" s="193">
        <v>46173</v>
      </c>
      <c r="O470" s="193">
        <v>46173</v>
      </c>
      <c r="P470" s="251">
        <v>2200651</v>
      </c>
      <c r="Q470" s="192" t="s">
        <v>457</v>
      </c>
      <c r="R470" s="192" t="s">
        <v>259</v>
      </c>
      <c r="S470" s="194" t="s">
        <v>14</v>
      </c>
      <c r="T470" s="64" t="str">
        <f t="shared" si="27"/>
        <v>Đ</v>
      </c>
      <c r="U470" s="66">
        <f t="shared" si="28"/>
        <v>0</v>
      </c>
      <c r="V470" s="62">
        <f t="shared" si="29"/>
        <v>13311</v>
      </c>
    </row>
    <row r="471" spans="1:22" ht="21.6" hidden="1" x14ac:dyDescent="0.3">
      <c r="A471" s="192">
        <v>454</v>
      </c>
      <c r="B471" s="194" t="s">
        <v>585</v>
      </c>
      <c r="C471" s="296" t="s">
        <v>1389</v>
      </c>
      <c r="D471" s="193">
        <v>46120</v>
      </c>
      <c r="E471" s="194" t="s">
        <v>1387</v>
      </c>
      <c r="F471" s="296" t="s">
        <v>1388</v>
      </c>
      <c r="G471" s="194" t="s">
        <v>456</v>
      </c>
      <c r="H471" s="286">
        <v>267335</v>
      </c>
      <c r="I471" s="192">
        <v>8</v>
      </c>
      <c r="J471" s="286">
        <v>21387</v>
      </c>
      <c r="K471" s="194" t="s">
        <v>12</v>
      </c>
      <c r="L471" s="194" t="s">
        <v>15</v>
      </c>
      <c r="M471" s="296" t="s">
        <v>1277</v>
      </c>
      <c r="N471" s="193">
        <v>46173</v>
      </c>
      <c r="O471" s="193">
        <v>46173</v>
      </c>
      <c r="P471" s="251">
        <v>288722</v>
      </c>
      <c r="Q471" s="192" t="s">
        <v>457</v>
      </c>
      <c r="R471" s="192" t="s">
        <v>259</v>
      </c>
      <c r="S471" s="194" t="s">
        <v>14</v>
      </c>
      <c r="T471" s="64" t="str">
        <f t="shared" si="27"/>
        <v>Đ</v>
      </c>
      <c r="U471" s="66">
        <f t="shared" si="28"/>
        <v>0</v>
      </c>
      <c r="V471" s="62">
        <f t="shared" si="29"/>
        <v>13311</v>
      </c>
    </row>
    <row r="472" spans="1:22" ht="21.6" hidden="1" x14ac:dyDescent="0.3">
      <c r="A472" s="192">
        <v>455</v>
      </c>
      <c r="B472" s="194" t="s">
        <v>648</v>
      </c>
      <c r="C472" s="296" t="s">
        <v>1390</v>
      </c>
      <c r="D472" s="193">
        <v>46063</v>
      </c>
      <c r="E472" s="194" t="s">
        <v>1275</v>
      </c>
      <c r="F472" s="296" t="s">
        <v>1276</v>
      </c>
      <c r="G472" s="194" t="s">
        <v>701</v>
      </c>
      <c r="H472" s="286">
        <v>235760</v>
      </c>
      <c r="I472" s="192">
        <v>8</v>
      </c>
      <c r="J472" s="286">
        <v>18861</v>
      </c>
      <c r="K472" s="194" t="s">
        <v>12</v>
      </c>
      <c r="L472" s="194" t="s">
        <v>15</v>
      </c>
      <c r="M472" s="296" t="s">
        <v>1277</v>
      </c>
      <c r="N472" s="193">
        <v>46173</v>
      </c>
      <c r="O472" s="193">
        <v>46173</v>
      </c>
      <c r="P472" s="251">
        <v>254621</v>
      </c>
      <c r="Q472" s="192" t="s">
        <v>457</v>
      </c>
      <c r="R472" s="192" t="s">
        <v>259</v>
      </c>
      <c r="S472" s="194" t="s">
        <v>14</v>
      </c>
      <c r="T472" s="64" t="str">
        <f t="shared" si="27"/>
        <v>Đ</v>
      </c>
      <c r="U472" s="66">
        <f t="shared" si="28"/>
        <v>0</v>
      </c>
      <c r="V472" s="62">
        <f t="shared" si="29"/>
        <v>13311</v>
      </c>
    </row>
    <row r="473" spans="1:22" ht="21.6" hidden="1" x14ac:dyDescent="0.3">
      <c r="A473" s="192">
        <v>456</v>
      </c>
      <c r="B473" s="194" t="s">
        <v>292</v>
      </c>
      <c r="C473" s="296" t="s">
        <v>1391</v>
      </c>
      <c r="D473" s="193">
        <v>46123</v>
      </c>
      <c r="E473" s="194" t="s">
        <v>1299</v>
      </c>
      <c r="F473" s="296" t="s">
        <v>1300</v>
      </c>
      <c r="G473" s="194" t="s">
        <v>456</v>
      </c>
      <c r="H473" s="286">
        <v>1153540</v>
      </c>
      <c r="I473" s="192">
        <v>8</v>
      </c>
      <c r="J473" s="286">
        <v>92283</v>
      </c>
      <c r="K473" s="194" t="s">
        <v>12</v>
      </c>
      <c r="L473" s="194" t="s">
        <v>15</v>
      </c>
      <c r="M473" s="296" t="s">
        <v>1277</v>
      </c>
      <c r="N473" s="193">
        <v>46173</v>
      </c>
      <c r="O473" s="193">
        <v>46173</v>
      </c>
      <c r="P473" s="251">
        <v>1245823</v>
      </c>
      <c r="Q473" s="192" t="s">
        <v>457</v>
      </c>
      <c r="R473" s="192" t="s">
        <v>259</v>
      </c>
      <c r="S473" s="194" t="s">
        <v>14</v>
      </c>
      <c r="T473" s="64" t="str">
        <f t="shared" ref="T473:T504" si="30">IF(OR(LEN(F473)=11,LEN(F473)=15),"Đ","SAI")</f>
        <v>Đ</v>
      </c>
      <c r="U473" s="66">
        <f t="shared" ref="U473:U504" si="31">ROUND(H473*I473%,0)-J473</f>
        <v>0</v>
      </c>
      <c r="V473" s="62">
        <f t="shared" ref="V473:V504" si="32">IF(Q473=$V$12,13313,13311)</f>
        <v>13311</v>
      </c>
    </row>
    <row r="474" spans="1:22" ht="14.4" hidden="1" customHeight="1" x14ac:dyDescent="0.3">
      <c r="A474" s="192">
        <v>457</v>
      </c>
      <c r="B474" s="194" t="s">
        <v>628</v>
      </c>
      <c r="C474" s="296" t="s">
        <v>352</v>
      </c>
      <c r="D474" s="193">
        <v>46153</v>
      </c>
      <c r="E474" s="194" t="s">
        <v>629</v>
      </c>
      <c r="F474" s="296" t="s">
        <v>705</v>
      </c>
      <c r="G474" s="194" t="s">
        <v>1288</v>
      </c>
      <c r="H474" s="286">
        <v>96491095</v>
      </c>
      <c r="I474" s="192">
        <v>8</v>
      </c>
      <c r="J474" s="286">
        <v>7719288</v>
      </c>
      <c r="K474" s="194" t="s">
        <v>12</v>
      </c>
      <c r="L474" s="194" t="s">
        <v>15</v>
      </c>
      <c r="M474" s="296" t="s">
        <v>1277</v>
      </c>
      <c r="N474" s="193">
        <v>46173</v>
      </c>
      <c r="O474" s="193">
        <v>46173</v>
      </c>
      <c r="P474" s="251">
        <v>104210383</v>
      </c>
      <c r="Q474" s="192" t="s">
        <v>457</v>
      </c>
      <c r="R474" s="192" t="s">
        <v>259</v>
      </c>
      <c r="S474" s="194" t="s">
        <v>14</v>
      </c>
      <c r="T474" s="64" t="str">
        <f t="shared" si="30"/>
        <v>Đ</v>
      </c>
      <c r="U474" s="66">
        <f t="shared" si="31"/>
        <v>0</v>
      </c>
      <c r="V474" s="62">
        <f t="shared" si="32"/>
        <v>13311</v>
      </c>
    </row>
    <row r="475" spans="1:22" ht="14.4" hidden="1" customHeight="1" x14ac:dyDescent="0.3">
      <c r="A475" s="192">
        <v>458</v>
      </c>
      <c r="B475" s="194" t="s">
        <v>1366</v>
      </c>
      <c r="C475" s="296" t="s">
        <v>649</v>
      </c>
      <c r="D475" s="193">
        <v>46099</v>
      </c>
      <c r="E475" s="194" t="s">
        <v>1367</v>
      </c>
      <c r="F475" s="296" t="s">
        <v>1368</v>
      </c>
      <c r="G475" s="194" t="s">
        <v>704</v>
      </c>
      <c r="H475" s="286">
        <v>1923970</v>
      </c>
      <c r="I475" s="192">
        <v>8</v>
      </c>
      <c r="J475" s="286">
        <v>153918</v>
      </c>
      <c r="K475" s="194" t="s">
        <v>12</v>
      </c>
      <c r="L475" s="194" t="s">
        <v>15</v>
      </c>
      <c r="M475" s="296" t="s">
        <v>1277</v>
      </c>
      <c r="N475" s="193">
        <v>46173</v>
      </c>
      <c r="O475" s="193">
        <v>46173</v>
      </c>
      <c r="P475" s="251">
        <v>2077888</v>
      </c>
      <c r="Q475" s="192" t="s">
        <v>457</v>
      </c>
      <c r="R475" s="192" t="s">
        <v>259</v>
      </c>
      <c r="S475" s="194" t="s">
        <v>14</v>
      </c>
      <c r="T475" s="64" t="str">
        <f t="shared" si="30"/>
        <v>Đ</v>
      </c>
      <c r="U475" s="66">
        <f t="shared" si="31"/>
        <v>0</v>
      </c>
      <c r="V475" s="62">
        <f t="shared" si="32"/>
        <v>13311</v>
      </c>
    </row>
    <row r="476" spans="1:22" ht="21.6" hidden="1" x14ac:dyDescent="0.3">
      <c r="A476" s="192">
        <v>459</v>
      </c>
      <c r="B476" s="194" t="s">
        <v>1366</v>
      </c>
      <c r="C476" s="296" t="s">
        <v>668</v>
      </c>
      <c r="D476" s="193">
        <v>46099</v>
      </c>
      <c r="E476" s="194" t="s">
        <v>1367</v>
      </c>
      <c r="F476" s="296" t="s">
        <v>1368</v>
      </c>
      <c r="G476" s="194" t="s">
        <v>704</v>
      </c>
      <c r="H476" s="286">
        <v>2046060</v>
      </c>
      <c r="I476" s="192">
        <v>8</v>
      </c>
      <c r="J476" s="286">
        <v>163685</v>
      </c>
      <c r="K476" s="194" t="s">
        <v>12</v>
      </c>
      <c r="L476" s="194" t="s">
        <v>15</v>
      </c>
      <c r="M476" s="296" t="s">
        <v>1277</v>
      </c>
      <c r="N476" s="193">
        <v>46173</v>
      </c>
      <c r="O476" s="193">
        <v>46173</v>
      </c>
      <c r="P476" s="251">
        <v>2209745</v>
      </c>
      <c r="Q476" s="192" t="s">
        <v>457</v>
      </c>
      <c r="R476" s="192" t="s">
        <v>259</v>
      </c>
      <c r="S476" s="194" t="s">
        <v>14</v>
      </c>
      <c r="T476" s="64" t="str">
        <f t="shared" si="30"/>
        <v>Đ</v>
      </c>
      <c r="U476" s="66">
        <f t="shared" si="31"/>
        <v>0</v>
      </c>
      <c r="V476" s="62">
        <f t="shared" si="32"/>
        <v>13311</v>
      </c>
    </row>
    <row r="477" spans="1:22" ht="14.4" hidden="1" customHeight="1" x14ac:dyDescent="0.3">
      <c r="A477" s="192">
        <v>460</v>
      </c>
      <c r="B477" s="194" t="s">
        <v>829</v>
      </c>
      <c r="C477" s="296" t="s">
        <v>461</v>
      </c>
      <c r="D477" s="193">
        <v>46132</v>
      </c>
      <c r="E477" s="194" t="s">
        <v>1392</v>
      </c>
      <c r="F477" s="296" t="s">
        <v>1393</v>
      </c>
      <c r="G477" s="194" t="s">
        <v>456</v>
      </c>
      <c r="H477" s="286">
        <v>206290</v>
      </c>
      <c r="I477" s="192">
        <v>8</v>
      </c>
      <c r="J477" s="286">
        <v>16503</v>
      </c>
      <c r="K477" s="194" t="s">
        <v>12</v>
      </c>
      <c r="L477" s="194" t="s">
        <v>15</v>
      </c>
      <c r="M477" s="296" t="s">
        <v>1277</v>
      </c>
      <c r="N477" s="193">
        <v>46173</v>
      </c>
      <c r="O477" s="193">
        <v>46173</v>
      </c>
      <c r="P477" s="251">
        <v>222793</v>
      </c>
      <c r="Q477" s="192" t="s">
        <v>457</v>
      </c>
      <c r="R477" s="192" t="s">
        <v>259</v>
      </c>
      <c r="S477" s="194" t="s">
        <v>14</v>
      </c>
      <c r="T477" s="64" t="str">
        <f t="shared" si="30"/>
        <v>Đ</v>
      </c>
      <c r="U477" s="66">
        <f t="shared" si="31"/>
        <v>0</v>
      </c>
      <c r="V477" s="62">
        <f t="shared" si="32"/>
        <v>13311</v>
      </c>
    </row>
    <row r="478" spans="1:22" ht="14.4" hidden="1" customHeight="1" x14ac:dyDescent="0.3">
      <c r="A478" s="192">
        <v>461</v>
      </c>
      <c r="B478" s="194" t="s">
        <v>510</v>
      </c>
      <c r="C478" s="296" t="s">
        <v>498</v>
      </c>
      <c r="D478" s="193">
        <v>46134</v>
      </c>
      <c r="E478" s="194" t="s">
        <v>1394</v>
      </c>
      <c r="F478" s="296" t="s">
        <v>1395</v>
      </c>
      <c r="G478" s="194" t="s">
        <v>456</v>
      </c>
      <c r="H478" s="286">
        <v>1077760</v>
      </c>
      <c r="I478" s="192">
        <v>8</v>
      </c>
      <c r="J478" s="286">
        <v>86221</v>
      </c>
      <c r="K478" s="194" t="s">
        <v>12</v>
      </c>
      <c r="L478" s="194" t="s">
        <v>15</v>
      </c>
      <c r="M478" s="296" t="s">
        <v>1277</v>
      </c>
      <c r="N478" s="193">
        <v>46173</v>
      </c>
      <c r="O478" s="193">
        <v>46173</v>
      </c>
      <c r="P478" s="251">
        <v>1163981</v>
      </c>
      <c r="Q478" s="192" t="s">
        <v>457</v>
      </c>
      <c r="R478" s="192" t="s">
        <v>259</v>
      </c>
      <c r="S478" s="194" t="s">
        <v>14</v>
      </c>
      <c r="T478" s="64" t="str">
        <f t="shared" si="30"/>
        <v>Đ</v>
      </c>
      <c r="U478" s="66">
        <f t="shared" si="31"/>
        <v>0</v>
      </c>
      <c r="V478" s="62">
        <f t="shared" si="32"/>
        <v>13311</v>
      </c>
    </row>
    <row r="479" spans="1:22" ht="21.6" hidden="1" x14ac:dyDescent="0.3">
      <c r="A479" s="192">
        <v>462</v>
      </c>
      <c r="B479" s="194" t="s">
        <v>510</v>
      </c>
      <c r="C479" s="296" t="s">
        <v>1396</v>
      </c>
      <c r="D479" s="193">
        <v>46134</v>
      </c>
      <c r="E479" s="194" t="s">
        <v>1394</v>
      </c>
      <c r="F479" s="296" t="s">
        <v>1395</v>
      </c>
      <c r="G479" s="194" t="s">
        <v>456</v>
      </c>
      <c r="H479" s="286">
        <v>1140910</v>
      </c>
      <c r="I479" s="192">
        <v>8</v>
      </c>
      <c r="J479" s="286">
        <v>91273</v>
      </c>
      <c r="K479" s="194" t="s">
        <v>12</v>
      </c>
      <c r="L479" s="194" t="s">
        <v>15</v>
      </c>
      <c r="M479" s="296" t="s">
        <v>1277</v>
      </c>
      <c r="N479" s="193">
        <v>46173</v>
      </c>
      <c r="O479" s="193">
        <v>46173</v>
      </c>
      <c r="P479" s="251">
        <v>1232183</v>
      </c>
      <c r="Q479" s="192" t="s">
        <v>457</v>
      </c>
      <c r="R479" s="192" t="s">
        <v>259</v>
      </c>
      <c r="S479" s="194" t="s">
        <v>14</v>
      </c>
      <c r="T479" s="64" t="str">
        <f t="shared" si="30"/>
        <v>Đ</v>
      </c>
      <c r="U479" s="66">
        <f t="shared" si="31"/>
        <v>0</v>
      </c>
      <c r="V479" s="62">
        <f t="shared" si="32"/>
        <v>13311</v>
      </c>
    </row>
    <row r="480" spans="1:22" ht="14.4" hidden="1" customHeight="1" x14ac:dyDescent="0.3">
      <c r="A480" s="192">
        <v>463</v>
      </c>
      <c r="B480" s="194" t="s">
        <v>510</v>
      </c>
      <c r="C480" s="296" t="s">
        <v>1397</v>
      </c>
      <c r="D480" s="193">
        <v>46134</v>
      </c>
      <c r="E480" s="194" t="s">
        <v>1394</v>
      </c>
      <c r="F480" s="296" t="s">
        <v>1395</v>
      </c>
      <c r="G480" s="194" t="s">
        <v>456</v>
      </c>
      <c r="H480" s="286">
        <v>1450345</v>
      </c>
      <c r="I480" s="192">
        <v>8</v>
      </c>
      <c r="J480" s="286">
        <v>116028</v>
      </c>
      <c r="K480" s="194" t="s">
        <v>12</v>
      </c>
      <c r="L480" s="194" t="s">
        <v>15</v>
      </c>
      <c r="M480" s="296" t="s">
        <v>1277</v>
      </c>
      <c r="N480" s="193">
        <v>46173</v>
      </c>
      <c r="O480" s="193">
        <v>46173</v>
      </c>
      <c r="P480" s="251">
        <v>1566373</v>
      </c>
      <c r="Q480" s="192" t="s">
        <v>457</v>
      </c>
      <c r="R480" s="192" t="s">
        <v>259</v>
      </c>
      <c r="S480" s="194" t="s">
        <v>14</v>
      </c>
      <c r="T480" s="64" t="str">
        <f t="shared" si="30"/>
        <v>Đ</v>
      </c>
      <c r="U480" s="66">
        <f t="shared" si="31"/>
        <v>0</v>
      </c>
      <c r="V480" s="62">
        <f t="shared" si="32"/>
        <v>13311</v>
      </c>
    </row>
    <row r="481" spans="1:22" ht="14.4" hidden="1" customHeight="1" x14ac:dyDescent="0.3">
      <c r="A481" s="192">
        <v>464</v>
      </c>
      <c r="B481" s="194" t="s">
        <v>292</v>
      </c>
      <c r="C481" s="296" t="s">
        <v>1663</v>
      </c>
      <c r="D481" s="193">
        <v>46055</v>
      </c>
      <c r="E481" s="194" t="s">
        <v>1664</v>
      </c>
      <c r="F481" s="296" t="s">
        <v>1665</v>
      </c>
      <c r="G481" s="194" t="s">
        <v>1666</v>
      </c>
      <c r="H481" s="286">
        <v>41562832</v>
      </c>
      <c r="I481" s="192">
        <v>8</v>
      </c>
      <c r="J481" s="286">
        <v>3325027</v>
      </c>
      <c r="K481" s="174"/>
      <c r="L481" s="194" t="s">
        <v>15</v>
      </c>
      <c r="M481" s="296" t="s">
        <v>1667</v>
      </c>
      <c r="N481" s="193">
        <v>46173</v>
      </c>
      <c r="O481" s="193">
        <v>46173</v>
      </c>
      <c r="P481" s="251">
        <v>44887859</v>
      </c>
      <c r="Q481" s="192" t="s">
        <v>17</v>
      </c>
      <c r="R481" s="192" t="s">
        <v>299</v>
      </c>
      <c r="S481" s="194" t="s">
        <v>14</v>
      </c>
      <c r="T481" s="64" t="str">
        <f t="shared" si="30"/>
        <v>Đ</v>
      </c>
      <c r="U481" s="66">
        <f t="shared" si="31"/>
        <v>0</v>
      </c>
      <c r="V481" s="62">
        <f t="shared" si="32"/>
        <v>13313</v>
      </c>
    </row>
    <row r="482" spans="1:22" hidden="1" x14ac:dyDescent="0.3">
      <c r="A482" s="192">
        <v>465</v>
      </c>
      <c r="B482" s="194" t="s">
        <v>610</v>
      </c>
      <c r="C482" s="296" t="s">
        <v>349</v>
      </c>
      <c r="D482" s="193">
        <v>46164</v>
      </c>
      <c r="E482" s="194" t="s">
        <v>1668</v>
      </c>
      <c r="F482" s="296" t="s">
        <v>1669</v>
      </c>
      <c r="G482" s="194" t="s">
        <v>1666</v>
      </c>
      <c r="H482" s="286">
        <v>1487534932</v>
      </c>
      <c r="I482" s="192">
        <v>8</v>
      </c>
      <c r="J482" s="286">
        <v>119002795</v>
      </c>
      <c r="K482" s="174"/>
      <c r="L482" s="194" t="s">
        <v>15</v>
      </c>
      <c r="M482" s="296" t="s">
        <v>1667</v>
      </c>
      <c r="N482" s="193">
        <v>46173</v>
      </c>
      <c r="O482" s="193">
        <v>46173</v>
      </c>
      <c r="P482" s="251">
        <v>1606537727</v>
      </c>
      <c r="Q482" s="192" t="s">
        <v>17</v>
      </c>
      <c r="R482" s="192" t="s">
        <v>299</v>
      </c>
      <c r="S482" s="194" t="s">
        <v>14</v>
      </c>
      <c r="T482" s="64" t="str">
        <f t="shared" si="30"/>
        <v>Đ</v>
      </c>
      <c r="U482" s="66">
        <f t="shared" si="31"/>
        <v>0</v>
      </c>
      <c r="V482" s="62">
        <f t="shared" si="32"/>
        <v>13313</v>
      </c>
    </row>
    <row r="483" spans="1:22" ht="14.4" hidden="1" customHeight="1" x14ac:dyDescent="0.3">
      <c r="A483" s="192">
        <v>466</v>
      </c>
      <c r="B483" s="194" t="s">
        <v>284</v>
      </c>
      <c r="C483" s="296" t="s">
        <v>1398</v>
      </c>
      <c r="D483" s="193">
        <v>46173</v>
      </c>
      <c r="E483" s="194" t="s">
        <v>199</v>
      </c>
      <c r="F483" s="296" t="s">
        <v>18</v>
      </c>
      <c r="G483" s="194" t="s">
        <v>229</v>
      </c>
      <c r="H483" s="286">
        <v>3340733</v>
      </c>
      <c r="I483" s="192">
        <v>10</v>
      </c>
      <c r="J483" s="286">
        <v>334074</v>
      </c>
      <c r="K483" s="194" t="s">
        <v>1399</v>
      </c>
      <c r="L483" s="194" t="s">
        <v>15</v>
      </c>
      <c r="M483" s="296" t="s">
        <v>1400</v>
      </c>
      <c r="N483" s="193">
        <v>46173</v>
      </c>
      <c r="O483" s="193">
        <v>46173</v>
      </c>
      <c r="P483" s="251">
        <v>3674807</v>
      </c>
      <c r="Q483" s="192" t="s">
        <v>10</v>
      </c>
      <c r="R483" s="192" t="s">
        <v>99</v>
      </c>
      <c r="S483" s="194" t="s">
        <v>14</v>
      </c>
      <c r="T483" s="64" t="str">
        <f t="shared" si="30"/>
        <v>Đ</v>
      </c>
      <c r="U483" s="66">
        <f t="shared" si="31"/>
        <v>-1</v>
      </c>
      <c r="V483" s="62">
        <f t="shared" si="32"/>
        <v>13311</v>
      </c>
    </row>
    <row r="484" spans="1:22" ht="14.4" hidden="1" customHeight="1" x14ac:dyDescent="0.3">
      <c r="A484" s="192">
        <v>467</v>
      </c>
      <c r="B484" s="194" t="s">
        <v>284</v>
      </c>
      <c r="C484" s="296" t="s">
        <v>1401</v>
      </c>
      <c r="D484" s="193">
        <v>46173</v>
      </c>
      <c r="E484" s="194" t="s">
        <v>199</v>
      </c>
      <c r="F484" s="296" t="s">
        <v>18</v>
      </c>
      <c r="G484" s="194" t="s">
        <v>229</v>
      </c>
      <c r="H484" s="286">
        <v>5564543</v>
      </c>
      <c r="I484" s="192">
        <v>10</v>
      </c>
      <c r="J484" s="286">
        <v>556455</v>
      </c>
      <c r="K484" s="194" t="s">
        <v>1399</v>
      </c>
      <c r="L484" s="194" t="s">
        <v>15</v>
      </c>
      <c r="M484" s="296" t="s">
        <v>1400</v>
      </c>
      <c r="N484" s="193">
        <v>46173</v>
      </c>
      <c r="O484" s="193">
        <v>46173</v>
      </c>
      <c r="P484" s="251">
        <v>6120998</v>
      </c>
      <c r="Q484" s="192" t="s">
        <v>10</v>
      </c>
      <c r="R484" s="192" t="s">
        <v>99</v>
      </c>
      <c r="S484" s="194" t="s">
        <v>14</v>
      </c>
      <c r="T484" s="64" t="str">
        <f t="shared" si="30"/>
        <v>Đ</v>
      </c>
      <c r="U484" s="66">
        <f t="shared" si="31"/>
        <v>-1</v>
      </c>
      <c r="V484" s="62">
        <f t="shared" si="32"/>
        <v>13311</v>
      </c>
    </row>
    <row r="485" spans="1:22" ht="14.4" hidden="1" x14ac:dyDescent="0.3">
      <c r="A485" s="192">
        <v>468</v>
      </c>
      <c r="B485" s="194" t="s">
        <v>284</v>
      </c>
      <c r="C485" s="296" t="s">
        <v>1402</v>
      </c>
      <c r="D485" s="193">
        <v>46173</v>
      </c>
      <c r="E485" s="194" t="s">
        <v>199</v>
      </c>
      <c r="F485" s="296" t="s">
        <v>18</v>
      </c>
      <c r="G485" s="194" t="s">
        <v>229</v>
      </c>
      <c r="H485" s="286">
        <v>6350000</v>
      </c>
      <c r="I485" s="192">
        <v>10</v>
      </c>
      <c r="J485" s="286">
        <v>635000</v>
      </c>
      <c r="K485" s="194" t="s">
        <v>1399</v>
      </c>
      <c r="L485" s="194" t="s">
        <v>15</v>
      </c>
      <c r="M485" s="296" t="s">
        <v>1400</v>
      </c>
      <c r="N485" s="193">
        <v>46173</v>
      </c>
      <c r="O485" s="193">
        <v>46173</v>
      </c>
      <c r="P485" s="251">
        <v>6985000</v>
      </c>
      <c r="Q485" s="192" t="s">
        <v>10</v>
      </c>
      <c r="R485" s="192" t="s">
        <v>99</v>
      </c>
      <c r="S485" s="194" t="s">
        <v>14</v>
      </c>
      <c r="T485" s="64" t="str">
        <f t="shared" si="30"/>
        <v>Đ</v>
      </c>
      <c r="U485" s="66">
        <f t="shared" si="31"/>
        <v>0</v>
      </c>
      <c r="V485" s="62">
        <f t="shared" si="32"/>
        <v>13311</v>
      </c>
    </row>
    <row r="486" spans="1:22" ht="14.4" hidden="1" customHeight="1" x14ac:dyDescent="0.3">
      <c r="A486" s="192">
        <v>469</v>
      </c>
      <c r="B486" s="194" t="s">
        <v>281</v>
      </c>
      <c r="C486" s="296" t="s">
        <v>1597</v>
      </c>
      <c r="D486" s="193">
        <v>46148</v>
      </c>
      <c r="E486" s="194" t="s">
        <v>75</v>
      </c>
      <c r="F486" s="296" t="s">
        <v>197</v>
      </c>
      <c r="G486" s="194" t="s">
        <v>1598</v>
      </c>
      <c r="H486" s="286">
        <v>1291995987299</v>
      </c>
      <c r="I486" s="192">
        <v>8</v>
      </c>
      <c r="J486" s="286">
        <v>103359678984</v>
      </c>
      <c r="K486" s="194" t="s">
        <v>12</v>
      </c>
      <c r="L486" s="194" t="s">
        <v>15</v>
      </c>
      <c r="M486" s="296" t="s">
        <v>1599</v>
      </c>
      <c r="N486" s="193">
        <v>46173</v>
      </c>
      <c r="O486" s="193">
        <v>46173</v>
      </c>
      <c r="P486" s="251">
        <v>1395355666283</v>
      </c>
      <c r="Q486" s="192" t="s">
        <v>10</v>
      </c>
      <c r="R486" s="192" t="s">
        <v>366</v>
      </c>
      <c r="S486" s="194" t="s">
        <v>14</v>
      </c>
      <c r="T486" s="64" t="str">
        <f t="shared" si="30"/>
        <v>Đ</v>
      </c>
      <c r="U486" s="66">
        <f t="shared" si="31"/>
        <v>0</v>
      </c>
      <c r="V486" s="62">
        <f t="shared" si="32"/>
        <v>13311</v>
      </c>
    </row>
    <row r="487" spans="1:22" ht="14.4" hidden="1" customHeight="1" x14ac:dyDescent="0.3">
      <c r="A487" s="192">
        <v>470</v>
      </c>
      <c r="B487" s="194" t="s">
        <v>1247</v>
      </c>
      <c r="C487" s="296" t="s">
        <v>1403</v>
      </c>
      <c r="D487" s="193">
        <v>46157</v>
      </c>
      <c r="E487" s="194" t="s">
        <v>301</v>
      </c>
      <c r="F487" s="296" t="s">
        <v>198</v>
      </c>
      <c r="G487" s="194" t="s">
        <v>280</v>
      </c>
      <c r="H487" s="286">
        <v>4388777</v>
      </c>
      <c r="I487" s="192">
        <v>8</v>
      </c>
      <c r="J487" s="286">
        <v>351102</v>
      </c>
      <c r="K487" s="194" t="s">
        <v>200</v>
      </c>
      <c r="L487" s="194" t="s">
        <v>11</v>
      </c>
      <c r="M487" s="296" t="s">
        <v>1404</v>
      </c>
      <c r="N487" s="193">
        <v>46169</v>
      </c>
      <c r="O487" s="193">
        <v>46169</v>
      </c>
      <c r="P487" s="251">
        <v>4739879</v>
      </c>
      <c r="Q487" s="192" t="s">
        <v>10</v>
      </c>
      <c r="R487" s="192" t="s">
        <v>259</v>
      </c>
      <c r="S487" s="194" t="s">
        <v>9</v>
      </c>
      <c r="T487" s="64" t="str">
        <f t="shared" si="30"/>
        <v>Đ</v>
      </c>
      <c r="U487" s="66">
        <f t="shared" si="31"/>
        <v>0</v>
      </c>
      <c r="V487" s="62">
        <f t="shared" si="32"/>
        <v>13311</v>
      </c>
    </row>
    <row r="488" spans="1:22" ht="14.4" hidden="1" x14ac:dyDescent="0.3">
      <c r="A488" s="192">
        <v>471</v>
      </c>
      <c r="B488" s="194" t="s">
        <v>345</v>
      </c>
      <c r="C488" s="296" t="s">
        <v>1405</v>
      </c>
      <c r="D488" s="193">
        <v>46162</v>
      </c>
      <c r="E488" s="194" t="s">
        <v>1406</v>
      </c>
      <c r="F488" s="296" t="s">
        <v>367</v>
      </c>
      <c r="G488" s="194" t="s">
        <v>426</v>
      </c>
      <c r="H488" s="286">
        <v>1064815</v>
      </c>
      <c r="I488" s="192">
        <v>8</v>
      </c>
      <c r="J488" s="286">
        <v>85185</v>
      </c>
      <c r="K488" s="194" t="s">
        <v>200</v>
      </c>
      <c r="L488" s="194" t="s">
        <v>11</v>
      </c>
      <c r="M488" s="296" t="s">
        <v>1407</v>
      </c>
      <c r="N488" s="193">
        <v>46169</v>
      </c>
      <c r="O488" s="193">
        <v>46169</v>
      </c>
      <c r="P488" s="251">
        <v>1150000</v>
      </c>
      <c r="Q488" s="192" t="s">
        <v>10</v>
      </c>
      <c r="R488" s="192" t="s">
        <v>259</v>
      </c>
      <c r="S488" s="194" t="s">
        <v>9</v>
      </c>
      <c r="T488" s="64" t="str">
        <f t="shared" si="30"/>
        <v>Đ</v>
      </c>
      <c r="U488" s="66">
        <f t="shared" si="31"/>
        <v>0</v>
      </c>
      <c r="V488" s="62">
        <f t="shared" si="32"/>
        <v>13311</v>
      </c>
    </row>
    <row r="489" spans="1:22" ht="14.4" hidden="1" x14ac:dyDescent="0.3">
      <c r="A489" s="192">
        <v>472</v>
      </c>
      <c r="B489" s="194" t="s">
        <v>859</v>
      </c>
      <c r="C489" s="296" t="s">
        <v>679</v>
      </c>
      <c r="D489" s="193">
        <v>46053</v>
      </c>
      <c r="E489" s="194" t="s">
        <v>1408</v>
      </c>
      <c r="F489" s="296" t="s">
        <v>1409</v>
      </c>
      <c r="G489" s="194" t="s">
        <v>1410</v>
      </c>
      <c r="H489" s="286">
        <v>3100000</v>
      </c>
      <c r="I489" s="192">
        <v>8</v>
      </c>
      <c r="J489" s="286">
        <v>248000</v>
      </c>
      <c r="K489" s="194" t="s">
        <v>200</v>
      </c>
      <c r="L489" s="194" t="s">
        <v>11</v>
      </c>
      <c r="M489" s="296" t="s">
        <v>1411</v>
      </c>
      <c r="N489" s="193">
        <v>46169</v>
      </c>
      <c r="O489" s="193">
        <v>46169</v>
      </c>
      <c r="P489" s="251">
        <v>3348000</v>
      </c>
      <c r="Q489" s="192" t="s">
        <v>10</v>
      </c>
      <c r="R489" s="192" t="s">
        <v>259</v>
      </c>
      <c r="S489" s="194" t="s">
        <v>9</v>
      </c>
      <c r="T489" s="64" t="str">
        <f t="shared" si="30"/>
        <v>Đ</v>
      </c>
      <c r="U489" s="66">
        <f t="shared" si="31"/>
        <v>0</v>
      </c>
      <c r="V489" s="62">
        <f t="shared" si="32"/>
        <v>13311</v>
      </c>
    </row>
    <row r="490" spans="1:22" ht="14.4" hidden="1" x14ac:dyDescent="0.3">
      <c r="A490" s="192">
        <v>473</v>
      </c>
      <c r="B490" s="194" t="s">
        <v>859</v>
      </c>
      <c r="C490" s="296" t="s">
        <v>674</v>
      </c>
      <c r="D490" s="193">
        <v>46053</v>
      </c>
      <c r="E490" s="194" t="s">
        <v>1408</v>
      </c>
      <c r="F490" s="296" t="s">
        <v>1409</v>
      </c>
      <c r="G490" s="194" t="s">
        <v>1410</v>
      </c>
      <c r="H490" s="286">
        <v>2692592</v>
      </c>
      <c r="I490" s="192">
        <v>8</v>
      </c>
      <c r="J490" s="286">
        <v>215407</v>
      </c>
      <c r="K490" s="194" t="s">
        <v>200</v>
      </c>
      <c r="L490" s="194" t="s">
        <v>11</v>
      </c>
      <c r="M490" s="296" t="s">
        <v>1412</v>
      </c>
      <c r="N490" s="193">
        <v>46169</v>
      </c>
      <c r="O490" s="193">
        <v>46169</v>
      </c>
      <c r="P490" s="251">
        <v>2907999</v>
      </c>
      <c r="Q490" s="192" t="s">
        <v>10</v>
      </c>
      <c r="R490" s="192" t="s">
        <v>259</v>
      </c>
      <c r="S490" s="194" t="s">
        <v>9</v>
      </c>
      <c r="T490" s="64" t="str">
        <f t="shared" si="30"/>
        <v>Đ</v>
      </c>
      <c r="U490" s="66">
        <f t="shared" si="31"/>
        <v>0</v>
      </c>
      <c r="V490" s="62">
        <f t="shared" si="32"/>
        <v>13311</v>
      </c>
    </row>
    <row r="491" spans="1:22" ht="14.4" hidden="1" x14ac:dyDescent="0.3">
      <c r="A491" s="192">
        <v>474</v>
      </c>
      <c r="B491" s="194" t="s">
        <v>859</v>
      </c>
      <c r="C491" s="296" t="s">
        <v>348</v>
      </c>
      <c r="D491" s="193">
        <v>46053</v>
      </c>
      <c r="E491" s="194" t="s">
        <v>1408</v>
      </c>
      <c r="F491" s="296" t="s">
        <v>1409</v>
      </c>
      <c r="G491" s="194" t="s">
        <v>1413</v>
      </c>
      <c r="H491" s="286">
        <v>2600000</v>
      </c>
      <c r="I491" s="192">
        <v>8</v>
      </c>
      <c r="J491" s="286">
        <v>208000</v>
      </c>
      <c r="K491" s="194" t="s">
        <v>200</v>
      </c>
      <c r="L491" s="194" t="s">
        <v>11</v>
      </c>
      <c r="M491" s="296" t="s">
        <v>1414</v>
      </c>
      <c r="N491" s="193">
        <v>46169</v>
      </c>
      <c r="O491" s="193">
        <v>46169</v>
      </c>
      <c r="P491" s="251">
        <v>2808000</v>
      </c>
      <c r="Q491" s="192" t="s">
        <v>10</v>
      </c>
      <c r="R491" s="192" t="s">
        <v>259</v>
      </c>
      <c r="S491" s="194" t="s">
        <v>9</v>
      </c>
      <c r="T491" s="64" t="str">
        <f t="shared" si="30"/>
        <v>Đ</v>
      </c>
      <c r="U491" s="66">
        <f t="shared" si="31"/>
        <v>0</v>
      </c>
      <c r="V491" s="62">
        <f t="shared" si="32"/>
        <v>13311</v>
      </c>
    </row>
    <row r="492" spans="1:22" ht="21.6" hidden="1" x14ac:dyDescent="0.3">
      <c r="A492" s="192">
        <v>475</v>
      </c>
      <c r="B492" s="194" t="s">
        <v>282</v>
      </c>
      <c r="C492" s="296" t="s">
        <v>1415</v>
      </c>
      <c r="D492" s="193">
        <v>46165</v>
      </c>
      <c r="E492" s="194" t="s">
        <v>1416</v>
      </c>
      <c r="F492" s="296" t="s">
        <v>260</v>
      </c>
      <c r="G492" s="194" t="s">
        <v>1417</v>
      </c>
      <c r="H492" s="286">
        <v>15000</v>
      </c>
      <c r="I492" s="192">
        <v>10</v>
      </c>
      <c r="J492" s="286">
        <v>1500</v>
      </c>
      <c r="K492" s="194" t="s">
        <v>12</v>
      </c>
      <c r="L492" s="194" t="s">
        <v>11</v>
      </c>
      <c r="M492" s="296" t="s">
        <v>1418</v>
      </c>
      <c r="N492" s="193">
        <v>46165</v>
      </c>
      <c r="O492" s="193">
        <v>46165</v>
      </c>
      <c r="P492" s="251">
        <v>16500</v>
      </c>
      <c r="Q492" s="192" t="s">
        <v>10</v>
      </c>
      <c r="R492" s="192" t="s">
        <v>259</v>
      </c>
      <c r="S492" s="194" t="s">
        <v>9</v>
      </c>
      <c r="T492" s="64" t="str">
        <f t="shared" si="30"/>
        <v>Đ</v>
      </c>
      <c r="U492" s="66">
        <f t="shared" si="31"/>
        <v>0</v>
      </c>
      <c r="V492" s="62">
        <f t="shared" si="32"/>
        <v>13311</v>
      </c>
    </row>
    <row r="493" spans="1:22" ht="21.6" hidden="1" x14ac:dyDescent="0.3">
      <c r="A493" s="192">
        <v>476</v>
      </c>
      <c r="B493" s="194" t="s">
        <v>282</v>
      </c>
      <c r="C493" s="296" t="s">
        <v>1419</v>
      </c>
      <c r="D493" s="193">
        <v>46165</v>
      </c>
      <c r="E493" s="194" t="s">
        <v>283</v>
      </c>
      <c r="F493" s="296" t="s">
        <v>260</v>
      </c>
      <c r="G493" s="194" t="s">
        <v>1420</v>
      </c>
      <c r="H493" s="286">
        <v>15000</v>
      </c>
      <c r="I493" s="192">
        <v>10</v>
      </c>
      <c r="J493" s="286">
        <v>1500</v>
      </c>
      <c r="K493" s="194" t="s">
        <v>12</v>
      </c>
      <c r="L493" s="194" t="s">
        <v>11</v>
      </c>
      <c r="M493" s="296" t="s">
        <v>1421</v>
      </c>
      <c r="N493" s="193">
        <v>46165</v>
      </c>
      <c r="O493" s="193">
        <v>46165</v>
      </c>
      <c r="P493" s="251">
        <v>16500</v>
      </c>
      <c r="Q493" s="192" t="s">
        <v>10</v>
      </c>
      <c r="R493" s="192" t="s">
        <v>99</v>
      </c>
      <c r="S493" s="194" t="s">
        <v>9</v>
      </c>
      <c r="T493" s="64" t="str">
        <f t="shared" si="30"/>
        <v>Đ</v>
      </c>
      <c r="U493" s="66">
        <f t="shared" si="31"/>
        <v>0</v>
      </c>
      <c r="V493" s="62">
        <f t="shared" si="32"/>
        <v>13311</v>
      </c>
    </row>
    <row r="494" spans="1:22" ht="15.6" hidden="1" customHeight="1" x14ac:dyDescent="0.3">
      <c r="A494" s="192">
        <v>477</v>
      </c>
      <c r="B494" s="194" t="s">
        <v>296</v>
      </c>
      <c r="C494" s="296" t="s">
        <v>936</v>
      </c>
      <c r="D494" s="193">
        <v>46142</v>
      </c>
      <c r="E494" s="194" t="s">
        <v>304</v>
      </c>
      <c r="F494" s="296" t="s">
        <v>305</v>
      </c>
      <c r="G494" s="194" t="s">
        <v>1422</v>
      </c>
      <c r="H494" s="286">
        <v>128000000</v>
      </c>
      <c r="I494" s="192">
        <v>8</v>
      </c>
      <c r="J494" s="286">
        <v>10240000</v>
      </c>
      <c r="K494" s="194" t="s">
        <v>12</v>
      </c>
      <c r="L494" s="194" t="s">
        <v>11</v>
      </c>
      <c r="M494" s="296" t="s">
        <v>1423</v>
      </c>
      <c r="N494" s="193">
        <v>46150</v>
      </c>
      <c r="O494" s="193">
        <v>46150</v>
      </c>
      <c r="P494" s="251">
        <v>138240000</v>
      </c>
      <c r="Q494" s="192" t="s">
        <v>10</v>
      </c>
      <c r="R494" s="192" t="s">
        <v>179</v>
      </c>
      <c r="S494" s="194" t="s">
        <v>9</v>
      </c>
      <c r="T494" s="64" t="str">
        <f t="shared" si="30"/>
        <v>Đ</v>
      </c>
      <c r="U494" s="66">
        <f t="shared" si="31"/>
        <v>0</v>
      </c>
      <c r="V494" s="62">
        <f t="shared" si="32"/>
        <v>13311</v>
      </c>
    </row>
    <row r="495" spans="1:22" ht="15.6" hidden="1" customHeight="1" x14ac:dyDescent="0.3">
      <c r="A495" s="192">
        <v>478</v>
      </c>
      <c r="B495" s="194" t="s">
        <v>346</v>
      </c>
      <c r="C495" s="296" t="s">
        <v>1424</v>
      </c>
      <c r="D495" s="193">
        <v>46140</v>
      </c>
      <c r="E495" s="194" t="s">
        <v>881</v>
      </c>
      <c r="F495" s="296" t="s">
        <v>347</v>
      </c>
      <c r="G495" s="194" t="s">
        <v>1425</v>
      </c>
      <c r="H495" s="286">
        <v>6851851</v>
      </c>
      <c r="I495" s="192">
        <v>8</v>
      </c>
      <c r="J495" s="286">
        <v>548149</v>
      </c>
      <c r="K495" s="194" t="s">
        <v>12</v>
      </c>
      <c r="L495" s="194" t="s">
        <v>11</v>
      </c>
      <c r="M495" s="296" t="s">
        <v>1426</v>
      </c>
      <c r="N495" s="193">
        <v>46157</v>
      </c>
      <c r="O495" s="193">
        <v>46157</v>
      </c>
      <c r="P495" s="251">
        <v>7400000</v>
      </c>
      <c r="Q495" s="192" t="s">
        <v>10</v>
      </c>
      <c r="R495" s="192" t="s">
        <v>259</v>
      </c>
      <c r="S495" s="194" t="s">
        <v>9</v>
      </c>
      <c r="T495" s="64" t="str">
        <f t="shared" si="30"/>
        <v>Đ</v>
      </c>
      <c r="U495" s="66">
        <f t="shared" si="31"/>
        <v>-1</v>
      </c>
      <c r="V495" s="62">
        <f t="shared" si="32"/>
        <v>13311</v>
      </c>
    </row>
    <row r="496" spans="1:22" ht="15.6" hidden="1" customHeight="1" x14ac:dyDescent="0.3">
      <c r="A496" s="192">
        <v>479</v>
      </c>
      <c r="B496" s="194" t="s">
        <v>286</v>
      </c>
      <c r="C496" s="296" t="s">
        <v>1427</v>
      </c>
      <c r="D496" s="193">
        <v>46169</v>
      </c>
      <c r="E496" s="194" t="s">
        <v>1428</v>
      </c>
      <c r="F496" s="296" t="s">
        <v>13</v>
      </c>
      <c r="G496" s="194" t="s">
        <v>1429</v>
      </c>
      <c r="H496" s="286">
        <v>50000</v>
      </c>
      <c r="I496" s="192">
        <v>10</v>
      </c>
      <c r="J496" s="286">
        <v>5000</v>
      </c>
      <c r="K496" s="194" t="s">
        <v>12</v>
      </c>
      <c r="L496" s="194" t="s">
        <v>11</v>
      </c>
      <c r="M496" s="296" t="s">
        <v>1430</v>
      </c>
      <c r="N496" s="193">
        <v>46169</v>
      </c>
      <c r="O496" s="193">
        <v>46169</v>
      </c>
      <c r="P496" s="251">
        <v>55000</v>
      </c>
      <c r="Q496" s="192" t="s">
        <v>10</v>
      </c>
      <c r="R496" s="192" t="s">
        <v>179</v>
      </c>
      <c r="S496" s="194" t="s">
        <v>9</v>
      </c>
      <c r="T496" s="64" t="str">
        <f t="shared" si="30"/>
        <v>Đ</v>
      </c>
      <c r="U496" s="66">
        <f t="shared" si="31"/>
        <v>0</v>
      </c>
      <c r="V496" s="62">
        <f t="shared" si="32"/>
        <v>13311</v>
      </c>
    </row>
    <row r="497" spans="1:22" ht="15.6" hidden="1" customHeight="1" x14ac:dyDescent="0.3">
      <c r="A497" s="192">
        <v>480</v>
      </c>
      <c r="B497" s="194" t="s">
        <v>286</v>
      </c>
      <c r="C497" s="296" t="s">
        <v>1431</v>
      </c>
      <c r="D497" s="193">
        <v>46169</v>
      </c>
      <c r="E497" s="194" t="s">
        <v>1432</v>
      </c>
      <c r="F497" s="296" t="s">
        <v>13</v>
      </c>
      <c r="G497" s="194" t="s">
        <v>1433</v>
      </c>
      <c r="H497" s="286">
        <v>50000</v>
      </c>
      <c r="I497" s="192">
        <v>10</v>
      </c>
      <c r="J497" s="286">
        <v>5000</v>
      </c>
      <c r="K497" s="194" t="s">
        <v>12</v>
      </c>
      <c r="L497" s="194" t="s">
        <v>11</v>
      </c>
      <c r="M497" s="296" t="s">
        <v>1434</v>
      </c>
      <c r="N497" s="193">
        <v>46169</v>
      </c>
      <c r="O497" s="193">
        <v>46169</v>
      </c>
      <c r="P497" s="251">
        <v>55000</v>
      </c>
      <c r="Q497" s="192" t="s">
        <v>10</v>
      </c>
      <c r="R497" s="192" t="s">
        <v>196</v>
      </c>
      <c r="S497" s="194" t="s">
        <v>9</v>
      </c>
      <c r="T497" s="64" t="str">
        <f t="shared" si="30"/>
        <v>Đ</v>
      </c>
      <c r="U497" s="66">
        <f t="shared" si="31"/>
        <v>0</v>
      </c>
      <c r="V497" s="62">
        <f t="shared" si="32"/>
        <v>13311</v>
      </c>
    </row>
    <row r="498" spans="1:22" ht="15.6" hidden="1" customHeight="1" x14ac:dyDescent="0.3">
      <c r="A498" s="192">
        <v>481</v>
      </c>
      <c r="B498" s="194" t="s">
        <v>286</v>
      </c>
      <c r="C498" s="296" t="s">
        <v>1670</v>
      </c>
      <c r="D498" s="193">
        <v>46169</v>
      </c>
      <c r="E498" s="194" t="s">
        <v>1671</v>
      </c>
      <c r="F498" s="296" t="s">
        <v>13</v>
      </c>
      <c r="G498" s="194" t="s">
        <v>1672</v>
      </c>
      <c r="H498" s="286">
        <v>50000</v>
      </c>
      <c r="I498" s="192">
        <v>10</v>
      </c>
      <c r="J498" s="286">
        <v>5000</v>
      </c>
      <c r="K498" s="194" t="s">
        <v>12</v>
      </c>
      <c r="L498" s="194" t="s">
        <v>11</v>
      </c>
      <c r="M498" s="296" t="s">
        <v>1673</v>
      </c>
      <c r="N498" s="193">
        <v>46169</v>
      </c>
      <c r="O498" s="193">
        <v>46169</v>
      </c>
      <c r="P498" s="251">
        <v>55000</v>
      </c>
      <c r="Q498" s="192" t="s">
        <v>10</v>
      </c>
      <c r="R498" s="192" t="s">
        <v>290</v>
      </c>
      <c r="S498" s="194" t="s">
        <v>9</v>
      </c>
      <c r="T498" s="64" t="str">
        <f t="shared" si="30"/>
        <v>Đ</v>
      </c>
      <c r="U498" s="66">
        <f t="shared" si="31"/>
        <v>0</v>
      </c>
      <c r="V498" s="62">
        <f t="shared" si="32"/>
        <v>13311</v>
      </c>
    </row>
    <row r="499" spans="1:22" ht="14.4" hidden="1" x14ac:dyDescent="0.3">
      <c r="A499" s="192">
        <v>482</v>
      </c>
      <c r="B499" s="194" t="s">
        <v>286</v>
      </c>
      <c r="C499" s="296" t="s">
        <v>1435</v>
      </c>
      <c r="D499" s="193">
        <v>46169</v>
      </c>
      <c r="E499" s="194" t="s">
        <v>1436</v>
      </c>
      <c r="F499" s="296" t="s">
        <v>1437</v>
      </c>
      <c r="G499" s="194" t="s">
        <v>1438</v>
      </c>
      <c r="H499" s="286">
        <v>200000</v>
      </c>
      <c r="I499" s="192">
        <v>10</v>
      </c>
      <c r="J499" s="286">
        <v>20000</v>
      </c>
      <c r="K499" s="194" t="s">
        <v>12</v>
      </c>
      <c r="L499" s="194" t="s">
        <v>11</v>
      </c>
      <c r="M499" s="296" t="s">
        <v>1439</v>
      </c>
      <c r="N499" s="193">
        <v>46169</v>
      </c>
      <c r="O499" s="193">
        <v>46169</v>
      </c>
      <c r="P499" s="251">
        <v>220000</v>
      </c>
      <c r="Q499" s="192" t="s">
        <v>10</v>
      </c>
      <c r="R499" s="192" t="s">
        <v>196</v>
      </c>
      <c r="S499" s="194" t="s">
        <v>9</v>
      </c>
      <c r="T499" s="64" t="str">
        <f t="shared" si="30"/>
        <v>Đ</v>
      </c>
      <c r="U499" s="66">
        <f t="shared" si="31"/>
        <v>0</v>
      </c>
      <c r="V499" s="62">
        <f t="shared" si="32"/>
        <v>13311</v>
      </c>
    </row>
    <row r="500" spans="1:22" ht="14.4" hidden="1" x14ac:dyDescent="0.3">
      <c r="A500" s="192">
        <v>483</v>
      </c>
      <c r="B500" s="194" t="s">
        <v>281</v>
      </c>
      <c r="C500" s="296" t="s">
        <v>1440</v>
      </c>
      <c r="D500" s="193">
        <v>46149</v>
      </c>
      <c r="E500" s="194" t="s">
        <v>199</v>
      </c>
      <c r="F500" s="296" t="s">
        <v>18</v>
      </c>
      <c r="G500" s="194" t="s">
        <v>229</v>
      </c>
      <c r="H500" s="286">
        <v>700000</v>
      </c>
      <c r="I500" s="192">
        <v>10</v>
      </c>
      <c r="J500" s="286">
        <v>70000</v>
      </c>
      <c r="K500" s="194" t="s">
        <v>12</v>
      </c>
      <c r="L500" s="194" t="s">
        <v>11</v>
      </c>
      <c r="M500" s="296" t="s">
        <v>1441</v>
      </c>
      <c r="N500" s="193">
        <v>46149</v>
      </c>
      <c r="O500" s="193">
        <v>46149</v>
      </c>
      <c r="P500" s="251">
        <v>770000</v>
      </c>
      <c r="Q500" s="192" t="s">
        <v>10</v>
      </c>
      <c r="R500" s="192" t="s">
        <v>99</v>
      </c>
      <c r="S500" s="194" t="s">
        <v>9</v>
      </c>
      <c r="T500" s="64" t="str">
        <f t="shared" si="30"/>
        <v>Đ</v>
      </c>
      <c r="U500" s="66">
        <f t="shared" si="31"/>
        <v>0</v>
      </c>
      <c r="V500" s="62">
        <f t="shared" si="32"/>
        <v>13311</v>
      </c>
    </row>
    <row r="501" spans="1:22" ht="14.4" hidden="1" x14ac:dyDescent="0.3">
      <c r="A501" s="192">
        <v>484</v>
      </c>
      <c r="B501" s="194" t="s">
        <v>281</v>
      </c>
      <c r="C501" s="296" t="s">
        <v>1442</v>
      </c>
      <c r="D501" s="193">
        <v>46150</v>
      </c>
      <c r="E501" s="194" t="s">
        <v>199</v>
      </c>
      <c r="F501" s="296" t="s">
        <v>18</v>
      </c>
      <c r="G501" s="194" t="s">
        <v>1443</v>
      </c>
      <c r="H501" s="286">
        <v>100000</v>
      </c>
      <c r="I501" s="192">
        <v>10</v>
      </c>
      <c r="J501" s="286">
        <v>10000</v>
      </c>
      <c r="K501" s="194" t="s">
        <v>12</v>
      </c>
      <c r="L501" s="194" t="s">
        <v>11</v>
      </c>
      <c r="M501" s="296" t="s">
        <v>1444</v>
      </c>
      <c r="N501" s="193">
        <v>46150</v>
      </c>
      <c r="O501" s="193">
        <v>46150</v>
      </c>
      <c r="P501" s="251">
        <v>110000</v>
      </c>
      <c r="Q501" s="192" t="s">
        <v>10</v>
      </c>
      <c r="R501" s="192" t="s">
        <v>99</v>
      </c>
      <c r="S501" s="194" t="s">
        <v>9</v>
      </c>
      <c r="T501" s="64" t="str">
        <f t="shared" si="30"/>
        <v>Đ</v>
      </c>
      <c r="U501" s="66">
        <f t="shared" si="31"/>
        <v>0</v>
      </c>
      <c r="V501" s="62">
        <f t="shared" si="32"/>
        <v>13311</v>
      </c>
    </row>
    <row r="502" spans="1:22" ht="14.4" hidden="1" x14ac:dyDescent="0.3">
      <c r="A502" s="192">
        <v>485</v>
      </c>
      <c r="B502" s="194" t="s">
        <v>281</v>
      </c>
      <c r="C502" s="296" t="s">
        <v>1445</v>
      </c>
      <c r="D502" s="193">
        <v>46156</v>
      </c>
      <c r="E502" s="194" t="s">
        <v>199</v>
      </c>
      <c r="F502" s="296" t="s">
        <v>18</v>
      </c>
      <c r="G502" s="194" t="s">
        <v>229</v>
      </c>
      <c r="H502" s="286">
        <v>20000</v>
      </c>
      <c r="I502" s="192">
        <v>10</v>
      </c>
      <c r="J502" s="286">
        <v>2000</v>
      </c>
      <c r="K502" s="194" t="s">
        <v>12</v>
      </c>
      <c r="L502" s="194" t="s">
        <v>11</v>
      </c>
      <c r="M502" s="296" t="s">
        <v>1446</v>
      </c>
      <c r="N502" s="193">
        <v>46156</v>
      </c>
      <c r="O502" s="193">
        <v>46156</v>
      </c>
      <c r="P502" s="251">
        <v>22000</v>
      </c>
      <c r="Q502" s="192" t="s">
        <v>10</v>
      </c>
      <c r="R502" s="192" t="s">
        <v>99</v>
      </c>
      <c r="S502" s="194" t="s">
        <v>9</v>
      </c>
      <c r="T502" s="64" t="str">
        <f t="shared" si="30"/>
        <v>Đ</v>
      </c>
      <c r="U502" s="66">
        <f t="shared" si="31"/>
        <v>0</v>
      </c>
      <c r="V502" s="62">
        <f t="shared" si="32"/>
        <v>13311</v>
      </c>
    </row>
    <row r="503" spans="1:22" ht="14.4" hidden="1" x14ac:dyDescent="0.3">
      <c r="A503" s="192">
        <v>486</v>
      </c>
      <c r="B503" s="194" t="s">
        <v>281</v>
      </c>
      <c r="C503" s="296" t="s">
        <v>1447</v>
      </c>
      <c r="D503" s="193">
        <v>46157</v>
      </c>
      <c r="E503" s="194" t="s">
        <v>199</v>
      </c>
      <c r="F503" s="296" t="s">
        <v>18</v>
      </c>
      <c r="G503" s="194" t="s">
        <v>229</v>
      </c>
      <c r="H503" s="286">
        <v>700000</v>
      </c>
      <c r="I503" s="192">
        <v>10</v>
      </c>
      <c r="J503" s="286">
        <v>70000</v>
      </c>
      <c r="K503" s="194" t="s">
        <v>12</v>
      </c>
      <c r="L503" s="194" t="s">
        <v>11</v>
      </c>
      <c r="M503" s="296" t="s">
        <v>1448</v>
      </c>
      <c r="N503" s="193">
        <v>46157</v>
      </c>
      <c r="O503" s="193">
        <v>46157</v>
      </c>
      <c r="P503" s="251">
        <v>770000</v>
      </c>
      <c r="Q503" s="192" t="s">
        <v>10</v>
      </c>
      <c r="R503" s="192" t="s">
        <v>99</v>
      </c>
      <c r="S503" s="194" t="s">
        <v>9</v>
      </c>
      <c r="T503" s="64" t="str">
        <f t="shared" si="30"/>
        <v>Đ</v>
      </c>
      <c r="U503" s="66">
        <f t="shared" si="31"/>
        <v>0</v>
      </c>
      <c r="V503" s="62">
        <f t="shared" si="32"/>
        <v>13311</v>
      </c>
    </row>
    <row r="504" spans="1:22" ht="14.4" hidden="1" x14ac:dyDescent="0.3">
      <c r="A504" s="192">
        <v>487</v>
      </c>
      <c r="B504" s="194" t="s">
        <v>281</v>
      </c>
      <c r="C504" s="296" t="s">
        <v>1449</v>
      </c>
      <c r="D504" s="193">
        <v>46168</v>
      </c>
      <c r="E504" s="194" t="s">
        <v>199</v>
      </c>
      <c r="F504" s="296" t="s">
        <v>18</v>
      </c>
      <c r="G504" s="194" t="s">
        <v>229</v>
      </c>
      <c r="H504" s="286">
        <v>700000</v>
      </c>
      <c r="I504" s="192">
        <v>10</v>
      </c>
      <c r="J504" s="286">
        <v>70000</v>
      </c>
      <c r="K504" s="194" t="s">
        <v>12</v>
      </c>
      <c r="L504" s="194" t="s">
        <v>11</v>
      </c>
      <c r="M504" s="296" t="s">
        <v>1450</v>
      </c>
      <c r="N504" s="193">
        <v>46168</v>
      </c>
      <c r="O504" s="193">
        <v>46168</v>
      </c>
      <c r="P504" s="251">
        <v>770000</v>
      </c>
      <c r="Q504" s="192" t="s">
        <v>10</v>
      </c>
      <c r="R504" s="192" t="s">
        <v>99</v>
      </c>
      <c r="S504" s="194" t="s">
        <v>9</v>
      </c>
      <c r="T504" s="64" t="str">
        <f t="shared" si="30"/>
        <v>Đ</v>
      </c>
      <c r="U504" s="66">
        <f t="shared" si="31"/>
        <v>0</v>
      </c>
      <c r="V504" s="62">
        <f t="shared" si="32"/>
        <v>13311</v>
      </c>
    </row>
    <row r="505" spans="1:22" ht="14.4" hidden="1" x14ac:dyDescent="0.3">
      <c r="A505" s="192">
        <v>488</v>
      </c>
      <c r="B505" s="194" t="s">
        <v>281</v>
      </c>
      <c r="C505" s="296" t="s">
        <v>1451</v>
      </c>
      <c r="D505" s="193">
        <v>46171</v>
      </c>
      <c r="E505" s="194" t="s">
        <v>199</v>
      </c>
      <c r="F505" s="296" t="s">
        <v>18</v>
      </c>
      <c r="G505" s="194" t="s">
        <v>229</v>
      </c>
      <c r="H505" s="286">
        <v>192000</v>
      </c>
      <c r="I505" s="192">
        <v>10</v>
      </c>
      <c r="J505" s="286">
        <v>19200</v>
      </c>
      <c r="K505" s="194" t="s">
        <v>12</v>
      </c>
      <c r="L505" s="194" t="s">
        <v>11</v>
      </c>
      <c r="M505" s="296" t="s">
        <v>1452</v>
      </c>
      <c r="N505" s="193">
        <v>46171</v>
      </c>
      <c r="O505" s="193">
        <v>46171</v>
      </c>
      <c r="P505" s="251">
        <v>211200</v>
      </c>
      <c r="Q505" s="192" t="s">
        <v>10</v>
      </c>
      <c r="R505" s="192" t="s">
        <v>99</v>
      </c>
      <c r="S505" s="194" t="s">
        <v>9</v>
      </c>
      <c r="T505" s="64" t="str">
        <f t="shared" ref="T505" si="33">IF(OR(LEN(F505)=11,LEN(F505)=15),"Đ","SAI")</f>
        <v>Đ</v>
      </c>
      <c r="U505" s="66">
        <f t="shared" ref="U505" si="34">ROUND(H505*I505%,0)-J505</f>
        <v>0</v>
      </c>
      <c r="V505" s="62">
        <f t="shared" ref="V505" si="35">IF(Q505=$V$12,13313,13311)</f>
        <v>13311</v>
      </c>
    </row>
    <row r="506" spans="1:22" hidden="1" x14ac:dyDescent="0.3">
      <c r="A506" s="191" t="s">
        <v>2</v>
      </c>
      <c r="B506" s="174"/>
      <c r="C506" s="174"/>
      <c r="D506" s="174"/>
      <c r="E506" s="174"/>
      <c r="F506" s="174"/>
      <c r="G506" s="174"/>
      <c r="H506" s="287">
        <v>1343488164238</v>
      </c>
      <c r="I506" s="174"/>
      <c r="J506" s="287">
        <v>107480736306</v>
      </c>
      <c r="K506" s="174"/>
      <c r="L506" s="174"/>
      <c r="M506" s="174"/>
      <c r="N506" s="174"/>
      <c r="O506" s="174"/>
      <c r="P506" s="252">
        <v>1450968900544</v>
      </c>
      <c r="Q506" s="174"/>
      <c r="R506" s="174"/>
      <c r="S506" s="174"/>
      <c r="U506" s="66"/>
    </row>
    <row r="507" spans="1:22" ht="14.4" hidden="1" x14ac:dyDescent="0.3">
      <c r="A507" s="349" t="s">
        <v>8</v>
      </c>
      <c r="B507" s="350"/>
      <c r="C507" s="350"/>
      <c r="D507" s="350"/>
      <c r="E507" s="350"/>
      <c r="F507" s="350"/>
      <c r="G507" s="350"/>
      <c r="H507" s="350"/>
      <c r="I507" s="350"/>
      <c r="J507" s="350"/>
      <c r="K507" s="350"/>
      <c r="L507" s="350"/>
      <c r="M507" s="350"/>
      <c r="N507" s="350"/>
      <c r="O507" s="350"/>
      <c r="P507" s="350"/>
      <c r="Q507" s="350"/>
      <c r="R507" s="350"/>
      <c r="S507" s="351"/>
      <c r="U507" s="66"/>
    </row>
    <row r="508" spans="1:22" hidden="1" x14ac:dyDescent="0.3">
      <c r="A508" s="192">
        <v>1</v>
      </c>
      <c r="B508" s="174"/>
      <c r="C508" s="296" t="s">
        <v>3</v>
      </c>
      <c r="D508" s="174"/>
      <c r="E508" s="174"/>
      <c r="F508" s="296" t="s">
        <v>3</v>
      </c>
      <c r="G508" s="174"/>
      <c r="H508" s="286">
        <v>0</v>
      </c>
      <c r="I508" s="174"/>
      <c r="J508" s="285"/>
      <c r="K508" s="174"/>
      <c r="L508" s="174"/>
      <c r="M508" s="296" t="s">
        <v>3</v>
      </c>
      <c r="N508" s="174"/>
      <c r="O508" s="174"/>
      <c r="P508" s="174"/>
      <c r="Q508" s="174"/>
      <c r="R508" s="174"/>
      <c r="S508" s="174"/>
      <c r="U508" s="66"/>
    </row>
    <row r="509" spans="1:22" hidden="1" x14ac:dyDescent="0.3">
      <c r="A509" s="191" t="s">
        <v>2</v>
      </c>
      <c r="B509" s="174"/>
      <c r="C509" s="174"/>
      <c r="D509" s="174"/>
      <c r="E509" s="174"/>
      <c r="F509" s="174"/>
      <c r="G509" s="174"/>
      <c r="H509" s="287">
        <v>0</v>
      </c>
      <c r="I509" s="174"/>
      <c r="J509" s="285"/>
      <c r="K509" s="174"/>
      <c r="L509" s="174"/>
      <c r="M509" s="174"/>
      <c r="N509" s="174"/>
      <c r="O509" s="174"/>
      <c r="P509" s="174"/>
      <c r="Q509" s="174"/>
      <c r="R509" s="174"/>
      <c r="S509" s="174"/>
      <c r="U509" s="66"/>
    </row>
    <row r="510" spans="1:22" ht="14.4" hidden="1" x14ac:dyDescent="0.3">
      <c r="A510" s="349" t="s">
        <v>7</v>
      </c>
      <c r="B510" s="350"/>
      <c r="C510" s="350"/>
      <c r="D510" s="350"/>
      <c r="E510" s="350"/>
      <c r="F510" s="350"/>
      <c r="G510" s="350"/>
      <c r="H510" s="350"/>
      <c r="I510" s="350"/>
      <c r="J510" s="350"/>
      <c r="K510" s="350"/>
      <c r="L510" s="350"/>
      <c r="M510" s="350"/>
      <c r="N510" s="350"/>
      <c r="O510" s="350"/>
      <c r="P510" s="350"/>
      <c r="Q510" s="350"/>
      <c r="R510" s="350"/>
      <c r="S510" s="351"/>
      <c r="U510" s="66"/>
    </row>
    <row r="511" spans="1:22" hidden="1" x14ac:dyDescent="0.3">
      <c r="A511" s="192">
        <v>1</v>
      </c>
      <c r="B511" s="174"/>
      <c r="C511" s="296" t="s">
        <v>3</v>
      </c>
      <c r="D511" s="174"/>
      <c r="E511" s="174"/>
      <c r="F511" s="296" t="s">
        <v>3</v>
      </c>
      <c r="G511" s="174"/>
      <c r="H511" s="286">
        <v>0</v>
      </c>
      <c r="I511" s="174"/>
      <c r="J511" s="285"/>
      <c r="K511" s="174"/>
      <c r="L511" s="174"/>
      <c r="M511" s="296" t="s">
        <v>3</v>
      </c>
      <c r="N511" s="174"/>
      <c r="O511" s="174"/>
      <c r="P511" s="174"/>
      <c r="Q511" s="174"/>
      <c r="R511" s="174"/>
      <c r="S511" s="174"/>
      <c r="U511" s="66"/>
    </row>
    <row r="512" spans="1:22" hidden="1" x14ac:dyDescent="0.3">
      <c r="A512" s="191" t="s">
        <v>2</v>
      </c>
      <c r="B512" s="174"/>
      <c r="C512" s="174"/>
      <c r="D512" s="174"/>
      <c r="E512" s="174"/>
      <c r="F512" s="174"/>
      <c r="G512" s="174"/>
      <c r="H512" s="287">
        <v>0</v>
      </c>
      <c r="I512" s="174"/>
      <c r="J512" s="285"/>
      <c r="K512" s="174"/>
      <c r="L512" s="174"/>
      <c r="M512" s="174"/>
      <c r="N512" s="174"/>
      <c r="O512" s="174"/>
      <c r="P512" s="174"/>
      <c r="Q512" s="174"/>
      <c r="R512" s="174"/>
      <c r="S512" s="174"/>
      <c r="U512" s="66"/>
    </row>
    <row r="513" spans="1:21" ht="14.4" hidden="1" x14ac:dyDescent="0.3">
      <c r="A513" s="349" t="s">
        <v>6</v>
      </c>
      <c r="B513" s="350"/>
      <c r="C513" s="350"/>
      <c r="D513" s="350"/>
      <c r="E513" s="350"/>
      <c r="F513" s="350"/>
      <c r="G513" s="350"/>
      <c r="H513" s="350"/>
      <c r="I513" s="350"/>
      <c r="J513" s="350"/>
      <c r="K513" s="350"/>
      <c r="L513" s="350"/>
      <c r="M513" s="350"/>
      <c r="N513" s="350"/>
      <c r="O513" s="350"/>
      <c r="P513" s="350"/>
      <c r="Q513" s="350"/>
      <c r="R513" s="350"/>
      <c r="S513" s="351"/>
      <c r="U513" s="66"/>
    </row>
    <row r="514" spans="1:21" hidden="1" x14ac:dyDescent="0.3">
      <c r="A514" s="192">
        <v>1</v>
      </c>
      <c r="B514" s="174"/>
      <c r="C514" s="296" t="s">
        <v>3</v>
      </c>
      <c r="D514" s="174"/>
      <c r="E514" s="174"/>
      <c r="F514" s="296" t="s">
        <v>3</v>
      </c>
      <c r="G514" s="174"/>
      <c r="H514" s="286">
        <v>0</v>
      </c>
      <c r="I514" s="174"/>
      <c r="J514" s="285"/>
      <c r="K514" s="174"/>
      <c r="L514" s="174"/>
      <c r="M514" s="296" t="s">
        <v>3</v>
      </c>
      <c r="N514" s="174"/>
      <c r="O514" s="174"/>
      <c r="P514" s="174"/>
      <c r="Q514" s="174"/>
      <c r="R514" s="174"/>
      <c r="S514" s="174"/>
      <c r="U514" s="66"/>
    </row>
    <row r="515" spans="1:21" hidden="1" x14ac:dyDescent="0.3">
      <c r="A515" s="191" t="s">
        <v>2</v>
      </c>
      <c r="B515" s="174"/>
      <c r="C515" s="174"/>
      <c r="D515" s="174"/>
      <c r="E515" s="174"/>
      <c r="F515" s="174"/>
      <c r="G515" s="174"/>
      <c r="H515" s="287">
        <v>0</v>
      </c>
      <c r="I515" s="174"/>
      <c r="J515" s="285"/>
      <c r="K515" s="174"/>
      <c r="L515" s="174"/>
      <c r="M515" s="174"/>
      <c r="N515" s="174"/>
      <c r="O515" s="174"/>
      <c r="P515" s="174"/>
      <c r="Q515" s="174"/>
      <c r="R515" s="174"/>
      <c r="S515" s="174"/>
      <c r="U515" s="66"/>
    </row>
    <row r="516" spans="1:21" ht="14.4" hidden="1" x14ac:dyDescent="0.3">
      <c r="A516" s="349" t="s">
        <v>5</v>
      </c>
      <c r="B516" s="350"/>
      <c r="C516" s="350"/>
      <c r="D516" s="350"/>
      <c r="E516" s="350"/>
      <c r="F516" s="350"/>
      <c r="G516" s="350"/>
      <c r="H516" s="350"/>
      <c r="I516" s="350"/>
      <c r="J516" s="350"/>
      <c r="K516" s="350"/>
      <c r="L516" s="350"/>
      <c r="M516" s="350"/>
      <c r="N516" s="350"/>
      <c r="O516" s="350"/>
      <c r="P516" s="350"/>
      <c r="Q516" s="350"/>
      <c r="R516" s="350"/>
      <c r="S516" s="351"/>
      <c r="U516" s="66"/>
    </row>
    <row r="517" spans="1:21" hidden="1" x14ac:dyDescent="0.3">
      <c r="A517" s="192">
        <v>1</v>
      </c>
      <c r="B517" s="174"/>
      <c r="C517" s="296" t="s">
        <v>3</v>
      </c>
      <c r="D517" s="174"/>
      <c r="E517" s="174"/>
      <c r="F517" s="296" t="s">
        <v>3</v>
      </c>
      <c r="G517" s="174"/>
      <c r="H517" s="286">
        <v>0</v>
      </c>
      <c r="I517" s="174"/>
      <c r="J517" s="285"/>
      <c r="K517" s="174"/>
      <c r="L517" s="174"/>
      <c r="M517" s="296" t="s">
        <v>3</v>
      </c>
      <c r="N517" s="174"/>
      <c r="O517" s="174"/>
      <c r="P517" s="174"/>
      <c r="Q517" s="174"/>
      <c r="R517" s="174"/>
      <c r="S517" s="174"/>
      <c r="U517" s="66"/>
    </row>
    <row r="518" spans="1:21" hidden="1" x14ac:dyDescent="0.3">
      <c r="A518" s="191" t="s">
        <v>2</v>
      </c>
      <c r="B518" s="174"/>
      <c r="C518" s="174"/>
      <c r="D518" s="174"/>
      <c r="E518" s="174"/>
      <c r="F518" s="174"/>
      <c r="G518" s="174"/>
      <c r="H518" s="287">
        <v>0</v>
      </c>
      <c r="I518" s="174"/>
      <c r="J518" s="285"/>
      <c r="K518" s="174"/>
      <c r="L518" s="174"/>
      <c r="M518" s="174"/>
      <c r="N518" s="174"/>
      <c r="O518" s="174"/>
      <c r="P518" s="174"/>
      <c r="Q518" s="174"/>
      <c r="R518" s="174"/>
      <c r="S518" s="174"/>
      <c r="U518" s="66"/>
    </row>
    <row r="519" spans="1:21" ht="14.4" hidden="1" x14ac:dyDescent="0.3">
      <c r="A519" s="349" t="s">
        <v>4</v>
      </c>
      <c r="B519" s="350"/>
      <c r="C519" s="350"/>
      <c r="D519" s="350"/>
      <c r="E519" s="350"/>
      <c r="F519" s="350"/>
      <c r="G519" s="350"/>
      <c r="H519" s="350"/>
      <c r="I519" s="350"/>
      <c r="J519" s="350"/>
      <c r="K519" s="350"/>
      <c r="L519" s="350"/>
      <c r="M519" s="350"/>
      <c r="N519" s="350"/>
      <c r="O519" s="350"/>
      <c r="P519" s="350"/>
      <c r="Q519" s="350"/>
      <c r="R519" s="350"/>
      <c r="S519" s="351"/>
      <c r="U519" s="66"/>
    </row>
    <row r="520" spans="1:21" hidden="1" x14ac:dyDescent="0.3">
      <c r="A520" s="192">
        <v>1</v>
      </c>
      <c r="B520" s="174"/>
      <c r="C520" s="296" t="s">
        <v>3</v>
      </c>
      <c r="D520" s="174"/>
      <c r="E520" s="174"/>
      <c r="F520" s="296" t="s">
        <v>3</v>
      </c>
      <c r="G520" s="174"/>
      <c r="H520" s="286">
        <v>0</v>
      </c>
      <c r="I520" s="174"/>
      <c r="J520" s="285"/>
      <c r="K520" s="174"/>
      <c r="L520" s="174"/>
      <c r="M520" s="296" t="s">
        <v>3</v>
      </c>
      <c r="N520" s="174"/>
      <c r="O520" s="174"/>
      <c r="P520" s="174"/>
      <c r="Q520" s="174"/>
      <c r="R520" s="174"/>
      <c r="S520" s="174"/>
      <c r="U520" s="66"/>
    </row>
    <row r="521" spans="1:21" hidden="1" x14ac:dyDescent="0.3">
      <c r="A521" s="191" t="s">
        <v>2</v>
      </c>
      <c r="B521" s="174"/>
      <c r="C521" s="174"/>
      <c r="D521" s="174"/>
      <c r="E521" s="174"/>
      <c r="F521" s="174"/>
      <c r="G521" s="174"/>
      <c r="H521" s="287">
        <v>0</v>
      </c>
      <c r="I521" s="174"/>
      <c r="J521" s="285"/>
      <c r="K521" s="174"/>
      <c r="L521" s="174"/>
      <c r="M521" s="174"/>
      <c r="N521" s="174"/>
      <c r="O521" s="174"/>
      <c r="P521" s="174"/>
      <c r="Q521" s="174"/>
      <c r="R521" s="174"/>
      <c r="S521" s="174"/>
      <c r="U521" s="66"/>
    </row>
    <row r="522" spans="1:21" hidden="1" x14ac:dyDescent="0.3">
      <c r="A522" s="191" t="s">
        <v>2</v>
      </c>
      <c r="B522" s="174"/>
      <c r="C522" s="174"/>
      <c r="D522" s="174"/>
      <c r="E522" s="174"/>
      <c r="F522" s="174"/>
      <c r="G522" s="174"/>
      <c r="H522" s="290">
        <v>1343488164238</v>
      </c>
      <c r="I522" s="174"/>
      <c r="J522" s="290">
        <v>107480736306</v>
      </c>
      <c r="K522" s="174"/>
      <c r="L522" s="174"/>
      <c r="M522" s="174"/>
      <c r="N522" s="174"/>
      <c r="O522" s="174"/>
      <c r="P522" s="174"/>
      <c r="Q522" s="174"/>
      <c r="R522" s="174"/>
      <c r="S522" s="174"/>
      <c r="U522" s="66"/>
    </row>
    <row r="523" spans="1:21" x14ac:dyDescent="0.3">
      <c r="U523" s="66"/>
    </row>
    <row r="524" spans="1:21" x14ac:dyDescent="0.3">
      <c r="J524" s="1">
        <v>110750506931</v>
      </c>
      <c r="U524" s="66"/>
    </row>
    <row r="525" spans="1:21" x14ac:dyDescent="0.3">
      <c r="J525" s="1">
        <f>J524-J522</f>
        <v>3269770625</v>
      </c>
      <c r="U525" s="66"/>
    </row>
    <row r="526" spans="1:21" x14ac:dyDescent="0.3">
      <c r="A526" s="170"/>
      <c r="B526" s="170"/>
      <c r="C526" s="170"/>
      <c r="D526" s="170"/>
      <c r="E526" s="170"/>
      <c r="F526" s="170"/>
      <c r="G526" s="170"/>
      <c r="H526" s="288"/>
      <c r="I526" s="170"/>
      <c r="J526" s="288"/>
      <c r="K526" s="170"/>
      <c r="L526" s="170"/>
      <c r="M526" s="170"/>
      <c r="N526" s="170"/>
      <c r="O526" s="170"/>
      <c r="P526" s="170"/>
      <c r="Q526" s="170"/>
      <c r="R526" s="170"/>
      <c r="S526" s="170"/>
      <c r="U526" s="66"/>
    </row>
    <row r="527" spans="1:21" x14ac:dyDescent="0.3">
      <c r="A527" s="412" t="s">
        <v>1674</v>
      </c>
      <c r="B527" s="412"/>
      <c r="C527" s="412"/>
      <c r="D527" s="412"/>
      <c r="E527" s="412"/>
      <c r="F527" s="412"/>
      <c r="G527" s="170"/>
      <c r="H527" s="288"/>
      <c r="I527" s="170"/>
      <c r="J527" s="288"/>
      <c r="K527" s="339" t="s">
        <v>354</v>
      </c>
      <c r="L527" s="339"/>
      <c r="M527" s="339"/>
      <c r="N527" s="339"/>
      <c r="O527" s="339"/>
      <c r="P527" s="170"/>
      <c r="Q527" s="170"/>
      <c r="R527" s="170"/>
      <c r="S527" s="170"/>
      <c r="U527" s="66"/>
    </row>
    <row r="528" spans="1:21" x14ac:dyDescent="0.3">
      <c r="A528" s="412" t="s">
        <v>1675</v>
      </c>
      <c r="B528" s="412"/>
      <c r="C528" s="412"/>
      <c r="D528" s="412"/>
      <c r="E528" s="412"/>
      <c r="F528" s="412"/>
      <c r="G528" s="170"/>
      <c r="H528" s="288"/>
      <c r="I528" s="170"/>
      <c r="J528" s="288"/>
      <c r="K528" s="336" t="s">
        <v>355</v>
      </c>
      <c r="L528" s="336"/>
      <c r="M528" s="336"/>
      <c r="N528" s="336"/>
      <c r="O528" s="336"/>
      <c r="P528" s="170"/>
      <c r="Q528" s="170"/>
      <c r="R528" s="170"/>
      <c r="S528" s="170"/>
      <c r="U528" s="66"/>
    </row>
    <row r="529" spans="1:21" x14ac:dyDescent="0.3">
      <c r="A529" s="170"/>
      <c r="B529" s="170"/>
      <c r="C529" s="170"/>
      <c r="D529" s="170"/>
      <c r="E529" s="170"/>
      <c r="F529" s="170"/>
      <c r="G529" s="170"/>
      <c r="H529" s="288"/>
      <c r="I529" s="170"/>
      <c r="J529" s="288"/>
      <c r="K529" s="336" t="s">
        <v>356</v>
      </c>
      <c r="L529" s="336"/>
      <c r="M529" s="336"/>
      <c r="N529" s="336"/>
      <c r="O529" s="336"/>
      <c r="P529" s="170"/>
      <c r="Q529" s="170"/>
      <c r="R529" s="170"/>
      <c r="S529" s="170"/>
      <c r="U529" s="66"/>
    </row>
    <row r="530" spans="1:21" x14ac:dyDescent="0.3">
      <c r="A530" s="170"/>
      <c r="B530" s="170"/>
      <c r="C530" s="170"/>
      <c r="D530" s="170"/>
      <c r="E530" s="170"/>
      <c r="F530" s="170"/>
      <c r="G530" s="170"/>
      <c r="H530" s="288"/>
      <c r="I530" s="170"/>
      <c r="J530" s="288"/>
      <c r="K530" s="339" t="s">
        <v>357</v>
      </c>
      <c r="L530" s="339"/>
      <c r="M530" s="339"/>
      <c r="N530" s="339"/>
      <c r="O530" s="339"/>
      <c r="P530" s="170"/>
      <c r="Q530" s="170"/>
      <c r="R530" s="170"/>
      <c r="S530" s="170"/>
      <c r="U530" s="66"/>
    </row>
    <row r="531" spans="1:21" x14ac:dyDescent="0.3">
      <c r="A531" s="170"/>
      <c r="B531" s="170"/>
      <c r="C531" s="170"/>
      <c r="D531" s="170"/>
      <c r="E531" s="170"/>
      <c r="F531" s="170"/>
      <c r="G531" s="170"/>
      <c r="H531" s="288"/>
      <c r="I531" s="170"/>
      <c r="J531" s="288"/>
      <c r="K531" s="170"/>
      <c r="L531" s="170"/>
      <c r="M531" s="170"/>
      <c r="N531" s="170"/>
      <c r="O531" s="170"/>
      <c r="P531" s="170"/>
      <c r="Q531" s="170"/>
      <c r="R531" s="170"/>
      <c r="S531" s="170"/>
      <c r="U531" s="66"/>
    </row>
    <row r="532" spans="1:21" x14ac:dyDescent="0.3">
      <c r="U532" s="66"/>
    </row>
    <row r="533" spans="1:21" x14ac:dyDescent="0.3">
      <c r="U533" s="66"/>
    </row>
    <row r="534" spans="1:21" x14ac:dyDescent="0.3">
      <c r="U534" s="66"/>
    </row>
    <row r="535" spans="1:21" x14ac:dyDescent="0.3">
      <c r="U535" s="66"/>
    </row>
    <row r="536" spans="1:21" x14ac:dyDescent="0.3">
      <c r="U536" s="66"/>
    </row>
    <row r="537" spans="1:21" x14ac:dyDescent="0.3">
      <c r="U537" s="66"/>
    </row>
    <row r="538" spans="1:21" x14ac:dyDescent="0.3">
      <c r="U538" s="66"/>
    </row>
    <row r="539" spans="1:21" x14ac:dyDescent="0.3">
      <c r="U539" s="66"/>
    </row>
    <row r="540" spans="1:21" x14ac:dyDescent="0.3">
      <c r="U540" s="66"/>
    </row>
    <row r="541" spans="1:21" x14ac:dyDescent="0.3">
      <c r="U541" s="66"/>
    </row>
    <row r="542" spans="1:21" x14ac:dyDescent="0.3">
      <c r="U542" s="66"/>
    </row>
    <row r="543" spans="1:21" x14ac:dyDescent="0.3">
      <c r="U543" s="66"/>
    </row>
    <row r="544" spans="1:21" x14ac:dyDescent="0.3">
      <c r="U544" s="66"/>
    </row>
    <row r="545" spans="21:21" x14ac:dyDescent="0.3">
      <c r="U545" s="66"/>
    </row>
    <row r="546" spans="21:21" x14ac:dyDescent="0.3">
      <c r="U546" s="66"/>
    </row>
    <row r="547" spans="21:21" x14ac:dyDescent="0.3">
      <c r="U547" s="66"/>
    </row>
    <row r="548" spans="21:21" x14ac:dyDescent="0.3">
      <c r="U548" s="66"/>
    </row>
    <row r="549" spans="21:21" x14ac:dyDescent="0.3">
      <c r="U549" s="66"/>
    </row>
    <row r="550" spans="21:21" x14ac:dyDescent="0.3">
      <c r="U550" s="66"/>
    </row>
    <row r="551" spans="21:21" x14ac:dyDescent="0.3">
      <c r="U551" s="66"/>
    </row>
    <row r="552" spans="21:21" x14ac:dyDescent="0.3">
      <c r="U552" s="66"/>
    </row>
    <row r="553" spans="21:21" x14ac:dyDescent="0.3">
      <c r="U553" s="66"/>
    </row>
    <row r="554" spans="21:21" x14ac:dyDescent="0.3">
      <c r="U554" s="66"/>
    </row>
    <row r="555" spans="21:21" x14ac:dyDescent="0.3">
      <c r="U555" s="66"/>
    </row>
    <row r="556" spans="21:21" x14ac:dyDescent="0.3">
      <c r="U556" s="66"/>
    </row>
    <row r="557" spans="21:21" x14ac:dyDescent="0.3">
      <c r="U557" s="66"/>
    </row>
    <row r="558" spans="21:21" x14ac:dyDescent="0.3">
      <c r="U558" s="66"/>
    </row>
    <row r="559" spans="21:21" x14ac:dyDescent="0.3">
      <c r="U559" s="66"/>
    </row>
    <row r="560" spans="21:21" x14ac:dyDescent="0.3">
      <c r="U560" s="66"/>
    </row>
    <row r="561" spans="21:21" x14ac:dyDescent="0.3">
      <c r="U561" s="66"/>
    </row>
    <row r="562" spans="21:21" x14ac:dyDescent="0.3">
      <c r="U562" s="66"/>
    </row>
    <row r="563" spans="21:21" x14ac:dyDescent="0.3">
      <c r="U563" s="66"/>
    </row>
    <row r="564" spans="21:21" x14ac:dyDescent="0.3">
      <c r="U564" s="66"/>
    </row>
    <row r="565" spans="21:21" x14ac:dyDescent="0.3">
      <c r="U565" s="66"/>
    </row>
    <row r="566" spans="21:21" x14ac:dyDescent="0.3">
      <c r="U566" s="66"/>
    </row>
    <row r="567" spans="21:21" x14ac:dyDescent="0.3">
      <c r="U567" s="66"/>
    </row>
    <row r="568" spans="21:21" x14ac:dyDescent="0.3">
      <c r="U568" s="66"/>
    </row>
    <row r="569" spans="21:21" x14ac:dyDescent="0.3">
      <c r="U569" s="66"/>
    </row>
    <row r="570" spans="21:21" x14ac:dyDescent="0.3">
      <c r="U570" s="66"/>
    </row>
    <row r="571" spans="21:21" x14ac:dyDescent="0.3">
      <c r="U571" s="66"/>
    </row>
    <row r="572" spans="21:21" x14ac:dyDescent="0.3">
      <c r="U572" s="66"/>
    </row>
    <row r="573" spans="21:21" x14ac:dyDescent="0.3">
      <c r="U573" s="66"/>
    </row>
    <row r="574" spans="21:21" x14ac:dyDescent="0.3">
      <c r="U574" s="66"/>
    </row>
    <row r="575" spans="21:21" x14ac:dyDescent="0.3">
      <c r="U575" s="66"/>
    </row>
    <row r="576" spans="21:21" x14ac:dyDescent="0.3">
      <c r="U576" s="66"/>
    </row>
    <row r="577" spans="21:21" x14ac:dyDescent="0.3">
      <c r="U577" s="66"/>
    </row>
    <row r="578" spans="21:21" x14ac:dyDescent="0.3">
      <c r="U578" s="66"/>
    </row>
    <row r="579" spans="21:21" x14ac:dyDescent="0.3">
      <c r="U579" s="66"/>
    </row>
    <row r="580" spans="21:21" x14ac:dyDescent="0.3">
      <c r="U580" s="66"/>
    </row>
    <row r="581" spans="21:21" x14ac:dyDescent="0.3">
      <c r="U581" s="66"/>
    </row>
    <row r="582" spans="21:21" x14ac:dyDescent="0.3">
      <c r="U582" s="66"/>
    </row>
    <row r="583" spans="21:21" x14ac:dyDescent="0.3">
      <c r="U583" s="66"/>
    </row>
    <row r="584" spans="21:21" x14ac:dyDescent="0.3">
      <c r="U584" s="66"/>
    </row>
    <row r="585" spans="21:21" x14ac:dyDescent="0.3">
      <c r="U585" s="66"/>
    </row>
    <row r="586" spans="21:21" x14ac:dyDescent="0.3">
      <c r="U586" s="66"/>
    </row>
    <row r="587" spans="21:21" x14ac:dyDescent="0.3">
      <c r="U587" s="66"/>
    </row>
    <row r="588" spans="21:21" x14ac:dyDescent="0.3">
      <c r="U588" s="66"/>
    </row>
    <row r="589" spans="21:21" x14ac:dyDescent="0.3">
      <c r="U589" s="66"/>
    </row>
    <row r="590" spans="21:21" x14ac:dyDescent="0.3">
      <c r="U590" s="66"/>
    </row>
    <row r="591" spans="21:21" x14ac:dyDescent="0.3">
      <c r="U591" s="66"/>
    </row>
    <row r="592" spans="21:21" x14ac:dyDescent="0.3">
      <c r="U592" s="66"/>
    </row>
    <row r="593" spans="21:21" x14ac:dyDescent="0.3">
      <c r="U593" s="66"/>
    </row>
    <row r="594" spans="21:21" x14ac:dyDescent="0.3">
      <c r="U594" s="66"/>
    </row>
    <row r="595" spans="21:21" x14ac:dyDescent="0.3">
      <c r="U595" s="66"/>
    </row>
    <row r="596" spans="21:21" x14ac:dyDescent="0.3">
      <c r="U596" s="66"/>
    </row>
    <row r="597" spans="21:21" x14ac:dyDescent="0.3">
      <c r="U597" s="66"/>
    </row>
    <row r="598" spans="21:21" x14ac:dyDescent="0.3">
      <c r="U598" s="66"/>
    </row>
    <row r="599" spans="21:21" x14ac:dyDescent="0.3">
      <c r="U599" s="66"/>
    </row>
    <row r="600" spans="21:21" x14ac:dyDescent="0.3">
      <c r="U600" s="66"/>
    </row>
    <row r="601" spans="21:21" x14ac:dyDescent="0.3">
      <c r="U601" s="66"/>
    </row>
    <row r="602" spans="21:21" x14ac:dyDescent="0.3">
      <c r="U602" s="66"/>
    </row>
    <row r="603" spans="21:21" x14ac:dyDescent="0.3">
      <c r="U603" s="66"/>
    </row>
    <row r="604" spans="21:21" x14ac:dyDescent="0.3">
      <c r="U604" s="66"/>
    </row>
    <row r="605" spans="21:21" x14ac:dyDescent="0.3">
      <c r="U605" s="66"/>
    </row>
    <row r="606" spans="21:21" x14ac:dyDescent="0.3">
      <c r="U606" s="66"/>
    </row>
    <row r="607" spans="21:21" x14ac:dyDescent="0.3">
      <c r="U607" s="66"/>
    </row>
    <row r="608" spans="21:21" x14ac:dyDescent="0.3">
      <c r="U608" s="66"/>
    </row>
    <row r="609" spans="21:21" x14ac:dyDescent="0.3">
      <c r="U609" s="66"/>
    </row>
    <row r="610" spans="21:21" x14ac:dyDescent="0.3">
      <c r="U610" s="66"/>
    </row>
    <row r="611" spans="21:21" x14ac:dyDescent="0.3">
      <c r="U611" s="66"/>
    </row>
    <row r="612" spans="21:21" x14ac:dyDescent="0.3">
      <c r="U612" s="66"/>
    </row>
    <row r="613" spans="21:21" x14ac:dyDescent="0.3">
      <c r="U613" s="66"/>
    </row>
    <row r="614" spans="21:21" x14ac:dyDescent="0.3">
      <c r="U614" s="66"/>
    </row>
    <row r="615" spans="21:21" x14ac:dyDescent="0.3">
      <c r="U615" s="66"/>
    </row>
    <row r="616" spans="21:21" x14ac:dyDescent="0.3">
      <c r="U616" s="66"/>
    </row>
    <row r="617" spans="21:21" x14ac:dyDescent="0.3">
      <c r="U617" s="66"/>
    </row>
    <row r="618" spans="21:21" x14ac:dyDescent="0.3">
      <c r="U618" s="66"/>
    </row>
    <row r="619" spans="21:21" x14ac:dyDescent="0.3">
      <c r="U619" s="66"/>
    </row>
    <row r="620" spans="21:21" x14ac:dyDescent="0.3">
      <c r="U620" s="66"/>
    </row>
    <row r="621" spans="21:21" x14ac:dyDescent="0.3">
      <c r="U621" s="66"/>
    </row>
    <row r="622" spans="21:21" x14ac:dyDescent="0.3">
      <c r="U622" s="66"/>
    </row>
    <row r="623" spans="21:21" x14ac:dyDescent="0.3">
      <c r="U623" s="66"/>
    </row>
    <row r="624" spans="21:21" x14ac:dyDescent="0.3">
      <c r="U624" s="66"/>
    </row>
    <row r="625" spans="21:21" x14ac:dyDescent="0.3">
      <c r="U625" s="66"/>
    </row>
    <row r="626" spans="21:21" x14ac:dyDescent="0.3">
      <c r="U626" s="66"/>
    </row>
    <row r="627" spans="21:21" x14ac:dyDescent="0.3">
      <c r="U627" s="66"/>
    </row>
    <row r="628" spans="21:21" x14ac:dyDescent="0.3">
      <c r="U628" s="66"/>
    </row>
    <row r="629" spans="21:21" x14ac:dyDescent="0.3">
      <c r="U629" s="66"/>
    </row>
    <row r="630" spans="21:21" x14ac:dyDescent="0.3">
      <c r="U630" s="66"/>
    </row>
    <row r="631" spans="21:21" x14ac:dyDescent="0.3">
      <c r="U631" s="66"/>
    </row>
    <row r="632" spans="21:21" x14ac:dyDescent="0.3">
      <c r="U632" s="66"/>
    </row>
    <row r="633" spans="21:21" x14ac:dyDescent="0.3">
      <c r="U633" s="66"/>
    </row>
    <row r="634" spans="21:21" x14ac:dyDescent="0.3">
      <c r="U634" s="66"/>
    </row>
    <row r="635" spans="21:21" x14ac:dyDescent="0.3">
      <c r="U635" s="66"/>
    </row>
    <row r="636" spans="21:21" x14ac:dyDescent="0.3">
      <c r="U636" s="66"/>
    </row>
    <row r="637" spans="21:21" x14ac:dyDescent="0.3">
      <c r="U637" s="66"/>
    </row>
    <row r="638" spans="21:21" x14ac:dyDescent="0.3">
      <c r="U638" s="66"/>
    </row>
    <row r="639" spans="21:21" x14ac:dyDescent="0.3">
      <c r="U639" s="66"/>
    </row>
    <row r="640" spans="21:21" x14ac:dyDescent="0.3">
      <c r="U640" s="66"/>
    </row>
    <row r="641" spans="21:21" x14ac:dyDescent="0.3">
      <c r="U641" s="66"/>
    </row>
    <row r="642" spans="21:21" x14ac:dyDescent="0.3">
      <c r="U642" s="66"/>
    </row>
    <row r="643" spans="21:21" x14ac:dyDescent="0.3">
      <c r="U643" s="66"/>
    </row>
    <row r="644" spans="21:21" x14ac:dyDescent="0.3">
      <c r="U644" s="66"/>
    </row>
    <row r="645" spans="21:21" x14ac:dyDescent="0.3">
      <c r="U645" s="66"/>
    </row>
    <row r="646" spans="21:21" x14ac:dyDescent="0.3">
      <c r="U646" s="66"/>
    </row>
    <row r="647" spans="21:21" x14ac:dyDescent="0.3">
      <c r="U647" s="66"/>
    </row>
    <row r="648" spans="21:21" x14ac:dyDescent="0.3">
      <c r="U648" s="66"/>
    </row>
    <row r="649" spans="21:21" x14ac:dyDescent="0.3">
      <c r="U649" s="66"/>
    </row>
    <row r="650" spans="21:21" x14ac:dyDescent="0.3">
      <c r="U650" s="66"/>
    </row>
    <row r="651" spans="21:21" x14ac:dyDescent="0.3">
      <c r="U651" s="66"/>
    </row>
    <row r="652" spans="21:21" x14ac:dyDescent="0.3">
      <c r="U652" s="66"/>
    </row>
    <row r="653" spans="21:21" x14ac:dyDescent="0.3">
      <c r="U653" s="66"/>
    </row>
    <row r="654" spans="21:21" x14ac:dyDescent="0.3">
      <c r="U654" s="66"/>
    </row>
    <row r="655" spans="21:21" x14ac:dyDescent="0.3">
      <c r="U655" s="66"/>
    </row>
    <row r="656" spans="21:21" x14ac:dyDescent="0.3">
      <c r="U656" s="66"/>
    </row>
    <row r="657" spans="21:21" x14ac:dyDescent="0.3">
      <c r="U657" s="66"/>
    </row>
    <row r="658" spans="21:21" x14ac:dyDescent="0.3">
      <c r="U658" s="66"/>
    </row>
    <row r="659" spans="21:21" x14ac:dyDescent="0.3">
      <c r="U659" s="66"/>
    </row>
    <row r="660" spans="21:21" x14ac:dyDescent="0.3">
      <c r="U660" s="66"/>
    </row>
    <row r="661" spans="21:21" x14ac:dyDescent="0.3">
      <c r="U661" s="66"/>
    </row>
    <row r="662" spans="21:21" x14ac:dyDescent="0.3">
      <c r="U662" s="66"/>
    </row>
    <row r="663" spans="21:21" x14ac:dyDescent="0.3">
      <c r="U663" s="66"/>
    </row>
    <row r="664" spans="21:21" x14ac:dyDescent="0.3">
      <c r="U664" s="66"/>
    </row>
    <row r="665" spans="21:21" x14ac:dyDescent="0.3">
      <c r="U665" s="66"/>
    </row>
    <row r="666" spans="21:21" x14ac:dyDescent="0.3">
      <c r="U666" s="66"/>
    </row>
    <row r="667" spans="21:21" x14ac:dyDescent="0.3">
      <c r="U667" s="66"/>
    </row>
    <row r="668" spans="21:21" x14ac:dyDescent="0.3">
      <c r="U668" s="66"/>
    </row>
    <row r="669" spans="21:21" x14ac:dyDescent="0.3">
      <c r="U669" s="66"/>
    </row>
    <row r="670" spans="21:21" x14ac:dyDescent="0.3">
      <c r="U670" s="66"/>
    </row>
    <row r="671" spans="21:21" x14ac:dyDescent="0.3">
      <c r="U671" s="66"/>
    </row>
    <row r="672" spans="21:21" x14ac:dyDescent="0.3">
      <c r="U672" s="66"/>
    </row>
    <row r="673" spans="21:21" x14ac:dyDescent="0.3">
      <c r="U673" s="66"/>
    </row>
    <row r="674" spans="21:21" x14ac:dyDescent="0.3">
      <c r="U674" s="66"/>
    </row>
    <row r="675" spans="21:21" x14ac:dyDescent="0.3">
      <c r="U675" s="66"/>
    </row>
    <row r="676" spans="21:21" x14ac:dyDescent="0.3">
      <c r="U676" s="66"/>
    </row>
    <row r="677" spans="21:21" x14ac:dyDescent="0.3">
      <c r="U677" s="66"/>
    </row>
    <row r="678" spans="21:21" x14ac:dyDescent="0.3">
      <c r="U678" s="66"/>
    </row>
    <row r="679" spans="21:21" x14ac:dyDescent="0.3">
      <c r="U679" s="66"/>
    </row>
    <row r="680" spans="21:21" x14ac:dyDescent="0.3">
      <c r="U680" s="66"/>
    </row>
    <row r="681" spans="21:21" x14ac:dyDescent="0.3">
      <c r="U681" s="66"/>
    </row>
    <row r="682" spans="21:21" x14ac:dyDescent="0.3">
      <c r="U682" s="66"/>
    </row>
    <row r="683" spans="21:21" x14ac:dyDescent="0.3">
      <c r="U683" s="66"/>
    </row>
    <row r="684" spans="21:21" x14ac:dyDescent="0.3">
      <c r="U684" s="66"/>
    </row>
    <row r="685" spans="21:21" x14ac:dyDescent="0.3">
      <c r="U685" s="66"/>
    </row>
    <row r="686" spans="21:21" x14ac:dyDescent="0.3">
      <c r="U686" s="66"/>
    </row>
    <row r="687" spans="21:21" x14ac:dyDescent="0.3">
      <c r="U687" s="66"/>
    </row>
    <row r="688" spans="21:21" x14ac:dyDescent="0.3">
      <c r="U688" s="66"/>
    </row>
    <row r="689" spans="21:21" x14ac:dyDescent="0.3">
      <c r="U689" s="66"/>
    </row>
    <row r="690" spans="21:21" x14ac:dyDescent="0.3">
      <c r="U690" s="66"/>
    </row>
    <row r="691" spans="21:21" x14ac:dyDescent="0.3">
      <c r="U691" s="66"/>
    </row>
    <row r="692" spans="21:21" x14ac:dyDescent="0.3">
      <c r="U692" s="66"/>
    </row>
    <row r="693" spans="21:21" x14ac:dyDescent="0.3">
      <c r="U693" s="66"/>
    </row>
    <row r="694" spans="21:21" x14ac:dyDescent="0.3">
      <c r="U694" s="66"/>
    </row>
    <row r="695" spans="21:21" x14ac:dyDescent="0.3">
      <c r="U695" s="66"/>
    </row>
    <row r="696" spans="21:21" x14ac:dyDescent="0.3">
      <c r="U696" s="66"/>
    </row>
    <row r="697" spans="21:21" x14ac:dyDescent="0.3">
      <c r="U697" s="66"/>
    </row>
    <row r="698" spans="21:21" x14ac:dyDescent="0.3">
      <c r="U698" s="66"/>
    </row>
    <row r="699" spans="21:21" x14ac:dyDescent="0.3">
      <c r="U699" s="66"/>
    </row>
    <row r="700" spans="21:21" x14ac:dyDescent="0.3">
      <c r="U700" s="66"/>
    </row>
    <row r="701" spans="21:21" x14ac:dyDescent="0.3">
      <c r="U701" s="66"/>
    </row>
    <row r="702" spans="21:21" x14ac:dyDescent="0.3">
      <c r="U702" s="66"/>
    </row>
    <row r="703" spans="21:21" x14ac:dyDescent="0.3">
      <c r="U703" s="66"/>
    </row>
    <row r="704" spans="21:21" x14ac:dyDescent="0.3">
      <c r="U704" s="66"/>
    </row>
    <row r="705" spans="21:21" x14ac:dyDescent="0.3">
      <c r="U705" s="66"/>
    </row>
    <row r="706" spans="21:21" x14ac:dyDescent="0.3">
      <c r="U706" s="66"/>
    </row>
    <row r="707" spans="21:21" x14ac:dyDescent="0.3">
      <c r="U707" s="66"/>
    </row>
    <row r="708" spans="21:21" x14ac:dyDescent="0.3">
      <c r="U708" s="66"/>
    </row>
    <row r="709" spans="21:21" x14ac:dyDescent="0.3">
      <c r="U709" s="66"/>
    </row>
    <row r="710" spans="21:21" x14ac:dyDescent="0.3">
      <c r="U710" s="66"/>
    </row>
    <row r="711" spans="21:21" x14ac:dyDescent="0.3">
      <c r="U711" s="66"/>
    </row>
    <row r="712" spans="21:21" x14ac:dyDescent="0.3">
      <c r="U712" s="66"/>
    </row>
    <row r="713" spans="21:21" x14ac:dyDescent="0.3">
      <c r="U713" s="66"/>
    </row>
    <row r="714" spans="21:21" x14ac:dyDescent="0.3">
      <c r="U714" s="66"/>
    </row>
    <row r="715" spans="21:21" x14ac:dyDescent="0.3">
      <c r="U715" s="66"/>
    </row>
    <row r="716" spans="21:21" x14ac:dyDescent="0.3">
      <c r="U716" s="66"/>
    </row>
    <row r="717" spans="21:21" x14ac:dyDescent="0.3">
      <c r="U717" s="66"/>
    </row>
    <row r="718" spans="21:21" x14ac:dyDescent="0.3">
      <c r="U718" s="66"/>
    </row>
    <row r="719" spans="21:21" x14ac:dyDescent="0.3">
      <c r="U719" s="66"/>
    </row>
    <row r="720" spans="21:21" x14ac:dyDescent="0.3">
      <c r="U720" s="66"/>
    </row>
    <row r="721" spans="21:21" x14ac:dyDescent="0.3">
      <c r="U721" s="66"/>
    </row>
    <row r="722" spans="21:21" x14ac:dyDescent="0.3">
      <c r="U722" s="66"/>
    </row>
    <row r="723" spans="21:21" x14ac:dyDescent="0.3">
      <c r="U723" s="66"/>
    </row>
    <row r="724" spans="21:21" x14ac:dyDescent="0.3">
      <c r="U724" s="66"/>
    </row>
    <row r="725" spans="21:21" x14ac:dyDescent="0.3">
      <c r="U725" s="66"/>
    </row>
    <row r="726" spans="21:21" x14ac:dyDescent="0.3">
      <c r="U726" s="66"/>
    </row>
    <row r="727" spans="21:21" x14ac:dyDescent="0.3">
      <c r="U727" s="66"/>
    </row>
    <row r="728" spans="21:21" x14ac:dyDescent="0.3">
      <c r="U728" s="66"/>
    </row>
    <row r="729" spans="21:21" x14ac:dyDescent="0.3">
      <c r="U729" s="66"/>
    </row>
    <row r="730" spans="21:21" x14ac:dyDescent="0.3">
      <c r="U730" s="66"/>
    </row>
    <row r="731" spans="21:21" x14ac:dyDescent="0.3">
      <c r="U731" s="66"/>
    </row>
    <row r="732" spans="21:21" x14ac:dyDescent="0.3">
      <c r="U732" s="66"/>
    </row>
    <row r="733" spans="21:21" x14ac:dyDescent="0.3">
      <c r="U733" s="66"/>
    </row>
    <row r="734" spans="21:21" x14ac:dyDescent="0.3">
      <c r="U734" s="66"/>
    </row>
    <row r="735" spans="21:21" x14ac:dyDescent="0.3">
      <c r="U735" s="66"/>
    </row>
    <row r="736" spans="21:21" x14ac:dyDescent="0.3">
      <c r="U736" s="66"/>
    </row>
    <row r="737" spans="21:21" x14ac:dyDescent="0.3">
      <c r="U737" s="66"/>
    </row>
    <row r="738" spans="21:21" x14ac:dyDescent="0.3">
      <c r="U738" s="66"/>
    </row>
    <row r="739" spans="21:21" x14ac:dyDescent="0.3">
      <c r="U739" s="66"/>
    </row>
    <row r="740" spans="21:21" x14ac:dyDescent="0.3">
      <c r="U740" s="66"/>
    </row>
    <row r="741" spans="21:21" x14ac:dyDescent="0.3">
      <c r="U741" s="66"/>
    </row>
    <row r="742" spans="21:21" x14ac:dyDescent="0.3">
      <c r="U742" s="66"/>
    </row>
    <row r="743" spans="21:21" x14ac:dyDescent="0.3">
      <c r="U743" s="66"/>
    </row>
    <row r="744" spans="21:21" x14ac:dyDescent="0.3">
      <c r="U744" s="66"/>
    </row>
    <row r="745" spans="21:21" x14ac:dyDescent="0.3">
      <c r="U745" s="66"/>
    </row>
    <row r="746" spans="21:21" x14ac:dyDescent="0.3">
      <c r="U746" s="66"/>
    </row>
    <row r="747" spans="21:21" x14ac:dyDescent="0.3">
      <c r="U747" s="66"/>
    </row>
    <row r="748" spans="21:21" x14ac:dyDescent="0.3">
      <c r="U748" s="66"/>
    </row>
    <row r="749" spans="21:21" x14ac:dyDescent="0.3">
      <c r="U749" s="66"/>
    </row>
    <row r="750" spans="21:21" x14ac:dyDescent="0.3">
      <c r="U750" s="66"/>
    </row>
    <row r="751" spans="21:21" x14ac:dyDescent="0.3">
      <c r="U751" s="66"/>
    </row>
    <row r="752" spans="21:21" x14ac:dyDescent="0.3">
      <c r="U752" s="66"/>
    </row>
    <row r="753" spans="21:21" x14ac:dyDescent="0.3">
      <c r="U753" s="66"/>
    </row>
    <row r="754" spans="21:21" x14ac:dyDescent="0.3">
      <c r="U754" s="66"/>
    </row>
    <row r="755" spans="21:21" x14ac:dyDescent="0.3">
      <c r="U755" s="66"/>
    </row>
    <row r="756" spans="21:21" x14ac:dyDescent="0.3">
      <c r="U756" s="66"/>
    </row>
    <row r="757" spans="21:21" x14ac:dyDescent="0.3">
      <c r="U757" s="66"/>
    </row>
    <row r="758" spans="21:21" x14ac:dyDescent="0.3">
      <c r="U758" s="66"/>
    </row>
    <row r="759" spans="21:21" x14ac:dyDescent="0.3">
      <c r="U759" s="66"/>
    </row>
    <row r="760" spans="21:21" x14ac:dyDescent="0.3">
      <c r="U760" s="66"/>
    </row>
    <row r="761" spans="21:21" x14ac:dyDescent="0.3">
      <c r="U761" s="66"/>
    </row>
    <row r="762" spans="21:21" x14ac:dyDescent="0.3">
      <c r="U762" s="66"/>
    </row>
    <row r="763" spans="21:21" x14ac:dyDescent="0.3">
      <c r="U763" s="66"/>
    </row>
    <row r="764" spans="21:21" x14ac:dyDescent="0.3">
      <c r="U764" s="66"/>
    </row>
    <row r="765" spans="21:21" x14ac:dyDescent="0.3">
      <c r="U765" s="66"/>
    </row>
    <row r="766" spans="21:21" x14ac:dyDescent="0.3">
      <c r="U766" s="66"/>
    </row>
    <row r="767" spans="21:21" x14ac:dyDescent="0.3">
      <c r="U767" s="66"/>
    </row>
    <row r="768" spans="21:21" x14ac:dyDescent="0.3">
      <c r="U768" s="66"/>
    </row>
    <row r="769" spans="21:21" x14ac:dyDescent="0.3">
      <c r="U769" s="66"/>
    </row>
    <row r="770" spans="21:21" x14ac:dyDescent="0.3">
      <c r="U770" s="66"/>
    </row>
    <row r="771" spans="21:21" x14ac:dyDescent="0.3">
      <c r="U771" s="66"/>
    </row>
    <row r="772" spans="21:21" x14ac:dyDescent="0.3">
      <c r="U772" s="66"/>
    </row>
    <row r="773" spans="21:21" x14ac:dyDescent="0.3">
      <c r="U773" s="66"/>
    </row>
    <row r="774" spans="21:21" x14ac:dyDescent="0.3">
      <c r="U774" s="66"/>
    </row>
    <row r="775" spans="21:21" x14ac:dyDescent="0.3">
      <c r="U775" s="66"/>
    </row>
    <row r="776" spans="21:21" x14ac:dyDescent="0.3">
      <c r="U776" s="66"/>
    </row>
    <row r="777" spans="21:21" x14ac:dyDescent="0.3">
      <c r="U777" s="66"/>
    </row>
    <row r="778" spans="21:21" x14ac:dyDescent="0.3">
      <c r="U778" s="66"/>
    </row>
    <row r="779" spans="21:21" x14ac:dyDescent="0.3">
      <c r="U779" s="66"/>
    </row>
    <row r="780" spans="21:21" x14ac:dyDescent="0.3">
      <c r="U780" s="66"/>
    </row>
    <row r="781" spans="21:21" x14ac:dyDescent="0.3">
      <c r="U781" s="66"/>
    </row>
    <row r="782" spans="21:21" x14ac:dyDescent="0.3">
      <c r="U782" s="66"/>
    </row>
    <row r="783" spans="21:21" x14ac:dyDescent="0.3">
      <c r="U783" s="66"/>
    </row>
    <row r="784" spans="21:21" x14ac:dyDescent="0.3">
      <c r="U784" s="66"/>
    </row>
    <row r="785" spans="21:21" x14ac:dyDescent="0.3">
      <c r="U785" s="66"/>
    </row>
    <row r="786" spans="21:21" x14ac:dyDescent="0.3">
      <c r="U786" s="66"/>
    </row>
    <row r="787" spans="21:21" x14ac:dyDescent="0.3">
      <c r="U787" s="66"/>
    </row>
    <row r="788" spans="21:21" x14ac:dyDescent="0.3">
      <c r="U788" s="66"/>
    </row>
    <row r="789" spans="21:21" x14ac:dyDescent="0.3">
      <c r="U789" s="66"/>
    </row>
    <row r="790" spans="21:21" x14ac:dyDescent="0.3">
      <c r="U790" s="66"/>
    </row>
    <row r="791" spans="21:21" x14ac:dyDescent="0.3">
      <c r="U791" s="66"/>
    </row>
    <row r="792" spans="21:21" x14ac:dyDescent="0.3">
      <c r="U792" s="66"/>
    </row>
    <row r="793" spans="21:21" x14ac:dyDescent="0.3">
      <c r="U793" s="66"/>
    </row>
    <row r="794" spans="21:21" x14ac:dyDescent="0.3">
      <c r="U794" s="66"/>
    </row>
    <row r="795" spans="21:21" x14ac:dyDescent="0.3">
      <c r="U795" s="66"/>
    </row>
    <row r="796" spans="21:21" x14ac:dyDescent="0.3">
      <c r="U796" s="66"/>
    </row>
    <row r="797" spans="21:21" x14ac:dyDescent="0.3">
      <c r="U797" s="66"/>
    </row>
    <row r="798" spans="21:21" x14ac:dyDescent="0.3">
      <c r="U798" s="66"/>
    </row>
    <row r="799" spans="21:21" x14ac:dyDescent="0.3">
      <c r="U799" s="66"/>
    </row>
    <row r="800" spans="21:21" x14ac:dyDescent="0.3">
      <c r="U800" s="66"/>
    </row>
    <row r="801" spans="21:21" x14ac:dyDescent="0.3">
      <c r="U801" s="66"/>
    </row>
    <row r="802" spans="21:21" x14ac:dyDescent="0.3">
      <c r="U802" s="66"/>
    </row>
    <row r="803" spans="21:21" x14ac:dyDescent="0.3">
      <c r="U803" s="66"/>
    </row>
    <row r="804" spans="21:21" x14ac:dyDescent="0.3">
      <c r="U804" s="66"/>
    </row>
    <row r="805" spans="21:21" x14ac:dyDescent="0.3">
      <c r="U805" s="66"/>
    </row>
    <row r="806" spans="21:21" x14ac:dyDescent="0.3">
      <c r="U806" s="66"/>
    </row>
    <row r="807" spans="21:21" x14ac:dyDescent="0.3">
      <c r="U807" s="66"/>
    </row>
    <row r="808" spans="21:21" x14ac:dyDescent="0.3">
      <c r="U808" s="66"/>
    </row>
    <row r="809" spans="21:21" x14ac:dyDescent="0.3">
      <c r="U809" s="66"/>
    </row>
    <row r="810" spans="21:21" x14ac:dyDescent="0.3">
      <c r="U810" s="66"/>
    </row>
    <row r="811" spans="21:21" x14ac:dyDescent="0.3">
      <c r="U811" s="66"/>
    </row>
    <row r="812" spans="21:21" x14ac:dyDescent="0.3">
      <c r="U812" s="66"/>
    </row>
    <row r="813" spans="21:21" x14ac:dyDescent="0.3">
      <c r="U813" s="66"/>
    </row>
    <row r="814" spans="21:21" x14ac:dyDescent="0.3">
      <c r="U814" s="66"/>
    </row>
    <row r="815" spans="21:21" x14ac:dyDescent="0.3">
      <c r="U815" s="66"/>
    </row>
    <row r="816" spans="21:21" x14ac:dyDescent="0.3">
      <c r="U816" s="66"/>
    </row>
    <row r="817" spans="21:21" x14ac:dyDescent="0.3">
      <c r="U817" s="66"/>
    </row>
    <row r="818" spans="21:21" x14ac:dyDescent="0.3">
      <c r="U818" s="66"/>
    </row>
    <row r="819" spans="21:21" x14ac:dyDescent="0.3">
      <c r="U819" s="66"/>
    </row>
    <row r="820" spans="21:21" x14ac:dyDescent="0.3">
      <c r="U820" s="66"/>
    </row>
    <row r="821" spans="21:21" x14ac:dyDescent="0.3">
      <c r="U821" s="66"/>
    </row>
    <row r="822" spans="21:21" x14ac:dyDescent="0.3">
      <c r="U822" s="66"/>
    </row>
    <row r="823" spans="21:21" x14ac:dyDescent="0.3">
      <c r="U823" s="66"/>
    </row>
    <row r="824" spans="21:21" x14ac:dyDescent="0.3">
      <c r="U824" s="66"/>
    </row>
    <row r="825" spans="21:21" x14ac:dyDescent="0.3">
      <c r="U825" s="66"/>
    </row>
    <row r="826" spans="21:21" x14ac:dyDescent="0.3">
      <c r="U826" s="66"/>
    </row>
    <row r="827" spans="21:21" x14ac:dyDescent="0.3">
      <c r="U827" s="66"/>
    </row>
    <row r="828" spans="21:21" x14ac:dyDescent="0.3">
      <c r="U828" s="66"/>
    </row>
    <row r="829" spans="21:21" x14ac:dyDescent="0.3">
      <c r="U829" s="66"/>
    </row>
    <row r="830" spans="21:21" x14ac:dyDescent="0.3">
      <c r="U830" s="66"/>
    </row>
    <row r="831" spans="21:21" x14ac:dyDescent="0.3">
      <c r="U831" s="66"/>
    </row>
    <row r="832" spans="21:21" x14ac:dyDescent="0.3">
      <c r="U832" s="66"/>
    </row>
    <row r="833" spans="21:21" x14ac:dyDescent="0.3">
      <c r="U833" s="66"/>
    </row>
    <row r="834" spans="21:21" x14ac:dyDescent="0.3">
      <c r="U834" s="66"/>
    </row>
    <row r="835" spans="21:21" x14ac:dyDescent="0.3">
      <c r="U835" s="66"/>
    </row>
    <row r="836" spans="21:21" x14ac:dyDescent="0.3">
      <c r="U836" s="66"/>
    </row>
    <row r="837" spans="21:21" x14ac:dyDescent="0.3">
      <c r="U837" s="66"/>
    </row>
    <row r="838" spans="21:21" x14ac:dyDescent="0.3">
      <c r="U838" s="66"/>
    </row>
    <row r="839" spans="21:21" x14ac:dyDescent="0.3">
      <c r="U839" s="66"/>
    </row>
    <row r="840" spans="21:21" x14ac:dyDescent="0.3">
      <c r="U840" s="66"/>
    </row>
    <row r="841" spans="21:21" x14ac:dyDescent="0.3">
      <c r="U841" s="66"/>
    </row>
    <row r="842" spans="21:21" x14ac:dyDescent="0.3">
      <c r="U842" s="66"/>
    </row>
    <row r="843" spans="21:21" x14ac:dyDescent="0.3">
      <c r="U843" s="66"/>
    </row>
    <row r="844" spans="21:21" x14ac:dyDescent="0.3">
      <c r="U844" s="66"/>
    </row>
    <row r="845" spans="21:21" x14ac:dyDescent="0.3">
      <c r="U845" s="66"/>
    </row>
    <row r="846" spans="21:21" x14ac:dyDescent="0.3">
      <c r="U846" s="66"/>
    </row>
    <row r="847" spans="21:21" x14ac:dyDescent="0.3">
      <c r="U847" s="66"/>
    </row>
    <row r="848" spans="21:21" x14ac:dyDescent="0.3">
      <c r="U848" s="66"/>
    </row>
    <row r="849" spans="21:21" x14ac:dyDescent="0.3">
      <c r="U849" s="66"/>
    </row>
    <row r="850" spans="21:21" x14ac:dyDescent="0.3">
      <c r="U850" s="66"/>
    </row>
    <row r="851" spans="21:21" x14ac:dyDescent="0.3">
      <c r="U851" s="66"/>
    </row>
    <row r="852" spans="21:21" x14ac:dyDescent="0.3">
      <c r="U852" s="66"/>
    </row>
    <row r="853" spans="21:21" x14ac:dyDescent="0.3">
      <c r="U853" s="66"/>
    </row>
    <row r="854" spans="21:21" x14ac:dyDescent="0.3">
      <c r="U854" s="66"/>
    </row>
    <row r="855" spans="21:21" x14ac:dyDescent="0.3">
      <c r="U855" s="66"/>
    </row>
    <row r="856" spans="21:21" x14ac:dyDescent="0.3">
      <c r="U856" s="66"/>
    </row>
    <row r="857" spans="21:21" x14ac:dyDescent="0.3">
      <c r="U857" s="66"/>
    </row>
    <row r="858" spans="21:21" x14ac:dyDescent="0.3">
      <c r="U858" s="66"/>
    </row>
    <row r="859" spans="21:21" x14ac:dyDescent="0.3">
      <c r="U859" s="66"/>
    </row>
    <row r="860" spans="21:21" x14ac:dyDescent="0.3">
      <c r="U860" s="66"/>
    </row>
    <row r="861" spans="21:21" x14ac:dyDescent="0.3">
      <c r="U861" s="66"/>
    </row>
    <row r="862" spans="21:21" x14ac:dyDescent="0.3">
      <c r="U862" s="66"/>
    </row>
    <row r="863" spans="21:21" x14ac:dyDescent="0.3">
      <c r="U863" s="66"/>
    </row>
    <row r="864" spans="21:21" x14ac:dyDescent="0.3">
      <c r="U864" s="66"/>
    </row>
    <row r="865" spans="21:21" x14ac:dyDescent="0.3">
      <c r="U865" s="66"/>
    </row>
    <row r="866" spans="21:21" x14ac:dyDescent="0.3">
      <c r="U866" s="66"/>
    </row>
    <row r="867" spans="21:21" x14ac:dyDescent="0.3">
      <c r="U867" s="66"/>
    </row>
    <row r="868" spans="21:21" x14ac:dyDescent="0.3">
      <c r="U868" s="66"/>
    </row>
    <row r="869" spans="21:21" x14ac:dyDescent="0.3">
      <c r="U869" s="66"/>
    </row>
    <row r="870" spans="21:21" x14ac:dyDescent="0.3">
      <c r="U870" s="66"/>
    </row>
    <row r="871" spans="21:21" x14ac:dyDescent="0.3">
      <c r="U871" s="66"/>
    </row>
    <row r="872" spans="21:21" x14ac:dyDescent="0.3">
      <c r="U872" s="66"/>
    </row>
    <row r="873" spans="21:21" x14ac:dyDescent="0.3">
      <c r="U873" s="66"/>
    </row>
    <row r="874" spans="21:21" x14ac:dyDescent="0.3">
      <c r="U874" s="66"/>
    </row>
    <row r="875" spans="21:21" x14ac:dyDescent="0.3">
      <c r="U875" s="66"/>
    </row>
    <row r="876" spans="21:21" x14ac:dyDescent="0.3">
      <c r="U876" s="66"/>
    </row>
    <row r="877" spans="21:21" x14ac:dyDescent="0.3">
      <c r="U877" s="66"/>
    </row>
    <row r="878" spans="21:21" x14ac:dyDescent="0.3">
      <c r="U878" s="66"/>
    </row>
    <row r="879" spans="21:21" x14ac:dyDescent="0.3">
      <c r="U879" s="66"/>
    </row>
    <row r="880" spans="21:21" ht="14.4" customHeight="1" x14ac:dyDescent="0.3">
      <c r="U880" s="66"/>
    </row>
    <row r="881" spans="21:21" x14ac:dyDescent="0.3">
      <c r="U881" s="66"/>
    </row>
    <row r="882" spans="21:21" x14ac:dyDescent="0.3">
      <c r="U882" s="66"/>
    </row>
    <row r="883" spans="21:21" ht="14.4" customHeight="1" x14ac:dyDescent="0.3">
      <c r="U883" s="66"/>
    </row>
    <row r="884" spans="21:21" x14ac:dyDescent="0.3">
      <c r="U884" s="66"/>
    </row>
    <row r="885" spans="21:21" x14ac:dyDescent="0.3">
      <c r="U885" s="66"/>
    </row>
    <row r="886" spans="21:21" ht="14.4" customHeight="1" x14ac:dyDescent="0.3">
      <c r="U886" s="66"/>
    </row>
    <row r="887" spans="21:21" x14ac:dyDescent="0.3">
      <c r="U887" s="66"/>
    </row>
    <row r="888" spans="21:21" x14ac:dyDescent="0.3">
      <c r="U888" s="66"/>
    </row>
    <row r="889" spans="21:21" ht="14.4" customHeight="1" x14ac:dyDescent="0.3">
      <c r="U889" s="66"/>
    </row>
    <row r="890" spans="21:21" x14ac:dyDescent="0.3">
      <c r="U890" s="66"/>
    </row>
    <row r="891" spans="21:21" x14ac:dyDescent="0.3">
      <c r="U891" s="66"/>
    </row>
    <row r="892" spans="21:21" ht="14.4" customHeight="1" x14ac:dyDescent="0.3">
      <c r="U892" s="66"/>
    </row>
    <row r="893" spans="21:21" x14ac:dyDescent="0.3">
      <c r="U893" s="66"/>
    </row>
    <row r="894" spans="21:21" x14ac:dyDescent="0.3">
      <c r="U894" s="66"/>
    </row>
    <row r="895" spans="21:21" x14ac:dyDescent="0.3">
      <c r="U895" s="66"/>
    </row>
    <row r="896" spans="21:21" x14ac:dyDescent="0.3">
      <c r="U896" s="66"/>
    </row>
    <row r="897" spans="21:21" x14ac:dyDescent="0.3">
      <c r="U897" s="66"/>
    </row>
    <row r="898" spans="21:21" x14ac:dyDescent="0.3">
      <c r="U898" s="66"/>
    </row>
    <row r="899" spans="21:21" x14ac:dyDescent="0.3">
      <c r="U899" s="66"/>
    </row>
    <row r="900" spans="21:21" ht="15.6" customHeight="1" x14ac:dyDescent="0.3">
      <c r="U900" s="66"/>
    </row>
    <row r="901" spans="21:21" ht="15.6" customHeight="1" x14ac:dyDescent="0.3">
      <c r="U901" s="66"/>
    </row>
    <row r="902" spans="21:21" ht="15.6" customHeight="1" x14ac:dyDescent="0.3">
      <c r="U902" s="66"/>
    </row>
    <row r="903" spans="21:21" ht="15.6" customHeight="1" x14ac:dyDescent="0.3">
      <c r="U903" s="66"/>
    </row>
    <row r="904" spans="21:21" x14ac:dyDescent="0.3">
      <c r="U904" s="66"/>
    </row>
    <row r="905" spans="21:21" x14ac:dyDescent="0.3">
      <c r="U905" s="66"/>
    </row>
    <row r="906" spans="21:21" x14ac:dyDescent="0.3">
      <c r="U906" s="66"/>
    </row>
    <row r="907" spans="21:21" x14ac:dyDescent="0.3">
      <c r="U907" s="66"/>
    </row>
    <row r="908" spans="21:21" x14ac:dyDescent="0.3">
      <c r="U908" s="66"/>
    </row>
    <row r="909" spans="21:21" x14ac:dyDescent="0.3">
      <c r="U909" s="66"/>
    </row>
    <row r="910" spans="21:21" x14ac:dyDescent="0.3">
      <c r="U910" s="66"/>
    </row>
    <row r="911" spans="21:21" x14ac:dyDescent="0.3">
      <c r="U911" s="66"/>
    </row>
    <row r="912" spans="21:21" x14ac:dyDescent="0.3">
      <c r="U912" s="66"/>
    </row>
    <row r="913" spans="21:21" x14ac:dyDescent="0.3">
      <c r="U913" s="66"/>
    </row>
    <row r="914" spans="21:21" x14ac:dyDescent="0.3">
      <c r="U914" s="66"/>
    </row>
    <row r="915" spans="21:21" x14ac:dyDescent="0.3">
      <c r="U915" s="66"/>
    </row>
    <row r="916" spans="21:21" x14ac:dyDescent="0.3">
      <c r="U916" s="66"/>
    </row>
    <row r="917" spans="21:21" x14ac:dyDescent="0.3">
      <c r="U917" s="66"/>
    </row>
    <row r="918" spans="21:21" x14ac:dyDescent="0.3">
      <c r="U918" s="66"/>
    </row>
    <row r="919" spans="21:21" x14ac:dyDescent="0.3">
      <c r="U919" s="66"/>
    </row>
    <row r="920" spans="21:21" x14ac:dyDescent="0.3">
      <c r="U920" s="66"/>
    </row>
    <row r="921" spans="21:21" x14ac:dyDescent="0.3">
      <c r="U921" s="66"/>
    </row>
    <row r="922" spans="21:21" x14ac:dyDescent="0.3">
      <c r="U922" s="66"/>
    </row>
    <row r="923" spans="21:21" x14ac:dyDescent="0.3">
      <c r="U923" s="66"/>
    </row>
    <row r="924" spans="21:21" x14ac:dyDescent="0.3">
      <c r="U924" s="66"/>
    </row>
    <row r="925" spans="21:21" x14ac:dyDescent="0.3">
      <c r="U925" s="66"/>
    </row>
    <row r="926" spans="21:21" x14ac:dyDescent="0.3">
      <c r="U926" s="66"/>
    </row>
    <row r="927" spans="21:21" x14ac:dyDescent="0.3">
      <c r="U927" s="66"/>
    </row>
    <row r="928" spans="21:21" x14ac:dyDescent="0.3">
      <c r="U928" s="66"/>
    </row>
    <row r="929" spans="21:21" x14ac:dyDescent="0.3">
      <c r="U929" s="66"/>
    </row>
    <row r="930" spans="21:21" x14ac:dyDescent="0.3">
      <c r="U930" s="66"/>
    </row>
    <row r="931" spans="21:21" x14ac:dyDescent="0.3">
      <c r="U931" s="66"/>
    </row>
    <row r="932" spans="21:21" x14ac:dyDescent="0.3">
      <c r="U932" s="66"/>
    </row>
    <row r="933" spans="21:21" x14ac:dyDescent="0.3">
      <c r="U933" s="66"/>
    </row>
    <row r="934" spans="21:21" x14ac:dyDescent="0.3">
      <c r="U934" s="66"/>
    </row>
    <row r="935" spans="21:21" x14ac:dyDescent="0.3">
      <c r="U935" s="66"/>
    </row>
    <row r="936" spans="21:21" x14ac:dyDescent="0.3">
      <c r="U936" s="66"/>
    </row>
    <row r="937" spans="21:21" x14ac:dyDescent="0.3">
      <c r="U937" s="66"/>
    </row>
    <row r="938" spans="21:21" x14ac:dyDescent="0.3">
      <c r="U938" s="66"/>
    </row>
    <row r="939" spans="21:21" x14ac:dyDescent="0.3">
      <c r="U939" s="66"/>
    </row>
    <row r="940" spans="21:21" x14ac:dyDescent="0.3">
      <c r="U940" s="66"/>
    </row>
    <row r="941" spans="21:21" x14ac:dyDescent="0.3">
      <c r="U941" s="66"/>
    </row>
    <row r="942" spans="21:21" x14ac:dyDescent="0.3">
      <c r="U942" s="66"/>
    </row>
    <row r="943" spans="21:21" x14ac:dyDescent="0.3">
      <c r="U943" s="66"/>
    </row>
    <row r="944" spans="21:21" x14ac:dyDescent="0.3">
      <c r="U944" s="66"/>
    </row>
    <row r="945" spans="21:21" x14ac:dyDescent="0.3">
      <c r="U945" s="66"/>
    </row>
    <row r="946" spans="21:21" x14ac:dyDescent="0.3">
      <c r="U946" s="66"/>
    </row>
    <row r="947" spans="21:21" x14ac:dyDescent="0.3">
      <c r="U947" s="66"/>
    </row>
    <row r="948" spans="21:21" x14ac:dyDescent="0.3">
      <c r="U948" s="66"/>
    </row>
    <row r="949" spans="21:21" x14ac:dyDescent="0.3">
      <c r="U949" s="66"/>
    </row>
    <row r="950" spans="21:21" x14ac:dyDescent="0.3">
      <c r="U950" s="66"/>
    </row>
    <row r="951" spans="21:21" x14ac:dyDescent="0.3">
      <c r="U951" s="66"/>
    </row>
    <row r="952" spans="21:21" x14ac:dyDescent="0.3">
      <c r="U952" s="66"/>
    </row>
    <row r="953" spans="21:21" x14ac:dyDescent="0.3">
      <c r="U953" s="66"/>
    </row>
    <row r="954" spans="21:21" x14ac:dyDescent="0.3">
      <c r="U954" s="66"/>
    </row>
    <row r="955" spans="21:21" x14ac:dyDescent="0.3">
      <c r="U955" s="66"/>
    </row>
    <row r="956" spans="21:21" x14ac:dyDescent="0.3">
      <c r="U956" s="66"/>
    </row>
    <row r="957" spans="21:21" x14ac:dyDescent="0.3">
      <c r="U957" s="66"/>
    </row>
    <row r="958" spans="21:21" x14ac:dyDescent="0.3">
      <c r="U958" s="66"/>
    </row>
    <row r="959" spans="21:21" x14ac:dyDescent="0.3">
      <c r="U959" s="66"/>
    </row>
    <row r="960" spans="21:21" x14ac:dyDescent="0.3">
      <c r="U960" s="66"/>
    </row>
    <row r="961" spans="21:21" x14ac:dyDescent="0.3">
      <c r="U961" s="66"/>
    </row>
    <row r="962" spans="21:21" x14ac:dyDescent="0.3">
      <c r="U962" s="66"/>
    </row>
    <row r="963" spans="21:21" x14ac:dyDescent="0.3">
      <c r="U963" s="66"/>
    </row>
  </sheetData>
  <autoFilter ref="A16:AB522" xr:uid="{D105098C-B416-42C0-92FB-0232A3671BA3}">
    <filterColumn colId="8">
      <filters>
        <filter val="5"/>
      </filters>
    </filterColumn>
  </autoFilter>
  <mergeCells count="40">
    <mergeCell ref="K530:O530"/>
    <mergeCell ref="A17:S17"/>
    <mergeCell ref="A507:S507"/>
    <mergeCell ref="A510:S510"/>
    <mergeCell ref="A513:S513"/>
    <mergeCell ref="A516:S516"/>
    <mergeCell ref="A519:S519"/>
    <mergeCell ref="A527:F527"/>
    <mergeCell ref="K527:O527"/>
    <mergeCell ref="A528:F528"/>
    <mergeCell ref="K528:O528"/>
    <mergeCell ref="K529:O529"/>
    <mergeCell ref="S14:S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B8:M8"/>
    <mergeCell ref="B9:M9"/>
    <mergeCell ref="B10:M10"/>
    <mergeCell ref="B11:M11"/>
    <mergeCell ref="B12:M12"/>
    <mergeCell ref="A14:A15"/>
    <mergeCell ref="B14:D14"/>
    <mergeCell ref="E14:E15"/>
    <mergeCell ref="F14:F15"/>
    <mergeCell ref="G14:G15"/>
    <mergeCell ref="B7:M7"/>
    <mergeCell ref="J1:K1"/>
    <mergeCell ref="J2:K2"/>
    <mergeCell ref="J3:K3"/>
    <mergeCell ref="J4:K4"/>
    <mergeCell ref="B6:M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DB95-C7BA-4FD8-910D-7745A2BC8103}">
  <sheetPr codeName="Sheet11"/>
  <dimension ref="A1:L925"/>
  <sheetViews>
    <sheetView showGridLines="0" zoomScale="90" zoomScaleNormal="90" workbookViewId="0">
      <pane xSplit="3" ySplit="15" topLeftCell="D458" activePane="bottomRight" state="frozen"/>
      <selection activeCell="S16" sqref="S16"/>
      <selection pane="topRight" activeCell="S16" sqref="S16"/>
      <selection pane="bottomLeft" activeCell="S16" sqref="S16"/>
      <selection pane="bottomRight" activeCell="E11" sqref="E11"/>
    </sheetView>
  </sheetViews>
  <sheetFormatPr defaultColWidth="9" defaultRowHeight="15.6" x14ac:dyDescent="0.3"/>
  <cols>
    <col min="1" max="1" width="35.19921875" bestFit="1" customWidth="1"/>
    <col min="2" max="2" width="10.69921875" bestFit="1" customWidth="1"/>
    <col min="3" max="3" width="11.19921875" bestFit="1" customWidth="1"/>
    <col min="4" max="4" width="35.19921875" bestFit="1" customWidth="1"/>
    <col min="5" max="6" width="11.69921875" bestFit="1" customWidth="1"/>
    <col min="7" max="7" width="16.09765625" bestFit="1" customWidth="1"/>
    <col min="8" max="8" width="8.3984375" bestFit="1" customWidth="1"/>
    <col min="9" max="9" width="15.8984375" style="2" customWidth="1"/>
    <col min="10" max="10" width="6.5" style="49" bestFit="1" customWidth="1"/>
    <col min="11" max="11" width="25.8984375" style="41" bestFit="1" customWidth="1"/>
    <col min="12" max="12" width="17.59765625" style="15" bestFit="1" customWidth="1"/>
    <col min="13" max="13" width="14.09765625" style="41" bestFit="1" customWidth="1"/>
    <col min="14" max="16384" width="9" style="41"/>
  </cols>
  <sheetData>
    <row r="1" spans="1:12" ht="27" x14ac:dyDescent="0.3">
      <c r="A1" s="167" t="s">
        <v>75</v>
      </c>
      <c r="I1" s="154">
        <f>E11</f>
        <v>79821540914</v>
      </c>
      <c r="K1" s="50" t="s">
        <v>373</v>
      </c>
    </row>
    <row r="2" spans="1:12" ht="40.200000000000003" x14ac:dyDescent="0.3">
      <c r="A2" s="167" t="s">
        <v>74</v>
      </c>
      <c r="I2" s="153" t="s">
        <v>390</v>
      </c>
      <c r="K2" s="41" t="s">
        <v>374</v>
      </c>
      <c r="L2" s="15">
        <f>SUMIF($J:$J,$K2,$I:$I)</f>
        <v>105695245168</v>
      </c>
    </row>
    <row r="3" spans="1:12" ht="41.4" customHeight="1" x14ac:dyDescent="0.3">
      <c r="A3" s="168" t="s">
        <v>73</v>
      </c>
      <c r="K3" s="41" t="s">
        <v>375</v>
      </c>
      <c r="L3" s="15">
        <f>SUMIF($J:$J,$K3,$I:$I)</f>
        <v>1785491138</v>
      </c>
    </row>
    <row r="4" spans="1:12" ht="40.200000000000003" x14ac:dyDescent="0.3">
      <c r="A4" s="169" t="s">
        <v>407</v>
      </c>
      <c r="I4" s="164">
        <f>E515</f>
        <v>78337261427</v>
      </c>
      <c r="L4" s="49">
        <f>SUM(L2:L3)</f>
        <v>107480736306</v>
      </c>
    </row>
    <row r="5" spans="1:12" x14ac:dyDescent="0.3">
      <c r="A5" s="169" t="s">
        <v>72</v>
      </c>
    </row>
    <row r="6" spans="1:12" x14ac:dyDescent="0.3">
      <c r="A6" s="169" t="s">
        <v>941</v>
      </c>
    </row>
    <row r="7" spans="1:12" x14ac:dyDescent="0.3">
      <c r="A7" s="170"/>
    </row>
    <row r="9" spans="1:12" ht="14.4" customHeight="1" x14ac:dyDescent="0.3">
      <c r="A9" s="371" t="s">
        <v>71</v>
      </c>
      <c r="B9" s="372"/>
      <c r="C9" s="373"/>
      <c r="D9" s="366" t="s">
        <v>70</v>
      </c>
      <c r="E9" s="366" t="s">
        <v>358</v>
      </c>
      <c r="F9" s="366" t="s">
        <v>359</v>
      </c>
      <c r="G9" s="366" t="s">
        <v>69</v>
      </c>
      <c r="H9" s="366" t="s">
        <v>27</v>
      </c>
      <c r="I9" s="2" t="s">
        <v>77</v>
      </c>
    </row>
    <row r="10" spans="1:12" ht="14.4" x14ac:dyDescent="0.3">
      <c r="A10" s="171" t="s">
        <v>68</v>
      </c>
      <c r="B10" s="171" t="s">
        <v>33</v>
      </c>
      <c r="C10" s="171" t="s">
        <v>34</v>
      </c>
      <c r="D10" s="367"/>
      <c r="E10" s="367"/>
      <c r="F10" s="367"/>
      <c r="G10" s="367"/>
      <c r="H10" s="367"/>
      <c r="I10" s="2" t="s">
        <v>78</v>
      </c>
    </row>
    <row r="11" spans="1:12" x14ac:dyDescent="0.3">
      <c r="A11" s="368" t="s">
        <v>67</v>
      </c>
      <c r="B11" s="369"/>
      <c r="C11" s="370"/>
      <c r="D11" s="172" t="s">
        <v>66</v>
      </c>
      <c r="E11" s="173">
        <v>79821540914</v>
      </c>
      <c r="F11" s="174"/>
      <c r="G11" s="174"/>
      <c r="H11" s="174"/>
      <c r="J11" s="49" t="str">
        <f>IF(LEFT(A11,11)="Tài khoản: ",MID(A11,12,5),J10)</f>
        <v>13311</v>
      </c>
    </row>
    <row r="12" spans="1:12" ht="24.6" x14ac:dyDescent="0.3">
      <c r="A12" s="36">
        <v>46149</v>
      </c>
      <c r="B12" s="37" t="s">
        <v>1453</v>
      </c>
      <c r="C12" s="38" t="s">
        <v>11</v>
      </c>
      <c r="D12" s="19" t="s">
        <v>1454</v>
      </c>
      <c r="E12" s="175">
        <v>70000</v>
      </c>
      <c r="F12" s="174"/>
      <c r="G12" s="38" t="s">
        <v>99</v>
      </c>
      <c r="H12" s="38" t="s">
        <v>1592</v>
      </c>
      <c r="I12" s="2">
        <f>IF(LEN(A12)=5,E12,0)</f>
        <v>70000</v>
      </c>
      <c r="J12" s="49" t="str">
        <f t="shared" ref="J12:J15" si="0">IF(LEFT(A12,11)="Tài khoản: ",MID(A12,12,5),J11)</f>
        <v>13311</v>
      </c>
    </row>
    <row r="13" spans="1:12" ht="24.6" x14ac:dyDescent="0.3">
      <c r="A13" s="36">
        <v>46150</v>
      </c>
      <c r="B13" s="37" t="s">
        <v>1455</v>
      </c>
      <c r="C13" s="38" t="s">
        <v>11</v>
      </c>
      <c r="D13" s="19" t="s">
        <v>1456</v>
      </c>
      <c r="E13" s="175">
        <v>10240000</v>
      </c>
      <c r="F13" s="174"/>
      <c r="G13" s="38" t="s">
        <v>179</v>
      </c>
      <c r="H13" s="38" t="s">
        <v>1592</v>
      </c>
      <c r="I13" s="2">
        <f>IF(LEN(A13)=5,E13,0)</f>
        <v>10240000</v>
      </c>
      <c r="J13" s="49" t="str">
        <f t="shared" si="0"/>
        <v>13311</v>
      </c>
    </row>
    <row r="14" spans="1:12" ht="24.6" x14ac:dyDescent="0.3">
      <c r="A14" s="36">
        <v>46150</v>
      </c>
      <c r="B14" s="37" t="s">
        <v>1457</v>
      </c>
      <c r="C14" s="38" t="s">
        <v>11</v>
      </c>
      <c r="D14" s="19" t="s">
        <v>1458</v>
      </c>
      <c r="E14" s="175">
        <v>10000</v>
      </c>
      <c r="F14" s="174"/>
      <c r="G14" s="38" t="s">
        <v>99</v>
      </c>
      <c r="H14" s="38" t="s">
        <v>1592</v>
      </c>
      <c r="I14" s="2">
        <f t="shared" ref="I14:I15" si="1">IF(LEN(A14)=5,E14,0)</f>
        <v>10000</v>
      </c>
      <c r="J14" s="49" t="str">
        <f t="shared" si="0"/>
        <v>13311</v>
      </c>
    </row>
    <row r="15" spans="1:12" ht="36.6" x14ac:dyDescent="0.3">
      <c r="A15" s="36">
        <v>46156</v>
      </c>
      <c r="B15" s="37" t="s">
        <v>1459</v>
      </c>
      <c r="C15" s="38" t="s">
        <v>11</v>
      </c>
      <c r="D15" s="19" t="s">
        <v>1460</v>
      </c>
      <c r="E15" s="175">
        <v>2000</v>
      </c>
      <c r="F15" s="174"/>
      <c r="G15" s="38" t="s">
        <v>99</v>
      </c>
      <c r="H15" s="38" t="s">
        <v>1592</v>
      </c>
      <c r="I15" s="2">
        <f t="shared" si="1"/>
        <v>2000</v>
      </c>
      <c r="J15" s="49" t="str">
        <f t="shared" si="0"/>
        <v>13311</v>
      </c>
    </row>
    <row r="16" spans="1:12" ht="24.6" x14ac:dyDescent="0.3">
      <c r="A16" s="36">
        <v>46157</v>
      </c>
      <c r="B16" s="37" t="s">
        <v>1461</v>
      </c>
      <c r="C16" s="38" t="s">
        <v>11</v>
      </c>
      <c r="D16" s="19" t="s">
        <v>1462</v>
      </c>
      <c r="E16" s="175">
        <v>548149</v>
      </c>
      <c r="F16" s="174"/>
      <c r="G16" s="38" t="s">
        <v>259</v>
      </c>
      <c r="H16" s="38" t="s">
        <v>1592</v>
      </c>
      <c r="I16" s="2">
        <f t="shared" ref="I16:I79" si="2">IF(LEN(A16)=5,E16,0)</f>
        <v>548149</v>
      </c>
      <c r="J16" s="49" t="str">
        <f t="shared" ref="J16:J79" si="3">IF(LEFT(A16,11)="Tài khoản: ",MID(A16,12,5),J15)</f>
        <v>13311</v>
      </c>
    </row>
    <row r="17" spans="1:10" ht="24.6" x14ac:dyDescent="0.3">
      <c r="A17" s="36">
        <v>46157</v>
      </c>
      <c r="B17" s="37" t="s">
        <v>1463</v>
      </c>
      <c r="C17" s="38" t="s">
        <v>11</v>
      </c>
      <c r="D17" s="19" t="s">
        <v>1464</v>
      </c>
      <c r="E17" s="175">
        <v>70000</v>
      </c>
      <c r="F17" s="174"/>
      <c r="G17" s="38" t="s">
        <v>99</v>
      </c>
      <c r="H17" s="38" t="s">
        <v>1592</v>
      </c>
      <c r="I17" s="2">
        <f t="shared" si="2"/>
        <v>70000</v>
      </c>
      <c r="J17" s="49" t="str">
        <f t="shared" si="3"/>
        <v>13311</v>
      </c>
    </row>
    <row r="18" spans="1:10" x14ac:dyDescent="0.3">
      <c r="A18" s="36">
        <v>46165</v>
      </c>
      <c r="B18" s="37" t="s">
        <v>1465</v>
      </c>
      <c r="C18" s="38" t="s">
        <v>11</v>
      </c>
      <c r="D18" s="19" t="s">
        <v>1466</v>
      </c>
      <c r="E18" s="175">
        <v>1500</v>
      </c>
      <c r="F18" s="174"/>
      <c r="G18" s="38" t="s">
        <v>259</v>
      </c>
      <c r="H18" s="38" t="s">
        <v>1592</v>
      </c>
      <c r="I18" s="2">
        <f t="shared" si="2"/>
        <v>1500</v>
      </c>
      <c r="J18" s="49" t="str">
        <f t="shared" si="3"/>
        <v>13311</v>
      </c>
    </row>
    <row r="19" spans="1:10" ht="24.6" x14ac:dyDescent="0.3">
      <c r="A19" s="36">
        <v>46165</v>
      </c>
      <c r="B19" s="37" t="s">
        <v>1467</v>
      </c>
      <c r="C19" s="38" t="s">
        <v>11</v>
      </c>
      <c r="D19" s="19" t="s">
        <v>1468</v>
      </c>
      <c r="E19" s="175">
        <v>1500</v>
      </c>
      <c r="F19" s="174"/>
      <c r="G19" s="38" t="s">
        <v>99</v>
      </c>
      <c r="H19" s="38" t="s">
        <v>1592</v>
      </c>
      <c r="I19" s="2">
        <f t="shared" si="2"/>
        <v>1500</v>
      </c>
      <c r="J19" s="49" t="str">
        <f t="shared" si="3"/>
        <v>13311</v>
      </c>
    </row>
    <row r="20" spans="1:10" ht="24.6" x14ac:dyDescent="0.3">
      <c r="A20" s="36">
        <v>46168</v>
      </c>
      <c r="B20" s="37" t="s">
        <v>1469</v>
      </c>
      <c r="C20" s="38" t="s">
        <v>11</v>
      </c>
      <c r="D20" s="19" t="s">
        <v>1470</v>
      </c>
      <c r="E20" s="175">
        <v>70000</v>
      </c>
      <c r="F20" s="174"/>
      <c r="G20" s="38" t="s">
        <v>99</v>
      </c>
      <c r="H20" s="38" t="s">
        <v>1592</v>
      </c>
      <c r="I20" s="2">
        <f t="shared" si="2"/>
        <v>70000</v>
      </c>
      <c r="J20" s="49" t="str">
        <f t="shared" si="3"/>
        <v>13311</v>
      </c>
    </row>
    <row r="21" spans="1:10" ht="24.6" x14ac:dyDescent="0.3">
      <c r="A21" s="36">
        <v>46169</v>
      </c>
      <c r="B21" s="37" t="s">
        <v>1471</v>
      </c>
      <c r="C21" s="38" t="s">
        <v>11</v>
      </c>
      <c r="D21" s="19" t="s">
        <v>1472</v>
      </c>
      <c r="E21" s="175">
        <v>351102</v>
      </c>
      <c r="F21" s="174"/>
      <c r="G21" s="38" t="s">
        <v>259</v>
      </c>
      <c r="H21" s="38" t="s">
        <v>1592</v>
      </c>
      <c r="I21" s="2">
        <f t="shared" si="2"/>
        <v>351102</v>
      </c>
      <c r="J21" s="49" t="str">
        <f t="shared" si="3"/>
        <v>13311</v>
      </c>
    </row>
    <row r="22" spans="1:10" ht="24.6" x14ac:dyDescent="0.3">
      <c r="A22" s="36">
        <v>46169</v>
      </c>
      <c r="B22" s="37" t="s">
        <v>1473</v>
      </c>
      <c r="C22" s="38" t="s">
        <v>11</v>
      </c>
      <c r="D22" s="19" t="s">
        <v>1474</v>
      </c>
      <c r="E22" s="175">
        <v>85185</v>
      </c>
      <c r="F22" s="174"/>
      <c r="G22" s="38" t="s">
        <v>259</v>
      </c>
      <c r="H22" s="38" t="s">
        <v>1592</v>
      </c>
      <c r="I22" s="2">
        <f t="shared" si="2"/>
        <v>85185</v>
      </c>
      <c r="J22" s="49" t="str">
        <f t="shared" si="3"/>
        <v>13311</v>
      </c>
    </row>
    <row r="23" spans="1:10" ht="36.6" x14ac:dyDescent="0.3">
      <c r="A23" s="36">
        <v>46169</v>
      </c>
      <c r="B23" s="37" t="s">
        <v>1475</v>
      </c>
      <c r="C23" s="38" t="s">
        <v>11</v>
      </c>
      <c r="D23" s="19" t="s">
        <v>1476</v>
      </c>
      <c r="E23" s="175">
        <v>248000</v>
      </c>
      <c r="F23" s="174"/>
      <c r="G23" s="38" t="s">
        <v>259</v>
      </c>
      <c r="H23" s="38" t="s">
        <v>1592</v>
      </c>
      <c r="I23" s="2">
        <f t="shared" si="2"/>
        <v>248000</v>
      </c>
      <c r="J23" s="49" t="str">
        <f t="shared" si="3"/>
        <v>13311</v>
      </c>
    </row>
    <row r="24" spans="1:10" ht="36.6" x14ac:dyDescent="0.3">
      <c r="A24" s="36">
        <v>46169</v>
      </c>
      <c r="B24" s="37" t="s">
        <v>1477</v>
      </c>
      <c r="C24" s="38" t="s">
        <v>11</v>
      </c>
      <c r="D24" s="19" t="s">
        <v>1478</v>
      </c>
      <c r="E24" s="175">
        <v>215407</v>
      </c>
      <c r="F24" s="174"/>
      <c r="G24" s="38" t="s">
        <v>259</v>
      </c>
      <c r="H24" s="38" t="s">
        <v>1592</v>
      </c>
      <c r="I24" s="2">
        <f t="shared" si="2"/>
        <v>215407</v>
      </c>
      <c r="J24" s="49" t="str">
        <f t="shared" si="3"/>
        <v>13311</v>
      </c>
    </row>
    <row r="25" spans="1:10" ht="36.6" x14ac:dyDescent="0.3">
      <c r="A25" s="36">
        <v>46169</v>
      </c>
      <c r="B25" s="37" t="s">
        <v>1479</v>
      </c>
      <c r="C25" s="38" t="s">
        <v>11</v>
      </c>
      <c r="D25" s="19" t="s">
        <v>1480</v>
      </c>
      <c r="E25" s="175">
        <v>208000</v>
      </c>
      <c r="F25" s="174"/>
      <c r="G25" s="38" t="s">
        <v>259</v>
      </c>
      <c r="H25" s="38" t="s">
        <v>1592</v>
      </c>
      <c r="I25" s="2">
        <f t="shared" si="2"/>
        <v>208000</v>
      </c>
      <c r="J25" s="49" t="str">
        <f t="shared" si="3"/>
        <v>13311</v>
      </c>
    </row>
    <row r="26" spans="1:10" ht="24.6" x14ac:dyDescent="0.3">
      <c r="A26" s="36">
        <v>46169</v>
      </c>
      <c r="B26" s="37" t="s">
        <v>1481</v>
      </c>
      <c r="C26" s="38" t="s">
        <v>11</v>
      </c>
      <c r="D26" s="19" t="s">
        <v>1482</v>
      </c>
      <c r="E26" s="175">
        <v>5000</v>
      </c>
      <c r="F26" s="174"/>
      <c r="G26" s="38" t="s">
        <v>179</v>
      </c>
      <c r="H26" s="38" t="s">
        <v>1592</v>
      </c>
      <c r="I26" s="2">
        <f t="shared" si="2"/>
        <v>5000</v>
      </c>
      <c r="J26" s="49" t="str">
        <f t="shared" si="3"/>
        <v>13311</v>
      </c>
    </row>
    <row r="27" spans="1:10" ht="24.6" x14ac:dyDescent="0.3">
      <c r="A27" s="36">
        <v>46169</v>
      </c>
      <c r="B27" s="37" t="s">
        <v>1483</v>
      </c>
      <c r="C27" s="38" t="s">
        <v>11</v>
      </c>
      <c r="D27" s="19" t="s">
        <v>1484</v>
      </c>
      <c r="E27" s="175">
        <v>5000</v>
      </c>
      <c r="F27" s="174"/>
      <c r="G27" s="38" t="s">
        <v>196</v>
      </c>
      <c r="H27" s="38" t="s">
        <v>1592</v>
      </c>
      <c r="I27" s="2">
        <f t="shared" si="2"/>
        <v>5000</v>
      </c>
      <c r="J27" s="49" t="str">
        <f t="shared" si="3"/>
        <v>13311</v>
      </c>
    </row>
    <row r="28" spans="1:10" ht="28.8" customHeight="1" x14ac:dyDescent="0.3">
      <c r="A28" s="36">
        <v>46169</v>
      </c>
      <c r="B28" s="37" t="s">
        <v>1485</v>
      </c>
      <c r="C28" s="38" t="s">
        <v>11</v>
      </c>
      <c r="D28" s="19" t="s">
        <v>1486</v>
      </c>
      <c r="E28" s="175">
        <v>5000</v>
      </c>
      <c r="F28" s="174"/>
      <c r="G28" s="38" t="s">
        <v>290</v>
      </c>
      <c r="H28" s="38" t="s">
        <v>1592</v>
      </c>
      <c r="I28" s="2">
        <f t="shared" si="2"/>
        <v>5000</v>
      </c>
      <c r="J28" s="49" t="str">
        <f t="shared" si="3"/>
        <v>13311</v>
      </c>
    </row>
    <row r="29" spans="1:10" ht="24.6" x14ac:dyDescent="0.3">
      <c r="A29" s="36">
        <v>46169</v>
      </c>
      <c r="B29" s="37" t="s">
        <v>1487</v>
      </c>
      <c r="C29" s="38" t="s">
        <v>11</v>
      </c>
      <c r="D29" s="19" t="s">
        <v>1488</v>
      </c>
      <c r="E29" s="175">
        <v>20000</v>
      </c>
      <c r="F29" s="174"/>
      <c r="G29" s="38" t="s">
        <v>196</v>
      </c>
      <c r="H29" s="38" t="s">
        <v>1592</v>
      </c>
      <c r="I29" s="2">
        <f t="shared" si="2"/>
        <v>20000</v>
      </c>
      <c r="J29" s="49" t="str">
        <f t="shared" si="3"/>
        <v>13311</v>
      </c>
    </row>
    <row r="30" spans="1:10" ht="24.6" x14ac:dyDescent="0.3">
      <c r="A30" s="36">
        <v>46171</v>
      </c>
      <c r="B30" s="37" t="s">
        <v>1489</v>
      </c>
      <c r="C30" s="38" t="s">
        <v>11</v>
      </c>
      <c r="D30" s="19" t="s">
        <v>1490</v>
      </c>
      <c r="E30" s="175">
        <v>19200</v>
      </c>
      <c r="F30" s="174"/>
      <c r="G30" s="38" t="s">
        <v>99</v>
      </c>
      <c r="H30" s="38" t="s">
        <v>1592</v>
      </c>
      <c r="I30" s="2">
        <f t="shared" si="2"/>
        <v>19200</v>
      </c>
      <c r="J30" s="49" t="str">
        <f t="shared" si="3"/>
        <v>13311</v>
      </c>
    </row>
    <row r="31" spans="1:10" ht="24.6" x14ac:dyDescent="0.3">
      <c r="A31" s="36">
        <v>46173</v>
      </c>
      <c r="B31" s="37" t="s">
        <v>1491</v>
      </c>
      <c r="C31" s="38" t="s">
        <v>15</v>
      </c>
      <c r="D31" s="19" t="s">
        <v>1492</v>
      </c>
      <c r="E31" s="175">
        <v>13464000</v>
      </c>
      <c r="F31" s="174"/>
      <c r="G31" s="38" t="s">
        <v>195</v>
      </c>
      <c r="H31" s="38" t="s">
        <v>882</v>
      </c>
      <c r="I31" s="2">
        <f t="shared" si="2"/>
        <v>13464000</v>
      </c>
      <c r="J31" s="49" t="str">
        <f t="shared" si="3"/>
        <v>13311</v>
      </c>
    </row>
    <row r="32" spans="1:10" ht="24.6" x14ac:dyDescent="0.3">
      <c r="A32" s="36">
        <v>46173</v>
      </c>
      <c r="B32" s="37" t="s">
        <v>1491</v>
      </c>
      <c r="C32" s="38" t="s">
        <v>15</v>
      </c>
      <c r="D32" s="19" t="s">
        <v>1493</v>
      </c>
      <c r="E32" s="175">
        <v>53664000</v>
      </c>
      <c r="F32" s="174"/>
      <c r="G32" s="38" t="s">
        <v>195</v>
      </c>
      <c r="H32" s="38" t="s">
        <v>882</v>
      </c>
      <c r="I32" s="2">
        <f t="shared" si="2"/>
        <v>53664000</v>
      </c>
      <c r="J32" s="49" t="str">
        <f t="shared" si="3"/>
        <v>13311</v>
      </c>
    </row>
    <row r="33" spans="1:11" ht="24.6" x14ac:dyDescent="0.3">
      <c r="A33" s="36">
        <v>46173</v>
      </c>
      <c r="B33" s="37" t="s">
        <v>1491</v>
      </c>
      <c r="C33" s="38" t="s">
        <v>15</v>
      </c>
      <c r="D33" s="19" t="s">
        <v>1494</v>
      </c>
      <c r="E33" s="175">
        <v>26588976</v>
      </c>
      <c r="F33" s="174"/>
      <c r="G33" s="38" t="s">
        <v>195</v>
      </c>
      <c r="H33" s="38" t="s">
        <v>882</v>
      </c>
      <c r="I33" s="2">
        <f t="shared" si="2"/>
        <v>26588976</v>
      </c>
      <c r="J33" s="49" t="str">
        <f t="shared" si="3"/>
        <v>13311</v>
      </c>
    </row>
    <row r="34" spans="1:11" ht="24.6" x14ac:dyDescent="0.3">
      <c r="A34" s="36">
        <v>46173</v>
      </c>
      <c r="B34" s="37" t="s">
        <v>1491</v>
      </c>
      <c r="C34" s="38" t="s">
        <v>15</v>
      </c>
      <c r="D34" s="19" t="s">
        <v>1495</v>
      </c>
      <c r="E34" s="175">
        <v>18072915</v>
      </c>
      <c r="F34" s="174"/>
      <c r="G34" s="38" t="s">
        <v>195</v>
      </c>
      <c r="H34" s="38" t="s">
        <v>882</v>
      </c>
      <c r="I34" s="2">
        <f t="shared" si="2"/>
        <v>18072915</v>
      </c>
      <c r="J34" s="49" t="str">
        <f t="shared" si="3"/>
        <v>13311</v>
      </c>
    </row>
    <row r="35" spans="1:11" ht="24.6" x14ac:dyDescent="0.3">
      <c r="A35" s="36">
        <v>46173</v>
      </c>
      <c r="B35" s="37" t="s">
        <v>1496</v>
      </c>
      <c r="C35" s="38" t="s">
        <v>15</v>
      </c>
      <c r="D35" s="19" t="s">
        <v>1497</v>
      </c>
      <c r="E35" s="175">
        <v>38933</v>
      </c>
      <c r="F35" s="174"/>
      <c r="G35" s="38" t="s">
        <v>195</v>
      </c>
      <c r="H35" s="38" t="s">
        <v>882</v>
      </c>
      <c r="I35" s="2">
        <f t="shared" si="2"/>
        <v>38933</v>
      </c>
      <c r="J35" s="49" t="str">
        <f t="shared" si="3"/>
        <v>13311</v>
      </c>
    </row>
    <row r="36" spans="1:11" ht="24.6" x14ac:dyDescent="0.3">
      <c r="A36" s="36">
        <v>46173</v>
      </c>
      <c r="B36" s="37" t="s">
        <v>1496</v>
      </c>
      <c r="C36" s="38" t="s">
        <v>15</v>
      </c>
      <c r="D36" s="19" t="s">
        <v>1498</v>
      </c>
      <c r="E36" s="175">
        <v>26849</v>
      </c>
      <c r="F36" s="174"/>
      <c r="G36" s="38" t="s">
        <v>195</v>
      </c>
      <c r="H36" s="38" t="s">
        <v>882</v>
      </c>
      <c r="I36" s="2">
        <f t="shared" si="2"/>
        <v>26849</v>
      </c>
      <c r="J36" s="49" t="str">
        <f t="shared" si="3"/>
        <v>13311</v>
      </c>
    </row>
    <row r="37" spans="1:11" ht="24.6" x14ac:dyDescent="0.3">
      <c r="A37" s="36">
        <v>46173</v>
      </c>
      <c r="B37" s="37" t="s">
        <v>1496</v>
      </c>
      <c r="C37" s="38" t="s">
        <v>15</v>
      </c>
      <c r="D37" s="19" t="s">
        <v>1499</v>
      </c>
      <c r="E37" s="175">
        <v>9822</v>
      </c>
      <c r="F37" s="174"/>
      <c r="G37" s="38" t="s">
        <v>195</v>
      </c>
      <c r="H37" s="38" t="s">
        <v>882</v>
      </c>
      <c r="I37" s="2">
        <f t="shared" si="2"/>
        <v>9822</v>
      </c>
      <c r="J37" s="49" t="str">
        <f t="shared" si="3"/>
        <v>13311</v>
      </c>
    </row>
    <row r="38" spans="1:11" ht="24.6" x14ac:dyDescent="0.3">
      <c r="A38" s="36">
        <v>46173</v>
      </c>
      <c r="B38" s="37" t="s">
        <v>1496</v>
      </c>
      <c r="C38" s="38" t="s">
        <v>15</v>
      </c>
      <c r="D38" s="19" t="s">
        <v>1500</v>
      </c>
      <c r="E38" s="175">
        <v>55056</v>
      </c>
      <c r="F38" s="174"/>
      <c r="G38" s="38" t="s">
        <v>195</v>
      </c>
      <c r="H38" s="38" t="s">
        <v>882</v>
      </c>
      <c r="I38" s="2">
        <f t="shared" si="2"/>
        <v>55056</v>
      </c>
      <c r="J38" s="49" t="str">
        <f t="shared" si="3"/>
        <v>13311</v>
      </c>
    </row>
    <row r="39" spans="1:11" ht="24.6" x14ac:dyDescent="0.3">
      <c r="A39" s="36">
        <v>46173</v>
      </c>
      <c r="B39" s="37" t="s">
        <v>1496</v>
      </c>
      <c r="C39" s="38" t="s">
        <v>15</v>
      </c>
      <c r="D39" s="19" t="s">
        <v>1500</v>
      </c>
      <c r="E39" s="175">
        <v>2000</v>
      </c>
      <c r="F39" s="174"/>
      <c r="G39" s="38" t="s">
        <v>195</v>
      </c>
      <c r="H39" s="38" t="s">
        <v>882</v>
      </c>
      <c r="I39" s="2">
        <f t="shared" si="2"/>
        <v>2000</v>
      </c>
      <c r="J39" s="49" t="str">
        <f t="shared" si="3"/>
        <v>13311</v>
      </c>
    </row>
    <row r="40" spans="1:11" ht="24.6" x14ac:dyDescent="0.3">
      <c r="A40" s="36">
        <v>46173</v>
      </c>
      <c r="B40" s="37" t="s">
        <v>1496</v>
      </c>
      <c r="C40" s="38" t="s">
        <v>15</v>
      </c>
      <c r="D40" s="19" t="s">
        <v>1500</v>
      </c>
      <c r="E40" s="175">
        <v>327727</v>
      </c>
      <c r="F40" s="174"/>
      <c r="G40" s="38" t="s">
        <v>195</v>
      </c>
      <c r="H40" s="38" t="s">
        <v>882</v>
      </c>
      <c r="I40" s="2">
        <f t="shared" si="2"/>
        <v>327727</v>
      </c>
      <c r="J40" s="49" t="str">
        <f t="shared" si="3"/>
        <v>13311</v>
      </c>
    </row>
    <row r="41" spans="1:11" ht="24.6" x14ac:dyDescent="0.3">
      <c r="A41" s="36">
        <v>46173</v>
      </c>
      <c r="B41" s="37" t="s">
        <v>1496</v>
      </c>
      <c r="C41" s="38" t="s">
        <v>15</v>
      </c>
      <c r="D41" s="19" t="s">
        <v>1500</v>
      </c>
      <c r="E41" s="175">
        <v>111818</v>
      </c>
      <c r="F41" s="174"/>
      <c r="G41" s="38" t="s">
        <v>195</v>
      </c>
      <c r="H41" s="38" t="s">
        <v>882</v>
      </c>
      <c r="I41" s="2">
        <f t="shared" si="2"/>
        <v>111818</v>
      </c>
      <c r="J41" s="49" t="str">
        <f t="shared" si="3"/>
        <v>13311</v>
      </c>
    </row>
    <row r="42" spans="1:11" ht="24.6" x14ac:dyDescent="0.3">
      <c r="A42" s="36">
        <v>46173</v>
      </c>
      <c r="B42" s="37" t="s">
        <v>1496</v>
      </c>
      <c r="C42" s="38" t="s">
        <v>15</v>
      </c>
      <c r="D42" s="19" t="s">
        <v>1500</v>
      </c>
      <c r="E42" s="175">
        <v>145000</v>
      </c>
      <c r="F42" s="174"/>
      <c r="G42" s="38" t="s">
        <v>195</v>
      </c>
      <c r="H42" s="38" t="s">
        <v>882</v>
      </c>
      <c r="I42" s="2">
        <f t="shared" si="2"/>
        <v>145000</v>
      </c>
      <c r="J42" s="49" t="str">
        <f t="shared" si="3"/>
        <v>13311</v>
      </c>
    </row>
    <row r="43" spans="1:11" ht="24.6" x14ac:dyDescent="0.3">
      <c r="A43" s="36">
        <v>46173</v>
      </c>
      <c r="B43" s="37" t="s">
        <v>1496</v>
      </c>
      <c r="C43" s="38" t="s">
        <v>15</v>
      </c>
      <c r="D43" s="19" t="s">
        <v>1500</v>
      </c>
      <c r="E43" s="175">
        <v>21818</v>
      </c>
      <c r="F43" s="174"/>
      <c r="G43" s="38" t="s">
        <v>195</v>
      </c>
      <c r="H43" s="38" t="s">
        <v>882</v>
      </c>
      <c r="I43" s="2">
        <f t="shared" si="2"/>
        <v>21818</v>
      </c>
      <c r="J43" s="49" t="str">
        <f t="shared" si="3"/>
        <v>13311</v>
      </c>
    </row>
    <row r="44" spans="1:11" ht="24.6" x14ac:dyDescent="0.3">
      <c r="A44" s="36">
        <v>46173</v>
      </c>
      <c r="B44" s="37" t="s">
        <v>1496</v>
      </c>
      <c r="C44" s="38" t="s">
        <v>15</v>
      </c>
      <c r="D44" s="19" t="s">
        <v>1500</v>
      </c>
      <c r="E44" s="175">
        <v>14455</v>
      </c>
      <c r="F44" s="174"/>
      <c r="G44" s="38" t="s">
        <v>195</v>
      </c>
      <c r="H44" s="38" t="s">
        <v>882</v>
      </c>
      <c r="I44" s="2">
        <f t="shared" si="2"/>
        <v>14455</v>
      </c>
      <c r="J44" s="49" t="str">
        <f t="shared" si="3"/>
        <v>13311</v>
      </c>
    </row>
    <row r="45" spans="1:11" ht="24.6" x14ac:dyDescent="0.3">
      <c r="A45" s="36">
        <v>46173</v>
      </c>
      <c r="B45" s="37" t="s">
        <v>1496</v>
      </c>
      <c r="C45" s="38" t="s">
        <v>15</v>
      </c>
      <c r="D45" s="19" t="s">
        <v>1500</v>
      </c>
      <c r="E45" s="175">
        <v>53100</v>
      </c>
      <c r="F45" s="174"/>
      <c r="G45" s="38" t="s">
        <v>195</v>
      </c>
      <c r="H45" s="38" t="s">
        <v>882</v>
      </c>
      <c r="I45" s="2">
        <f t="shared" si="2"/>
        <v>53100</v>
      </c>
      <c r="J45" s="49" t="str">
        <f t="shared" si="3"/>
        <v>13311</v>
      </c>
    </row>
    <row r="46" spans="1:11" ht="24.6" x14ac:dyDescent="0.3">
      <c r="A46" s="36">
        <v>46173</v>
      </c>
      <c r="B46" s="37" t="s">
        <v>1496</v>
      </c>
      <c r="C46" s="38" t="s">
        <v>15</v>
      </c>
      <c r="D46" s="19" t="s">
        <v>1500</v>
      </c>
      <c r="E46" s="175">
        <v>35400</v>
      </c>
      <c r="F46" s="174"/>
      <c r="G46" s="38" t="s">
        <v>195</v>
      </c>
      <c r="H46" s="38" t="s">
        <v>882</v>
      </c>
      <c r="I46" s="2">
        <f t="shared" si="2"/>
        <v>35400</v>
      </c>
      <c r="J46" s="49" t="str">
        <f t="shared" si="3"/>
        <v>13311</v>
      </c>
    </row>
    <row r="47" spans="1:11" ht="24.6" x14ac:dyDescent="0.3">
      <c r="A47" s="36">
        <v>46173</v>
      </c>
      <c r="B47" s="37" t="s">
        <v>1496</v>
      </c>
      <c r="C47" s="38" t="s">
        <v>15</v>
      </c>
      <c r="D47" s="19" t="s">
        <v>1500</v>
      </c>
      <c r="E47" s="175">
        <v>30647</v>
      </c>
      <c r="F47" s="174"/>
      <c r="G47" s="38" t="s">
        <v>195</v>
      </c>
      <c r="H47" s="38" t="s">
        <v>882</v>
      </c>
      <c r="I47" s="2">
        <f t="shared" si="2"/>
        <v>30647</v>
      </c>
      <c r="J47" s="49" t="str">
        <f t="shared" si="3"/>
        <v>13311</v>
      </c>
    </row>
    <row r="48" spans="1:11" ht="24.6" x14ac:dyDescent="0.3">
      <c r="A48" s="36">
        <v>46173</v>
      </c>
      <c r="B48" s="37" t="s">
        <v>1496</v>
      </c>
      <c r="C48" s="38" t="s">
        <v>15</v>
      </c>
      <c r="D48" s="19" t="s">
        <v>1500</v>
      </c>
      <c r="E48" s="175">
        <v>16364</v>
      </c>
      <c r="F48" s="174"/>
      <c r="G48" s="38" t="s">
        <v>195</v>
      </c>
      <c r="H48" s="38" t="s">
        <v>882</v>
      </c>
      <c r="I48" s="2">
        <f t="shared" si="2"/>
        <v>16364</v>
      </c>
      <c r="J48" s="49" t="str">
        <f t="shared" si="3"/>
        <v>13311</v>
      </c>
      <c r="K48" s="54"/>
    </row>
    <row r="49" spans="1:12" ht="24.6" x14ac:dyDescent="0.3">
      <c r="A49" s="36">
        <v>46173</v>
      </c>
      <c r="B49" s="37" t="s">
        <v>1496</v>
      </c>
      <c r="C49" s="38" t="s">
        <v>15</v>
      </c>
      <c r="D49" s="19" t="s">
        <v>1500</v>
      </c>
      <c r="E49" s="175">
        <v>6909</v>
      </c>
      <c r="F49" s="174"/>
      <c r="G49" s="38" t="s">
        <v>195</v>
      </c>
      <c r="H49" s="38" t="s">
        <v>882</v>
      </c>
      <c r="I49" s="2">
        <f t="shared" si="2"/>
        <v>6909</v>
      </c>
      <c r="J49" s="49" t="str">
        <f t="shared" si="3"/>
        <v>13311</v>
      </c>
      <c r="K49" s="55"/>
    </row>
    <row r="50" spans="1:12" ht="24.6" x14ac:dyDescent="0.3">
      <c r="A50" s="36">
        <v>46173</v>
      </c>
      <c r="B50" s="37" t="s">
        <v>1496</v>
      </c>
      <c r="C50" s="38" t="s">
        <v>15</v>
      </c>
      <c r="D50" s="19" t="s">
        <v>1500</v>
      </c>
      <c r="E50" s="175">
        <v>2021</v>
      </c>
      <c r="F50" s="174"/>
      <c r="G50" s="38" t="s">
        <v>195</v>
      </c>
      <c r="H50" s="38" t="s">
        <v>882</v>
      </c>
      <c r="I50" s="2">
        <f t="shared" si="2"/>
        <v>2021</v>
      </c>
      <c r="J50" s="49" t="str">
        <f t="shared" si="3"/>
        <v>13311</v>
      </c>
      <c r="K50" s="54"/>
    </row>
    <row r="51" spans="1:12" ht="24.6" x14ac:dyDescent="0.3">
      <c r="A51" s="36">
        <v>46173</v>
      </c>
      <c r="B51" s="37" t="s">
        <v>1496</v>
      </c>
      <c r="C51" s="38" t="s">
        <v>15</v>
      </c>
      <c r="D51" s="19" t="s">
        <v>1500</v>
      </c>
      <c r="E51" s="175">
        <v>5389</v>
      </c>
      <c r="F51" s="174"/>
      <c r="G51" s="38" t="s">
        <v>195</v>
      </c>
      <c r="H51" s="38" t="s">
        <v>882</v>
      </c>
      <c r="I51" s="2">
        <f t="shared" si="2"/>
        <v>5389</v>
      </c>
      <c r="J51" s="49" t="str">
        <f t="shared" si="3"/>
        <v>13311</v>
      </c>
      <c r="K51" s="56"/>
    </row>
    <row r="52" spans="1:12" ht="24.6" x14ac:dyDescent="0.3">
      <c r="A52" s="36">
        <v>46173</v>
      </c>
      <c r="B52" s="37" t="s">
        <v>1496</v>
      </c>
      <c r="C52" s="38" t="s">
        <v>15</v>
      </c>
      <c r="D52" s="19" t="s">
        <v>1500</v>
      </c>
      <c r="E52" s="175">
        <v>2000</v>
      </c>
      <c r="F52" s="174"/>
      <c r="G52" s="38" t="s">
        <v>195</v>
      </c>
      <c r="H52" s="38" t="s">
        <v>882</v>
      </c>
      <c r="I52" s="2">
        <f t="shared" si="2"/>
        <v>2000</v>
      </c>
      <c r="J52" s="49" t="str">
        <f t="shared" si="3"/>
        <v>13311</v>
      </c>
    </row>
    <row r="53" spans="1:12" ht="24.6" x14ac:dyDescent="0.3">
      <c r="A53" s="36">
        <v>46173</v>
      </c>
      <c r="B53" s="37" t="s">
        <v>1496</v>
      </c>
      <c r="C53" s="38" t="s">
        <v>15</v>
      </c>
      <c r="D53" s="19" t="s">
        <v>1501</v>
      </c>
      <c r="E53" s="175">
        <v>9000</v>
      </c>
      <c r="F53" s="174"/>
      <c r="G53" s="38" t="s">
        <v>195</v>
      </c>
      <c r="H53" s="38" t="s">
        <v>882</v>
      </c>
      <c r="I53" s="2">
        <f t="shared" si="2"/>
        <v>9000</v>
      </c>
      <c r="J53" s="49" t="str">
        <f t="shared" si="3"/>
        <v>13311</v>
      </c>
    </row>
    <row r="54" spans="1:12" s="43" customFormat="1" ht="24.6" x14ac:dyDescent="0.3">
      <c r="A54" s="36">
        <v>46173</v>
      </c>
      <c r="B54" s="37" t="s">
        <v>1496</v>
      </c>
      <c r="C54" s="38" t="s">
        <v>15</v>
      </c>
      <c r="D54" s="19" t="s">
        <v>1501</v>
      </c>
      <c r="E54" s="175">
        <v>3987</v>
      </c>
      <c r="F54" s="174"/>
      <c r="G54" s="38" t="s">
        <v>195</v>
      </c>
      <c r="H54" s="38" t="s">
        <v>882</v>
      </c>
      <c r="I54" s="2">
        <f t="shared" si="2"/>
        <v>3987</v>
      </c>
      <c r="J54" s="49" t="str">
        <f t="shared" si="3"/>
        <v>13311</v>
      </c>
      <c r="L54" s="57"/>
    </row>
    <row r="55" spans="1:12" ht="24.6" x14ac:dyDescent="0.3">
      <c r="A55" s="36">
        <v>46173</v>
      </c>
      <c r="B55" s="37" t="s">
        <v>1496</v>
      </c>
      <c r="C55" s="38" t="s">
        <v>15</v>
      </c>
      <c r="D55" s="19" t="s">
        <v>1501</v>
      </c>
      <c r="E55" s="175">
        <v>9227</v>
      </c>
      <c r="F55" s="174"/>
      <c r="G55" s="38" t="s">
        <v>195</v>
      </c>
      <c r="H55" s="38" t="s">
        <v>882</v>
      </c>
      <c r="I55" s="2">
        <f t="shared" si="2"/>
        <v>9227</v>
      </c>
      <c r="J55" s="49" t="str">
        <f t="shared" si="3"/>
        <v>13311</v>
      </c>
    </row>
    <row r="56" spans="1:12" ht="24.6" x14ac:dyDescent="0.3">
      <c r="A56" s="36">
        <v>46173</v>
      </c>
      <c r="B56" s="37" t="s">
        <v>1496</v>
      </c>
      <c r="C56" s="38" t="s">
        <v>15</v>
      </c>
      <c r="D56" s="19" t="s">
        <v>1501</v>
      </c>
      <c r="E56" s="175">
        <v>2000</v>
      </c>
      <c r="F56" s="174"/>
      <c r="G56" s="38" t="s">
        <v>195</v>
      </c>
      <c r="H56" s="38" t="s">
        <v>882</v>
      </c>
      <c r="I56" s="2">
        <f t="shared" si="2"/>
        <v>2000</v>
      </c>
      <c r="J56" s="49" t="str">
        <f t="shared" si="3"/>
        <v>13311</v>
      </c>
    </row>
    <row r="57" spans="1:12" ht="24.6" x14ac:dyDescent="0.3">
      <c r="A57" s="36">
        <v>46173</v>
      </c>
      <c r="B57" s="37" t="s">
        <v>1496</v>
      </c>
      <c r="C57" s="38" t="s">
        <v>15</v>
      </c>
      <c r="D57" s="19" t="s">
        <v>1501</v>
      </c>
      <c r="E57" s="175">
        <v>90000</v>
      </c>
      <c r="F57" s="174"/>
      <c r="G57" s="38" t="s">
        <v>195</v>
      </c>
      <c r="H57" s="38" t="s">
        <v>882</v>
      </c>
      <c r="I57" s="2">
        <f t="shared" si="2"/>
        <v>90000</v>
      </c>
      <c r="J57" s="49" t="str">
        <f t="shared" si="3"/>
        <v>13311</v>
      </c>
    </row>
    <row r="58" spans="1:12" ht="24.6" x14ac:dyDescent="0.3">
      <c r="A58" s="36">
        <v>46173</v>
      </c>
      <c r="B58" s="37" t="s">
        <v>1496</v>
      </c>
      <c r="C58" s="38" t="s">
        <v>15</v>
      </c>
      <c r="D58" s="19" t="s">
        <v>1501</v>
      </c>
      <c r="E58" s="175">
        <v>23000</v>
      </c>
      <c r="F58" s="174"/>
      <c r="G58" s="38" t="s">
        <v>195</v>
      </c>
      <c r="H58" s="38" t="s">
        <v>882</v>
      </c>
      <c r="I58" s="2">
        <f t="shared" si="2"/>
        <v>23000</v>
      </c>
      <c r="J58" s="49" t="str">
        <f t="shared" si="3"/>
        <v>13311</v>
      </c>
    </row>
    <row r="59" spans="1:12" ht="24.6" x14ac:dyDescent="0.3">
      <c r="A59" s="36">
        <v>46173</v>
      </c>
      <c r="B59" s="37" t="s">
        <v>1496</v>
      </c>
      <c r="C59" s="38" t="s">
        <v>15</v>
      </c>
      <c r="D59" s="19" t="s">
        <v>1501</v>
      </c>
      <c r="E59" s="175">
        <v>79091</v>
      </c>
      <c r="F59" s="174"/>
      <c r="G59" s="38" t="s">
        <v>195</v>
      </c>
      <c r="H59" s="38" t="s">
        <v>882</v>
      </c>
      <c r="I59" s="2">
        <f t="shared" si="2"/>
        <v>79091</v>
      </c>
      <c r="J59" s="49" t="str">
        <f t="shared" si="3"/>
        <v>13311</v>
      </c>
    </row>
    <row r="60" spans="1:12" ht="24.6" x14ac:dyDescent="0.3">
      <c r="A60" s="36">
        <v>46173</v>
      </c>
      <c r="B60" s="37" t="s">
        <v>1496</v>
      </c>
      <c r="C60" s="38" t="s">
        <v>15</v>
      </c>
      <c r="D60" s="19" t="s">
        <v>1502</v>
      </c>
      <c r="E60" s="175">
        <v>15936</v>
      </c>
      <c r="F60" s="174"/>
      <c r="G60" s="38" t="s">
        <v>195</v>
      </c>
      <c r="H60" s="38" t="s">
        <v>882</v>
      </c>
      <c r="I60" s="2">
        <f t="shared" si="2"/>
        <v>15936</v>
      </c>
      <c r="J60" s="49" t="str">
        <f t="shared" si="3"/>
        <v>13311</v>
      </c>
    </row>
    <row r="61" spans="1:12" ht="24.6" x14ac:dyDescent="0.3">
      <c r="A61" s="36">
        <v>46173</v>
      </c>
      <c r="B61" s="37" t="s">
        <v>1496</v>
      </c>
      <c r="C61" s="38" t="s">
        <v>15</v>
      </c>
      <c r="D61" s="19" t="s">
        <v>1503</v>
      </c>
      <c r="E61" s="175">
        <v>1199336</v>
      </c>
      <c r="F61" s="174"/>
      <c r="G61" s="38" t="s">
        <v>195</v>
      </c>
      <c r="H61" s="38" t="s">
        <v>882</v>
      </c>
      <c r="I61" s="2">
        <f t="shared" si="2"/>
        <v>1199336</v>
      </c>
      <c r="J61" s="49" t="str">
        <f t="shared" si="3"/>
        <v>13311</v>
      </c>
    </row>
    <row r="62" spans="1:12" ht="24.6" x14ac:dyDescent="0.3">
      <c r="A62" s="36">
        <v>46173</v>
      </c>
      <c r="B62" s="37" t="s">
        <v>1496</v>
      </c>
      <c r="C62" s="38" t="s">
        <v>15</v>
      </c>
      <c r="D62" s="19" t="s">
        <v>1504</v>
      </c>
      <c r="E62" s="175">
        <v>370370</v>
      </c>
      <c r="F62" s="174"/>
      <c r="G62" s="38" t="s">
        <v>195</v>
      </c>
      <c r="H62" s="38" t="s">
        <v>882</v>
      </c>
      <c r="I62" s="2">
        <f t="shared" si="2"/>
        <v>370370</v>
      </c>
      <c r="J62" s="49" t="str">
        <f t="shared" si="3"/>
        <v>13311</v>
      </c>
    </row>
    <row r="63" spans="1:12" ht="24.6" x14ac:dyDescent="0.3">
      <c r="A63" s="36">
        <v>46173</v>
      </c>
      <c r="B63" s="37" t="s">
        <v>1496</v>
      </c>
      <c r="C63" s="38" t="s">
        <v>15</v>
      </c>
      <c r="D63" s="19" t="s">
        <v>1094</v>
      </c>
      <c r="E63" s="175">
        <v>724400</v>
      </c>
      <c r="F63" s="174"/>
      <c r="G63" s="38" t="s">
        <v>195</v>
      </c>
      <c r="H63" s="38" t="s">
        <v>882</v>
      </c>
      <c r="I63" s="2">
        <f t="shared" si="2"/>
        <v>724400</v>
      </c>
      <c r="J63" s="49" t="str">
        <f t="shared" si="3"/>
        <v>13311</v>
      </c>
      <c r="K63" s="13"/>
    </row>
    <row r="64" spans="1:12" ht="24.6" x14ac:dyDescent="0.3">
      <c r="A64" s="36">
        <v>46173</v>
      </c>
      <c r="B64" s="37" t="s">
        <v>1496</v>
      </c>
      <c r="C64" s="38" t="s">
        <v>15</v>
      </c>
      <c r="D64" s="19" t="s">
        <v>1094</v>
      </c>
      <c r="E64" s="175">
        <v>21000</v>
      </c>
      <c r="F64" s="174"/>
      <c r="G64" s="38" t="s">
        <v>195</v>
      </c>
      <c r="H64" s="38" t="s">
        <v>882</v>
      </c>
      <c r="I64" s="2">
        <f t="shared" si="2"/>
        <v>21000</v>
      </c>
      <c r="J64" s="49" t="str">
        <f t="shared" si="3"/>
        <v>13311</v>
      </c>
      <c r="K64" s="13"/>
    </row>
    <row r="65" spans="1:11" ht="24.6" x14ac:dyDescent="0.3">
      <c r="A65" s="36">
        <v>46173</v>
      </c>
      <c r="B65" s="37" t="s">
        <v>1496</v>
      </c>
      <c r="C65" s="38" t="s">
        <v>15</v>
      </c>
      <c r="D65" s="19" t="s">
        <v>1505</v>
      </c>
      <c r="E65" s="175">
        <v>29704</v>
      </c>
      <c r="F65" s="174"/>
      <c r="G65" s="38" t="s">
        <v>195</v>
      </c>
      <c r="H65" s="38" t="s">
        <v>882</v>
      </c>
      <c r="I65" s="2">
        <f t="shared" si="2"/>
        <v>29704</v>
      </c>
      <c r="J65" s="49" t="str">
        <f t="shared" si="3"/>
        <v>13311</v>
      </c>
      <c r="K65" s="13"/>
    </row>
    <row r="66" spans="1:11" ht="24.6" x14ac:dyDescent="0.3">
      <c r="A66" s="36">
        <v>46173</v>
      </c>
      <c r="B66" s="37" t="s">
        <v>1496</v>
      </c>
      <c r="C66" s="38" t="s">
        <v>15</v>
      </c>
      <c r="D66" s="19" t="s">
        <v>1089</v>
      </c>
      <c r="E66" s="175">
        <v>442666</v>
      </c>
      <c r="F66" s="174"/>
      <c r="G66" s="38" t="s">
        <v>195</v>
      </c>
      <c r="H66" s="38" t="s">
        <v>882</v>
      </c>
      <c r="I66" s="2">
        <f t="shared" si="2"/>
        <v>442666</v>
      </c>
      <c r="J66" s="49" t="str">
        <f t="shared" si="3"/>
        <v>13311</v>
      </c>
    </row>
    <row r="67" spans="1:11" ht="24.6" x14ac:dyDescent="0.3">
      <c r="A67" s="36">
        <v>46173</v>
      </c>
      <c r="B67" s="37" t="s">
        <v>1496</v>
      </c>
      <c r="C67" s="38" t="s">
        <v>15</v>
      </c>
      <c r="D67" s="19" t="s">
        <v>1157</v>
      </c>
      <c r="E67" s="175">
        <v>238742</v>
      </c>
      <c r="F67" s="174"/>
      <c r="G67" s="38" t="s">
        <v>195</v>
      </c>
      <c r="H67" s="38" t="s">
        <v>882</v>
      </c>
      <c r="I67" s="2">
        <f t="shared" si="2"/>
        <v>238742</v>
      </c>
      <c r="J67" s="49" t="str">
        <f t="shared" si="3"/>
        <v>13311</v>
      </c>
    </row>
    <row r="68" spans="1:11" ht="24.6" x14ac:dyDescent="0.3">
      <c r="A68" s="36">
        <v>46173</v>
      </c>
      <c r="B68" s="37" t="s">
        <v>1496</v>
      </c>
      <c r="C68" s="38" t="s">
        <v>15</v>
      </c>
      <c r="D68" s="19" t="s">
        <v>1127</v>
      </c>
      <c r="E68" s="175">
        <v>2792640</v>
      </c>
      <c r="F68" s="174"/>
      <c r="G68" s="38" t="s">
        <v>195</v>
      </c>
      <c r="H68" s="38" t="s">
        <v>882</v>
      </c>
      <c r="I68" s="2">
        <f t="shared" si="2"/>
        <v>2792640</v>
      </c>
      <c r="J68" s="49" t="str">
        <f t="shared" si="3"/>
        <v>13311</v>
      </c>
    </row>
    <row r="69" spans="1:11" ht="24.6" x14ac:dyDescent="0.3">
      <c r="A69" s="36">
        <v>46173</v>
      </c>
      <c r="B69" s="37" t="s">
        <v>1496</v>
      </c>
      <c r="C69" s="38" t="s">
        <v>15</v>
      </c>
      <c r="D69" s="19" t="s">
        <v>1127</v>
      </c>
      <c r="E69" s="175">
        <v>23400</v>
      </c>
      <c r="F69" s="174"/>
      <c r="G69" s="38" t="s">
        <v>195</v>
      </c>
      <c r="H69" s="38" t="s">
        <v>882</v>
      </c>
      <c r="I69" s="2">
        <f t="shared" si="2"/>
        <v>23400</v>
      </c>
      <c r="J69" s="49" t="str">
        <f t="shared" si="3"/>
        <v>13311</v>
      </c>
    </row>
    <row r="70" spans="1:11" ht="24.6" x14ac:dyDescent="0.3">
      <c r="A70" s="36">
        <v>46173</v>
      </c>
      <c r="B70" s="37" t="s">
        <v>1496</v>
      </c>
      <c r="C70" s="38" t="s">
        <v>15</v>
      </c>
      <c r="D70" s="19" t="s">
        <v>828</v>
      </c>
      <c r="E70" s="175">
        <v>504482</v>
      </c>
      <c r="F70" s="174"/>
      <c r="G70" s="38" t="s">
        <v>195</v>
      </c>
      <c r="H70" s="38" t="s">
        <v>882</v>
      </c>
      <c r="I70" s="2">
        <f t="shared" si="2"/>
        <v>504482</v>
      </c>
      <c r="J70" s="49" t="str">
        <f t="shared" si="3"/>
        <v>13311</v>
      </c>
    </row>
    <row r="71" spans="1:11" ht="24.6" x14ac:dyDescent="0.3">
      <c r="A71" s="36">
        <v>46173</v>
      </c>
      <c r="B71" s="37" t="s">
        <v>1496</v>
      </c>
      <c r="C71" s="38" t="s">
        <v>15</v>
      </c>
      <c r="D71" s="19" t="s">
        <v>1506</v>
      </c>
      <c r="E71" s="175">
        <v>540000</v>
      </c>
      <c r="F71" s="174"/>
      <c r="G71" s="38" t="s">
        <v>195</v>
      </c>
      <c r="H71" s="38" t="s">
        <v>882</v>
      </c>
      <c r="I71" s="2">
        <f t="shared" si="2"/>
        <v>540000</v>
      </c>
      <c r="J71" s="49" t="str">
        <f t="shared" si="3"/>
        <v>13311</v>
      </c>
    </row>
    <row r="72" spans="1:11" ht="24.6" x14ac:dyDescent="0.3">
      <c r="A72" s="36">
        <v>46173</v>
      </c>
      <c r="B72" s="37" t="s">
        <v>1496</v>
      </c>
      <c r="C72" s="38" t="s">
        <v>15</v>
      </c>
      <c r="D72" s="19" t="s">
        <v>1507</v>
      </c>
      <c r="E72" s="175">
        <v>844444</v>
      </c>
      <c r="F72" s="174"/>
      <c r="G72" s="38" t="s">
        <v>195</v>
      </c>
      <c r="H72" s="38" t="s">
        <v>882</v>
      </c>
      <c r="I72" s="2">
        <f t="shared" si="2"/>
        <v>844444</v>
      </c>
      <c r="J72" s="49" t="str">
        <f t="shared" si="3"/>
        <v>13311</v>
      </c>
    </row>
    <row r="73" spans="1:11" ht="24.6" x14ac:dyDescent="0.3">
      <c r="A73" s="36">
        <v>46173</v>
      </c>
      <c r="B73" s="37" t="s">
        <v>1496</v>
      </c>
      <c r="C73" s="38" t="s">
        <v>15</v>
      </c>
      <c r="D73" s="19" t="s">
        <v>886</v>
      </c>
      <c r="E73" s="175">
        <v>57000</v>
      </c>
      <c r="F73" s="174"/>
      <c r="G73" s="38" t="s">
        <v>195</v>
      </c>
      <c r="H73" s="38" t="s">
        <v>882</v>
      </c>
      <c r="I73" s="2">
        <f t="shared" si="2"/>
        <v>57000</v>
      </c>
      <c r="J73" s="49" t="str">
        <f t="shared" si="3"/>
        <v>13311</v>
      </c>
    </row>
    <row r="74" spans="1:11" ht="24.6" x14ac:dyDescent="0.3">
      <c r="A74" s="36">
        <v>46173</v>
      </c>
      <c r="B74" s="37" t="s">
        <v>1496</v>
      </c>
      <c r="C74" s="38" t="s">
        <v>15</v>
      </c>
      <c r="D74" s="19" t="s">
        <v>1089</v>
      </c>
      <c r="E74" s="175">
        <v>157111</v>
      </c>
      <c r="F74" s="174"/>
      <c r="G74" s="38" t="s">
        <v>195</v>
      </c>
      <c r="H74" s="38" t="s">
        <v>882</v>
      </c>
      <c r="I74" s="2">
        <f t="shared" si="2"/>
        <v>157111</v>
      </c>
      <c r="J74" s="49" t="str">
        <f t="shared" si="3"/>
        <v>13311</v>
      </c>
    </row>
    <row r="75" spans="1:11" ht="24.6" x14ac:dyDescent="0.3">
      <c r="A75" s="36">
        <v>46173</v>
      </c>
      <c r="B75" s="37" t="s">
        <v>1496</v>
      </c>
      <c r="C75" s="38" t="s">
        <v>15</v>
      </c>
      <c r="D75" s="19" t="s">
        <v>1089</v>
      </c>
      <c r="E75" s="175">
        <v>162963</v>
      </c>
      <c r="F75" s="174"/>
      <c r="G75" s="38" t="s">
        <v>195</v>
      </c>
      <c r="H75" s="38" t="s">
        <v>882</v>
      </c>
      <c r="I75" s="2">
        <f t="shared" si="2"/>
        <v>162963</v>
      </c>
      <c r="J75" s="49" t="str">
        <f t="shared" si="3"/>
        <v>13311</v>
      </c>
    </row>
    <row r="76" spans="1:11" ht="24.6" x14ac:dyDescent="0.3">
      <c r="A76" s="36">
        <v>46173</v>
      </c>
      <c r="B76" s="37" t="s">
        <v>1496</v>
      </c>
      <c r="C76" s="38" t="s">
        <v>15</v>
      </c>
      <c r="D76" s="19" t="s">
        <v>1508</v>
      </c>
      <c r="E76" s="175">
        <v>555556</v>
      </c>
      <c r="F76" s="174"/>
      <c r="G76" s="38" t="s">
        <v>195</v>
      </c>
      <c r="H76" s="38" t="s">
        <v>882</v>
      </c>
      <c r="I76" s="2">
        <f t="shared" si="2"/>
        <v>555556</v>
      </c>
      <c r="J76" s="49" t="str">
        <f t="shared" si="3"/>
        <v>13311</v>
      </c>
    </row>
    <row r="77" spans="1:11" ht="24.6" x14ac:dyDescent="0.3">
      <c r="A77" s="36">
        <v>46173</v>
      </c>
      <c r="B77" s="37" t="s">
        <v>1496</v>
      </c>
      <c r="C77" s="38" t="s">
        <v>15</v>
      </c>
      <c r="D77" s="19" t="s">
        <v>1509</v>
      </c>
      <c r="E77" s="175">
        <v>1000000</v>
      </c>
      <c r="F77" s="174"/>
      <c r="G77" s="38" t="s">
        <v>195</v>
      </c>
      <c r="H77" s="38" t="s">
        <v>882</v>
      </c>
      <c r="I77" s="2">
        <f t="shared" si="2"/>
        <v>1000000</v>
      </c>
      <c r="J77" s="49" t="str">
        <f t="shared" si="3"/>
        <v>13311</v>
      </c>
    </row>
    <row r="78" spans="1:11" ht="24.6" x14ac:dyDescent="0.3">
      <c r="A78" s="36">
        <v>46173</v>
      </c>
      <c r="B78" s="37" t="s">
        <v>1496</v>
      </c>
      <c r="C78" s="38" t="s">
        <v>15</v>
      </c>
      <c r="D78" s="19" t="s">
        <v>1186</v>
      </c>
      <c r="E78" s="175">
        <v>93090</v>
      </c>
      <c r="F78" s="174"/>
      <c r="G78" s="38" t="s">
        <v>195</v>
      </c>
      <c r="H78" s="38" t="s">
        <v>882</v>
      </c>
      <c r="I78" s="2">
        <f t="shared" si="2"/>
        <v>93090</v>
      </c>
      <c r="J78" s="49" t="str">
        <f t="shared" si="3"/>
        <v>13311</v>
      </c>
    </row>
    <row r="79" spans="1:11" ht="24.6" x14ac:dyDescent="0.3">
      <c r="A79" s="36">
        <v>46173</v>
      </c>
      <c r="B79" s="37" t="s">
        <v>1496</v>
      </c>
      <c r="C79" s="38" t="s">
        <v>15</v>
      </c>
      <c r="D79" s="19" t="s">
        <v>1510</v>
      </c>
      <c r="E79" s="175">
        <v>36830</v>
      </c>
      <c r="F79" s="174"/>
      <c r="G79" s="38" t="s">
        <v>195</v>
      </c>
      <c r="H79" s="38" t="s">
        <v>882</v>
      </c>
      <c r="I79" s="2">
        <f t="shared" si="2"/>
        <v>36830</v>
      </c>
      <c r="J79" s="49" t="str">
        <f t="shared" si="3"/>
        <v>13311</v>
      </c>
    </row>
    <row r="80" spans="1:11" ht="24.6" x14ac:dyDescent="0.3">
      <c r="A80" s="36">
        <v>46173</v>
      </c>
      <c r="B80" s="37" t="s">
        <v>1496</v>
      </c>
      <c r="C80" s="38" t="s">
        <v>15</v>
      </c>
      <c r="D80" s="19" t="s">
        <v>1510</v>
      </c>
      <c r="E80" s="175">
        <v>98800</v>
      </c>
      <c r="F80" s="174"/>
      <c r="G80" s="38" t="s">
        <v>195</v>
      </c>
      <c r="H80" s="38" t="s">
        <v>882</v>
      </c>
      <c r="I80" s="2">
        <f t="shared" ref="I80:I143" si="4">IF(LEN(A80)=5,E80,0)</f>
        <v>98800</v>
      </c>
      <c r="J80" s="49" t="str">
        <f t="shared" ref="J80:J143" si="5">IF(LEFT(A80,11)="Tài khoản: ",MID(A80,12,5),J79)</f>
        <v>13311</v>
      </c>
    </row>
    <row r="81" spans="1:11" ht="24.6" x14ac:dyDescent="0.3">
      <c r="A81" s="36">
        <v>46173</v>
      </c>
      <c r="B81" s="37" t="s">
        <v>1496</v>
      </c>
      <c r="C81" s="38" t="s">
        <v>15</v>
      </c>
      <c r="D81" s="19" t="s">
        <v>1510</v>
      </c>
      <c r="E81" s="175">
        <v>14950</v>
      </c>
      <c r="F81" s="174"/>
      <c r="G81" s="38" t="s">
        <v>195</v>
      </c>
      <c r="H81" s="38" t="s">
        <v>882</v>
      </c>
      <c r="I81" s="2">
        <f t="shared" si="4"/>
        <v>14950</v>
      </c>
      <c r="J81" s="49" t="str">
        <f t="shared" si="5"/>
        <v>13311</v>
      </c>
    </row>
    <row r="82" spans="1:11" ht="24.6" x14ac:dyDescent="0.3">
      <c r="A82" s="36">
        <v>46173</v>
      </c>
      <c r="B82" s="37" t="s">
        <v>1496</v>
      </c>
      <c r="C82" s="38" t="s">
        <v>15</v>
      </c>
      <c r="D82" s="19" t="s">
        <v>1109</v>
      </c>
      <c r="E82" s="175">
        <v>872340</v>
      </c>
      <c r="F82" s="174"/>
      <c r="G82" s="38" t="s">
        <v>195</v>
      </c>
      <c r="H82" s="38" t="s">
        <v>882</v>
      </c>
      <c r="I82" s="2">
        <f t="shared" si="4"/>
        <v>872340</v>
      </c>
      <c r="J82" s="49" t="str">
        <f t="shared" si="5"/>
        <v>13311</v>
      </c>
    </row>
    <row r="83" spans="1:11" ht="24.6" x14ac:dyDescent="0.3">
      <c r="A83" s="36">
        <v>46173</v>
      </c>
      <c r="B83" s="37" t="s">
        <v>1496</v>
      </c>
      <c r="C83" s="38" t="s">
        <v>15</v>
      </c>
      <c r="D83" s="19" t="s">
        <v>1109</v>
      </c>
      <c r="E83" s="175">
        <v>642872</v>
      </c>
      <c r="F83" s="174"/>
      <c r="G83" s="38" t="s">
        <v>195</v>
      </c>
      <c r="H83" s="38" t="s">
        <v>882</v>
      </c>
      <c r="I83" s="2">
        <f t="shared" si="4"/>
        <v>642872</v>
      </c>
      <c r="J83" s="49" t="str">
        <f t="shared" si="5"/>
        <v>13311</v>
      </c>
    </row>
    <row r="84" spans="1:11" ht="24.6" x14ac:dyDescent="0.3">
      <c r="A84" s="36">
        <v>46173</v>
      </c>
      <c r="B84" s="37" t="s">
        <v>1496</v>
      </c>
      <c r="C84" s="38" t="s">
        <v>15</v>
      </c>
      <c r="D84" s="19" t="s">
        <v>1109</v>
      </c>
      <c r="E84" s="175">
        <v>214400</v>
      </c>
      <c r="F84" s="174"/>
      <c r="G84" s="38" t="s">
        <v>195</v>
      </c>
      <c r="H84" s="38" t="s">
        <v>882</v>
      </c>
      <c r="I84" s="2">
        <f t="shared" si="4"/>
        <v>214400</v>
      </c>
      <c r="J84" s="49" t="str">
        <f t="shared" si="5"/>
        <v>13311</v>
      </c>
    </row>
    <row r="85" spans="1:11" ht="24.6" x14ac:dyDescent="0.3">
      <c r="A85" s="36">
        <v>46173</v>
      </c>
      <c r="B85" s="37" t="s">
        <v>1496</v>
      </c>
      <c r="C85" s="38" t="s">
        <v>15</v>
      </c>
      <c r="D85" s="19" t="s">
        <v>1109</v>
      </c>
      <c r="E85" s="175">
        <v>157942</v>
      </c>
      <c r="F85" s="174"/>
      <c r="G85" s="38" t="s">
        <v>195</v>
      </c>
      <c r="H85" s="38" t="s">
        <v>882</v>
      </c>
      <c r="I85" s="2">
        <f t="shared" si="4"/>
        <v>157942</v>
      </c>
      <c r="J85" s="49" t="str">
        <f t="shared" si="5"/>
        <v>13311</v>
      </c>
    </row>
    <row r="86" spans="1:11" ht="24.6" x14ac:dyDescent="0.3">
      <c r="A86" s="36">
        <v>46173</v>
      </c>
      <c r="B86" s="37" t="s">
        <v>1496</v>
      </c>
      <c r="C86" s="38" t="s">
        <v>15</v>
      </c>
      <c r="D86" s="19" t="s">
        <v>1109</v>
      </c>
      <c r="E86" s="175">
        <v>64990</v>
      </c>
      <c r="F86" s="174"/>
      <c r="G86" s="38" t="s">
        <v>195</v>
      </c>
      <c r="H86" s="38" t="s">
        <v>882</v>
      </c>
      <c r="I86" s="2">
        <f t="shared" si="4"/>
        <v>64990</v>
      </c>
      <c r="J86" s="49" t="str">
        <f t="shared" si="5"/>
        <v>13311</v>
      </c>
    </row>
    <row r="87" spans="1:11" ht="24.6" x14ac:dyDescent="0.3">
      <c r="A87" s="36">
        <v>46173</v>
      </c>
      <c r="B87" s="37" t="s">
        <v>1496</v>
      </c>
      <c r="C87" s="38" t="s">
        <v>15</v>
      </c>
      <c r="D87" s="19" t="s">
        <v>1185</v>
      </c>
      <c r="E87" s="175">
        <v>1777778</v>
      </c>
      <c r="F87" s="174"/>
      <c r="G87" s="38" t="s">
        <v>195</v>
      </c>
      <c r="H87" s="38" t="s">
        <v>882</v>
      </c>
      <c r="I87" s="2">
        <f t="shared" si="4"/>
        <v>1777778</v>
      </c>
      <c r="J87" s="49" t="str">
        <f t="shared" si="5"/>
        <v>13311</v>
      </c>
    </row>
    <row r="88" spans="1:11" ht="24.6" x14ac:dyDescent="0.3">
      <c r="A88" s="36">
        <v>46173</v>
      </c>
      <c r="B88" s="37" t="s">
        <v>1496</v>
      </c>
      <c r="C88" s="38" t="s">
        <v>15</v>
      </c>
      <c r="D88" s="19" t="s">
        <v>1105</v>
      </c>
      <c r="E88" s="175">
        <v>2320000</v>
      </c>
      <c r="F88" s="174"/>
      <c r="G88" s="38" t="s">
        <v>195</v>
      </c>
      <c r="H88" s="38" t="s">
        <v>882</v>
      </c>
      <c r="I88" s="2">
        <f t="shared" si="4"/>
        <v>2320000</v>
      </c>
      <c r="J88" s="49" t="str">
        <f t="shared" si="5"/>
        <v>13311</v>
      </c>
    </row>
    <row r="89" spans="1:11" ht="24.6" x14ac:dyDescent="0.3">
      <c r="A89" s="36">
        <v>46173</v>
      </c>
      <c r="B89" s="37" t="s">
        <v>1496</v>
      </c>
      <c r="C89" s="38" t="s">
        <v>15</v>
      </c>
      <c r="D89" s="19" t="s">
        <v>1180</v>
      </c>
      <c r="E89" s="175">
        <v>3200000</v>
      </c>
      <c r="F89" s="174"/>
      <c r="G89" s="38" t="s">
        <v>195</v>
      </c>
      <c r="H89" s="38" t="s">
        <v>882</v>
      </c>
      <c r="I89" s="2">
        <f t="shared" si="4"/>
        <v>3200000</v>
      </c>
      <c r="J89" s="49" t="str">
        <f t="shared" si="5"/>
        <v>13311</v>
      </c>
    </row>
    <row r="90" spans="1:11" ht="24.6" x14ac:dyDescent="0.3">
      <c r="A90" s="36">
        <v>46173</v>
      </c>
      <c r="B90" s="37" t="s">
        <v>1496</v>
      </c>
      <c r="C90" s="38" t="s">
        <v>15</v>
      </c>
      <c r="D90" s="19" t="s">
        <v>1511</v>
      </c>
      <c r="E90" s="175">
        <v>722960</v>
      </c>
      <c r="F90" s="174"/>
      <c r="G90" s="38" t="s">
        <v>195</v>
      </c>
      <c r="H90" s="38" t="s">
        <v>882</v>
      </c>
      <c r="I90" s="2">
        <f t="shared" si="4"/>
        <v>722960</v>
      </c>
      <c r="J90" s="49" t="str">
        <f t="shared" si="5"/>
        <v>13311</v>
      </c>
    </row>
    <row r="91" spans="1:11" ht="24.6" x14ac:dyDescent="0.3">
      <c r="A91" s="36">
        <v>46173</v>
      </c>
      <c r="B91" s="37" t="s">
        <v>1496</v>
      </c>
      <c r="C91" s="38" t="s">
        <v>15</v>
      </c>
      <c r="D91" s="19" t="s">
        <v>1511</v>
      </c>
      <c r="E91" s="175">
        <v>22000</v>
      </c>
      <c r="F91" s="174"/>
      <c r="G91" s="38" t="s">
        <v>195</v>
      </c>
      <c r="H91" s="38" t="s">
        <v>882</v>
      </c>
      <c r="I91" s="2">
        <f t="shared" si="4"/>
        <v>22000</v>
      </c>
      <c r="J91" s="49" t="str">
        <f t="shared" si="5"/>
        <v>13311</v>
      </c>
      <c r="K91" s="55"/>
    </row>
    <row r="92" spans="1:11" ht="24.6" x14ac:dyDescent="0.3">
      <c r="A92" s="36">
        <v>46173</v>
      </c>
      <c r="B92" s="37" t="s">
        <v>1496</v>
      </c>
      <c r="C92" s="38" t="s">
        <v>15</v>
      </c>
      <c r="D92" s="19" t="s">
        <v>1511</v>
      </c>
      <c r="E92" s="175">
        <v>217925</v>
      </c>
      <c r="F92" s="174"/>
      <c r="G92" s="38" t="s">
        <v>195</v>
      </c>
      <c r="H92" s="38" t="s">
        <v>882</v>
      </c>
      <c r="I92" s="2">
        <f t="shared" si="4"/>
        <v>217925</v>
      </c>
      <c r="J92" s="49" t="str">
        <f t="shared" si="5"/>
        <v>13311</v>
      </c>
    </row>
    <row r="93" spans="1:11" ht="24.6" x14ac:dyDescent="0.3">
      <c r="A93" s="36">
        <v>46173</v>
      </c>
      <c r="B93" s="37" t="s">
        <v>1496</v>
      </c>
      <c r="C93" s="38" t="s">
        <v>15</v>
      </c>
      <c r="D93" s="19" t="s">
        <v>1511</v>
      </c>
      <c r="E93" s="175">
        <v>5546</v>
      </c>
      <c r="F93" s="174"/>
      <c r="G93" s="38" t="s">
        <v>195</v>
      </c>
      <c r="H93" s="38" t="s">
        <v>882</v>
      </c>
      <c r="I93" s="2">
        <f t="shared" si="4"/>
        <v>5546</v>
      </c>
      <c r="J93" s="49" t="str">
        <f t="shared" si="5"/>
        <v>13311</v>
      </c>
    </row>
    <row r="94" spans="1:11" ht="24.6" x14ac:dyDescent="0.3">
      <c r="A94" s="36">
        <v>46173</v>
      </c>
      <c r="B94" s="37" t="s">
        <v>1496</v>
      </c>
      <c r="C94" s="38" t="s">
        <v>15</v>
      </c>
      <c r="D94" s="19" t="s">
        <v>1511</v>
      </c>
      <c r="E94" s="175">
        <v>1459280</v>
      </c>
      <c r="F94" s="174"/>
      <c r="G94" s="38" t="s">
        <v>195</v>
      </c>
      <c r="H94" s="38" t="s">
        <v>882</v>
      </c>
      <c r="I94" s="2">
        <f t="shared" si="4"/>
        <v>1459280</v>
      </c>
      <c r="J94" s="49" t="str">
        <f t="shared" si="5"/>
        <v>13311</v>
      </c>
    </row>
    <row r="95" spans="1:11" ht="24.6" x14ac:dyDescent="0.3">
      <c r="A95" s="36">
        <v>46173</v>
      </c>
      <c r="B95" s="37" t="s">
        <v>1496</v>
      </c>
      <c r="C95" s="38" t="s">
        <v>15</v>
      </c>
      <c r="D95" s="19" t="s">
        <v>1154</v>
      </c>
      <c r="E95" s="175">
        <v>81481</v>
      </c>
      <c r="F95" s="174"/>
      <c r="G95" s="38" t="s">
        <v>195</v>
      </c>
      <c r="H95" s="38" t="s">
        <v>882</v>
      </c>
      <c r="I95" s="2">
        <f t="shared" si="4"/>
        <v>81481</v>
      </c>
      <c r="J95" s="49" t="str">
        <f t="shared" si="5"/>
        <v>13311</v>
      </c>
    </row>
    <row r="96" spans="1:11" ht="24.6" x14ac:dyDescent="0.3">
      <c r="A96" s="36">
        <v>46173</v>
      </c>
      <c r="B96" s="37" t="s">
        <v>1496</v>
      </c>
      <c r="C96" s="38" t="s">
        <v>15</v>
      </c>
      <c r="D96" s="19" t="s">
        <v>1054</v>
      </c>
      <c r="E96" s="175">
        <v>94704</v>
      </c>
      <c r="F96" s="174"/>
      <c r="G96" s="38" t="s">
        <v>195</v>
      </c>
      <c r="H96" s="38" t="s">
        <v>882</v>
      </c>
      <c r="I96" s="2">
        <f t="shared" si="4"/>
        <v>94704</v>
      </c>
      <c r="J96" s="49" t="str">
        <f t="shared" si="5"/>
        <v>13311</v>
      </c>
    </row>
    <row r="97" spans="1:10" ht="24.6" x14ac:dyDescent="0.3">
      <c r="A97" s="36">
        <v>46173</v>
      </c>
      <c r="B97" s="37" t="s">
        <v>1496</v>
      </c>
      <c r="C97" s="38" t="s">
        <v>15</v>
      </c>
      <c r="D97" s="19" t="s">
        <v>1056</v>
      </c>
      <c r="E97" s="175">
        <v>17037</v>
      </c>
      <c r="F97" s="174"/>
      <c r="G97" s="38" t="s">
        <v>195</v>
      </c>
      <c r="H97" s="38" t="s">
        <v>882</v>
      </c>
      <c r="I97" s="2">
        <f t="shared" si="4"/>
        <v>17037</v>
      </c>
      <c r="J97" s="49" t="str">
        <f t="shared" si="5"/>
        <v>13311</v>
      </c>
    </row>
    <row r="98" spans="1:10" ht="24.6" x14ac:dyDescent="0.3">
      <c r="A98" s="36">
        <v>46173</v>
      </c>
      <c r="B98" s="37" t="s">
        <v>1496</v>
      </c>
      <c r="C98" s="38" t="s">
        <v>15</v>
      </c>
      <c r="D98" s="19" t="s">
        <v>1068</v>
      </c>
      <c r="E98" s="175">
        <v>43704</v>
      </c>
      <c r="F98" s="174"/>
      <c r="G98" s="38" t="s">
        <v>195</v>
      </c>
      <c r="H98" s="38" t="s">
        <v>882</v>
      </c>
      <c r="I98" s="2">
        <f t="shared" si="4"/>
        <v>43704</v>
      </c>
      <c r="J98" s="49" t="str">
        <f t="shared" si="5"/>
        <v>13311</v>
      </c>
    </row>
    <row r="99" spans="1:10" ht="24.6" x14ac:dyDescent="0.3">
      <c r="A99" s="36">
        <v>46173</v>
      </c>
      <c r="B99" s="37" t="s">
        <v>1496</v>
      </c>
      <c r="C99" s="38" t="s">
        <v>15</v>
      </c>
      <c r="D99" s="19" t="s">
        <v>1079</v>
      </c>
      <c r="E99" s="175">
        <v>37037</v>
      </c>
      <c r="F99" s="174"/>
      <c r="G99" s="38" t="s">
        <v>195</v>
      </c>
      <c r="H99" s="38" t="s">
        <v>882</v>
      </c>
      <c r="I99" s="2">
        <f t="shared" si="4"/>
        <v>37037</v>
      </c>
      <c r="J99" s="49" t="str">
        <f t="shared" si="5"/>
        <v>13311</v>
      </c>
    </row>
    <row r="100" spans="1:10" ht="24.6" x14ac:dyDescent="0.3">
      <c r="A100" s="36">
        <v>46173</v>
      </c>
      <c r="B100" s="37" t="s">
        <v>1496</v>
      </c>
      <c r="C100" s="38" t="s">
        <v>15</v>
      </c>
      <c r="D100" s="19" t="s">
        <v>1512</v>
      </c>
      <c r="E100" s="175">
        <v>36180</v>
      </c>
      <c r="F100" s="174"/>
      <c r="G100" s="38" t="s">
        <v>195</v>
      </c>
      <c r="H100" s="38" t="s">
        <v>882</v>
      </c>
      <c r="I100" s="2">
        <f t="shared" si="4"/>
        <v>36180</v>
      </c>
      <c r="J100" s="49" t="str">
        <f t="shared" si="5"/>
        <v>13311</v>
      </c>
    </row>
    <row r="101" spans="1:10" ht="24.6" x14ac:dyDescent="0.3">
      <c r="A101" s="36">
        <v>46173</v>
      </c>
      <c r="B101" s="37" t="s">
        <v>1496</v>
      </c>
      <c r="C101" s="38" t="s">
        <v>15</v>
      </c>
      <c r="D101" s="19" t="s">
        <v>1131</v>
      </c>
      <c r="E101" s="175">
        <v>1900</v>
      </c>
      <c r="F101" s="174"/>
      <c r="G101" s="38" t="s">
        <v>195</v>
      </c>
      <c r="H101" s="38" t="s">
        <v>882</v>
      </c>
      <c r="I101" s="2">
        <f t="shared" si="4"/>
        <v>1900</v>
      </c>
      <c r="J101" s="49" t="str">
        <f t="shared" si="5"/>
        <v>13311</v>
      </c>
    </row>
    <row r="102" spans="1:10" ht="24.6" x14ac:dyDescent="0.3">
      <c r="A102" s="36">
        <v>46173</v>
      </c>
      <c r="B102" s="37" t="s">
        <v>1496</v>
      </c>
      <c r="C102" s="38" t="s">
        <v>15</v>
      </c>
      <c r="D102" s="19" t="s">
        <v>1513</v>
      </c>
      <c r="E102" s="175">
        <v>1609090</v>
      </c>
      <c r="F102" s="174"/>
      <c r="G102" s="38" t="s">
        <v>195</v>
      </c>
      <c r="H102" s="38" t="s">
        <v>882</v>
      </c>
      <c r="I102" s="2">
        <f t="shared" si="4"/>
        <v>1609090</v>
      </c>
      <c r="J102" s="49" t="str">
        <f t="shared" si="5"/>
        <v>13311</v>
      </c>
    </row>
    <row r="103" spans="1:10" ht="24.6" x14ac:dyDescent="0.3">
      <c r="A103" s="36">
        <v>46173</v>
      </c>
      <c r="B103" s="37" t="s">
        <v>1496</v>
      </c>
      <c r="C103" s="38" t="s">
        <v>15</v>
      </c>
      <c r="D103" s="19" t="s">
        <v>1514</v>
      </c>
      <c r="E103" s="175">
        <v>1991600</v>
      </c>
      <c r="F103" s="174"/>
      <c r="G103" s="38" t="s">
        <v>195</v>
      </c>
      <c r="H103" s="38" t="s">
        <v>882</v>
      </c>
      <c r="I103" s="2">
        <f t="shared" si="4"/>
        <v>1991600</v>
      </c>
      <c r="J103" s="49" t="str">
        <f t="shared" si="5"/>
        <v>13311</v>
      </c>
    </row>
    <row r="104" spans="1:10" ht="24.6" x14ac:dyDescent="0.3">
      <c r="A104" s="36">
        <v>46173</v>
      </c>
      <c r="B104" s="37" t="s">
        <v>1496</v>
      </c>
      <c r="C104" s="38" t="s">
        <v>15</v>
      </c>
      <c r="D104" s="19" t="s">
        <v>1061</v>
      </c>
      <c r="E104" s="175">
        <v>308000</v>
      </c>
      <c r="F104" s="174"/>
      <c r="G104" s="38" t="s">
        <v>195</v>
      </c>
      <c r="H104" s="38" t="s">
        <v>882</v>
      </c>
      <c r="I104" s="2">
        <f t="shared" si="4"/>
        <v>308000</v>
      </c>
      <c r="J104" s="49" t="str">
        <f t="shared" si="5"/>
        <v>13311</v>
      </c>
    </row>
    <row r="105" spans="1:10" ht="24.6" x14ac:dyDescent="0.3">
      <c r="A105" s="36">
        <v>46173</v>
      </c>
      <c r="B105" s="37" t="s">
        <v>1496</v>
      </c>
      <c r="C105" s="38" t="s">
        <v>15</v>
      </c>
      <c r="D105" s="19" t="s">
        <v>1061</v>
      </c>
      <c r="E105" s="175">
        <v>1056000</v>
      </c>
      <c r="F105" s="174"/>
      <c r="G105" s="38" t="s">
        <v>195</v>
      </c>
      <c r="H105" s="38" t="s">
        <v>882</v>
      </c>
      <c r="I105" s="2">
        <f t="shared" si="4"/>
        <v>1056000</v>
      </c>
      <c r="J105" s="49" t="str">
        <f t="shared" si="5"/>
        <v>13311</v>
      </c>
    </row>
    <row r="106" spans="1:10" ht="24.6" x14ac:dyDescent="0.3">
      <c r="A106" s="36">
        <v>46173</v>
      </c>
      <c r="B106" s="37" t="s">
        <v>1496</v>
      </c>
      <c r="C106" s="38" t="s">
        <v>15</v>
      </c>
      <c r="D106" s="19" t="s">
        <v>1515</v>
      </c>
      <c r="E106" s="175">
        <v>1164000</v>
      </c>
      <c r="F106" s="174"/>
      <c r="G106" s="38" t="s">
        <v>195</v>
      </c>
      <c r="H106" s="38" t="s">
        <v>882</v>
      </c>
      <c r="I106" s="2">
        <f t="shared" si="4"/>
        <v>1164000</v>
      </c>
      <c r="J106" s="49" t="str">
        <f t="shared" si="5"/>
        <v>13311</v>
      </c>
    </row>
    <row r="107" spans="1:10" ht="24.6" x14ac:dyDescent="0.3">
      <c r="A107" s="36">
        <v>46173</v>
      </c>
      <c r="B107" s="37" t="s">
        <v>1496</v>
      </c>
      <c r="C107" s="38" t="s">
        <v>15</v>
      </c>
      <c r="D107" s="19" t="s">
        <v>1516</v>
      </c>
      <c r="E107" s="175">
        <v>485186</v>
      </c>
      <c r="F107" s="174"/>
      <c r="G107" s="38" t="s">
        <v>195</v>
      </c>
      <c r="H107" s="38" t="s">
        <v>882</v>
      </c>
      <c r="I107" s="2">
        <f t="shared" si="4"/>
        <v>485186</v>
      </c>
      <c r="J107" s="49" t="str">
        <f t="shared" si="5"/>
        <v>13311</v>
      </c>
    </row>
    <row r="108" spans="1:10" ht="24.6" x14ac:dyDescent="0.3">
      <c r="A108" s="36">
        <v>46173</v>
      </c>
      <c r="B108" s="37" t="s">
        <v>1496</v>
      </c>
      <c r="C108" s="38" t="s">
        <v>15</v>
      </c>
      <c r="D108" s="19" t="s">
        <v>886</v>
      </c>
      <c r="E108" s="175">
        <v>46200</v>
      </c>
      <c r="F108" s="174"/>
      <c r="G108" s="38" t="s">
        <v>195</v>
      </c>
      <c r="H108" s="38" t="s">
        <v>882</v>
      </c>
      <c r="I108" s="2">
        <f t="shared" si="4"/>
        <v>46200</v>
      </c>
      <c r="J108" s="49" t="str">
        <f t="shared" si="5"/>
        <v>13311</v>
      </c>
    </row>
    <row r="109" spans="1:10" ht="24.6" x14ac:dyDescent="0.3">
      <c r="A109" s="36">
        <v>46173</v>
      </c>
      <c r="B109" s="37" t="s">
        <v>1496</v>
      </c>
      <c r="C109" s="38" t="s">
        <v>15</v>
      </c>
      <c r="D109" s="19" t="s">
        <v>886</v>
      </c>
      <c r="E109" s="175">
        <v>64680</v>
      </c>
      <c r="F109" s="174"/>
      <c r="G109" s="38" t="s">
        <v>195</v>
      </c>
      <c r="H109" s="38" t="s">
        <v>882</v>
      </c>
      <c r="I109" s="2">
        <f t="shared" si="4"/>
        <v>64680</v>
      </c>
      <c r="J109" s="49" t="str">
        <f t="shared" si="5"/>
        <v>13311</v>
      </c>
    </row>
    <row r="110" spans="1:10" ht="24.6" x14ac:dyDescent="0.3">
      <c r="A110" s="36">
        <v>46173</v>
      </c>
      <c r="B110" s="37" t="s">
        <v>1496</v>
      </c>
      <c r="C110" s="38" t="s">
        <v>15</v>
      </c>
      <c r="D110" s="19" t="s">
        <v>1517</v>
      </c>
      <c r="E110" s="175">
        <v>2624000</v>
      </c>
      <c r="F110" s="174"/>
      <c r="G110" s="38" t="s">
        <v>195</v>
      </c>
      <c r="H110" s="38" t="s">
        <v>882</v>
      </c>
      <c r="I110" s="2">
        <f t="shared" si="4"/>
        <v>2624000</v>
      </c>
      <c r="J110" s="49" t="str">
        <f t="shared" si="5"/>
        <v>13311</v>
      </c>
    </row>
    <row r="111" spans="1:10" ht="24.6" x14ac:dyDescent="0.3">
      <c r="A111" s="36">
        <v>46173</v>
      </c>
      <c r="B111" s="37" t="s">
        <v>1496</v>
      </c>
      <c r="C111" s="38" t="s">
        <v>15</v>
      </c>
      <c r="D111" s="19" t="s">
        <v>1518</v>
      </c>
      <c r="E111" s="175">
        <v>1304000</v>
      </c>
      <c r="F111" s="174"/>
      <c r="G111" s="38" t="s">
        <v>195</v>
      </c>
      <c r="H111" s="38" t="s">
        <v>882</v>
      </c>
      <c r="I111" s="2">
        <f t="shared" si="4"/>
        <v>1304000</v>
      </c>
      <c r="J111" s="49" t="str">
        <f t="shared" si="5"/>
        <v>13311</v>
      </c>
    </row>
    <row r="112" spans="1:10" ht="24.6" x14ac:dyDescent="0.3">
      <c r="A112" s="36">
        <v>46173</v>
      </c>
      <c r="B112" s="37" t="s">
        <v>1496</v>
      </c>
      <c r="C112" s="38" t="s">
        <v>15</v>
      </c>
      <c r="D112" s="19" t="s">
        <v>1519</v>
      </c>
      <c r="E112" s="175">
        <v>2916000</v>
      </c>
      <c r="F112" s="174"/>
      <c r="G112" s="38" t="s">
        <v>195</v>
      </c>
      <c r="H112" s="38" t="s">
        <v>882</v>
      </c>
      <c r="I112" s="2">
        <f t="shared" si="4"/>
        <v>2916000</v>
      </c>
      <c r="J112" s="49" t="str">
        <f t="shared" si="5"/>
        <v>13311</v>
      </c>
    </row>
    <row r="113" spans="1:10" ht="24.6" x14ac:dyDescent="0.3">
      <c r="A113" s="36">
        <v>46173</v>
      </c>
      <c r="B113" s="37" t="s">
        <v>1496</v>
      </c>
      <c r="C113" s="38" t="s">
        <v>15</v>
      </c>
      <c r="D113" s="19" t="s">
        <v>1094</v>
      </c>
      <c r="E113" s="175">
        <v>855719</v>
      </c>
      <c r="F113" s="174"/>
      <c r="G113" s="38" t="s">
        <v>195</v>
      </c>
      <c r="H113" s="38" t="s">
        <v>882</v>
      </c>
      <c r="I113" s="2">
        <f t="shared" si="4"/>
        <v>855719</v>
      </c>
      <c r="J113" s="49" t="str">
        <f t="shared" si="5"/>
        <v>13311</v>
      </c>
    </row>
    <row r="114" spans="1:10" ht="24.6" x14ac:dyDescent="0.3">
      <c r="A114" s="36">
        <v>46173</v>
      </c>
      <c r="B114" s="37" t="s">
        <v>1496</v>
      </c>
      <c r="C114" s="38" t="s">
        <v>15</v>
      </c>
      <c r="D114" s="19" t="s">
        <v>1511</v>
      </c>
      <c r="E114" s="175">
        <v>1302447</v>
      </c>
      <c r="F114" s="174"/>
      <c r="G114" s="38" t="s">
        <v>195</v>
      </c>
      <c r="H114" s="38" t="s">
        <v>882</v>
      </c>
      <c r="I114" s="2">
        <f t="shared" si="4"/>
        <v>1302447</v>
      </c>
      <c r="J114" s="49" t="str">
        <f t="shared" si="5"/>
        <v>13311</v>
      </c>
    </row>
    <row r="115" spans="1:10" ht="24.6" x14ac:dyDescent="0.3">
      <c r="A115" s="36">
        <v>46173</v>
      </c>
      <c r="B115" s="37" t="s">
        <v>1496</v>
      </c>
      <c r="C115" s="38" t="s">
        <v>15</v>
      </c>
      <c r="D115" s="19" t="s">
        <v>1511</v>
      </c>
      <c r="E115" s="175">
        <v>291555</v>
      </c>
      <c r="F115" s="174"/>
      <c r="G115" s="38" t="s">
        <v>195</v>
      </c>
      <c r="H115" s="38" t="s">
        <v>882</v>
      </c>
      <c r="I115" s="2">
        <f t="shared" si="4"/>
        <v>291555</v>
      </c>
      <c r="J115" s="49" t="str">
        <f t="shared" si="5"/>
        <v>13311</v>
      </c>
    </row>
    <row r="116" spans="1:10" ht="24.6" x14ac:dyDescent="0.3">
      <c r="A116" s="36">
        <v>46173</v>
      </c>
      <c r="B116" s="37" t="s">
        <v>1496</v>
      </c>
      <c r="C116" s="38" t="s">
        <v>15</v>
      </c>
      <c r="D116" s="19" t="s">
        <v>1511</v>
      </c>
      <c r="E116" s="175">
        <v>5546</v>
      </c>
      <c r="F116" s="174"/>
      <c r="G116" s="38" t="s">
        <v>195</v>
      </c>
      <c r="H116" s="38" t="s">
        <v>882</v>
      </c>
      <c r="I116" s="2">
        <f t="shared" si="4"/>
        <v>5546</v>
      </c>
      <c r="J116" s="49" t="str">
        <f t="shared" si="5"/>
        <v>13311</v>
      </c>
    </row>
    <row r="117" spans="1:10" ht="24.6" x14ac:dyDescent="0.3">
      <c r="A117" s="36">
        <v>46173</v>
      </c>
      <c r="B117" s="37" t="s">
        <v>1496</v>
      </c>
      <c r="C117" s="38" t="s">
        <v>15</v>
      </c>
      <c r="D117" s="19" t="s">
        <v>1511</v>
      </c>
      <c r="E117" s="175">
        <v>290222</v>
      </c>
      <c r="F117" s="174"/>
      <c r="G117" s="38" t="s">
        <v>195</v>
      </c>
      <c r="H117" s="38" t="s">
        <v>882</v>
      </c>
      <c r="I117" s="2">
        <f t="shared" si="4"/>
        <v>290222</v>
      </c>
      <c r="J117" s="49" t="str">
        <f t="shared" si="5"/>
        <v>13311</v>
      </c>
    </row>
    <row r="118" spans="1:10" ht="24.6" x14ac:dyDescent="0.3">
      <c r="A118" s="36">
        <v>46173</v>
      </c>
      <c r="B118" s="37" t="s">
        <v>1496</v>
      </c>
      <c r="C118" s="38" t="s">
        <v>15</v>
      </c>
      <c r="D118" s="19" t="s">
        <v>1511</v>
      </c>
      <c r="E118" s="175">
        <v>10000</v>
      </c>
      <c r="F118" s="174"/>
      <c r="G118" s="38" t="s">
        <v>195</v>
      </c>
      <c r="H118" s="38" t="s">
        <v>882</v>
      </c>
      <c r="I118" s="2">
        <f t="shared" si="4"/>
        <v>10000</v>
      </c>
      <c r="J118" s="49" t="str">
        <f t="shared" si="5"/>
        <v>13311</v>
      </c>
    </row>
    <row r="119" spans="1:10" ht="24.6" x14ac:dyDescent="0.3">
      <c r="A119" s="36">
        <v>46173</v>
      </c>
      <c r="B119" s="37" t="s">
        <v>1496</v>
      </c>
      <c r="C119" s="38" t="s">
        <v>15</v>
      </c>
      <c r="D119" s="19" t="s">
        <v>1511</v>
      </c>
      <c r="E119" s="175">
        <v>296741</v>
      </c>
      <c r="F119" s="174"/>
      <c r="G119" s="38" t="s">
        <v>195</v>
      </c>
      <c r="H119" s="38" t="s">
        <v>882</v>
      </c>
      <c r="I119" s="2">
        <f t="shared" si="4"/>
        <v>296741</v>
      </c>
      <c r="J119" s="49" t="str">
        <f t="shared" si="5"/>
        <v>13311</v>
      </c>
    </row>
    <row r="120" spans="1:10" ht="24.6" x14ac:dyDescent="0.3">
      <c r="A120" s="36">
        <v>46173</v>
      </c>
      <c r="B120" s="37" t="s">
        <v>1496</v>
      </c>
      <c r="C120" s="38" t="s">
        <v>15</v>
      </c>
      <c r="D120" s="19" t="s">
        <v>1511</v>
      </c>
      <c r="E120" s="175">
        <v>2727</v>
      </c>
      <c r="F120" s="174"/>
      <c r="G120" s="38" t="s">
        <v>195</v>
      </c>
      <c r="H120" s="38" t="s">
        <v>882</v>
      </c>
      <c r="I120" s="2">
        <f t="shared" si="4"/>
        <v>2727</v>
      </c>
      <c r="J120" s="49" t="str">
        <f t="shared" si="5"/>
        <v>13311</v>
      </c>
    </row>
    <row r="121" spans="1:10" ht="24.6" x14ac:dyDescent="0.3">
      <c r="A121" s="36">
        <v>46173</v>
      </c>
      <c r="B121" s="37" t="s">
        <v>1496</v>
      </c>
      <c r="C121" s="38" t="s">
        <v>15</v>
      </c>
      <c r="D121" s="19" t="s">
        <v>1511</v>
      </c>
      <c r="E121" s="175">
        <v>289481</v>
      </c>
      <c r="F121" s="174"/>
      <c r="G121" s="38" t="s">
        <v>195</v>
      </c>
      <c r="H121" s="38" t="s">
        <v>882</v>
      </c>
      <c r="I121" s="2">
        <f t="shared" si="4"/>
        <v>289481</v>
      </c>
      <c r="J121" s="49" t="str">
        <f t="shared" si="5"/>
        <v>13311</v>
      </c>
    </row>
    <row r="122" spans="1:10" ht="24.6" x14ac:dyDescent="0.3">
      <c r="A122" s="36">
        <v>46173</v>
      </c>
      <c r="B122" s="37" t="s">
        <v>1496</v>
      </c>
      <c r="C122" s="38" t="s">
        <v>15</v>
      </c>
      <c r="D122" s="19" t="s">
        <v>1511</v>
      </c>
      <c r="E122" s="175">
        <v>8182</v>
      </c>
      <c r="F122" s="174"/>
      <c r="G122" s="38" t="s">
        <v>195</v>
      </c>
      <c r="H122" s="38" t="s">
        <v>882</v>
      </c>
      <c r="I122" s="2">
        <f t="shared" si="4"/>
        <v>8182</v>
      </c>
      <c r="J122" s="49" t="str">
        <f t="shared" si="5"/>
        <v>13311</v>
      </c>
    </row>
    <row r="123" spans="1:10" ht="24.6" x14ac:dyDescent="0.3">
      <c r="A123" s="36">
        <v>46173</v>
      </c>
      <c r="B123" s="37" t="s">
        <v>1496</v>
      </c>
      <c r="C123" s="38" t="s">
        <v>15</v>
      </c>
      <c r="D123" s="19" t="s">
        <v>1511</v>
      </c>
      <c r="E123" s="175">
        <v>296445</v>
      </c>
      <c r="F123" s="174"/>
      <c r="G123" s="38" t="s">
        <v>195</v>
      </c>
      <c r="H123" s="38" t="s">
        <v>882</v>
      </c>
      <c r="I123" s="2">
        <f t="shared" si="4"/>
        <v>296445</v>
      </c>
      <c r="J123" s="49" t="str">
        <f t="shared" si="5"/>
        <v>13311</v>
      </c>
    </row>
    <row r="124" spans="1:10" ht="24.6" x14ac:dyDescent="0.3">
      <c r="A124" s="36">
        <v>46173</v>
      </c>
      <c r="B124" s="37" t="s">
        <v>1496</v>
      </c>
      <c r="C124" s="38" t="s">
        <v>15</v>
      </c>
      <c r="D124" s="19" t="s">
        <v>1520</v>
      </c>
      <c r="E124" s="175">
        <v>19886</v>
      </c>
      <c r="F124" s="174"/>
      <c r="G124" s="38" t="s">
        <v>195</v>
      </c>
      <c r="H124" s="38" t="s">
        <v>882</v>
      </c>
      <c r="I124" s="2">
        <f t="shared" si="4"/>
        <v>19886</v>
      </c>
      <c r="J124" s="49" t="str">
        <f t="shared" si="5"/>
        <v>13311</v>
      </c>
    </row>
    <row r="125" spans="1:10" ht="24.6" x14ac:dyDescent="0.3">
      <c r="A125" s="36">
        <v>46173</v>
      </c>
      <c r="B125" s="37" t="s">
        <v>1496</v>
      </c>
      <c r="C125" s="38" t="s">
        <v>15</v>
      </c>
      <c r="D125" s="19" t="s">
        <v>1502</v>
      </c>
      <c r="E125" s="175">
        <v>11910</v>
      </c>
      <c r="F125" s="174"/>
      <c r="G125" s="38" t="s">
        <v>195</v>
      </c>
      <c r="H125" s="38" t="s">
        <v>882</v>
      </c>
      <c r="I125" s="2">
        <f t="shared" si="4"/>
        <v>11910</v>
      </c>
      <c r="J125" s="49" t="str">
        <f t="shared" si="5"/>
        <v>13311</v>
      </c>
    </row>
    <row r="126" spans="1:10" ht="24.6" x14ac:dyDescent="0.3">
      <c r="A126" s="36">
        <v>46173</v>
      </c>
      <c r="B126" s="37" t="s">
        <v>1496</v>
      </c>
      <c r="C126" s="38" t="s">
        <v>15</v>
      </c>
      <c r="D126" s="19" t="s">
        <v>1502</v>
      </c>
      <c r="E126" s="175">
        <v>39450</v>
      </c>
      <c r="F126" s="174"/>
      <c r="G126" s="38" t="s">
        <v>195</v>
      </c>
      <c r="H126" s="38" t="s">
        <v>882</v>
      </c>
      <c r="I126" s="2">
        <f t="shared" si="4"/>
        <v>39450</v>
      </c>
      <c r="J126" s="49" t="str">
        <f t="shared" si="5"/>
        <v>13311</v>
      </c>
    </row>
    <row r="127" spans="1:10" ht="24.6" x14ac:dyDescent="0.3">
      <c r="A127" s="36">
        <v>46173</v>
      </c>
      <c r="B127" s="37" t="s">
        <v>1496</v>
      </c>
      <c r="C127" s="38" t="s">
        <v>15</v>
      </c>
      <c r="D127" s="19" t="s">
        <v>1502</v>
      </c>
      <c r="E127" s="175">
        <v>15619</v>
      </c>
      <c r="F127" s="174"/>
      <c r="G127" s="38" t="s">
        <v>195</v>
      </c>
      <c r="H127" s="38" t="s">
        <v>882</v>
      </c>
      <c r="I127" s="2">
        <f t="shared" si="4"/>
        <v>15619</v>
      </c>
      <c r="J127" s="49" t="str">
        <f t="shared" si="5"/>
        <v>13311</v>
      </c>
    </row>
    <row r="128" spans="1:10" ht="24.6" x14ac:dyDescent="0.3">
      <c r="A128" s="36">
        <v>46173</v>
      </c>
      <c r="B128" s="37" t="s">
        <v>1496</v>
      </c>
      <c r="C128" s="38" t="s">
        <v>15</v>
      </c>
      <c r="D128" s="19" t="s">
        <v>1502</v>
      </c>
      <c r="E128" s="175">
        <v>1933</v>
      </c>
      <c r="F128" s="174"/>
      <c r="G128" s="38" t="s">
        <v>195</v>
      </c>
      <c r="H128" s="38" t="s">
        <v>882</v>
      </c>
      <c r="I128" s="2">
        <f t="shared" si="4"/>
        <v>1933</v>
      </c>
      <c r="J128" s="49" t="str">
        <f t="shared" si="5"/>
        <v>13311</v>
      </c>
    </row>
    <row r="129" spans="1:10" ht="24.6" x14ac:dyDescent="0.3">
      <c r="A129" s="36">
        <v>46173</v>
      </c>
      <c r="B129" s="37" t="s">
        <v>1496</v>
      </c>
      <c r="C129" s="38" t="s">
        <v>15</v>
      </c>
      <c r="D129" s="19" t="s">
        <v>1502</v>
      </c>
      <c r="E129" s="175">
        <v>40901</v>
      </c>
      <c r="F129" s="174"/>
      <c r="G129" s="38" t="s">
        <v>195</v>
      </c>
      <c r="H129" s="38" t="s">
        <v>882</v>
      </c>
      <c r="I129" s="2">
        <f t="shared" si="4"/>
        <v>40901</v>
      </c>
      <c r="J129" s="49" t="str">
        <f t="shared" si="5"/>
        <v>13311</v>
      </c>
    </row>
    <row r="130" spans="1:10" ht="24.6" x14ac:dyDescent="0.3">
      <c r="A130" s="36">
        <v>46173</v>
      </c>
      <c r="B130" s="37" t="s">
        <v>1496</v>
      </c>
      <c r="C130" s="38" t="s">
        <v>15</v>
      </c>
      <c r="D130" s="19" t="s">
        <v>1502</v>
      </c>
      <c r="E130" s="175">
        <v>7025</v>
      </c>
      <c r="F130" s="174"/>
      <c r="G130" s="38" t="s">
        <v>195</v>
      </c>
      <c r="H130" s="38" t="s">
        <v>882</v>
      </c>
      <c r="I130" s="2">
        <f t="shared" si="4"/>
        <v>7025</v>
      </c>
      <c r="J130" s="49" t="str">
        <f t="shared" si="5"/>
        <v>13311</v>
      </c>
    </row>
    <row r="131" spans="1:10" ht="24.6" x14ac:dyDescent="0.3">
      <c r="A131" s="36">
        <v>46173</v>
      </c>
      <c r="B131" s="37" t="s">
        <v>1496</v>
      </c>
      <c r="C131" s="38" t="s">
        <v>15</v>
      </c>
      <c r="D131" s="19" t="s">
        <v>1502</v>
      </c>
      <c r="E131" s="175">
        <v>1933</v>
      </c>
      <c r="F131" s="174"/>
      <c r="G131" s="38" t="s">
        <v>195</v>
      </c>
      <c r="H131" s="38" t="s">
        <v>882</v>
      </c>
      <c r="I131" s="2">
        <f t="shared" si="4"/>
        <v>1933</v>
      </c>
      <c r="J131" s="49" t="str">
        <f t="shared" si="5"/>
        <v>13311</v>
      </c>
    </row>
    <row r="132" spans="1:10" ht="24.6" x14ac:dyDescent="0.3">
      <c r="A132" s="36">
        <v>46173</v>
      </c>
      <c r="B132" s="37" t="s">
        <v>1496</v>
      </c>
      <c r="C132" s="38" t="s">
        <v>15</v>
      </c>
      <c r="D132" s="19" t="s">
        <v>1502</v>
      </c>
      <c r="E132" s="175">
        <v>7851</v>
      </c>
      <c r="F132" s="174"/>
      <c r="G132" s="38" t="s">
        <v>195</v>
      </c>
      <c r="H132" s="38" t="s">
        <v>882</v>
      </c>
      <c r="I132" s="2">
        <f t="shared" si="4"/>
        <v>7851</v>
      </c>
      <c r="J132" s="49" t="str">
        <f t="shared" si="5"/>
        <v>13311</v>
      </c>
    </row>
    <row r="133" spans="1:10" ht="24.6" x14ac:dyDescent="0.3">
      <c r="A133" s="36">
        <v>46173</v>
      </c>
      <c r="B133" s="37" t="s">
        <v>1496</v>
      </c>
      <c r="C133" s="38" t="s">
        <v>15</v>
      </c>
      <c r="D133" s="19" t="s">
        <v>1502</v>
      </c>
      <c r="E133" s="175">
        <v>33852</v>
      </c>
      <c r="F133" s="174"/>
      <c r="G133" s="38" t="s">
        <v>195</v>
      </c>
      <c r="H133" s="38" t="s">
        <v>882</v>
      </c>
      <c r="I133" s="2">
        <f t="shared" si="4"/>
        <v>33852</v>
      </c>
      <c r="J133" s="49" t="str">
        <f t="shared" si="5"/>
        <v>13311</v>
      </c>
    </row>
    <row r="134" spans="1:10" ht="24.6" x14ac:dyDescent="0.3">
      <c r="A134" s="36">
        <v>46173</v>
      </c>
      <c r="B134" s="37" t="s">
        <v>1496</v>
      </c>
      <c r="C134" s="38" t="s">
        <v>15</v>
      </c>
      <c r="D134" s="19" t="s">
        <v>1502</v>
      </c>
      <c r="E134" s="175">
        <v>2124</v>
      </c>
      <c r="F134" s="174"/>
      <c r="G134" s="38" t="s">
        <v>195</v>
      </c>
      <c r="H134" s="38" t="s">
        <v>882</v>
      </c>
      <c r="I134" s="2">
        <f t="shared" si="4"/>
        <v>2124</v>
      </c>
      <c r="J134" s="49" t="str">
        <f t="shared" si="5"/>
        <v>13311</v>
      </c>
    </row>
    <row r="135" spans="1:10" ht="24.6" x14ac:dyDescent="0.3">
      <c r="A135" s="36">
        <v>46173</v>
      </c>
      <c r="B135" s="37" t="s">
        <v>1496</v>
      </c>
      <c r="C135" s="38" t="s">
        <v>15</v>
      </c>
      <c r="D135" s="19" t="s">
        <v>1502</v>
      </c>
      <c r="E135" s="175">
        <v>11500</v>
      </c>
      <c r="F135" s="174"/>
      <c r="G135" s="38" t="s">
        <v>195</v>
      </c>
      <c r="H135" s="38" t="s">
        <v>882</v>
      </c>
      <c r="I135" s="2">
        <f t="shared" si="4"/>
        <v>11500</v>
      </c>
      <c r="J135" s="49" t="str">
        <f t="shared" si="5"/>
        <v>13311</v>
      </c>
    </row>
    <row r="136" spans="1:10" ht="24.6" x14ac:dyDescent="0.3">
      <c r="A136" s="36">
        <v>46173</v>
      </c>
      <c r="B136" s="37" t="s">
        <v>1496</v>
      </c>
      <c r="C136" s="38" t="s">
        <v>15</v>
      </c>
      <c r="D136" s="19" t="s">
        <v>1502</v>
      </c>
      <c r="E136" s="175">
        <v>74667</v>
      </c>
      <c r="F136" s="174"/>
      <c r="G136" s="38" t="s">
        <v>195</v>
      </c>
      <c r="H136" s="38" t="s">
        <v>882</v>
      </c>
      <c r="I136" s="2">
        <f t="shared" si="4"/>
        <v>74667</v>
      </c>
      <c r="J136" s="49" t="str">
        <f t="shared" si="5"/>
        <v>13311</v>
      </c>
    </row>
    <row r="137" spans="1:10" ht="24.6" x14ac:dyDescent="0.3">
      <c r="A137" s="36">
        <v>46173</v>
      </c>
      <c r="B137" s="37" t="s">
        <v>1496</v>
      </c>
      <c r="C137" s="38" t="s">
        <v>15</v>
      </c>
      <c r="D137" s="19" t="s">
        <v>1502</v>
      </c>
      <c r="E137" s="175">
        <v>1000</v>
      </c>
      <c r="F137" s="174"/>
      <c r="G137" s="38" t="s">
        <v>195</v>
      </c>
      <c r="H137" s="38" t="s">
        <v>882</v>
      </c>
      <c r="I137" s="2">
        <f t="shared" si="4"/>
        <v>1000</v>
      </c>
      <c r="J137" s="49" t="str">
        <f t="shared" si="5"/>
        <v>13311</v>
      </c>
    </row>
    <row r="138" spans="1:10" ht="24.6" x14ac:dyDescent="0.3">
      <c r="A138" s="36">
        <v>46173</v>
      </c>
      <c r="B138" s="37" t="s">
        <v>1496</v>
      </c>
      <c r="C138" s="38" t="s">
        <v>15</v>
      </c>
      <c r="D138" s="19" t="s">
        <v>1502</v>
      </c>
      <c r="E138" s="175">
        <v>90000</v>
      </c>
      <c r="F138" s="174"/>
      <c r="G138" s="38" t="s">
        <v>195</v>
      </c>
      <c r="H138" s="38" t="s">
        <v>882</v>
      </c>
      <c r="I138" s="2">
        <f t="shared" si="4"/>
        <v>90000</v>
      </c>
      <c r="J138" s="49" t="str">
        <f t="shared" si="5"/>
        <v>13311</v>
      </c>
    </row>
    <row r="139" spans="1:10" ht="24.6" x14ac:dyDescent="0.3">
      <c r="A139" s="36">
        <v>46173</v>
      </c>
      <c r="B139" s="37" t="s">
        <v>1496</v>
      </c>
      <c r="C139" s="38" t="s">
        <v>15</v>
      </c>
      <c r="D139" s="19" t="s">
        <v>1502</v>
      </c>
      <c r="E139" s="175">
        <v>2727</v>
      </c>
      <c r="F139" s="174"/>
      <c r="G139" s="38" t="s">
        <v>195</v>
      </c>
      <c r="H139" s="38" t="s">
        <v>882</v>
      </c>
      <c r="I139" s="2">
        <f t="shared" si="4"/>
        <v>2727</v>
      </c>
      <c r="J139" s="49" t="str">
        <f t="shared" si="5"/>
        <v>13311</v>
      </c>
    </row>
    <row r="140" spans="1:10" ht="24.6" x14ac:dyDescent="0.3">
      <c r="A140" s="36">
        <v>46173</v>
      </c>
      <c r="B140" s="37" t="s">
        <v>1496</v>
      </c>
      <c r="C140" s="38" t="s">
        <v>15</v>
      </c>
      <c r="D140" s="19" t="s">
        <v>1502</v>
      </c>
      <c r="E140" s="175">
        <v>2727</v>
      </c>
      <c r="F140" s="174"/>
      <c r="G140" s="38" t="s">
        <v>195</v>
      </c>
      <c r="H140" s="38" t="s">
        <v>882</v>
      </c>
      <c r="I140" s="2">
        <f t="shared" si="4"/>
        <v>2727</v>
      </c>
      <c r="J140" s="49" t="str">
        <f t="shared" si="5"/>
        <v>13311</v>
      </c>
    </row>
    <row r="141" spans="1:10" ht="24.6" x14ac:dyDescent="0.3">
      <c r="A141" s="36">
        <v>46173</v>
      </c>
      <c r="B141" s="37" t="s">
        <v>1496</v>
      </c>
      <c r="C141" s="38" t="s">
        <v>15</v>
      </c>
      <c r="D141" s="19" t="s">
        <v>1502</v>
      </c>
      <c r="E141" s="175">
        <v>2727</v>
      </c>
      <c r="F141" s="174"/>
      <c r="G141" s="38" t="s">
        <v>195</v>
      </c>
      <c r="H141" s="38" t="s">
        <v>882</v>
      </c>
      <c r="I141" s="2">
        <f t="shared" si="4"/>
        <v>2727</v>
      </c>
      <c r="J141" s="49" t="str">
        <f t="shared" si="5"/>
        <v>13311</v>
      </c>
    </row>
    <row r="142" spans="1:10" ht="24.6" x14ac:dyDescent="0.3">
      <c r="A142" s="36">
        <v>46173</v>
      </c>
      <c r="B142" s="37" t="s">
        <v>1496</v>
      </c>
      <c r="C142" s="38" t="s">
        <v>15</v>
      </c>
      <c r="D142" s="19" t="s">
        <v>1502</v>
      </c>
      <c r="E142" s="175">
        <v>18182</v>
      </c>
      <c r="F142" s="174"/>
      <c r="G142" s="38" t="s">
        <v>195</v>
      </c>
      <c r="H142" s="38" t="s">
        <v>882</v>
      </c>
      <c r="I142" s="2">
        <f t="shared" si="4"/>
        <v>18182</v>
      </c>
      <c r="J142" s="49" t="str">
        <f t="shared" si="5"/>
        <v>13311</v>
      </c>
    </row>
    <row r="143" spans="1:10" ht="24.6" x14ac:dyDescent="0.3">
      <c r="A143" s="36">
        <v>46173</v>
      </c>
      <c r="B143" s="37" t="s">
        <v>1496</v>
      </c>
      <c r="C143" s="38" t="s">
        <v>15</v>
      </c>
      <c r="D143" s="19" t="s">
        <v>1502</v>
      </c>
      <c r="E143" s="175">
        <v>2727</v>
      </c>
      <c r="F143" s="174"/>
      <c r="G143" s="38" t="s">
        <v>195</v>
      </c>
      <c r="H143" s="38" t="s">
        <v>882</v>
      </c>
      <c r="I143" s="2">
        <f t="shared" si="4"/>
        <v>2727</v>
      </c>
      <c r="J143" s="49" t="str">
        <f t="shared" si="5"/>
        <v>13311</v>
      </c>
    </row>
    <row r="144" spans="1:10" ht="24.6" x14ac:dyDescent="0.3">
      <c r="A144" s="36">
        <v>46173</v>
      </c>
      <c r="B144" s="37" t="s">
        <v>1496</v>
      </c>
      <c r="C144" s="38" t="s">
        <v>15</v>
      </c>
      <c r="D144" s="19" t="s">
        <v>1502</v>
      </c>
      <c r="E144" s="175">
        <v>2727</v>
      </c>
      <c r="F144" s="174"/>
      <c r="G144" s="38" t="s">
        <v>195</v>
      </c>
      <c r="H144" s="38" t="s">
        <v>882</v>
      </c>
      <c r="I144" s="2">
        <f t="shared" ref="I144:I207" si="6">IF(LEN(A144)=5,E144,0)</f>
        <v>2727</v>
      </c>
      <c r="J144" s="49" t="str">
        <f t="shared" ref="J144:J207" si="7">IF(LEFT(A144,11)="Tài khoản: ",MID(A144,12,5),J143)</f>
        <v>13311</v>
      </c>
    </row>
    <row r="145" spans="1:10" ht="24.6" x14ac:dyDescent="0.3">
      <c r="A145" s="36">
        <v>46173</v>
      </c>
      <c r="B145" s="37" t="s">
        <v>1496</v>
      </c>
      <c r="C145" s="38" t="s">
        <v>15</v>
      </c>
      <c r="D145" s="19" t="s">
        <v>1502</v>
      </c>
      <c r="E145" s="175">
        <v>2727</v>
      </c>
      <c r="F145" s="174"/>
      <c r="G145" s="38" t="s">
        <v>195</v>
      </c>
      <c r="H145" s="38" t="s">
        <v>882</v>
      </c>
      <c r="I145" s="2">
        <f t="shared" si="6"/>
        <v>2727</v>
      </c>
      <c r="J145" s="49" t="str">
        <f t="shared" si="7"/>
        <v>13311</v>
      </c>
    </row>
    <row r="146" spans="1:10" ht="24.6" x14ac:dyDescent="0.3">
      <c r="A146" s="36">
        <v>46173</v>
      </c>
      <c r="B146" s="37" t="s">
        <v>1496</v>
      </c>
      <c r="C146" s="38" t="s">
        <v>15</v>
      </c>
      <c r="D146" s="19" t="s">
        <v>1502</v>
      </c>
      <c r="E146" s="175">
        <v>2727</v>
      </c>
      <c r="F146" s="174"/>
      <c r="G146" s="38" t="s">
        <v>195</v>
      </c>
      <c r="H146" s="38" t="s">
        <v>882</v>
      </c>
      <c r="I146" s="2">
        <f t="shared" si="6"/>
        <v>2727</v>
      </c>
      <c r="J146" s="49" t="str">
        <f t="shared" si="7"/>
        <v>13311</v>
      </c>
    </row>
    <row r="147" spans="1:10" ht="24.6" x14ac:dyDescent="0.3">
      <c r="A147" s="36">
        <v>46173</v>
      </c>
      <c r="B147" s="37" t="s">
        <v>1496</v>
      </c>
      <c r="C147" s="38" t="s">
        <v>15</v>
      </c>
      <c r="D147" s="19" t="s">
        <v>1502</v>
      </c>
      <c r="E147" s="175">
        <v>10909</v>
      </c>
      <c r="F147" s="174"/>
      <c r="G147" s="38" t="s">
        <v>195</v>
      </c>
      <c r="H147" s="38" t="s">
        <v>882</v>
      </c>
      <c r="I147" s="2">
        <f t="shared" si="6"/>
        <v>10909</v>
      </c>
      <c r="J147" s="49" t="str">
        <f t="shared" si="7"/>
        <v>13311</v>
      </c>
    </row>
    <row r="148" spans="1:10" ht="24.6" x14ac:dyDescent="0.3">
      <c r="A148" s="36">
        <v>46173</v>
      </c>
      <c r="B148" s="37" t="s">
        <v>1496</v>
      </c>
      <c r="C148" s="38" t="s">
        <v>15</v>
      </c>
      <c r="D148" s="19" t="s">
        <v>1502</v>
      </c>
      <c r="E148" s="175">
        <v>2727</v>
      </c>
      <c r="F148" s="174"/>
      <c r="G148" s="38" t="s">
        <v>195</v>
      </c>
      <c r="H148" s="38" t="s">
        <v>882</v>
      </c>
      <c r="I148" s="2">
        <f t="shared" si="6"/>
        <v>2727</v>
      </c>
      <c r="J148" s="49" t="str">
        <f t="shared" si="7"/>
        <v>13311</v>
      </c>
    </row>
    <row r="149" spans="1:10" ht="24.6" x14ac:dyDescent="0.3">
      <c r="A149" s="36">
        <v>46173</v>
      </c>
      <c r="B149" s="37" t="s">
        <v>1496</v>
      </c>
      <c r="C149" s="38" t="s">
        <v>15</v>
      </c>
      <c r="D149" s="19" t="s">
        <v>1502</v>
      </c>
      <c r="E149" s="175">
        <v>2727</v>
      </c>
      <c r="F149" s="174"/>
      <c r="G149" s="38" t="s">
        <v>195</v>
      </c>
      <c r="H149" s="38" t="s">
        <v>882</v>
      </c>
      <c r="I149" s="2">
        <f t="shared" si="6"/>
        <v>2727</v>
      </c>
      <c r="J149" s="49" t="str">
        <f t="shared" si="7"/>
        <v>13311</v>
      </c>
    </row>
    <row r="150" spans="1:10" ht="24.6" x14ac:dyDescent="0.3">
      <c r="A150" s="36">
        <v>46173</v>
      </c>
      <c r="B150" s="37" t="s">
        <v>1496</v>
      </c>
      <c r="C150" s="38" t="s">
        <v>15</v>
      </c>
      <c r="D150" s="19" t="s">
        <v>1502</v>
      </c>
      <c r="E150" s="175">
        <v>2727</v>
      </c>
      <c r="F150" s="174"/>
      <c r="G150" s="38" t="s">
        <v>195</v>
      </c>
      <c r="H150" s="38" t="s">
        <v>882</v>
      </c>
      <c r="I150" s="2">
        <f t="shared" si="6"/>
        <v>2727</v>
      </c>
      <c r="J150" s="49" t="str">
        <f t="shared" si="7"/>
        <v>13311</v>
      </c>
    </row>
    <row r="151" spans="1:10" ht="24.6" x14ac:dyDescent="0.3">
      <c r="A151" s="36">
        <v>46173</v>
      </c>
      <c r="B151" s="37" t="s">
        <v>1496</v>
      </c>
      <c r="C151" s="38" t="s">
        <v>15</v>
      </c>
      <c r="D151" s="19" t="s">
        <v>1502</v>
      </c>
      <c r="E151" s="175">
        <v>2727</v>
      </c>
      <c r="F151" s="174"/>
      <c r="G151" s="38" t="s">
        <v>195</v>
      </c>
      <c r="H151" s="38" t="s">
        <v>882</v>
      </c>
      <c r="I151" s="2">
        <f t="shared" si="6"/>
        <v>2727</v>
      </c>
      <c r="J151" s="49" t="str">
        <f t="shared" si="7"/>
        <v>13311</v>
      </c>
    </row>
    <row r="152" spans="1:10" ht="24.6" x14ac:dyDescent="0.3">
      <c r="A152" s="36">
        <v>46173</v>
      </c>
      <c r="B152" s="37" t="s">
        <v>1496</v>
      </c>
      <c r="C152" s="38" t="s">
        <v>15</v>
      </c>
      <c r="D152" s="19" t="s">
        <v>1502</v>
      </c>
      <c r="E152" s="175">
        <v>2727</v>
      </c>
      <c r="F152" s="174"/>
      <c r="G152" s="38" t="s">
        <v>195</v>
      </c>
      <c r="H152" s="38" t="s">
        <v>882</v>
      </c>
      <c r="I152" s="2">
        <f t="shared" si="6"/>
        <v>2727</v>
      </c>
      <c r="J152" s="49" t="str">
        <f t="shared" si="7"/>
        <v>13311</v>
      </c>
    </row>
    <row r="153" spans="1:10" ht="24.6" x14ac:dyDescent="0.3">
      <c r="A153" s="36">
        <v>46173</v>
      </c>
      <c r="B153" s="37" t="s">
        <v>1496</v>
      </c>
      <c r="C153" s="38" t="s">
        <v>15</v>
      </c>
      <c r="D153" s="19" t="s">
        <v>1502</v>
      </c>
      <c r="E153" s="175">
        <v>2727</v>
      </c>
      <c r="F153" s="174"/>
      <c r="G153" s="38" t="s">
        <v>195</v>
      </c>
      <c r="H153" s="38" t="s">
        <v>882</v>
      </c>
      <c r="I153" s="2">
        <f t="shared" si="6"/>
        <v>2727</v>
      </c>
      <c r="J153" s="49" t="str">
        <f t="shared" si="7"/>
        <v>13311</v>
      </c>
    </row>
    <row r="154" spans="1:10" ht="24.6" x14ac:dyDescent="0.3">
      <c r="A154" s="36">
        <v>46173</v>
      </c>
      <c r="B154" s="37" t="s">
        <v>1496</v>
      </c>
      <c r="C154" s="38" t="s">
        <v>15</v>
      </c>
      <c r="D154" s="19" t="s">
        <v>1502</v>
      </c>
      <c r="E154" s="175">
        <v>2727</v>
      </c>
      <c r="F154" s="174"/>
      <c r="G154" s="38" t="s">
        <v>195</v>
      </c>
      <c r="H154" s="38" t="s">
        <v>882</v>
      </c>
      <c r="I154" s="2">
        <f t="shared" si="6"/>
        <v>2727</v>
      </c>
      <c r="J154" s="49" t="str">
        <f t="shared" si="7"/>
        <v>13311</v>
      </c>
    </row>
    <row r="155" spans="1:10" ht="24.6" x14ac:dyDescent="0.3">
      <c r="A155" s="36">
        <v>46173</v>
      </c>
      <c r="B155" s="37" t="s">
        <v>1496</v>
      </c>
      <c r="C155" s="38" t="s">
        <v>15</v>
      </c>
      <c r="D155" s="19" t="s">
        <v>1502</v>
      </c>
      <c r="E155" s="175">
        <v>2727</v>
      </c>
      <c r="F155" s="174"/>
      <c r="G155" s="38" t="s">
        <v>195</v>
      </c>
      <c r="H155" s="38" t="s">
        <v>882</v>
      </c>
      <c r="I155" s="2">
        <f t="shared" si="6"/>
        <v>2727</v>
      </c>
      <c r="J155" s="49" t="str">
        <f t="shared" si="7"/>
        <v>13311</v>
      </c>
    </row>
    <row r="156" spans="1:10" ht="24.6" x14ac:dyDescent="0.3">
      <c r="A156" s="36">
        <v>46173</v>
      </c>
      <c r="B156" s="37" t="s">
        <v>1496</v>
      </c>
      <c r="C156" s="38" t="s">
        <v>15</v>
      </c>
      <c r="D156" s="19" t="s">
        <v>1502</v>
      </c>
      <c r="E156" s="175">
        <v>2727</v>
      </c>
      <c r="F156" s="174"/>
      <c r="G156" s="38" t="s">
        <v>195</v>
      </c>
      <c r="H156" s="38" t="s">
        <v>882</v>
      </c>
      <c r="I156" s="2">
        <f t="shared" si="6"/>
        <v>2727</v>
      </c>
      <c r="J156" s="49" t="str">
        <f t="shared" si="7"/>
        <v>13311</v>
      </c>
    </row>
    <row r="157" spans="1:10" ht="24.6" x14ac:dyDescent="0.3">
      <c r="A157" s="36">
        <v>46173</v>
      </c>
      <c r="B157" s="37" t="s">
        <v>1496</v>
      </c>
      <c r="C157" s="38" t="s">
        <v>15</v>
      </c>
      <c r="D157" s="19" t="s">
        <v>1502</v>
      </c>
      <c r="E157" s="175">
        <v>2727</v>
      </c>
      <c r="F157" s="174"/>
      <c r="G157" s="38" t="s">
        <v>195</v>
      </c>
      <c r="H157" s="38" t="s">
        <v>882</v>
      </c>
      <c r="I157" s="2">
        <f t="shared" si="6"/>
        <v>2727</v>
      </c>
      <c r="J157" s="49" t="str">
        <f t="shared" si="7"/>
        <v>13311</v>
      </c>
    </row>
    <row r="158" spans="1:10" ht="24.6" x14ac:dyDescent="0.3">
      <c r="A158" s="36">
        <v>46173</v>
      </c>
      <c r="B158" s="37" t="s">
        <v>1496</v>
      </c>
      <c r="C158" s="38" t="s">
        <v>15</v>
      </c>
      <c r="D158" s="19" t="s">
        <v>1502</v>
      </c>
      <c r="E158" s="175">
        <v>2727</v>
      </c>
      <c r="F158" s="174"/>
      <c r="G158" s="38" t="s">
        <v>195</v>
      </c>
      <c r="H158" s="38" t="s">
        <v>882</v>
      </c>
      <c r="I158" s="2">
        <f t="shared" si="6"/>
        <v>2727</v>
      </c>
      <c r="J158" s="49" t="str">
        <f t="shared" si="7"/>
        <v>13311</v>
      </c>
    </row>
    <row r="159" spans="1:10" ht="24.6" x14ac:dyDescent="0.3">
      <c r="A159" s="36">
        <v>46173</v>
      </c>
      <c r="B159" s="37" t="s">
        <v>1496</v>
      </c>
      <c r="C159" s="38" t="s">
        <v>15</v>
      </c>
      <c r="D159" s="19" t="s">
        <v>1521</v>
      </c>
      <c r="E159" s="175">
        <v>74074</v>
      </c>
      <c r="F159" s="174"/>
      <c r="G159" s="38" t="s">
        <v>195</v>
      </c>
      <c r="H159" s="38" t="s">
        <v>882</v>
      </c>
      <c r="I159" s="2">
        <f t="shared" si="6"/>
        <v>74074</v>
      </c>
      <c r="J159" s="49" t="str">
        <f t="shared" si="7"/>
        <v>13311</v>
      </c>
    </row>
    <row r="160" spans="1:10" ht="24.6" x14ac:dyDescent="0.3">
      <c r="A160" s="36">
        <v>46173</v>
      </c>
      <c r="B160" s="37" t="s">
        <v>1496</v>
      </c>
      <c r="C160" s="38" t="s">
        <v>15</v>
      </c>
      <c r="D160" s="19" t="s">
        <v>1521</v>
      </c>
      <c r="E160" s="175">
        <v>111111</v>
      </c>
      <c r="F160" s="174"/>
      <c r="G160" s="38" t="s">
        <v>195</v>
      </c>
      <c r="H160" s="38" t="s">
        <v>882</v>
      </c>
      <c r="I160" s="2">
        <f t="shared" si="6"/>
        <v>111111</v>
      </c>
      <c r="J160" s="49" t="str">
        <f t="shared" si="7"/>
        <v>13311</v>
      </c>
    </row>
    <row r="161" spans="1:10" ht="24.6" x14ac:dyDescent="0.3">
      <c r="A161" s="36">
        <v>46173</v>
      </c>
      <c r="B161" s="37" t="s">
        <v>1496</v>
      </c>
      <c r="C161" s="38" t="s">
        <v>15</v>
      </c>
      <c r="D161" s="19" t="s">
        <v>1521</v>
      </c>
      <c r="E161" s="175">
        <v>65022</v>
      </c>
      <c r="F161" s="174"/>
      <c r="G161" s="38" t="s">
        <v>195</v>
      </c>
      <c r="H161" s="38" t="s">
        <v>882</v>
      </c>
      <c r="I161" s="2">
        <f t="shared" si="6"/>
        <v>65022</v>
      </c>
      <c r="J161" s="49" t="str">
        <f t="shared" si="7"/>
        <v>13311</v>
      </c>
    </row>
    <row r="162" spans="1:10" ht="24.6" x14ac:dyDescent="0.3">
      <c r="A162" s="36">
        <v>46173</v>
      </c>
      <c r="B162" s="37" t="s">
        <v>1496</v>
      </c>
      <c r="C162" s="38" t="s">
        <v>15</v>
      </c>
      <c r="D162" s="19" t="s">
        <v>1521</v>
      </c>
      <c r="E162" s="175">
        <v>65022</v>
      </c>
      <c r="F162" s="174"/>
      <c r="G162" s="38" t="s">
        <v>195</v>
      </c>
      <c r="H162" s="38" t="s">
        <v>882</v>
      </c>
      <c r="I162" s="2">
        <f t="shared" si="6"/>
        <v>65022</v>
      </c>
      <c r="J162" s="49" t="str">
        <f t="shared" si="7"/>
        <v>13311</v>
      </c>
    </row>
    <row r="163" spans="1:10" ht="24.6" x14ac:dyDescent="0.3">
      <c r="A163" s="36">
        <v>46173</v>
      </c>
      <c r="B163" s="37" t="s">
        <v>1496</v>
      </c>
      <c r="C163" s="38" t="s">
        <v>15</v>
      </c>
      <c r="D163" s="19" t="s">
        <v>1521</v>
      </c>
      <c r="E163" s="175">
        <v>32511</v>
      </c>
      <c r="F163" s="174"/>
      <c r="G163" s="38" t="s">
        <v>195</v>
      </c>
      <c r="H163" s="38" t="s">
        <v>882</v>
      </c>
      <c r="I163" s="2">
        <f t="shared" si="6"/>
        <v>32511</v>
      </c>
      <c r="J163" s="49" t="str">
        <f t="shared" si="7"/>
        <v>13311</v>
      </c>
    </row>
    <row r="164" spans="1:10" ht="24.6" x14ac:dyDescent="0.3">
      <c r="A164" s="36">
        <v>46173</v>
      </c>
      <c r="B164" s="37" t="s">
        <v>1496</v>
      </c>
      <c r="C164" s="38" t="s">
        <v>15</v>
      </c>
      <c r="D164" s="19" t="s">
        <v>1521</v>
      </c>
      <c r="E164" s="175">
        <v>32511</v>
      </c>
      <c r="F164" s="174"/>
      <c r="G164" s="38" t="s">
        <v>195</v>
      </c>
      <c r="H164" s="38" t="s">
        <v>882</v>
      </c>
      <c r="I164" s="2">
        <f t="shared" si="6"/>
        <v>32511</v>
      </c>
      <c r="J164" s="49" t="str">
        <f t="shared" si="7"/>
        <v>13311</v>
      </c>
    </row>
    <row r="165" spans="1:10" ht="24.6" x14ac:dyDescent="0.3">
      <c r="A165" s="36">
        <v>46173</v>
      </c>
      <c r="B165" s="37" t="s">
        <v>1496</v>
      </c>
      <c r="C165" s="38" t="s">
        <v>15</v>
      </c>
      <c r="D165" s="19" t="s">
        <v>1521</v>
      </c>
      <c r="E165" s="175">
        <v>32511</v>
      </c>
      <c r="F165" s="174"/>
      <c r="G165" s="38" t="s">
        <v>195</v>
      </c>
      <c r="H165" s="38" t="s">
        <v>882</v>
      </c>
      <c r="I165" s="2">
        <f t="shared" si="6"/>
        <v>32511</v>
      </c>
      <c r="J165" s="49" t="str">
        <f t="shared" si="7"/>
        <v>13311</v>
      </c>
    </row>
    <row r="166" spans="1:10" ht="24.6" x14ac:dyDescent="0.3">
      <c r="A166" s="36">
        <v>46173</v>
      </c>
      <c r="B166" s="37" t="s">
        <v>1496</v>
      </c>
      <c r="C166" s="38" t="s">
        <v>15</v>
      </c>
      <c r="D166" s="19" t="s">
        <v>1521</v>
      </c>
      <c r="E166" s="175">
        <v>32511</v>
      </c>
      <c r="F166" s="174"/>
      <c r="G166" s="38" t="s">
        <v>195</v>
      </c>
      <c r="H166" s="38" t="s">
        <v>882</v>
      </c>
      <c r="I166" s="2">
        <f t="shared" si="6"/>
        <v>32511</v>
      </c>
      <c r="J166" s="49" t="str">
        <f t="shared" si="7"/>
        <v>13311</v>
      </c>
    </row>
    <row r="167" spans="1:10" ht="24.6" x14ac:dyDescent="0.3">
      <c r="A167" s="36">
        <v>46173</v>
      </c>
      <c r="B167" s="37" t="s">
        <v>1496</v>
      </c>
      <c r="C167" s="38" t="s">
        <v>15</v>
      </c>
      <c r="D167" s="19" t="s">
        <v>1521</v>
      </c>
      <c r="E167" s="175">
        <v>65022</v>
      </c>
      <c r="F167" s="174"/>
      <c r="G167" s="38" t="s">
        <v>195</v>
      </c>
      <c r="H167" s="38" t="s">
        <v>882</v>
      </c>
      <c r="I167" s="2">
        <f t="shared" si="6"/>
        <v>65022</v>
      </c>
      <c r="J167" s="49" t="str">
        <f t="shared" si="7"/>
        <v>13311</v>
      </c>
    </row>
    <row r="168" spans="1:10" ht="24.6" x14ac:dyDescent="0.3">
      <c r="A168" s="36">
        <v>46173</v>
      </c>
      <c r="B168" s="37" t="s">
        <v>1496</v>
      </c>
      <c r="C168" s="38" t="s">
        <v>15</v>
      </c>
      <c r="D168" s="19" t="s">
        <v>1521</v>
      </c>
      <c r="E168" s="175">
        <v>65022</v>
      </c>
      <c r="F168" s="174"/>
      <c r="G168" s="38" t="s">
        <v>195</v>
      </c>
      <c r="H168" s="38" t="s">
        <v>882</v>
      </c>
      <c r="I168" s="2">
        <f t="shared" si="6"/>
        <v>65022</v>
      </c>
      <c r="J168" s="49" t="str">
        <f t="shared" si="7"/>
        <v>13311</v>
      </c>
    </row>
    <row r="169" spans="1:10" ht="24.6" x14ac:dyDescent="0.3">
      <c r="A169" s="36">
        <v>46173</v>
      </c>
      <c r="B169" s="37" t="s">
        <v>1496</v>
      </c>
      <c r="C169" s="38" t="s">
        <v>15</v>
      </c>
      <c r="D169" s="19" t="s">
        <v>1522</v>
      </c>
      <c r="E169" s="175">
        <v>202751</v>
      </c>
      <c r="F169" s="174"/>
      <c r="G169" s="38" t="s">
        <v>195</v>
      </c>
      <c r="H169" s="38" t="s">
        <v>882</v>
      </c>
      <c r="I169" s="2">
        <f t="shared" si="6"/>
        <v>202751</v>
      </c>
      <c r="J169" s="49" t="str">
        <f t="shared" si="7"/>
        <v>13311</v>
      </c>
    </row>
    <row r="170" spans="1:10" ht="24.6" x14ac:dyDescent="0.3">
      <c r="A170" s="36">
        <v>46173</v>
      </c>
      <c r="B170" s="37" t="s">
        <v>1496</v>
      </c>
      <c r="C170" s="38" t="s">
        <v>15</v>
      </c>
      <c r="D170" s="19" t="s">
        <v>1522</v>
      </c>
      <c r="E170" s="175">
        <v>154350</v>
      </c>
      <c r="F170" s="174"/>
      <c r="G170" s="38" t="s">
        <v>195</v>
      </c>
      <c r="H170" s="38" t="s">
        <v>882</v>
      </c>
      <c r="I170" s="2">
        <f t="shared" si="6"/>
        <v>154350</v>
      </c>
      <c r="J170" s="49" t="str">
        <f t="shared" si="7"/>
        <v>13311</v>
      </c>
    </row>
    <row r="171" spans="1:10" ht="24.6" x14ac:dyDescent="0.3">
      <c r="A171" s="36">
        <v>46173</v>
      </c>
      <c r="B171" s="37" t="s">
        <v>1496</v>
      </c>
      <c r="C171" s="38" t="s">
        <v>15</v>
      </c>
      <c r="D171" s="19" t="s">
        <v>1522</v>
      </c>
      <c r="E171" s="175">
        <v>491501</v>
      </c>
      <c r="F171" s="174"/>
      <c r="G171" s="38" t="s">
        <v>195</v>
      </c>
      <c r="H171" s="38" t="s">
        <v>882</v>
      </c>
      <c r="I171" s="2">
        <f t="shared" si="6"/>
        <v>491501</v>
      </c>
      <c r="J171" s="49" t="str">
        <f t="shared" si="7"/>
        <v>13311</v>
      </c>
    </row>
    <row r="172" spans="1:10" ht="24.6" x14ac:dyDescent="0.3">
      <c r="A172" s="36">
        <v>46173</v>
      </c>
      <c r="B172" s="37" t="s">
        <v>1496</v>
      </c>
      <c r="C172" s="38" t="s">
        <v>15</v>
      </c>
      <c r="D172" s="19" t="s">
        <v>1522</v>
      </c>
      <c r="E172" s="175">
        <v>508257</v>
      </c>
      <c r="F172" s="174"/>
      <c r="G172" s="38" t="s">
        <v>195</v>
      </c>
      <c r="H172" s="38" t="s">
        <v>882</v>
      </c>
      <c r="I172" s="2">
        <f t="shared" si="6"/>
        <v>508257</v>
      </c>
      <c r="J172" s="49" t="str">
        <f t="shared" si="7"/>
        <v>13311</v>
      </c>
    </row>
    <row r="173" spans="1:10" ht="24.6" x14ac:dyDescent="0.3">
      <c r="A173" s="36">
        <v>46173</v>
      </c>
      <c r="B173" s="37" t="s">
        <v>1496</v>
      </c>
      <c r="C173" s="38" t="s">
        <v>15</v>
      </c>
      <c r="D173" s="19" t="s">
        <v>1522</v>
      </c>
      <c r="E173" s="175">
        <v>308091</v>
      </c>
      <c r="F173" s="174"/>
      <c r="G173" s="38" t="s">
        <v>195</v>
      </c>
      <c r="H173" s="38" t="s">
        <v>882</v>
      </c>
      <c r="I173" s="2">
        <f t="shared" si="6"/>
        <v>308091</v>
      </c>
      <c r="J173" s="49" t="str">
        <f t="shared" si="7"/>
        <v>13311</v>
      </c>
    </row>
    <row r="174" spans="1:10" ht="24.6" x14ac:dyDescent="0.3">
      <c r="A174" s="36">
        <v>46173</v>
      </c>
      <c r="B174" s="37" t="s">
        <v>1496</v>
      </c>
      <c r="C174" s="38" t="s">
        <v>15</v>
      </c>
      <c r="D174" s="19" t="s">
        <v>1522</v>
      </c>
      <c r="E174" s="175">
        <v>3256830</v>
      </c>
      <c r="F174" s="174"/>
      <c r="G174" s="38" t="s">
        <v>195</v>
      </c>
      <c r="H174" s="38" t="s">
        <v>882</v>
      </c>
      <c r="I174" s="2">
        <f t="shared" si="6"/>
        <v>3256830</v>
      </c>
      <c r="J174" s="49" t="str">
        <f t="shared" si="7"/>
        <v>13311</v>
      </c>
    </row>
    <row r="175" spans="1:10" ht="24.6" x14ac:dyDescent="0.3">
      <c r="A175" s="36">
        <v>46173</v>
      </c>
      <c r="B175" s="37" t="s">
        <v>1496</v>
      </c>
      <c r="C175" s="38" t="s">
        <v>15</v>
      </c>
      <c r="D175" s="19" t="s">
        <v>1522</v>
      </c>
      <c r="E175" s="175">
        <v>361133</v>
      </c>
      <c r="F175" s="174"/>
      <c r="G175" s="38" t="s">
        <v>195</v>
      </c>
      <c r="H175" s="38" t="s">
        <v>882</v>
      </c>
      <c r="I175" s="2">
        <f t="shared" si="6"/>
        <v>361133</v>
      </c>
      <c r="J175" s="49" t="str">
        <f t="shared" si="7"/>
        <v>13311</v>
      </c>
    </row>
    <row r="176" spans="1:10" ht="24.6" x14ac:dyDescent="0.3">
      <c r="A176" s="36">
        <v>46173</v>
      </c>
      <c r="B176" s="37" t="s">
        <v>1496</v>
      </c>
      <c r="C176" s="38" t="s">
        <v>15</v>
      </c>
      <c r="D176" s="19" t="s">
        <v>1522</v>
      </c>
      <c r="E176" s="175">
        <v>731491</v>
      </c>
      <c r="F176" s="174"/>
      <c r="G176" s="38" t="s">
        <v>195</v>
      </c>
      <c r="H176" s="38" t="s">
        <v>882</v>
      </c>
      <c r="I176" s="2">
        <f t="shared" si="6"/>
        <v>731491</v>
      </c>
      <c r="J176" s="49" t="str">
        <f t="shared" si="7"/>
        <v>13311</v>
      </c>
    </row>
    <row r="177" spans="1:10" ht="24.6" x14ac:dyDescent="0.3">
      <c r="A177" s="36">
        <v>46173</v>
      </c>
      <c r="B177" s="37" t="s">
        <v>1496</v>
      </c>
      <c r="C177" s="38" t="s">
        <v>15</v>
      </c>
      <c r="D177" s="19" t="s">
        <v>1522</v>
      </c>
      <c r="E177" s="175">
        <v>1856292</v>
      </c>
      <c r="F177" s="174"/>
      <c r="G177" s="38" t="s">
        <v>195</v>
      </c>
      <c r="H177" s="38" t="s">
        <v>882</v>
      </c>
      <c r="I177" s="2">
        <f t="shared" si="6"/>
        <v>1856292</v>
      </c>
      <c r="J177" s="49" t="str">
        <f t="shared" si="7"/>
        <v>13311</v>
      </c>
    </row>
    <row r="178" spans="1:10" ht="24.6" x14ac:dyDescent="0.3">
      <c r="A178" s="36">
        <v>46173</v>
      </c>
      <c r="B178" s="37" t="s">
        <v>1496</v>
      </c>
      <c r="C178" s="38" t="s">
        <v>15</v>
      </c>
      <c r="D178" s="19" t="s">
        <v>1504</v>
      </c>
      <c r="E178" s="175">
        <v>443186</v>
      </c>
      <c r="F178" s="174"/>
      <c r="G178" s="38" t="s">
        <v>195</v>
      </c>
      <c r="H178" s="38" t="s">
        <v>882</v>
      </c>
      <c r="I178" s="2">
        <f t="shared" si="6"/>
        <v>443186</v>
      </c>
      <c r="J178" s="49" t="str">
        <f t="shared" si="7"/>
        <v>13311</v>
      </c>
    </row>
    <row r="179" spans="1:10" ht="24.6" x14ac:dyDescent="0.3">
      <c r="A179" s="36">
        <v>46173</v>
      </c>
      <c r="B179" s="37" t="s">
        <v>1496</v>
      </c>
      <c r="C179" s="38" t="s">
        <v>15</v>
      </c>
      <c r="D179" s="19" t="s">
        <v>1504</v>
      </c>
      <c r="E179" s="175">
        <v>417754</v>
      </c>
      <c r="F179" s="174"/>
      <c r="G179" s="38" t="s">
        <v>195</v>
      </c>
      <c r="H179" s="38" t="s">
        <v>882</v>
      </c>
      <c r="I179" s="2">
        <f t="shared" si="6"/>
        <v>417754</v>
      </c>
      <c r="J179" s="49" t="str">
        <f t="shared" si="7"/>
        <v>13311</v>
      </c>
    </row>
    <row r="180" spans="1:10" ht="24.6" x14ac:dyDescent="0.3">
      <c r="A180" s="36">
        <v>46173</v>
      </c>
      <c r="B180" s="37" t="s">
        <v>1496</v>
      </c>
      <c r="C180" s="38" t="s">
        <v>15</v>
      </c>
      <c r="D180" s="19" t="s">
        <v>1504</v>
      </c>
      <c r="E180" s="175">
        <v>370370</v>
      </c>
      <c r="F180" s="174"/>
      <c r="G180" s="38" t="s">
        <v>195</v>
      </c>
      <c r="H180" s="38" t="s">
        <v>882</v>
      </c>
      <c r="I180" s="2">
        <f t="shared" si="6"/>
        <v>370370</v>
      </c>
      <c r="J180" s="49" t="str">
        <f t="shared" si="7"/>
        <v>13311</v>
      </c>
    </row>
    <row r="181" spans="1:10" ht="24.6" x14ac:dyDescent="0.3">
      <c r="A181" s="36">
        <v>46173</v>
      </c>
      <c r="B181" s="37" t="s">
        <v>1496</v>
      </c>
      <c r="C181" s="38" t="s">
        <v>15</v>
      </c>
      <c r="D181" s="19" t="s">
        <v>1504</v>
      </c>
      <c r="E181" s="175">
        <v>488124</v>
      </c>
      <c r="F181" s="174"/>
      <c r="G181" s="38" t="s">
        <v>195</v>
      </c>
      <c r="H181" s="38" t="s">
        <v>882</v>
      </c>
      <c r="I181" s="2">
        <f t="shared" si="6"/>
        <v>488124</v>
      </c>
      <c r="J181" s="49" t="str">
        <f t="shared" si="7"/>
        <v>13311</v>
      </c>
    </row>
    <row r="182" spans="1:10" ht="24.6" x14ac:dyDescent="0.3">
      <c r="A182" s="36">
        <v>46173</v>
      </c>
      <c r="B182" s="37" t="s">
        <v>1496</v>
      </c>
      <c r="C182" s="38" t="s">
        <v>15</v>
      </c>
      <c r="D182" s="19" t="s">
        <v>1523</v>
      </c>
      <c r="E182" s="175">
        <v>3506692</v>
      </c>
      <c r="F182" s="174"/>
      <c r="G182" s="38" t="s">
        <v>195</v>
      </c>
      <c r="H182" s="38" t="s">
        <v>882</v>
      </c>
      <c r="I182" s="2">
        <f t="shared" si="6"/>
        <v>3506692</v>
      </c>
      <c r="J182" s="49" t="str">
        <f t="shared" si="7"/>
        <v>13311</v>
      </c>
    </row>
    <row r="183" spans="1:10" ht="24.6" x14ac:dyDescent="0.3">
      <c r="A183" s="36">
        <v>46173</v>
      </c>
      <c r="B183" s="37" t="s">
        <v>1496</v>
      </c>
      <c r="C183" s="38" t="s">
        <v>15</v>
      </c>
      <c r="D183" s="19" t="s">
        <v>1524</v>
      </c>
      <c r="E183" s="175">
        <v>406656</v>
      </c>
      <c r="F183" s="174"/>
      <c r="G183" s="38" t="s">
        <v>195</v>
      </c>
      <c r="H183" s="38" t="s">
        <v>882</v>
      </c>
      <c r="I183" s="2">
        <f t="shared" si="6"/>
        <v>406656</v>
      </c>
      <c r="J183" s="49" t="str">
        <f t="shared" si="7"/>
        <v>13311</v>
      </c>
    </row>
    <row r="184" spans="1:10" ht="24.6" x14ac:dyDescent="0.3">
      <c r="A184" s="36">
        <v>46173</v>
      </c>
      <c r="B184" s="37" t="s">
        <v>1496</v>
      </c>
      <c r="C184" s="38" t="s">
        <v>15</v>
      </c>
      <c r="D184" s="19" t="s">
        <v>1524</v>
      </c>
      <c r="E184" s="175">
        <v>395255</v>
      </c>
      <c r="F184" s="174"/>
      <c r="G184" s="38" t="s">
        <v>195</v>
      </c>
      <c r="H184" s="38" t="s">
        <v>882</v>
      </c>
      <c r="I184" s="2">
        <f t="shared" si="6"/>
        <v>395255</v>
      </c>
      <c r="J184" s="49" t="str">
        <f t="shared" si="7"/>
        <v>13311</v>
      </c>
    </row>
    <row r="185" spans="1:10" ht="24.6" x14ac:dyDescent="0.3">
      <c r="A185" s="36">
        <v>46173</v>
      </c>
      <c r="B185" s="37" t="s">
        <v>1496</v>
      </c>
      <c r="C185" s="38" t="s">
        <v>15</v>
      </c>
      <c r="D185" s="19" t="s">
        <v>1524</v>
      </c>
      <c r="E185" s="175">
        <v>371338</v>
      </c>
      <c r="F185" s="174"/>
      <c r="G185" s="38" t="s">
        <v>195</v>
      </c>
      <c r="H185" s="38" t="s">
        <v>882</v>
      </c>
      <c r="I185" s="2">
        <f t="shared" si="6"/>
        <v>371338</v>
      </c>
      <c r="J185" s="49" t="str">
        <f t="shared" si="7"/>
        <v>13311</v>
      </c>
    </row>
    <row r="186" spans="1:10" ht="24.6" x14ac:dyDescent="0.3">
      <c r="A186" s="36">
        <v>46173</v>
      </c>
      <c r="B186" s="37" t="s">
        <v>1496</v>
      </c>
      <c r="C186" s="38" t="s">
        <v>15</v>
      </c>
      <c r="D186" s="19" t="s">
        <v>1524</v>
      </c>
      <c r="E186" s="175">
        <v>434327</v>
      </c>
      <c r="F186" s="174"/>
      <c r="G186" s="38" t="s">
        <v>195</v>
      </c>
      <c r="H186" s="38" t="s">
        <v>882</v>
      </c>
      <c r="I186" s="2">
        <f t="shared" si="6"/>
        <v>434327</v>
      </c>
      <c r="J186" s="49" t="str">
        <f t="shared" si="7"/>
        <v>13311</v>
      </c>
    </row>
    <row r="187" spans="1:10" ht="24.6" x14ac:dyDescent="0.3">
      <c r="A187" s="36">
        <v>46173</v>
      </c>
      <c r="B187" s="37" t="s">
        <v>1496</v>
      </c>
      <c r="C187" s="38" t="s">
        <v>15</v>
      </c>
      <c r="D187" s="19" t="s">
        <v>1524</v>
      </c>
      <c r="E187" s="175">
        <v>485230</v>
      </c>
      <c r="F187" s="174"/>
      <c r="G187" s="38" t="s">
        <v>195</v>
      </c>
      <c r="H187" s="38" t="s">
        <v>882</v>
      </c>
      <c r="I187" s="2">
        <f t="shared" si="6"/>
        <v>485230</v>
      </c>
      <c r="J187" s="49" t="str">
        <f t="shared" si="7"/>
        <v>13311</v>
      </c>
    </row>
    <row r="188" spans="1:10" ht="24.6" x14ac:dyDescent="0.3">
      <c r="A188" s="36">
        <v>46173</v>
      </c>
      <c r="B188" s="37" t="s">
        <v>1496</v>
      </c>
      <c r="C188" s="38" t="s">
        <v>15</v>
      </c>
      <c r="D188" s="19" t="s">
        <v>1524</v>
      </c>
      <c r="E188" s="175">
        <v>373489</v>
      </c>
      <c r="F188" s="174"/>
      <c r="G188" s="38" t="s">
        <v>195</v>
      </c>
      <c r="H188" s="38" t="s">
        <v>882</v>
      </c>
      <c r="I188" s="2">
        <f t="shared" si="6"/>
        <v>373489</v>
      </c>
      <c r="J188" s="49" t="str">
        <f t="shared" si="7"/>
        <v>13311</v>
      </c>
    </row>
    <row r="189" spans="1:10" ht="36.6" x14ac:dyDescent="0.3">
      <c r="A189" s="36">
        <v>46173</v>
      </c>
      <c r="B189" s="37" t="s">
        <v>1525</v>
      </c>
      <c r="C189" s="38" t="s">
        <v>15</v>
      </c>
      <c r="D189" s="19" t="s">
        <v>1536</v>
      </c>
      <c r="E189" s="175">
        <v>2672000</v>
      </c>
      <c r="F189" s="174"/>
      <c r="G189" s="38" t="s">
        <v>179</v>
      </c>
      <c r="H189" s="38" t="s">
        <v>882</v>
      </c>
      <c r="I189" s="2">
        <f t="shared" si="6"/>
        <v>2672000</v>
      </c>
      <c r="J189" s="49" t="str">
        <f t="shared" si="7"/>
        <v>13311</v>
      </c>
    </row>
    <row r="190" spans="1:10" ht="36.6" x14ac:dyDescent="0.3">
      <c r="A190" s="36">
        <v>46173</v>
      </c>
      <c r="B190" s="37" t="s">
        <v>1525</v>
      </c>
      <c r="C190" s="38" t="s">
        <v>15</v>
      </c>
      <c r="D190" s="19" t="s">
        <v>1535</v>
      </c>
      <c r="E190" s="175">
        <v>469200</v>
      </c>
      <c r="F190" s="174"/>
      <c r="G190" s="38" t="s">
        <v>179</v>
      </c>
      <c r="H190" s="38" t="s">
        <v>882</v>
      </c>
      <c r="I190" s="2">
        <f t="shared" si="6"/>
        <v>469200</v>
      </c>
      <c r="J190" s="49" t="str">
        <f t="shared" si="7"/>
        <v>13311</v>
      </c>
    </row>
    <row r="191" spans="1:10" ht="36.6" x14ac:dyDescent="0.3">
      <c r="A191" s="36">
        <v>46173</v>
      </c>
      <c r="B191" s="37" t="s">
        <v>1525</v>
      </c>
      <c r="C191" s="38" t="s">
        <v>15</v>
      </c>
      <c r="D191" s="19" t="s">
        <v>1534</v>
      </c>
      <c r="E191" s="175">
        <v>2188889</v>
      </c>
      <c r="F191" s="174"/>
      <c r="G191" s="38" t="s">
        <v>179</v>
      </c>
      <c r="H191" s="38" t="s">
        <v>882</v>
      </c>
      <c r="I191" s="2">
        <f t="shared" si="6"/>
        <v>2188889</v>
      </c>
      <c r="J191" s="49" t="str">
        <f t="shared" si="7"/>
        <v>13311</v>
      </c>
    </row>
    <row r="192" spans="1:10" ht="24.6" x14ac:dyDescent="0.3">
      <c r="A192" s="36">
        <v>46173</v>
      </c>
      <c r="B192" s="37" t="s">
        <v>1525</v>
      </c>
      <c r="C192" s="38" t="s">
        <v>15</v>
      </c>
      <c r="D192" s="19" t="s">
        <v>1533</v>
      </c>
      <c r="E192" s="175">
        <v>656224</v>
      </c>
      <c r="F192" s="174"/>
      <c r="G192" s="38" t="s">
        <v>179</v>
      </c>
      <c r="H192" s="38" t="s">
        <v>882</v>
      </c>
      <c r="I192" s="2">
        <f t="shared" si="6"/>
        <v>656224</v>
      </c>
      <c r="J192" s="49" t="str">
        <f t="shared" si="7"/>
        <v>13311</v>
      </c>
    </row>
    <row r="193" spans="1:10" ht="36.6" x14ac:dyDescent="0.3">
      <c r="A193" s="36">
        <v>46173</v>
      </c>
      <c r="B193" s="37" t="s">
        <v>1525</v>
      </c>
      <c r="C193" s="38" t="s">
        <v>15</v>
      </c>
      <c r="D193" s="19" t="s">
        <v>1538</v>
      </c>
      <c r="E193" s="175">
        <v>471377</v>
      </c>
      <c r="F193" s="174"/>
      <c r="G193" s="38" t="s">
        <v>179</v>
      </c>
      <c r="H193" s="38" t="s">
        <v>882</v>
      </c>
      <c r="I193" s="2">
        <f t="shared" si="6"/>
        <v>471377</v>
      </c>
      <c r="J193" s="49" t="str">
        <f t="shared" si="7"/>
        <v>13311</v>
      </c>
    </row>
    <row r="194" spans="1:10" ht="36.6" x14ac:dyDescent="0.3">
      <c r="A194" s="36">
        <v>46173</v>
      </c>
      <c r="B194" s="37" t="s">
        <v>1525</v>
      </c>
      <c r="C194" s="38" t="s">
        <v>15</v>
      </c>
      <c r="D194" s="19" t="s">
        <v>1531</v>
      </c>
      <c r="E194" s="175">
        <v>466667</v>
      </c>
      <c r="F194" s="174"/>
      <c r="G194" s="38" t="s">
        <v>179</v>
      </c>
      <c r="H194" s="38" t="s">
        <v>882</v>
      </c>
      <c r="I194" s="2">
        <f t="shared" si="6"/>
        <v>466667</v>
      </c>
      <c r="J194" s="49" t="str">
        <f t="shared" si="7"/>
        <v>13311</v>
      </c>
    </row>
    <row r="195" spans="1:10" ht="36.6" x14ac:dyDescent="0.3">
      <c r="A195" s="36">
        <v>46173</v>
      </c>
      <c r="B195" s="37" t="s">
        <v>1525</v>
      </c>
      <c r="C195" s="38" t="s">
        <v>15</v>
      </c>
      <c r="D195" s="19" t="s">
        <v>1537</v>
      </c>
      <c r="E195" s="175">
        <v>20995200</v>
      </c>
      <c r="F195" s="174"/>
      <c r="G195" s="38" t="s">
        <v>179</v>
      </c>
      <c r="H195" s="38" t="s">
        <v>882</v>
      </c>
      <c r="I195" s="2">
        <f t="shared" si="6"/>
        <v>20995200</v>
      </c>
      <c r="J195" s="49" t="str">
        <f t="shared" si="7"/>
        <v>13311</v>
      </c>
    </row>
    <row r="196" spans="1:10" ht="36.6" x14ac:dyDescent="0.3">
      <c r="A196" s="36">
        <v>46173</v>
      </c>
      <c r="B196" s="37" t="s">
        <v>1525</v>
      </c>
      <c r="C196" s="38" t="s">
        <v>15</v>
      </c>
      <c r="D196" s="19" t="s">
        <v>1529</v>
      </c>
      <c r="E196" s="175">
        <v>2125120</v>
      </c>
      <c r="F196" s="174"/>
      <c r="G196" s="38" t="s">
        <v>179</v>
      </c>
      <c r="H196" s="38" t="s">
        <v>882</v>
      </c>
      <c r="I196" s="2">
        <f t="shared" si="6"/>
        <v>2125120</v>
      </c>
      <c r="J196" s="49" t="str">
        <f t="shared" si="7"/>
        <v>13311</v>
      </c>
    </row>
    <row r="197" spans="1:10" ht="36.6" x14ac:dyDescent="0.3">
      <c r="A197" s="36">
        <v>46173</v>
      </c>
      <c r="B197" s="37" t="s">
        <v>1525</v>
      </c>
      <c r="C197" s="38" t="s">
        <v>15</v>
      </c>
      <c r="D197" s="19" t="s">
        <v>1528</v>
      </c>
      <c r="E197" s="175">
        <v>609578</v>
      </c>
      <c r="F197" s="174"/>
      <c r="G197" s="38" t="s">
        <v>179</v>
      </c>
      <c r="H197" s="38" t="s">
        <v>882</v>
      </c>
      <c r="I197" s="2">
        <f t="shared" si="6"/>
        <v>609578</v>
      </c>
      <c r="J197" s="49" t="str">
        <f t="shared" si="7"/>
        <v>13311</v>
      </c>
    </row>
    <row r="198" spans="1:10" ht="36.6" x14ac:dyDescent="0.3">
      <c r="A198" s="36">
        <v>46173</v>
      </c>
      <c r="B198" s="37" t="s">
        <v>1525</v>
      </c>
      <c r="C198" s="38" t="s">
        <v>15</v>
      </c>
      <c r="D198" s="19" t="s">
        <v>1527</v>
      </c>
      <c r="E198" s="175">
        <v>3454800</v>
      </c>
      <c r="F198" s="174"/>
      <c r="G198" s="38" t="s">
        <v>179</v>
      </c>
      <c r="H198" s="38" t="s">
        <v>882</v>
      </c>
      <c r="I198" s="2">
        <f t="shared" si="6"/>
        <v>3454800</v>
      </c>
      <c r="J198" s="49" t="str">
        <f t="shared" si="7"/>
        <v>13311</v>
      </c>
    </row>
    <row r="199" spans="1:10" ht="36.6" x14ac:dyDescent="0.3">
      <c r="A199" s="36">
        <v>46173</v>
      </c>
      <c r="B199" s="37" t="s">
        <v>1525</v>
      </c>
      <c r="C199" s="38" t="s">
        <v>15</v>
      </c>
      <c r="D199" s="19" t="s">
        <v>1526</v>
      </c>
      <c r="E199" s="175">
        <v>32238200</v>
      </c>
      <c r="F199" s="174"/>
      <c r="G199" s="38" t="s">
        <v>179</v>
      </c>
      <c r="H199" s="38" t="s">
        <v>882</v>
      </c>
      <c r="I199" s="2">
        <f t="shared" si="6"/>
        <v>32238200</v>
      </c>
      <c r="J199" s="49" t="str">
        <f t="shared" si="7"/>
        <v>13311</v>
      </c>
    </row>
    <row r="200" spans="1:10" ht="24.6" x14ac:dyDescent="0.3">
      <c r="A200" s="36">
        <v>46173</v>
      </c>
      <c r="B200" s="37" t="s">
        <v>1525</v>
      </c>
      <c r="C200" s="38" t="s">
        <v>15</v>
      </c>
      <c r="D200" s="19" t="s">
        <v>1532</v>
      </c>
      <c r="E200" s="175">
        <v>3465000</v>
      </c>
      <c r="F200" s="174"/>
      <c r="G200" s="38" t="s">
        <v>179</v>
      </c>
      <c r="H200" s="38" t="s">
        <v>882</v>
      </c>
      <c r="I200" s="2">
        <f t="shared" si="6"/>
        <v>3465000</v>
      </c>
      <c r="J200" s="49" t="str">
        <f t="shared" si="7"/>
        <v>13311</v>
      </c>
    </row>
    <row r="201" spans="1:10" ht="24.6" x14ac:dyDescent="0.3">
      <c r="A201" s="36">
        <v>46173</v>
      </c>
      <c r="B201" s="37" t="s">
        <v>1525</v>
      </c>
      <c r="C201" s="38" t="s">
        <v>15</v>
      </c>
      <c r="D201" s="19" t="s">
        <v>1530</v>
      </c>
      <c r="E201" s="175">
        <v>2512500</v>
      </c>
      <c r="F201" s="174"/>
      <c r="G201" s="38" t="s">
        <v>179</v>
      </c>
      <c r="H201" s="38" t="s">
        <v>882</v>
      </c>
      <c r="I201" s="2">
        <f t="shared" si="6"/>
        <v>2512500</v>
      </c>
      <c r="J201" s="49" t="str">
        <f t="shared" si="7"/>
        <v>13311</v>
      </c>
    </row>
    <row r="202" spans="1:10" x14ac:dyDescent="0.3">
      <c r="A202" s="36">
        <v>46173</v>
      </c>
      <c r="B202" s="37" t="s">
        <v>1539</v>
      </c>
      <c r="C202" s="38" t="s">
        <v>15</v>
      </c>
      <c r="D202" s="19" t="s">
        <v>1544</v>
      </c>
      <c r="E202" s="175">
        <v>18148</v>
      </c>
      <c r="F202" s="174"/>
      <c r="G202" s="38" t="s">
        <v>259</v>
      </c>
      <c r="H202" s="38" t="s">
        <v>882</v>
      </c>
      <c r="I202" s="2">
        <f t="shared" si="6"/>
        <v>18148</v>
      </c>
      <c r="J202" s="49" t="str">
        <f t="shared" si="7"/>
        <v>13311</v>
      </c>
    </row>
    <row r="203" spans="1:10" x14ac:dyDescent="0.3">
      <c r="A203" s="36">
        <v>46173</v>
      </c>
      <c r="B203" s="37" t="s">
        <v>1539</v>
      </c>
      <c r="C203" s="38" t="s">
        <v>15</v>
      </c>
      <c r="D203" s="19" t="s">
        <v>1544</v>
      </c>
      <c r="E203" s="175">
        <v>26667</v>
      </c>
      <c r="F203" s="174"/>
      <c r="G203" s="38" t="s">
        <v>259</v>
      </c>
      <c r="H203" s="38" t="s">
        <v>882</v>
      </c>
      <c r="I203" s="2">
        <f t="shared" si="6"/>
        <v>26667</v>
      </c>
      <c r="J203" s="49" t="str">
        <f t="shared" si="7"/>
        <v>13311</v>
      </c>
    </row>
    <row r="204" spans="1:10" x14ac:dyDescent="0.3">
      <c r="A204" s="36">
        <v>46173</v>
      </c>
      <c r="B204" s="37" t="s">
        <v>1539</v>
      </c>
      <c r="C204" s="38" t="s">
        <v>15</v>
      </c>
      <c r="D204" s="19" t="s">
        <v>1544</v>
      </c>
      <c r="E204" s="175">
        <v>20000</v>
      </c>
      <c r="F204" s="174"/>
      <c r="G204" s="38" t="s">
        <v>259</v>
      </c>
      <c r="H204" s="38" t="s">
        <v>882</v>
      </c>
      <c r="I204" s="2">
        <f t="shared" si="6"/>
        <v>20000</v>
      </c>
      <c r="J204" s="49" t="str">
        <f t="shared" si="7"/>
        <v>13311</v>
      </c>
    </row>
    <row r="205" spans="1:10" x14ac:dyDescent="0.3">
      <c r="A205" s="36">
        <v>46173</v>
      </c>
      <c r="B205" s="37" t="s">
        <v>1539</v>
      </c>
      <c r="C205" s="38" t="s">
        <v>15</v>
      </c>
      <c r="D205" s="19" t="s">
        <v>1544</v>
      </c>
      <c r="E205" s="175">
        <v>31111</v>
      </c>
      <c r="F205" s="174"/>
      <c r="G205" s="38" t="s">
        <v>259</v>
      </c>
      <c r="H205" s="38" t="s">
        <v>882</v>
      </c>
      <c r="I205" s="2">
        <f t="shared" si="6"/>
        <v>31111</v>
      </c>
      <c r="J205" s="49" t="str">
        <f t="shared" si="7"/>
        <v>13311</v>
      </c>
    </row>
    <row r="206" spans="1:10" x14ac:dyDescent="0.3">
      <c r="A206" s="36">
        <v>46173</v>
      </c>
      <c r="B206" s="37" t="s">
        <v>1539</v>
      </c>
      <c r="C206" s="38" t="s">
        <v>15</v>
      </c>
      <c r="D206" s="19" t="s">
        <v>1545</v>
      </c>
      <c r="E206" s="175">
        <v>96000</v>
      </c>
      <c r="F206" s="174"/>
      <c r="G206" s="38" t="s">
        <v>259</v>
      </c>
      <c r="H206" s="38" t="s">
        <v>882</v>
      </c>
      <c r="I206" s="2">
        <f t="shared" si="6"/>
        <v>96000</v>
      </c>
      <c r="J206" s="49" t="str">
        <f t="shared" si="7"/>
        <v>13311</v>
      </c>
    </row>
    <row r="207" spans="1:10" x14ac:dyDescent="0.3">
      <c r="A207" s="36">
        <v>46173</v>
      </c>
      <c r="B207" s="37" t="s">
        <v>1539</v>
      </c>
      <c r="C207" s="38" t="s">
        <v>15</v>
      </c>
      <c r="D207" s="19" t="s">
        <v>1545</v>
      </c>
      <c r="E207" s="175">
        <v>24000</v>
      </c>
      <c r="F207" s="174"/>
      <c r="G207" s="38" t="s">
        <v>259</v>
      </c>
      <c r="H207" s="38" t="s">
        <v>882</v>
      </c>
      <c r="I207" s="2">
        <f t="shared" si="6"/>
        <v>24000</v>
      </c>
      <c r="J207" s="49" t="str">
        <f t="shared" si="7"/>
        <v>13311</v>
      </c>
    </row>
    <row r="208" spans="1:10" x14ac:dyDescent="0.3">
      <c r="A208" s="36">
        <v>46173</v>
      </c>
      <c r="B208" s="37" t="s">
        <v>1539</v>
      </c>
      <c r="C208" s="38" t="s">
        <v>15</v>
      </c>
      <c r="D208" s="19" t="s">
        <v>1540</v>
      </c>
      <c r="E208" s="175">
        <v>179226</v>
      </c>
      <c r="F208" s="174"/>
      <c r="G208" s="38" t="s">
        <v>259</v>
      </c>
      <c r="H208" s="38" t="s">
        <v>882</v>
      </c>
      <c r="I208" s="2">
        <f t="shared" ref="I208:I271" si="8">IF(LEN(A208)=5,E208,0)</f>
        <v>179226</v>
      </c>
      <c r="J208" s="49" t="str">
        <f t="shared" ref="J208:J271" si="9">IF(LEFT(A208,11)="Tài khoản: ",MID(A208,12,5),J207)</f>
        <v>13311</v>
      </c>
    </row>
    <row r="209" spans="1:10" x14ac:dyDescent="0.3">
      <c r="A209" s="36">
        <v>46173</v>
      </c>
      <c r="B209" s="37" t="s">
        <v>1539</v>
      </c>
      <c r="C209" s="38" t="s">
        <v>15</v>
      </c>
      <c r="D209" s="19" t="s">
        <v>1541</v>
      </c>
      <c r="E209" s="175">
        <v>100000</v>
      </c>
      <c r="F209" s="174"/>
      <c r="G209" s="38" t="s">
        <v>259</v>
      </c>
      <c r="H209" s="38" t="s">
        <v>882</v>
      </c>
      <c r="I209" s="2">
        <f t="shared" si="8"/>
        <v>100000</v>
      </c>
      <c r="J209" s="49" t="str">
        <f t="shared" si="9"/>
        <v>13311</v>
      </c>
    </row>
    <row r="210" spans="1:10" x14ac:dyDescent="0.3">
      <c r="A210" s="36">
        <v>46173</v>
      </c>
      <c r="B210" s="37" t="s">
        <v>1539</v>
      </c>
      <c r="C210" s="38" t="s">
        <v>15</v>
      </c>
      <c r="D210" s="19" t="s">
        <v>1068</v>
      </c>
      <c r="E210" s="175">
        <v>24000</v>
      </c>
      <c r="F210" s="174"/>
      <c r="G210" s="38" t="s">
        <v>259</v>
      </c>
      <c r="H210" s="38" t="s">
        <v>882</v>
      </c>
      <c r="I210" s="2">
        <f t="shared" si="8"/>
        <v>24000</v>
      </c>
      <c r="J210" s="49" t="str">
        <f t="shared" si="9"/>
        <v>13311</v>
      </c>
    </row>
    <row r="211" spans="1:10" x14ac:dyDescent="0.3">
      <c r="A211" s="36">
        <v>46173</v>
      </c>
      <c r="B211" s="37" t="s">
        <v>1539</v>
      </c>
      <c r="C211" s="38" t="s">
        <v>15</v>
      </c>
      <c r="D211" s="19" t="s">
        <v>1054</v>
      </c>
      <c r="E211" s="175">
        <v>109407</v>
      </c>
      <c r="F211" s="174"/>
      <c r="G211" s="38" t="s">
        <v>259</v>
      </c>
      <c r="H211" s="38" t="s">
        <v>882</v>
      </c>
      <c r="I211" s="2">
        <f t="shared" si="8"/>
        <v>109407</v>
      </c>
      <c r="J211" s="49" t="str">
        <f t="shared" si="9"/>
        <v>13311</v>
      </c>
    </row>
    <row r="212" spans="1:10" x14ac:dyDescent="0.3">
      <c r="A212" s="36">
        <v>46173</v>
      </c>
      <c r="B212" s="37" t="s">
        <v>1539</v>
      </c>
      <c r="C212" s="38" t="s">
        <v>15</v>
      </c>
      <c r="D212" s="19" t="s">
        <v>1542</v>
      </c>
      <c r="E212" s="175">
        <v>24000</v>
      </c>
      <c r="F212" s="174"/>
      <c r="G212" s="38" t="s">
        <v>259</v>
      </c>
      <c r="H212" s="38" t="s">
        <v>882</v>
      </c>
      <c r="I212" s="2">
        <f t="shared" si="8"/>
        <v>24000</v>
      </c>
      <c r="J212" s="49" t="str">
        <f t="shared" si="9"/>
        <v>13311</v>
      </c>
    </row>
    <row r="213" spans="1:10" x14ac:dyDescent="0.3">
      <c r="A213" s="36">
        <v>46173</v>
      </c>
      <c r="B213" s="37" t="s">
        <v>1539</v>
      </c>
      <c r="C213" s="38" t="s">
        <v>15</v>
      </c>
      <c r="D213" s="19" t="s">
        <v>1542</v>
      </c>
      <c r="E213" s="175">
        <v>24000</v>
      </c>
      <c r="F213" s="174"/>
      <c r="G213" s="38" t="s">
        <v>259</v>
      </c>
      <c r="H213" s="38" t="s">
        <v>882</v>
      </c>
      <c r="I213" s="2">
        <f t="shared" si="8"/>
        <v>24000</v>
      </c>
      <c r="J213" s="49" t="str">
        <f t="shared" si="9"/>
        <v>13311</v>
      </c>
    </row>
    <row r="214" spans="1:10" x14ac:dyDescent="0.3">
      <c r="A214" s="36">
        <v>46173</v>
      </c>
      <c r="B214" s="37" t="s">
        <v>1539</v>
      </c>
      <c r="C214" s="38" t="s">
        <v>15</v>
      </c>
      <c r="D214" s="19" t="s">
        <v>1542</v>
      </c>
      <c r="E214" s="175">
        <v>24000</v>
      </c>
      <c r="F214" s="174"/>
      <c r="G214" s="38" t="s">
        <v>259</v>
      </c>
      <c r="H214" s="38" t="s">
        <v>882</v>
      </c>
      <c r="I214" s="2">
        <f t="shared" si="8"/>
        <v>24000</v>
      </c>
      <c r="J214" s="49" t="str">
        <f t="shared" si="9"/>
        <v>13311</v>
      </c>
    </row>
    <row r="215" spans="1:10" x14ac:dyDescent="0.3">
      <c r="A215" s="36">
        <v>46173</v>
      </c>
      <c r="B215" s="37" t="s">
        <v>1539</v>
      </c>
      <c r="C215" s="38" t="s">
        <v>15</v>
      </c>
      <c r="D215" s="19" t="s">
        <v>1543</v>
      </c>
      <c r="E215" s="175">
        <v>145454</v>
      </c>
      <c r="F215" s="174"/>
      <c r="G215" s="38" t="s">
        <v>259</v>
      </c>
      <c r="H215" s="38" t="s">
        <v>882</v>
      </c>
      <c r="I215" s="2">
        <f t="shared" si="8"/>
        <v>145454</v>
      </c>
      <c r="J215" s="49" t="str">
        <f t="shared" si="9"/>
        <v>13311</v>
      </c>
    </row>
    <row r="216" spans="1:10" x14ac:dyDescent="0.3">
      <c r="A216" s="36">
        <v>46173</v>
      </c>
      <c r="B216" s="37" t="s">
        <v>1539</v>
      </c>
      <c r="C216" s="38" t="s">
        <v>15</v>
      </c>
      <c r="D216" s="19" t="s">
        <v>1542</v>
      </c>
      <c r="E216" s="175">
        <v>21091</v>
      </c>
      <c r="F216" s="174"/>
      <c r="G216" s="38" t="s">
        <v>259</v>
      </c>
      <c r="H216" s="38" t="s">
        <v>882</v>
      </c>
      <c r="I216" s="2">
        <f t="shared" si="8"/>
        <v>21091</v>
      </c>
      <c r="J216" s="49" t="str">
        <f t="shared" si="9"/>
        <v>13311</v>
      </c>
    </row>
    <row r="217" spans="1:10" x14ac:dyDescent="0.3">
      <c r="A217" s="36">
        <v>46173</v>
      </c>
      <c r="B217" s="37" t="s">
        <v>1539</v>
      </c>
      <c r="C217" s="38" t="s">
        <v>15</v>
      </c>
      <c r="D217" s="19" t="s">
        <v>1542</v>
      </c>
      <c r="E217" s="175">
        <v>18182</v>
      </c>
      <c r="F217" s="174"/>
      <c r="G217" s="38" t="s">
        <v>259</v>
      </c>
      <c r="H217" s="38" t="s">
        <v>882</v>
      </c>
      <c r="I217" s="2">
        <f t="shared" si="8"/>
        <v>18182</v>
      </c>
      <c r="J217" s="49" t="str">
        <f t="shared" si="9"/>
        <v>13311</v>
      </c>
    </row>
    <row r="218" spans="1:10" x14ac:dyDescent="0.3">
      <c r="A218" s="36">
        <v>46173</v>
      </c>
      <c r="B218" s="37" t="s">
        <v>1539</v>
      </c>
      <c r="C218" s="38" t="s">
        <v>15</v>
      </c>
      <c r="D218" s="19" t="s">
        <v>1542</v>
      </c>
      <c r="E218" s="175">
        <v>21091</v>
      </c>
      <c r="F218" s="174"/>
      <c r="G218" s="38" t="s">
        <v>259</v>
      </c>
      <c r="H218" s="38" t="s">
        <v>882</v>
      </c>
      <c r="I218" s="2">
        <f t="shared" si="8"/>
        <v>21091</v>
      </c>
      <c r="J218" s="49" t="str">
        <f t="shared" si="9"/>
        <v>13311</v>
      </c>
    </row>
    <row r="219" spans="1:10" x14ac:dyDescent="0.3">
      <c r="A219" s="36">
        <v>46173</v>
      </c>
      <c r="B219" s="37" t="s">
        <v>1539</v>
      </c>
      <c r="C219" s="38" t="s">
        <v>15</v>
      </c>
      <c r="D219" s="19" t="s">
        <v>1094</v>
      </c>
      <c r="E219" s="175">
        <v>360607</v>
      </c>
      <c r="F219" s="174"/>
      <c r="G219" s="38" t="s">
        <v>259</v>
      </c>
      <c r="H219" s="38" t="s">
        <v>882</v>
      </c>
      <c r="I219" s="2">
        <f t="shared" si="8"/>
        <v>360607</v>
      </c>
      <c r="J219" s="49" t="str">
        <f t="shared" si="9"/>
        <v>13311</v>
      </c>
    </row>
    <row r="220" spans="1:10" x14ac:dyDescent="0.3">
      <c r="A220" s="36">
        <v>46173</v>
      </c>
      <c r="B220" s="37" t="s">
        <v>1539</v>
      </c>
      <c r="C220" s="38" t="s">
        <v>15</v>
      </c>
      <c r="D220" s="19" t="s">
        <v>1094</v>
      </c>
      <c r="E220" s="175">
        <v>3200</v>
      </c>
      <c r="F220" s="174"/>
      <c r="G220" s="38" t="s">
        <v>259</v>
      </c>
      <c r="H220" s="38" t="s">
        <v>882</v>
      </c>
      <c r="I220" s="2">
        <f t="shared" si="8"/>
        <v>3200</v>
      </c>
      <c r="J220" s="49" t="str">
        <f t="shared" si="9"/>
        <v>13311</v>
      </c>
    </row>
    <row r="221" spans="1:10" x14ac:dyDescent="0.3">
      <c r="A221" s="36">
        <v>46173</v>
      </c>
      <c r="B221" s="37" t="s">
        <v>1539</v>
      </c>
      <c r="C221" s="38" t="s">
        <v>15</v>
      </c>
      <c r="D221" s="19" t="s">
        <v>1544</v>
      </c>
      <c r="E221" s="175">
        <v>13333</v>
      </c>
      <c r="F221" s="174"/>
      <c r="G221" s="38" t="s">
        <v>259</v>
      </c>
      <c r="H221" s="38" t="s">
        <v>882</v>
      </c>
      <c r="I221" s="2">
        <f t="shared" si="8"/>
        <v>13333</v>
      </c>
      <c r="J221" s="49" t="str">
        <f t="shared" si="9"/>
        <v>13311</v>
      </c>
    </row>
    <row r="222" spans="1:10" x14ac:dyDescent="0.3">
      <c r="A222" s="36">
        <v>46173</v>
      </c>
      <c r="B222" s="37" t="s">
        <v>1539</v>
      </c>
      <c r="C222" s="38" t="s">
        <v>15</v>
      </c>
      <c r="D222" s="19" t="s">
        <v>1511</v>
      </c>
      <c r="E222" s="175">
        <v>329036</v>
      </c>
      <c r="F222" s="174"/>
      <c r="G222" s="38" t="s">
        <v>259</v>
      </c>
      <c r="H222" s="38" t="s">
        <v>882</v>
      </c>
      <c r="I222" s="2">
        <f t="shared" si="8"/>
        <v>329036</v>
      </c>
      <c r="J222" s="49" t="str">
        <f t="shared" si="9"/>
        <v>13311</v>
      </c>
    </row>
    <row r="223" spans="1:10" x14ac:dyDescent="0.3">
      <c r="A223" s="36">
        <v>46173</v>
      </c>
      <c r="B223" s="37" t="s">
        <v>1539</v>
      </c>
      <c r="C223" s="38" t="s">
        <v>15</v>
      </c>
      <c r="D223" s="19" t="s">
        <v>1511</v>
      </c>
      <c r="E223" s="175">
        <v>5455</v>
      </c>
      <c r="F223" s="174"/>
      <c r="G223" s="38" t="s">
        <v>259</v>
      </c>
      <c r="H223" s="38" t="s">
        <v>882</v>
      </c>
      <c r="I223" s="2">
        <f t="shared" si="8"/>
        <v>5455</v>
      </c>
      <c r="J223" s="49" t="str">
        <f t="shared" si="9"/>
        <v>13311</v>
      </c>
    </row>
    <row r="224" spans="1:10" x14ac:dyDescent="0.3">
      <c r="A224" s="36">
        <v>46173</v>
      </c>
      <c r="B224" s="37" t="s">
        <v>1539</v>
      </c>
      <c r="C224" s="38" t="s">
        <v>15</v>
      </c>
      <c r="D224" s="19" t="s">
        <v>1511</v>
      </c>
      <c r="E224" s="175">
        <v>328518</v>
      </c>
      <c r="F224" s="174"/>
      <c r="G224" s="38" t="s">
        <v>259</v>
      </c>
      <c r="H224" s="38" t="s">
        <v>882</v>
      </c>
      <c r="I224" s="2">
        <f t="shared" si="8"/>
        <v>328518</v>
      </c>
      <c r="J224" s="49" t="str">
        <f t="shared" si="9"/>
        <v>13311</v>
      </c>
    </row>
    <row r="225" spans="1:10" x14ac:dyDescent="0.3">
      <c r="A225" s="36">
        <v>46173</v>
      </c>
      <c r="B225" s="37" t="s">
        <v>1539</v>
      </c>
      <c r="C225" s="38" t="s">
        <v>15</v>
      </c>
      <c r="D225" s="19" t="s">
        <v>1511</v>
      </c>
      <c r="E225" s="175">
        <v>7273</v>
      </c>
      <c r="F225" s="174"/>
      <c r="G225" s="38" t="s">
        <v>259</v>
      </c>
      <c r="H225" s="38" t="s">
        <v>882</v>
      </c>
      <c r="I225" s="2">
        <f t="shared" si="8"/>
        <v>7273</v>
      </c>
      <c r="J225" s="49" t="str">
        <f t="shared" si="9"/>
        <v>13311</v>
      </c>
    </row>
    <row r="226" spans="1:10" x14ac:dyDescent="0.3">
      <c r="A226" s="36">
        <v>46173</v>
      </c>
      <c r="B226" s="37" t="s">
        <v>1539</v>
      </c>
      <c r="C226" s="38" t="s">
        <v>15</v>
      </c>
      <c r="D226" s="19" t="s">
        <v>1511</v>
      </c>
      <c r="E226" s="175">
        <v>328666</v>
      </c>
      <c r="F226" s="174"/>
      <c r="G226" s="38" t="s">
        <v>259</v>
      </c>
      <c r="H226" s="38" t="s">
        <v>882</v>
      </c>
      <c r="I226" s="2">
        <f t="shared" si="8"/>
        <v>328666</v>
      </c>
      <c r="J226" s="49" t="str">
        <f t="shared" si="9"/>
        <v>13311</v>
      </c>
    </row>
    <row r="227" spans="1:10" x14ac:dyDescent="0.3">
      <c r="A227" s="36">
        <v>46173</v>
      </c>
      <c r="B227" s="37" t="s">
        <v>1539</v>
      </c>
      <c r="C227" s="38" t="s">
        <v>15</v>
      </c>
      <c r="D227" s="19" t="s">
        <v>1511</v>
      </c>
      <c r="E227" s="175">
        <v>8182</v>
      </c>
      <c r="F227" s="174"/>
      <c r="G227" s="38" t="s">
        <v>259</v>
      </c>
      <c r="H227" s="38" t="s">
        <v>882</v>
      </c>
      <c r="I227" s="2">
        <f t="shared" si="8"/>
        <v>8182</v>
      </c>
      <c r="J227" s="49" t="str">
        <f t="shared" si="9"/>
        <v>13311</v>
      </c>
    </row>
    <row r="228" spans="1:10" x14ac:dyDescent="0.3">
      <c r="A228" s="36">
        <v>46173</v>
      </c>
      <c r="B228" s="37" t="s">
        <v>1539</v>
      </c>
      <c r="C228" s="38" t="s">
        <v>15</v>
      </c>
      <c r="D228" s="19" t="s">
        <v>1511</v>
      </c>
      <c r="E228" s="175">
        <v>327924</v>
      </c>
      <c r="F228" s="174"/>
      <c r="G228" s="38" t="s">
        <v>259</v>
      </c>
      <c r="H228" s="38" t="s">
        <v>882</v>
      </c>
      <c r="I228" s="2">
        <f t="shared" si="8"/>
        <v>327924</v>
      </c>
      <c r="J228" s="49" t="str">
        <f t="shared" si="9"/>
        <v>13311</v>
      </c>
    </row>
    <row r="229" spans="1:10" x14ac:dyDescent="0.3">
      <c r="A229" s="36">
        <v>46173</v>
      </c>
      <c r="B229" s="37" t="s">
        <v>1539</v>
      </c>
      <c r="C229" s="38" t="s">
        <v>15</v>
      </c>
      <c r="D229" s="19" t="s">
        <v>1511</v>
      </c>
      <c r="E229" s="175">
        <v>6818</v>
      </c>
      <c r="F229" s="174"/>
      <c r="G229" s="38" t="s">
        <v>259</v>
      </c>
      <c r="H229" s="38" t="s">
        <v>882</v>
      </c>
      <c r="I229" s="2">
        <f t="shared" si="8"/>
        <v>6818</v>
      </c>
      <c r="J229" s="49" t="str">
        <f t="shared" si="9"/>
        <v>13311</v>
      </c>
    </row>
    <row r="230" spans="1:10" x14ac:dyDescent="0.3">
      <c r="A230" s="36">
        <v>46173</v>
      </c>
      <c r="B230" s="37" t="s">
        <v>1539</v>
      </c>
      <c r="C230" s="38" t="s">
        <v>15</v>
      </c>
      <c r="D230" s="19" t="s">
        <v>1511</v>
      </c>
      <c r="E230" s="175">
        <v>295852</v>
      </c>
      <c r="F230" s="174"/>
      <c r="G230" s="38" t="s">
        <v>259</v>
      </c>
      <c r="H230" s="38" t="s">
        <v>882</v>
      </c>
      <c r="I230" s="2">
        <f t="shared" si="8"/>
        <v>295852</v>
      </c>
      <c r="J230" s="49" t="str">
        <f t="shared" si="9"/>
        <v>13311</v>
      </c>
    </row>
    <row r="231" spans="1:10" x14ac:dyDescent="0.3">
      <c r="A231" s="36">
        <v>46173</v>
      </c>
      <c r="B231" s="37" t="s">
        <v>1539</v>
      </c>
      <c r="C231" s="38" t="s">
        <v>15</v>
      </c>
      <c r="D231" s="19" t="s">
        <v>1511</v>
      </c>
      <c r="E231" s="175">
        <v>1364</v>
      </c>
      <c r="F231" s="174"/>
      <c r="G231" s="38" t="s">
        <v>259</v>
      </c>
      <c r="H231" s="38" t="s">
        <v>882</v>
      </c>
      <c r="I231" s="2">
        <f t="shared" si="8"/>
        <v>1364</v>
      </c>
      <c r="J231" s="49" t="str">
        <f t="shared" si="9"/>
        <v>13311</v>
      </c>
    </row>
    <row r="232" spans="1:10" x14ac:dyDescent="0.3">
      <c r="A232" s="36">
        <v>46173</v>
      </c>
      <c r="B232" s="37" t="s">
        <v>1539</v>
      </c>
      <c r="C232" s="38" t="s">
        <v>15</v>
      </c>
      <c r="D232" s="19" t="s">
        <v>1511</v>
      </c>
      <c r="E232" s="175">
        <v>334320</v>
      </c>
      <c r="F232" s="174"/>
      <c r="G232" s="38" t="s">
        <v>259</v>
      </c>
      <c r="H232" s="38" t="s">
        <v>882</v>
      </c>
      <c r="I232" s="2">
        <f t="shared" si="8"/>
        <v>334320</v>
      </c>
      <c r="J232" s="49" t="str">
        <f t="shared" si="9"/>
        <v>13311</v>
      </c>
    </row>
    <row r="233" spans="1:10" x14ac:dyDescent="0.3">
      <c r="A233" s="36">
        <v>46173</v>
      </c>
      <c r="B233" s="37" t="s">
        <v>1539</v>
      </c>
      <c r="C233" s="38" t="s">
        <v>15</v>
      </c>
      <c r="D233" s="19" t="s">
        <v>1511</v>
      </c>
      <c r="E233" s="175">
        <v>335926</v>
      </c>
      <c r="F233" s="174"/>
      <c r="G233" s="38" t="s">
        <v>259</v>
      </c>
      <c r="H233" s="38" t="s">
        <v>882</v>
      </c>
      <c r="I233" s="2">
        <f t="shared" si="8"/>
        <v>335926</v>
      </c>
      <c r="J233" s="49" t="str">
        <f t="shared" si="9"/>
        <v>13311</v>
      </c>
    </row>
    <row r="234" spans="1:10" x14ac:dyDescent="0.3">
      <c r="A234" s="36">
        <v>46173</v>
      </c>
      <c r="B234" s="37" t="s">
        <v>1539</v>
      </c>
      <c r="C234" s="38" t="s">
        <v>15</v>
      </c>
      <c r="D234" s="19" t="s">
        <v>1511</v>
      </c>
      <c r="E234" s="175">
        <v>2727</v>
      </c>
      <c r="F234" s="174"/>
      <c r="G234" s="38" t="s">
        <v>259</v>
      </c>
      <c r="H234" s="38" t="s">
        <v>882</v>
      </c>
      <c r="I234" s="2">
        <f t="shared" si="8"/>
        <v>2727</v>
      </c>
      <c r="J234" s="49" t="str">
        <f t="shared" si="9"/>
        <v>13311</v>
      </c>
    </row>
    <row r="235" spans="1:10" x14ac:dyDescent="0.3">
      <c r="A235" s="36">
        <v>46173</v>
      </c>
      <c r="B235" s="37" t="s">
        <v>1539</v>
      </c>
      <c r="C235" s="38" t="s">
        <v>15</v>
      </c>
      <c r="D235" s="19" t="s">
        <v>1511</v>
      </c>
      <c r="E235" s="175">
        <v>325777</v>
      </c>
      <c r="F235" s="174"/>
      <c r="G235" s="38" t="s">
        <v>259</v>
      </c>
      <c r="H235" s="38" t="s">
        <v>882</v>
      </c>
      <c r="I235" s="2">
        <f t="shared" si="8"/>
        <v>325777</v>
      </c>
      <c r="J235" s="49" t="str">
        <f t="shared" si="9"/>
        <v>13311</v>
      </c>
    </row>
    <row r="236" spans="1:10" x14ac:dyDescent="0.3">
      <c r="A236" s="36">
        <v>46173</v>
      </c>
      <c r="B236" s="37" t="s">
        <v>1539</v>
      </c>
      <c r="C236" s="38" t="s">
        <v>15</v>
      </c>
      <c r="D236" s="19" t="s">
        <v>1511</v>
      </c>
      <c r="E236" s="175">
        <v>5455</v>
      </c>
      <c r="F236" s="174"/>
      <c r="G236" s="38" t="s">
        <v>259</v>
      </c>
      <c r="H236" s="38" t="s">
        <v>882</v>
      </c>
      <c r="I236" s="2">
        <f t="shared" si="8"/>
        <v>5455</v>
      </c>
      <c r="J236" s="49" t="str">
        <f t="shared" si="9"/>
        <v>13311</v>
      </c>
    </row>
    <row r="237" spans="1:10" x14ac:dyDescent="0.3">
      <c r="A237" s="36">
        <v>46173</v>
      </c>
      <c r="B237" s="37" t="s">
        <v>1539</v>
      </c>
      <c r="C237" s="38" t="s">
        <v>15</v>
      </c>
      <c r="D237" s="19" t="s">
        <v>1511</v>
      </c>
      <c r="E237" s="175">
        <v>331200</v>
      </c>
      <c r="F237" s="174"/>
      <c r="G237" s="38" t="s">
        <v>259</v>
      </c>
      <c r="H237" s="38" t="s">
        <v>882</v>
      </c>
      <c r="I237" s="2">
        <f t="shared" si="8"/>
        <v>331200</v>
      </c>
      <c r="J237" s="49" t="str">
        <f t="shared" si="9"/>
        <v>13311</v>
      </c>
    </row>
    <row r="238" spans="1:10" x14ac:dyDescent="0.3">
      <c r="A238" s="36">
        <v>46173</v>
      </c>
      <c r="B238" s="37" t="s">
        <v>1539</v>
      </c>
      <c r="C238" s="38" t="s">
        <v>15</v>
      </c>
      <c r="D238" s="19" t="s">
        <v>1511</v>
      </c>
      <c r="E238" s="175">
        <v>6400</v>
      </c>
      <c r="F238" s="174"/>
      <c r="G238" s="38" t="s">
        <v>259</v>
      </c>
      <c r="H238" s="38" t="s">
        <v>882</v>
      </c>
      <c r="I238" s="2">
        <f t="shared" si="8"/>
        <v>6400</v>
      </c>
      <c r="J238" s="49" t="str">
        <f t="shared" si="9"/>
        <v>13311</v>
      </c>
    </row>
    <row r="239" spans="1:10" x14ac:dyDescent="0.3">
      <c r="A239" s="36">
        <v>46173</v>
      </c>
      <c r="B239" s="37" t="s">
        <v>1539</v>
      </c>
      <c r="C239" s="38" t="s">
        <v>15</v>
      </c>
      <c r="D239" s="19" t="s">
        <v>1511</v>
      </c>
      <c r="E239" s="175">
        <v>334667</v>
      </c>
      <c r="F239" s="174"/>
      <c r="G239" s="38" t="s">
        <v>259</v>
      </c>
      <c r="H239" s="38" t="s">
        <v>882</v>
      </c>
      <c r="I239" s="2">
        <f t="shared" si="8"/>
        <v>334667</v>
      </c>
      <c r="J239" s="49" t="str">
        <f t="shared" si="9"/>
        <v>13311</v>
      </c>
    </row>
    <row r="240" spans="1:10" x14ac:dyDescent="0.3">
      <c r="A240" s="36">
        <v>46173</v>
      </c>
      <c r="B240" s="37" t="s">
        <v>1546</v>
      </c>
      <c r="C240" s="38" t="s">
        <v>15</v>
      </c>
      <c r="D240" s="19" t="s">
        <v>1547</v>
      </c>
      <c r="E240" s="175">
        <v>79832</v>
      </c>
      <c r="F240" s="174"/>
      <c r="G240" s="38" t="s">
        <v>259</v>
      </c>
      <c r="H240" s="38" t="s">
        <v>882</v>
      </c>
      <c r="I240" s="2">
        <f t="shared" si="8"/>
        <v>79832</v>
      </c>
      <c r="J240" s="49" t="str">
        <f t="shared" si="9"/>
        <v>13311</v>
      </c>
    </row>
    <row r="241" spans="1:10" x14ac:dyDescent="0.3">
      <c r="A241" s="36">
        <v>46173</v>
      </c>
      <c r="B241" s="37" t="s">
        <v>1546</v>
      </c>
      <c r="C241" s="38" t="s">
        <v>15</v>
      </c>
      <c r="D241" s="19" t="s">
        <v>1547</v>
      </c>
      <c r="E241" s="175">
        <v>317266</v>
      </c>
      <c r="F241" s="174"/>
      <c r="G241" s="38" t="s">
        <v>259</v>
      </c>
      <c r="H241" s="38" t="s">
        <v>882</v>
      </c>
      <c r="I241" s="2">
        <f t="shared" si="8"/>
        <v>317266</v>
      </c>
      <c r="J241" s="49" t="str">
        <f t="shared" si="9"/>
        <v>13311</v>
      </c>
    </row>
    <row r="242" spans="1:10" x14ac:dyDescent="0.3">
      <c r="A242" s="36">
        <v>46173</v>
      </c>
      <c r="B242" s="37" t="s">
        <v>1546</v>
      </c>
      <c r="C242" s="38" t="s">
        <v>15</v>
      </c>
      <c r="D242" s="19" t="s">
        <v>1547</v>
      </c>
      <c r="E242" s="175">
        <v>9893837</v>
      </c>
      <c r="F242" s="174"/>
      <c r="G242" s="38" t="s">
        <v>259</v>
      </c>
      <c r="H242" s="38" t="s">
        <v>882</v>
      </c>
      <c r="I242" s="2">
        <f t="shared" si="8"/>
        <v>9893837</v>
      </c>
      <c r="J242" s="49" t="str">
        <f t="shared" si="9"/>
        <v>13311</v>
      </c>
    </row>
    <row r="243" spans="1:10" x14ac:dyDescent="0.3">
      <c r="A243" s="36">
        <v>46173</v>
      </c>
      <c r="B243" s="37" t="s">
        <v>1546</v>
      </c>
      <c r="C243" s="38" t="s">
        <v>15</v>
      </c>
      <c r="D243" s="19" t="s">
        <v>883</v>
      </c>
      <c r="E243" s="175">
        <v>163011</v>
      </c>
      <c r="F243" s="174"/>
      <c r="G243" s="38" t="s">
        <v>259</v>
      </c>
      <c r="H243" s="38" t="s">
        <v>882</v>
      </c>
      <c r="I243" s="2">
        <f t="shared" si="8"/>
        <v>163011</v>
      </c>
      <c r="J243" s="49" t="str">
        <f t="shared" si="9"/>
        <v>13311</v>
      </c>
    </row>
    <row r="244" spans="1:10" x14ac:dyDescent="0.3">
      <c r="A244" s="36">
        <v>46173</v>
      </c>
      <c r="B244" s="37" t="s">
        <v>1546</v>
      </c>
      <c r="C244" s="38" t="s">
        <v>15</v>
      </c>
      <c r="D244" s="19" t="s">
        <v>883</v>
      </c>
      <c r="E244" s="175">
        <v>21387</v>
      </c>
      <c r="F244" s="174"/>
      <c r="G244" s="38" t="s">
        <v>259</v>
      </c>
      <c r="H244" s="38" t="s">
        <v>882</v>
      </c>
      <c r="I244" s="2">
        <f t="shared" si="8"/>
        <v>21387</v>
      </c>
      <c r="J244" s="49" t="str">
        <f t="shared" si="9"/>
        <v>13311</v>
      </c>
    </row>
    <row r="245" spans="1:10" x14ac:dyDescent="0.3">
      <c r="A245" s="36">
        <v>46173</v>
      </c>
      <c r="B245" s="37" t="s">
        <v>1546</v>
      </c>
      <c r="C245" s="38" t="s">
        <v>15</v>
      </c>
      <c r="D245" s="19" t="s">
        <v>883</v>
      </c>
      <c r="E245" s="175">
        <v>1032629</v>
      </c>
      <c r="F245" s="174"/>
      <c r="G245" s="38" t="s">
        <v>259</v>
      </c>
      <c r="H245" s="38" t="s">
        <v>882</v>
      </c>
      <c r="I245" s="2">
        <f t="shared" si="8"/>
        <v>1032629</v>
      </c>
      <c r="J245" s="49" t="str">
        <f t="shared" si="9"/>
        <v>13311</v>
      </c>
    </row>
    <row r="246" spans="1:10" x14ac:dyDescent="0.3">
      <c r="A246" s="36">
        <v>46173</v>
      </c>
      <c r="B246" s="37" t="s">
        <v>1546</v>
      </c>
      <c r="C246" s="38" t="s">
        <v>15</v>
      </c>
      <c r="D246" s="19" t="s">
        <v>1547</v>
      </c>
      <c r="E246" s="175">
        <v>1064962</v>
      </c>
      <c r="F246" s="174"/>
      <c r="G246" s="38" t="s">
        <v>259</v>
      </c>
      <c r="H246" s="38" t="s">
        <v>882</v>
      </c>
      <c r="I246" s="2">
        <f t="shared" si="8"/>
        <v>1064962</v>
      </c>
      <c r="J246" s="49" t="str">
        <f t="shared" si="9"/>
        <v>13311</v>
      </c>
    </row>
    <row r="247" spans="1:10" x14ac:dyDescent="0.3">
      <c r="A247" s="36">
        <v>46173</v>
      </c>
      <c r="B247" s="37" t="s">
        <v>1546</v>
      </c>
      <c r="C247" s="38" t="s">
        <v>15</v>
      </c>
      <c r="D247" s="19" t="s">
        <v>1547</v>
      </c>
      <c r="E247" s="175">
        <v>246538</v>
      </c>
      <c r="F247" s="174"/>
      <c r="G247" s="38" t="s">
        <v>259</v>
      </c>
      <c r="H247" s="38" t="s">
        <v>882</v>
      </c>
      <c r="I247" s="2">
        <f t="shared" si="8"/>
        <v>246538</v>
      </c>
      <c r="J247" s="49" t="str">
        <f t="shared" si="9"/>
        <v>13311</v>
      </c>
    </row>
    <row r="248" spans="1:10" x14ac:dyDescent="0.3">
      <c r="A248" s="36">
        <v>46173</v>
      </c>
      <c r="B248" s="37" t="s">
        <v>1546</v>
      </c>
      <c r="C248" s="38" t="s">
        <v>15</v>
      </c>
      <c r="D248" s="19" t="s">
        <v>883</v>
      </c>
      <c r="E248" s="175">
        <v>5042570</v>
      </c>
      <c r="F248" s="174"/>
      <c r="G248" s="38" t="s">
        <v>259</v>
      </c>
      <c r="H248" s="38" t="s">
        <v>882</v>
      </c>
      <c r="I248" s="2">
        <f t="shared" si="8"/>
        <v>5042570</v>
      </c>
      <c r="J248" s="49" t="str">
        <f t="shared" si="9"/>
        <v>13311</v>
      </c>
    </row>
    <row r="249" spans="1:10" x14ac:dyDescent="0.3">
      <c r="A249" s="36">
        <v>46173</v>
      </c>
      <c r="B249" s="37" t="s">
        <v>1546</v>
      </c>
      <c r="C249" s="38" t="s">
        <v>15</v>
      </c>
      <c r="D249" s="19" t="s">
        <v>1547</v>
      </c>
      <c r="E249" s="175">
        <v>5142768</v>
      </c>
      <c r="F249" s="174"/>
      <c r="G249" s="38" t="s">
        <v>259</v>
      </c>
      <c r="H249" s="38" t="s">
        <v>882</v>
      </c>
      <c r="I249" s="2">
        <f t="shared" si="8"/>
        <v>5142768</v>
      </c>
      <c r="J249" s="49" t="str">
        <f t="shared" si="9"/>
        <v>13311</v>
      </c>
    </row>
    <row r="250" spans="1:10" x14ac:dyDescent="0.3">
      <c r="A250" s="36">
        <v>46173</v>
      </c>
      <c r="B250" s="37" t="s">
        <v>1546</v>
      </c>
      <c r="C250" s="38" t="s">
        <v>15</v>
      </c>
      <c r="D250" s="19" t="s">
        <v>1547</v>
      </c>
      <c r="E250" s="175">
        <v>8369648</v>
      </c>
      <c r="F250" s="174"/>
      <c r="G250" s="38" t="s">
        <v>259</v>
      </c>
      <c r="H250" s="38" t="s">
        <v>882</v>
      </c>
      <c r="I250" s="2">
        <f t="shared" si="8"/>
        <v>8369648</v>
      </c>
      <c r="J250" s="49" t="str">
        <f t="shared" si="9"/>
        <v>13311</v>
      </c>
    </row>
    <row r="251" spans="1:10" x14ac:dyDescent="0.3">
      <c r="A251" s="36">
        <v>46173</v>
      </c>
      <c r="B251" s="37" t="s">
        <v>1546</v>
      </c>
      <c r="C251" s="38" t="s">
        <v>15</v>
      </c>
      <c r="D251" s="19" t="s">
        <v>1547</v>
      </c>
      <c r="E251" s="175">
        <v>14798824</v>
      </c>
      <c r="F251" s="174"/>
      <c r="G251" s="38" t="s">
        <v>259</v>
      </c>
      <c r="H251" s="38" t="s">
        <v>882</v>
      </c>
      <c r="I251" s="2">
        <f t="shared" si="8"/>
        <v>14798824</v>
      </c>
      <c r="J251" s="49" t="str">
        <f t="shared" si="9"/>
        <v>13311</v>
      </c>
    </row>
    <row r="252" spans="1:10" x14ac:dyDescent="0.3">
      <c r="A252" s="36">
        <v>46173</v>
      </c>
      <c r="B252" s="37" t="s">
        <v>1546</v>
      </c>
      <c r="C252" s="38" t="s">
        <v>15</v>
      </c>
      <c r="D252" s="19" t="s">
        <v>1547</v>
      </c>
      <c r="E252" s="175">
        <v>14602469</v>
      </c>
      <c r="F252" s="174"/>
      <c r="G252" s="38" t="s">
        <v>259</v>
      </c>
      <c r="H252" s="38" t="s">
        <v>882</v>
      </c>
      <c r="I252" s="2">
        <f t="shared" si="8"/>
        <v>14602469</v>
      </c>
      <c r="J252" s="49" t="str">
        <f t="shared" si="9"/>
        <v>13311</v>
      </c>
    </row>
    <row r="253" spans="1:10" x14ac:dyDescent="0.3">
      <c r="A253" s="36">
        <v>46173</v>
      </c>
      <c r="B253" s="37" t="s">
        <v>1546</v>
      </c>
      <c r="C253" s="38" t="s">
        <v>15</v>
      </c>
      <c r="D253" s="19" t="s">
        <v>883</v>
      </c>
      <c r="E253" s="175">
        <v>12256489</v>
      </c>
      <c r="F253" s="174"/>
      <c r="G253" s="38" t="s">
        <v>259</v>
      </c>
      <c r="H253" s="38" t="s">
        <v>882</v>
      </c>
      <c r="I253" s="2">
        <f t="shared" si="8"/>
        <v>12256489</v>
      </c>
      <c r="J253" s="49" t="str">
        <f t="shared" si="9"/>
        <v>13311</v>
      </c>
    </row>
    <row r="254" spans="1:10" x14ac:dyDescent="0.3">
      <c r="A254" s="36">
        <v>46173</v>
      </c>
      <c r="B254" s="37" t="s">
        <v>1546</v>
      </c>
      <c r="C254" s="38" t="s">
        <v>15</v>
      </c>
      <c r="D254" s="19" t="s">
        <v>1547</v>
      </c>
      <c r="E254" s="175">
        <v>11806692</v>
      </c>
      <c r="F254" s="174"/>
      <c r="G254" s="38" t="s">
        <v>259</v>
      </c>
      <c r="H254" s="38" t="s">
        <v>882</v>
      </c>
      <c r="I254" s="2">
        <f t="shared" si="8"/>
        <v>11806692</v>
      </c>
      <c r="J254" s="49" t="str">
        <f t="shared" si="9"/>
        <v>13311</v>
      </c>
    </row>
    <row r="255" spans="1:10" x14ac:dyDescent="0.3">
      <c r="A255" s="36">
        <v>46173</v>
      </c>
      <c r="B255" s="37" t="s">
        <v>1546</v>
      </c>
      <c r="C255" s="38" t="s">
        <v>15</v>
      </c>
      <c r="D255" s="19" t="s">
        <v>1547</v>
      </c>
      <c r="E255" s="175">
        <v>764031</v>
      </c>
      <c r="F255" s="174"/>
      <c r="G255" s="38" t="s">
        <v>259</v>
      </c>
      <c r="H255" s="38" t="s">
        <v>882</v>
      </c>
      <c r="I255" s="2">
        <f t="shared" si="8"/>
        <v>764031</v>
      </c>
      <c r="J255" s="49" t="str">
        <f t="shared" si="9"/>
        <v>13311</v>
      </c>
    </row>
    <row r="256" spans="1:10" x14ac:dyDescent="0.3">
      <c r="A256" s="36">
        <v>46173</v>
      </c>
      <c r="B256" s="37" t="s">
        <v>1546</v>
      </c>
      <c r="C256" s="38" t="s">
        <v>15</v>
      </c>
      <c r="D256" s="19" t="s">
        <v>1547</v>
      </c>
      <c r="E256" s="175">
        <v>19168130</v>
      </c>
      <c r="F256" s="174"/>
      <c r="G256" s="38" t="s">
        <v>259</v>
      </c>
      <c r="H256" s="38" t="s">
        <v>882</v>
      </c>
      <c r="I256" s="2">
        <f t="shared" si="8"/>
        <v>19168130</v>
      </c>
      <c r="J256" s="49" t="str">
        <f t="shared" si="9"/>
        <v>13311</v>
      </c>
    </row>
    <row r="257" spans="1:10" x14ac:dyDescent="0.3">
      <c r="A257" s="36">
        <v>46173</v>
      </c>
      <c r="B257" s="37" t="s">
        <v>1546</v>
      </c>
      <c r="C257" s="38" t="s">
        <v>15</v>
      </c>
      <c r="D257" s="19" t="s">
        <v>1547</v>
      </c>
      <c r="E257" s="175">
        <v>20708485</v>
      </c>
      <c r="F257" s="174"/>
      <c r="G257" s="38" t="s">
        <v>259</v>
      </c>
      <c r="H257" s="38" t="s">
        <v>882</v>
      </c>
      <c r="I257" s="2">
        <f t="shared" si="8"/>
        <v>20708485</v>
      </c>
      <c r="J257" s="49" t="str">
        <f t="shared" si="9"/>
        <v>13311</v>
      </c>
    </row>
    <row r="258" spans="1:10" x14ac:dyDescent="0.3">
      <c r="A258" s="36">
        <v>46173</v>
      </c>
      <c r="B258" s="37" t="s">
        <v>1546</v>
      </c>
      <c r="C258" s="38" t="s">
        <v>15</v>
      </c>
      <c r="D258" s="19" t="s">
        <v>1547</v>
      </c>
      <c r="E258" s="175">
        <v>19099928</v>
      </c>
      <c r="F258" s="174"/>
      <c r="G258" s="38" t="s">
        <v>259</v>
      </c>
      <c r="H258" s="38" t="s">
        <v>882</v>
      </c>
      <c r="I258" s="2">
        <f t="shared" si="8"/>
        <v>19099928</v>
      </c>
      <c r="J258" s="49" t="str">
        <f t="shared" si="9"/>
        <v>13311</v>
      </c>
    </row>
    <row r="259" spans="1:10" x14ac:dyDescent="0.3">
      <c r="A259" s="36">
        <v>46173</v>
      </c>
      <c r="B259" s="37" t="s">
        <v>1546</v>
      </c>
      <c r="C259" s="38" t="s">
        <v>15</v>
      </c>
      <c r="D259" s="19" t="s">
        <v>1547</v>
      </c>
      <c r="E259" s="175">
        <v>10646585</v>
      </c>
      <c r="F259" s="174"/>
      <c r="G259" s="38" t="s">
        <v>259</v>
      </c>
      <c r="H259" s="38" t="s">
        <v>882</v>
      </c>
      <c r="I259" s="2">
        <f t="shared" si="8"/>
        <v>10646585</v>
      </c>
      <c r="J259" s="49" t="str">
        <f t="shared" si="9"/>
        <v>13311</v>
      </c>
    </row>
    <row r="260" spans="1:10" x14ac:dyDescent="0.3">
      <c r="A260" s="36">
        <v>46173</v>
      </c>
      <c r="B260" s="37" t="s">
        <v>1546</v>
      </c>
      <c r="C260" s="38" t="s">
        <v>15</v>
      </c>
      <c r="D260" s="19" t="s">
        <v>1547</v>
      </c>
      <c r="E260" s="175">
        <v>14572494</v>
      </c>
      <c r="F260" s="174"/>
      <c r="G260" s="38" t="s">
        <v>259</v>
      </c>
      <c r="H260" s="38" t="s">
        <v>882</v>
      </c>
      <c r="I260" s="2">
        <f t="shared" si="8"/>
        <v>14572494</v>
      </c>
      <c r="J260" s="49" t="str">
        <f t="shared" si="9"/>
        <v>13311</v>
      </c>
    </row>
    <row r="261" spans="1:10" x14ac:dyDescent="0.3">
      <c r="A261" s="36">
        <v>46173</v>
      </c>
      <c r="B261" s="37" t="s">
        <v>1546</v>
      </c>
      <c r="C261" s="38" t="s">
        <v>15</v>
      </c>
      <c r="D261" s="19" t="s">
        <v>1547</v>
      </c>
      <c r="E261" s="175">
        <v>17092263</v>
      </c>
      <c r="F261" s="174"/>
      <c r="G261" s="38" t="s">
        <v>259</v>
      </c>
      <c r="H261" s="38" t="s">
        <v>882</v>
      </c>
      <c r="I261" s="2">
        <f t="shared" si="8"/>
        <v>17092263</v>
      </c>
      <c r="J261" s="49" t="str">
        <f t="shared" si="9"/>
        <v>13311</v>
      </c>
    </row>
    <row r="262" spans="1:10" x14ac:dyDescent="0.3">
      <c r="A262" s="36">
        <v>46173</v>
      </c>
      <c r="B262" s="37" t="s">
        <v>1546</v>
      </c>
      <c r="C262" s="38" t="s">
        <v>15</v>
      </c>
      <c r="D262" s="19" t="s">
        <v>1547</v>
      </c>
      <c r="E262" s="175">
        <v>14970592</v>
      </c>
      <c r="F262" s="174"/>
      <c r="G262" s="38" t="s">
        <v>259</v>
      </c>
      <c r="H262" s="38" t="s">
        <v>882</v>
      </c>
      <c r="I262" s="2">
        <f t="shared" si="8"/>
        <v>14970592</v>
      </c>
      <c r="J262" s="49" t="str">
        <f t="shared" si="9"/>
        <v>13311</v>
      </c>
    </row>
    <row r="263" spans="1:10" x14ac:dyDescent="0.3">
      <c r="A263" s="36">
        <v>46173</v>
      </c>
      <c r="B263" s="37" t="s">
        <v>1546</v>
      </c>
      <c r="C263" s="38" t="s">
        <v>15</v>
      </c>
      <c r="D263" s="19" t="s">
        <v>1547</v>
      </c>
      <c r="E263" s="175">
        <v>17449440</v>
      </c>
      <c r="F263" s="174"/>
      <c r="G263" s="38" t="s">
        <v>259</v>
      </c>
      <c r="H263" s="38" t="s">
        <v>882</v>
      </c>
      <c r="I263" s="2">
        <f t="shared" si="8"/>
        <v>17449440</v>
      </c>
      <c r="J263" s="49" t="str">
        <f t="shared" si="9"/>
        <v>13311</v>
      </c>
    </row>
    <row r="264" spans="1:10" x14ac:dyDescent="0.3">
      <c r="A264" s="36">
        <v>46173</v>
      </c>
      <c r="B264" s="37" t="s">
        <v>1546</v>
      </c>
      <c r="C264" s="38" t="s">
        <v>15</v>
      </c>
      <c r="D264" s="19" t="s">
        <v>883</v>
      </c>
      <c r="E264" s="175">
        <v>16208500</v>
      </c>
      <c r="F264" s="174"/>
      <c r="G264" s="38" t="s">
        <v>259</v>
      </c>
      <c r="H264" s="38" t="s">
        <v>882</v>
      </c>
      <c r="I264" s="2">
        <f t="shared" si="8"/>
        <v>16208500</v>
      </c>
      <c r="J264" s="49" t="str">
        <f t="shared" si="9"/>
        <v>13311</v>
      </c>
    </row>
    <row r="265" spans="1:10" x14ac:dyDescent="0.3">
      <c r="A265" s="36">
        <v>46173</v>
      </c>
      <c r="B265" s="37" t="s">
        <v>1546</v>
      </c>
      <c r="C265" s="38" t="s">
        <v>15</v>
      </c>
      <c r="D265" s="19" t="s">
        <v>883</v>
      </c>
      <c r="E265" s="175">
        <v>21115676</v>
      </c>
      <c r="F265" s="174"/>
      <c r="G265" s="38" t="s">
        <v>259</v>
      </c>
      <c r="H265" s="38" t="s">
        <v>882</v>
      </c>
      <c r="I265" s="2">
        <f t="shared" si="8"/>
        <v>21115676</v>
      </c>
      <c r="J265" s="49" t="str">
        <f t="shared" si="9"/>
        <v>13311</v>
      </c>
    </row>
    <row r="266" spans="1:10" x14ac:dyDescent="0.3">
      <c r="A266" s="36">
        <v>46173</v>
      </c>
      <c r="B266" s="37" t="s">
        <v>1546</v>
      </c>
      <c r="C266" s="38" t="s">
        <v>15</v>
      </c>
      <c r="D266" s="19" t="s">
        <v>1547</v>
      </c>
      <c r="E266" s="175">
        <v>24935830</v>
      </c>
      <c r="F266" s="174"/>
      <c r="G266" s="38" t="s">
        <v>259</v>
      </c>
      <c r="H266" s="38" t="s">
        <v>882</v>
      </c>
      <c r="I266" s="2">
        <f t="shared" si="8"/>
        <v>24935830</v>
      </c>
      <c r="J266" s="49" t="str">
        <f t="shared" si="9"/>
        <v>13311</v>
      </c>
    </row>
    <row r="267" spans="1:10" x14ac:dyDescent="0.3">
      <c r="A267" s="36">
        <v>46173</v>
      </c>
      <c r="B267" s="37" t="s">
        <v>1546</v>
      </c>
      <c r="C267" s="38" t="s">
        <v>15</v>
      </c>
      <c r="D267" s="19" t="s">
        <v>1547</v>
      </c>
      <c r="E267" s="175">
        <v>25836938</v>
      </c>
      <c r="F267" s="174"/>
      <c r="G267" s="38" t="s">
        <v>259</v>
      </c>
      <c r="H267" s="38" t="s">
        <v>882</v>
      </c>
      <c r="I267" s="2">
        <f t="shared" si="8"/>
        <v>25836938</v>
      </c>
      <c r="J267" s="49" t="str">
        <f t="shared" si="9"/>
        <v>13311</v>
      </c>
    </row>
    <row r="268" spans="1:10" x14ac:dyDescent="0.3">
      <c r="A268" s="36">
        <v>46173</v>
      </c>
      <c r="B268" s="37" t="s">
        <v>1546</v>
      </c>
      <c r="C268" s="38" t="s">
        <v>15</v>
      </c>
      <c r="D268" s="19" t="s">
        <v>1547</v>
      </c>
      <c r="E268" s="175">
        <v>25678137</v>
      </c>
      <c r="F268" s="174"/>
      <c r="G268" s="38" t="s">
        <v>259</v>
      </c>
      <c r="H268" s="38" t="s">
        <v>882</v>
      </c>
      <c r="I268" s="2">
        <f t="shared" si="8"/>
        <v>25678137</v>
      </c>
      <c r="J268" s="49" t="str">
        <f t="shared" si="9"/>
        <v>13311</v>
      </c>
    </row>
    <row r="269" spans="1:10" x14ac:dyDescent="0.3">
      <c r="A269" s="36">
        <v>46173</v>
      </c>
      <c r="B269" s="37" t="s">
        <v>1546</v>
      </c>
      <c r="C269" s="38" t="s">
        <v>15</v>
      </c>
      <c r="D269" s="19" t="s">
        <v>1547</v>
      </c>
      <c r="E269" s="175">
        <v>25506874</v>
      </c>
      <c r="F269" s="174"/>
      <c r="G269" s="38" t="s">
        <v>259</v>
      </c>
      <c r="H269" s="38" t="s">
        <v>882</v>
      </c>
      <c r="I269" s="2">
        <f t="shared" si="8"/>
        <v>25506874</v>
      </c>
      <c r="J269" s="49" t="str">
        <f t="shared" si="9"/>
        <v>13311</v>
      </c>
    </row>
    <row r="270" spans="1:10" x14ac:dyDescent="0.3">
      <c r="A270" s="36">
        <v>46173</v>
      </c>
      <c r="B270" s="37" t="s">
        <v>1546</v>
      </c>
      <c r="C270" s="38" t="s">
        <v>15</v>
      </c>
      <c r="D270" s="19" t="s">
        <v>883</v>
      </c>
      <c r="E270" s="175">
        <v>23662389</v>
      </c>
      <c r="F270" s="174"/>
      <c r="G270" s="38" t="s">
        <v>259</v>
      </c>
      <c r="H270" s="38" t="s">
        <v>882</v>
      </c>
      <c r="I270" s="2">
        <f t="shared" si="8"/>
        <v>23662389</v>
      </c>
      <c r="J270" s="49" t="str">
        <f t="shared" si="9"/>
        <v>13311</v>
      </c>
    </row>
    <row r="271" spans="1:10" x14ac:dyDescent="0.3">
      <c r="A271" s="36">
        <v>46173</v>
      </c>
      <c r="B271" s="37" t="s">
        <v>1546</v>
      </c>
      <c r="C271" s="38" t="s">
        <v>15</v>
      </c>
      <c r="D271" s="19" t="s">
        <v>1547</v>
      </c>
      <c r="E271" s="175">
        <v>19035094</v>
      </c>
      <c r="F271" s="174"/>
      <c r="G271" s="38" t="s">
        <v>259</v>
      </c>
      <c r="H271" s="38" t="s">
        <v>882</v>
      </c>
      <c r="I271" s="2">
        <f t="shared" si="8"/>
        <v>19035094</v>
      </c>
      <c r="J271" s="49" t="str">
        <f t="shared" si="9"/>
        <v>13311</v>
      </c>
    </row>
    <row r="272" spans="1:10" x14ac:dyDescent="0.3">
      <c r="A272" s="36">
        <v>46173</v>
      </c>
      <c r="B272" s="37" t="s">
        <v>1546</v>
      </c>
      <c r="C272" s="38" t="s">
        <v>15</v>
      </c>
      <c r="D272" s="19" t="s">
        <v>1547</v>
      </c>
      <c r="E272" s="175">
        <v>10293787</v>
      </c>
      <c r="F272" s="174"/>
      <c r="G272" s="38" t="s">
        <v>259</v>
      </c>
      <c r="H272" s="38" t="s">
        <v>882</v>
      </c>
      <c r="I272" s="2">
        <f t="shared" ref="I272:I335" si="10">IF(LEN(A272)=5,E272,0)</f>
        <v>10293787</v>
      </c>
      <c r="J272" s="49" t="str">
        <f t="shared" ref="J272:J335" si="11">IF(LEFT(A272,11)="Tài khoản: ",MID(A272,12,5),J271)</f>
        <v>13311</v>
      </c>
    </row>
    <row r="273" spans="1:10" x14ac:dyDescent="0.3">
      <c r="A273" s="36">
        <v>46173</v>
      </c>
      <c r="B273" s="37" t="s">
        <v>1546</v>
      </c>
      <c r="C273" s="38" t="s">
        <v>15</v>
      </c>
      <c r="D273" s="19" t="s">
        <v>1547</v>
      </c>
      <c r="E273" s="175">
        <v>19147922</v>
      </c>
      <c r="F273" s="174"/>
      <c r="G273" s="38" t="s">
        <v>259</v>
      </c>
      <c r="H273" s="38" t="s">
        <v>882</v>
      </c>
      <c r="I273" s="2">
        <f t="shared" si="10"/>
        <v>19147922</v>
      </c>
      <c r="J273" s="49" t="str">
        <f t="shared" si="11"/>
        <v>13311</v>
      </c>
    </row>
    <row r="274" spans="1:10" x14ac:dyDescent="0.3">
      <c r="A274" s="36">
        <v>46173</v>
      </c>
      <c r="B274" s="37" t="s">
        <v>1546</v>
      </c>
      <c r="C274" s="38" t="s">
        <v>15</v>
      </c>
      <c r="D274" s="19" t="s">
        <v>1547</v>
      </c>
      <c r="E274" s="175">
        <v>26694431</v>
      </c>
      <c r="F274" s="174"/>
      <c r="G274" s="38" t="s">
        <v>259</v>
      </c>
      <c r="H274" s="38" t="s">
        <v>882</v>
      </c>
      <c r="I274" s="2">
        <f t="shared" si="10"/>
        <v>26694431</v>
      </c>
      <c r="J274" s="49" t="str">
        <f t="shared" si="11"/>
        <v>13311</v>
      </c>
    </row>
    <row r="275" spans="1:10" x14ac:dyDescent="0.3">
      <c r="A275" s="36">
        <v>46173</v>
      </c>
      <c r="B275" s="37" t="s">
        <v>1546</v>
      </c>
      <c r="C275" s="38" t="s">
        <v>15</v>
      </c>
      <c r="D275" s="19" t="s">
        <v>1547</v>
      </c>
      <c r="E275" s="175">
        <v>16698544</v>
      </c>
      <c r="F275" s="174"/>
      <c r="G275" s="38" t="s">
        <v>259</v>
      </c>
      <c r="H275" s="38" t="s">
        <v>882</v>
      </c>
      <c r="I275" s="2">
        <f t="shared" si="10"/>
        <v>16698544</v>
      </c>
      <c r="J275" s="49" t="str">
        <f t="shared" si="11"/>
        <v>13311</v>
      </c>
    </row>
    <row r="276" spans="1:10" x14ac:dyDescent="0.3">
      <c r="A276" s="36">
        <v>46173</v>
      </c>
      <c r="B276" s="37" t="s">
        <v>1546</v>
      </c>
      <c r="C276" s="38" t="s">
        <v>15</v>
      </c>
      <c r="D276" s="19" t="s">
        <v>1547</v>
      </c>
      <c r="E276" s="175">
        <v>20000868</v>
      </c>
      <c r="F276" s="174"/>
      <c r="G276" s="38" t="s">
        <v>259</v>
      </c>
      <c r="H276" s="38" t="s">
        <v>882</v>
      </c>
      <c r="I276" s="2">
        <f t="shared" si="10"/>
        <v>20000868</v>
      </c>
      <c r="J276" s="49" t="str">
        <f t="shared" si="11"/>
        <v>13311</v>
      </c>
    </row>
    <row r="277" spans="1:10" x14ac:dyDescent="0.3">
      <c r="A277" s="36">
        <v>46173</v>
      </c>
      <c r="B277" s="37" t="s">
        <v>1546</v>
      </c>
      <c r="C277" s="38" t="s">
        <v>15</v>
      </c>
      <c r="D277" s="19" t="s">
        <v>1547</v>
      </c>
      <c r="E277" s="175">
        <v>2127566</v>
      </c>
      <c r="F277" s="174"/>
      <c r="G277" s="38" t="s">
        <v>259</v>
      </c>
      <c r="H277" s="38" t="s">
        <v>882</v>
      </c>
      <c r="I277" s="2">
        <f t="shared" si="10"/>
        <v>2127566</v>
      </c>
      <c r="J277" s="49" t="str">
        <f t="shared" si="11"/>
        <v>13311</v>
      </c>
    </row>
    <row r="278" spans="1:10" x14ac:dyDescent="0.3">
      <c r="A278" s="36">
        <v>46173</v>
      </c>
      <c r="B278" s="37" t="s">
        <v>1546</v>
      </c>
      <c r="C278" s="38" t="s">
        <v>15</v>
      </c>
      <c r="D278" s="19" t="s">
        <v>1547</v>
      </c>
      <c r="E278" s="175">
        <v>54730</v>
      </c>
      <c r="F278" s="174"/>
      <c r="G278" s="38" t="s">
        <v>259</v>
      </c>
      <c r="H278" s="38" t="s">
        <v>882</v>
      </c>
      <c r="I278" s="2">
        <f t="shared" si="10"/>
        <v>54730</v>
      </c>
      <c r="J278" s="49" t="str">
        <f t="shared" si="11"/>
        <v>13311</v>
      </c>
    </row>
    <row r="279" spans="1:10" x14ac:dyDescent="0.3">
      <c r="A279" s="36">
        <v>46173</v>
      </c>
      <c r="B279" s="37" t="s">
        <v>1546</v>
      </c>
      <c r="C279" s="38" t="s">
        <v>15</v>
      </c>
      <c r="D279" s="19" t="s">
        <v>1547</v>
      </c>
      <c r="E279" s="175">
        <v>35869</v>
      </c>
      <c r="F279" s="174"/>
      <c r="G279" s="38" t="s">
        <v>259</v>
      </c>
      <c r="H279" s="38" t="s">
        <v>882</v>
      </c>
      <c r="I279" s="2">
        <f t="shared" si="10"/>
        <v>35869</v>
      </c>
      <c r="J279" s="49" t="str">
        <f t="shared" si="11"/>
        <v>13311</v>
      </c>
    </row>
    <row r="280" spans="1:10" x14ac:dyDescent="0.3">
      <c r="A280" s="36">
        <v>46173</v>
      </c>
      <c r="B280" s="37" t="s">
        <v>1546</v>
      </c>
      <c r="C280" s="38" t="s">
        <v>15</v>
      </c>
      <c r="D280" s="19" t="s">
        <v>1547</v>
      </c>
      <c r="E280" s="175">
        <v>122258</v>
      </c>
      <c r="F280" s="174"/>
      <c r="G280" s="38" t="s">
        <v>259</v>
      </c>
      <c r="H280" s="38" t="s">
        <v>882</v>
      </c>
      <c r="I280" s="2">
        <f t="shared" si="10"/>
        <v>122258</v>
      </c>
      <c r="J280" s="49" t="str">
        <f t="shared" si="11"/>
        <v>13311</v>
      </c>
    </row>
    <row r="281" spans="1:10" x14ac:dyDescent="0.3">
      <c r="A281" s="36">
        <v>46173</v>
      </c>
      <c r="B281" s="37" t="s">
        <v>1546</v>
      </c>
      <c r="C281" s="38" t="s">
        <v>15</v>
      </c>
      <c r="D281" s="19" t="s">
        <v>883</v>
      </c>
      <c r="E281" s="175">
        <v>108113</v>
      </c>
      <c r="F281" s="174"/>
      <c r="G281" s="38" t="s">
        <v>259</v>
      </c>
      <c r="H281" s="38" t="s">
        <v>882</v>
      </c>
      <c r="I281" s="2">
        <f t="shared" si="10"/>
        <v>108113</v>
      </c>
      <c r="J281" s="49" t="str">
        <f t="shared" si="11"/>
        <v>13311</v>
      </c>
    </row>
    <row r="282" spans="1:10" x14ac:dyDescent="0.3">
      <c r="A282" s="36">
        <v>46173</v>
      </c>
      <c r="B282" s="37" t="s">
        <v>1546</v>
      </c>
      <c r="C282" s="38" t="s">
        <v>15</v>
      </c>
      <c r="D282" s="19" t="s">
        <v>1547</v>
      </c>
      <c r="E282" s="175">
        <v>44963</v>
      </c>
      <c r="F282" s="174"/>
      <c r="G282" s="38" t="s">
        <v>259</v>
      </c>
      <c r="H282" s="38" t="s">
        <v>882</v>
      </c>
      <c r="I282" s="2">
        <f t="shared" si="10"/>
        <v>44963</v>
      </c>
      <c r="J282" s="49" t="str">
        <f t="shared" si="11"/>
        <v>13311</v>
      </c>
    </row>
    <row r="283" spans="1:10" x14ac:dyDescent="0.3">
      <c r="A283" s="36">
        <v>46173</v>
      </c>
      <c r="B283" s="37" t="s">
        <v>1546</v>
      </c>
      <c r="C283" s="38" t="s">
        <v>15</v>
      </c>
      <c r="D283" s="19" t="s">
        <v>883</v>
      </c>
      <c r="E283" s="175">
        <v>486844</v>
      </c>
      <c r="F283" s="174"/>
      <c r="G283" s="38" t="s">
        <v>259</v>
      </c>
      <c r="H283" s="38" t="s">
        <v>882</v>
      </c>
      <c r="I283" s="2">
        <f t="shared" si="10"/>
        <v>486844</v>
      </c>
      <c r="J283" s="49" t="str">
        <f t="shared" si="11"/>
        <v>13311</v>
      </c>
    </row>
    <row r="284" spans="1:10" x14ac:dyDescent="0.3">
      <c r="A284" s="36">
        <v>46173</v>
      </c>
      <c r="B284" s="37" t="s">
        <v>1546</v>
      </c>
      <c r="C284" s="38" t="s">
        <v>15</v>
      </c>
      <c r="D284" s="19" t="s">
        <v>1547</v>
      </c>
      <c r="E284" s="175">
        <v>308004</v>
      </c>
      <c r="F284" s="174"/>
      <c r="G284" s="38" t="s">
        <v>259</v>
      </c>
      <c r="H284" s="38" t="s">
        <v>882</v>
      </c>
      <c r="I284" s="2">
        <f t="shared" si="10"/>
        <v>308004</v>
      </c>
      <c r="J284" s="49" t="str">
        <f t="shared" si="11"/>
        <v>13311</v>
      </c>
    </row>
    <row r="285" spans="1:10" x14ac:dyDescent="0.3">
      <c r="A285" s="36">
        <v>46173</v>
      </c>
      <c r="B285" s="37" t="s">
        <v>1546</v>
      </c>
      <c r="C285" s="38" t="s">
        <v>15</v>
      </c>
      <c r="D285" s="19" t="s">
        <v>1547</v>
      </c>
      <c r="E285" s="175">
        <v>68202</v>
      </c>
      <c r="F285" s="174"/>
      <c r="G285" s="38" t="s">
        <v>259</v>
      </c>
      <c r="H285" s="38" t="s">
        <v>882</v>
      </c>
      <c r="I285" s="2">
        <f t="shared" si="10"/>
        <v>68202</v>
      </c>
      <c r="J285" s="49" t="str">
        <f t="shared" si="11"/>
        <v>13311</v>
      </c>
    </row>
    <row r="286" spans="1:10" x14ac:dyDescent="0.3">
      <c r="A286" s="36">
        <v>46173</v>
      </c>
      <c r="B286" s="37" t="s">
        <v>1546</v>
      </c>
      <c r="C286" s="38" t="s">
        <v>15</v>
      </c>
      <c r="D286" s="19" t="s">
        <v>1547</v>
      </c>
      <c r="E286" s="175">
        <v>1776788</v>
      </c>
      <c r="F286" s="174"/>
      <c r="G286" s="38" t="s">
        <v>259</v>
      </c>
      <c r="H286" s="38" t="s">
        <v>882</v>
      </c>
      <c r="I286" s="2">
        <f t="shared" si="10"/>
        <v>1776788</v>
      </c>
      <c r="J286" s="49" t="str">
        <f t="shared" si="11"/>
        <v>13311</v>
      </c>
    </row>
    <row r="287" spans="1:10" x14ac:dyDescent="0.3">
      <c r="A287" s="36">
        <v>46173</v>
      </c>
      <c r="B287" s="37" t="s">
        <v>1546</v>
      </c>
      <c r="C287" s="38" t="s">
        <v>15</v>
      </c>
      <c r="D287" s="19" t="s">
        <v>1547</v>
      </c>
      <c r="E287" s="175">
        <v>496106</v>
      </c>
      <c r="F287" s="174"/>
      <c r="G287" s="38" t="s">
        <v>259</v>
      </c>
      <c r="H287" s="38" t="s">
        <v>882</v>
      </c>
      <c r="I287" s="2">
        <f t="shared" si="10"/>
        <v>496106</v>
      </c>
      <c r="J287" s="49" t="str">
        <f t="shared" si="11"/>
        <v>13311</v>
      </c>
    </row>
    <row r="288" spans="1:10" x14ac:dyDescent="0.3">
      <c r="A288" s="36">
        <v>46173</v>
      </c>
      <c r="B288" s="37" t="s">
        <v>1546</v>
      </c>
      <c r="C288" s="38" t="s">
        <v>15</v>
      </c>
      <c r="D288" s="19" t="s">
        <v>1547</v>
      </c>
      <c r="E288" s="175">
        <v>82179</v>
      </c>
      <c r="F288" s="174"/>
      <c r="G288" s="38" t="s">
        <v>259</v>
      </c>
      <c r="H288" s="38" t="s">
        <v>882</v>
      </c>
      <c r="I288" s="2">
        <f t="shared" si="10"/>
        <v>82179</v>
      </c>
      <c r="J288" s="49" t="str">
        <f t="shared" si="11"/>
        <v>13311</v>
      </c>
    </row>
    <row r="289" spans="1:10" x14ac:dyDescent="0.3">
      <c r="A289" s="36">
        <v>46173</v>
      </c>
      <c r="B289" s="37" t="s">
        <v>1546</v>
      </c>
      <c r="C289" s="38" t="s">
        <v>15</v>
      </c>
      <c r="D289" s="19" t="s">
        <v>1547</v>
      </c>
      <c r="E289" s="175">
        <v>17214522</v>
      </c>
      <c r="F289" s="174"/>
      <c r="G289" s="38" t="s">
        <v>259</v>
      </c>
      <c r="H289" s="38" t="s">
        <v>882</v>
      </c>
      <c r="I289" s="2">
        <f t="shared" si="10"/>
        <v>17214522</v>
      </c>
      <c r="J289" s="49" t="str">
        <f t="shared" si="11"/>
        <v>13311</v>
      </c>
    </row>
    <row r="290" spans="1:10" x14ac:dyDescent="0.3">
      <c r="A290" s="36">
        <v>46173</v>
      </c>
      <c r="B290" s="37" t="s">
        <v>1546</v>
      </c>
      <c r="C290" s="38" t="s">
        <v>15</v>
      </c>
      <c r="D290" s="19" t="s">
        <v>1547</v>
      </c>
      <c r="E290" s="175">
        <v>20117064</v>
      </c>
      <c r="F290" s="174"/>
      <c r="G290" s="38" t="s">
        <v>259</v>
      </c>
      <c r="H290" s="38" t="s">
        <v>882</v>
      </c>
      <c r="I290" s="2">
        <f t="shared" si="10"/>
        <v>20117064</v>
      </c>
      <c r="J290" s="49" t="str">
        <f t="shared" si="11"/>
        <v>13311</v>
      </c>
    </row>
    <row r="291" spans="1:10" x14ac:dyDescent="0.3">
      <c r="A291" s="36">
        <v>46173</v>
      </c>
      <c r="B291" s="37" t="s">
        <v>1546</v>
      </c>
      <c r="C291" s="38" t="s">
        <v>15</v>
      </c>
      <c r="D291" s="19" t="s">
        <v>1547</v>
      </c>
      <c r="E291" s="175">
        <v>20281254</v>
      </c>
      <c r="F291" s="174"/>
      <c r="G291" s="38" t="s">
        <v>259</v>
      </c>
      <c r="H291" s="38" t="s">
        <v>882</v>
      </c>
      <c r="I291" s="2">
        <f t="shared" si="10"/>
        <v>20281254</v>
      </c>
      <c r="J291" s="49" t="str">
        <f t="shared" si="11"/>
        <v>13311</v>
      </c>
    </row>
    <row r="292" spans="1:10" x14ac:dyDescent="0.3">
      <c r="A292" s="36">
        <v>46173</v>
      </c>
      <c r="B292" s="37" t="s">
        <v>1546</v>
      </c>
      <c r="C292" s="38" t="s">
        <v>15</v>
      </c>
      <c r="D292" s="19" t="s">
        <v>1547</v>
      </c>
      <c r="E292" s="175">
        <v>18973628</v>
      </c>
      <c r="F292" s="174"/>
      <c r="G292" s="38" t="s">
        <v>259</v>
      </c>
      <c r="H292" s="38" t="s">
        <v>882</v>
      </c>
      <c r="I292" s="2">
        <f t="shared" si="10"/>
        <v>18973628</v>
      </c>
      <c r="J292" s="49" t="str">
        <f t="shared" si="11"/>
        <v>13311</v>
      </c>
    </row>
    <row r="293" spans="1:10" x14ac:dyDescent="0.3">
      <c r="A293" s="36">
        <v>46173</v>
      </c>
      <c r="B293" s="37" t="s">
        <v>1546</v>
      </c>
      <c r="C293" s="38" t="s">
        <v>15</v>
      </c>
      <c r="D293" s="19" t="s">
        <v>1547</v>
      </c>
      <c r="E293" s="175">
        <v>18104516</v>
      </c>
      <c r="F293" s="174"/>
      <c r="G293" s="38" t="s">
        <v>259</v>
      </c>
      <c r="H293" s="38" t="s">
        <v>882</v>
      </c>
      <c r="I293" s="2">
        <f t="shared" si="10"/>
        <v>18104516</v>
      </c>
      <c r="J293" s="49" t="str">
        <f t="shared" si="11"/>
        <v>13311</v>
      </c>
    </row>
    <row r="294" spans="1:10" x14ac:dyDescent="0.3">
      <c r="A294" s="36">
        <v>46173</v>
      </c>
      <c r="B294" s="37" t="s">
        <v>1546</v>
      </c>
      <c r="C294" s="38" t="s">
        <v>15</v>
      </c>
      <c r="D294" s="19" t="s">
        <v>1547</v>
      </c>
      <c r="E294" s="175">
        <v>23856891</v>
      </c>
      <c r="F294" s="174"/>
      <c r="G294" s="38" t="s">
        <v>259</v>
      </c>
      <c r="H294" s="38" t="s">
        <v>882</v>
      </c>
      <c r="I294" s="2">
        <f t="shared" si="10"/>
        <v>23856891</v>
      </c>
      <c r="J294" s="49" t="str">
        <f t="shared" si="11"/>
        <v>13311</v>
      </c>
    </row>
    <row r="295" spans="1:10" x14ac:dyDescent="0.3">
      <c r="A295" s="36">
        <v>46173</v>
      </c>
      <c r="B295" s="37" t="s">
        <v>1546</v>
      </c>
      <c r="C295" s="38" t="s">
        <v>15</v>
      </c>
      <c r="D295" s="19" t="s">
        <v>1547</v>
      </c>
      <c r="E295" s="175">
        <v>16879742</v>
      </c>
      <c r="F295" s="174"/>
      <c r="G295" s="38" t="s">
        <v>259</v>
      </c>
      <c r="H295" s="38" t="s">
        <v>882</v>
      </c>
      <c r="I295" s="2">
        <f t="shared" si="10"/>
        <v>16879742</v>
      </c>
      <c r="J295" s="49" t="str">
        <f t="shared" si="11"/>
        <v>13311</v>
      </c>
    </row>
    <row r="296" spans="1:10" x14ac:dyDescent="0.3">
      <c r="A296" s="36">
        <v>46173</v>
      </c>
      <c r="B296" s="37" t="s">
        <v>1546</v>
      </c>
      <c r="C296" s="38" t="s">
        <v>15</v>
      </c>
      <c r="D296" s="19" t="s">
        <v>1547</v>
      </c>
      <c r="E296" s="175">
        <v>13925164</v>
      </c>
      <c r="F296" s="174"/>
      <c r="G296" s="38" t="s">
        <v>259</v>
      </c>
      <c r="H296" s="38" t="s">
        <v>882</v>
      </c>
      <c r="I296" s="2">
        <f t="shared" si="10"/>
        <v>13925164</v>
      </c>
      <c r="J296" s="49" t="str">
        <f t="shared" si="11"/>
        <v>13311</v>
      </c>
    </row>
    <row r="297" spans="1:10" x14ac:dyDescent="0.3">
      <c r="A297" s="36">
        <v>46173</v>
      </c>
      <c r="B297" s="37" t="s">
        <v>1546</v>
      </c>
      <c r="C297" s="38" t="s">
        <v>15</v>
      </c>
      <c r="D297" s="19" t="s">
        <v>1547</v>
      </c>
      <c r="E297" s="175">
        <v>4972852</v>
      </c>
      <c r="F297" s="174"/>
      <c r="G297" s="38" t="s">
        <v>259</v>
      </c>
      <c r="H297" s="38" t="s">
        <v>882</v>
      </c>
      <c r="I297" s="2">
        <f t="shared" si="10"/>
        <v>4972852</v>
      </c>
      <c r="J297" s="49" t="str">
        <f t="shared" si="11"/>
        <v>13311</v>
      </c>
    </row>
    <row r="298" spans="1:10" x14ac:dyDescent="0.3">
      <c r="A298" s="36">
        <v>46173</v>
      </c>
      <c r="B298" s="37" t="s">
        <v>1546</v>
      </c>
      <c r="C298" s="38" t="s">
        <v>15</v>
      </c>
      <c r="D298" s="19" t="s">
        <v>1547</v>
      </c>
      <c r="E298" s="175">
        <v>1920770</v>
      </c>
      <c r="F298" s="174"/>
      <c r="G298" s="38" t="s">
        <v>259</v>
      </c>
      <c r="H298" s="38" t="s">
        <v>882</v>
      </c>
      <c r="I298" s="2">
        <f t="shared" si="10"/>
        <v>1920770</v>
      </c>
      <c r="J298" s="49" t="str">
        <f t="shared" si="11"/>
        <v>13311</v>
      </c>
    </row>
    <row r="299" spans="1:10" x14ac:dyDescent="0.3">
      <c r="A299" s="36">
        <v>46173</v>
      </c>
      <c r="B299" s="37" t="s">
        <v>1546</v>
      </c>
      <c r="C299" s="38" t="s">
        <v>15</v>
      </c>
      <c r="D299" s="19" t="s">
        <v>1547</v>
      </c>
      <c r="E299" s="175">
        <v>12885294</v>
      </c>
      <c r="F299" s="174"/>
      <c r="G299" s="38" t="s">
        <v>259</v>
      </c>
      <c r="H299" s="38" t="s">
        <v>882</v>
      </c>
      <c r="I299" s="2">
        <f t="shared" si="10"/>
        <v>12885294</v>
      </c>
      <c r="J299" s="49" t="str">
        <f t="shared" si="11"/>
        <v>13311</v>
      </c>
    </row>
    <row r="300" spans="1:10" x14ac:dyDescent="0.3">
      <c r="A300" s="36">
        <v>46173</v>
      </c>
      <c r="B300" s="37" t="s">
        <v>1546</v>
      </c>
      <c r="C300" s="38" t="s">
        <v>15</v>
      </c>
      <c r="D300" s="19" t="s">
        <v>883</v>
      </c>
      <c r="E300" s="175">
        <v>7536910</v>
      </c>
      <c r="F300" s="174"/>
      <c r="G300" s="38" t="s">
        <v>259</v>
      </c>
      <c r="H300" s="38" t="s">
        <v>882</v>
      </c>
      <c r="I300" s="2">
        <f t="shared" si="10"/>
        <v>7536910</v>
      </c>
      <c r="J300" s="49" t="str">
        <f t="shared" si="11"/>
        <v>13311</v>
      </c>
    </row>
    <row r="301" spans="1:10" x14ac:dyDescent="0.3">
      <c r="A301" s="36">
        <v>46173</v>
      </c>
      <c r="B301" s="37" t="s">
        <v>1546</v>
      </c>
      <c r="C301" s="38" t="s">
        <v>15</v>
      </c>
      <c r="D301" s="19" t="s">
        <v>1547</v>
      </c>
      <c r="E301" s="175">
        <v>5526214</v>
      </c>
      <c r="F301" s="174"/>
      <c r="G301" s="38" t="s">
        <v>259</v>
      </c>
      <c r="H301" s="38" t="s">
        <v>882</v>
      </c>
      <c r="I301" s="2">
        <f t="shared" si="10"/>
        <v>5526214</v>
      </c>
      <c r="J301" s="49" t="str">
        <f t="shared" si="11"/>
        <v>13311</v>
      </c>
    </row>
    <row r="302" spans="1:10" x14ac:dyDescent="0.3">
      <c r="A302" s="36">
        <v>46173</v>
      </c>
      <c r="B302" s="37" t="s">
        <v>1546</v>
      </c>
      <c r="C302" s="38" t="s">
        <v>15</v>
      </c>
      <c r="D302" s="19" t="s">
        <v>883</v>
      </c>
      <c r="E302" s="175">
        <v>18003981</v>
      </c>
      <c r="F302" s="174"/>
      <c r="G302" s="38" t="s">
        <v>259</v>
      </c>
      <c r="H302" s="38" t="s">
        <v>882</v>
      </c>
      <c r="I302" s="2">
        <f t="shared" si="10"/>
        <v>18003981</v>
      </c>
      <c r="J302" s="49" t="str">
        <f t="shared" si="11"/>
        <v>13311</v>
      </c>
    </row>
    <row r="303" spans="1:10" x14ac:dyDescent="0.3">
      <c r="A303" s="36">
        <v>46173</v>
      </c>
      <c r="B303" s="37" t="s">
        <v>1546</v>
      </c>
      <c r="C303" s="38" t="s">
        <v>15</v>
      </c>
      <c r="D303" s="19" t="s">
        <v>1547</v>
      </c>
      <c r="E303" s="175">
        <v>14191910</v>
      </c>
      <c r="F303" s="174"/>
      <c r="G303" s="38" t="s">
        <v>259</v>
      </c>
      <c r="H303" s="38" t="s">
        <v>882</v>
      </c>
      <c r="I303" s="2">
        <f t="shared" si="10"/>
        <v>14191910</v>
      </c>
      <c r="J303" s="49" t="str">
        <f t="shared" si="11"/>
        <v>13311</v>
      </c>
    </row>
    <row r="304" spans="1:10" x14ac:dyDescent="0.3">
      <c r="A304" s="36">
        <v>46173</v>
      </c>
      <c r="B304" s="37" t="s">
        <v>1546</v>
      </c>
      <c r="C304" s="38" t="s">
        <v>15</v>
      </c>
      <c r="D304" s="19" t="s">
        <v>883</v>
      </c>
      <c r="E304" s="175">
        <v>16824844</v>
      </c>
      <c r="F304" s="174"/>
      <c r="G304" s="38" t="s">
        <v>259</v>
      </c>
      <c r="H304" s="38" t="s">
        <v>882</v>
      </c>
      <c r="I304" s="2">
        <f t="shared" si="10"/>
        <v>16824844</v>
      </c>
      <c r="J304" s="49" t="str">
        <f t="shared" si="11"/>
        <v>13311</v>
      </c>
    </row>
    <row r="305" spans="1:10" x14ac:dyDescent="0.3">
      <c r="A305" s="36">
        <v>46173</v>
      </c>
      <c r="B305" s="37" t="s">
        <v>1546</v>
      </c>
      <c r="C305" s="38" t="s">
        <v>15</v>
      </c>
      <c r="D305" s="19" t="s">
        <v>1547</v>
      </c>
      <c r="E305" s="175">
        <v>11532706</v>
      </c>
      <c r="F305" s="174"/>
      <c r="G305" s="38" t="s">
        <v>259</v>
      </c>
      <c r="H305" s="38" t="s">
        <v>882</v>
      </c>
      <c r="I305" s="2">
        <f t="shared" si="10"/>
        <v>11532706</v>
      </c>
      <c r="J305" s="49" t="str">
        <f t="shared" si="11"/>
        <v>13311</v>
      </c>
    </row>
    <row r="306" spans="1:10" x14ac:dyDescent="0.3">
      <c r="A306" s="36">
        <v>46173</v>
      </c>
      <c r="B306" s="37" t="s">
        <v>1546</v>
      </c>
      <c r="C306" s="38" t="s">
        <v>15</v>
      </c>
      <c r="D306" s="19" t="s">
        <v>1547</v>
      </c>
      <c r="E306" s="175">
        <v>19448179</v>
      </c>
      <c r="F306" s="174"/>
      <c r="G306" s="38" t="s">
        <v>259</v>
      </c>
      <c r="H306" s="38" t="s">
        <v>882</v>
      </c>
      <c r="I306" s="2">
        <f t="shared" si="10"/>
        <v>19448179</v>
      </c>
      <c r="J306" s="49" t="str">
        <f t="shared" si="11"/>
        <v>13311</v>
      </c>
    </row>
    <row r="307" spans="1:10" x14ac:dyDescent="0.3">
      <c r="A307" s="36">
        <v>46173</v>
      </c>
      <c r="B307" s="37" t="s">
        <v>1546</v>
      </c>
      <c r="C307" s="38" t="s">
        <v>15</v>
      </c>
      <c r="D307" s="19" t="s">
        <v>883</v>
      </c>
      <c r="E307" s="175">
        <v>20162027</v>
      </c>
      <c r="F307" s="174"/>
      <c r="G307" s="38" t="s">
        <v>259</v>
      </c>
      <c r="H307" s="38" t="s">
        <v>882</v>
      </c>
      <c r="I307" s="2">
        <f t="shared" si="10"/>
        <v>20162027</v>
      </c>
      <c r="J307" s="49" t="str">
        <f t="shared" si="11"/>
        <v>13311</v>
      </c>
    </row>
    <row r="308" spans="1:10" x14ac:dyDescent="0.3">
      <c r="A308" s="36">
        <v>46173</v>
      </c>
      <c r="B308" s="37" t="s">
        <v>1546</v>
      </c>
      <c r="C308" s="38" t="s">
        <v>15</v>
      </c>
      <c r="D308" s="19" t="s">
        <v>1547</v>
      </c>
      <c r="E308" s="175">
        <v>16598178</v>
      </c>
      <c r="F308" s="174"/>
      <c r="G308" s="38" t="s">
        <v>259</v>
      </c>
      <c r="H308" s="38" t="s">
        <v>882</v>
      </c>
      <c r="I308" s="2">
        <f t="shared" si="10"/>
        <v>16598178</v>
      </c>
      <c r="J308" s="49" t="str">
        <f t="shared" si="11"/>
        <v>13311</v>
      </c>
    </row>
    <row r="309" spans="1:10" x14ac:dyDescent="0.3">
      <c r="A309" s="36">
        <v>46173</v>
      </c>
      <c r="B309" s="37" t="s">
        <v>1546</v>
      </c>
      <c r="C309" s="38" t="s">
        <v>15</v>
      </c>
      <c r="D309" s="19" t="s">
        <v>883</v>
      </c>
      <c r="E309" s="175">
        <v>9725437</v>
      </c>
      <c r="F309" s="174"/>
      <c r="G309" s="38" t="s">
        <v>259</v>
      </c>
      <c r="H309" s="38" t="s">
        <v>882</v>
      </c>
      <c r="I309" s="2">
        <f t="shared" si="10"/>
        <v>9725437</v>
      </c>
      <c r="J309" s="49" t="str">
        <f t="shared" si="11"/>
        <v>13311</v>
      </c>
    </row>
    <row r="310" spans="1:10" x14ac:dyDescent="0.3">
      <c r="A310" s="36">
        <v>46173</v>
      </c>
      <c r="B310" s="37" t="s">
        <v>1546</v>
      </c>
      <c r="C310" s="38" t="s">
        <v>15</v>
      </c>
      <c r="D310" s="19" t="s">
        <v>1547</v>
      </c>
      <c r="E310" s="175">
        <v>8992560</v>
      </c>
      <c r="F310" s="174"/>
      <c r="G310" s="38" t="s">
        <v>259</v>
      </c>
      <c r="H310" s="38" t="s">
        <v>882</v>
      </c>
      <c r="I310" s="2">
        <f t="shared" si="10"/>
        <v>8992560</v>
      </c>
      <c r="J310" s="49" t="str">
        <f t="shared" si="11"/>
        <v>13311</v>
      </c>
    </row>
    <row r="311" spans="1:10" x14ac:dyDescent="0.3">
      <c r="A311" s="36">
        <v>46173</v>
      </c>
      <c r="B311" s="37" t="s">
        <v>1546</v>
      </c>
      <c r="C311" s="38" t="s">
        <v>15</v>
      </c>
      <c r="D311" s="19" t="s">
        <v>1547</v>
      </c>
      <c r="E311" s="175">
        <v>20376</v>
      </c>
      <c r="F311" s="174"/>
      <c r="G311" s="38" t="s">
        <v>259</v>
      </c>
      <c r="H311" s="38" t="s">
        <v>882</v>
      </c>
      <c r="I311" s="2">
        <f t="shared" si="10"/>
        <v>20376</v>
      </c>
      <c r="J311" s="49" t="str">
        <f t="shared" si="11"/>
        <v>13311</v>
      </c>
    </row>
    <row r="312" spans="1:10" x14ac:dyDescent="0.3">
      <c r="A312" s="36">
        <v>46173</v>
      </c>
      <c r="B312" s="37" t="s">
        <v>1546</v>
      </c>
      <c r="C312" s="38" t="s">
        <v>15</v>
      </c>
      <c r="D312" s="19" t="s">
        <v>1547</v>
      </c>
      <c r="E312" s="175">
        <v>13640</v>
      </c>
      <c r="F312" s="174"/>
      <c r="G312" s="38" t="s">
        <v>259</v>
      </c>
      <c r="H312" s="38" t="s">
        <v>882</v>
      </c>
      <c r="I312" s="2">
        <f t="shared" si="10"/>
        <v>13640</v>
      </c>
      <c r="J312" s="49" t="str">
        <f t="shared" si="11"/>
        <v>13311</v>
      </c>
    </row>
    <row r="313" spans="1:10" x14ac:dyDescent="0.3">
      <c r="A313" s="36">
        <v>46173</v>
      </c>
      <c r="B313" s="37" t="s">
        <v>1546</v>
      </c>
      <c r="C313" s="38" t="s">
        <v>15</v>
      </c>
      <c r="D313" s="19" t="s">
        <v>883</v>
      </c>
      <c r="E313" s="175">
        <v>16503</v>
      </c>
      <c r="F313" s="174"/>
      <c r="G313" s="38" t="s">
        <v>259</v>
      </c>
      <c r="H313" s="38" t="s">
        <v>882</v>
      </c>
      <c r="I313" s="2">
        <f t="shared" si="10"/>
        <v>16503</v>
      </c>
      <c r="J313" s="49" t="str">
        <f t="shared" si="11"/>
        <v>13311</v>
      </c>
    </row>
    <row r="314" spans="1:10" x14ac:dyDescent="0.3">
      <c r="A314" s="36">
        <v>46173</v>
      </c>
      <c r="B314" s="37" t="s">
        <v>1546</v>
      </c>
      <c r="C314" s="38" t="s">
        <v>15</v>
      </c>
      <c r="D314" s="19" t="s">
        <v>884</v>
      </c>
      <c r="E314" s="175">
        <v>153918</v>
      </c>
      <c r="F314" s="174"/>
      <c r="G314" s="38" t="s">
        <v>259</v>
      </c>
      <c r="H314" s="38" t="s">
        <v>882</v>
      </c>
      <c r="I314" s="2">
        <f t="shared" si="10"/>
        <v>153918</v>
      </c>
      <c r="J314" s="49" t="str">
        <f t="shared" si="11"/>
        <v>13311</v>
      </c>
    </row>
    <row r="315" spans="1:10" x14ac:dyDescent="0.3">
      <c r="A315" s="36">
        <v>46173</v>
      </c>
      <c r="B315" s="37" t="s">
        <v>1546</v>
      </c>
      <c r="C315" s="38" t="s">
        <v>15</v>
      </c>
      <c r="D315" s="19" t="s">
        <v>884</v>
      </c>
      <c r="E315" s="175">
        <v>163685</v>
      </c>
      <c r="F315" s="174"/>
      <c r="G315" s="38" t="s">
        <v>259</v>
      </c>
      <c r="H315" s="38" t="s">
        <v>882</v>
      </c>
      <c r="I315" s="2">
        <f t="shared" si="10"/>
        <v>163685</v>
      </c>
      <c r="J315" s="49" t="str">
        <f t="shared" si="11"/>
        <v>13311</v>
      </c>
    </row>
    <row r="316" spans="1:10" x14ac:dyDescent="0.3">
      <c r="A316" s="36">
        <v>46173</v>
      </c>
      <c r="B316" s="37" t="s">
        <v>1546</v>
      </c>
      <c r="C316" s="38" t="s">
        <v>15</v>
      </c>
      <c r="D316" s="19" t="s">
        <v>883</v>
      </c>
      <c r="E316" s="175">
        <v>343368</v>
      </c>
      <c r="F316" s="174"/>
      <c r="G316" s="38" t="s">
        <v>259</v>
      </c>
      <c r="H316" s="38" t="s">
        <v>882</v>
      </c>
      <c r="I316" s="2">
        <f t="shared" si="10"/>
        <v>343368</v>
      </c>
      <c r="J316" s="49" t="str">
        <f t="shared" si="11"/>
        <v>13311</v>
      </c>
    </row>
    <row r="317" spans="1:10" x14ac:dyDescent="0.3">
      <c r="A317" s="36">
        <v>46173</v>
      </c>
      <c r="B317" s="37" t="s">
        <v>1546</v>
      </c>
      <c r="C317" s="38" t="s">
        <v>15</v>
      </c>
      <c r="D317" s="19" t="s">
        <v>1547</v>
      </c>
      <c r="E317" s="175">
        <v>55413</v>
      </c>
      <c r="F317" s="174"/>
      <c r="G317" s="38" t="s">
        <v>259</v>
      </c>
      <c r="H317" s="38" t="s">
        <v>882</v>
      </c>
      <c r="I317" s="2">
        <f t="shared" si="10"/>
        <v>55413</v>
      </c>
      <c r="J317" s="49" t="str">
        <f t="shared" si="11"/>
        <v>13311</v>
      </c>
    </row>
    <row r="318" spans="1:10" x14ac:dyDescent="0.3">
      <c r="A318" s="36">
        <v>46173</v>
      </c>
      <c r="B318" s="37" t="s">
        <v>1546</v>
      </c>
      <c r="C318" s="38" t="s">
        <v>15</v>
      </c>
      <c r="D318" s="19" t="s">
        <v>1547</v>
      </c>
      <c r="E318" s="175">
        <v>61298</v>
      </c>
      <c r="F318" s="174"/>
      <c r="G318" s="38" t="s">
        <v>259</v>
      </c>
      <c r="H318" s="38" t="s">
        <v>882</v>
      </c>
      <c r="I318" s="2">
        <f t="shared" si="10"/>
        <v>61298</v>
      </c>
      <c r="J318" s="49" t="str">
        <f t="shared" si="11"/>
        <v>13311</v>
      </c>
    </row>
    <row r="319" spans="1:10" x14ac:dyDescent="0.3">
      <c r="A319" s="36">
        <v>46173</v>
      </c>
      <c r="B319" s="37" t="s">
        <v>1546</v>
      </c>
      <c r="C319" s="38" t="s">
        <v>15</v>
      </c>
      <c r="D319" s="19" t="s">
        <v>1547</v>
      </c>
      <c r="E319" s="175">
        <v>77632</v>
      </c>
      <c r="F319" s="174"/>
      <c r="G319" s="38" t="s">
        <v>259</v>
      </c>
      <c r="H319" s="38" t="s">
        <v>882</v>
      </c>
      <c r="I319" s="2">
        <f t="shared" si="10"/>
        <v>77632</v>
      </c>
      <c r="J319" s="49" t="str">
        <f t="shared" si="11"/>
        <v>13311</v>
      </c>
    </row>
    <row r="320" spans="1:10" x14ac:dyDescent="0.3">
      <c r="A320" s="36">
        <v>46173</v>
      </c>
      <c r="B320" s="37" t="s">
        <v>1546</v>
      </c>
      <c r="C320" s="38" t="s">
        <v>15</v>
      </c>
      <c r="D320" s="19" t="s">
        <v>1547</v>
      </c>
      <c r="E320" s="175">
        <v>4715</v>
      </c>
      <c r="F320" s="174"/>
      <c r="G320" s="38" t="s">
        <v>259</v>
      </c>
      <c r="H320" s="38" t="s">
        <v>882</v>
      </c>
      <c r="I320" s="2">
        <f t="shared" si="10"/>
        <v>4715</v>
      </c>
      <c r="J320" s="49" t="str">
        <f t="shared" si="11"/>
        <v>13311</v>
      </c>
    </row>
    <row r="321" spans="1:10" x14ac:dyDescent="0.3">
      <c r="A321" s="36">
        <v>46173</v>
      </c>
      <c r="B321" s="37" t="s">
        <v>1546</v>
      </c>
      <c r="C321" s="38" t="s">
        <v>15</v>
      </c>
      <c r="D321" s="19" t="s">
        <v>885</v>
      </c>
      <c r="E321" s="175">
        <v>18861</v>
      </c>
      <c r="F321" s="174"/>
      <c r="G321" s="38" t="s">
        <v>259</v>
      </c>
      <c r="H321" s="38" t="s">
        <v>882</v>
      </c>
      <c r="I321" s="2">
        <f t="shared" si="10"/>
        <v>18861</v>
      </c>
      <c r="J321" s="49" t="str">
        <f t="shared" si="11"/>
        <v>13311</v>
      </c>
    </row>
    <row r="322" spans="1:10" x14ac:dyDescent="0.3">
      <c r="A322" s="36">
        <v>46173</v>
      </c>
      <c r="B322" s="37" t="s">
        <v>1546</v>
      </c>
      <c r="C322" s="38" t="s">
        <v>15</v>
      </c>
      <c r="D322" s="19" t="s">
        <v>884</v>
      </c>
      <c r="E322" s="175">
        <v>76622</v>
      </c>
      <c r="F322" s="174"/>
      <c r="G322" s="38" t="s">
        <v>259</v>
      </c>
      <c r="H322" s="38" t="s">
        <v>882</v>
      </c>
      <c r="I322" s="2">
        <f t="shared" si="10"/>
        <v>76622</v>
      </c>
      <c r="J322" s="49" t="str">
        <f t="shared" si="11"/>
        <v>13311</v>
      </c>
    </row>
    <row r="323" spans="1:10" x14ac:dyDescent="0.3">
      <c r="A323" s="36">
        <v>46173</v>
      </c>
      <c r="B323" s="37" t="s">
        <v>1546</v>
      </c>
      <c r="C323" s="38" t="s">
        <v>15</v>
      </c>
      <c r="D323" s="19" t="s">
        <v>883</v>
      </c>
      <c r="E323" s="175">
        <v>82853</v>
      </c>
      <c r="F323" s="174"/>
      <c r="G323" s="38" t="s">
        <v>259</v>
      </c>
      <c r="H323" s="38" t="s">
        <v>882</v>
      </c>
      <c r="I323" s="2">
        <f t="shared" si="10"/>
        <v>82853</v>
      </c>
      <c r="J323" s="49" t="str">
        <f t="shared" si="11"/>
        <v>13311</v>
      </c>
    </row>
    <row r="324" spans="1:10" x14ac:dyDescent="0.3">
      <c r="A324" s="36">
        <v>46173</v>
      </c>
      <c r="B324" s="37" t="s">
        <v>1546</v>
      </c>
      <c r="C324" s="38" t="s">
        <v>15</v>
      </c>
      <c r="D324" s="19" t="s">
        <v>1547</v>
      </c>
      <c r="E324" s="175">
        <v>76454</v>
      </c>
      <c r="F324" s="174"/>
      <c r="G324" s="38" t="s">
        <v>259</v>
      </c>
      <c r="H324" s="38" t="s">
        <v>882</v>
      </c>
      <c r="I324" s="2">
        <f t="shared" si="10"/>
        <v>76454</v>
      </c>
      <c r="J324" s="49" t="str">
        <f t="shared" si="11"/>
        <v>13311</v>
      </c>
    </row>
    <row r="325" spans="1:10" x14ac:dyDescent="0.3">
      <c r="A325" s="36">
        <v>46173</v>
      </c>
      <c r="B325" s="37" t="s">
        <v>1546</v>
      </c>
      <c r="C325" s="38" t="s">
        <v>15</v>
      </c>
      <c r="D325" s="19" t="s">
        <v>883</v>
      </c>
      <c r="E325" s="175">
        <v>92283</v>
      </c>
      <c r="F325" s="174"/>
      <c r="G325" s="38" t="s">
        <v>259</v>
      </c>
      <c r="H325" s="38" t="s">
        <v>882</v>
      </c>
      <c r="I325" s="2">
        <f t="shared" si="10"/>
        <v>92283</v>
      </c>
      <c r="J325" s="49" t="str">
        <f t="shared" si="11"/>
        <v>13311</v>
      </c>
    </row>
    <row r="326" spans="1:10" x14ac:dyDescent="0.3">
      <c r="A326" s="36">
        <v>46173</v>
      </c>
      <c r="B326" s="37" t="s">
        <v>1546</v>
      </c>
      <c r="C326" s="38" t="s">
        <v>15</v>
      </c>
      <c r="D326" s="19" t="s">
        <v>1547</v>
      </c>
      <c r="E326" s="175">
        <v>98177</v>
      </c>
      <c r="F326" s="174"/>
      <c r="G326" s="38" t="s">
        <v>259</v>
      </c>
      <c r="H326" s="38" t="s">
        <v>882</v>
      </c>
      <c r="I326" s="2">
        <f t="shared" si="10"/>
        <v>98177</v>
      </c>
      <c r="J326" s="49" t="str">
        <f t="shared" si="11"/>
        <v>13311</v>
      </c>
    </row>
    <row r="327" spans="1:10" x14ac:dyDescent="0.3">
      <c r="A327" s="36">
        <v>46173</v>
      </c>
      <c r="B327" s="37" t="s">
        <v>1546</v>
      </c>
      <c r="C327" s="38" t="s">
        <v>15</v>
      </c>
      <c r="D327" s="19" t="s">
        <v>1547</v>
      </c>
      <c r="E327" s="175">
        <v>3233280</v>
      </c>
      <c r="F327" s="174"/>
      <c r="G327" s="38" t="s">
        <v>259</v>
      </c>
      <c r="H327" s="38" t="s">
        <v>882</v>
      </c>
      <c r="I327" s="2">
        <f t="shared" si="10"/>
        <v>3233280</v>
      </c>
      <c r="J327" s="49" t="str">
        <f t="shared" si="11"/>
        <v>13311</v>
      </c>
    </row>
    <row r="328" spans="1:10" x14ac:dyDescent="0.3">
      <c r="A328" s="36">
        <v>46173</v>
      </c>
      <c r="B328" s="37" t="s">
        <v>1546</v>
      </c>
      <c r="C328" s="38" t="s">
        <v>15</v>
      </c>
      <c r="D328" s="19" t="s">
        <v>1547</v>
      </c>
      <c r="E328" s="175">
        <v>6860784</v>
      </c>
      <c r="F328" s="174"/>
      <c r="G328" s="38" t="s">
        <v>259</v>
      </c>
      <c r="H328" s="38" t="s">
        <v>882</v>
      </c>
      <c r="I328" s="2">
        <f t="shared" si="10"/>
        <v>6860784</v>
      </c>
      <c r="J328" s="49" t="str">
        <f t="shared" si="11"/>
        <v>13311</v>
      </c>
    </row>
    <row r="329" spans="1:10" x14ac:dyDescent="0.3">
      <c r="A329" s="36">
        <v>46173</v>
      </c>
      <c r="B329" s="37" t="s">
        <v>1546</v>
      </c>
      <c r="C329" s="38" t="s">
        <v>15</v>
      </c>
      <c r="D329" s="19" t="s">
        <v>1547</v>
      </c>
      <c r="E329" s="175">
        <v>344715</v>
      </c>
      <c r="F329" s="174"/>
      <c r="G329" s="38" t="s">
        <v>259</v>
      </c>
      <c r="H329" s="38" t="s">
        <v>882</v>
      </c>
      <c r="I329" s="2">
        <f t="shared" si="10"/>
        <v>344715</v>
      </c>
      <c r="J329" s="49" t="str">
        <f t="shared" si="11"/>
        <v>13311</v>
      </c>
    </row>
    <row r="330" spans="1:10" x14ac:dyDescent="0.3">
      <c r="A330" s="36">
        <v>46173</v>
      </c>
      <c r="B330" s="37" t="s">
        <v>1546</v>
      </c>
      <c r="C330" s="38" t="s">
        <v>15</v>
      </c>
      <c r="D330" s="19" t="s">
        <v>1547</v>
      </c>
      <c r="E330" s="175">
        <v>765378</v>
      </c>
      <c r="F330" s="174"/>
      <c r="G330" s="38" t="s">
        <v>259</v>
      </c>
      <c r="H330" s="38" t="s">
        <v>882</v>
      </c>
      <c r="I330" s="2">
        <f t="shared" si="10"/>
        <v>765378</v>
      </c>
      <c r="J330" s="49" t="str">
        <f t="shared" si="11"/>
        <v>13311</v>
      </c>
    </row>
    <row r="331" spans="1:10" x14ac:dyDescent="0.3">
      <c r="A331" s="36">
        <v>46173</v>
      </c>
      <c r="B331" s="37" t="s">
        <v>1546</v>
      </c>
      <c r="C331" s="38" t="s">
        <v>15</v>
      </c>
      <c r="D331" s="19" t="s">
        <v>1547</v>
      </c>
      <c r="E331" s="175">
        <v>43784</v>
      </c>
      <c r="F331" s="174"/>
      <c r="G331" s="38" t="s">
        <v>259</v>
      </c>
      <c r="H331" s="38" t="s">
        <v>882</v>
      </c>
      <c r="I331" s="2">
        <f t="shared" si="10"/>
        <v>43784</v>
      </c>
      <c r="J331" s="49" t="str">
        <f t="shared" si="11"/>
        <v>13311</v>
      </c>
    </row>
    <row r="332" spans="1:10" x14ac:dyDescent="0.3">
      <c r="A332" s="36">
        <v>46173</v>
      </c>
      <c r="B332" s="37" t="s">
        <v>1546</v>
      </c>
      <c r="C332" s="38" t="s">
        <v>15</v>
      </c>
      <c r="D332" s="19" t="s">
        <v>1547</v>
      </c>
      <c r="E332" s="175">
        <v>436324</v>
      </c>
      <c r="F332" s="174"/>
      <c r="G332" s="38" t="s">
        <v>259</v>
      </c>
      <c r="H332" s="38" t="s">
        <v>882</v>
      </c>
      <c r="I332" s="2">
        <f t="shared" si="10"/>
        <v>436324</v>
      </c>
      <c r="J332" s="49" t="str">
        <f t="shared" si="11"/>
        <v>13311</v>
      </c>
    </row>
    <row r="333" spans="1:10" x14ac:dyDescent="0.3">
      <c r="A333" s="36">
        <v>46173</v>
      </c>
      <c r="B333" s="37" t="s">
        <v>1546</v>
      </c>
      <c r="C333" s="38" t="s">
        <v>15</v>
      </c>
      <c r="D333" s="19" t="s">
        <v>1547</v>
      </c>
      <c r="E333" s="175">
        <v>289648</v>
      </c>
      <c r="F333" s="174"/>
      <c r="G333" s="38" t="s">
        <v>259</v>
      </c>
      <c r="H333" s="38" t="s">
        <v>882</v>
      </c>
      <c r="I333" s="2">
        <f t="shared" si="10"/>
        <v>289648</v>
      </c>
      <c r="J333" s="49" t="str">
        <f t="shared" si="11"/>
        <v>13311</v>
      </c>
    </row>
    <row r="334" spans="1:10" x14ac:dyDescent="0.3">
      <c r="A334" s="36">
        <v>46173</v>
      </c>
      <c r="B334" s="37" t="s">
        <v>1546</v>
      </c>
      <c r="C334" s="38" t="s">
        <v>15</v>
      </c>
      <c r="D334" s="19" t="s">
        <v>1547</v>
      </c>
      <c r="E334" s="175">
        <v>1139900</v>
      </c>
      <c r="F334" s="174"/>
      <c r="G334" s="38" t="s">
        <v>259</v>
      </c>
      <c r="H334" s="38" t="s">
        <v>882</v>
      </c>
      <c r="I334" s="2">
        <f t="shared" si="10"/>
        <v>1139900</v>
      </c>
      <c r="J334" s="49" t="str">
        <f t="shared" si="11"/>
        <v>13311</v>
      </c>
    </row>
    <row r="335" spans="1:10" x14ac:dyDescent="0.3">
      <c r="A335" s="36">
        <v>46173</v>
      </c>
      <c r="B335" s="37" t="s">
        <v>1546</v>
      </c>
      <c r="C335" s="38" t="s">
        <v>15</v>
      </c>
      <c r="D335" s="19" t="s">
        <v>1547</v>
      </c>
      <c r="E335" s="175">
        <v>609776</v>
      </c>
      <c r="F335" s="174"/>
      <c r="G335" s="38" t="s">
        <v>259</v>
      </c>
      <c r="H335" s="38" t="s">
        <v>882</v>
      </c>
      <c r="I335" s="2">
        <f t="shared" si="10"/>
        <v>609776</v>
      </c>
      <c r="J335" s="49" t="str">
        <f t="shared" si="11"/>
        <v>13311</v>
      </c>
    </row>
    <row r="336" spans="1:10" x14ac:dyDescent="0.3">
      <c r="A336" s="36">
        <v>46173</v>
      </c>
      <c r="B336" s="37" t="s">
        <v>1546</v>
      </c>
      <c r="C336" s="38" t="s">
        <v>15</v>
      </c>
      <c r="D336" s="19" t="s">
        <v>1547</v>
      </c>
      <c r="E336" s="175">
        <v>83021</v>
      </c>
      <c r="F336" s="174"/>
      <c r="G336" s="38" t="s">
        <v>259</v>
      </c>
      <c r="H336" s="38" t="s">
        <v>882</v>
      </c>
      <c r="I336" s="2">
        <f t="shared" ref="I336:I399" si="12">IF(LEN(A336)=5,E336,0)</f>
        <v>83021</v>
      </c>
      <c r="J336" s="49" t="str">
        <f t="shared" ref="J336:J399" si="13">IF(LEFT(A336,11)="Tài khoản: ",MID(A336,12,5),J335)</f>
        <v>13311</v>
      </c>
    </row>
    <row r="337" spans="1:10" x14ac:dyDescent="0.3">
      <c r="A337" s="36">
        <v>46173</v>
      </c>
      <c r="B337" s="37" t="s">
        <v>1546</v>
      </c>
      <c r="C337" s="38" t="s">
        <v>15</v>
      </c>
      <c r="D337" s="19" t="s">
        <v>1547</v>
      </c>
      <c r="E337" s="175">
        <v>642109</v>
      </c>
      <c r="F337" s="174"/>
      <c r="G337" s="38" t="s">
        <v>259</v>
      </c>
      <c r="H337" s="38" t="s">
        <v>882</v>
      </c>
      <c r="I337" s="2">
        <f t="shared" si="12"/>
        <v>642109</v>
      </c>
      <c r="J337" s="49" t="str">
        <f t="shared" si="13"/>
        <v>13311</v>
      </c>
    </row>
    <row r="338" spans="1:10" x14ac:dyDescent="0.3">
      <c r="A338" s="36">
        <v>46173</v>
      </c>
      <c r="B338" s="37" t="s">
        <v>1546</v>
      </c>
      <c r="C338" s="38" t="s">
        <v>15</v>
      </c>
      <c r="D338" s="19" t="s">
        <v>1547</v>
      </c>
      <c r="E338" s="175">
        <v>22236546</v>
      </c>
      <c r="F338" s="174"/>
      <c r="G338" s="38" t="s">
        <v>259</v>
      </c>
      <c r="H338" s="38" t="s">
        <v>882</v>
      </c>
      <c r="I338" s="2">
        <f t="shared" si="12"/>
        <v>22236546</v>
      </c>
      <c r="J338" s="49" t="str">
        <f t="shared" si="13"/>
        <v>13311</v>
      </c>
    </row>
    <row r="339" spans="1:10" x14ac:dyDescent="0.3">
      <c r="A339" s="36">
        <v>46173</v>
      </c>
      <c r="B339" s="37" t="s">
        <v>1546</v>
      </c>
      <c r="C339" s="38" t="s">
        <v>15</v>
      </c>
      <c r="D339" s="19" t="s">
        <v>883</v>
      </c>
      <c r="E339" s="175">
        <v>16388688</v>
      </c>
      <c r="F339" s="174"/>
      <c r="G339" s="38" t="s">
        <v>259</v>
      </c>
      <c r="H339" s="38" t="s">
        <v>882</v>
      </c>
      <c r="I339" s="2">
        <f t="shared" si="12"/>
        <v>16388688</v>
      </c>
      <c r="J339" s="49" t="str">
        <f t="shared" si="13"/>
        <v>13311</v>
      </c>
    </row>
    <row r="340" spans="1:10" x14ac:dyDescent="0.3">
      <c r="A340" s="36">
        <v>46173</v>
      </c>
      <c r="B340" s="37" t="s">
        <v>1546</v>
      </c>
      <c r="C340" s="38" t="s">
        <v>15</v>
      </c>
      <c r="D340" s="19" t="s">
        <v>1547</v>
      </c>
      <c r="E340" s="175">
        <v>7810897</v>
      </c>
      <c r="F340" s="174"/>
      <c r="G340" s="38" t="s">
        <v>259</v>
      </c>
      <c r="H340" s="38" t="s">
        <v>882</v>
      </c>
      <c r="I340" s="2">
        <f t="shared" si="12"/>
        <v>7810897</v>
      </c>
      <c r="J340" s="49" t="str">
        <f t="shared" si="13"/>
        <v>13311</v>
      </c>
    </row>
    <row r="341" spans="1:10" x14ac:dyDescent="0.3">
      <c r="A341" s="36">
        <v>46173</v>
      </c>
      <c r="B341" s="37" t="s">
        <v>1546</v>
      </c>
      <c r="C341" s="38" t="s">
        <v>15</v>
      </c>
      <c r="D341" s="19" t="s">
        <v>1547</v>
      </c>
      <c r="E341" s="175">
        <v>19015054</v>
      </c>
      <c r="F341" s="174"/>
      <c r="G341" s="38" t="s">
        <v>259</v>
      </c>
      <c r="H341" s="38" t="s">
        <v>882</v>
      </c>
      <c r="I341" s="2">
        <f t="shared" si="12"/>
        <v>19015054</v>
      </c>
      <c r="J341" s="49" t="str">
        <f t="shared" si="13"/>
        <v>13311</v>
      </c>
    </row>
    <row r="342" spans="1:10" x14ac:dyDescent="0.3">
      <c r="A342" s="36">
        <v>46173</v>
      </c>
      <c r="B342" s="37" t="s">
        <v>1546</v>
      </c>
      <c r="C342" s="38" t="s">
        <v>15</v>
      </c>
      <c r="D342" s="19" t="s">
        <v>1547</v>
      </c>
      <c r="E342" s="175">
        <v>18521474</v>
      </c>
      <c r="F342" s="174"/>
      <c r="G342" s="38" t="s">
        <v>259</v>
      </c>
      <c r="H342" s="38" t="s">
        <v>882</v>
      </c>
      <c r="I342" s="2">
        <f t="shared" si="12"/>
        <v>18521474</v>
      </c>
      <c r="J342" s="49" t="str">
        <f t="shared" si="13"/>
        <v>13311</v>
      </c>
    </row>
    <row r="343" spans="1:10" x14ac:dyDescent="0.3">
      <c r="A343" s="36">
        <v>46173</v>
      </c>
      <c r="B343" s="37" t="s">
        <v>1546</v>
      </c>
      <c r="C343" s="38" t="s">
        <v>15</v>
      </c>
      <c r="D343" s="19" t="s">
        <v>1547</v>
      </c>
      <c r="E343" s="175">
        <v>18055174</v>
      </c>
      <c r="F343" s="174"/>
      <c r="G343" s="38" t="s">
        <v>259</v>
      </c>
      <c r="H343" s="38" t="s">
        <v>882</v>
      </c>
      <c r="I343" s="2">
        <f t="shared" si="12"/>
        <v>18055174</v>
      </c>
      <c r="J343" s="49" t="str">
        <f t="shared" si="13"/>
        <v>13311</v>
      </c>
    </row>
    <row r="344" spans="1:10" x14ac:dyDescent="0.3">
      <c r="A344" s="36">
        <v>46173</v>
      </c>
      <c r="B344" s="37" t="s">
        <v>1546</v>
      </c>
      <c r="C344" s="38" t="s">
        <v>15</v>
      </c>
      <c r="D344" s="19" t="s">
        <v>1547</v>
      </c>
      <c r="E344" s="175">
        <v>19760056</v>
      </c>
      <c r="F344" s="174"/>
      <c r="G344" s="38" t="s">
        <v>259</v>
      </c>
      <c r="H344" s="38" t="s">
        <v>882</v>
      </c>
      <c r="I344" s="2">
        <f t="shared" si="12"/>
        <v>19760056</v>
      </c>
      <c r="J344" s="49" t="str">
        <f t="shared" si="13"/>
        <v>13311</v>
      </c>
    </row>
    <row r="345" spans="1:10" x14ac:dyDescent="0.3">
      <c r="A345" s="36">
        <v>46173</v>
      </c>
      <c r="B345" s="37" t="s">
        <v>1546</v>
      </c>
      <c r="C345" s="38" t="s">
        <v>15</v>
      </c>
      <c r="D345" s="19" t="s">
        <v>1547</v>
      </c>
      <c r="E345" s="175">
        <v>20280412</v>
      </c>
      <c r="F345" s="174"/>
      <c r="G345" s="38" t="s">
        <v>259</v>
      </c>
      <c r="H345" s="38" t="s">
        <v>882</v>
      </c>
      <c r="I345" s="2">
        <f t="shared" si="12"/>
        <v>20280412</v>
      </c>
      <c r="J345" s="49" t="str">
        <f t="shared" si="13"/>
        <v>13311</v>
      </c>
    </row>
    <row r="346" spans="1:10" x14ac:dyDescent="0.3">
      <c r="A346" s="36">
        <v>46173</v>
      </c>
      <c r="B346" s="37" t="s">
        <v>1546</v>
      </c>
      <c r="C346" s="38" t="s">
        <v>15</v>
      </c>
      <c r="D346" s="19" t="s">
        <v>1547</v>
      </c>
      <c r="E346" s="175">
        <v>22297170</v>
      </c>
      <c r="F346" s="174"/>
      <c r="G346" s="38" t="s">
        <v>259</v>
      </c>
      <c r="H346" s="38" t="s">
        <v>882</v>
      </c>
      <c r="I346" s="2">
        <f t="shared" si="12"/>
        <v>22297170</v>
      </c>
      <c r="J346" s="49" t="str">
        <f t="shared" si="13"/>
        <v>13311</v>
      </c>
    </row>
    <row r="347" spans="1:10" x14ac:dyDescent="0.3">
      <c r="A347" s="36">
        <v>46173</v>
      </c>
      <c r="B347" s="37" t="s">
        <v>1546</v>
      </c>
      <c r="C347" s="38" t="s">
        <v>15</v>
      </c>
      <c r="D347" s="19" t="s">
        <v>1547</v>
      </c>
      <c r="E347" s="175">
        <v>24943913</v>
      </c>
      <c r="F347" s="174"/>
      <c r="G347" s="38" t="s">
        <v>259</v>
      </c>
      <c r="H347" s="38" t="s">
        <v>882</v>
      </c>
      <c r="I347" s="2">
        <f t="shared" si="12"/>
        <v>24943913</v>
      </c>
      <c r="J347" s="49" t="str">
        <f t="shared" si="13"/>
        <v>13311</v>
      </c>
    </row>
    <row r="348" spans="1:10" x14ac:dyDescent="0.3">
      <c r="A348" s="36">
        <v>46173</v>
      </c>
      <c r="B348" s="37" t="s">
        <v>1546</v>
      </c>
      <c r="C348" s="38" t="s">
        <v>15</v>
      </c>
      <c r="D348" s="19" t="s">
        <v>1547</v>
      </c>
      <c r="E348" s="175">
        <v>21460720</v>
      </c>
      <c r="F348" s="174"/>
      <c r="G348" s="38" t="s">
        <v>259</v>
      </c>
      <c r="H348" s="38" t="s">
        <v>882</v>
      </c>
      <c r="I348" s="2">
        <f t="shared" si="12"/>
        <v>21460720</v>
      </c>
      <c r="J348" s="49" t="str">
        <f t="shared" si="13"/>
        <v>13311</v>
      </c>
    </row>
    <row r="349" spans="1:10" x14ac:dyDescent="0.3">
      <c r="A349" s="36">
        <v>46173</v>
      </c>
      <c r="B349" s="37" t="s">
        <v>1546</v>
      </c>
      <c r="C349" s="38" t="s">
        <v>15</v>
      </c>
      <c r="D349" s="19" t="s">
        <v>1547</v>
      </c>
      <c r="E349" s="175">
        <v>21125050</v>
      </c>
      <c r="F349" s="174"/>
      <c r="G349" s="38" t="s">
        <v>259</v>
      </c>
      <c r="H349" s="38" t="s">
        <v>882</v>
      </c>
      <c r="I349" s="2">
        <f t="shared" si="12"/>
        <v>21125050</v>
      </c>
      <c r="J349" s="49" t="str">
        <f t="shared" si="13"/>
        <v>13311</v>
      </c>
    </row>
    <row r="350" spans="1:10" x14ac:dyDescent="0.3">
      <c r="A350" s="36">
        <v>46173</v>
      </c>
      <c r="B350" s="37" t="s">
        <v>1546</v>
      </c>
      <c r="C350" s="38" t="s">
        <v>15</v>
      </c>
      <c r="D350" s="19" t="s">
        <v>1547</v>
      </c>
      <c r="E350" s="175">
        <v>182377</v>
      </c>
      <c r="F350" s="174"/>
      <c r="G350" s="38" t="s">
        <v>259</v>
      </c>
      <c r="H350" s="38" t="s">
        <v>882</v>
      </c>
      <c r="I350" s="2">
        <f t="shared" si="12"/>
        <v>182377</v>
      </c>
      <c r="J350" s="49" t="str">
        <f t="shared" si="13"/>
        <v>13311</v>
      </c>
    </row>
    <row r="351" spans="1:10" x14ac:dyDescent="0.3">
      <c r="A351" s="36">
        <v>46173</v>
      </c>
      <c r="B351" s="37" t="s">
        <v>1546</v>
      </c>
      <c r="C351" s="38" t="s">
        <v>15</v>
      </c>
      <c r="D351" s="19" t="s">
        <v>1547</v>
      </c>
      <c r="E351" s="175">
        <v>3735786</v>
      </c>
      <c r="F351" s="174"/>
      <c r="G351" s="38" t="s">
        <v>259</v>
      </c>
      <c r="H351" s="38" t="s">
        <v>882</v>
      </c>
      <c r="I351" s="2">
        <f t="shared" si="12"/>
        <v>3735786</v>
      </c>
      <c r="J351" s="49" t="str">
        <f t="shared" si="13"/>
        <v>13311</v>
      </c>
    </row>
    <row r="352" spans="1:10" x14ac:dyDescent="0.3">
      <c r="A352" s="36">
        <v>46173</v>
      </c>
      <c r="B352" s="37" t="s">
        <v>1546</v>
      </c>
      <c r="C352" s="38" t="s">
        <v>15</v>
      </c>
      <c r="D352" s="19" t="s">
        <v>1547</v>
      </c>
      <c r="E352" s="175">
        <v>1111945</v>
      </c>
      <c r="F352" s="174"/>
      <c r="G352" s="38" t="s">
        <v>259</v>
      </c>
      <c r="H352" s="38" t="s">
        <v>882</v>
      </c>
      <c r="I352" s="2">
        <f t="shared" si="12"/>
        <v>1111945</v>
      </c>
      <c r="J352" s="49" t="str">
        <f t="shared" si="13"/>
        <v>13311</v>
      </c>
    </row>
    <row r="353" spans="1:10" x14ac:dyDescent="0.3">
      <c r="A353" s="36">
        <v>46173</v>
      </c>
      <c r="B353" s="37" t="s">
        <v>1546</v>
      </c>
      <c r="C353" s="38" t="s">
        <v>15</v>
      </c>
      <c r="D353" s="19" t="s">
        <v>1547</v>
      </c>
      <c r="E353" s="175">
        <v>602535</v>
      </c>
      <c r="F353" s="174"/>
      <c r="G353" s="38" t="s">
        <v>259</v>
      </c>
      <c r="H353" s="38" t="s">
        <v>882</v>
      </c>
      <c r="I353" s="2">
        <f t="shared" si="12"/>
        <v>602535</v>
      </c>
      <c r="J353" s="49" t="str">
        <f t="shared" si="13"/>
        <v>13311</v>
      </c>
    </row>
    <row r="354" spans="1:10" x14ac:dyDescent="0.3">
      <c r="A354" s="36">
        <v>46173</v>
      </c>
      <c r="B354" s="37" t="s">
        <v>1546</v>
      </c>
      <c r="C354" s="38" t="s">
        <v>15</v>
      </c>
      <c r="D354" s="19" t="s">
        <v>1547</v>
      </c>
      <c r="E354" s="175">
        <v>14504966</v>
      </c>
      <c r="F354" s="174"/>
      <c r="G354" s="38" t="s">
        <v>259</v>
      </c>
      <c r="H354" s="38" t="s">
        <v>882</v>
      </c>
      <c r="I354" s="2">
        <f t="shared" si="12"/>
        <v>14504966</v>
      </c>
      <c r="J354" s="49" t="str">
        <f t="shared" si="13"/>
        <v>13311</v>
      </c>
    </row>
    <row r="355" spans="1:10" x14ac:dyDescent="0.3">
      <c r="A355" s="36">
        <v>46173</v>
      </c>
      <c r="B355" s="37" t="s">
        <v>1546</v>
      </c>
      <c r="C355" s="38" t="s">
        <v>15</v>
      </c>
      <c r="D355" s="19" t="s">
        <v>883</v>
      </c>
      <c r="E355" s="175">
        <v>2408457</v>
      </c>
      <c r="F355" s="174"/>
      <c r="G355" s="38" t="s">
        <v>259</v>
      </c>
      <c r="H355" s="38" t="s">
        <v>882</v>
      </c>
      <c r="I355" s="2">
        <f t="shared" si="12"/>
        <v>2408457</v>
      </c>
      <c r="J355" s="49" t="str">
        <f t="shared" si="13"/>
        <v>13311</v>
      </c>
    </row>
    <row r="356" spans="1:10" x14ac:dyDescent="0.3">
      <c r="A356" s="36">
        <v>46173</v>
      </c>
      <c r="B356" s="37" t="s">
        <v>1546</v>
      </c>
      <c r="C356" s="38" t="s">
        <v>15</v>
      </c>
      <c r="D356" s="19" t="s">
        <v>1547</v>
      </c>
      <c r="E356" s="175">
        <v>2089339</v>
      </c>
      <c r="F356" s="174"/>
      <c r="G356" s="38" t="s">
        <v>259</v>
      </c>
      <c r="H356" s="38" t="s">
        <v>882</v>
      </c>
      <c r="I356" s="2">
        <f t="shared" si="12"/>
        <v>2089339</v>
      </c>
      <c r="J356" s="49" t="str">
        <f t="shared" si="13"/>
        <v>13311</v>
      </c>
    </row>
    <row r="357" spans="1:10" x14ac:dyDescent="0.3">
      <c r="A357" s="36">
        <v>46173</v>
      </c>
      <c r="B357" s="37" t="s">
        <v>1546</v>
      </c>
      <c r="C357" s="38" t="s">
        <v>15</v>
      </c>
      <c r="D357" s="19" t="s">
        <v>1547</v>
      </c>
      <c r="E357" s="175">
        <v>21018509</v>
      </c>
      <c r="F357" s="174"/>
      <c r="G357" s="38" t="s">
        <v>259</v>
      </c>
      <c r="H357" s="38" t="s">
        <v>882</v>
      </c>
      <c r="I357" s="2">
        <f t="shared" si="12"/>
        <v>21018509</v>
      </c>
      <c r="J357" s="49" t="str">
        <f t="shared" si="13"/>
        <v>13311</v>
      </c>
    </row>
    <row r="358" spans="1:10" x14ac:dyDescent="0.3">
      <c r="A358" s="36">
        <v>46173</v>
      </c>
      <c r="B358" s="37" t="s">
        <v>1546</v>
      </c>
      <c r="C358" s="38" t="s">
        <v>15</v>
      </c>
      <c r="D358" s="19" t="s">
        <v>1547</v>
      </c>
      <c r="E358" s="175">
        <v>444239</v>
      </c>
      <c r="F358" s="174"/>
      <c r="G358" s="38" t="s">
        <v>259</v>
      </c>
      <c r="H358" s="38" t="s">
        <v>882</v>
      </c>
      <c r="I358" s="2">
        <f t="shared" si="12"/>
        <v>444239</v>
      </c>
      <c r="J358" s="49" t="str">
        <f t="shared" si="13"/>
        <v>13311</v>
      </c>
    </row>
    <row r="359" spans="1:10" x14ac:dyDescent="0.3">
      <c r="A359" s="36">
        <v>46173</v>
      </c>
      <c r="B359" s="37" t="s">
        <v>1546</v>
      </c>
      <c r="C359" s="38" t="s">
        <v>15</v>
      </c>
      <c r="D359" s="19" t="s">
        <v>1547</v>
      </c>
      <c r="E359" s="175">
        <v>5233198</v>
      </c>
      <c r="F359" s="174"/>
      <c r="G359" s="38" t="s">
        <v>259</v>
      </c>
      <c r="H359" s="38" t="s">
        <v>882</v>
      </c>
      <c r="I359" s="2">
        <f t="shared" si="12"/>
        <v>5233198</v>
      </c>
      <c r="J359" s="49" t="str">
        <f t="shared" si="13"/>
        <v>13311</v>
      </c>
    </row>
    <row r="360" spans="1:10" x14ac:dyDescent="0.3">
      <c r="A360" s="36">
        <v>46173</v>
      </c>
      <c r="B360" s="37" t="s">
        <v>1546</v>
      </c>
      <c r="C360" s="38" t="s">
        <v>15</v>
      </c>
      <c r="D360" s="19" t="s">
        <v>1547</v>
      </c>
      <c r="E360" s="175">
        <v>18895490</v>
      </c>
      <c r="F360" s="174"/>
      <c r="G360" s="38" t="s">
        <v>259</v>
      </c>
      <c r="H360" s="38" t="s">
        <v>882</v>
      </c>
      <c r="I360" s="2">
        <f t="shared" si="12"/>
        <v>18895490</v>
      </c>
      <c r="J360" s="49" t="str">
        <f t="shared" si="13"/>
        <v>13311</v>
      </c>
    </row>
    <row r="361" spans="1:10" x14ac:dyDescent="0.3">
      <c r="A361" s="36">
        <v>46173</v>
      </c>
      <c r="B361" s="37" t="s">
        <v>1546</v>
      </c>
      <c r="C361" s="38" t="s">
        <v>15</v>
      </c>
      <c r="D361" s="19" t="s">
        <v>1547</v>
      </c>
      <c r="E361" s="175">
        <v>24414632</v>
      </c>
      <c r="F361" s="174"/>
      <c r="G361" s="38" t="s">
        <v>259</v>
      </c>
      <c r="H361" s="38" t="s">
        <v>882</v>
      </c>
      <c r="I361" s="2">
        <f t="shared" si="12"/>
        <v>24414632</v>
      </c>
      <c r="J361" s="49" t="str">
        <f t="shared" si="13"/>
        <v>13311</v>
      </c>
    </row>
    <row r="362" spans="1:10" x14ac:dyDescent="0.3">
      <c r="A362" s="36">
        <v>46173</v>
      </c>
      <c r="B362" s="37" t="s">
        <v>1546</v>
      </c>
      <c r="C362" s="38" t="s">
        <v>15</v>
      </c>
      <c r="D362" s="19" t="s">
        <v>1547</v>
      </c>
      <c r="E362" s="175">
        <v>21054715</v>
      </c>
      <c r="F362" s="174"/>
      <c r="G362" s="38" t="s">
        <v>259</v>
      </c>
      <c r="H362" s="38" t="s">
        <v>882</v>
      </c>
      <c r="I362" s="2">
        <f t="shared" si="12"/>
        <v>21054715</v>
      </c>
      <c r="J362" s="49" t="str">
        <f t="shared" si="13"/>
        <v>13311</v>
      </c>
    </row>
    <row r="363" spans="1:10" x14ac:dyDescent="0.3">
      <c r="A363" s="36">
        <v>46173</v>
      </c>
      <c r="B363" s="37" t="s">
        <v>1546</v>
      </c>
      <c r="C363" s="38" t="s">
        <v>15</v>
      </c>
      <c r="D363" s="19" t="s">
        <v>1547</v>
      </c>
      <c r="E363" s="175">
        <v>20212378</v>
      </c>
      <c r="F363" s="174"/>
      <c r="G363" s="38" t="s">
        <v>259</v>
      </c>
      <c r="H363" s="38" t="s">
        <v>882</v>
      </c>
      <c r="I363" s="2">
        <f t="shared" si="12"/>
        <v>20212378</v>
      </c>
      <c r="J363" s="49" t="str">
        <f t="shared" si="13"/>
        <v>13311</v>
      </c>
    </row>
    <row r="364" spans="1:10" x14ac:dyDescent="0.3">
      <c r="A364" s="36">
        <v>46173</v>
      </c>
      <c r="B364" s="37" t="s">
        <v>1546</v>
      </c>
      <c r="C364" s="38" t="s">
        <v>15</v>
      </c>
      <c r="D364" s="19" t="s">
        <v>1547</v>
      </c>
      <c r="E364" s="175">
        <v>19498362</v>
      </c>
      <c r="F364" s="174"/>
      <c r="G364" s="38" t="s">
        <v>259</v>
      </c>
      <c r="H364" s="38" t="s">
        <v>882</v>
      </c>
      <c r="I364" s="2">
        <f t="shared" si="12"/>
        <v>19498362</v>
      </c>
      <c r="J364" s="49" t="str">
        <f t="shared" si="13"/>
        <v>13311</v>
      </c>
    </row>
    <row r="365" spans="1:10" x14ac:dyDescent="0.3">
      <c r="A365" s="36">
        <v>46173</v>
      </c>
      <c r="B365" s="37" t="s">
        <v>1546</v>
      </c>
      <c r="C365" s="38" t="s">
        <v>15</v>
      </c>
      <c r="D365" s="19" t="s">
        <v>1547</v>
      </c>
      <c r="E365" s="175">
        <v>19821354</v>
      </c>
      <c r="F365" s="174"/>
      <c r="G365" s="38" t="s">
        <v>259</v>
      </c>
      <c r="H365" s="38" t="s">
        <v>882</v>
      </c>
      <c r="I365" s="2">
        <f t="shared" si="12"/>
        <v>19821354</v>
      </c>
      <c r="J365" s="49" t="str">
        <f t="shared" si="13"/>
        <v>13311</v>
      </c>
    </row>
    <row r="366" spans="1:10" x14ac:dyDescent="0.3">
      <c r="A366" s="36">
        <v>46173</v>
      </c>
      <c r="B366" s="37" t="s">
        <v>1546</v>
      </c>
      <c r="C366" s="38" t="s">
        <v>15</v>
      </c>
      <c r="D366" s="19" t="s">
        <v>883</v>
      </c>
      <c r="E366" s="175">
        <v>718900</v>
      </c>
      <c r="F366" s="174"/>
      <c r="G366" s="38" t="s">
        <v>259</v>
      </c>
      <c r="H366" s="38" t="s">
        <v>882</v>
      </c>
      <c r="I366" s="2">
        <f t="shared" si="12"/>
        <v>718900</v>
      </c>
      <c r="J366" s="49" t="str">
        <f t="shared" si="13"/>
        <v>13311</v>
      </c>
    </row>
    <row r="367" spans="1:10" x14ac:dyDescent="0.3">
      <c r="A367" s="36">
        <v>46173</v>
      </c>
      <c r="B367" s="37" t="s">
        <v>1546</v>
      </c>
      <c r="C367" s="38" t="s">
        <v>15</v>
      </c>
      <c r="D367" s="19" t="s">
        <v>883</v>
      </c>
      <c r="E367" s="175">
        <v>9417096</v>
      </c>
      <c r="F367" s="174"/>
      <c r="G367" s="38" t="s">
        <v>259</v>
      </c>
      <c r="H367" s="38" t="s">
        <v>882</v>
      </c>
      <c r="I367" s="2">
        <f t="shared" si="12"/>
        <v>9417096</v>
      </c>
      <c r="J367" s="49" t="str">
        <f t="shared" si="13"/>
        <v>13311</v>
      </c>
    </row>
    <row r="368" spans="1:10" x14ac:dyDescent="0.3">
      <c r="A368" s="36">
        <v>46173</v>
      </c>
      <c r="B368" s="37" t="s">
        <v>1546</v>
      </c>
      <c r="C368" s="38" t="s">
        <v>15</v>
      </c>
      <c r="D368" s="19" t="s">
        <v>1547</v>
      </c>
      <c r="E368" s="175">
        <v>10627219</v>
      </c>
      <c r="F368" s="174"/>
      <c r="G368" s="38" t="s">
        <v>259</v>
      </c>
      <c r="H368" s="38" t="s">
        <v>882</v>
      </c>
      <c r="I368" s="2">
        <f t="shared" si="12"/>
        <v>10627219</v>
      </c>
      <c r="J368" s="49" t="str">
        <f t="shared" si="13"/>
        <v>13311</v>
      </c>
    </row>
    <row r="369" spans="1:10" x14ac:dyDescent="0.3">
      <c r="A369" s="36">
        <v>46173</v>
      </c>
      <c r="B369" s="37" t="s">
        <v>1546</v>
      </c>
      <c r="C369" s="38" t="s">
        <v>15</v>
      </c>
      <c r="D369" s="19" t="s">
        <v>883</v>
      </c>
      <c r="E369" s="175">
        <v>191471</v>
      </c>
      <c r="F369" s="174"/>
      <c r="G369" s="38" t="s">
        <v>259</v>
      </c>
      <c r="H369" s="38" t="s">
        <v>882</v>
      </c>
      <c r="I369" s="2">
        <f t="shared" si="12"/>
        <v>191471</v>
      </c>
      <c r="J369" s="49" t="str">
        <f t="shared" si="13"/>
        <v>13311</v>
      </c>
    </row>
    <row r="370" spans="1:10" x14ac:dyDescent="0.3">
      <c r="A370" s="36">
        <v>46173</v>
      </c>
      <c r="B370" s="37" t="s">
        <v>1546</v>
      </c>
      <c r="C370" s="38" t="s">
        <v>15</v>
      </c>
      <c r="D370" s="19" t="s">
        <v>1547</v>
      </c>
      <c r="E370" s="175">
        <v>892183</v>
      </c>
      <c r="F370" s="174"/>
      <c r="G370" s="38" t="s">
        <v>259</v>
      </c>
      <c r="H370" s="38" t="s">
        <v>882</v>
      </c>
      <c r="I370" s="2">
        <f t="shared" si="12"/>
        <v>892183</v>
      </c>
      <c r="J370" s="49" t="str">
        <f t="shared" si="13"/>
        <v>13311</v>
      </c>
    </row>
    <row r="371" spans="1:10" x14ac:dyDescent="0.3">
      <c r="A371" s="36">
        <v>46173</v>
      </c>
      <c r="B371" s="37" t="s">
        <v>1546</v>
      </c>
      <c r="C371" s="38" t="s">
        <v>15</v>
      </c>
      <c r="D371" s="19" t="s">
        <v>883</v>
      </c>
      <c r="E371" s="175">
        <v>129836</v>
      </c>
      <c r="F371" s="174"/>
      <c r="G371" s="38" t="s">
        <v>259</v>
      </c>
      <c r="H371" s="38" t="s">
        <v>882</v>
      </c>
      <c r="I371" s="2">
        <f t="shared" si="12"/>
        <v>129836</v>
      </c>
      <c r="J371" s="49" t="str">
        <f t="shared" si="13"/>
        <v>13311</v>
      </c>
    </row>
    <row r="372" spans="1:10" x14ac:dyDescent="0.3">
      <c r="A372" s="36">
        <v>46173</v>
      </c>
      <c r="B372" s="37" t="s">
        <v>1546</v>
      </c>
      <c r="C372" s="38" t="s">
        <v>15</v>
      </c>
      <c r="D372" s="19" t="s">
        <v>1547</v>
      </c>
      <c r="E372" s="175">
        <v>366102</v>
      </c>
      <c r="F372" s="174"/>
      <c r="G372" s="38" t="s">
        <v>259</v>
      </c>
      <c r="H372" s="38" t="s">
        <v>882</v>
      </c>
      <c r="I372" s="2">
        <f t="shared" si="12"/>
        <v>366102</v>
      </c>
      <c r="J372" s="49" t="str">
        <f t="shared" si="13"/>
        <v>13311</v>
      </c>
    </row>
    <row r="373" spans="1:10" x14ac:dyDescent="0.3">
      <c r="A373" s="36">
        <v>46173</v>
      </c>
      <c r="B373" s="37" t="s">
        <v>1546</v>
      </c>
      <c r="C373" s="38" t="s">
        <v>15</v>
      </c>
      <c r="D373" s="19" t="s">
        <v>883</v>
      </c>
      <c r="E373" s="175">
        <v>2296808</v>
      </c>
      <c r="F373" s="174"/>
      <c r="G373" s="38" t="s">
        <v>259</v>
      </c>
      <c r="H373" s="38" t="s">
        <v>882</v>
      </c>
      <c r="I373" s="2">
        <f t="shared" si="12"/>
        <v>2296808</v>
      </c>
      <c r="J373" s="49" t="str">
        <f t="shared" si="13"/>
        <v>13311</v>
      </c>
    </row>
    <row r="374" spans="1:10" x14ac:dyDescent="0.3">
      <c r="A374" s="36">
        <v>46173</v>
      </c>
      <c r="B374" s="37" t="s">
        <v>1546</v>
      </c>
      <c r="C374" s="38" t="s">
        <v>15</v>
      </c>
      <c r="D374" s="19" t="s">
        <v>1547</v>
      </c>
      <c r="E374" s="175">
        <v>85467</v>
      </c>
      <c r="F374" s="174"/>
      <c r="G374" s="38" t="s">
        <v>259</v>
      </c>
      <c r="H374" s="38" t="s">
        <v>882</v>
      </c>
      <c r="I374" s="2">
        <f t="shared" si="12"/>
        <v>85467</v>
      </c>
      <c r="J374" s="49" t="str">
        <f t="shared" si="13"/>
        <v>13311</v>
      </c>
    </row>
    <row r="375" spans="1:10" x14ac:dyDescent="0.3">
      <c r="A375" s="36">
        <v>46173</v>
      </c>
      <c r="B375" s="37" t="s">
        <v>1546</v>
      </c>
      <c r="C375" s="38" t="s">
        <v>15</v>
      </c>
      <c r="D375" s="19" t="s">
        <v>1547</v>
      </c>
      <c r="E375" s="175">
        <v>3878757</v>
      </c>
      <c r="F375" s="174"/>
      <c r="G375" s="38" t="s">
        <v>259</v>
      </c>
      <c r="H375" s="38" t="s">
        <v>882</v>
      </c>
      <c r="I375" s="2">
        <f t="shared" si="12"/>
        <v>3878757</v>
      </c>
      <c r="J375" s="49" t="str">
        <f t="shared" si="13"/>
        <v>13311</v>
      </c>
    </row>
    <row r="376" spans="1:10" x14ac:dyDescent="0.3">
      <c r="A376" s="36">
        <v>46173</v>
      </c>
      <c r="B376" s="37" t="s">
        <v>1546</v>
      </c>
      <c r="C376" s="38" t="s">
        <v>15</v>
      </c>
      <c r="D376" s="19" t="s">
        <v>1547</v>
      </c>
      <c r="E376" s="175">
        <v>25055394</v>
      </c>
      <c r="F376" s="174"/>
      <c r="G376" s="38" t="s">
        <v>259</v>
      </c>
      <c r="H376" s="38" t="s">
        <v>882</v>
      </c>
      <c r="I376" s="2">
        <f t="shared" si="12"/>
        <v>25055394</v>
      </c>
      <c r="J376" s="49" t="str">
        <f t="shared" si="13"/>
        <v>13311</v>
      </c>
    </row>
    <row r="377" spans="1:10" x14ac:dyDescent="0.3">
      <c r="A377" s="36">
        <v>46173</v>
      </c>
      <c r="B377" s="37" t="s">
        <v>1546</v>
      </c>
      <c r="C377" s="38" t="s">
        <v>15</v>
      </c>
      <c r="D377" s="19" t="s">
        <v>1547</v>
      </c>
      <c r="E377" s="175">
        <v>18745109</v>
      </c>
      <c r="F377" s="174"/>
      <c r="G377" s="38" t="s">
        <v>259</v>
      </c>
      <c r="H377" s="38" t="s">
        <v>882</v>
      </c>
      <c r="I377" s="2">
        <f t="shared" si="12"/>
        <v>18745109</v>
      </c>
      <c r="J377" s="49" t="str">
        <f t="shared" si="13"/>
        <v>13311</v>
      </c>
    </row>
    <row r="378" spans="1:10" x14ac:dyDescent="0.3">
      <c r="A378" s="36">
        <v>46173</v>
      </c>
      <c r="B378" s="37" t="s">
        <v>1546</v>
      </c>
      <c r="C378" s="38" t="s">
        <v>15</v>
      </c>
      <c r="D378" s="19" t="s">
        <v>883</v>
      </c>
      <c r="E378" s="175">
        <v>25897226</v>
      </c>
      <c r="F378" s="174"/>
      <c r="G378" s="38" t="s">
        <v>259</v>
      </c>
      <c r="H378" s="38" t="s">
        <v>882</v>
      </c>
      <c r="I378" s="2">
        <f t="shared" si="12"/>
        <v>25897226</v>
      </c>
      <c r="J378" s="49" t="str">
        <f t="shared" si="13"/>
        <v>13311</v>
      </c>
    </row>
    <row r="379" spans="1:10" x14ac:dyDescent="0.3">
      <c r="A379" s="36">
        <v>46173</v>
      </c>
      <c r="B379" s="37" t="s">
        <v>1546</v>
      </c>
      <c r="C379" s="38" t="s">
        <v>15</v>
      </c>
      <c r="D379" s="19" t="s">
        <v>1547</v>
      </c>
      <c r="E379" s="175">
        <v>23788521</v>
      </c>
      <c r="F379" s="174"/>
      <c r="G379" s="38" t="s">
        <v>259</v>
      </c>
      <c r="H379" s="38" t="s">
        <v>882</v>
      </c>
      <c r="I379" s="2">
        <f t="shared" si="12"/>
        <v>23788521</v>
      </c>
      <c r="J379" s="49" t="str">
        <f t="shared" si="13"/>
        <v>13311</v>
      </c>
    </row>
    <row r="380" spans="1:10" x14ac:dyDescent="0.3">
      <c r="A380" s="36">
        <v>46173</v>
      </c>
      <c r="B380" s="37" t="s">
        <v>1546</v>
      </c>
      <c r="C380" s="38" t="s">
        <v>15</v>
      </c>
      <c r="D380" s="19" t="s">
        <v>883</v>
      </c>
      <c r="E380" s="175">
        <v>23779427</v>
      </c>
      <c r="F380" s="174"/>
      <c r="G380" s="38" t="s">
        <v>259</v>
      </c>
      <c r="H380" s="38" t="s">
        <v>882</v>
      </c>
      <c r="I380" s="2">
        <f t="shared" si="12"/>
        <v>23779427</v>
      </c>
      <c r="J380" s="49" t="str">
        <f t="shared" si="13"/>
        <v>13311</v>
      </c>
    </row>
    <row r="381" spans="1:10" x14ac:dyDescent="0.3">
      <c r="A381" s="36">
        <v>46173</v>
      </c>
      <c r="B381" s="37" t="s">
        <v>1546</v>
      </c>
      <c r="C381" s="38" t="s">
        <v>15</v>
      </c>
      <c r="D381" s="19" t="s">
        <v>1547</v>
      </c>
      <c r="E381" s="175">
        <v>23587788</v>
      </c>
      <c r="F381" s="174"/>
      <c r="G381" s="38" t="s">
        <v>259</v>
      </c>
      <c r="H381" s="38" t="s">
        <v>882</v>
      </c>
      <c r="I381" s="2">
        <f t="shared" si="12"/>
        <v>23587788</v>
      </c>
      <c r="J381" s="49" t="str">
        <f t="shared" si="13"/>
        <v>13311</v>
      </c>
    </row>
    <row r="382" spans="1:10" x14ac:dyDescent="0.3">
      <c r="A382" s="36">
        <v>46173</v>
      </c>
      <c r="B382" s="37" t="s">
        <v>1546</v>
      </c>
      <c r="C382" s="38" t="s">
        <v>15</v>
      </c>
      <c r="D382" s="19" t="s">
        <v>883</v>
      </c>
      <c r="E382" s="175">
        <v>24266945</v>
      </c>
      <c r="F382" s="174"/>
      <c r="G382" s="38" t="s">
        <v>259</v>
      </c>
      <c r="H382" s="38" t="s">
        <v>882</v>
      </c>
      <c r="I382" s="2">
        <f t="shared" si="12"/>
        <v>24266945</v>
      </c>
      <c r="J382" s="49" t="str">
        <f t="shared" si="13"/>
        <v>13311</v>
      </c>
    </row>
    <row r="383" spans="1:10" x14ac:dyDescent="0.3">
      <c r="A383" s="36">
        <v>46173</v>
      </c>
      <c r="B383" s="37" t="s">
        <v>1546</v>
      </c>
      <c r="C383" s="38" t="s">
        <v>15</v>
      </c>
      <c r="D383" s="19" t="s">
        <v>1547</v>
      </c>
      <c r="E383" s="175">
        <v>22028404</v>
      </c>
      <c r="F383" s="174"/>
      <c r="G383" s="38" t="s">
        <v>259</v>
      </c>
      <c r="H383" s="38" t="s">
        <v>882</v>
      </c>
      <c r="I383" s="2">
        <f t="shared" si="12"/>
        <v>22028404</v>
      </c>
      <c r="J383" s="49" t="str">
        <f t="shared" si="13"/>
        <v>13311</v>
      </c>
    </row>
    <row r="384" spans="1:10" x14ac:dyDescent="0.3">
      <c r="A384" s="36">
        <v>46173</v>
      </c>
      <c r="B384" s="37" t="s">
        <v>1546</v>
      </c>
      <c r="C384" s="38" t="s">
        <v>15</v>
      </c>
      <c r="D384" s="19" t="s">
        <v>883</v>
      </c>
      <c r="E384" s="175">
        <v>14499072</v>
      </c>
      <c r="F384" s="174"/>
      <c r="G384" s="38" t="s">
        <v>259</v>
      </c>
      <c r="H384" s="38" t="s">
        <v>882</v>
      </c>
      <c r="I384" s="2">
        <f t="shared" si="12"/>
        <v>14499072</v>
      </c>
      <c r="J384" s="49" t="str">
        <f t="shared" si="13"/>
        <v>13311</v>
      </c>
    </row>
    <row r="385" spans="1:10" x14ac:dyDescent="0.3">
      <c r="A385" s="36">
        <v>46173</v>
      </c>
      <c r="B385" s="37" t="s">
        <v>1546</v>
      </c>
      <c r="C385" s="38" t="s">
        <v>15</v>
      </c>
      <c r="D385" s="19" t="s">
        <v>1547</v>
      </c>
      <c r="E385" s="175">
        <v>11401859</v>
      </c>
      <c r="F385" s="174"/>
      <c r="G385" s="38" t="s">
        <v>259</v>
      </c>
      <c r="H385" s="38" t="s">
        <v>882</v>
      </c>
      <c r="I385" s="2">
        <f t="shared" si="12"/>
        <v>11401859</v>
      </c>
      <c r="J385" s="49" t="str">
        <f t="shared" si="13"/>
        <v>13311</v>
      </c>
    </row>
    <row r="386" spans="1:10" x14ac:dyDescent="0.3">
      <c r="A386" s="36">
        <v>46173</v>
      </c>
      <c r="B386" s="37" t="s">
        <v>1546</v>
      </c>
      <c r="C386" s="38" t="s">
        <v>15</v>
      </c>
      <c r="D386" s="19" t="s">
        <v>883</v>
      </c>
      <c r="E386" s="175">
        <v>23691691</v>
      </c>
      <c r="F386" s="174"/>
      <c r="G386" s="38" t="s">
        <v>259</v>
      </c>
      <c r="H386" s="38" t="s">
        <v>882</v>
      </c>
      <c r="I386" s="2">
        <f t="shared" si="12"/>
        <v>23691691</v>
      </c>
      <c r="J386" s="49" t="str">
        <f t="shared" si="13"/>
        <v>13311</v>
      </c>
    </row>
    <row r="387" spans="1:10" x14ac:dyDescent="0.3">
      <c r="A387" s="36">
        <v>46173</v>
      </c>
      <c r="B387" s="37" t="s">
        <v>1546</v>
      </c>
      <c r="C387" s="38" t="s">
        <v>15</v>
      </c>
      <c r="D387" s="19" t="s">
        <v>1547</v>
      </c>
      <c r="E387" s="175">
        <v>21343690</v>
      </c>
      <c r="F387" s="174"/>
      <c r="G387" s="38" t="s">
        <v>259</v>
      </c>
      <c r="H387" s="38" t="s">
        <v>882</v>
      </c>
      <c r="I387" s="2">
        <f t="shared" si="12"/>
        <v>21343690</v>
      </c>
      <c r="J387" s="49" t="str">
        <f t="shared" si="13"/>
        <v>13311</v>
      </c>
    </row>
    <row r="388" spans="1:10" x14ac:dyDescent="0.3">
      <c r="A388" s="36">
        <v>46173</v>
      </c>
      <c r="B388" s="37" t="s">
        <v>1546</v>
      </c>
      <c r="C388" s="38" t="s">
        <v>15</v>
      </c>
      <c r="D388" s="19" t="s">
        <v>1547</v>
      </c>
      <c r="E388" s="175">
        <v>53720</v>
      </c>
      <c r="F388" s="174"/>
      <c r="G388" s="38" t="s">
        <v>259</v>
      </c>
      <c r="H388" s="38" t="s">
        <v>882</v>
      </c>
      <c r="I388" s="2">
        <f t="shared" si="12"/>
        <v>53720</v>
      </c>
      <c r="J388" s="49" t="str">
        <f t="shared" si="13"/>
        <v>13311</v>
      </c>
    </row>
    <row r="389" spans="1:10" x14ac:dyDescent="0.3">
      <c r="A389" s="36">
        <v>46173</v>
      </c>
      <c r="B389" s="37" t="s">
        <v>1546</v>
      </c>
      <c r="C389" s="38" t="s">
        <v>15</v>
      </c>
      <c r="D389" s="19" t="s">
        <v>1547</v>
      </c>
      <c r="E389" s="175">
        <v>127310</v>
      </c>
      <c r="F389" s="174"/>
      <c r="G389" s="38" t="s">
        <v>259</v>
      </c>
      <c r="H389" s="38" t="s">
        <v>882</v>
      </c>
      <c r="I389" s="2">
        <f t="shared" si="12"/>
        <v>127310</v>
      </c>
      <c r="J389" s="49" t="str">
        <f t="shared" si="13"/>
        <v>13311</v>
      </c>
    </row>
    <row r="390" spans="1:10" x14ac:dyDescent="0.3">
      <c r="A390" s="36">
        <v>46173</v>
      </c>
      <c r="B390" s="37" t="s">
        <v>1546</v>
      </c>
      <c r="C390" s="38" t="s">
        <v>15</v>
      </c>
      <c r="D390" s="19" t="s">
        <v>1547</v>
      </c>
      <c r="E390" s="175">
        <v>30312</v>
      </c>
      <c r="F390" s="174"/>
      <c r="G390" s="38" t="s">
        <v>259</v>
      </c>
      <c r="H390" s="38" t="s">
        <v>882</v>
      </c>
      <c r="I390" s="2">
        <f t="shared" si="12"/>
        <v>30312</v>
      </c>
      <c r="J390" s="49" t="str">
        <f t="shared" si="13"/>
        <v>13311</v>
      </c>
    </row>
    <row r="391" spans="1:10" x14ac:dyDescent="0.3">
      <c r="A391" s="36">
        <v>46173</v>
      </c>
      <c r="B391" s="37" t="s">
        <v>1546</v>
      </c>
      <c r="C391" s="38" t="s">
        <v>15</v>
      </c>
      <c r="D391" s="19" t="s">
        <v>883</v>
      </c>
      <c r="E391" s="175">
        <v>113333</v>
      </c>
      <c r="F391" s="174"/>
      <c r="G391" s="38" t="s">
        <v>259</v>
      </c>
      <c r="H391" s="38" t="s">
        <v>882</v>
      </c>
      <c r="I391" s="2">
        <f t="shared" si="12"/>
        <v>113333</v>
      </c>
      <c r="J391" s="49" t="str">
        <f t="shared" si="13"/>
        <v>13311</v>
      </c>
    </row>
    <row r="392" spans="1:10" x14ac:dyDescent="0.3">
      <c r="A392" s="36">
        <v>46173</v>
      </c>
      <c r="B392" s="37" t="s">
        <v>1546</v>
      </c>
      <c r="C392" s="38" t="s">
        <v>15</v>
      </c>
      <c r="D392" s="19" t="s">
        <v>1547</v>
      </c>
      <c r="E392" s="175">
        <v>17177</v>
      </c>
      <c r="F392" s="174"/>
      <c r="G392" s="38" t="s">
        <v>259</v>
      </c>
      <c r="H392" s="38" t="s">
        <v>882</v>
      </c>
      <c r="I392" s="2">
        <f t="shared" si="12"/>
        <v>17177</v>
      </c>
      <c r="J392" s="49" t="str">
        <f t="shared" si="13"/>
        <v>13311</v>
      </c>
    </row>
    <row r="393" spans="1:10" x14ac:dyDescent="0.3">
      <c r="A393" s="36">
        <v>46173</v>
      </c>
      <c r="B393" s="37" t="s">
        <v>1546</v>
      </c>
      <c r="C393" s="38" t="s">
        <v>15</v>
      </c>
      <c r="D393" s="19" t="s">
        <v>1547</v>
      </c>
      <c r="E393" s="175">
        <v>5220</v>
      </c>
      <c r="F393" s="174"/>
      <c r="G393" s="38" t="s">
        <v>259</v>
      </c>
      <c r="H393" s="38" t="s">
        <v>882</v>
      </c>
      <c r="I393" s="2">
        <f t="shared" si="12"/>
        <v>5220</v>
      </c>
      <c r="J393" s="49" t="str">
        <f t="shared" si="13"/>
        <v>13311</v>
      </c>
    </row>
    <row r="394" spans="1:10" x14ac:dyDescent="0.3">
      <c r="A394" s="36">
        <v>46173</v>
      </c>
      <c r="B394" s="37" t="s">
        <v>1546</v>
      </c>
      <c r="C394" s="38" t="s">
        <v>15</v>
      </c>
      <c r="D394" s="19" t="s">
        <v>1547</v>
      </c>
      <c r="E394" s="175">
        <v>2021</v>
      </c>
      <c r="F394" s="174"/>
      <c r="G394" s="38" t="s">
        <v>259</v>
      </c>
      <c r="H394" s="38" t="s">
        <v>882</v>
      </c>
      <c r="I394" s="2">
        <f t="shared" si="12"/>
        <v>2021</v>
      </c>
      <c r="J394" s="49" t="str">
        <f t="shared" si="13"/>
        <v>13311</v>
      </c>
    </row>
    <row r="395" spans="1:10" x14ac:dyDescent="0.3">
      <c r="A395" s="36">
        <v>46173</v>
      </c>
      <c r="B395" s="37" t="s">
        <v>1546</v>
      </c>
      <c r="C395" s="38" t="s">
        <v>15</v>
      </c>
      <c r="D395" s="19" t="s">
        <v>1547</v>
      </c>
      <c r="E395" s="175">
        <v>4622580</v>
      </c>
      <c r="F395" s="174"/>
      <c r="G395" s="38" t="s">
        <v>259</v>
      </c>
      <c r="H395" s="38" t="s">
        <v>882</v>
      </c>
      <c r="I395" s="2">
        <f t="shared" si="12"/>
        <v>4622580</v>
      </c>
      <c r="J395" s="49" t="str">
        <f t="shared" si="13"/>
        <v>13311</v>
      </c>
    </row>
    <row r="396" spans="1:10" x14ac:dyDescent="0.3">
      <c r="A396" s="36">
        <v>46173</v>
      </c>
      <c r="B396" s="37" t="s">
        <v>1546</v>
      </c>
      <c r="C396" s="38" t="s">
        <v>15</v>
      </c>
      <c r="D396" s="19" t="s">
        <v>1547</v>
      </c>
      <c r="E396" s="175">
        <v>2057848</v>
      </c>
      <c r="F396" s="174"/>
      <c r="G396" s="38" t="s">
        <v>259</v>
      </c>
      <c r="H396" s="38" t="s">
        <v>882</v>
      </c>
      <c r="I396" s="2">
        <f t="shared" si="12"/>
        <v>2057848</v>
      </c>
      <c r="J396" s="49" t="str">
        <f t="shared" si="13"/>
        <v>13311</v>
      </c>
    </row>
    <row r="397" spans="1:10" x14ac:dyDescent="0.3">
      <c r="A397" s="36">
        <v>46173</v>
      </c>
      <c r="B397" s="37" t="s">
        <v>1546</v>
      </c>
      <c r="C397" s="38" t="s">
        <v>15</v>
      </c>
      <c r="D397" s="19" t="s">
        <v>885</v>
      </c>
      <c r="E397" s="175">
        <v>1329855</v>
      </c>
      <c r="F397" s="174"/>
      <c r="G397" s="38" t="s">
        <v>259</v>
      </c>
      <c r="H397" s="38" t="s">
        <v>882</v>
      </c>
      <c r="I397" s="2">
        <f t="shared" si="12"/>
        <v>1329855</v>
      </c>
      <c r="J397" s="49" t="str">
        <f t="shared" si="13"/>
        <v>13311</v>
      </c>
    </row>
    <row r="398" spans="1:10" x14ac:dyDescent="0.3">
      <c r="A398" s="36">
        <v>46173</v>
      </c>
      <c r="B398" s="37" t="s">
        <v>1546</v>
      </c>
      <c r="C398" s="38" t="s">
        <v>15</v>
      </c>
      <c r="D398" s="19" t="s">
        <v>885</v>
      </c>
      <c r="E398" s="175">
        <v>1119860</v>
      </c>
      <c r="F398" s="174"/>
      <c r="G398" s="38" t="s">
        <v>259</v>
      </c>
      <c r="H398" s="38" t="s">
        <v>882</v>
      </c>
      <c r="I398" s="2">
        <f t="shared" si="12"/>
        <v>1119860</v>
      </c>
      <c r="J398" s="49" t="str">
        <f t="shared" si="13"/>
        <v>13311</v>
      </c>
    </row>
    <row r="399" spans="1:10" x14ac:dyDescent="0.3">
      <c r="A399" s="36">
        <v>46173</v>
      </c>
      <c r="B399" s="37" t="s">
        <v>1546</v>
      </c>
      <c r="C399" s="38" t="s">
        <v>15</v>
      </c>
      <c r="D399" s="19" t="s">
        <v>884</v>
      </c>
      <c r="E399" s="175">
        <v>1264179</v>
      </c>
      <c r="F399" s="174"/>
      <c r="G399" s="38" t="s">
        <v>259</v>
      </c>
      <c r="H399" s="38" t="s">
        <v>882</v>
      </c>
      <c r="I399" s="2">
        <f t="shared" si="12"/>
        <v>1264179</v>
      </c>
      <c r="J399" s="49" t="str">
        <f t="shared" si="13"/>
        <v>13311</v>
      </c>
    </row>
    <row r="400" spans="1:10" x14ac:dyDescent="0.3">
      <c r="A400" s="36">
        <v>46173</v>
      </c>
      <c r="B400" s="37" t="s">
        <v>1546</v>
      </c>
      <c r="C400" s="38" t="s">
        <v>15</v>
      </c>
      <c r="D400" s="19" t="s">
        <v>1547</v>
      </c>
      <c r="E400" s="175">
        <v>1221237</v>
      </c>
      <c r="F400" s="174"/>
      <c r="G400" s="38" t="s">
        <v>259</v>
      </c>
      <c r="H400" s="38" t="s">
        <v>882</v>
      </c>
      <c r="I400" s="2">
        <f t="shared" ref="I400:I463" si="14">IF(LEN(A400)=5,E400,0)</f>
        <v>1221237</v>
      </c>
      <c r="J400" s="49" t="str">
        <f t="shared" ref="J400:J463" si="15">IF(LEFT(A400,11)="Tài khoản: ",MID(A400,12,5),J399)</f>
        <v>13311</v>
      </c>
    </row>
    <row r="401" spans="1:10" x14ac:dyDescent="0.3">
      <c r="A401" s="36">
        <v>46173</v>
      </c>
      <c r="B401" s="37" t="s">
        <v>1546</v>
      </c>
      <c r="C401" s="38" t="s">
        <v>15</v>
      </c>
      <c r="D401" s="19" t="s">
        <v>1547</v>
      </c>
      <c r="E401" s="175">
        <v>28996628</v>
      </c>
      <c r="F401" s="174"/>
      <c r="G401" s="38" t="s">
        <v>259</v>
      </c>
      <c r="H401" s="38" t="s">
        <v>882</v>
      </c>
      <c r="I401" s="2">
        <f t="shared" si="14"/>
        <v>28996628</v>
      </c>
      <c r="J401" s="49" t="str">
        <f t="shared" si="15"/>
        <v>13311</v>
      </c>
    </row>
    <row r="402" spans="1:10" x14ac:dyDescent="0.3">
      <c r="A402" s="36">
        <v>46173</v>
      </c>
      <c r="B402" s="37" t="s">
        <v>1546</v>
      </c>
      <c r="C402" s="38" t="s">
        <v>15</v>
      </c>
      <c r="D402" s="19" t="s">
        <v>1547</v>
      </c>
      <c r="E402" s="175">
        <v>74433</v>
      </c>
      <c r="F402" s="174"/>
      <c r="G402" s="38" t="s">
        <v>259</v>
      </c>
      <c r="H402" s="38" t="s">
        <v>882</v>
      </c>
      <c r="I402" s="2">
        <f t="shared" si="14"/>
        <v>74433</v>
      </c>
      <c r="J402" s="49" t="str">
        <f t="shared" si="15"/>
        <v>13311</v>
      </c>
    </row>
    <row r="403" spans="1:10" x14ac:dyDescent="0.3">
      <c r="A403" s="36">
        <v>46173</v>
      </c>
      <c r="B403" s="37" t="s">
        <v>1546</v>
      </c>
      <c r="C403" s="38" t="s">
        <v>15</v>
      </c>
      <c r="D403" s="19" t="s">
        <v>1547</v>
      </c>
      <c r="E403" s="175">
        <v>53722</v>
      </c>
      <c r="F403" s="174"/>
      <c r="G403" s="38" t="s">
        <v>259</v>
      </c>
      <c r="H403" s="38" t="s">
        <v>882</v>
      </c>
      <c r="I403" s="2">
        <f t="shared" si="14"/>
        <v>53722</v>
      </c>
      <c r="J403" s="49" t="str">
        <f t="shared" si="15"/>
        <v>13311</v>
      </c>
    </row>
    <row r="404" spans="1:10" x14ac:dyDescent="0.3">
      <c r="A404" s="36">
        <v>46173</v>
      </c>
      <c r="B404" s="37" t="s">
        <v>1546</v>
      </c>
      <c r="C404" s="38" t="s">
        <v>15</v>
      </c>
      <c r="D404" s="19" t="s">
        <v>1547</v>
      </c>
      <c r="E404" s="175">
        <v>852272</v>
      </c>
      <c r="F404" s="174"/>
      <c r="G404" s="38" t="s">
        <v>259</v>
      </c>
      <c r="H404" s="38" t="s">
        <v>882</v>
      </c>
      <c r="I404" s="2">
        <f t="shared" si="14"/>
        <v>852272</v>
      </c>
      <c r="J404" s="49" t="str">
        <f t="shared" si="15"/>
        <v>13311</v>
      </c>
    </row>
    <row r="405" spans="1:10" x14ac:dyDescent="0.3">
      <c r="A405" s="36">
        <v>46173</v>
      </c>
      <c r="B405" s="37" t="s">
        <v>1546</v>
      </c>
      <c r="C405" s="38" t="s">
        <v>15</v>
      </c>
      <c r="D405" s="19" t="s">
        <v>1547</v>
      </c>
      <c r="E405" s="175">
        <v>113165</v>
      </c>
      <c r="F405" s="174"/>
      <c r="G405" s="38" t="s">
        <v>259</v>
      </c>
      <c r="H405" s="38" t="s">
        <v>882</v>
      </c>
      <c r="I405" s="2">
        <f t="shared" si="14"/>
        <v>113165</v>
      </c>
      <c r="J405" s="49" t="str">
        <f t="shared" si="15"/>
        <v>13311</v>
      </c>
    </row>
    <row r="406" spans="1:10" x14ac:dyDescent="0.3">
      <c r="A406" s="36">
        <v>46173</v>
      </c>
      <c r="B406" s="37" t="s">
        <v>1546</v>
      </c>
      <c r="C406" s="38" t="s">
        <v>15</v>
      </c>
      <c r="D406" s="19" t="s">
        <v>883</v>
      </c>
      <c r="E406" s="175">
        <v>86221</v>
      </c>
      <c r="F406" s="174"/>
      <c r="G406" s="38" t="s">
        <v>259</v>
      </c>
      <c r="H406" s="38" t="s">
        <v>882</v>
      </c>
      <c r="I406" s="2">
        <f t="shared" si="14"/>
        <v>86221</v>
      </c>
      <c r="J406" s="49" t="str">
        <f t="shared" si="15"/>
        <v>13311</v>
      </c>
    </row>
    <row r="407" spans="1:10" x14ac:dyDescent="0.3">
      <c r="A407" s="36">
        <v>46173</v>
      </c>
      <c r="B407" s="37" t="s">
        <v>1546</v>
      </c>
      <c r="C407" s="38" t="s">
        <v>15</v>
      </c>
      <c r="D407" s="19" t="s">
        <v>883</v>
      </c>
      <c r="E407" s="175">
        <v>91273</v>
      </c>
      <c r="F407" s="174"/>
      <c r="G407" s="38" t="s">
        <v>259</v>
      </c>
      <c r="H407" s="38" t="s">
        <v>882</v>
      </c>
      <c r="I407" s="2">
        <f t="shared" si="14"/>
        <v>91273</v>
      </c>
      <c r="J407" s="49" t="str">
        <f t="shared" si="15"/>
        <v>13311</v>
      </c>
    </row>
    <row r="408" spans="1:10" x14ac:dyDescent="0.3">
      <c r="A408" s="36">
        <v>46173</v>
      </c>
      <c r="B408" s="37" t="s">
        <v>1546</v>
      </c>
      <c r="C408" s="38" t="s">
        <v>15</v>
      </c>
      <c r="D408" s="19" t="s">
        <v>883</v>
      </c>
      <c r="E408" s="175">
        <v>116028</v>
      </c>
      <c r="F408" s="174"/>
      <c r="G408" s="38" t="s">
        <v>259</v>
      </c>
      <c r="H408" s="38" t="s">
        <v>882</v>
      </c>
      <c r="I408" s="2">
        <f t="shared" si="14"/>
        <v>116028</v>
      </c>
      <c r="J408" s="49" t="str">
        <f t="shared" si="15"/>
        <v>13311</v>
      </c>
    </row>
    <row r="409" spans="1:10" x14ac:dyDescent="0.3">
      <c r="A409" s="36">
        <v>46173</v>
      </c>
      <c r="B409" s="37" t="s">
        <v>1546</v>
      </c>
      <c r="C409" s="38" t="s">
        <v>15</v>
      </c>
      <c r="D409" s="19" t="s">
        <v>1547</v>
      </c>
      <c r="E409" s="175">
        <v>7719288</v>
      </c>
      <c r="F409" s="174"/>
      <c r="G409" s="38" t="s">
        <v>259</v>
      </c>
      <c r="H409" s="38" t="s">
        <v>882</v>
      </c>
      <c r="I409" s="2">
        <f t="shared" si="14"/>
        <v>7719288</v>
      </c>
      <c r="J409" s="49" t="str">
        <f t="shared" si="15"/>
        <v>13311</v>
      </c>
    </row>
    <row r="410" spans="1:10" x14ac:dyDescent="0.3">
      <c r="A410" s="36">
        <v>46173</v>
      </c>
      <c r="B410" s="37" t="s">
        <v>1546</v>
      </c>
      <c r="C410" s="38" t="s">
        <v>15</v>
      </c>
      <c r="D410" s="19" t="s">
        <v>1547</v>
      </c>
      <c r="E410" s="175">
        <v>256473</v>
      </c>
      <c r="F410" s="174"/>
      <c r="G410" s="38" t="s">
        <v>259</v>
      </c>
      <c r="H410" s="38" t="s">
        <v>882</v>
      </c>
      <c r="I410" s="2">
        <f t="shared" si="14"/>
        <v>256473</v>
      </c>
      <c r="J410" s="49" t="str">
        <f t="shared" si="15"/>
        <v>13311</v>
      </c>
    </row>
    <row r="411" spans="1:10" x14ac:dyDescent="0.3">
      <c r="A411" s="36">
        <v>46173</v>
      </c>
      <c r="B411" s="37" t="s">
        <v>1546</v>
      </c>
      <c r="C411" s="38" t="s">
        <v>15</v>
      </c>
      <c r="D411" s="19" t="s">
        <v>1547</v>
      </c>
      <c r="E411" s="175">
        <v>85716</v>
      </c>
      <c r="F411" s="174"/>
      <c r="G411" s="38" t="s">
        <v>259</v>
      </c>
      <c r="H411" s="38" t="s">
        <v>882</v>
      </c>
      <c r="I411" s="2">
        <f t="shared" si="14"/>
        <v>85716</v>
      </c>
      <c r="J411" s="49" t="str">
        <f t="shared" si="15"/>
        <v>13311</v>
      </c>
    </row>
    <row r="412" spans="1:10" x14ac:dyDescent="0.3">
      <c r="A412" s="36">
        <v>46173</v>
      </c>
      <c r="B412" s="37" t="s">
        <v>1546</v>
      </c>
      <c r="C412" s="38" t="s">
        <v>15</v>
      </c>
      <c r="D412" s="19" t="s">
        <v>1547</v>
      </c>
      <c r="E412" s="175">
        <v>275334</v>
      </c>
      <c r="F412" s="174"/>
      <c r="G412" s="38" t="s">
        <v>259</v>
      </c>
      <c r="H412" s="38" t="s">
        <v>882</v>
      </c>
      <c r="I412" s="2">
        <f t="shared" si="14"/>
        <v>275334</v>
      </c>
      <c r="J412" s="49" t="str">
        <f t="shared" si="15"/>
        <v>13311</v>
      </c>
    </row>
    <row r="413" spans="1:10" x14ac:dyDescent="0.3">
      <c r="A413" s="36">
        <v>46173</v>
      </c>
      <c r="B413" s="37" t="s">
        <v>1546</v>
      </c>
      <c r="C413" s="38" t="s">
        <v>15</v>
      </c>
      <c r="D413" s="19" t="s">
        <v>1547</v>
      </c>
      <c r="E413" s="175">
        <v>1469122</v>
      </c>
      <c r="F413" s="174"/>
      <c r="G413" s="38" t="s">
        <v>259</v>
      </c>
      <c r="H413" s="38" t="s">
        <v>882</v>
      </c>
      <c r="I413" s="2">
        <f t="shared" si="14"/>
        <v>1469122</v>
      </c>
      <c r="J413" s="49" t="str">
        <f t="shared" si="15"/>
        <v>13311</v>
      </c>
    </row>
    <row r="414" spans="1:10" x14ac:dyDescent="0.3">
      <c r="A414" s="36">
        <v>46173</v>
      </c>
      <c r="B414" s="37" t="s">
        <v>1546</v>
      </c>
      <c r="C414" s="38" t="s">
        <v>15</v>
      </c>
      <c r="D414" s="19" t="s">
        <v>1547</v>
      </c>
      <c r="E414" s="175">
        <v>2066</v>
      </c>
      <c r="F414" s="174"/>
      <c r="G414" s="38" t="s">
        <v>259</v>
      </c>
      <c r="H414" s="38" t="s">
        <v>882</v>
      </c>
      <c r="I414" s="2">
        <f t="shared" si="14"/>
        <v>2066</v>
      </c>
      <c r="J414" s="49" t="str">
        <f t="shared" si="15"/>
        <v>13311</v>
      </c>
    </row>
    <row r="415" spans="1:10" x14ac:dyDescent="0.3">
      <c r="A415" s="36">
        <v>46173</v>
      </c>
      <c r="B415" s="37" t="s">
        <v>1546</v>
      </c>
      <c r="C415" s="38" t="s">
        <v>15</v>
      </c>
      <c r="D415" s="19" t="s">
        <v>1547</v>
      </c>
      <c r="E415" s="175">
        <v>13472</v>
      </c>
      <c r="F415" s="174"/>
      <c r="G415" s="38" t="s">
        <v>259</v>
      </c>
      <c r="H415" s="38" t="s">
        <v>882</v>
      </c>
      <c r="I415" s="2">
        <f t="shared" si="14"/>
        <v>13472</v>
      </c>
      <c r="J415" s="49" t="str">
        <f t="shared" si="15"/>
        <v>13311</v>
      </c>
    </row>
    <row r="416" spans="1:10" x14ac:dyDescent="0.3">
      <c r="A416" s="36">
        <v>46173</v>
      </c>
      <c r="B416" s="37" t="s">
        <v>1546</v>
      </c>
      <c r="C416" s="38" t="s">
        <v>15</v>
      </c>
      <c r="D416" s="19" t="s">
        <v>1547</v>
      </c>
      <c r="E416" s="175">
        <v>20882</v>
      </c>
      <c r="F416" s="174"/>
      <c r="G416" s="38" t="s">
        <v>259</v>
      </c>
      <c r="H416" s="38" t="s">
        <v>882</v>
      </c>
      <c r="I416" s="2">
        <f t="shared" si="14"/>
        <v>20882</v>
      </c>
      <c r="J416" s="49" t="str">
        <f t="shared" si="15"/>
        <v>13311</v>
      </c>
    </row>
    <row r="417" spans="1:10" x14ac:dyDescent="0.3">
      <c r="A417" s="36">
        <v>46173</v>
      </c>
      <c r="B417" s="37" t="s">
        <v>1546</v>
      </c>
      <c r="C417" s="38" t="s">
        <v>15</v>
      </c>
      <c r="D417" s="19" t="s">
        <v>1547</v>
      </c>
      <c r="E417" s="175">
        <v>657939</v>
      </c>
      <c r="F417" s="174"/>
      <c r="G417" s="38" t="s">
        <v>259</v>
      </c>
      <c r="H417" s="38" t="s">
        <v>882</v>
      </c>
      <c r="I417" s="2">
        <f t="shared" si="14"/>
        <v>657939</v>
      </c>
      <c r="J417" s="49" t="str">
        <f t="shared" si="15"/>
        <v>13311</v>
      </c>
    </row>
    <row r="418" spans="1:10" x14ac:dyDescent="0.3">
      <c r="A418" s="36">
        <v>46173</v>
      </c>
      <c r="B418" s="37" t="s">
        <v>1546</v>
      </c>
      <c r="C418" s="38" t="s">
        <v>15</v>
      </c>
      <c r="D418" s="19" t="s">
        <v>1547</v>
      </c>
      <c r="E418" s="175">
        <v>482185</v>
      </c>
      <c r="F418" s="174"/>
      <c r="G418" s="38" t="s">
        <v>259</v>
      </c>
      <c r="H418" s="38" t="s">
        <v>882</v>
      </c>
      <c r="I418" s="2">
        <f t="shared" si="14"/>
        <v>482185</v>
      </c>
      <c r="J418" s="49" t="str">
        <f t="shared" si="15"/>
        <v>13311</v>
      </c>
    </row>
    <row r="419" spans="1:10" x14ac:dyDescent="0.3">
      <c r="A419" s="36">
        <v>46173</v>
      </c>
      <c r="B419" s="37" t="s">
        <v>1546</v>
      </c>
      <c r="C419" s="38" t="s">
        <v>15</v>
      </c>
      <c r="D419" s="19" t="s">
        <v>1547</v>
      </c>
      <c r="E419" s="175">
        <v>2205703</v>
      </c>
      <c r="F419" s="174"/>
      <c r="G419" s="38" t="s">
        <v>259</v>
      </c>
      <c r="H419" s="38" t="s">
        <v>882</v>
      </c>
      <c r="I419" s="2">
        <f t="shared" si="14"/>
        <v>2205703</v>
      </c>
      <c r="J419" s="49" t="str">
        <f t="shared" si="15"/>
        <v>13311</v>
      </c>
    </row>
    <row r="420" spans="1:10" x14ac:dyDescent="0.3">
      <c r="A420" s="36">
        <v>46173</v>
      </c>
      <c r="B420" s="37" t="s">
        <v>1546</v>
      </c>
      <c r="C420" s="38" t="s">
        <v>15</v>
      </c>
      <c r="D420" s="19" t="s">
        <v>1547</v>
      </c>
      <c r="E420" s="175">
        <v>287627</v>
      </c>
      <c r="F420" s="174"/>
      <c r="G420" s="38" t="s">
        <v>259</v>
      </c>
      <c r="H420" s="38" t="s">
        <v>882</v>
      </c>
      <c r="I420" s="2">
        <f t="shared" si="14"/>
        <v>287627</v>
      </c>
      <c r="J420" s="49" t="str">
        <f t="shared" si="15"/>
        <v>13311</v>
      </c>
    </row>
    <row r="421" spans="1:10" x14ac:dyDescent="0.3">
      <c r="A421" s="36">
        <v>46173</v>
      </c>
      <c r="B421" s="37" t="s">
        <v>1546</v>
      </c>
      <c r="C421" s="38" t="s">
        <v>15</v>
      </c>
      <c r="D421" s="19" t="s">
        <v>1547</v>
      </c>
      <c r="E421" s="175">
        <v>244854</v>
      </c>
      <c r="F421" s="174"/>
      <c r="G421" s="38" t="s">
        <v>259</v>
      </c>
      <c r="H421" s="38" t="s">
        <v>882</v>
      </c>
      <c r="I421" s="2">
        <f t="shared" si="14"/>
        <v>244854</v>
      </c>
      <c r="J421" s="49" t="str">
        <f t="shared" si="15"/>
        <v>13311</v>
      </c>
    </row>
    <row r="422" spans="1:10" x14ac:dyDescent="0.3">
      <c r="A422" s="36">
        <v>46173</v>
      </c>
      <c r="B422" s="37" t="s">
        <v>1546</v>
      </c>
      <c r="C422" s="38" t="s">
        <v>15</v>
      </c>
      <c r="D422" s="19" t="s">
        <v>1547</v>
      </c>
      <c r="E422" s="175">
        <v>1662950</v>
      </c>
      <c r="F422" s="174"/>
      <c r="G422" s="38" t="s">
        <v>259</v>
      </c>
      <c r="H422" s="38" t="s">
        <v>882</v>
      </c>
      <c r="I422" s="2">
        <f t="shared" si="14"/>
        <v>1662950</v>
      </c>
      <c r="J422" s="49" t="str">
        <f t="shared" si="15"/>
        <v>13311</v>
      </c>
    </row>
    <row r="423" spans="1:10" x14ac:dyDescent="0.3">
      <c r="A423" s="36">
        <v>46173</v>
      </c>
      <c r="B423" s="37" t="s">
        <v>1546</v>
      </c>
      <c r="C423" s="38" t="s">
        <v>15</v>
      </c>
      <c r="D423" s="19" t="s">
        <v>1547</v>
      </c>
      <c r="E423" s="175">
        <v>2406773</v>
      </c>
      <c r="F423" s="174"/>
      <c r="G423" s="38" t="s">
        <v>259</v>
      </c>
      <c r="H423" s="38" t="s">
        <v>882</v>
      </c>
      <c r="I423" s="2">
        <f t="shared" si="14"/>
        <v>2406773</v>
      </c>
      <c r="J423" s="49" t="str">
        <f t="shared" si="15"/>
        <v>13311</v>
      </c>
    </row>
    <row r="424" spans="1:10" x14ac:dyDescent="0.3">
      <c r="A424" s="36">
        <v>46173</v>
      </c>
      <c r="B424" s="37" t="s">
        <v>1546</v>
      </c>
      <c r="C424" s="38" t="s">
        <v>15</v>
      </c>
      <c r="D424" s="19" t="s">
        <v>1547</v>
      </c>
      <c r="E424" s="175">
        <v>462090</v>
      </c>
      <c r="F424" s="174"/>
      <c r="G424" s="38" t="s">
        <v>259</v>
      </c>
      <c r="H424" s="38" t="s">
        <v>882</v>
      </c>
      <c r="I424" s="2">
        <f t="shared" si="14"/>
        <v>462090</v>
      </c>
      <c r="J424" s="49" t="str">
        <f t="shared" si="15"/>
        <v>13311</v>
      </c>
    </row>
    <row r="425" spans="1:10" x14ac:dyDescent="0.3">
      <c r="A425" s="36">
        <v>46173</v>
      </c>
      <c r="B425" s="37" t="s">
        <v>1546</v>
      </c>
      <c r="C425" s="38" t="s">
        <v>15</v>
      </c>
      <c r="D425" s="19" t="s">
        <v>1547</v>
      </c>
      <c r="E425" s="175">
        <v>3120789</v>
      </c>
      <c r="F425" s="174"/>
      <c r="G425" s="38" t="s">
        <v>259</v>
      </c>
      <c r="H425" s="38" t="s">
        <v>882</v>
      </c>
      <c r="I425" s="2">
        <f t="shared" si="14"/>
        <v>3120789</v>
      </c>
      <c r="J425" s="49" t="str">
        <f t="shared" si="15"/>
        <v>13311</v>
      </c>
    </row>
    <row r="426" spans="1:10" x14ac:dyDescent="0.3">
      <c r="A426" s="36">
        <v>46173</v>
      </c>
      <c r="B426" s="37" t="s">
        <v>1546</v>
      </c>
      <c r="C426" s="38" t="s">
        <v>15</v>
      </c>
      <c r="D426" s="19" t="s">
        <v>1547</v>
      </c>
      <c r="E426" s="175">
        <v>325349</v>
      </c>
      <c r="F426" s="174"/>
      <c r="G426" s="38" t="s">
        <v>259</v>
      </c>
      <c r="H426" s="38" t="s">
        <v>882</v>
      </c>
      <c r="I426" s="2">
        <f t="shared" si="14"/>
        <v>325349</v>
      </c>
      <c r="J426" s="49" t="str">
        <f t="shared" si="15"/>
        <v>13311</v>
      </c>
    </row>
    <row r="427" spans="1:10" x14ac:dyDescent="0.3">
      <c r="A427" s="36">
        <v>46173</v>
      </c>
      <c r="B427" s="37" t="s">
        <v>1546</v>
      </c>
      <c r="C427" s="38" t="s">
        <v>15</v>
      </c>
      <c r="D427" s="19" t="s">
        <v>1547</v>
      </c>
      <c r="E427" s="175">
        <v>3000888</v>
      </c>
      <c r="F427" s="174"/>
      <c r="G427" s="38" t="s">
        <v>259</v>
      </c>
      <c r="H427" s="38" t="s">
        <v>882</v>
      </c>
      <c r="I427" s="2">
        <f t="shared" si="14"/>
        <v>3000888</v>
      </c>
      <c r="J427" s="49" t="str">
        <f t="shared" si="15"/>
        <v>13311</v>
      </c>
    </row>
    <row r="428" spans="1:10" x14ac:dyDescent="0.3">
      <c r="A428" s="36">
        <v>46173</v>
      </c>
      <c r="B428" s="37" t="s">
        <v>1546</v>
      </c>
      <c r="C428" s="38" t="s">
        <v>15</v>
      </c>
      <c r="D428" s="19" t="s">
        <v>1547</v>
      </c>
      <c r="E428" s="175">
        <v>140277</v>
      </c>
      <c r="F428" s="174"/>
      <c r="G428" s="38" t="s">
        <v>259</v>
      </c>
      <c r="H428" s="38" t="s">
        <v>882</v>
      </c>
      <c r="I428" s="2">
        <f t="shared" si="14"/>
        <v>140277</v>
      </c>
      <c r="J428" s="49" t="str">
        <f t="shared" si="15"/>
        <v>13311</v>
      </c>
    </row>
    <row r="429" spans="1:10" x14ac:dyDescent="0.3">
      <c r="A429" s="36">
        <v>46173</v>
      </c>
      <c r="B429" s="37" t="s">
        <v>1546</v>
      </c>
      <c r="C429" s="38" t="s">
        <v>15</v>
      </c>
      <c r="D429" s="19" t="s">
        <v>1547</v>
      </c>
      <c r="E429" s="175">
        <v>164358</v>
      </c>
      <c r="F429" s="174"/>
      <c r="G429" s="38" t="s">
        <v>259</v>
      </c>
      <c r="H429" s="38" t="s">
        <v>882</v>
      </c>
      <c r="I429" s="2">
        <f t="shared" si="14"/>
        <v>164358</v>
      </c>
      <c r="J429" s="49" t="str">
        <f t="shared" si="15"/>
        <v>13311</v>
      </c>
    </row>
    <row r="430" spans="1:10" x14ac:dyDescent="0.3">
      <c r="A430" s="36">
        <v>46173</v>
      </c>
      <c r="B430" s="37" t="s">
        <v>1546</v>
      </c>
      <c r="C430" s="38" t="s">
        <v>15</v>
      </c>
      <c r="D430" s="19" t="s">
        <v>1547</v>
      </c>
      <c r="E430" s="175">
        <v>20154112</v>
      </c>
      <c r="F430" s="174"/>
      <c r="G430" s="38" t="s">
        <v>259</v>
      </c>
      <c r="H430" s="38" t="s">
        <v>882</v>
      </c>
      <c r="I430" s="2">
        <f t="shared" si="14"/>
        <v>20154112</v>
      </c>
      <c r="J430" s="49" t="str">
        <f t="shared" si="15"/>
        <v>13311</v>
      </c>
    </row>
    <row r="431" spans="1:10" x14ac:dyDescent="0.3">
      <c r="A431" s="36">
        <v>46173</v>
      </c>
      <c r="B431" s="37" t="s">
        <v>1546</v>
      </c>
      <c r="C431" s="38" t="s">
        <v>15</v>
      </c>
      <c r="D431" s="19" t="s">
        <v>1547</v>
      </c>
      <c r="E431" s="175">
        <v>1644594</v>
      </c>
      <c r="F431" s="174"/>
      <c r="G431" s="38" t="s">
        <v>259</v>
      </c>
      <c r="H431" s="38" t="s">
        <v>882</v>
      </c>
      <c r="I431" s="2">
        <f t="shared" si="14"/>
        <v>1644594</v>
      </c>
      <c r="J431" s="49" t="str">
        <f t="shared" si="15"/>
        <v>13311</v>
      </c>
    </row>
    <row r="432" spans="1:10" x14ac:dyDescent="0.3">
      <c r="A432" s="36">
        <v>46173</v>
      </c>
      <c r="B432" s="37" t="s">
        <v>1546</v>
      </c>
      <c r="C432" s="38" t="s">
        <v>15</v>
      </c>
      <c r="D432" s="19" t="s">
        <v>1547</v>
      </c>
      <c r="E432" s="175">
        <v>18667727</v>
      </c>
      <c r="F432" s="174"/>
      <c r="G432" s="38" t="s">
        <v>259</v>
      </c>
      <c r="H432" s="38" t="s">
        <v>882</v>
      </c>
      <c r="I432" s="2">
        <f t="shared" si="14"/>
        <v>18667727</v>
      </c>
      <c r="J432" s="49" t="str">
        <f t="shared" si="15"/>
        <v>13311</v>
      </c>
    </row>
    <row r="433" spans="1:10" x14ac:dyDescent="0.3">
      <c r="A433" s="36">
        <v>46173</v>
      </c>
      <c r="B433" s="37" t="s">
        <v>1546</v>
      </c>
      <c r="C433" s="38" t="s">
        <v>15</v>
      </c>
      <c r="D433" s="19" t="s">
        <v>1547</v>
      </c>
      <c r="E433" s="175">
        <v>15661</v>
      </c>
      <c r="F433" s="174"/>
      <c r="G433" s="38" t="s">
        <v>259</v>
      </c>
      <c r="H433" s="38" t="s">
        <v>882</v>
      </c>
      <c r="I433" s="2">
        <f t="shared" si="14"/>
        <v>15661</v>
      </c>
      <c r="J433" s="49" t="str">
        <f t="shared" si="15"/>
        <v>13311</v>
      </c>
    </row>
    <row r="434" spans="1:10" x14ac:dyDescent="0.3">
      <c r="A434" s="36">
        <v>46173</v>
      </c>
      <c r="B434" s="37" t="s">
        <v>1546</v>
      </c>
      <c r="C434" s="38" t="s">
        <v>15</v>
      </c>
      <c r="D434" s="19" t="s">
        <v>1547</v>
      </c>
      <c r="E434" s="175">
        <v>4480114</v>
      </c>
      <c r="F434" s="174"/>
      <c r="G434" s="38" t="s">
        <v>259</v>
      </c>
      <c r="H434" s="38" t="s">
        <v>882</v>
      </c>
      <c r="I434" s="2">
        <f t="shared" si="14"/>
        <v>4480114</v>
      </c>
      <c r="J434" s="49" t="str">
        <f t="shared" si="15"/>
        <v>13311</v>
      </c>
    </row>
    <row r="435" spans="1:10" x14ac:dyDescent="0.3">
      <c r="A435" s="36">
        <v>46173</v>
      </c>
      <c r="B435" s="37" t="s">
        <v>1546</v>
      </c>
      <c r="C435" s="38" t="s">
        <v>15</v>
      </c>
      <c r="D435" s="19" t="s">
        <v>1547</v>
      </c>
      <c r="E435" s="175">
        <v>5549622</v>
      </c>
      <c r="F435" s="174"/>
      <c r="G435" s="38" t="s">
        <v>259</v>
      </c>
      <c r="H435" s="38" t="s">
        <v>882</v>
      </c>
      <c r="I435" s="2">
        <f t="shared" si="14"/>
        <v>5549622</v>
      </c>
      <c r="J435" s="49" t="str">
        <f t="shared" si="15"/>
        <v>13311</v>
      </c>
    </row>
    <row r="436" spans="1:10" x14ac:dyDescent="0.3">
      <c r="A436" s="36">
        <v>46173</v>
      </c>
      <c r="B436" s="37" t="s">
        <v>1546</v>
      </c>
      <c r="C436" s="38" t="s">
        <v>15</v>
      </c>
      <c r="D436" s="19" t="s">
        <v>1547</v>
      </c>
      <c r="E436" s="175">
        <v>2146595</v>
      </c>
      <c r="F436" s="174"/>
      <c r="G436" s="38" t="s">
        <v>259</v>
      </c>
      <c r="H436" s="38" t="s">
        <v>882</v>
      </c>
      <c r="I436" s="2">
        <f t="shared" si="14"/>
        <v>2146595</v>
      </c>
      <c r="J436" s="49" t="str">
        <f t="shared" si="15"/>
        <v>13311</v>
      </c>
    </row>
    <row r="437" spans="1:10" x14ac:dyDescent="0.3">
      <c r="A437" s="36">
        <v>46173</v>
      </c>
      <c r="B437" s="37" t="s">
        <v>1546</v>
      </c>
      <c r="C437" s="38" t="s">
        <v>15</v>
      </c>
      <c r="D437" s="19" t="s">
        <v>1547</v>
      </c>
      <c r="E437" s="175">
        <v>21962560</v>
      </c>
      <c r="F437" s="174"/>
      <c r="G437" s="38" t="s">
        <v>259</v>
      </c>
      <c r="H437" s="38" t="s">
        <v>882</v>
      </c>
      <c r="I437" s="2">
        <f t="shared" si="14"/>
        <v>21962560</v>
      </c>
      <c r="J437" s="49" t="str">
        <f t="shared" si="15"/>
        <v>13311</v>
      </c>
    </row>
    <row r="438" spans="1:10" x14ac:dyDescent="0.3">
      <c r="A438" s="36">
        <v>46173</v>
      </c>
      <c r="B438" s="37" t="s">
        <v>1546</v>
      </c>
      <c r="C438" s="38" t="s">
        <v>15</v>
      </c>
      <c r="D438" s="19" t="s">
        <v>1547</v>
      </c>
      <c r="E438" s="175">
        <v>8917790</v>
      </c>
      <c r="F438" s="174"/>
      <c r="G438" s="38" t="s">
        <v>259</v>
      </c>
      <c r="H438" s="38" t="s">
        <v>882</v>
      </c>
      <c r="I438" s="2">
        <f t="shared" si="14"/>
        <v>8917790</v>
      </c>
      <c r="J438" s="49" t="str">
        <f t="shared" si="15"/>
        <v>13311</v>
      </c>
    </row>
    <row r="439" spans="1:10" x14ac:dyDescent="0.3">
      <c r="A439" s="36">
        <v>46173</v>
      </c>
      <c r="B439" s="37" t="s">
        <v>1546</v>
      </c>
      <c r="C439" s="38" t="s">
        <v>15</v>
      </c>
      <c r="D439" s="19" t="s">
        <v>1547</v>
      </c>
      <c r="E439" s="175">
        <v>174631</v>
      </c>
      <c r="F439" s="174"/>
      <c r="G439" s="38" t="s">
        <v>259</v>
      </c>
      <c r="H439" s="38" t="s">
        <v>882</v>
      </c>
      <c r="I439" s="2">
        <f t="shared" si="14"/>
        <v>174631</v>
      </c>
      <c r="J439" s="49" t="str">
        <f t="shared" si="15"/>
        <v>13311</v>
      </c>
    </row>
    <row r="440" spans="1:10" x14ac:dyDescent="0.3">
      <c r="A440" s="36">
        <v>46173</v>
      </c>
      <c r="B440" s="37" t="s">
        <v>1546</v>
      </c>
      <c r="C440" s="38" t="s">
        <v>15</v>
      </c>
      <c r="D440" s="19" t="s">
        <v>1547</v>
      </c>
      <c r="E440" s="175">
        <v>625606</v>
      </c>
      <c r="F440" s="174"/>
      <c r="G440" s="38" t="s">
        <v>259</v>
      </c>
      <c r="H440" s="38" t="s">
        <v>882</v>
      </c>
      <c r="I440" s="2">
        <f t="shared" si="14"/>
        <v>625606</v>
      </c>
      <c r="J440" s="49" t="str">
        <f t="shared" si="15"/>
        <v>13311</v>
      </c>
    </row>
    <row r="441" spans="1:10" x14ac:dyDescent="0.3">
      <c r="A441" s="36">
        <v>46173</v>
      </c>
      <c r="B441" s="37" t="s">
        <v>1546</v>
      </c>
      <c r="C441" s="38" t="s">
        <v>15</v>
      </c>
      <c r="D441" s="19" t="s">
        <v>1547</v>
      </c>
      <c r="E441" s="175">
        <v>8351630</v>
      </c>
      <c r="F441" s="174"/>
      <c r="G441" s="38" t="s">
        <v>259</v>
      </c>
      <c r="H441" s="38" t="s">
        <v>882</v>
      </c>
      <c r="I441" s="2">
        <f t="shared" si="14"/>
        <v>8351630</v>
      </c>
      <c r="J441" s="49" t="str">
        <f t="shared" si="15"/>
        <v>13311</v>
      </c>
    </row>
    <row r="442" spans="1:10" x14ac:dyDescent="0.3">
      <c r="A442" s="36">
        <v>46173</v>
      </c>
      <c r="B442" s="37" t="s">
        <v>1546</v>
      </c>
      <c r="C442" s="38" t="s">
        <v>15</v>
      </c>
      <c r="D442" s="19" t="s">
        <v>1547</v>
      </c>
      <c r="E442" s="175">
        <v>6869373</v>
      </c>
      <c r="F442" s="174"/>
      <c r="G442" s="38" t="s">
        <v>259</v>
      </c>
      <c r="H442" s="38" t="s">
        <v>882</v>
      </c>
      <c r="I442" s="2">
        <f t="shared" si="14"/>
        <v>6869373</v>
      </c>
      <c r="J442" s="49" t="str">
        <f t="shared" si="15"/>
        <v>13311</v>
      </c>
    </row>
    <row r="443" spans="1:10" x14ac:dyDescent="0.3">
      <c r="A443" s="36">
        <v>46173</v>
      </c>
      <c r="B443" s="37" t="s">
        <v>1546</v>
      </c>
      <c r="C443" s="38" t="s">
        <v>15</v>
      </c>
      <c r="D443" s="19" t="s">
        <v>1547</v>
      </c>
      <c r="E443" s="175">
        <v>189787</v>
      </c>
      <c r="F443" s="174"/>
      <c r="G443" s="38" t="s">
        <v>259</v>
      </c>
      <c r="H443" s="38" t="s">
        <v>882</v>
      </c>
      <c r="I443" s="2">
        <f t="shared" si="14"/>
        <v>189787</v>
      </c>
      <c r="J443" s="49" t="str">
        <f t="shared" si="15"/>
        <v>13311</v>
      </c>
    </row>
    <row r="444" spans="1:10" x14ac:dyDescent="0.3">
      <c r="A444" s="36">
        <v>46173</v>
      </c>
      <c r="B444" s="37" t="s">
        <v>1546</v>
      </c>
      <c r="C444" s="38" t="s">
        <v>15</v>
      </c>
      <c r="D444" s="19" t="s">
        <v>1547</v>
      </c>
      <c r="E444" s="175">
        <v>132615</v>
      </c>
      <c r="F444" s="174"/>
      <c r="G444" s="38" t="s">
        <v>259</v>
      </c>
      <c r="H444" s="38" t="s">
        <v>882</v>
      </c>
      <c r="I444" s="2">
        <f t="shared" si="14"/>
        <v>132615</v>
      </c>
      <c r="J444" s="49" t="str">
        <f t="shared" si="15"/>
        <v>13311</v>
      </c>
    </row>
    <row r="445" spans="1:10" x14ac:dyDescent="0.3">
      <c r="A445" s="36">
        <v>46173</v>
      </c>
      <c r="B445" s="37" t="s">
        <v>1546</v>
      </c>
      <c r="C445" s="38" t="s">
        <v>15</v>
      </c>
      <c r="D445" s="19" t="s">
        <v>1547</v>
      </c>
      <c r="E445" s="175">
        <v>584516</v>
      </c>
      <c r="F445" s="174"/>
      <c r="G445" s="38" t="s">
        <v>259</v>
      </c>
      <c r="H445" s="38" t="s">
        <v>882</v>
      </c>
      <c r="I445" s="2">
        <f t="shared" si="14"/>
        <v>584516</v>
      </c>
      <c r="J445" s="49" t="str">
        <f t="shared" si="15"/>
        <v>13311</v>
      </c>
    </row>
    <row r="446" spans="1:10" x14ac:dyDescent="0.3">
      <c r="A446" s="36">
        <v>46173</v>
      </c>
      <c r="B446" s="37" t="s">
        <v>1546</v>
      </c>
      <c r="C446" s="38" t="s">
        <v>15</v>
      </c>
      <c r="D446" s="19" t="s">
        <v>1547</v>
      </c>
      <c r="E446" s="175">
        <v>15320418</v>
      </c>
      <c r="F446" s="174"/>
      <c r="G446" s="38" t="s">
        <v>259</v>
      </c>
      <c r="H446" s="38" t="s">
        <v>882</v>
      </c>
      <c r="I446" s="2">
        <f t="shared" si="14"/>
        <v>15320418</v>
      </c>
      <c r="J446" s="49" t="str">
        <f t="shared" si="15"/>
        <v>13311</v>
      </c>
    </row>
    <row r="447" spans="1:10" x14ac:dyDescent="0.3">
      <c r="A447" s="36">
        <v>46173</v>
      </c>
      <c r="B447" s="37" t="s">
        <v>1546</v>
      </c>
      <c r="C447" s="38" t="s">
        <v>15</v>
      </c>
      <c r="D447" s="19" t="s">
        <v>1547</v>
      </c>
      <c r="E447" s="175">
        <v>10521800</v>
      </c>
      <c r="F447" s="174"/>
      <c r="G447" s="38" t="s">
        <v>259</v>
      </c>
      <c r="H447" s="38" t="s">
        <v>882</v>
      </c>
      <c r="I447" s="2">
        <f t="shared" si="14"/>
        <v>10521800</v>
      </c>
      <c r="J447" s="49" t="str">
        <f t="shared" si="15"/>
        <v>13311</v>
      </c>
    </row>
    <row r="448" spans="1:10" x14ac:dyDescent="0.3">
      <c r="A448" s="36">
        <v>46173</v>
      </c>
      <c r="B448" s="37" t="s">
        <v>1546</v>
      </c>
      <c r="C448" s="38" t="s">
        <v>15</v>
      </c>
      <c r="D448" s="19" t="s">
        <v>1547</v>
      </c>
      <c r="E448" s="175">
        <v>15894434</v>
      </c>
      <c r="F448" s="174"/>
      <c r="G448" s="38" t="s">
        <v>259</v>
      </c>
      <c r="H448" s="38" t="s">
        <v>882</v>
      </c>
      <c r="I448" s="2">
        <f t="shared" si="14"/>
        <v>15894434</v>
      </c>
      <c r="J448" s="49" t="str">
        <f t="shared" si="15"/>
        <v>13311</v>
      </c>
    </row>
    <row r="449" spans="1:10" x14ac:dyDescent="0.3">
      <c r="A449" s="36">
        <v>46173</v>
      </c>
      <c r="B449" s="37" t="s">
        <v>1546</v>
      </c>
      <c r="C449" s="38" t="s">
        <v>15</v>
      </c>
      <c r="D449" s="19" t="s">
        <v>883</v>
      </c>
      <c r="E449" s="175">
        <v>23952374</v>
      </c>
      <c r="F449" s="174"/>
      <c r="G449" s="38" t="s">
        <v>259</v>
      </c>
      <c r="H449" s="38" t="s">
        <v>882</v>
      </c>
      <c r="I449" s="2">
        <f t="shared" si="14"/>
        <v>23952374</v>
      </c>
      <c r="J449" s="49" t="str">
        <f t="shared" si="15"/>
        <v>13311</v>
      </c>
    </row>
    <row r="450" spans="1:10" x14ac:dyDescent="0.3">
      <c r="A450" s="36">
        <v>46173</v>
      </c>
      <c r="B450" s="37" t="s">
        <v>1546</v>
      </c>
      <c r="C450" s="38" t="s">
        <v>15</v>
      </c>
      <c r="D450" s="19" t="s">
        <v>883</v>
      </c>
      <c r="E450" s="175">
        <v>23601092</v>
      </c>
      <c r="F450" s="174"/>
      <c r="G450" s="38" t="s">
        <v>259</v>
      </c>
      <c r="H450" s="38" t="s">
        <v>882</v>
      </c>
      <c r="I450" s="2">
        <f t="shared" si="14"/>
        <v>23601092</v>
      </c>
      <c r="J450" s="49" t="str">
        <f t="shared" si="15"/>
        <v>13311</v>
      </c>
    </row>
    <row r="451" spans="1:10" x14ac:dyDescent="0.3">
      <c r="A451" s="36">
        <v>46173</v>
      </c>
      <c r="B451" s="37" t="s">
        <v>1546</v>
      </c>
      <c r="C451" s="38" t="s">
        <v>15</v>
      </c>
      <c r="D451" s="19" t="s">
        <v>883</v>
      </c>
      <c r="E451" s="175">
        <v>22745788</v>
      </c>
      <c r="F451" s="174"/>
      <c r="G451" s="38" t="s">
        <v>259</v>
      </c>
      <c r="H451" s="38" t="s">
        <v>882</v>
      </c>
      <c r="I451" s="2">
        <f t="shared" si="14"/>
        <v>22745788</v>
      </c>
      <c r="J451" s="49" t="str">
        <f t="shared" si="15"/>
        <v>13311</v>
      </c>
    </row>
    <row r="452" spans="1:10" x14ac:dyDescent="0.3">
      <c r="A452" s="36">
        <v>46173</v>
      </c>
      <c r="B452" s="37" t="s">
        <v>1546</v>
      </c>
      <c r="C452" s="38" t="s">
        <v>15</v>
      </c>
      <c r="D452" s="19" t="s">
        <v>883</v>
      </c>
      <c r="E452" s="175">
        <v>24002220</v>
      </c>
      <c r="F452" s="174"/>
      <c r="G452" s="38" t="s">
        <v>259</v>
      </c>
      <c r="H452" s="38" t="s">
        <v>882</v>
      </c>
      <c r="I452" s="2">
        <f t="shared" si="14"/>
        <v>24002220</v>
      </c>
      <c r="J452" s="49" t="str">
        <f t="shared" si="15"/>
        <v>13311</v>
      </c>
    </row>
    <row r="453" spans="1:10" x14ac:dyDescent="0.3">
      <c r="A453" s="36">
        <v>46173</v>
      </c>
      <c r="B453" s="37" t="s">
        <v>1546</v>
      </c>
      <c r="C453" s="38" t="s">
        <v>15</v>
      </c>
      <c r="D453" s="19" t="s">
        <v>883</v>
      </c>
      <c r="E453" s="175">
        <v>23071305</v>
      </c>
      <c r="F453" s="174"/>
      <c r="G453" s="38" t="s">
        <v>259</v>
      </c>
      <c r="H453" s="38" t="s">
        <v>882</v>
      </c>
      <c r="I453" s="2">
        <f t="shared" si="14"/>
        <v>23071305</v>
      </c>
      <c r="J453" s="49" t="str">
        <f t="shared" si="15"/>
        <v>13311</v>
      </c>
    </row>
    <row r="454" spans="1:10" x14ac:dyDescent="0.3">
      <c r="A454" s="36">
        <v>46173</v>
      </c>
      <c r="B454" s="37" t="s">
        <v>1546</v>
      </c>
      <c r="C454" s="38" t="s">
        <v>15</v>
      </c>
      <c r="D454" s="19" t="s">
        <v>883</v>
      </c>
      <c r="E454" s="175">
        <v>23161231</v>
      </c>
      <c r="F454" s="174"/>
      <c r="G454" s="38" t="s">
        <v>259</v>
      </c>
      <c r="H454" s="38" t="s">
        <v>882</v>
      </c>
      <c r="I454" s="2">
        <f t="shared" si="14"/>
        <v>23161231</v>
      </c>
      <c r="J454" s="49" t="str">
        <f t="shared" si="15"/>
        <v>13311</v>
      </c>
    </row>
    <row r="455" spans="1:10" x14ac:dyDescent="0.3">
      <c r="A455" s="36">
        <v>46173</v>
      </c>
      <c r="B455" s="37" t="s">
        <v>1546</v>
      </c>
      <c r="C455" s="38" t="s">
        <v>15</v>
      </c>
      <c r="D455" s="19" t="s">
        <v>883</v>
      </c>
      <c r="E455" s="175">
        <v>23590651</v>
      </c>
      <c r="F455" s="174"/>
      <c r="G455" s="38" t="s">
        <v>259</v>
      </c>
      <c r="H455" s="38" t="s">
        <v>882</v>
      </c>
      <c r="I455" s="2">
        <f t="shared" si="14"/>
        <v>23590651</v>
      </c>
      <c r="J455" s="49" t="str">
        <f t="shared" si="15"/>
        <v>13311</v>
      </c>
    </row>
    <row r="456" spans="1:10" x14ac:dyDescent="0.3">
      <c r="A456" s="36">
        <v>46173</v>
      </c>
      <c r="B456" s="37" t="s">
        <v>1546</v>
      </c>
      <c r="C456" s="38" t="s">
        <v>15</v>
      </c>
      <c r="D456" s="19" t="s">
        <v>883</v>
      </c>
      <c r="E456" s="175">
        <v>22930018</v>
      </c>
      <c r="F456" s="174"/>
      <c r="G456" s="38" t="s">
        <v>259</v>
      </c>
      <c r="H456" s="38" t="s">
        <v>882</v>
      </c>
      <c r="I456" s="2">
        <f t="shared" si="14"/>
        <v>22930018</v>
      </c>
      <c r="J456" s="49" t="str">
        <f t="shared" si="15"/>
        <v>13311</v>
      </c>
    </row>
    <row r="457" spans="1:10" x14ac:dyDescent="0.3">
      <c r="A457" s="36">
        <v>46173</v>
      </c>
      <c r="B457" s="37" t="s">
        <v>1546</v>
      </c>
      <c r="C457" s="38" t="s">
        <v>15</v>
      </c>
      <c r="D457" s="19" t="s">
        <v>1547</v>
      </c>
      <c r="E457" s="175">
        <v>19038125</v>
      </c>
      <c r="F457" s="174"/>
      <c r="G457" s="38" t="s">
        <v>259</v>
      </c>
      <c r="H457" s="38" t="s">
        <v>882</v>
      </c>
      <c r="I457" s="2">
        <f t="shared" si="14"/>
        <v>19038125</v>
      </c>
      <c r="J457" s="49" t="str">
        <f t="shared" si="15"/>
        <v>13311</v>
      </c>
    </row>
    <row r="458" spans="1:10" x14ac:dyDescent="0.3">
      <c r="A458" s="36">
        <v>46173</v>
      </c>
      <c r="B458" s="37" t="s">
        <v>1546</v>
      </c>
      <c r="C458" s="38" t="s">
        <v>15</v>
      </c>
      <c r="D458" s="19" t="s">
        <v>1547</v>
      </c>
      <c r="E458" s="175">
        <v>20829059</v>
      </c>
      <c r="F458" s="174"/>
      <c r="G458" s="38" t="s">
        <v>259</v>
      </c>
      <c r="H458" s="38" t="s">
        <v>882</v>
      </c>
      <c r="I458" s="2">
        <f t="shared" si="14"/>
        <v>20829059</v>
      </c>
      <c r="J458" s="49" t="str">
        <f t="shared" si="15"/>
        <v>13311</v>
      </c>
    </row>
    <row r="459" spans="1:10" x14ac:dyDescent="0.3">
      <c r="A459" s="36">
        <v>46173</v>
      </c>
      <c r="B459" s="37" t="s">
        <v>1546</v>
      </c>
      <c r="C459" s="38" t="s">
        <v>15</v>
      </c>
      <c r="D459" s="19" t="s">
        <v>1547</v>
      </c>
      <c r="E459" s="175">
        <v>13575566</v>
      </c>
      <c r="F459" s="174"/>
      <c r="G459" s="38" t="s">
        <v>259</v>
      </c>
      <c r="H459" s="38" t="s">
        <v>882</v>
      </c>
      <c r="I459" s="2">
        <f t="shared" si="14"/>
        <v>13575566</v>
      </c>
      <c r="J459" s="49" t="str">
        <f t="shared" si="15"/>
        <v>13311</v>
      </c>
    </row>
    <row r="460" spans="1:10" x14ac:dyDescent="0.3">
      <c r="A460" s="36">
        <v>46173</v>
      </c>
      <c r="B460" s="37" t="s">
        <v>1546</v>
      </c>
      <c r="C460" s="38" t="s">
        <v>15</v>
      </c>
      <c r="D460" s="19" t="s">
        <v>1547</v>
      </c>
      <c r="E460" s="175">
        <v>11633577</v>
      </c>
      <c r="F460" s="174"/>
      <c r="G460" s="38" t="s">
        <v>259</v>
      </c>
      <c r="H460" s="38" t="s">
        <v>882</v>
      </c>
      <c r="I460" s="2">
        <f t="shared" si="14"/>
        <v>11633577</v>
      </c>
      <c r="J460" s="49" t="str">
        <f t="shared" si="15"/>
        <v>13311</v>
      </c>
    </row>
    <row r="461" spans="1:10" x14ac:dyDescent="0.3">
      <c r="A461" s="36">
        <v>46173</v>
      </c>
      <c r="B461" s="37" t="s">
        <v>1546</v>
      </c>
      <c r="C461" s="38" t="s">
        <v>15</v>
      </c>
      <c r="D461" s="19" t="s">
        <v>883</v>
      </c>
      <c r="E461" s="175">
        <v>9973490</v>
      </c>
      <c r="F461" s="174"/>
      <c r="G461" s="38" t="s">
        <v>259</v>
      </c>
      <c r="H461" s="38" t="s">
        <v>882</v>
      </c>
      <c r="I461" s="2">
        <f t="shared" si="14"/>
        <v>9973490</v>
      </c>
      <c r="J461" s="49" t="str">
        <f t="shared" si="15"/>
        <v>13311</v>
      </c>
    </row>
    <row r="462" spans="1:10" x14ac:dyDescent="0.3">
      <c r="A462" s="36">
        <v>46173</v>
      </c>
      <c r="B462" s="37" t="s">
        <v>1546</v>
      </c>
      <c r="C462" s="38" t="s">
        <v>15</v>
      </c>
      <c r="D462" s="19" t="s">
        <v>883</v>
      </c>
      <c r="E462" s="175">
        <v>19766960</v>
      </c>
      <c r="F462" s="174"/>
      <c r="G462" s="38" t="s">
        <v>259</v>
      </c>
      <c r="H462" s="38" t="s">
        <v>882</v>
      </c>
      <c r="I462" s="2">
        <f t="shared" si="14"/>
        <v>19766960</v>
      </c>
      <c r="J462" s="49" t="str">
        <f t="shared" si="15"/>
        <v>13311</v>
      </c>
    </row>
    <row r="463" spans="1:10" x14ac:dyDescent="0.3">
      <c r="A463" s="36">
        <v>46173</v>
      </c>
      <c r="B463" s="37" t="s">
        <v>1546</v>
      </c>
      <c r="C463" s="38" t="s">
        <v>15</v>
      </c>
      <c r="D463" s="19" t="s">
        <v>1547</v>
      </c>
      <c r="E463" s="175">
        <v>18264496</v>
      </c>
      <c r="F463" s="174"/>
      <c r="G463" s="38" t="s">
        <v>259</v>
      </c>
      <c r="H463" s="38" t="s">
        <v>882</v>
      </c>
      <c r="I463" s="2">
        <f t="shared" si="14"/>
        <v>18264496</v>
      </c>
      <c r="J463" s="49" t="str">
        <f t="shared" si="15"/>
        <v>13311</v>
      </c>
    </row>
    <row r="464" spans="1:10" x14ac:dyDescent="0.3">
      <c r="A464" s="36">
        <v>46173</v>
      </c>
      <c r="B464" s="37" t="s">
        <v>1546</v>
      </c>
      <c r="C464" s="38" t="s">
        <v>15</v>
      </c>
      <c r="D464" s="19" t="s">
        <v>883</v>
      </c>
      <c r="E464" s="175">
        <v>18445694</v>
      </c>
      <c r="F464" s="174"/>
      <c r="G464" s="38" t="s">
        <v>259</v>
      </c>
      <c r="H464" s="38" t="s">
        <v>882</v>
      </c>
      <c r="I464" s="2">
        <f t="shared" ref="I464:I508" si="16">IF(LEN(A464)=5,E464,0)</f>
        <v>18445694</v>
      </c>
      <c r="J464" s="49" t="str">
        <f t="shared" ref="J464:J508" si="17">IF(LEFT(A464,11)="Tài khoản: ",MID(A464,12,5),J463)</f>
        <v>13311</v>
      </c>
    </row>
    <row r="465" spans="1:10" x14ac:dyDescent="0.3">
      <c r="A465" s="36">
        <v>46173</v>
      </c>
      <c r="B465" s="37" t="s">
        <v>1546</v>
      </c>
      <c r="C465" s="38" t="s">
        <v>15</v>
      </c>
      <c r="D465" s="19" t="s">
        <v>1547</v>
      </c>
      <c r="E465" s="175">
        <v>21055894</v>
      </c>
      <c r="F465" s="174"/>
      <c r="G465" s="38" t="s">
        <v>259</v>
      </c>
      <c r="H465" s="38" t="s">
        <v>882</v>
      </c>
      <c r="I465" s="2">
        <f t="shared" si="16"/>
        <v>21055894</v>
      </c>
      <c r="J465" s="49" t="str">
        <f t="shared" si="17"/>
        <v>13311</v>
      </c>
    </row>
    <row r="466" spans="1:10" ht="24.6" x14ac:dyDescent="0.3">
      <c r="A466" s="36">
        <v>46173</v>
      </c>
      <c r="B466" s="37" t="s">
        <v>1548</v>
      </c>
      <c r="C466" s="38" t="s">
        <v>15</v>
      </c>
      <c r="D466" s="19" t="s">
        <v>1549</v>
      </c>
      <c r="E466" s="175">
        <v>334074</v>
      </c>
      <c r="F466" s="174"/>
      <c r="G466" s="38" t="s">
        <v>99</v>
      </c>
      <c r="H466" s="38" t="s">
        <v>882</v>
      </c>
      <c r="I466" s="2">
        <f t="shared" si="16"/>
        <v>334074</v>
      </c>
      <c r="J466" s="49" t="str">
        <f t="shared" si="17"/>
        <v>13311</v>
      </c>
    </row>
    <row r="467" spans="1:10" ht="24.6" x14ac:dyDescent="0.3">
      <c r="A467" s="36">
        <v>46173</v>
      </c>
      <c r="B467" s="37" t="s">
        <v>1548</v>
      </c>
      <c r="C467" s="38" t="s">
        <v>15</v>
      </c>
      <c r="D467" s="19" t="s">
        <v>1551</v>
      </c>
      <c r="E467" s="175">
        <v>635000</v>
      </c>
      <c r="F467" s="174"/>
      <c r="G467" s="38" t="s">
        <v>99</v>
      </c>
      <c r="H467" s="38" t="s">
        <v>882</v>
      </c>
      <c r="I467" s="2">
        <f t="shared" si="16"/>
        <v>635000</v>
      </c>
      <c r="J467" s="49" t="str">
        <f t="shared" si="17"/>
        <v>13311</v>
      </c>
    </row>
    <row r="468" spans="1:10" ht="24.6" x14ac:dyDescent="0.3">
      <c r="A468" s="36">
        <v>46173</v>
      </c>
      <c r="B468" s="37" t="s">
        <v>1548</v>
      </c>
      <c r="C468" s="38" t="s">
        <v>15</v>
      </c>
      <c r="D468" s="19" t="s">
        <v>1550</v>
      </c>
      <c r="E468" s="175">
        <v>556455</v>
      </c>
      <c r="F468" s="174"/>
      <c r="G468" s="38" t="s">
        <v>99</v>
      </c>
      <c r="H468" s="38" t="s">
        <v>882</v>
      </c>
      <c r="I468" s="2">
        <f t="shared" si="16"/>
        <v>556455</v>
      </c>
      <c r="J468" s="49" t="str">
        <f t="shared" si="17"/>
        <v>13311</v>
      </c>
    </row>
    <row r="469" spans="1:10" ht="24.6" x14ac:dyDescent="0.3">
      <c r="A469" s="36">
        <v>46173</v>
      </c>
      <c r="B469" s="37" t="s">
        <v>1600</v>
      </c>
      <c r="C469" s="38" t="s">
        <v>15</v>
      </c>
      <c r="D469" s="19" t="s">
        <v>1601</v>
      </c>
      <c r="E469" s="175">
        <v>103359678984</v>
      </c>
      <c r="F469" s="174"/>
      <c r="G469" s="38" t="s">
        <v>366</v>
      </c>
      <c r="H469" s="38" t="s">
        <v>882</v>
      </c>
      <c r="I469" s="2">
        <f t="shared" si="16"/>
        <v>103359678984</v>
      </c>
      <c r="J469" s="49" t="str">
        <f t="shared" si="17"/>
        <v>13311</v>
      </c>
    </row>
    <row r="470" spans="1:10" x14ac:dyDescent="0.3">
      <c r="A470" s="36">
        <v>46173</v>
      </c>
      <c r="B470" s="37" t="s">
        <v>1595</v>
      </c>
      <c r="C470" s="38" t="s">
        <v>15</v>
      </c>
      <c r="D470" s="19" t="s">
        <v>1596</v>
      </c>
      <c r="E470" s="174"/>
      <c r="F470" s="175">
        <v>108965015793</v>
      </c>
      <c r="G470" s="38" t="s">
        <v>366</v>
      </c>
      <c r="H470" s="38" t="s">
        <v>882</v>
      </c>
      <c r="I470" s="2">
        <f t="shared" si="16"/>
        <v>0</v>
      </c>
      <c r="J470" s="49" t="str">
        <f t="shared" si="17"/>
        <v>13311</v>
      </c>
    </row>
    <row r="471" spans="1:10" ht="24.6" x14ac:dyDescent="0.3">
      <c r="A471" s="36">
        <v>46173</v>
      </c>
      <c r="B471" s="37" t="s">
        <v>1687</v>
      </c>
      <c r="C471" s="38" t="s">
        <v>15</v>
      </c>
      <c r="D471" s="19" t="s">
        <v>1688</v>
      </c>
      <c r="E471" s="174"/>
      <c r="F471" s="175">
        <v>-1785491138</v>
      </c>
      <c r="G471" s="38" t="s">
        <v>366</v>
      </c>
      <c r="H471" s="38" t="s">
        <v>1679</v>
      </c>
      <c r="I471" s="2">
        <f t="shared" si="16"/>
        <v>0</v>
      </c>
      <c r="J471" s="49" t="str">
        <f t="shared" si="17"/>
        <v>13311</v>
      </c>
    </row>
    <row r="472" spans="1:10" x14ac:dyDescent="0.3">
      <c r="A472" s="174"/>
      <c r="B472" s="174"/>
      <c r="C472" s="174"/>
      <c r="D472" s="172" t="s">
        <v>65</v>
      </c>
      <c r="E472" s="173">
        <v>105695245168</v>
      </c>
      <c r="F472" s="173">
        <v>107179524655</v>
      </c>
      <c r="G472" s="174"/>
      <c r="H472" s="174"/>
      <c r="I472" s="2">
        <f t="shared" si="16"/>
        <v>0</v>
      </c>
      <c r="J472" s="49" t="str">
        <f t="shared" si="17"/>
        <v>13311</v>
      </c>
    </row>
    <row r="473" spans="1:10" x14ac:dyDescent="0.3">
      <c r="A473" s="174"/>
      <c r="B473" s="174"/>
      <c r="C473" s="174"/>
      <c r="D473" s="172" t="s">
        <v>64</v>
      </c>
      <c r="E473" s="173">
        <v>78337261427</v>
      </c>
      <c r="F473" s="174"/>
      <c r="G473" s="174"/>
      <c r="H473" s="174"/>
      <c r="I473" s="2">
        <f t="shared" si="16"/>
        <v>0</v>
      </c>
      <c r="J473" s="49" t="str">
        <f t="shared" si="17"/>
        <v>13311</v>
      </c>
    </row>
    <row r="474" spans="1:10" x14ac:dyDescent="0.3">
      <c r="A474" s="368" t="s">
        <v>228</v>
      </c>
      <c r="B474" s="369"/>
      <c r="C474" s="370"/>
      <c r="D474" s="172" t="s">
        <v>66</v>
      </c>
      <c r="E474" s="174"/>
      <c r="F474" s="174"/>
      <c r="G474" s="174"/>
      <c r="H474" s="174"/>
      <c r="I474" s="2">
        <f t="shared" si="16"/>
        <v>0</v>
      </c>
      <c r="J474" s="49" t="str">
        <f t="shared" si="17"/>
        <v>13313</v>
      </c>
    </row>
    <row r="475" spans="1:10" ht="24.6" x14ac:dyDescent="0.3">
      <c r="A475" s="36">
        <v>46173</v>
      </c>
      <c r="B475" s="37" t="s">
        <v>951</v>
      </c>
      <c r="C475" s="38" t="s">
        <v>15</v>
      </c>
      <c r="D475" s="19" t="s">
        <v>1556</v>
      </c>
      <c r="E475" s="175">
        <v>314617</v>
      </c>
      <c r="F475" s="174"/>
      <c r="G475" s="38" t="s">
        <v>16</v>
      </c>
      <c r="H475" s="38" t="s">
        <v>882</v>
      </c>
      <c r="I475" s="2">
        <f t="shared" si="16"/>
        <v>314617</v>
      </c>
      <c r="J475" s="49" t="str">
        <f t="shared" si="17"/>
        <v>13313</v>
      </c>
    </row>
    <row r="476" spans="1:10" ht="24.6" x14ac:dyDescent="0.3">
      <c r="A476" s="36">
        <v>46173</v>
      </c>
      <c r="B476" s="37" t="s">
        <v>951</v>
      </c>
      <c r="C476" s="38" t="s">
        <v>15</v>
      </c>
      <c r="D476" s="19" t="s">
        <v>1557</v>
      </c>
      <c r="E476" s="175">
        <v>87008</v>
      </c>
      <c r="F476" s="174"/>
      <c r="G476" s="38" t="s">
        <v>16</v>
      </c>
      <c r="H476" s="38" t="s">
        <v>882</v>
      </c>
      <c r="I476" s="2">
        <f t="shared" si="16"/>
        <v>87008</v>
      </c>
      <c r="J476" s="49" t="str">
        <f t="shared" si="17"/>
        <v>13313</v>
      </c>
    </row>
    <row r="477" spans="1:10" ht="24.6" x14ac:dyDescent="0.3">
      <c r="A477" s="36">
        <v>46173</v>
      </c>
      <c r="B477" s="37" t="s">
        <v>951</v>
      </c>
      <c r="C477" s="38" t="s">
        <v>15</v>
      </c>
      <c r="D477" s="19" t="s">
        <v>1558</v>
      </c>
      <c r="E477" s="175">
        <v>5000</v>
      </c>
      <c r="F477" s="174"/>
      <c r="G477" s="38" t="s">
        <v>16</v>
      </c>
      <c r="H477" s="38" t="s">
        <v>882</v>
      </c>
      <c r="I477" s="2">
        <f t="shared" si="16"/>
        <v>5000</v>
      </c>
      <c r="J477" s="49" t="str">
        <f t="shared" si="17"/>
        <v>13313</v>
      </c>
    </row>
    <row r="478" spans="1:10" ht="24.6" x14ac:dyDescent="0.3">
      <c r="A478" s="36">
        <v>46173</v>
      </c>
      <c r="B478" s="37" t="s">
        <v>951</v>
      </c>
      <c r="C478" s="38" t="s">
        <v>15</v>
      </c>
      <c r="D478" s="19" t="s">
        <v>1555</v>
      </c>
      <c r="E478" s="175">
        <v>24381</v>
      </c>
      <c r="F478" s="174"/>
      <c r="G478" s="38" t="s">
        <v>16</v>
      </c>
      <c r="H478" s="38" t="s">
        <v>882</v>
      </c>
      <c r="I478" s="2">
        <f t="shared" si="16"/>
        <v>24381</v>
      </c>
      <c r="J478" s="49" t="str">
        <f t="shared" si="17"/>
        <v>13313</v>
      </c>
    </row>
    <row r="479" spans="1:10" ht="24.6" x14ac:dyDescent="0.3">
      <c r="A479" s="36">
        <v>46173</v>
      </c>
      <c r="B479" s="37" t="s">
        <v>951</v>
      </c>
      <c r="C479" s="38" t="s">
        <v>15</v>
      </c>
      <c r="D479" s="19" t="s">
        <v>1553</v>
      </c>
      <c r="E479" s="175">
        <v>2727</v>
      </c>
      <c r="F479" s="174"/>
      <c r="G479" s="38" t="s">
        <v>16</v>
      </c>
      <c r="H479" s="38" t="s">
        <v>882</v>
      </c>
      <c r="I479" s="2">
        <f t="shared" si="16"/>
        <v>2727</v>
      </c>
      <c r="J479" s="49" t="str">
        <f t="shared" si="17"/>
        <v>13313</v>
      </c>
    </row>
    <row r="480" spans="1:10" ht="24.6" x14ac:dyDescent="0.3">
      <c r="A480" s="36">
        <v>46173</v>
      </c>
      <c r="B480" s="37" t="s">
        <v>951</v>
      </c>
      <c r="C480" s="38" t="s">
        <v>15</v>
      </c>
      <c r="D480" s="19" t="s">
        <v>1552</v>
      </c>
      <c r="E480" s="175">
        <v>149456</v>
      </c>
      <c r="F480" s="174"/>
      <c r="G480" s="38" t="s">
        <v>16</v>
      </c>
      <c r="H480" s="38" t="s">
        <v>882</v>
      </c>
      <c r="I480" s="2">
        <f t="shared" si="16"/>
        <v>149456</v>
      </c>
      <c r="J480" s="49" t="str">
        <f t="shared" si="17"/>
        <v>13313</v>
      </c>
    </row>
    <row r="481" spans="1:10" ht="24.6" x14ac:dyDescent="0.3">
      <c r="A481" s="36">
        <v>46173</v>
      </c>
      <c r="B481" s="37" t="s">
        <v>951</v>
      </c>
      <c r="C481" s="38" t="s">
        <v>15</v>
      </c>
      <c r="D481" s="19" t="s">
        <v>1554</v>
      </c>
      <c r="E481" s="175">
        <v>15124</v>
      </c>
      <c r="F481" s="174"/>
      <c r="G481" s="38" t="s">
        <v>16</v>
      </c>
      <c r="H481" s="38" t="s">
        <v>882</v>
      </c>
      <c r="I481" s="2">
        <f t="shared" si="16"/>
        <v>15124</v>
      </c>
      <c r="J481" s="49" t="str">
        <f t="shared" si="17"/>
        <v>13313</v>
      </c>
    </row>
    <row r="482" spans="1:10" x14ac:dyDescent="0.3">
      <c r="A482" s="36">
        <v>46173</v>
      </c>
      <c r="B482" s="37" t="s">
        <v>951</v>
      </c>
      <c r="C482" s="38" t="s">
        <v>15</v>
      </c>
      <c r="D482" s="19" t="s">
        <v>952</v>
      </c>
      <c r="E482" s="174"/>
      <c r="F482" s="175">
        <v>598313</v>
      </c>
      <c r="G482" s="38" t="s">
        <v>16</v>
      </c>
      <c r="H482" s="38" t="s">
        <v>882</v>
      </c>
      <c r="I482" s="2">
        <f t="shared" si="16"/>
        <v>0</v>
      </c>
      <c r="J482" s="49" t="str">
        <f t="shared" si="17"/>
        <v>13313</v>
      </c>
    </row>
    <row r="483" spans="1:10" ht="24.6" x14ac:dyDescent="0.3">
      <c r="A483" s="36">
        <v>46173</v>
      </c>
      <c r="B483" s="37" t="s">
        <v>1491</v>
      </c>
      <c r="C483" s="38" t="s">
        <v>15</v>
      </c>
      <c r="D483" s="19" t="s">
        <v>1563</v>
      </c>
      <c r="E483" s="175">
        <v>376000000</v>
      </c>
      <c r="F483" s="174"/>
      <c r="G483" s="38" t="s">
        <v>195</v>
      </c>
      <c r="H483" s="38" t="s">
        <v>882</v>
      </c>
      <c r="I483" s="2">
        <f t="shared" si="16"/>
        <v>376000000</v>
      </c>
      <c r="J483" s="49" t="str">
        <f t="shared" si="17"/>
        <v>13313</v>
      </c>
    </row>
    <row r="484" spans="1:10" ht="24.6" x14ac:dyDescent="0.3">
      <c r="A484" s="36">
        <v>46173</v>
      </c>
      <c r="B484" s="37" t="s">
        <v>1491</v>
      </c>
      <c r="C484" s="38" t="s">
        <v>15</v>
      </c>
      <c r="D484" s="19" t="s">
        <v>1564</v>
      </c>
      <c r="E484" s="175">
        <v>376000000</v>
      </c>
      <c r="F484" s="174"/>
      <c r="G484" s="38" t="s">
        <v>195</v>
      </c>
      <c r="H484" s="38" t="s">
        <v>882</v>
      </c>
      <c r="I484" s="2">
        <f t="shared" si="16"/>
        <v>376000000</v>
      </c>
      <c r="J484" s="49" t="str">
        <f t="shared" si="17"/>
        <v>13313</v>
      </c>
    </row>
    <row r="485" spans="1:10" ht="24.6" x14ac:dyDescent="0.3">
      <c r="A485" s="36">
        <v>46173</v>
      </c>
      <c r="B485" s="37" t="s">
        <v>1491</v>
      </c>
      <c r="C485" s="38" t="s">
        <v>15</v>
      </c>
      <c r="D485" s="19" t="s">
        <v>1560</v>
      </c>
      <c r="E485" s="175">
        <v>144771840</v>
      </c>
      <c r="F485" s="174"/>
      <c r="G485" s="38" t="s">
        <v>195</v>
      </c>
      <c r="H485" s="38" t="s">
        <v>882</v>
      </c>
      <c r="I485" s="2">
        <f t="shared" si="16"/>
        <v>144771840</v>
      </c>
      <c r="J485" s="49" t="str">
        <f t="shared" si="17"/>
        <v>13313</v>
      </c>
    </row>
    <row r="486" spans="1:10" ht="24.6" x14ac:dyDescent="0.3">
      <c r="A486" s="36">
        <v>46173</v>
      </c>
      <c r="B486" s="37" t="s">
        <v>1491</v>
      </c>
      <c r="C486" s="38" t="s">
        <v>15</v>
      </c>
      <c r="D486" s="19" t="s">
        <v>1561</v>
      </c>
      <c r="E486" s="175">
        <v>289543680</v>
      </c>
      <c r="F486" s="174"/>
      <c r="G486" s="38" t="s">
        <v>195</v>
      </c>
      <c r="H486" s="38" t="s">
        <v>882</v>
      </c>
      <c r="I486" s="2">
        <f t="shared" si="16"/>
        <v>289543680</v>
      </c>
      <c r="J486" s="49" t="str">
        <f t="shared" si="17"/>
        <v>13313</v>
      </c>
    </row>
    <row r="487" spans="1:10" ht="24.6" x14ac:dyDescent="0.3">
      <c r="A487" s="36">
        <v>46173</v>
      </c>
      <c r="B487" s="37" t="s">
        <v>1491</v>
      </c>
      <c r="C487" s="38" t="s">
        <v>15</v>
      </c>
      <c r="D487" s="19" t="s">
        <v>1562</v>
      </c>
      <c r="E487" s="175">
        <v>102546720</v>
      </c>
      <c r="F487" s="174"/>
      <c r="G487" s="38" t="s">
        <v>195</v>
      </c>
      <c r="H487" s="38" t="s">
        <v>882</v>
      </c>
      <c r="I487" s="2">
        <f t="shared" si="16"/>
        <v>102546720</v>
      </c>
      <c r="J487" s="49" t="str">
        <f t="shared" si="17"/>
        <v>13313</v>
      </c>
    </row>
    <row r="488" spans="1:10" ht="24.6" x14ac:dyDescent="0.3">
      <c r="A488" s="36">
        <v>46173</v>
      </c>
      <c r="B488" s="37" t="s">
        <v>1491</v>
      </c>
      <c r="C488" s="38" t="s">
        <v>15</v>
      </c>
      <c r="D488" s="19" t="s">
        <v>1559</v>
      </c>
      <c r="E488" s="175">
        <v>25728000</v>
      </c>
      <c r="F488" s="174"/>
      <c r="G488" s="38" t="s">
        <v>195</v>
      </c>
      <c r="H488" s="38" t="s">
        <v>882</v>
      </c>
      <c r="I488" s="2">
        <f t="shared" si="16"/>
        <v>25728000</v>
      </c>
      <c r="J488" s="49" t="str">
        <f t="shared" si="17"/>
        <v>13313</v>
      </c>
    </row>
    <row r="489" spans="1:10" ht="24.6" x14ac:dyDescent="0.3">
      <c r="A489" s="36">
        <v>46173</v>
      </c>
      <c r="B489" s="37" t="s">
        <v>1491</v>
      </c>
      <c r="C489" s="38" t="s">
        <v>15</v>
      </c>
      <c r="D489" s="19" t="s">
        <v>1565</v>
      </c>
      <c r="E489" s="175">
        <v>102912000</v>
      </c>
      <c r="F489" s="174"/>
      <c r="G489" s="38" t="s">
        <v>195</v>
      </c>
      <c r="H489" s="38" t="s">
        <v>882</v>
      </c>
      <c r="I489" s="2">
        <f t="shared" si="16"/>
        <v>102912000</v>
      </c>
      <c r="J489" s="49" t="str">
        <f t="shared" si="17"/>
        <v>13313</v>
      </c>
    </row>
    <row r="490" spans="1:10" ht="36.6" x14ac:dyDescent="0.3">
      <c r="A490" s="36">
        <v>46173</v>
      </c>
      <c r="B490" s="37" t="s">
        <v>953</v>
      </c>
      <c r="C490" s="38" t="s">
        <v>15</v>
      </c>
      <c r="D490" s="19" t="s">
        <v>1568</v>
      </c>
      <c r="E490" s="175">
        <v>51217</v>
      </c>
      <c r="F490" s="174"/>
      <c r="G490" s="38" t="s">
        <v>16</v>
      </c>
      <c r="H490" s="38" t="s">
        <v>882</v>
      </c>
      <c r="I490" s="2">
        <f t="shared" si="16"/>
        <v>51217</v>
      </c>
      <c r="J490" s="49" t="str">
        <f t="shared" si="17"/>
        <v>13313</v>
      </c>
    </row>
    <row r="491" spans="1:10" ht="36.6" x14ac:dyDescent="0.3">
      <c r="A491" s="36">
        <v>46173</v>
      </c>
      <c r="B491" s="37" t="s">
        <v>953</v>
      </c>
      <c r="C491" s="38" t="s">
        <v>15</v>
      </c>
      <c r="D491" s="19" t="s">
        <v>1567</v>
      </c>
      <c r="E491" s="175">
        <v>1238589</v>
      </c>
      <c r="F491" s="174"/>
      <c r="G491" s="38" t="s">
        <v>16</v>
      </c>
      <c r="H491" s="38" t="s">
        <v>882</v>
      </c>
      <c r="I491" s="2">
        <f t="shared" si="16"/>
        <v>1238589</v>
      </c>
      <c r="J491" s="49" t="str">
        <f t="shared" si="17"/>
        <v>13313</v>
      </c>
    </row>
    <row r="492" spans="1:10" ht="36.6" x14ac:dyDescent="0.3">
      <c r="A492" s="36">
        <v>46173</v>
      </c>
      <c r="B492" s="37" t="s">
        <v>953</v>
      </c>
      <c r="C492" s="38" t="s">
        <v>15</v>
      </c>
      <c r="D492" s="19" t="s">
        <v>1570</v>
      </c>
      <c r="E492" s="175">
        <v>704963</v>
      </c>
      <c r="F492" s="174"/>
      <c r="G492" s="38" t="s">
        <v>16</v>
      </c>
      <c r="H492" s="38" t="s">
        <v>882</v>
      </c>
      <c r="I492" s="2">
        <f t="shared" si="16"/>
        <v>704963</v>
      </c>
      <c r="J492" s="49" t="str">
        <f t="shared" si="17"/>
        <v>13313</v>
      </c>
    </row>
    <row r="493" spans="1:10" ht="36.6" x14ac:dyDescent="0.3">
      <c r="A493" s="36">
        <v>46173</v>
      </c>
      <c r="B493" s="37" t="s">
        <v>953</v>
      </c>
      <c r="C493" s="38" t="s">
        <v>15</v>
      </c>
      <c r="D493" s="19" t="s">
        <v>1566</v>
      </c>
      <c r="E493" s="175">
        <v>1238589</v>
      </c>
      <c r="F493" s="174"/>
      <c r="G493" s="38" t="s">
        <v>16</v>
      </c>
      <c r="H493" s="38" t="s">
        <v>882</v>
      </c>
      <c r="I493" s="2">
        <f t="shared" si="16"/>
        <v>1238589</v>
      </c>
      <c r="J493" s="49" t="str">
        <f t="shared" si="17"/>
        <v>13313</v>
      </c>
    </row>
    <row r="494" spans="1:10" ht="36.6" x14ac:dyDescent="0.3">
      <c r="A494" s="36">
        <v>46173</v>
      </c>
      <c r="B494" s="37" t="s">
        <v>953</v>
      </c>
      <c r="C494" s="38" t="s">
        <v>15</v>
      </c>
      <c r="D494" s="19" t="s">
        <v>1571</v>
      </c>
      <c r="E494" s="175">
        <v>11130053</v>
      </c>
      <c r="F494" s="174"/>
      <c r="G494" s="38" t="s">
        <v>16</v>
      </c>
      <c r="H494" s="38" t="s">
        <v>882</v>
      </c>
      <c r="I494" s="2">
        <f t="shared" si="16"/>
        <v>11130053</v>
      </c>
      <c r="J494" s="49" t="str">
        <f t="shared" si="17"/>
        <v>13313</v>
      </c>
    </row>
    <row r="495" spans="1:10" ht="36.6" x14ac:dyDescent="0.3">
      <c r="A495" s="36">
        <v>46173</v>
      </c>
      <c r="B495" s="37" t="s">
        <v>953</v>
      </c>
      <c r="C495" s="38" t="s">
        <v>15</v>
      </c>
      <c r="D495" s="19" t="s">
        <v>1569</v>
      </c>
      <c r="E495" s="175">
        <v>11885477</v>
      </c>
      <c r="F495" s="174"/>
      <c r="G495" s="38" t="s">
        <v>16</v>
      </c>
      <c r="H495" s="38" t="s">
        <v>882</v>
      </c>
      <c r="I495" s="2">
        <f t="shared" si="16"/>
        <v>11885477</v>
      </c>
      <c r="J495" s="49" t="str">
        <f t="shared" si="17"/>
        <v>13313</v>
      </c>
    </row>
    <row r="496" spans="1:10" x14ac:dyDescent="0.3">
      <c r="A496" s="36">
        <v>46173</v>
      </c>
      <c r="B496" s="37" t="s">
        <v>953</v>
      </c>
      <c r="C496" s="38" t="s">
        <v>15</v>
      </c>
      <c r="D496" s="19" t="s">
        <v>954</v>
      </c>
      <c r="E496" s="174"/>
      <c r="F496" s="175">
        <v>26248888</v>
      </c>
      <c r="G496" s="38" t="s">
        <v>16</v>
      </c>
      <c r="H496" s="38" t="s">
        <v>882</v>
      </c>
      <c r="I496" s="2">
        <f t="shared" si="16"/>
        <v>0</v>
      </c>
      <c r="J496" s="49" t="str">
        <f t="shared" si="17"/>
        <v>13313</v>
      </c>
    </row>
    <row r="497" spans="1:10" x14ac:dyDescent="0.3">
      <c r="A497" s="36">
        <v>46173</v>
      </c>
      <c r="B497" s="37" t="s">
        <v>968</v>
      </c>
      <c r="C497" s="38" t="s">
        <v>15</v>
      </c>
      <c r="D497" s="19" t="s">
        <v>969</v>
      </c>
      <c r="E497" s="174"/>
      <c r="F497" s="175">
        <v>218813875</v>
      </c>
      <c r="G497" s="38" t="s">
        <v>299</v>
      </c>
      <c r="H497" s="38" t="s">
        <v>882</v>
      </c>
      <c r="I497" s="2">
        <f t="shared" si="16"/>
        <v>0</v>
      </c>
      <c r="J497" s="49" t="str">
        <f t="shared" si="17"/>
        <v>13313</v>
      </c>
    </row>
    <row r="498" spans="1:10" ht="24.6" x14ac:dyDescent="0.3">
      <c r="A498" s="36">
        <v>46173</v>
      </c>
      <c r="B498" s="37" t="s">
        <v>968</v>
      </c>
      <c r="C498" s="38" t="s">
        <v>15</v>
      </c>
      <c r="D498" s="19" t="s">
        <v>1573</v>
      </c>
      <c r="E498" s="175">
        <v>-2996294</v>
      </c>
      <c r="F498" s="174"/>
      <c r="G498" s="38" t="s">
        <v>299</v>
      </c>
      <c r="H498" s="38" t="s">
        <v>882</v>
      </c>
      <c r="I498" s="2">
        <f t="shared" si="16"/>
        <v>-2996294</v>
      </c>
      <c r="J498" s="49" t="str">
        <f t="shared" si="17"/>
        <v>13313</v>
      </c>
    </row>
    <row r="499" spans="1:10" x14ac:dyDescent="0.3">
      <c r="A499" s="36">
        <v>46173</v>
      </c>
      <c r="B499" s="37" t="s">
        <v>968</v>
      </c>
      <c r="C499" s="38" t="s">
        <v>15</v>
      </c>
      <c r="D499" s="19" t="s">
        <v>1576</v>
      </c>
      <c r="E499" s="175">
        <v>177673281</v>
      </c>
      <c r="F499" s="174"/>
      <c r="G499" s="38" t="s">
        <v>299</v>
      </c>
      <c r="H499" s="38" t="s">
        <v>882</v>
      </c>
      <c r="I499" s="2">
        <f t="shared" si="16"/>
        <v>177673281</v>
      </c>
      <c r="J499" s="49" t="str">
        <f t="shared" si="17"/>
        <v>13313</v>
      </c>
    </row>
    <row r="500" spans="1:10" ht="24.6" x14ac:dyDescent="0.3">
      <c r="A500" s="36">
        <v>46173</v>
      </c>
      <c r="B500" s="37" t="s">
        <v>968</v>
      </c>
      <c r="C500" s="38" t="s">
        <v>15</v>
      </c>
      <c r="D500" s="19" t="s">
        <v>1577</v>
      </c>
      <c r="E500" s="175">
        <v>3400000</v>
      </c>
      <c r="F500" s="174"/>
      <c r="G500" s="38" t="s">
        <v>299</v>
      </c>
      <c r="H500" s="38" t="s">
        <v>882</v>
      </c>
      <c r="I500" s="2">
        <f t="shared" si="16"/>
        <v>3400000</v>
      </c>
      <c r="J500" s="49" t="str">
        <f t="shared" si="17"/>
        <v>13313</v>
      </c>
    </row>
    <row r="501" spans="1:10" ht="24.6" x14ac:dyDescent="0.3">
      <c r="A501" s="36">
        <v>46173</v>
      </c>
      <c r="B501" s="37" t="s">
        <v>968</v>
      </c>
      <c r="C501" s="38" t="s">
        <v>15</v>
      </c>
      <c r="D501" s="19" t="s">
        <v>1578</v>
      </c>
      <c r="E501" s="175">
        <v>10296296</v>
      </c>
      <c r="F501" s="174"/>
      <c r="G501" s="38" t="s">
        <v>299</v>
      </c>
      <c r="H501" s="38" t="s">
        <v>882</v>
      </c>
      <c r="I501" s="2">
        <f t="shared" si="16"/>
        <v>10296296</v>
      </c>
      <c r="J501" s="49" t="str">
        <f t="shared" si="17"/>
        <v>13313</v>
      </c>
    </row>
    <row r="502" spans="1:10" ht="24.6" x14ac:dyDescent="0.3">
      <c r="A502" s="36">
        <v>46173</v>
      </c>
      <c r="B502" s="37" t="s">
        <v>968</v>
      </c>
      <c r="C502" s="38" t="s">
        <v>15</v>
      </c>
      <c r="D502" s="19" t="s">
        <v>1579</v>
      </c>
      <c r="E502" s="175">
        <v>9333333</v>
      </c>
      <c r="F502" s="174"/>
      <c r="G502" s="38" t="s">
        <v>299</v>
      </c>
      <c r="H502" s="38" t="s">
        <v>882</v>
      </c>
      <c r="I502" s="2">
        <f t="shared" si="16"/>
        <v>9333333</v>
      </c>
      <c r="J502" s="49" t="str">
        <f t="shared" si="17"/>
        <v>13313</v>
      </c>
    </row>
    <row r="503" spans="1:10" ht="24.6" x14ac:dyDescent="0.3">
      <c r="A503" s="36">
        <v>46173</v>
      </c>
      <c r="B503" s="37" t="s">
        <v>968</v>
      </c>
      <c r="C503" s="38" t="s">
        <v>15</v>
      </c>
      <c r="D503" s="19" t="s">
        <v>1580</v>
      </c>
      <c r="E503" s="175">
        <v>4451852</v>
      </c>
      <c r="F503" s="174"/>
      <c r="G503" s="38" t="s">
        <v>299</v>
      </c>
      <c r="H503" s="38" t="s">
        <v>882</v>
      </c>
      <c r="I503" s="2">
        <f t="shared" si="16"/>
        <v>4451852</v>
      </c>
      <c r="J503" s="49" t="str">
        <f t="shared" si="17"/>
        <v>13313</v>
      </c>
    </row>
    <row r="504" spans="1:10" ht="24.6" x14ac:dyDescent="0.3">
      <c r="A504" s="36">
        <v>46173</v>
      </c>
      <c r="B504" s="37" t="s">
        <v>968</v>
      </c>
      <c r="C504" s="38" t="s">
        <v>15</v>
      </c>
      <c r="D504" s="19" t="s">
        <v>1575</v>
      </c>
      <c r="E504" s="175">
        <v>5777778</v>
      </c>
      <c r="F504" s="174"/>
      <c r="G504" s="38" t="s">
        <v>299</v>
      </c>
      <c r="H504" s="38" t="s">
        <v>882</v>
      </c>
      <c r="I504" s="2">
        <f t="shared" si="16"/>
        <v>5777778</v>
      </c>
      <c r="J504" s="49" t="str">
        <f t="shared" si="17"/>
        <v>13313</v>
      </c>
    </row>
    <row r="505" spans="1:10" ht="24.6" x14ac:dyDescent="0.3">
      <c r="A505" s="36">
        <v>46173</v>
      </c>
      <c r="B505" s="37" t="s">
        <v>968</v>
      </c>
      <c r="C505" s="38" t="s">
        <v>15</v>
      </c>
      <c r="D505" s="19" t="s">
        <v>1572</v>
      </c>
      <c r="E505" s="175">
        <v>5486222</v>
      </c>
      <c r="F505" s="174"/>
      <c r="G505" s="38" t="s">
        <v>299</v>
      </c>
      <c r="H505" s="38" t="s">
        <v>882</v>
      </c>
      <c r="I505" s="2">
        <f t="shared" si="16"/>
        <v>5486222</v>
      </c>
      <c r="J505" s="49" t="str">
        <f t="shared" si="17"/>
        <v>13313</v>
      </c>
    </row>
    <row r="506" spans="1:10" ht="24.6" x14ac:dyDescent="0.3">
      <c r="A506" s="36">
        <v>46173</v>
      </c>
      <c r="B506" s="37" t="s">
        <v>968</v>
      </c>
      <c r="C506" s="38" t="s">
        <v>15</v>
      </c>
      <c r="D506" s="19" t="s">
        <v>1574</v>
      </c>
      <c r="E506" s="175">
        <v>5391407</v>
      </c>
      <c r="F506" s="174"/>
      <c r="G506" s="38" t="s">
        <v>299</v>
      </c>
      <c r="H506" s="38" t="s">
        <v>882</v>
      </c>
      <c r="I506" s="2">
        <f t="shared" si="16"/>
        <v>5391407</v>
      </c>
      <c r="J506" s="49" t="str">
        <f t="shared" si="17"/>
        <v>13313</v>
      </c>
    </row>
    <row r="507" spans="1:10" x14ac:dyDescent="0.3">
      <c r="A507" s="36">
        <v>46173</v>
      </c>
      <c r="B507" s="37" t="s">
        <v>955</v>
      </c>
      <c r="C507" s="38" t="s">
        <v>15</v>
      </c>
      <c r="D507" s="19" t="s">
        <v>1582</v>
      </c>
      <c r="E507" s="174"/>
      <c r="F507" s="175">
        <v>122327822</v>
      </c>
      <c r="G507" s="38" t="s">
        <v>299</v>
      </c>
      <c r="H507" s="38" t="s">
        <v>882</v>
      </c>
      <c r="I507" s="2">
        <f t="shared" si="16"/>
        <v>0</v>
      </c>
      <c r="J507" s="49" t="str">
        <f t="shared" si="17"/>
        <v>13313</v>
      </c>
    </row>
    <row r="508" spans="1:10" ht="24.6" x14ac:dyDescent="0.3">
      <c r="A508" s="36">
        <v>46173</v>
      </c>
      <c r="B508" s="37" t="s">
        <v>955</v>
      </c>
      <c r="C508" s="38" t="s">
        <v>15</v>
      </c>
      <c r="D508" s="19" t="s">
        <v>1581</v>
      </c>
      <c r="E508" s="175">
        <v>3325027</v>
      </c>
      <c r="F508" s="174"/>
      <c r="G508" s="38" t="s">
        <v>299</v>
      </c>
      <c r="H508" s="38" t="s">
        <v>882</v>
      </c>
      <c r="I508" s="2">
        <f t="shared" si="16"/>
        <v>3325027</v>
      </c>
      <c r="J508" s="49" t="str">
        <f t="shared" si="17"/>
        <v>13313</v>
      </c>
    </row>
    <row r="509" spans="1:10" ht="24.6" x14ac:dyDescent="0.3">
      <c r="A509" s="36">
        <v>46173</v>
      </c>
      <c r="B509" s="37" t="s">
        <v>955</v>
      </c>
      <c r="C509" s="38" t="s">
        <v>15</v>
      </c>
      <c r="D509" s="19" t="s">
        <v>1583</v>
      </c>
      <c r="E509" s="175">
        <v>119002795</v>
      </c>
      <c r="F509" s="174"/>
      <c r="G509" s="38" t="s">
        <v>299</v>
      </c>
      <c r="H509" s="38" t="s">
        <v>882</v>
      </c>
      <c r="I509" s="2">
        <f t="shared" ref="I509" si="18">IF(LEN(A509)=5,E509,0)</f>
        <v>119002795</v>
      </c>
      <c r="J509" s="49" t="str">
        <f t="shared" ref="J509" si="19">IF(LEFT(A509,11)="Tài khoản: ",MID(A509,12,5),J508)</f>
        <v>13313</v>
      </c>
    </row>
    <row r="510" spans="1:10" x14ac:dyDescent="0.3">
      <c r="A510" s="36">
        <v>46173</v>
      </c>
      <c r="B510" s="37" t="s">
        <v>1677</v>
      </c>
      <c r="C510" s="38" t="s">
        <v>15</v>
      </c>
      <c r="D510" s="19" t="s">
        <v>1678</v>
      </c>
      <c r="E510" s="174"/>
      <c r="F510" s="175">
        <v>1417502240</v>
      </c>
      <c r="G510" s="38" t="s">
        <v>366</v>
      </c>
      <c r="H510" s="38" t="s">
        <v>1679</v>
      </c>
    </row>
    <row r="511" spans="1:10" x14ac:dyDescent="0.3">
      <c r="A511" s="174"/>
      <c r="B511" s="174"/>
      <c r="C511" s="174"/>
      <c r="D511" s="172" t="s">
        <v>65</v>
      </c>
      <c r="E511" s="173">
        <v>1785491138</v>
      </c>
      <c r="F511" s="173">
        <v>1785491138</v>
      </c>
      <c r="G511" s="174"/>
      <c r="H511" s="174"/>
    </row>
    <row r="512" spans="1:10" x14ac:dyDescent="0.3">
      <c r="A512" s="174"/>
      <c r="B512" s="174"/>
      <c r="C512" s="174"/>
      <c r="D512" s="172" t="s">
        <v>64</v>
      </c>
      <c r="E512" s="174"/>
      <c r="F512" s="174"/>
      <c r="G512" s="174"/>
      <c r="H512" s="174"/>
    </row>
    <row r="513" spans="1:8" x14ac:dyDescent="0.3">
      <c r="A513" s="174"/>
      <c r="B513" s="174"/>
      <c r="C513" s="174"/>
      <c r="D513" s="172" t="s">
        <v>63</v>
      </c>
      <c r="E513" s="173">
        <v>79821540914</v>
      </c>
      <c r="F513" s="174"/>
      <c r="G513" s="174"/>
      <c r="H513" s="174"/>
    </row>
    <row r="514" spans="1:8" x14ac:dyDescent="0.3">
      <c r="A514" s="174"/>
      <c r="B514" s="174"/>
      <c r="C514" s="174"/>
      <c r="D514" s="172" t="s">
        <v>62</v>
      </c>
      <c r="E514" s="173">
        <v>107480736306</v>
      </c>
      <c r="F514" s="173">
        <v>108965015793</v>
      </c>
      <c r="G514" s="174"/>
      <c r="H514" s="174"/>
    </row>
    <row r="515" spans="1:8" x14ac:dyDescent="0.3">
      <c r="A515" s="174"/>
      <c r="B515" s="174"/>
      <c r="C515" s="174"/>
      <c r="D515" s="172" t="s">
        <v>61</v>
      </c>
      <c r="E515" s="173">
        <v>78337261427</v>
      </c>
      <c r="F515" s="174"/>
      <c r="G515" s="174"/>
      <c r="H515" s="174"/>
    </row>
    <row r="517" spans="1:8" x14ac:dyDescent="0.3">
      <c r="A517" s="364" t="s">
        <v>185</v>
      </c>
      <c r="B517" s="365"/>
      <c r="C517" s="365"/>
      <c r="D517" s="365"/>
      <c r="E517" s="365"/>
      <c r="F517" s="365"/>
      <c r="G517" s="365"/>
      <c r="H517" s="365"/>
    </row>
    <row r="518" spans="1:8" x14ac:dyDescent="0.3">
      <c r="A518" s="170"/>
    </row>
    <row r="520" spans="1:8" x14ac:dyDescent="0.3">
      <c r="A520" s="59" t="s">
        <v>1690</v>
      </c>
    </row>
    <row r="554" spans="11:11" x14ac:dyDescent="0.3">
      <c r="K554" s="58" t="s">
        <v>246</v>
      </c>
    </row>
    <row r="733" spans="1:12" s="43" customFormat="1" x14ac:dyDescent="0.3">
      <c r="A733"/>
      <c r="B733"/>
      <c r="C733"/>
      <c r="D733"/>
      <c r="E733"/>
      <c r="F733"/>
      <c r="G733"/>
      <c r="H733"/>
      <c r="I733" s="2"/>
      <c r="J733" s="49"/>
      <c r="L733" s="57"/>
    </row>
    <row r="879" spans="12:12" x14ac:dyDescent="0.3">
      <c r="L879" s="15">
        <f>F882-E882</f>
        <v>0</v>
      </c>
    </row>
    <row r="883" spans="11:12" x14ac:dyDescent="0.3">
      <c r="K883" s="217" t="s">
        <v>904</v>
      </c>
      <c r="L883" s="15">
        <v>60549888887</v>
      </c>
    </row>
    <row r="884" spans="11:12" x14ac:dyDescent="0.3">
      <c r="K884" s="217" t="s">
        <v>905</v>
      </c>
      <c r="L884" s="15">
        <f>E883-L883</f>
        <v>-60549888887</v>
      </c>
    </row>
    <row r="918" spans="11:11" x14ac:dyDescent="0.3">
      <c r="K918" s="58" t="s">
        <v>246</v>
      </c>
    </row>
    <row r="924" spans="11:11" ht="22.2" customHeight="1" x14ac:dyDescent="0.3"/>
    <row r="925" spans="11:11" ht="23.4" customHeight="1" x14ac:dyDescent="0.3"/>
  </sheetData>
  <mergeCells count="9">
    <mergeCell ref="A517:H517"/>
    <mergeCell ref="G9:G10"/>
    <mergeCell ref="H9:H10"/>
    <mergeCell ref="A11:C11"/>
    <mergeCell ref="A9:C9"/>
    <mergeCell ref="D9:D10"/>
    <mergeCell ref="E9:E10"/>
    <mergeCell ref="F9:F10"/>
    <mergeCell ref="A474:C474"/>
  </mergeCells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0C05-0449-4E97-820A-76DA01E21F38}">
  <dimension ref="A1:Q25"/>
  <sheetViews>
    <sheetView workbookViewId="0">
      <selection activeCell="O1" sqref="O1:O2"/>
    </sheetView>
  </sheetViews>
  <sheetFormatPr defaultColWidth="9" defaultRowHeight="15.6" x14ac:dyDescent="0.3"/>
  <cols>
    <col min="1" max="1" width="4.5" customWidth="1"/>
    <col min="2" max="2" width="14.796875" customWidth="1"/>
    <col min="3" max="3" width="8.59765625" customWidth="1"/>
    <col min="4" max="4" width="17.59765625" customWidth="1"/>
    <col min="5" max="5" width="13.59765625" customWidth="1"/>
    <col min="6" max="6" width="13.8984375" customWidth="1"/>
    <col min="7" max="7" width="8.09765625" customWidth="1"/>
    <col min="8" max="8" width="9.796875" customWidth="1"/>
    <col min="9" max="9" width="12.59765625" customWidth="1"/>
    <col min="10" max="10" width="9.296875" customWidth="1"/>
    <col min="11" max="11" width="12.59765625" customWidth="1"/>
    <col min="12" max="12" width="15.8984375" bestFit="1" customWidth="1"/>
    <col min="13" max="13" width="3.09765625" style="44" customWidth="1"/>
    <col min="14" max="14" width="14.5" bestFit="1" customWidth="1"/>
    <col min="15" max="15" width="12.296875" bestFit="1" customWidth="1"/>
    <col min="16" max="17" width="11.09765625" bestFit="1" customWidth="1"/>
  </cols>
  <sheetData>
    <row r="1" spans="1:17" x14ac:dyDescent="0.3">
      <c r="A1" s="413" t="s">
        <v>0</v>
      </c>
      <c r="B1" s="413"/>
      <c r="C1" s="413"/>
      <c r="D1" s="256"/>
      <c r="E1" s="418" t="s">
        <v>316</v>
      </c>
      <c r="F1" s="418"/>
      <c r="G1" s="418"/>
      <c r="H1" s="418"/>
      <c r="I1" s="418"/>
      <c r="J1" s="418"/>
      <c r="K1" s="256"/>
      <c r="N1" s="26" t="s">
        <v>129</v>
      </c>
      <c r="O1" s="25">
        <f>SUMIF($L:$L,$N1,$K:$K)</f>
        <v>158073900</v>
      </c>
      <c r="P1" s="1"/>
      <c r="Q1" s="39"/>
    </row>
    <row r="2" spans="1:17" x14ac:dyDescent="0.3">
      <c r="A2" s="418" t="s">
        <v>317</v>
      </c>
      <c r="B2" s="418"/>
      <c r="C2" s="418"/>
      <c r="D2" s="256"/>
      <c r="E2" s="418" t="s">
        <v>318</v>
      </c>
      <c r="F2" s="418"/>
      <c r="G2" s="418"/>
      <c r="H2" s="418"/>
      <c r="I2" s="418"/>
      <c r="J2" s="418"/>
      <c r="K2" s="256"/>
      <c r="N2" s="47" t="s">
        <v>130</v>
      </c>
      <c r="O2" s="25">
        <f>SUMIF($L$9:$L$15,N2,$K$9:$K$15)</f>
        <v>95871352</v>
      </c>
    </row>
    <row r="3" spans="1:17" x14ac:dyDescent="0.3">
      <c r="A3" s="418"/>
      <c r="B3" s="418"/>
      <c r="C3" s="418"/>
      <c r="D3" s="256"/>
      <c r="E3" s="256"/>
      <c r="F3" s="256"/>
      <c r="G3" s="256"/>
      <c r="H3" s="258"/>
      <c r="I3" s="258"/>
      <c r="J3" s="258"/>
      <c r="K3" s="256"/>
      <c r="N3" s="26"/>
      <c r="O3" s="46">
        <f>SUM(O1:O2)</f>
        <v>253945252</v>
      </c>
    </row>
    <row r="4" spans="1:17" x14ac:dyDescent="0.3">
      <c r="A4" s="256"/>
      <c r="B4" s="256"/>
      <c r="C4" s="256"/>
      <c r="D4" s="256"/>
      <c r="E4" s="419" t="s">
        <v>1584</v>
      </c>
      <c r="F4" s="419"/>
      <c r="G4" s="419"/>
      <c r="H4" s="419"/>
      <c r="I4" s="419"/>
      <c r="J4" s="419"/>
      <c r="K4" s="256"/>
      <c r="N4" t="s">
        <v>333</v>
      </c>
      <c r="O4" s="39">
        <f>K15</f>
        <v>253945252</v>
      </c>
    </row>
    <row r="5" spans="1:17" x14ac:dyDescent="0.3">
      <c r="A5" s="256"/>
      <c r="B5" s="256"/>
      <c r="C5" s="256"/>
      <c r="D5" s="256"/>
      <c r="E5" s="260"/>
      <c r="F5" s="260"/>
      <c r="G5" s="260"/>
      <c r="H5" s="260"/>
      <c r="I5" s="260"/>
      <c r="J5" s="260"/>
      <c r="K5" s="256"/>
      <c r="N5" t="s">
        <v>411</v>
      </c>
      <c r="O5" s="39"/>
    </row>
    <row r="6" spans="1:17" ht="15.6" customHeight="1" x14ac:dyDescent="0.3">
      <c r="A6" s="414" t="s">
        <v>319</v>
      </c>
      <c r="B6" s="414"/>
      <c r="C6" s="414"/>
      <c r="D6" s="414"/>
      <c r="E6" s="414"/>
      <c r="F6" s="414"/>
      <c r="G6" s="414"/>
      <c r="H6" s="414"/>
      <c r="I6" s="414"/>
      <c r="J6" s="414"/>
      <c r="K6" s="414"/>
    </row>
    <row r="7" spans="1:17" x14ac:dyDescent="0.3">
      <c r="A7" s="415"/>
      <c r="B7" s="415"/>
      <c r="C7" s="415"/>
      <c r="D7" s="415"/>
      <c r="E7" s="415"/>
      <c r="F7" s="415"/>
      <c r="G7" s="415"/>
      <c r="H7" s="415"/>
      <c r="I7" s="415"/>
      <c r="J7" s="415"/>
      <c r="K7" s="415"/>
    </row>
    <row r="8" spans="1:17" s="35" customFormat="1" ht="27.6" x14ac:dyDescent="0.3">
      <c r="A8" s="261" t="s">
        <v>43</v>
      </c>
      <c r="B8" s="261" t="s">
        <v>320</v>
      </c>
      <c r="C8" s="261" t="s">
        <v>321</v>
      </c>
      <c r="D8" s="261" t="s">
        <v>322</v>
      </c>
      <c r="E8" s="261" t="s">
        <v>323</v>
      </c>
      <c r="F8" s="261" t="s">
        <v>324</v>
      </c>
      <c r="G8" s="261" t="s">
        <v>325</v>
      </c>
      <c r="H8" s="262" t="s">
        <v>326</v>
      </c>
      <c r="I8" s="263" t="s">
        <v>327</v>
      </c>
      <c r="J8" s="263" t="s">
        <v>328</v>
      </c>
      <c r="K8" s="261" t="s">
        <v>329</v>
      </c>
      <c r="M8" s="45"/>
    </row>
    <row r="9" spans="1:17" s="35" customFormat="1" ht="12.75" customHeight="1" x14ac:dyDescent="0.3">
      <c r="A9" s="416">
        <v>1</v>
      </c>
      <c r="B9" s="416" t="s">
        <v>330</v>
      </c>
      <c r="C9" s="416" t="s">
        <v>331</v>
      </c>
      <c r="D9" s="417" t="s">
        <v>332</v>
      </c>
      <c r="E9" s="264" t="s">
        <v>1585</v>
      </c>
      <c r="F9" s="265">
        <v>46153</v>
      </c>
      <c r="G9" s="266" t="s">
        <v>333</v>
      </c>
      <c r="H9" s="267">
        <v>10600</v>
      </c>
      <c r="I9" s="267">
        <v>20382100</v>
      </c>
      <c r="J9" s="268">
        <v>0</v>
      </c>
      <c r="K9" s="269">
        <f t="shared" ref="K9:K14" si="0">I9</f>
        <v>20382100</v>
      </c>
      <c r="L9" s="7" t="s">
        <v>129</v>
      </c>
      <c r="M9" s="45"/>
    </row>
    <row r="10" spans="1:17" s="35" customFormat="1" x14ac:dyDescent="0.3">
      <c r="A10" s="416"/>
      <c r="B10" s="416"/>
      <c r="C10" s="416"/>
      <c r="D10" s="417"/>
      <c r="E10" s="264" t="s">
        <v>1586</v>
      </c>
      <c r="F10" s="264" t="s">
        <v>1587</v>
      </c>
      <c r="G10" s="266" t="s">
        <v>333</v>
      </c>
      <c r="H10" s="270">
        <v>11900</v>
      </c>
      <c r="I10" s="270">
        <v>23483200</v>
      </c>
      <c r="J10" s="268">
        <v>0</v>
      </c>
      <c r="K10" s="269">
        <f t="shared" si="0"/>
        <v>23483200</v>
      </c>
      <c r="L10" s="7" t="s">
        <v>129</v>
      </c>
      <c r="M10" s="45"/>
    </row>
    <row r="11" spans="1:17" s="35" customFormat="1" x14ac:dyDescent="0.3">
      <c r="A11" s="416"/>
      <c r="B11" s="416"/>
      <c r="C11" s="416"/>
      <c r="D11" s="417"/>
      <c r="E11" s="264" t="s">
        <v>1588</v>
      </c>
      <c r="F11" s="265">
        <v>46175</v>
      </c>
      <c r="G11" s="266" t="s">
        <v>333</v>
      </c>
      <c r="H11" s="270">
        <v>16219</v>
      </c>
      <c r="I11" s="270">
        <v>32234988</v>
      </c>
      <c r="J11" s="268">
        <v>0</v>
      </c>
      <c r="K11" s="269">
        <f t="shared" si="0"/>
        <v>32234988</v>
      </c>
      <c r="L11" s="48" t="s">
        <v>130</v>
      </c>
      <c r="M11" s="45"/>
    </row>
    <row r="12" spans="1:17" s="35" customFormat="1" ht="15.6" customHeight="1" x14ac:dyDescent="0.3">
      <c r="A12" s="416">
        <v>2</v>
      </c>
      <c r="B12" s="416" t="s">
        <v>334</v>
      </c>
      <c r="C12" s="416" t="s">
        <v>335</v>
      </c>
      <c r="D12" s="417" t="s">
        <v>332</v>
      </c>
      <c r="E12" s="264" t="s">
        <v>1585</v>
      </c>
      <c r="F12" s="265">
        <v>46153</v>
      </c>
      <c r="G12" s="266" t="s">
        <v>333</v>
      </c>
      <c r="H12" s="267">
        <v>27100</v>
      </c>
      <c r="I12" s="267">
        <v>53062600</v>
      </c>
      <c r="J12" s="268">
        <v>0</v>
      </c>
      <c r="K12" s="269">
        <f t="shared" si="0"/>
        <v>53062600</v>
      </c>
      <c r="L12" s="7" t="s">
        <v>129</v>
      </c>
      <c r="M12" s="45"/>
    </row>
    <row r="13" spans="1:17" s="35" customFormat="1" x14ac:dyDescent="0.3">
      <c r="A13" s="416"/>
      <c r="B13" s="416"/>
      <c r="C13" s="416"/>
      <c r="D13" s="417"/>
      <c r="E13" s="264" t="s">
        <v>1586</v>
      </c>
      <c r="F13" s="264" t="s">
        <v>1587</v>
      </c>
      <c r="G13" s="266" t="s">
        <v>333</v>
      </c>
      <c r="H13" s="270">
        <v>30400</v>
      </c>
      <c r="I13" s="270">
        <v>61146000</v>
      </c>
      <c r="J13" s="268">
        <v>0</v>
      </c>
      <c r="K13" s="269">
        <f t="shared" si="0"/>
        <v>61146000</v>
      </c>
      <c r="L13" s="7" t="s">
        <v>129</v>
      </c>
      <c r="M13" s="45"/>
    </row>
    <row r="14" spans="1:17" s="45" customFormat="1" x14ac:dyDescent="0.3">
      <c r="A14" s="416"/>
      <c r="B14" s="416"/>
      <c r="C14" s="416"/>
      <c r="D14" s="417"/>
      <c r="E14" s="264" t="s">
        <v>1588</v>
      </c>
      <c r="F14" s="265">
        <v>46175</v>
      </c>
      <c r="G14" s="266" t="s">
        <v>333</v>
      </c>
      <c r="H14" s="267">
        <v>32355</v>
      </c>
      <c r="I14" s="270">
        <v>63636364</v>
      </c>
      <c r="J14" s="268">
        <v>0</v>
      </c>
      <c r="K14" s="269">
        <f t="shared" si="0"/>
        <v>63636364</v>
      </c>
      <c r="L14" s="48" t="s">
        <v>130</v>
      </c>
    </row>
    <row r="15" spans="1:17" x14ac:dyDescent="0.3">
      <c r="A15" s="420" t="s">
        <v>336</v>
      </c>
      <c r="B15" s="420"/>
      <c r="C15" s="420"/>
      <c r="D15" s="420"/>
      <c r="E15" s="420"/>
      <c r="F15" s="271"/>
      <c r="G15" s="271"/>
      <c r="H15" s="272">
        <f>SUM(H9:H14)</f>
        <v>128574</v>
      </c>
      <c r="I15" s="272">
        <f>SUM(I9:I14)</f>
        <v>253945252</v>
      </c>
      <c r="J15" s="272"/>
      <c r="K15" s="272">
        <f>SUM(K9:K14)</f>
        <v>253945252</v>
      </c>
      <c r="L15" s="48"/>
    </row>
    <row r="16" spans="1:17" x14ac:dyDescent="0.3">
      <c r="A16" s="421" t="e" cm="1">
        <f t="array" aca="1" ref="A16" ca="1">[2]!vnd(K15)</f>
        <v>#NAME?</v>
      </c>
      <c r="B16" s="421"/>
      <c r="C16" s="421"/>
      <c r="D16" s="421"/>
      <c r="E16" s="421"/>
      <c r="F16" s="421"/>
      <c r="G16" s="421"/>
      <c r="H16" s="421"/>
      <c r="I16" s="421"/>
      <c r="J16" s="421"/>
      <c r="K16" s="419"/>
    </row>
    <row r="17" spans="1:11" x14ac:dyDescent="0.3">
      <c r="A17" s="259"/>
      <c r="B17" s="259"/>
      <c r="C17" s="259"/>
      <c r="D17" s="259"/>
      <c r="E17" s="259"/>
      <c r="F17" s="259"/>
      <c r="G17" s="259"/>
      <c r="H17" s="259"/>
      <c r="I17" s="259"/>
      <c r="J17" s="259"/>
      <c r="K17" s="259"/>
    </row>
    <row r="18" spans="1:11" x14ac:dyDescent="0.3">
      <c r="A18" s="418" t="s">
        <v>337</v>
      </c>
      <c r="B18" s="418"/>
      <c r="C18" s="273"/>
      <c r="E18" s="418" t="s">
        <v>317</v>
      </c>
      <c r="F18" s="418"/>
      <c r="G18" s="257"/>
      <c r="I18" s="418" t="s">
        <v>338</v>
      </c>
      <c r="J18" s="418"/>
      <c r="K18" s="418"/>
    </row>
    <row r="19" spans="1:11" x14ac:dyDescent="0.3">
      <c r="A19" s="273"/>
      <c r="B19" s="273"/>
      <c r="C19" s="273"/>
      <c r="D19" s="273"/>
      <c r="E19" s="273"/>
      <c r="F19" s="273"/>
      <c r="G19" s="273"/>
      <c r="I19" s="418" t="s">
        <v>339</v>
      </c>
      <c r="J19" s="418"/>
      <c r="K19" s="418"/>
    </row>
    <row r="20" spans="1:11" x14ac:dyDescent="0.3">
      <c r="A20" s="273"/>
      <c r="B20" s="273"/>
      <c r="C20" s="273"/>
      <c r="D20" s="273"/>
      <c r="E20" s="273"/>
      <c r="F20" s="273"/>
      <c r="G20" s="273"/>
      <c r="H20" s="257"/>
      <c r="I20" s="257"/>
      <c r="J20" s="257"/>
      <c r="K20" s="257"/>
    </row>
    <row r="21" spans="1:11" x14ac:dyDescent="0.3">
      <c r="A21" s="273"/>
      <c r="B21" s="273"/>
      <c r="C21" s="273"/>
      <c r="D21" s="273"/>
      <c r="E21" s="273"/>
      <c r="F21" s="273"/>
      <c r="G21" s="273"/>
      <c r="H21" s="257"/>
      <c r="I21" s="257"/>
      <c r="J21" s="257"/>
      <c r="K21" s="257"/>
    </row>
    <row r="22" spans="1:11" x14ac:dyDescent="0.3">
      <c r="A22" s="273"/>
      <c r="B22" s="273"/>
      <c r="C22" s="273"/>
      <c r="D22" s="273"/>
      <c r="E22" s="273"/>
      <c r="F22" s="273"/>
      <c r="G22" s="273"/>
      <c r="H22" s="274"/>
      <c r="I22" s="274"/>
      <c r="J22" s="274"/>
      <c r="K22" s="273"/>
    </row>
    <row r="23" spans="1:11" x14ac:dyDescent="0.3">
      <c r="A23" s="275"/>
      <c r="B23" s="275"/>
      <c r="C23" s="275"/>
      <c r="D23" s="275"/>
      <c r="E23" s="275"/>
      <c r="F23" s="275"/>
      <c r="G23" s="275"/>
      <c r="H23" s="276"/>
      <c r="I23" s="276"/>
      <c r="J23" s="276"/>
      <c r="K23" s="273"/>
    </row>
    <row r="24" spans="1:11" x14ac:dyDescent="0.3">
      <c r="A24" s="273"/>
      <c r="B24" s="273"/>
      <c r="C24" s="273"/>
      <c r="D24" s="273"/>
      <c r="E24" s="273"/>
      <c r="F24" s="273"/>
      <c r="G24" s="273"/>
      <c r="H24" s="274"/>
      <c r="I24" s="274"/>
      <c r="J24" s="274"/>
      <c r="K24" s="273"/>
    </row>
    <row r="25" spans="1:11" x14ac:dyDescent="0.3">
      <c r="A25" s="418" t="s">
        <v>340</v>
      </c>
      <c r="B25" s="418"/>
      <c r="C25" s="273"/>
      <c r="E25" s="418" t="s">
        <v>1589</v>
      </c>
      <c r="F25" s="418"/>
      <c r="G25" s="257"/>
      <c r="I25" s="418" t="s">
        <v>412</v>
      </c>
      <c r="J25" s="418"/>
      <c r="K25" s="418"/>
    </row>
  </sheetData>
  <mergeCells count="24">
    <mergeCell ref="A25:B25"/>
    <mergeCell ref="E25:F25"/>
    <mergeCell ref="I25:K25"/>
    <mergeCell ref="D12:D14"/>
    <mergeCell ref="A15:E15"/>
    <mergeCell ref="A16:K16"/>
    <mergeCell ref="A18:B18"/>
    <mergeCell ref="E18:F18"/>
    <mergeCell ref="I18:K18"/>
    <mergeCell ref="I19:K19"/>
    <mergeCell ref="A12:A14"/>
    <mergeCell ref="B12:B14"/>
    <mergeCell ref="C12:C14"/>
    <mergeCell ref="A1:C1"/>
    <mergeCell ref="A6:K7"/>
    <mergeCell ref="A9:A11"/>
    <mergeCell ref="B9:B11"/>
    <mergeCell ref="C9:C11"/>
    <mergeCell ref="D9:D11"/>
    <mergeCell ref="E1:J1"/>
    <mergeCell ref="A2:C2"/>
    <mergeCell ref="E2:J2"/>
    <mergeCell ref="A3:C3"/>
    <mergeCell ref="E4:J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E37B-40B4-4EA8-B088-8E2CED742E49}">
  <dimension ref="A1:H480"/>
  <sheetViews>
    <sheetView topLeftCell="A455" workbookViewId="0">
      <selection activeCell="E471" sqref="E471"/>
    </sheetView>
  </sheetViews>
  <sheetFormatPr defaultRowHeight="15.6" x14ac:dyDescent="0.3"/>
  <cols>
    <col min="1" max="1" width="35.19921875" bestFit="1" customWidth="1"/>
    <col min="2" max="2" width="10.69921875" bestFit="1" customWidth="1"/>
    <col min="3" max="3" width="11.19921875" bestFit="1" customWidth="1"/>
    <col min="4" max="4" width="35.19921875" bestFit="1" customWidth="1"/>
    <col min="5" max="5" width="14.5" bestFit="1" customWidth="1"/>
    <col min="6" max="6" width="11.69921875" bestFit="1" customWidth="1"/>
    <col min="7" max="7" width="16.09765625" bestFit="1" customWidth="1"/>
    <col min="8" max="8" width="8.3984375" bestFit="1" customWidth="1"/>
  </cols>
  <sheetData>
    <row r="1" spans="1:8" ht="27" x14ac:dyDescent="0.3">
      <c r="A1" s="167" t="s">
        <v>75</v>
      </c>
    </row>
    <row r="2" spans="1:8" ht="40.200000000000003" x14ac:dyDescent="0.3">
      <c r="A2" s="167" t="s">
        <v>74</v>
      </c>
    </row>
    <row r="3" spans="1:8" ht="34.799999999999997" x14ac:dyDescent="0.3">
      <c r="A3" s="168" t="s">
        <v>73</v>
      </c>
    </row>
    <row r="4" spans="1:8" ht="40.200000000000003" x14ac:dyDescent="0.3">
      <c r="A4" s="169" t="s">
        <v>1681</v>
      </c>
    </row>
    <row r="5" spans="1:8" x14ac:dyDescent="0.3">
      <c r="A5" s="169" t="s">
        <v>72</v>
      </c>
    </row>
    <row r="6" spans="1:8" x14ac:dyDescent="0.3">
      <c r="A6" s="169" t="s">
        <v>941</v>
      </c>
    </row>
    <row r="7" spans="1:8" x14ac:dyDescent="0.3">
      <c r="A7" s="170"/>
    </row>
    <row r="9" spans="1:8" x14ac:dyDescent="0.3">
      <c r="A9" s="371" t="s">
        <v>71</v>
      </c>
      <c r="B9" s="372"/>
      <c r="C9" s="373"/>
      <c r="D9" s="366" t="s">
        <v>70</v>
      </c>
      <c r="E9" s="366" t="s">
        <v>358</v>
      </c>
      <c r="F9" s="366" t="s">
        <v>359</v>
      </c>
      <c r="G9" s="366" t="s">
        <v>69</v>
      </c>
      <c r="H9" s="366" t="s">
        <v>27</v>
      </c>
    </row>
    <row r="10" spans="1:8" x14ac:dyDescent="0.3">
      <c r="A10" s="171" t="s">
        <v>68</v>
      </c>
      <c r="B10" s="171" t="s">
        <v>33</v>
      </c>
      <c r="C10" s="171" t="s">
        <v>34</v>
      </c>
      <c r="D10" s="367"/>
      <c r="E10" s="367"/>
      <c r="F10" s="367"/>
      <c r="G10" s="367"/>
      <c r="H10" s="367"/>
    </row>
    <row r="11" spans="1:8" x14ac:dyDescent="0.3">
      <c r="A11" s="368" t="s">
        <v>67</v>
      </c>
      <c r="B11" s="369"/>
      <c r="C11" s="370"/>
      <c r="D11" s="172" t="s">
        <v>66</v>
      </c>
      <c r="E11" s="173">
        <v>79821540914</v>
      </c>
      <c r="F11" s="174"/>
      <c r="G11" s="174"/>
      <c r="H11" s="174"/>
    </row>
    <row r="12" spans="1:8" ht="24.6" x14ac:dyDescent="0.3">
      <c r="A12" s="36">
        <v>46149</v>
      </c>
      <c r="B12" s="37" t="s">
        <v>1453</v>
      </c>
      <c r="C12" s="38" t="s">
        <v>11</v>
      </c>
      <c r="D12" s="19" t="s">
        <v>1454</v>
      </c>
      <c r="E12" s="175">
        <v>70000</v>
      </c>
      <c r="F12" s="174"/>
      <c r="G12" s="38" t="s">
        <v>99</v>
      </c>
      <c r="H12" s="38" t="s">
        <v>1592</v>
      </c>
    </row>
    <row r="13" spans="1:8" ht="24.6" x14ac:dyDescent="0.3">
      <c r="A13" s="36">
        <v>46150</v>
      </c>
      <c r="B13" s="37" t="s">
        <v>1455</v>
      </c>
      <c r="C13" s="38" t="s">
        <v>11</v>
      </c>
      <c r="D13" s="19" t="s">
        <v>1456</v>
      </c>
      <c r="E13" s="175">
        <v>10240000</v>
      </c>
      <c r="F13" s="174"/>
      <c r="G13" s="38" t="s">
        <v>179</v>
      </c>
      <c r="H13" s="38" t="s">
        <v>1592</v>
      </c>
    </row>
    <row r="14" spans="1:8" ht="24.6" x14ac:dyDescent="0.3">
      <c r="A14" s="36">
        <v>46150</v>
      </c>
      <c r="B14" s="37" t="s">
        <v>1457</v>
      </c>
      <c r="C14" s="38" t="s">
        <v>11</v>
      </c>
      <c r="D14" s="19" t="s">
        <v>1458</v>
      </c>
      <c r="E14" s="175">
        <v>10000</v>
      </c>
      <c r="F14" s="174"/>
      <c r="G14" s="38" t="s">
        <v>99</v>
      </c>
      <c r="H14" s="38" t="s">
        <v>1592</v>
      </c>
    </row>
    <row r="15" spans="1:8" ht="36.6" x14ac:dyDescent="0.3">
      <c r="A15" s="36">
        <v>46156</v>
      </c>
      <c r="B15" s="37" t="s">
        <v>1459</v>
      </c>
      <c r="C15" s="38" t="s">
        <v>11</v>
      </c>
      <c r="D15" s="19" t="s">
        <v>1460</v>
      </c>
      <c r="E15" s="175">
        <v>2000</v>
      </c>
      <c r="F15" s="174"/>
      <c r="G15" s="38" t="s">
        <v>99</v>
      </c>
      <c r="H15" s="38" t="s">
        <v>1592</v>
      </c>
    </row>
    <row r="16" spans="1:8" ht="24.6" x14ac:dyDescent="0.3">
      <c r="A16" s="36">
        <v>46157</v>
      </c>
      <c r="B16" s="37" t="s">
        <v>1461</v>
      </c>
      <c r="C16" s="38" t="s">
        <v>11</v>
      </c>
      <c r="D16" s="19" t="s">
        <v>1462</v>
      </c>
      <c r="E16" s="175">
        <v>548149</v>
      </c>
      <c r="F16" s="174"/>
      <c r="G16" s="38" t="s">
        <v>259</v>
      </c>
      <c r="H16" s="38" t="s">
        <v>1592</v>
      </c>
    </row>
    <row r="17" spans="1:8" ht="24.6" x14ac:dyDescent="0.3">
      <c r="A17" s="36">
        <v>46157</v>
      </c>
      <c r="B17" s="37" t="s">
        <v>1463</v>
      </c>
      <c r="C17" s="38" t="s">
        <v>11</v>
      </c>
      <c r="D17" s="19" t="s">
        <v>1464</v>
      </c>
      <c r="E17" s="175">
        <v>70000</v>
      </c>
      <c r="F17" s="174"/>
      <c r="G17" s="38" t="s">
        <v>99</v>
      </c>
      <c r="H17" s="38" t="s">
        <v>1592</v>
      </c>
    </row>
    <row r="18" spans="1:8" x14ac:dyDescent="0.3">
      <c r="A18" s="36">
        <v>46165</v>
      </c>
      <c r="B18" s="37" t="s">
        <v>1465</v>
      </c>
      <c r="C18" s="38" t="s">
        <v>11</v>
      </c>
      <c r="D18" s="19" t="s">
        <v>1466</v>
      </c>
      <c r="E18" s="175">
        <v>1500</v>
      </c>
      <c r="F18" s="174"/>
      <c r="G18" s="38" t="s">
        <v>259</v>
      </c>
      <c r="H18" s="38" t="s">
        <v>1592</v>
      </c>
    </row>
    <row r="19" spans="1:8" ht="24.6" x14ac:dyDescent="0.3">
      <c r="A19" s="36">
        <v>46165</v>
      </c>
      <c r="B19" s="37" t="s">
        <v>1467</v>
      </c>
      <c r="C19" s="38" t="s">
        <v>11</v>
      </c>
      <c r="D19" s="19" t="s">
        <v>1468</v>
      </c>
      <c r="E19" s="175">
        <v>1500</v>
      </c>
      <c r="F19" s="174"/>
      <c r="G19" s="38" t="s">
        <v>99</v>
      </c>
      <c r="H19" s="38" t="s">
        <v>1592</v>
      </c>
    </row>
    <row r="20" spans="1:8" ht="24.6" x14ac:dyDescent="0.3">
      <c r="A20" s="36">
        <v>46168</v>
      </c>
      <c r="B20" s="37" t="s">
        <v>1469</v>
      </c>
      <c r="C20" s="38" t="s">
        <v>11</v>
      </c>
      <c r="D20" s="19" t="s">
        <v>1470</v>
      </c>
      <c r="E20" s="175">
        <v>70000</v>
      </c>
      <c r="F20" s="174"/>
      <c r="G20" s="38" t="s">
        <v>99</v>
      </c>
      <c r="H20" s="38" t="s">
        <v>1592</v>
      </c>
    </row>
    <row r="21" spans="1:8" ht="24.6" x14ac:dyDescent="0.3">
      <c r="A21" s="36">
        <v>46169</v>
      </c>
      <c r="B21" s="37" t="s">
        <v>1471</v>
      </c>
      <c r="C21" s="38" t="s">
        <v>11</v>
      </c>
      <c r="D21" s="19" t="s">
        <v>1472</v>
      </c>
      <c r="E21" s="175">
        <v>351102</v>
      </c>
      <c r="F21" s="174"/>
      <c r="G21" s="38" t="s">
        <v>259</v>
      </c>
      <c r="H21" s="38" t="s">
        <v>1592</v>
      </c>
    </row>
    <row r="22" spans="1:8" ht="24.6" x14ac:dyDescent="0.3">
      <c r="A22" s="36">
        <v>46169</v>
      </c>
      <c r="B22" s="37" t="s">
        <v>1473</v>
      </c>
      <c r="C22" s="38" t="s">
        <v>11</v>
      </c>
      <c r="D22" s="19" t="s">
        <v>1474</v>
      </c>
      <c r="E22" s="175">
        <v>85185</v>
      </c>
      <c r="F22" s="174"/>
      <c r="G22" s="38" t="s">
        <v>259</v>
      </c>
      <c r="H22" s="38" t="s">
        <v>1592</v>
      </c>
    </row>
    <row r="23" spans="1:8" ht="36.6" x14ac:dyDescent="0.3">
      <c r="A23" s="36">
        <v>46169</v>
      </c>
      <c r="B23" s="37" t="s">
        <v>1475</v>
      </c>
      <c r="C23" s="38" t="s">
        <v>11</v>
      </c>
      <c r="D23" s="19" t="s">
        <v>1476</v>
      </c>
      <c r="E23" s="175">
        <v>248000</v>
      </c>
      <c r="F23" s="174"/>
      <c r="G23" s="38" t="s">
        <v>259</v>
      </c>
      <c r="H23" s="38" t="s">
        <v>1592</v>
      </c>
    </row>
    <row r="24" spans="1:8" ht="36.6" x14ac:dyDescent="0.3">
      <c r="A24" s="36">
        <v>46169</v>
      </c>
      <c r="B24" s="37" t="s">
        <v>1477</v>
      </c>
      <c r="C24" s="38" t="s">
        <v>11</v>
      </c>
      <c r="D24" s="19" t="s">
        <v>1478</v>
      </c>
      <c r="E24" s="175">
        <v>215407</v>
      </c>
      <c r="F24" s="174"/>
      <c r="G24" s="38" t="s">
        <v>259</v>
      </c>
      <c r="H24" s="38" t="s">
        <v>1592</v>
      </c>
    </row>
    <row r="25" spans="1:8" ht="36.6" x14ac:dyDescent="0.3">
      <c r="A25" s="36">
        <v>46169</v>
      </c>
      <c r="B25" s="37" t="s">
        <v>1479</v>
      </c>
      <c r="C25" s="38" t="s">
        <v>11</v>
      </c>
      <c r="D25" s="19" t="s">
        <v>1480</v>
      </c>
      <c r="E25" s="175">
        <v>208000</v>
      </c>
      <c r="F25" s="174"/>
      <c r="G25" s="38" t="s">
        <v>259</v>
      </c>
      <c r="H25" s="38" t="s">
        <v>1592</v>
      </c>
    </row>
    <row r="26" spans="1:8" ht="24.6" x14ac:dyDescent="0.3">
      <c r="A26" s="36">
        <v>46169</v>
      </c>
      <c r="B26" s="37" t="s">
        <v>1481</v>
      </c>
      <c r="C26" s="38" t="s">
        <v>11</v>
      </c>
      <c r="D26" s="19" t="s">
        <v>1482</v>
      </c>
      <c r="E26" s="175">
        <v>5000</v>
      </c>
      <c r="F26" s="174"/>
      <c r="G26" s="38" t="s">
        <v>179</v>
      </c>
      <c r="H26" s="38" t="s">
        <v>1592</v>
      </c>
    </row>
    <row r="27" spans="1:8" ht="24.6" x14ac:dyDescent="0.3">
      <c r="A27" s="36">
        <v>46169</v>
      </c>
      <c r="B27" s="37" t="s">
        <v>1483</v>
      </c>
      <c r="C27" s="38" t="s">
        <v>11</v>
      </c>
      <c r="D27" s="19" t="s">
        <v>1484</v>
      </c>
      <c r="E27" s="175">
        <v>5000</v>
      </c>
      <c r="F27" s="174"/>
      <c r="G27" s="38" t="s">
        <v>196</v>
      </c>
      <c r="H27" s="38" t="s">
        <v>1592</v>
      </c>
    </row>
    <row r="28" spans="1:8" x14ac:dyDescent="0.3">
      <c r="A28" s="36">
        <v>46169</v>
      </c>
      <c r="B28" s="37" t="s">
        <v>1485</v>
      </c>
      <c r="C28" s="38" t="s">
        <v>11</v>
      </c>
      <c r="D28" s="19" t="s">
        <v>1486</v>
      </c>
      <c r="E28" s="175">
        <v>5000</v>
      </c>
      <c r="F28" s="174"/>
      <c r="G28" s="38" t="s">
        <v>290</v>
      </c>
      <c r="H28" s="38" t="s">
        <v>1592</v>
      </c>
    </row>
    <row r="29" spans="1:8" ht="24.6" x14ac:dyDescent="0.3">
      <c r="A29" s="36">
        <v>46169</v>
      </c>
      <c r="B29" s="37" t="s">
        <v>1487</v>
      </c>
      <c r="C29" s="38" t="s">
        <v>11</v>
      </c>
      <c r="D29" s="19" t="s">
        <v>1488</v>
      </c>
      <c r="E29" s="175">
        <v>20000</v>
      </c>
      <c r="F29" s="174"/>
      <c r="G29" s="38" t="s">
        <v>196</v>
      </c>
      <c r="H29" s="38" t="s">
        <v>1592</v>
      </c>
    </row>
    <row r="30" spans="1:8" ht="24.6" x14ac:dyDescent="0.3">
      <c r="A30" s="36">
        <v>46171</v>
      </c>
      <c r="B30" s="37" t="s">
        <v>1489</v>
      </c>
      <c r="C30" s="38" t="s">
        <v>11</v>
      </c>
      <c r="D30" s="19" t="s">
        <v>1490</v>
      </c>
      <c r="E30" s="175">
        <v>19200</v>
      </c>
      <c r="F30" s="174"/>
      <c r="G30" s="38" t="s">
        <v>99</v>
      </c>
      <c r="H30" s="38" t="s">
        <v>1592</v>
      </c>
    </row>
    <row r="31" spans="1:8" ht="24.6" x14ac:dyDescent="0.3">
      <c r="A31" s="36">
        <v>46173</v>
      </c>
      <c r="B31" s="37" t="s">
        <v>1491</v>
      </c>
      <c r="C31" s="38" t="s">
        <v>15</v>
      </c>
      <c r="D31" s="19" t="s">
        <v>1492</v>
      </c>
      <c r="E31" s="175">
        <v>13464000</v>
      </c>
      <c r="F31" s="174"/>
      <c r="G31" s="38" t="s">
        <v>195</v>
      </c>
      <c r="H31" s="38" t="s">
        <v>882</v>
      </c>
    </row>
    <row r="32" spans="1:8" ht="24.6" x14ac:dyDescent="0.3">
      <c r="A32" s="36">
        <v>46173</v>
      </c>
      <c r="B32" s="37" t="s">
        <v>1491</v>
      </c>
      <c r="C32" s="38" t="s">
        <v>15</v>
      </c>
      <c r="D32" s="19" t="s">
        <v>1493</v>
      </c>
      <c r="E32" s="175">
        <v>53664000</v>
      </c>
      <c r="F32" s="174"/>
      <c r="G32" s="38" t="s">
        <v>195</v>
      </c>
      <c r="H32" s="38" t="s">
        <v>882</v>
      </c>
    </row>
    <row r="33" spans="1:8" ht="24.6" x14ac:dyDescent="0.3">
      <c r="A33" s="36">
        <v>46173</v>
      </c>
      <c r="B33" s="37" t="s">
        <v>1491</v>
      </c>
      <c r="C33" s="38" t="s">
        <v>15</v>
      </c>
      <c r="D33" s="19" t="s">
        <v>1494</v>
      </c>
      <c r="E33" s="175">
        <v>26588976</v>
      </c>
      <c r="F33" s="174"/>
      <c r="G33" s="38" t="s">
        <v>195</v>
      </c>
      <c r="H33" s="38" t="s">
        <v>882</v>
      </c>
    </row>
    <row r="34" spans="1:8" ht="24.6" x14ac:dyDescent="0.3">
      <c r="A34" s="36">
        <v>46173</v>
      </c>
      <c r="B34" s="37" t="s">
        <v>1491</v>
      </c>
      <c r="C34" s="38" t="s">
        <v>15</v>
      </c>
      <c r="D34" s="19" t="s">
        <v>1495</v>
      </c>
      <c r="E34" s="175">
        <v>18072915</v>
      </c>
      <c r="F34" s="174"/>
      <c r="G34" s="38" t="s">
        <v>195</v>
      </c>
      <c r="H34" s="38" t="s">
        <v>882</v>
      </c>
    </row>
    <row r="35" spans="1:8" x14ac:dyDescent="0.3">
      <c r="A35" s="36">
        <v>46173</v>
      </c>
      <c r="B35" s="37" t="s">
        <v>1496</v>
      </c>
      <c r="C35" s="38" t="s">
        <v>15</v>
      </c>
      <c r="D35" s="19" t="s">
        <v>1497</v>
      </c>
      <c r="E35" s="175">
        <v>38933</v>
      </c>
      <c r="F35" s="174"/>
      <c r="G35" s="38" t="s">
        <v>195</v>
      </c>
      <c r="H35" s="38" t="s">
        <v>882</v>
      </c>
    </row>
    <row r="36" spans="1:8" x14ac:dyDescent="0.3">
      <c r="A36" s="36">
        <v>46173</v>
      </c>
      <c r="B36" s="37" t="s">
        <v>1496</v>
      </c>
      <c r="C36" s="38" t="s">
        <v>15</v>
      </c>
      <c r="D36" s="19" t="s">
        <v>1498</v>
      </c>
      <c r="E36" s="175">
        <v>26849</v>
      </c>
      <c r="F36" s="174"/>
      <c r="G36" s="38" t="s">
        <v>195</v>
      </c>
      <c r="H36" s="38" t="s">
        <v>882</v>
      </c>
    </row>
    <row r="37" spans="1:8" x14ac:dyDescent="0.3">
      <c r="A37" s="36">
        <v>46173</v>
      </c>
      <c r="B37" s="37" t="s">
        <v>1496</v>
      </c>
      <c r="C37" s="38" t="s">
        <v>15</v>
      </c>
      <c r="D37" s="19" t="s">
        <v>1499</v>
      </c>
      <c r="E37" s="175">
        <v>9822</v>
      </c>
      <c r="F37" s="174"/>
      <c r="G37" s="38" t="s">
        <v>195</v>
      </c>
      <c r="H37" s="38" t="s">
        <v>882</v>
      </c>
    </row>
    <row r="38" spans="1:8" x14ac:dyDescent="0.3">
      <c r="A38" s="36">
        <v>46173</v>
      </c>
      <c r="B38" s="37" t="s">
        <v>1496</v>
      </c>
      <c r="C38" s="38" t="s">
        <v>15</v>
      </c>
      <c r="D38" s="19" t="s">
        <v>1500</v>
      </c>
      <c r="E38" s="175">
        <v>55056</v>
      </c>
      <c r="F38" s="174"/>
      <c r="G38" s="38" t="s">
        <v>195</v>
      </c>
      <c r="H38" s="38" t="s">
        <v>882</v>
      </c>
    </row>
    <row r="39" spans="1:8" x14ac:dyDescent="0.3">
      <c r="A39" s="36">
        <v>46173</v>
      </c>
      <c r="B39" s="37" t="s">
        <v>1496</v>
      </c>
      <c r="C39" s="38" t="s">
        <v>15</v>
      </c>
      <c r="D39" s="19" t="s">
        <v>1500</v>
      </c>
      <c r="E39" s="175">
        <v>2000</v>
      </c>
      <c r="F39" s="174"/>
      <c r="G39" s="38" t="s">
        <v>195</v>
      </c>
      <c r="H39" s="38" t="s">
        <v>882</v>
      </c>
    </row>
    <row r="40" spans="1:8" x14ac:dyDescent="0.3">
      <c r="A40" s="36">
        <v>46173</v>
      </c>
      <c r="B40" s="37" t="s">
        <v>1496</v>
      </c>
      <c r="C40" s="38" t="s">
        <v>15</v>
      </c>
      <c r="D40" s="19" t="s">
        <v>1500</v>
      </c>
      <c r="E40" s="175">
        <v>327727</v>
      </c>
      <c r="F40" s="174"/>
      <c r="G40" s="38" t="s">
        <v>195</v>
      </c>
      <c r="H40" s="38" t="s">
        <v>882</v>
      </c>
    </row>
    <row r="41" spans="1:8" x14ac:dyDescent="0.3">
      <c r="A41" s="36">
        <v>46173</v>
      </c>
      <c r="B41" s="37" t="s">
        <v>1496</v>
      </c>
      <c r="C41" s="38" t="s">
        <v>15</v>
      </c>
      <c r="D41" s="19" t="s">
        <v>1500</v>
      </c>
      <c r="E41" s="175">
        <v>111818</v>
      </c>
      <c r="F41" s="174"/>
      <c r="G41" s="38" t="s">
        <v>195</v>
      </c>
      <c r="H41" s="38" t="s">
        <v>882</v>
      </c>
    </row>
    <row r="42" spans="1:8" x14ac:dyDescent="0.3">
      <c r="A42" s="36">
        <v>46173</v>
      </c>
      <c r="B42" s="37" t="s">
        <v>1496</v>
      </c>
      <c r="C42" s="38" t="s">
        <v>15</v>
      </c>
      <c r="D42" s="19" t="s">
        <v>1500</v>
      </c>
      <c r="E42" s="175">
        <v>145000</v>
      </c>
      <c r="F42" s="174"/>
      <c r="G42" s="38" t="s">
        <v>195</v>
      </c>
      <c r="H42" s="38" t="s">
        <v>882</v>
      </c>
    </row>
    <row r="43" spans="1:8" x14ac:dyDescent="0.3">
      <c r="A43" s="36">
        <v>46173</v>
      </c>
      <c r="B43" s="37" t="s">
        <v>1496</v>
      </c>
      <c r="C43" s="38" t="s">
        <v>15</v>
      </c>
      <c r="D43" s="19" t="s">
        <v>1500</v>
      </c>
      <c r="E43" s="175">
        <v>21818</v>
      </c>
      <c r="F43" s="174"/>
      <c r="G43" s="38" t="s">
        <v>195</v>
      </c>
      <c r="H43" s="38" t="s">
        <v>882</v>
      </c>
    </row>
    <row r="44" spans="1:8" x14ac:dyDescent="0.3">
      <c r="A44" s="36">
        <v>46173</v>
      </c>
      <c r="B44" s="37" t="s">
        <v>1496</v>
      </c>
      <c r="C44" s="38" t="s">
        <v>15</v>
      </c>
      <c r="D44" s="19" t="s">
        <v>1500</v>
      </c>
      <c r="E44" s="175">
        <v>14455</v>
      </c>
      <c r="F44" s="174"/>
      <c r="G44" s="38" t="s">
        <v>195</v>
      </c>
      <c r="H44" s="38" t="s">
        <v>882</v>
      </c>
    </row>
    <row r="45" spans="1:8" x14ac:dyDescent="0.3">
      <c r="A45" s="36">
        <v>46173</v>
      </c>
      <c r="B45" s="37" t="s">
        <v>1496</v>
      </c>
      <c r="C45" s="38" t="s">
        <v>15</v>
      </c>
      <c r="D45" s="19" t="s">
        <v>1500</v>
      </c>
      <c r="E45" s="175">
        <v>53100</v>
      </c>
      <c r="F45" s="174"/>
      <c r="G45" s="38" t="s">
        <v>195</v>
      </c>
      <c r="H45" s="38" t="s">
        <v>882</v>
      </c>
    </row>
    <row r="46" spans="1:8" x14ac:dyDescent="0.3">
      <c r="A46" s="36">
        <v>46173</v>
      </c>
      <c r="B46" s="37" t="s">
        <v>1496</v>
      </c>
      <c r="C46" s="38" t="s">
        <v>15</v>
      </c>
      <c r="D46" s="19" t="s">
        <v>1500</v>
      </c>
      <c r="E46" s="175">
        <v>35400</v>
      </c>
      <c r="F46" s="174"/>
      <c r="G46" s="38" t="s">
        <v>195</v>
      </c>
      <c r="H46" s="38" t="s">
        <v>882</v>
      </c>
    </row>
    <row r="47" spans="1:8" x14ac:dyDescent="0.3">
      <c r="A47" s="36">
        <v>46173</v>
      </c>
      <c r="B47" s="37" t="s">
        <v>1496</v>
      </c>
      <c r="C47" s="38" t="s">
        <v>15</v>
      </c>
      <c r="D47" s="19" t="s">
        <v>1500</v>
      </c>
      <c r="E47" s="175">
        <v>30647</v>
      </c>
      <c r="F47" s="174"/>
      <c r="G47" s="38" t="s">
        <v>195</v>
      </c>
      <c r="H47" s="38" t="s">
        <v>882</v>
      </c>
    </row>
    <row r="48" spans="1:8" x14ac:dyDescent="0.3">
      <c r="A48" s="36">
        <v>46173</v>
      </c>
      <c r="B48" s="37" t="s">
        <v>1496</v>
      </c>
      <c r="C48" s="38" t="s">
        <v>15</v>
      </c>
      <c r="D48" s="19" t="s">
        <v>1500</v>
      </c>
      <c r="E48" s="175">
        <v>16364</v>
      </c>
      <c r="F48" s="174"/>
      <c r="G48" s="38" t="s">
        <v>195</v>
      </c>
      <c r="H48" s="38" t="s">
        <v>882</v>
      </c>
    </row>
    <row r="49" spans="1:8" x14ac:dyDescent="0.3">
      <c r="A49" s="36">
        <v>46173</v>
      </c>
      <c r="B49" s="37" t="s">
        <v>1496</v>
      </c>
      <c r="C49" s="38" t="s">
        <v>15</v>
      </c>
      <c r="D49" s="19" t="s">
        <v>1500</v>
      </c>
      <c r="E49" s="175">
        <v>6909</v>
      </c>
      <c r="F49" s="174"/>
      <c r="G49" s="38" t="s">
        <v>195</v>
      </c>
      <c r="H49" s="38" t="s">
        <v>882</v>
      </c>
    </row>
    <row r="50" spans="1:8" x14ac:dyDescent="0.3">
      <c r="A50" s="36">
        <v>46173</v>
      </c>
      <c r="B50" s="37" t="s">
        <v>1496</v>
      </c>
      <c r="C50" s="38" t="s">
        <v>15</v>
      </c>
      <c r="D50" s="19" t="s">
        <v>1500</v>
      </c>
      <c r="E50" s="175">
        <v>2021</v>
      </c>
      <c r="F50" s="174"/>
      <c r="G50" s="38" t="s">
        <v>195</v>
      </c>
      <c r="H50" s="38" t="s">
        <v>882</v>
      </c>
    </row>
    <row r="51" spans="1:8" x14ac:dyDescent="0.3">
      <c r="A51" s="36">
        <v>46173</v>
      </c>
      <c r="B51" s="37" t="s">
        <v>1496</v>
      </c>
      <c r="C51" s="38" t="s">
        <v>15</v>
      </c>
      <c r="D51" s="19" t="s">
        <v>1500</v>
      </c>
      <c r="E51" s="175">
        <v>5389</v>
      </c>
      <c r="F51" s="174"/>
      <c r="G51" s="38" t="s">
        <v>195</v>
      </c>
      <c r="H51" s="38" t="s">
        <v>882</v>
      </c>
    </row>
    <row r="52" spans="1:8" x14ac:dyDescent="0.3">
      <c r="A52" s="36">
        <v>46173</v>
      </c>
      <c r="B52" s="37" t="s">
        <v>1496</v>
      </c>
      <c r="C52" s="38" t="s">
        <v>15</v>
      </c>
      <c r="D52" s="19" t="s">
        <v>1500</v>
      </c>
      <c r="E52" s="175">
        <v>2000</v>
      </c>
      <c r="F52" s="174"/>
      <c r="G52" s="38" t="s">
        <v>195</v>
      </c>
      <c r="H52" s="38" t="s">
        <v>882</v>
      </c>
    </row>
    <row r="53" spans="1:8" x14ac:dyDescent="0.3">
      <c r="A53" s="36">
        <v>46173</v>
      </c>
      <c r="B53" s="37" t="s">
        <v>1496</v>
      </c>
      <c r="C53" s="38" t="s">
        <v>15</v>
      </c>
      <c r="D53" s="19" t="s">
        <v>1501</v>
      </c>
      <c r="E53" s="175">
        <v>9000</v>
      </c>
      <c r="F53" s="174"/>
      <c r="G53" s="38" t="s">
        <v>195</v>
      </c>
      <c r="H53" s="38" t="s">
        <v>882</v>
      </c>
    </row>
    <row r="54" spans="1:8" x14ac:dyDescent="0.3">
      <c r="A54" s="36">
        <v>46173</v>
      </c>
      <c r="B54" s="37" t="s">
        <v>1496</v>
      </c>
      <c r="C54" s="38" t="s">
        <v>15</v>
      </c>
      <c r="D54" s="19" t="s">
        <v>1501</v>
      </c>
      <c r="E54" s="175">
        <v>3987</v>
      </c>
      <c r="F54" s="174"/>
      <c r="G54" s="38" t="s">
        <v>195</v>
      </c>
      <c r="H54" s="38" t="s">
        <v>882</v>
      </c>
    </row>
    <row r="55" spans="1:8" x14ac:dyDescent="0.3">
      <c r="A55" s="36">
        <v>46173</v>
      </c>
      <c r="B55" s="37" t="s">
        <v>1496</v>
      </c>
      <c r="C55" s="38" t="s">
        <v>15</v>
      </c>
      <c r="D55" s="19" t="s">
        <v>1501</v>
      </c>
      <c r="E55" s="175">
        <v>9227</v>
      </c>
      <c r="F55" s="174"/>
      <c r="G55" s="38" t="s">
        <v>195</v>
      </c>
      <c r="H55" s="38" t="s">
        <v>882</v>
      </c>
    </row>
    <row r="56" spans="1:8" x14ac:dyDescent="0.3">
      <c r="A56" s="36">
        <v>46173</v>
      </c>
      <c r="B56" s="37" t="s">
        <v>1496</v>
      </c>
      <c r="C56" s="38" t="s">
        <v>15</v>
      </c>
      <c r="D56" s="19" t="s">
        <v>1501</v>
      </c>
      <c r="E56" s="175">
        <v>2000</v>
      </c>
      <c r="F56" s="174"/>
      <c r="G56" s="38" t="s">
        <v>195</v>
      </c>
      <c r="H56" s="38" t="s">
        <v>882</v>
      </c>
    </row>
    <row r="57" spans="1:8" x14ac:dyDescent="0.3">
      <c r="A57" s="36">
        <v>46173</v>
      </c>
      <c r="B57" s="37" t="s">
        <v>1496</v>
      </c>
      <c r="C57" s="38" t="s">
        <v>15</v>
      </c>
      <c r="D57" s="19" t="s">
        <v>1501</v>
      </c>
      <c r="E57" s="175">
        <v>90000</v>
      </c>
      <c r="F57" s="174"/>
      <c r="G57" s="38" t="s">
        <v>195</v>
      </c>
      <c r="H57" s="38" t="s">
        <v>882</v>
      </c>
    </row>
    <row r="58" spans="1:8" x14ac:dyDescent="0.3">
      <c r="A58" s="36">
        <v>46173</v>
      </c>
      <c r="B58" s="37" t="s">
        <v>1496</v>
      </c>
      <c r="C58" s="38" t="s">
        <v>15</v>
      </c>
      <c r="D58" s="19" t="s">
        <v>1501</v>
      </c>
      <c r="E58" s="175">
        <v>23000</v>
      </c>
      <c r="F58" s="174"/>
      <c r="G58" s="38" t="s">
        <v>195</v>
      </c>
      <c r="H58" s="38" t="s">
        <v>882</v>
      </c>
    </row>
    <row r="59" spans="1:8" x14ac:dyDescent="0.3">
      <c r="A59" s="36">
        <v>46173</v>
      </c>
      <c r="B59" s="37" t="s">
        <v>1496</v>
      </c>
      <c r="C59" s="38" t="s">
        <v>15</v>
      </c>
      <c r="D59" s="19" t="s">
        <v>1501</v>
      </c>
      <c r="E59" s="175">
        <v>79091</v>
      </c>
      <c r="F59" s="174"/>
      <c r="G59" s="38" t="s">
        <v>195</v>
      </c>
      <c r="H59" s="38" t="s">
        <v>882</v>
      </c>
    </row>
    <row r="60" spans="1:8" x14ac:dyDescent="0.3">
      <c r="A60" s="36">
        <v>46173</v>
      </c>
      <c r="B60" s="37" t="s">
        <v>1496</v>
      </c>
      <c r="C60" s="38" t="s">
        <v>15</v>
      </c>
      <c r="D60" s="19" t="s">
        <v>1502</v>
      </c>
      <c r="E60" s="175">
        <v>15936</v>
      </c>
      <c r="F60" s="174"/>
      <c r="G60" s="38" t="s">
        <v>195</v>
      </c>
      <c r="H60" s="38" t="s">
        <v>882</v>
      </c>
    </row>
    <row r="61" spans="1:8" x14ac:dyDescent="0.3">
      <c r="A61" s="36">
        <v>46173</v>
      </c>
      <c r="B61" s="37" t="s">
        <v>1496</v>
      </c>
      <c r="C61" s="38" t="s">
        <v>15</v>
      </c>
      <c r="D61" s="19" t="s">
        <v>1503</v>
      </c>
      <c r="E61" s="175">
        <v>1199336</v>
      </c>
      <c r="F61" s="174"/>
      <c r="G61" s="38" t="s">
        <v>195</v>
      </c>
      <c r="H61" s="38" t="s">
        <v>882</v>
      </c>
    </row>
    <row r="62" spans="1:8" x14ac:dyDescent="0.3">
      <c r="A62" s="36">
        <v>46173</v>
      </c>
      <c r="B62" s="37" t="s">
        <v>1496</v>
      </c>
      <c r="C62" s="38" t="s">
        <v>15</v>
      </c>
      <c r="D62" s="19" t="s">
        <v>1504</v>
      </c>
      <c r="E62" s="175">
        <v>370370</v>
      </c>
      <c r="F62" s="174"/>
      <c r="G62" s="38" t="s">
        <v>195</v>
      </c>
      <c r="H62" s="38" t="s">
        <v>882</v>
      </c>
    </row>
    <row r="63" spans="1:8" x14ac:dyDescent="0.3">
      <c r="A63" s="36">
        <v>46173</v>
      </c>
      <c r="B63" s="37" t="s">
        <v>1496</v>
      </c>
      <c r="C63" s="38" t="s">
        <v>15</v>
      </c>
      <c r="D63" s="19" t="s">
        <v>1094</v>
      </c>
      <c r="E63" s="175">
        <v>724400</v>
      </c>
      <c r="F63" s="174"/>
      <c r="G63" s="38" t="s">
        <v>195</v>
      </c>
      <c r="H63" s="38" t="s">
        <v>882</v>
      </c>
    </row>
    <row r="64" spans="1:8" x14ac:dyDescent="0.3">
      <c r="A64" s="36">
        <v>46173</v>
      </c>
      <c r="B64" s="37" t="s">
        <v>1496</v>
      </c>
      <c r="C64" s="38" t="s">
        <v>15</v>
      </c>
      <c r="D64" s="19" t="s">
        <v>1094</v>
      </c>
      <c r="E64" s="175">
        <v>21000</v>
      </c>
      <c r="F64" s="174"/>
      <c r="G64" s="38" t="s">
        <v>195</v>
      </c>
      <c r="H64" s="38" t="s">
        <v>882</v>
      </c>
    </row>
    <row r="65" spans="1:8" x14ac:dyDescent="0.3">
      <c r="A65" s="36">
        <v>46173</v>
      </c>
      <c r="B65" s="37" t="s">
        <v>1496</v>
      </c>
      <c r="C65" s="38" t="s">
        <v>15</v>
      </c>
      <c r="D65" s="19" t="s">
        <v>1505</v>
      </c>
      <c r="E65" s="175">
        <v>29704</v>
      </c>
      <c r="F65" s="174"/>
      <c r="G65" s="38" t="s">
        <v>195</v>
      </c>
      <c r="H65" s="38" t="s">
        <v>882</v>
      </c>
    </row>
    <row r="66" spans="1:8" x14ac:dyDescent="0.3">
      <c r="A66" s="36">
        <v>46173</v>
      </c>
      <c r="B66" s="37" t="s">
        <v>1496</v>
      </c>
      <c r="C66" s="38" t="s">
        <v>15</v>
      </c>
      <c r="D66" s="19" t="s">
        <v>1089</v>
      </c>
      <c r="E66" s="175">
        <v>442666</v>
      </c>
      <c r="F66" s="174"/>
      <c r="G66" s="38" t="s">
        <v>195</v>
      </c>
      <c r="H66" s="38" t="s">
        <v>882</v>
      </c>
    </row>
    <row r="67" spans="1:8" x14ac:dyDescent="0.3">
      <c r="A67" s="36">
        <v>46173</v>
      </c>
      <c r="B67" s="37" t="s">
        <v>1496</v>
      </c>
      <c r="C67" s="38" t="s">
        <v>15</v>
      </c>
      <c r="D67" s="19" t="s">
        <v>1157</v>
      </c>
      <c r="E67" s="175">
        <v>238742</v>
      </c>
      <c r="F67" s="174"/>
      <c r="G67" s="38" t="s">
        <v>195</v>
      </c>
      <c r="H67" s="38" t="s">
        <v>882</v>
      </c>
    </row>
    <row r="68" spans="1:8" x14ac:dyDescent="0.3">
      <c r="A68" s="36">
        <v>46173</v>
      </c>
      <c r="B68" s="37" t="s">
        <v>1496</v>
      </c>
      <c r="C68" s="38" t="s">
        <v>15</v>
      </c>
      <c r="D68" s="19" t="s">
        <v>1127</v>
      </c>
      <c r="E68" s="175">
        <v>2792640</v>
      </c>
      <c r="F68" s="174"/>
      <c r="G68" s="38" t="s">
        <v>195</v>
      </c>
      <c r="H68" s="38" t="s">
        <v>882</v>
      </c>
    </row>
    <row r="69" spans="1:8" x14ac:dyDescent="0.3">
      <c r="A69" s="36">
        <v>46173</v>
      </c>
      <c r="B69" s="37" t="s">
        <v>1496</v>
      </c>
      <c r="C69" s="38" t="s">
        <v>15</v>
      </c>
      <c r="D69" s="19" t="s">
        <v>1127</v>
      </c>
      <c r="E69" s="175">
        <v>23400</v>
      </c>
      <c r="F69" s="174"/>
      <c r="G69" s="38" t="s">
        <v>195</v>
      </c>
      <c r="H69" s="38" t="s">
        <v>882</v>
      </c>
    </row>
    <row r="70" spans="1:8" x14ac:dyDescent="0.3">
      <c r="A70" s="36">
        <v>46173</v>
      </c>
      <c r="B70" s="37" t="s">
        <v>1496</v>
      </c>
      <c r="C70" s="38" t="s">
        <v>15</v>
      </c>
      <c r="D70" s="19" t="s">
        <v>828</v>
      </c>
      <c r="E70" s="175">
        <v>504482</v>
      </c>
      <c r="F70" s="174"/>
      <c r="G70" s="38" t="s">
        <v>195</v>
      </c>
      <c r="H70" s="38" t="s">
        <v>882</v>
      </c>
    </row>
    <row r="71" spans="1:8" x14ac:dyDescent="0.3">
      <c r="A71" s="36">
        <v>46173</v>
      </c>
      <c r="B71" s="37" t="s">
        <v>1496</v>
      </c>
      <c r="C71" s="38" t="s">
        <v>15</v>
      </c>
      <c r="D71" s="19" t="s">
        <v>1506</v>
      </c>
      <c r="E71" s="175">
        <v>540000</v>
      </c>
      <c r="F71" s="174"/>
      <c r="G71" s="38" t="s">
        <v>195</v>
      </c>
      <c r="H71" s="38" t="s">
        <v>882</v>
      </c>
    </row>
    <row r="72" spans="1:8" x14ac:dyDescent="0.3">
      <c r="A72" s="36">
        <v>46173</v>
      </c>
      <c r="B72" s="37" t="s">
        <v>1496</v>
      </c>
      <c r="C72" s="38" t="s">
        <v>15</v>
      </c>
      <c r="D72" s="19" t="s">
        <v>1507</v>
      </c>
      <c r="E72" s="175">
        <v>844444</v>
      </c>
      <c r="F72" s="174"/>
      <c r="G72" s="38" t="s">
        <v>195</v>
      </c>
      <c r="H72" s="38" t="s">
        <v>882</v>
      </c>
    </row>
    <row r="73" spans="1:8" x14ac:dyDescent="0.3">
      <c r="A73" s="36">
        <v>46173</v>
      </c>
      <c r="B73" s="37" t="s">
        <v>1496</v>
      </c>
      <c r="C73" s="38" t="s">
        <v>15</v>
      </c>
      <c r="D73" s="19" t="s">
        <v>886</v>
      </c>
      <c r="E73" s="175">
        <v>57000</v>
      </c>
      <c r="F73" s="174"/>
      <c r="G73" s="38" t="s">
        <v>195</v>
      </c>
      <c r="H73" s="38" t="s">
        <v>882</v>
      </c>
    </row>
    <row r="74" spans="1:8" x14ac:dyDescent="0.3">
      <c r="A74" s="36">
        <v>46173</v>
      </c>
      <c r="B74" s="37" t="s">
        <v>1496</v>
      </c>
      <c r="C74" s="38" t="s">
        <v>15</v>
      </c>
      <c r="D74" s="19" t="s">
        <v>1089</v>
      </c>
      <c r="E74" s="175">
        <v>157111</v>
      </c>
      <c r="F74" s="174"/>
      <c r="G74" s="38" t="s">
        <v>195</v>
      </c>
      <c r="H74" s="38" t="s">
        <v>882</v>
      </c>
    </row>
    <row r="75" spans="1:8" x14ac:dyDescent="0.3">
      <c r="A75" s="36">
        <v>46173</v>
      </c>
      <c r="B75" s="37" t="s">
        <v>1496</v>
      </c>
      <c r="C75" s="38" t="s">
        <v>15</v>
      </c>
      <c r="D75" s="19" t="s">
        <v>1089</v>
      </c>
      <c r="E75" s="175">
        <v>162963</v>
      </c>
      <c r="F75" s="174"/>
      <c r="G75" s="38" t="s">
        <v>195</v>
      </c>
      <c r="H75" s="38" t="s">
        <v>882</v>
      </c>
    </row>
    <row r="76" spans="1:8" x14ac:dyDescent="0.3">
      <c r="A76" s="36">
        <v>46173</v>
      </c>
      <c r="B76" s="37" t="s">
        <v>1496</v>
      </c>
      <c r="C76" s="38" t="s">
        <v>15</v>
      </c>
      <c r="D76" s="19" t="s">
        <v>1508</v>
      </c>
      <c r="E76" s="175">
        <v>555556</v>
      </c>
      <c r="F76" s="174"/>
      <c r="G76" s="38" t="s">
        <v>195</v>
      </c>
      <c r="H76" s="38" t="s">
        <v>882</v>
      </c>
    </row>
    <row r="77" spans="1:8" x14ac:dyDescent="0.3">
      <c r="A77" s="36">
        <v>46173</v>
      </c>
      <c r="B77" s="37" t="s">
        <v>1496</v>
      </c>
      <c r="C77" s="38" t="s">
        <v>15</v>
      </c>
      <c r="D77" s="19" t="s">
        <v>1509</v>
      </c>
      <c r="E77" s="175">
        <v>1000000</v>
      </c>
      <c r="F77" s="174"/>
      <c r="G77" s="38" t="s">
        <v>195</v>
      </c>
      <c r="H77" s="38" t="s">
        <v>882</v>
      </c>
    </row>
    <row r="78" spans="1:8" x14ac:dyDescent="0.3">
      <c r="A78" s="36">
        <v>46173</v>
      </c>
      <c r="B78" s="37" t="s">
        <v>1496</v>
      </c>
      <c r="C78" s="38" t="s">
        <v>15</v>
      </c>
      <c r="D78" s="19" t="s">
        <v>1186</v>
      </c>
      <c r="E78" s="175">
        <v>93090</v>
      </c>
      <c r="F78" s="174"/>
      <c r="G78" s="38" t="s">
        <v>195</v>
      </c>
      <c r="H78" s="38" t="s">
        <v>882</v>
      </c>
    </row>
    <row r="79" spans="1:8" x14ac:dyDescent="0.3">
      <c r="A79" s="36">
        <v>46173</v>
      </c>
      <c r="B79" s="37" t="s">
        <v>1496</v>
      </c>
      <c r="C79" s="38" t="s">
        <v>15</v>
      </c>
      <c r="D79" s="19" t="s">
        <v>1510</v>
      </c>
      <c r="E79" s="175">
        <v>36830</v>
      </c>
      <c r="F79" s="174"/>
      <c r="G79" s="38" t="s">
        <v>195</v>
      </c>
      <c r="H79" s="38" t="s">
        <v>882</v>
      </c>
    </row>
    <row r="80" spans="1:8" x14ac:dyDescent="0.3">
      <c r="A80" s="36">
        <v>46173</v>
      </c>
      <c r="B80" s="37" t="s">
        <v>1496</v>
      </c>
      <c r="C80" s="38" t="s">
        <v>15</v>
      </c>
      <c r="D80" s="19" t="s">
        <v>1510</v>
      </c>
      <c r="E80" s="175">
        <v>98800</v>
      </c>
      <c r="F80" s="174"/>
      <c r="G80" s="38" t="s">
        <v>195</v>
      </c>
      <c r="H80" s="38" t="s">
        <v>882</v>
      </c>
    </row>
    <row r="81" spans="1:8" x14ac:dyDescent="0.3">
      <c r="A81" s="36">
        <v>46173</v>
      </c>
      <c r="B81" s="37" t="s">
        <v>1496</v>
      </c>
      <c r="C81" s="38" t="s">
        <v>15</v>
      </c>
      <c r="D81" s="19" t="s">
        <v>1510</v>
      </c>
      <c r="E81" s="175">
        <v>14950</v>
      </c>
      <c r="F81" s="174"/>
      <c r="G81" s="38" t="s">
        <v>195</v>
      </c>
      <c r="H81" s="38" t="s">
        <v>882</v>
      </c>
    </row>
    <row r="82" spans="1:8" x14ac:dyDescent="0.3">
      <c r="A82" s="36">
        <v>46173</v>
      </c>
      <c r="B82" s="37" t="s">
        <v>1496</v>
      </c>
      <c r="C82" s="38" t="s">
        <v>15</v>
      </c>
      <c r="D82" s="19" t="s">
        <v>1109</v>
      </c>
      <c r="E82" s="175">
        <v>872340</v>
      </c>
      <c r="F82" s="174"/>
      <c r="G82" s="38" t="s">
        <v>195</v>
      </c>
      <c r="H82" s="38" t="s">
        <v>882</v>
      </c>
    </row>
    <row r="83" spans="1:8" x14ac:dyDescent="0.3">
      <c r="A83" s="36">
        <v>46173</v>
      </c>
      <c r="B83" s="37" t="s">
        <v>1496</v>
      </c>
      <c r="C83" s="38" t="s">
        <v>15</v>
      </c>
      <c r="D83" s="19" t="s">
        <v>1109</v>
      </c>
      <c r="E83" s="175">
        <v>642872</v>
      </c>
      <c r="F83" s="174"/>
      <c r="G83" s="38" t="s">
        <v>195</v>
      </c>
      <c r="H83" s="38" t="s">
        <v>882</v>
      </c>
    </row>
    <row r="84" spans="1:8" x14ac:dyDescent="0.3">
      <c r="A84" s="36">
        <v>46173</v>
      </c>
      <c r="B84" s="37" t="s">
        <v>1496</v>
      </c>
      <c r="C84" s="38" t="s">
        <v>15</v>
      </c>
      <c r="D84" s="19" t="s">
        <v>1109</v>
      </c>
      <c r="E84" s="175">
        <v>214400</v>
      </c>
      <c r="F84" s="174"/>
      <c r="G84" s="38" t="s">
        <v>195</v>
      </c>
      <c r="H84" s="38" t="s">
        <v>882</v>
      </c>
    </row>
    <row r="85" spans="1:8" x14ac:dyDescent="0.3">
      <c r="A85" s="36">
        <v>46173</v>
      </c>
      <c r="B85" s="37" t="s">
        <v>1496</v>
      </c>
      <c r="C85" s="38" t="s">
        <v>15</v>
      </c>
      <c r="D85" s="19" t="s">
        <v>1109</v>
      </c>
      <c r="E85" s="175">
        <v>157942</v>
      </c>
      <c r="F85" s="174"/>
      <c r="G85" s="38" t="s">
        <v>195</v>
      </c>
      <c r="H85" s="38" t="s">
        <v>882</v>
      </c>
    </row>
    <row r="86" spans="1:8" x14ac:dyDescent="0.3">
      <c r="A86" s="36">
        <v>46173</v>
      </c>
      <c r="B86" s="37" t="s">
        <v>1496</v>
      </c>
      <c r="C86" s="38" t="s">
        <v>15</v>
      </c>
      <c r="D86" s="19" t="s">
        <v>1109</v>
      </c>
      <c r="E86" s="175">
        <v>64990</v>
      </c>
      <c r="F86" s="174"/>
      <c r="G86" s="38" t="s">
        <v>195</v>
      </c>
      <c r="H86" s="38" t="s">
        <v>882</v>
      </c>
    </row>
    <row r="87" spans="1:8" x14ac:dyDescent="0.3">
      <c r="A87" s="36">
        <v>46173</v>
      </c>
      <c r="B87" s="37" t="s">
        <v>1496</v>
      </c>
      <c r="C87" s="38" t="s">
        <v>15</v>
      </c>
      <c r="D87" s="19" t="s">
        <v>1185</v>
      </c>
      <c r="E87" s="175">
        <v>1777778</v>
      </c>
      <c r="F87" s="174"/>
      <c r="G87" s="38" t="s">
        <v>195</v>
      </c>
      <c r="H87" s="38" t="s">
        <v>882</v>
      </c>
    </row>
    <row r="88" spans="1:8" x14ac:dyDescent="0.3">
      <c r="A88" s="36">
        <v>46173</v>
      </c>
      <c r="B88" s="37" t="s">
        <v>1496</v>
      </c>
      <c r="C88" s="38" t="s">
        <v>15</v>
      </c>
      <c r="D88" s="19" t="s">
        <v>1105</v>
      </c>
      <c r="E88" s="175">
        <v>2320000</v>
      </c>
      <c r="F88" s="174"/>
      <c r="G88" s="38" t="s">
        <v>195</v>
      </c>
      <c r="H88" s="38" t="s">
        <v>882</v>
      </c>
    </row>
    <row r="89" spans="1:8" x14ac:dyDescent="0.3">
      <c r="A89" s="36">
        <v>46173</v>
      </c>
      <c r="B89" s="37" t="s">
        <v>1496</v>
      </c>
      <c r="C89" s="38" t="s">
        <v>15</v>
      </c>
      <c r="D89" s="19" t="s">
        <v>1180</v>
      </c>
      <c r="E89" s="175">
        <v>3200000</v>
      </c>
      <c r="F89" s="174"/>
      <c r="G89" s="38" t="s">
        <v>195</v>
      </c>
      <c r="H89" s="38" t="s">
        <v>882</v>
      </c>
    </row>
    <row r="90" spans="1:8" x14ac:dyDescent="0.3">
      <c r="A90" s="36">
        <v>46173</v>
      </c>
      <c r="B90" s="37" t="s">
        <v>1496</v>
      </c>
      <c r="C90" s="38" t="s">
        <v>15</v>
      </c>
      <c r="D90" s="19" t="s">
        <v>1511</v>
      </c>
      <c r="E90" s="175">
        <v>722960</v>
      </c>
      <c r="F90" s="174"/>
      <c r="G90" s="38" t="s">
        <v>195</v>
      </c>
      <c r="H90" s="38" t="s">
        <v>882</v>
      </c>
    </row>
    <row r="91" spans="1:8" x14ac:dyDescent="0.3">
      <c r="A91" s="36">
        <v>46173</v>
      </c>
      <c r="B91" s="37" t="s">
        <v>1496</v>
      </c>
      <c r="C91" s="38" t="s">
        <v>15</v>
      </c>
      <c r="D91" s="19" t="s">
        <v>1511</v>
      </c>
      <c r="E91" s="175">
        <v>22000</v>
      </c>
      <c r="F91" s="174"/>
      <c r="G91" s="38" t="s">
        <v>195</v>
      </c>
      <c r="H91" s="38" t="s">
        <v>882</v>
      </c>
    </row>
    <row r="92" spans="1:8" x14ac:dyDescent="0.3">
      <c r="A92" s="36">
        <v>46173</v>
      </c>
      <c r="B92" s="37" t="s">
        <v>1496</v>
      </c>
      <c r="C92" s="38" t="s">
        <v>15</v>
      </c>
      <c r="D92" s="19" t="s">
        <v>1511</v>
      </c>
      <c r="E92" s="175">
        <v>217925</v>
      </c>
      <c r="F92" s="174"/>
      <c r="G92" s="38" t="s">
        <v>195</v>
      </c>
      <c r="H92" s="38" t="s">
        <v>882</v>
      </c>
    </row>
    <row r="93" spans="1:8" x14ac:dyDescent="0.3">
      <c r="A93" s="36">
        <v>46173</v>
      </c>
      <c r="B93" s="37" t="s">
        <v>1496</v>
      </c>
      <c r="C93" s="38" t="s">
        <v>15</v>
      </c>
      <c r="D93" s="19" t="s">
        <v>1511</v>
      </c>
      <c r="E93" s="175">
        <v>5546</v>
      </c>
      <c r="F93" s="174"/>
      <c r="G93" s="38" t="s">
        <v>195</v>
      </c>
      <c r="H93" s="38" t="s">
        <v>882</v>
      </c>
    </row>
    <row r="94" spans="1:8" x14ac:dyDescent="0.3">
      <c r="A94" s="36">
        <v>46173</v>
      </c>
      <c r="B94" s="37" t="s">
        <v>1496</v>
      </c>
      <c r="C94" s="38" t="s">
        <v>15</v>
      </c>
      <c r="D94" s="19" t="s">
        <v>1511</v>
      </c>
      <c r="E94" s="175">
        <v>1459280</v>
      </c>
      <c r="F94" s="174"/>
      <c r="G94" s="38" t="s">
        <v>195</v>
      </c>
      <c r="H94" s="38" t="s">
        <v>882</v>
      </c>
    </row>
    <row r="95" spans="1:8" x14ac:dyDescent="0.3">
      <c r="A95" s="36">
        <v>46173</v>
      </c>
      <c r="B95" s="37" t="s">
        <v>1496</v>
      </c>
      <c r="C95" s="38" t="s">
        <v>15</v>
      </c>
      <c r="D95" s="19" t="s">
        <v>1154</v>
      </c>
      <c r="E95" s="175">
        <v>81481</v>
      </c>
      <c r="F95" s="174"/>
      <c r="G95" s="38" t="s">
        <v>195</v>
      </c>
      <c r="H95" s="38" t="s">
        <v>882</v>
      </c>
    </row>
    <row r="96" spans="1:8" x14ac:dyDescent="0.3">
      <c r="A96" s="36">
        <v>46173</v>
      </c>
      <c r="B96" s="37" t="s">
        <v>1496</v>
      </c>
      <c r="C96" s="38" t="s">
        <v>15</v>
      </c>
      <c r="D96" s="19" t="s">
        <v>1054</v>
      </c>
      <c r="E96" s="175">
        <v>94704</v>
      </c>
      <c r="F96" s="174"/>
      <c r="G96" s="38" t="s">
        <v>195</v>
      </c>
      <c r="H96" s="38" t="s">
        <v>882</v>
      </c>
    </row>
    <row r="97" spans="1:8" x14ac:dyDescent="0.3">
      <c r="A97" s="36">
        <v>46173</v>
      </c>
      <c r="B97" s="37" t="s">
        <v>1496</v>
      </c>
      <c r="C97" s="38" t="s">
        <v>15</v>
      </c>
      <c r="D97" s="19" t="s">
        <v>1056</v>
      </c>
      <c r="E97" s="175">
        <v>17037</v>
      </c>
      <c r="F97" s="174"/>
      <c r="G97" s="38" t="s">
        <v>195</v>
      </c>
      <c r="H97" s="38" t="s">
        <v>882</v>
      </c>
    </row>
    <row r="98" spans="1:8" x14ac:dyDescent="0.3">
      <c r="A98" s="36">
        <v>46173</v>
      </c>
      <c r="B98" s="37" t="s">
        <v>1496</v>
      </c>
      <c r="C98" s="38" t="s">
        <v>15</v>
      </c>
      <c r="D98" s="19" t="s">
        <v>1068</v>
      </c>
      <c r="E98" s="175">
        <v>43704</v>
      </c>
      <c r="F98" s="174"/>
      <c r="G98" s="38" t="s">
        <v>195</v>
      </c>
      <c r="H98" s="38" t="s">
        <v>882</v>
      </c>
    </row>
    <row r="99" spans="1:8" x14ac:dyDescent="0.3">
      <c r="A99" s="36">
        <v>46173</v>
      </c>
      <c r="B99" s="37" t="s">
        <v>1496</v>
      </c>
      <c r="C99" s="38" t="s">
        <v>15</v>
      </c>
      <c r="D99" s="19" t="s">
        <v>1079</v>
      </c>
      <c r="E99" s="175">
        <v>37037</v>
      </c>
      <c r="F99" s="174"/>
      <c r="G99" s="38" t="s">
        <v>195</v>
      </c>
      <c r="H99" s="38" t="s">
        <v>882</v>
      </c>
    </row>
    <row r="100" spans="1:8" x14ac:dyDescent="0.3">
      <c r="A100" s="36">
        <v>46173</v>
      </c>
      <c r="B100" s="37" t="s">
        <v>1496</v>
      </c>
      <c r="C100" s="38" t="s">
        <v>15</v>
      </c>
      <c r="D100" s="19" t="s">
        <v>1512</v>
      </c>
      <c r="E100" s="175">
        <v>36180</v>
      </c>
      <c r="F100" s="174"/>
      <c r="G100" s="38" t="s">
        <v>195</v>
      </c>
      <c r="H100" s="38" t="s">
        <v>882</v>
      </c>
    </row>
    <row r="101" spans="1:8" x14ac:dyDescent="0.3">
      <c r="A101" s="36">
        <v>46173</v>
      </c>
      <c r="B101" s="37" t="s">
        <v>1496</v>
      </c>
      <c r="C101" s="38" t="s">
        <v>15</v>
      </c>
      <c r="D101" s="19" t="s">
        <v>1131</v>
      </c>
      <c r="E101" s="175">
        <v>1900</v>
      </c>
      <c r="F101" s="174"/>
      <c r="G101" s="38" t="s">
        <v>195</v>
      </c>
      <c r="H101" s="38" t="s">
        <v>882</v>
      </c>
    </row>
    <row r="102" spans="1:8" x14ac:dyDescent="0.3">
      <c r="A102" s="36">
        <v>46173</v>
      </c>
      <c r="B102" s="37" t="s">
        <v>1496</v>
      </c>
      <c r="C102" s="38" t="s">
        <v>15</v>
      </c>
      <c r="D102" s="19" t="s">
        <v>1513</v>
      </c>
      <c r="E102" s="175">
        <v>1609090</v>
      </c>
      <c r="F102" s="174"/>
      <c r="G102" s="38" t="s">
        <v>195</v>
      </c>
      <c r="H102" s="38" t="s">
        <v>882</v>
      </c>
    </row>
    <row r="103" spans="1:8" x14ac:dyDescent="0.3">
      <c r="A103" s="36">
        <v>46173</v>
      </c>
      <c r="B103" s="37" t="s">
        <v>1496</v>
      </c>
      <c r="C103" s="38" t="s">
        <v>15</v>
      </c>
      <c r="D103" s="19" t="s">
        <v>1514</v>
      </c>
      <c r="E103" s="175">
        <v>1991600</v>
      </c>
      <c r="F103" s="174"/>
      <c r="G103" s="38" t="s">
        <v>195</v>
      </c>
      <c r="H103" s="38" t="s">
        <v>882</v>
      </c>
    </row>
    <row r="104" spans="1:8" x14ac:dyDescent="0.3">
      <c r="A104" s="36">
        <v>46173</v>
      </c>
      <c r="B104" s="37" t="s">
        <v>1496</v>
      </c>
      <c r="C104" s="38" t="s">
        <v>15</v>
      </c>
      <c r="D104" s="19" t="s">
        <v>1061</v>
      </c>
      <c r="E104" s="175">
        <v>308000</v>
      </c>
      <c r="F104" s="174"/>
      <c r="G104" s="38" t="s">
        <v>195</v>
      </c>
      <c r="H104" s="38" t="s">
        <v>882</v>
      </c>
    </row>
    <row r="105" spans="1:8" x14ac:dyDescent="0.3">
      <c r="A105" s="36">
        <v>46173</v>
      </c>
      <c r="B105" s="37" t="s">
        <v>1496</v>
      </c>
      <c r="C105" s="38" t="s">
        <v>15</v>
      </c>
      <c r="D105" s="19" t="s">
        <v>1061</v>
      </c>
      <c r="E105" s="175">
        <v>1056000</v>
      </c>
      <c r="F105" s="174"/>
      <c r="G105" s="38" t="s">
        <v>195</v>
      </c>
      <c r="H105" s="38" t="s">
        <v>882</v>
      </c>
    </row>
    <row r="106" spans="1:8" x14ac:dyDescent="0.3">
      <c r="A106" s="36">
        <v>46173</v>
      </c>
      <c r="B106" s="37" t="s">
        <v>1496</v>
      </c>
      <c r="C106" s="38" t="s">
        <v>15</v>
      </c>
      <c r="D106" s="19" t="s">
        <v>1515</v>
      </c>
      <c r="E106" s="175">
        <v>1164000</v>
      </c>
      <c r="F106" s="174"/>
      <c r="G106" s="38" t="s">
        <v>195</v>
      </c>
      <c r="H106" s="38" t="s">
        <v>882</v>
      </c>
    </row>
    <row r="107" spans="1:8" x14ac:dyDescent="0.3">
      <c r="A107" s="36">
        <v>46173</v>
      </c>
      <c r="B107" s="37" t="s">
        <v>1496</v>
      </c>
      <c r="C107" s="38" t="s">
        <v>15</v>
      </c>
      <c r="D107" s="19" t="s">
        <v>1516</v>
      </c>
      <c r="E107" s="175">
        <v>485186</v>
      </c>
      <c r="F107" s="174"/>
      <c r="G107" s="38" t="s">
        <v>195</v>
      </c>
      <c r="H107" s="38" t="s">
        <v>882</v>
      </c>
    </row>
    <row r="108" spans="1:8" x14ac:dyDescent="0.3">
      <c r="A108" s="36">
        <v>46173</v>
      </c>
      <c r="B108" s="37" t="s">
        <v>1496</v>
      </c>
      <c r="C108" s="38" t="s">
        <v>15</v>
      </c>
      <c r="D108" s="19" t="s">
        <v>886</v>
      </c>
      <c r="E108" s="175">
        <v>46200</v>
      </c>
      <c r="F108" s="174"/>
      <c r="G108" s="38" t="s">
        <v>195</v>
      </c>
      <c r="H108" s="38" t="s">
        <v>882</v>
      </c>
    </row>
    <row r="109" spans="1:8" x14ac:dyDescent="0.3">
      <c r="A109" s="36">
        <v>46173</v>
      </c>
      <c r="B109" s="37" t="s">
        <v>1496</v>
      </c>
      <c r="C109" s="38" t="s">
        <v>15</v>
      </c>
      <c r="D109" s="19" t="s">
        <v>886</v>
      </c>
      <c r="E109" s="175">
        <v>64680</v>
      </c>
      <c r="F109" s="174"/>
      <c r="G109" s="38" t="s">
        <v>195</v>
      </c>
      <c r="H109" s="38" t="s">
        <v>882</v>
      </c>
    </row>
    <row r="110" spans="1:8" x14ac:dyDescent="0.3">
      <c r="A110" s="36">
        <v>46173</v>
      </c>
      <c r="B110" s="37" t="s">
        <v>1496</v>
      </c>
      <c r="C110" s="38" t="s">
        <v>15</v>
      </c>
      <c r="D110" s="19" t="s">
        <v>1517</v>
      </c>
      <c r="E110" s="175">
        <v>2624000</v>
      </c>
      <c r="F110" s="174"/>
      <c r="G110" s="38" t="s">
        <v>195</v>
      </c>
      <c r="H110" s="38" t="s">
        <v>882</v>
      </c>
    </row>
    <row r="111" spans="1:8" x14ac:dyDescent="0.3">
      <c r="A111" s="36">
        <v>46173</v>
      </c>
      <c r="B111" s="37" t="s">
        <v>1496</v>
      </c>
      <c r="C111" s="38" t="s">
        <v>15</v>
      </c>
      <c r="D111" s="19" t="s">
        <v>1518</v>
      </c>
      <c r="E111" s="175">
        <v>1304000</v>
      </c>
      <c r="F111" s="174"/>
      <c r="G111" s="38" t="s">
        <v>195</v>
      </c>
      <c r="H111" s="38" t="s">
        <v>882</v>
      </c>
    </row>
    <row r="112" spans="1:8" x14ac:dyDescent="0.3">
      <c r="A112" s="36">
        <v>46173</v>
      </c>
      <c r="B112" s="37" t="s">
        <v>1496</v>
      </c>
      <c r="C112" s="38" t="s">
        <v>15</v>
      </c>
      <c r="D112" s="19" t="s">
        <v>1519</v>
      </c>
      <c r="E112" s="175">
        <v>2916000</v>
      </c>
      <c r="F112" s="174"/>
      <c r="G112" s="38" t="s">
        <v>195</v>
      </c>
      <c r="H112" s="38" t="s">
        <v>882</v>
      </c>
    </row>
    <row r="113" spans="1:8" x14ac:dyDescent="0.3">
      <c r="A113" s="36">
        <v>46173</v>
      </c>
      <c r="B113" s="37" t="s">
        <v>1496</v>
      </c>
      <c r="C113" s="38" t="s">
        <v>15</v>
      </c>
      <c r="D113" s="19" t="s">
        <v>1094</v>
      </c>
      <c r="E113" s="175">
        <v>855719</v>
      </c>
      <c r="F113" s="174"/>
      <c r="G113" s="38" t="s">
        <v>195</v>
      </c>
      <c r="H113" s="38" t="s">
        <v>882</v>
      </c>
    </row>
    <row r="114" spans="1:8" x14ac:dyDescent="0.3">
      <c r="A114" s="36">
        <v>46173</v>
      </c>
      <c r="B114" s="37" t="s">
        <v>1496</v>
      </c>
      <c r="C114" s="38" t="s">
        <v>15</v>
      </c>
      <c r="D114" s="19" t="s">
        <v>1511</v>
      </c>
      <c r="E114" s="175">
        <v>1302447</v>
      </c>
      <c r="F114" s="174"/>
      <c r="G114" s="38" t="s">
        <v>195</v>
      </c>
      <c r="H114" s="38" t="s">
        <v>882</v>
      </c>
    </row>
    <row r="115" spans="1:8" x14ac:dyDescent="0.3">
      <c r="A115" s="36">
        <v>46173</v>
      </c>
      <c r="B115" s="37" t="s">
        <v>1496</v>
      </c>
      <c r="C115" s="38" t="s">
        <v>15</v>
      </c>
      <c r="D115" s="19" t="s">
        <v>1511</v>
      </c>
      <c r="E115" s="175">
        <v>291555</v>
      </c>
      <c r="F115" s="174"/>
      <c r="G115" s="38" t="s">
        <v>195</v>
      </c>
      <c r="H115" s="38" t="s">
        <v>882</v>
      </c>
    </row>
    <row r="116" spans="1:8" x14ac:dyDescent="0.3">
      <c r="A116" s="36">
        <v>46173</v>
      </c>
      <c r="B116" s="37" t="s">
        <v>1496</v>
      </c>
      <c r="C116" s="38" t="s">
        <v>15</v>
      </c>
      <c r="D116" s="19" t="s">
        <v>1511</v>
      </c>
      <c r="E116" s="175">
        <v>5546</v>
      </c>
      <c r="F116" s="174"/>
      <c r="G116" s="38" t="s">
        <v>195</v>
      </c>
      <c r="H116" s="38" t="s">
        <v>882</v>
      </c>
    </row>
    <row r="117" spans="1:8" x14ac:dyDescent="0.3">
      <c r="A117" s="36">
        <v>46173</v>
      </c>
      <c r="B117" s="37" t="s">
        <v>1496</v>
      </c>
      <c r="C117" s="38" t="s">
        <v>15</v>
      </c>
      <c r="D117" s="19" t="s">
        <v>1511</v>
      </c>
      <c r="E117" s="175">
        <v>290222</v>
      </c>
      <c r="F117" s="174"/>
      <c r="G117" s="38" t="s">
        <v>195</v>
      </c>
      <c r="H117" s="38" t="s">
        <v>882</v>
      </c>
    </row>
    <row r="118" spans="1:8" x14ac:dyDescent="0.3">
      <c r="A118" s="36">
        <v>46173</v>
      </c>
      <c r="B118" s="37" t="s">
        <v>1496</v>
      </c>
      <c r="C118" s="38" t="s">
        <v>15</v>
      </c>
      <c r="D118" s="19" t="s">
        <v>1511</v>
      </c>
      <c r="E118" s="175">
        <v>10000</v>
      </c>
      <c r="F118" s="174"/>
      <c r="G118" s="38" t="s">
        <v>195</v>
      </c>
      <c r="H118" s="38" t="s">
        <v>882</v>
      </c>
    </row>
    <row r="119" spans="1:8" x14ac:dyDescent="0.3">
      <c r="A119" s="36">
        <v>46173</v>
      </c>
      <c r="B119" s="37" t="s">
        <v>1496</v>
      </c>
      <c r="C119" s="38" t="s">
        <v>15</v>
      </c>
      <c r="D119" s="19" t="s">
        <v>1511</v>
      </c>
      <c r="E119" s="175">
        <v>296741</v>
      </c>
      <c r="F119" s="174"/>
      <c r="G119" s="38" t="s">
        <v>195</v>
      </c>
      <c r="H119" s="38" t="s">
        <v>882</v>
      </c>
    </row>
    <row r="120" spans="1:8" x14ac:dyDescent="0.3">
      <c r="A120" s="36">
        <v>46173</v>
      </c>
      <c r="B120" s="37" t="s">
        <v>1496</v>
      </c>
      <c r="C120" s="38" t="s">
        <v>15</v>
      </c>
      <c r="D120" s="19" t="s">
        <v>1511</v>
      </c>
      <c r="E120" s="175">
        <v>2727</v>
      </c>
      <c r="F120" s="174"/>
      <c r="G120" s="38" t="s">
        <v>195</v>
      </c>
      <c r="H120" s="38" t="s">
        <v>882</v>
      </c>
    </row>
    <row r="121" spans="1:8" x14ac:dyDescent="0.3">
      <c r="A121" s="36">
        <v>46173</v>
      </c>
      <c r="B121" s="37" t="s">
        <v>1496</v>
      </c>
      <c r="C121" s="38" t="s">
        <v>15</v>
      </c>
      <c r="D121" s="19" t="s">
        <v>1511</v>
      </c>
      <c r="E121" s="175">
        <v>289481</v>
      </c>
      <c r="F121" s="174"/>
      <c r="G121" s="38" t="s">
        <v>195</v>
      </c>
      <c r="H121" s="38" t="s">
        <v>882</v>
      </c>
    </row>
    <row r="122" spans="1:8" x14ac:dyDescent="0.3">
      <c r="A122" s="36">
        <v>46173</v>
      </c>
      <c r="B122" s="37" t="s">
        <v>1496</v>
      </c>
      <c r="C122" s="38" t="s">
        <v>15</v>
      </c>
      <c r="D122" s="19" t="s">
        <v>1511</v>
      </c>
      <c r="E122" s="175">
        <v>8182</v>
      </c>
      <c r="F122" s="174"/>
      <c r="G122" s="38" t="s">
        <v>195</v>
      </c>
      <c r="H122" s="38" t="s">
        <v>882</v>
      </c>
    </row>
    <row r="123" spans="1:8" x14ac:dyDescent="0.3">
      <c r="A123" s="36">
        <v>46173</v>
      </c>
      <c r="B123" s="37" t="s">
        <v>1496</v>
      </c>
      <c r="C123" s="38" t="s">
        <v>15</v>
      </c>
      <c r="D123" s="19" t="s">
        <v>1511</v>
      </c>
      <c r="E123" s="175">
        <v>296445</v>
      </c>
      <c r="F123" s="174"/>
      <c r="G123" s="38" t="s">
        <v>195</v>
      </c>
      <c r="H123" s="38" t="s">
        <v>882</v>
      </c>
    </row>
    <row r="124" spans="1:8" x14ac:dyDescent="0.3">
      <c r="A124" s="36">
        <v>46173</v>
      </c>
      <c r="B124" s="37" t="s">
        <v>1496</v>
      </c>
      <c r="C124" s="38" t="s">
        <v>15</v>
      </c>
      <c r="D124" s="19" t="s">
        <v>1520</v>
      </c>
      <c r="E124" s="175">
        <v>19886</v>
      </c>
      <c r="F124" s="174"/>
      <c r="G124" s="38" t="s">
        <v>195</v>
      </c>
      <c r="H124" s="38" t="s">
        <v>882</v>
      </c>
    </row>
    <row r="125" spans="1:8" x14ac:dyDescent="0.3">
      <c r="A125" s="36">
        <v>46173</v>
      </c>
      <c r="B125" s="37" t="s">
        <v>1496</v>
      </c>
      <c r="C125" s="38" t="s">
        <v>15</v>
      </c>
      <c r="D125" s="19" t="s">
        <v>1502</v>
      </c>
      <c r="E125" s="175">
        <v>11910</v>
      </c>
      <c r="F125" s="174"/>
      <c r="G125" s="38" t="s">
        <v>195</v>
      </c>
      <c r="H125" s="38" t="s">
        <v>882</v>
      </c>
    </row>
    <row r="126" spans="1:8" x14ac:dyDescent="0.3">
      <c r="A126" s="36">
        <v>46173</v>
      </c>
      <c r="B126" s="37" t="s">
        <v>1496</v>
      </c>
      <c r="C126" s="38" t="s">
        <v>15</v>
      </c>
      <c r="D126" s="19" t="s">
        <v>1502</v>
      </c>
      <c r="E126" s="175">
        <v>39450</v>
      </c>
      <c r="F126" s="174"/>
      <c r="G126" s="38" t="s">
        <v>195</v>
      </c>
      <c r="H126" s="38" t="s">
        <v>882</v>
      </c>
    </row>
    <row r="127" spans="1:8" x14ac:dyDescent="0.3">
      <c r="A127" s="36">
        <v>46173</v>
      </c>
      <c r="B127" s="37" t="s">
        <v>1496</v>
      </c>
      <c r="C127" s="38" t="s">
        <v>15</v>
      </c>
      <c r="D127" s="19" t="s">
        <v>1502</v>
      </c>
      <c r="E127" s="175">
        <v>15619</v>
      </c>
      <c r="F127" s="174"/>
      <c r="G127" s="38" t="s">
        <v>195</v>
      </c>
      <c r="H127" s="38" t="s">
        <v>882</v>
      </c>
    </row>
    <row r="128" spans="1:8" x14ac:dyDescent="0.3">
      <c r="A128" s="36">
        <v>46173</v>
      </c>
      <c r="B128" s="37" t="s">
        <v>1496</v>
      </c>
      <c r="C128" s="38" t="s">
        <v>15</v>
      </c>
      <c r="D128" s="19" t="s">
        <v>1502</v>
      </c>
      <c r="E128" s="175">
        <v>1933</v>
      </c>
      <c r="F128" s="174"/>
      <c r="G128" s="38" t="s">
        <v>195</v>
      </c>
      <c r="H128" s="38" t="s">
        <v>882</v>
      </c>
    </row>
    <row r="129" spans="1:8" x14ac:dyDescent="0.3">
      <c r="A129" s="36">
        <v>46173</v>
      </c>
      <c r="B129" s="37" t="s">
        <v>1496</v>
      </c>
      <c r="C129" s="38" t="s">
        <v>15</v>
      </c>
      <c r="D129" s="19" t="s">
        <v>1502</v>
      </c>
      <c r="E129" s="175">
        <v>40901</v>
      </c>
      <c r="F129" s="174"/>
      <c r="G129" s="38" t="s">
        <v>195</v>
      </c>
      <c r="H129" s="38" t="s">
        <v>882</v>
      </c>
    </row>
    <row r="130" spans="1:8" x14ac:dyDescent="0.3">
      <c r="A130" s="36">
        <v>46173</v>
      </c>
      <c r="B130" s="37" t="s">
        <v>1496</v>
      </c>
      <c r="C130" s="38" t="s">
        <v>15</v>
      </c>
      <c r="D130" s="19" t="s">
        <v>1502</v>
      </c>
      <c r="E130" s="175">
        <v>7025</v>
      </c>
      <c r="F130" s="174"/>
      <c r="G130" s="38" t="s">
        <v>195</v>
      </c>
      <c r="H130" s="38" t="s">
        <v>882</v>
      </c>
    </row>
    <row r="131" spans="1:8" x14ac:dyDescent="0.3">
      <c r="A131" s="36">
        <v>46173</v>
      </c>
      <c r="B131" s="37" t="s">
        <v>1496</v>
      </c>
      <c r="C131" s="38" t="s">
        <v>15</v>
      </c>
      <c r="D131" s="19" t="s">
        <v>1502</v>
      </c>
      <c r="E131" s="175">
        <v>1933</v>
      </c>
      <c r="F131" s="174"/>
      <c r="G131" s="38" t="s">
        <v>195</v>
      </c>
      <c r="H131" s="38" t="s">
        <v>882</v>
      </c>
    </row>
    <row r="132" spans="1:8" x14ac:dyDescent="0.3">
      <c r="A132" s="36">
        <v>46173</v>
      </c>
      <c r="B132" s="37" t="s">
        <v>1496</v>
      </c>
      <c r="C132" s="38" t="s">
        <v>15</v>
      </c>
      <c r="D132" s="19" t="s">
        <v>1502</v>
      </c>
      <c r="E132" s="175">
        <v>7851</v>
      </c>
      <c r="F132" s="174"/>
      <c r="G132" s="38" t="s">
        <v>195</v>
      </c>
      <c r="H132" s="38" t="s">
        <v>882</v>
      </c>
    </row>
    <row r="133" spans="1:8" x14ac:dyDescent="0.3">
      <c r="A133" s="36">
        <v>46173</v>
      </c>
      <c r="B133" s="37" t="s">
        <v>1496</v>
      </c>
      <c r="C133" s="38" t="s">
        <v>15</v>
      </c>
      <c r="D133" s="19" t="s">
        <v>1502</v>
      </c>
      <c r="E133" s="175">
        <v>33852</v>
      </c>
      <c r="F133" s="174"/>
      <c r="G133" s="38" t="s">
        <v>195</v>
      </c>
      <c r="H133" s="38" t="s">
        <v>882</v>
      </c>
    </row>
    <row r="134" spans="1:8" x14ac:dyDescent="0.3">
      <c r="A134" s="36">
        <v>46173</v>
      </c>
      <c r="B134" s="37" t="s">
        <v>1496</v>
      </c>
      <c r="C134" s="38" t="s">
        <v>15</v>
      </c>
      <c r="D134" s="19" t="s">
        <v>1502</v>
      </c>
      <c r="E134" s="175">
        <v>2124</v>
      </c>
      <c r="F134" s="174"/>
      <c r="G134" s="38" t="s">
        <v>195</v>
      </c>
      <c r="H134" s="38" t="s">
        <v>882</v>
      </c>
    </row>
    <row r="135" spans="1:8" x14ac:dyDescent="0.3">
      <c r="A135" s="36">
        <v>46173</v>
      </c>
      <c r="B135" s="37" t="s">
        <v>1496</v>
      </c>
      <c r="C135" s="38" t="s">
        <v>15</v>
      </c>
      <c r="D135" s="19" t="s">
        <v>1502</v>
      </c>
      <c r="E135" s="175">
        <v>11500</v>
      </c>
      <c r="F135" s="174"/>
      <c r="G135" s="38" t="s">
        <v>195</v>
      </c>
      <c r="H135" s="38" t="s">
        <v>882</v>
      </c>
    </row>
    <row r="136" spans="1:8" x14ac:dyDescent="0.3">
      <c r="A136" s="36">
        <v>46173</v>
      </c>
      <c r="B136" s="37" t="s">
        <v>1496</v>
      </c>
      <c r="C136" s="38" t="s">
        <v>15</v>
      </c>
      <c r="D136" s="19" t="s">
        <v>1502</v>
      </c>
      <c r="E136" s="175">
        <v>74667</v>
      </c>
      <c r="F136" s="174"/>
      <c r="G136" s="38" t="s">
        <v>195</v>
      </c>
      <c r="H136" s="38" t="s">
        <v>882</v>
      </c>
    </row>
    <row r="137" spans="1:8" x14ac:dyDescent="0.3">
      <c r="A137" s="36">
        <v>46173</v>
      </c>
      <c r="B137" s="37" t="s">
        <v>1496</v>
      </c>
      <c r="C137" s="38" t="s">
        <v>15</v>
      </c>
      <c r="D137" s="19" t="s">
        <v>1502</v>
      </c>
      <c r="E137" s="175">
        <v>1000</v>
      </c>
      <c r="F137" s="174"/>
      <c r="G137" s="38" t="s">
        <v>195</v>
      </c>
      <c r="H137" s="38" t="s">
        <v>882</v>
      </c>
    </row>
    <row r="138" spans="1:8" x14ac:dyDescent="0.3">
      <c r="A138" s="36">
        <v>46173</v>
      </c>
      <c r="B138" s="37" t="s">
        <v>1496</v>
      </c>
      <c r="C138" s="38" t="s">
        <v>15</v>
      </c>
      <c r="D138" s="19" t="s">
        <v>1502</v>
      </c>
      <c r="E138" s="175">
        <v>90000</v>
      </c>
      <c r="F138" s="174"/>
      <c r="G138" s="38" t="s">
        <v>195</v>
      </c>
      <c r="H138" s="38" t="s">
        <v>882</v>
      </c>
    </row>
    <row r="139" spans="1:8" x14ac:dyDescent="0.3">
      <c r="A139" s="36">
        <v>46173</v>
      </c>
      <c r="B139" s="37" t="s">
        <v>1496</v>
      </c>
      <c r="C139" s="38" t="s">
        <v>15</v>
      </c>
      <c r="D139" s="19" t="s">
        <v>1502</v>
      </c>
      <c r="E139" s="175">
        <v>2727</v>
      </c>
      <c r="F139" s="174"/>
      <c r="G139" s="38" t="s">
        <v>195</v>
      </c>
      <c r="H139" s="38" t="s">
        <v>882</v>
      </c>
    </row>
    <row r="140" spans="1:8" x14ac:dyDescent="0.3">
      <c r="A140" s="36">
        <v>46173</v>
      </c>
      <c r="B140" s="37" t="s">
        <v>1496</v>
      </c>
      <c r="C140" s="38" t="s">
        <v>15</v>
      </c>
      <c r="D140" s="19" t="s">
        <v>1502</v>
      </c>
      <c r="E140" s="175">
        <v>2727</v>
      </c>
      <c r="F140" s="174"/>
      <c r="G140" s="38" t="s">
        <v>195</v>
      </c>
      <c r="H140" s="38" t="s">
        <v>882</v>
      </c>
    </row>
    <row r="141" spans="1:8" x14ac:dyDescent="0.3">
      <c r="A141" s="36">
        <v>46173</v>
      </c>
      <c r="B141" s="37" t="s">
        <v>1496</v>
      </c>
      <c r="C141" s="38" t="s">
        <v>15</v>
      </c>
      <c r="D141" s="19" t="s">
        <v>1502</v>
      </c>
      <c r="E141" s="175">
        <v>2727</v>
      </c>
      <c r="F141" s="174"/>
      <c r="G141" s="38" t="s">
        <v>195</v>
      </c>
      <c r="H141" s="38" t="s">
        <v>882</v>
      </c>
    </row>
    <row r="142" spans="1:8" x14ac:dyDescent="0.3">
      <c r="A142" s="36">
        <v>46173</v>
      </c>
      <c r="B142" s="37" t="s">
        <v>1496</v>
      </c>
      <c r="C142" s="38" t="s">
        <v>15</v>
      </c>
      <c r="D142" s="19" t="s">
        <v>1502</v>
      </c>
      <c r="E142" s="175">
        <v>18182</v>
      </c>
      <c r="F142" s="174"/>
      <c r="G142" s="38" t="s">
        <v>195</v>
      </c>
      <c r="H142" s="38" t="s">
        <v>882</v>
      </c>
    </row>
    <row r="143" spans="1:8" x14ac:dyDescent="0.3">
      <c r="A143" s="36">
        <v>46173</v>
      </c>
      <c r="B143" s="37" t="s">
        <v>1496</v>
      </c>
      <c r="C143" s="38" t="s">
        <v>15</v>
      </c>
      <c r="D143" s="19" t="s">
        <v>1502</v>
      </c>
      <c r="E143" s="175">
        <v>2727</v>
      </c>
      <c r="F143" s="174"/>
      <c r="G143" s="38" t="s">
        <v>195</v>
      </c>
      <c r="H143" s="38" t="s">
        <v>882</v>
      </c>
    </row>
    <row r="144" spans="1:8" x14ac:dyDescent="0.3">
      <c r="A144" s="36">
        <v>46173</v>
      </c>
      <c r="B144" s="37" t="s">
        <v>1496</v>
      </c>
      <c r="C144" s="38" t="s">
        <v>15</v>
      </c>
      <c r="D144" s="19" t="s">
        <v>1502</v>
      </c>
      <c r="E144" s="175">
        <v>2727</v>
      </c>
      <c r="F144" s="174"/>
      <c r="G144" s="38" t="s">
        <v>195</v>
      </c>
      <c r="H144" s="38" t="s">
        <v>882</v>
      </c>
    </row>
    <row r="145" spans="1:8" x14ac:dyDescent="0.3">
      <c r="A145" s="36">
        <v>46173</v>
      </c>
      <c r="B145" s="37" t="s">
        <v>1496</v>
      </c>
      <c r="C145" s="38" t="s">
        <v>15</v>
      </c>
      <c r="D145" s="19" t="s">
        <v>1502</v>
      </c>
      <c r="E145" s="175">
        <v>2727</v>
      </c>
      <c r="F145" s="174"/>
      <c r="G145" s="38" t="s">
        <v>195</v>
      </c>
      <c r="H145" s="38" t="s">
        <v>882</v>
      </c>
    </row>
    <row r="146" spans="1:8" x14ac:dyDescent="0.3">
      <c r="A146" s="36">
        <v>46173</v>
      </c>
      <c r="B146" s="37" t="s">
        <v>1496</v>
      </c>
      <c r="C146" s="38" t="s">
        <v>15</v>
      </c>
      <c r="D146" s="19" t="s">
        <v>1502</v>
      </c>
      <c r="E146" s="175">
        <v>2727</v>
      </c>
      <c r="F146" s="174"/>
      <c r="G146" s="38" t="s">
        <v>195</v>
      </c>
      <c r="H146" s="38" t="s">
        <v>882</v>
      </c>
    </row>
    <row r="147" spans="1:8" x14ac:dyDescent="0.3">
      <c r="A147" s="36">
        <v>46173</v>
      </c>
      <c r="B147" s="37" t="s">
        <v>1496</v>
      </c>
      <c r="C147" s="38" t="s">
        <v>15</v>
      </c>
      <c r="D147" s="19" t="s">
        <v>1502</v>
      </c>
      <c r="E147" s="175">
        <v>10909</v>
      </c>
      <c r="F147" s="174"/>
      <c r="G147" s="38" t="s">
        <v>195</v>
      </c>
      <c r="H147" s="38" t="s">
        <v>882</v>
      </c>
    </row>
    <row r="148" spans="1:8" x14ac:dyDescent="0.3">
      <c r="A148" s="36">
        <v>46173</v>
      </c>
      <c r="B148" s="37" t="s">
        <v>1496</v>
      </c>
      <c r="C148" s="38" t="s">
        <v>15</v>
      </c>
      <c r="D148" s="19" t="s">
        <v>1502</v>
      </c>
      <c r="E148" s="175">
        <v>2727</v>
      </c>
      <c r="F148" s="174"/>
      <c r="G148" s="38" t="s">
        <v>195</v>
      </c>
      <c r="H148" s="38" t="s">
        <v>882</v>
      </c>
    </row>
    <row r="149" spans="1:8" x14ac:dyDescent="0.3">
      <c r="A149" s="36">
        <v>46173</v>
      </c>
      <c r="B149" s="37" t="s">
        <v>1496</v>
      </c>
      <c r="C149" s="38" t="s">
        <v>15</v>
      </c>
      <c r="D149" s="19" t="s">
        <v>1502</v>
      </c>
      <c r="E149" s="175">
        <v>2727</v>
      </c>
      <c r="F149" s="174"/>
      <c r="G149" s="38" t="s">
        <v>195</v>
      </c>
      <c r="H149" s="38" t="s">
        <v>882</v>
      </c>
    </row>
    <row r="150" spans="1:8" x14ac:dyDescent="0.3">
      <c r="A150" s="36">
        <v>46173</v>
      </c>
      <c r="B150" s="37" t="s">
        <v>1496</v>
      </c>
      <c r="C150" s="38" t="s">
        <v>15</v>
      </c>
      <c r="D150" s="19" t="s">
        <v>1502</v>
      </c>
      <c r="E150" s="175">
        <v>2727</v>
      </c>
      <c r="F150" s="174"/>
      <c r="G150" s="38" t="s">
        <v>195</v>
      </c>
      <c r="H150" s="38" t="s">
        <v>882</v>
      </c>
    </row>
    <row r="151" spans="1:8" x14ac:dyDescent="0.3">
      <c r="A151" s="36">
        <v>46173</v>
      </c>
      <c r="B151" s="37" t="s">
        <v>1496</v>
      </c>
      <c r="C151" s="38" t="s">
        <v>15</v>
      </c>
      <c r="D151" s="19" t="s">
        <v>1502</v>
      </c>
      <c r="E151" s="175">
        <v>2727</v>
      </c>
      <c r="F151" s="174"/>
      <c r="G151" s="38" t="s">
        <v>195</v>
      </c>
      <c r="H151" s="38" t="s">
        <v>882</v>
      </c>
    </row>
    <row r="152" spans="1:8" x14ac:dyDescent="0.3">
      <c r="A152" s="36">
        <v>46173</v>
      </c>
      <c r="B152" s="37" t="s">
        <v>1496</v>
      </c>
      <c r="C152" s="38" t="s">
        <v>15</v>
      </c>
      <c r="D152" s="19" t="s">
        <v>1502</v>
      </c>
      <c r="E152" s="175">
        <v>2727</v>
      </c>
      <c r="F152" s="174"/>
      <c r="G152" s="38" t="s">
        <v>195</v>
      </c>
      <c r="H152" s="38" t="s">
        <v>882</v>
      </c>
    </row>
    <row r="153" spans="1:8" x14ac:dyDescent="0.3">
      <c r="A153" s="36">
        <v>46173</v>
      </c>
      <c r="B153" s="37" t="s">
        <v>1496</v>
      </c>
      <c r="C153" s="38" t="s">
        <v>15</v>
      </c>
      <c r="D153" s="19" t="s">
        <v>1502</v>
      </c>
      <c r="E153" s="175">
        <v>2727</v>
      </c>
      <c r="F153" s="174"/>
      <c r="G153" s="38" t="s">
        <v>195</v>
      </c>
      <c r="H153" s="38" t="s">
        <v>882</v>
      </c>
    </row>
    <row r="154" spans="1:8" x14ac:dyDescent="0.3">
      <c r="A154" s="36">
        <v>46173</v>
      </c>
      <c r="B154" s="37" t="s">
        <v>1496</v>
      </c>
      <c r="C154" s="38" t="s">
        <v>15</v>
      </c>
      <c r="D154" s="19" t="s">
        <v>1502</v>
      </c>
      <c r="E154" s="175">
        <v>2727</v>
      </c>
      <c r="F154" s="174"/>
      <c r="G154" s="38" t="s">
        <v>195</v>
      </c>
      <c r="H154" s="38" t="s">
        <v>882</v>
      </c>
    </row>
    <row r="155" spans="1:8" x14ac:dyDescent="0.3">
      <c r="A155" s="36">
        <v>46173</v>
      </c>
      <c r="B155" s="37" t="s">
        <v>1496</v>
      </c>
      <c r="C155" s="38" t="s">
        <v>15</v>
      </c>
      <c r="D155" s="19" t="s">
        <v>1502</v>
      </c>
      <c r="E155" s="175">
        <v>2727</v>
      </c>
      <c r="F155" s="174"/>
      <c r="G155" s="38" t="s">
        <v>195</v>
      </c>
      <c r="H155" s="38" t="s">
        <v>882</v>
      </c>
    </row>
    <row r="156" spans="1:8" x14ac:dyDescent="0.3">
      <c r="A156" s="36">
        <v>46173</v>
      </c>
      <c r="B156" s="37" t="s">
        <v>1496</v>
      </c>
      <c r="C156" s="38" t="s">
        <v>15</v>
      </c>
      <c r="D156" s="19" t="s">
        <v>1502</v>
      </c>
      <c r="E156" s="175">
        <v>2727</v>
      </c>
      <c r="F156" s="174"/>
      <c r="G156" s="38" t="s">
        <v>195</v>
      </c>
      <c r="H156" s="38" t="s">
        <v>882</v>
      </c>
    </row>
    <row r="157" spans="1:8" x14ac:dyDescent="0.3">
      <c r="A157" s="36">
        <v>46173</v>
      </c>
      <c r="B157" s="37" t="s">
        <v>1496</v>
      </c>
      <c r="C157" s="38" t="s">
        <v>15</v>
      </c>
      <c r="D157" s="19" t="s">
        <v>1502</v>
      </c>
      <c r="E157" s="175">
        <v>2727</v>
      </c>
      <c r="F157" s="174"/>
      <c r="G157" s="38" t="s">
        <v>195</v>
      </c>
      <c r="H157" s="38" t="s">
        <v>882</v>
      </c>
    </row>
    <row r="158" spans="1:8" x14ac:dyDescent="0.3">
      <c r="A158" s="36">
        <v>46173</v>
      </c>
      <c r="B158" s="37" t="s">
        <v>1496</v>
      </c>
      <c r="C158" s="38" t="s">
        <v>15</v>
      </c>
      <c r="D158" s="19" t="s">
        <v>1502</v>
      </c>
      <c r="E158" s="175">
        <v>2727</v>
      </c>
      <c r="F158" s="174"/>
      <c r="G158" s="38" t="s">
        <v>195</v>
      </c>
      <c r="H158" s="38" t="s">
        <v>882</v>
      </c>
    </row>
    <row r="159" spans="1:8" x14ac:dyDescent="0.3">
      <c r="A159" s="36">
        <v>46173</v>
      </c>
      <c r="B159" s="37" t="s">
        <v>1496</v>
      </c>
      <c r="C159" s="38" t="s">
        <v>15</v>
      </c>
      <c r="D159" s="19" t="s">
        <v>1521</v>
      </c>
      <c r="E159" s="175">
        <v>74074</v>
      </c>
      <c r="F159" s="174"/>
      <c r="G159" s="38" t="s">
        <v>195</v>
      </c>
      <c r="H159" s="38" t="s">
        <v>882</v>
      </c>
    </row>
    <row r="160" spans="1:8" x14ac:dyDescent="0.3">
      <c r="A160" s="36">
        <v>46173</v>
      </c>
      <c r="B160" s="37" t="s">
        <v>1496</v>
      </c>
      <c r="C160" s="38" t="s">
        <v>15</v>
      </c>
      <c r="D160" s="19" t="s">
        <v>1521</v>
      </c>
      <c r="E160" s="175">
        <v>111111</v>
      </c>
      <c r="F160" s="174"/>
      <c r="G160" s="38" t="s">
        <v>195</v>
      </c>
      <c r="H160" s="38" t="s">
        <v>882</v>
      </c>
    </row>
    <row r="161" spans="1:8" x14ac:dyDescent="0.3">
      <c r="A161" s="36">
        <v>46173</v>
      </c>
      <c r="B161" s="37" t="s">
        <v>1496</v>
      </c>
      <c r="C161" s="38" t="s">
        <v>15</v>
      </c>
      <c r="D161" s="19" t="s">
        <v>1521</v>
      </c>
      <c r="E161" s="175">
        <v>65022</v>
      </c>
      <c r="F161" s="174"/>
      <c r="G161" s="38" t="s">
        <v>195</v>
      </c>
      <c r="H161" s="38" t="s">
        <v>882</v>
      </c>
    </row>
    <row r="162" spans="1:8" x14ac:dyDescent="0.3">
      <c r="A162" s="36">
        <v>46173</v>
      </c>
      <c r="B162" s="37" t="s">
        <v>1496</v>
      </c>
      <c r="C162" s="38" t="s">
        <v>15</v>
      </c>
      <c r="D162" s="19" t="s">
        <v>1521</v>
      </c>
      <c r="E162" s="175">
        <v>65022</v>
      </c>
      <c r="F162" s="174"/>
      <c r="G162" s="38" t="s">
        <v>195</v>
      </c>
      <c r="H162" s="38" t="s">
        <v>882</v>
      </c>
    </row>
    <row r="163" spans="1:8" x14ac:dyDescent="0.3">
      <c r="A163" s="36">
        <v>46173</v>
      </c>
      <c r="B163" s="37" t="s">
        <v>1496</v>
      </c>
      <c r="C163" s="38" t="s">
        <v>15</v>
      </c>
      <c r="D163" s="19" t="s">
        <v>1521</v>
      </c>
      <c r="E163" s="175">
        <v>32511</v>
      </c>
      <c r="F163" s="174"/>
      <c r="G163" s="38" t="s">
        <v>195</v>
      </c>
      <c r="H163" s="38" t="s">
        <v>882</v>
      </c>
    </row>
    <row r="164" spans="1:8" x14ac:dyDescent="0.3">
      <c r="A164" s="36">
        <v>46173</v>
      </c>
      <c r="B164" s="37" t="s">
        <v>1496</v>
      </c>
      <c r="C164" s="38" t="s">
        <v>15</v>
      </c>
      <c r="D164" s="19" t="s">
        <v>1521</v>
      </c>
      <c r="E164" s="175">
        <v>32511</v>
      </c>
      <c r="F164" s="174"/>
      <c r="G164" s="38" t="s">
        <v>195</v>
      </c>
      <c r="H164" s="38" t="s">
        <v>882</v>
      </c>
    </row>
    <row r="165" spans="1:8" x14ac:dyDescent="0.3">
      <c r="A165" s="36">
        <v>46173</v>
      </c>
      <c r="B165" s="37" t="s">
        <v>1496</v>
      </c>
      <c r="C165" s="38" t="s">
        <v>15</v>
      </c>
      <c r="D165" s="19" t="s">
        <v>1521</v>
      </c>
      <c r="E165" s="175">
        <v>32511</v>
      </c>
      <c r="F165" s="174"/>
      <c r="G165" s="38" t="s">
        <v>195</v>
      </c>
      <c r="H165" s="38" t="s">
        <v>882</v>
      </c>
    </row>
    <row r="166" spans="1:8" x14ac:dyDescent="0.3">
      <c r="A166" s="36">
        <v>46173</v>
      </c>
      <c r="B166" s="37" t="s">
        <v>1496</v>
      </c>
      <c r="C166" s="38" t="s">
        <v>15</v>
      </c>
      <c r="D166" s="19" t="s">
        <v>1521</v>
      </c>
      <c r="E166" s="175">
        <v>32511</v>
      </c>
      <c r="F166" s="174"/>
      <c r="G166" s="38" t="s">
        <v>195</v>
      </c>
      <c r="H166" s="38" t="s">
        <v>882</v>
      </c>
    </row>
    <row r="167" spans="1:8" x14ac:dyDescent="0.3">
      <c r="A167" s="36">
        <v>46173</v>
      </c>
      <c r="B167" s="37" t="s">
        <v>1496</v>
      </c>
      <c r="C167" s="38" t="s">
        <v>15</v>
      </c>
      <c r="D167" s="19" t="s">
        <v>1521</v>
      </c>
      <c r="E167" s="175">
        <v>65022</v>
      </c>
      <c r="F167" s="174"/>
      <c r="G167" s="38" t="s">
        <v>195</v>
      </c>
      <c r="H167" s="38" t="s">
        <v>882</v>
      </c>
    </row>
    <row r="168" spans="1:8" x14ac:dyDescent="0.3">
      <c r="A168" s="36">
        <v>46173</v>
      </c>
      <c r="B168" s="37" t="s">
        <v>1496</v>
      </c>
      <c r="C168" s="38" t="s">
        <v>15</v>
      </c>
      <c r="D168" s="19" t="s">
        <v>1521</v>
      </c>
      <c r="E168" s="175">
        <v>65022</v>
      </c>
      <c r="F168" s="174"/>
      <c r="G168" s="38" t="s">
        <v>195</v>
      </c>
      <c r="H168" s="38" t="s">
        <v>882</v>
      </c>
    </row>
    <row r="169" spans="1:8" x14ac:dyDescent="0.3">
      <c r="A169" s="36">
        <v>46173</v>
      </c>
      <c r="B169" s="37" t="s">
        <v>1496</v>
      </c>
      <c r="C169" s="38" t="s">
        <v>15</v>
      </c>
      <c r="D169" s="19" t="s">
        <v>1522</v>
      </c>
      <c r="E169" s="175">
        <v>202751</v>
      </c>
      <c r="F169" s="174"/>
      <c r="G169" s="38" t="s">
        <v>195</v>
      </c>
      <c r="H169" s="38" t="s">
        <v>882</v>
      </c>
    </row>
    <row r="170" spans="1:8" x14ac:dyDescent="0.3">
      <c r="A170" s="36">
        <v>46173</v>
      </c>
      <c r="B170" s="37" t="s">
        <v>1496</v>
      </c>
      <c r="C170" s="38" t="s">
        <v>15</v>
      </c>
      <c r="D170" s="19" t="s">
        <v>1522</v>
      </c>
      <c r="E170" s="175">
        <v>154350</v>
      </c>
      <c r="F170" s="174"/>
      <c r="G170" s="38" t="s">
        <v>195</v>
      </c>
      <c r="H170" s="38" t="s">
        <v>882</v>
      </c>
    </row>
    <row r="171" spans="1:8" x14ac:dyDescent="0.3">
      <c r="A171" s="36">
        <v>46173</v>
      </c>
      <c r="B171" s="37" t="s">
        <v>1496</v>
      </c>
      <c r="C171" s="38" t="s">
        <v>15</v>
      </c>
      <c r="D171" s="19" t="s">
        <v>1522</v>
      </c>
      <c r="E171" s="175">
        <v>491501</v>
      </c>
      <c r="F171" s="174"/>
      <c r="G171" s="38" t="s">
        <v>195</v>
      </c>
      <c r="H171" s="38" t="s">
        <v>882</v>
      </c>
    </row>
    <row r="172" spans="1:8" x14ac:dyDescent="0.3">
      <c r="A172" s="36">
        <v>46173</v>
      </c>
      <c r="B172" s="37" t="s">
        <v>1496</v>
      </c>
      <c r="C172" s="38" t="s">
        <v>15</v>
      </c>
      <c r="D172" s="19" t="s">
        <v>1522</v>
      </c>
      <c r="E172" s="175">
        <v>508257</v>
      </c>
      <c r="F172" s="174"/>
      <c r="G172" s="38" t="s">
        <v>195</v>
      </c>
      <c r="H172" s="38" t="s">
        <v>882</v>
      </c>
    </row>
    <row r="173" spans="1:8" x14ac:dyDescent="0.3">
      <c r="A173" s="36">
        <v>46173</v>
      </c>
      <c r="B173" s="37" t="s">
        <v>1496</v>
      </c>
      <c r="C173" s="38" t="s">
        <v>15</v>
      </c>
      <c r="D173" s="19" t="s">
        <v>1522</v>
      </c>
      <c r="E173" s="175">
        <v>308091</v>
      </c>
      <c r="F173" s="174"/>
      <c r="G173" s="38" t="s">
        <v>195</v>
      </c>
      <c r="H173" s="38" t="s">
        <v>882</v>
      </c>
    </row>
    <row r="174" spans="1:8" x14ac:dyDescent="0.3">
      <c r="A174" s="36">
        <v>46173</v>
      </c>
      <c r="B174" s="37" t="s">
        <v>1496</v>
      </c>
      <c r="C174" s="38" t="s">
        <v>15</v>
      </c>
      <c r="D174" s="19" t="s">
        <v>1522</v>
      </c>
      <c r="E174" s="175">
        <v>3256830</v>
      </c>
      <c r="F174" s="174"/>
      <c r="G174" s="38" t="s">
        <v>195</v>
      </c>
      <c r="H174" s="38" t="s">
        <v>882</v>
      </c>
    </row>
    <row r="175" spans="1:8" x14ac:dyDescent="0.3">
      <c r="A175" s="36">
        <v>46173</v>
      </c>
      <c r="B175" s="37" t="s">
        <v>1496</v>
      </c>
      <c r="C175" s="38" t="s">
        <v>15</v>
      </c>
      <c r="D175" s="19" t="s">
        <v>1522</v>
      </c>
      <c r="E175" s="175">
        <v>361133</v>
      </c>
      <c r="F175" s="174"/>
      <c r="G175" s="38" t="s">
        <v>195</v>
      </c>
      <c r="H175" s="38" t="s">
        <v>882</v>
      </c>
    </row>
    <row r="176" spans="1:8" x14ac:dyDescent="0.3">
      <c r="A176" s="36">
        <v>46173</v>
      </c>
      <c r="B176" s="37" t="s">
        <v>1496</v>
      </c>
      <c r="C176" s="38" t="s">
        <v>15</v>
      </c>
      <c r="D176" s="19" t="s">
        <v>1522</v>
      </c>
      <c r="E176" s="175">
        <v>731491</v>
      </c>
      <c r="F176" s="174"/>
      <c r="G176" s="38" t="s">
        <v>195</v>
      </c>
      <c r="H176" s="38" t="s">
        <v>882</v>
      </c>
    </row>
    <row r="177" spans="1:8" x14ac:dyDescent="0.3">
      <c r="A177" s="36">
        <v>46173</v>
      </c>
      <c r="B177" s="37" t="s">
        <v>1496</v>
      </c>
      <c r="C177" s="38" t="s">
        <v>15</v>
      </c>
      <c r="D177" s="19" t="s">
        <v>1522</v>
      </c>
      <c r="E177" s="175">
        <v>1856292</v>
      </c>
      <c r="F177" s="174"/>
      <c r="G177" s="38" t="s">
        <v>195</v>
      </c>
      <c r="H177" s="38" t="s">
        <v>882</v>
      </c>
    </row>
    <row r="178" spans="1:8" x14ac:dyDescent="0.3">
      <c r="A178" s="36">
        <v>46173</v>
      </c>
      <c r="B178" s="37" t="s">
        <v>1496</v>
      </c>
      <c r="C178" s="38" t="s">
        <v>15</v>
      </c>
      <c r="D178" s="19" t="s">
        <v>1504</v>
      </c>
      <c r="E178" s="175">
        <v>443186</v>
      </c>
      <c r="F178" s="174"/>
      <c r="G178" s="38" t="s">
        <v>195</v>
      </c>
      <c r="H178" s="38" t="s">
        <v>882</v>
      </c>
    </row>
    <row r="179" spans="1:8" x14ac:dyDescent="0.3">
      <c r="A179" s="36">
        <v>46173</v>
      </c>
      <c r="B179" s="37" t="s">
        <v>1496</v>
      </c>
      <c r="C179" s="38" t="s">
        <v>15</v>
      </c>
      <c r="D179" s="19" t="s">
        <v>1504</v>
      </c>
      <c r="E179" s="175">
        <v>417754</v>
      </c>
      <c r="F179" s="174"/>
      <c r="G179" s="38" t="s">
        <v>195</v>
      </c>
      <c r="H179" s="38" t="s">
        <v>882</v>
      </c>
    </row>
    <row r="180" spans="1:8" x14ac:dyDescent="0.3">
      <c r="A180" s="36">
        <v>46173</v>
      </c>
      <c r="B180" s="37" t="s">
        <v>1496</v>
      </c>
      <c r="C180" s="38" t="s">
        <v>15</v>
      </c>
      <c r="D180" s="19" t="s">
        <v>1504</v>
      </c>
      <c r="E180" s="175">
        <v>370370</v>
      </c>
      <c r="F180" s="174"/>
      <c r="G180" s="38" t="s">
        <v>195</v>
      </c>
      <c r="H180" s="38" t="s">
        <v>882</v>
      </c>
    </row>
    <row r="181" spans="1:8" x14ac:dyDescent="0.3">
      <c r="A181" s="36">
        <v>46173</v>
      </c>
      <c r="B181" s="37" t="s">
        <v>1496</v>
      </c>
      <c r="C181" s="38" t="s">
        <v>15</v>
      </c>
      <c r="D181" s="19" t="s">
        <v>1504</v>
      </c>
      <c r="E181" s="175">
        <v>488124</v>
      </c>
      <c r="F181" s="174"/>
      <c r="G181" s="38" t="s">
        <v>195</v>
      </c>
      <c r="H181" s="38" t="s">
        <v>882</v>
      </c>
    </row>
    <row r="182" spans="1:8" x14ac:dyDescent="0.3">
      <c r="A182" s="36">
        <v>46173</v>
      </c>
      <c r="B182" s="37" t="s">
        <v>1496</v>
      </c>
      <c r="C182" s="38" t="s">
        <v>15</v>
      </c>
      <c r="D182" s="19" t="s">
        <v>1523</v>
      </c>
      <c r="E182" s="175">
        <v>3506692</v>
      </c>
      <c r="F182" s="174"/>
      <c r="G182" s="38" t="s">
        <v>195</v>
      </c>
      <c r="H182" s="38" t="s">
        <v>882</v>
      </c>
    </row>
    <row r="183" spans="1:8" x14ac:dyDescent="0.3">
      <c r="A183" s="36">
        <v>46173</v>
      </c>
      <c r="B183" s="37" t="s">
        <v>1496</v>
      </c>
      <c r="C183" s="38" t="s">
        <v>15</v>
      </c>
      <c r="D183" s="19" t="s">
        <v>1524</v>
      </c>
      <c r="E183" s="175">
        <v>406656</v>
      </c>
      <c r="F183" s="174"/>
      <c r="G183" s="38" t="s">
        <v>195</v>
      </c>
      <c r="H183" s="38" t="s">
        <v>882</v>
      </c>
    </row>
    <row r="184" spans="1:8" x14ac:dyDescent="0.3">
      <c r="A184" s="36">
        <v>46173</v>
      </c>
      <c r="B184" s="37" t="s">
        <v>1496</v>
      </c>
      <c r="C184" s="38" t="s">
        <v>15</v>
      </c>
      <c r="D184" s="19" t="s">
        <v>1524</v>
      </c>
      <c r="E184" s="175">
        <v>395255</v>
      </c>
      <c r="F184" s="174"/>
      <c r="G184" s="38" t="s">
        <v>195</v>
      </c>
      <c r="H184" s="38" t="s">
        <v>882</v>
      </c>
    </row>
    <row r="185" spans="1:8" x14ac:dyDescent="0.3">
      <c r="A185" s="36">
        <v>46173</v>
      </c>
      <c r="B185" s="37" t="s">
        <v>1496</v>
      </c>
      <c r="C185" s="38" t="s">
        <v>15</v>
      </c>
      <c r="D185" s="19" t="s">
        <v>1524</v>
      </c>
      <c r="E185" s="175">
        <v>371338</v>
      </c>
      <c r="F185" s="174"/>
      <c r="G185" s="38" t="s">
        <v>195</v>
      </c>
      <c r="H185" s="38" t="s">
        <v>882</v>
      </c>
    </row>
    <row r="186" spans="1:8" x14ac:dyDescent="0.3">
      <c r="A186" s="36">
        <v>46173</v>
      </c>
      <c r="B186" s="37" t="s">
        <v>1496</v>
      </c>
      <c r="C186" s="38" t="s">
        <v>15</v>
      </c>
      <c r="D186" s="19" t="s">
        <v>1524</v>
      </c>
      <c r="E186" s="175">
        <v>434327</v>
      </c>
      <c r="F186" s="174"/>
      <c r="G186" s="38" t="s">
        <v>195</v>
      </c>
      <c r="H186" s="38" t="s">
        <v>882</v>
      </c>
    </row>
    <row r="187" spans="1:8" x14ac:dyDescent="0.3">
      <c r="A187" s="36">
        <v>46173</v>
      </c>
      <c r="B187" s="37" t="s">
        <v>1496</v>
      </c>
      <c r="C187" s="38" t="s">
        <v>15</v>
      </c>
      <c r="D187" s="19" t="s">
        <v>1524</v>
      </c>
      <c r="E187" s="175">
        <v>485230</v>
      </c>
      <c r="F187" s="174"/>
      <c r="G187" s="38" t="s">
        <v>195</v>
      </c>
      <c r="H187" s="38" t="s">
        <v>882</v>
      </c>
    </row>
    <row r="188" spans="1:8" x14ac:dyDescent="0.3">
      <c r="A188" s="36">
        <v>46173</v>
      </c>
      <c r="B188" s="37" t="s">
        <v>1496</v>
      </c>
      <c r="C188" s="38" t="s">
        <v>15</v>
      </c>
      <c r="D188" s="19" t="s">
        <v>1524</v>
      </c>
      <c r="E188" s="175">
        <v>373489</v>
      </c>
      <c r="F188" s="174"/>
      <c r="G188" s="38" t="s">
        <v>195</v>
      </c>
      <c r="H188" s="38" t="s">
        <v>882</v>
      </c>
    </row>
    <row r="189" spans="1:8" ht="36.6" x14ac:dyDescent="0.3">
      <c r="A189" s="36">
        <v>46173</v>
      </c>
      <c r="B189" s="37" t="s">
        <v>1525</v>
      </c>
      <c r="C189" s="38" t="s">
        <v>15</v>
      </c>
      <c r="D189" s="19" t="s">
        <v>1526</v>
      </c>
      <c r="E189" s="175">
        <v>32238200</v>
      </c>
      <c r="F189" s="174"/>
      <c r="G189" s="38" t="s">
        <v>179</v>
      </c>
      <c r="H189" s="38" t="s">
        <v>882</v>
      </c>
    </row>
    <row r="190" spans="1:8" ht="36.6" x14ac:dyDescent="0.3">
      <c r="A190" s="36">
        <v>46173</v>
      </c>
      <c r="B190" s="37" t="s">
        <v>1525</v>
      </c>
      <c r="C190" s="38" t="s">
        <v>15</v>
      </c>
      <c r="D190" s="19" t="s">
        <v>1527</v>
      </c>
      <c r="E190" s="175">
        <v>3454800</v>
      </c>
      <c r="F190" s="174"/>
      <c r="G190" s="38" t="s">
        <v>179</v>
      </c>
      <c r="H190" s="38" t="s">
        <v>882</v>
      </c>
    </row>
    <row r="191" spans="1:8" ht="36.6" x14ac:dyDescent="0.3">
      <c r="A191" s="36">
        <v>46173</v>
      </c>
      <c r="B191" s="37" t="s">
        <v>1525</v>
      </c>
      <c r="C191" s="38" t="s">
        <v>15</v>
      </c>
      <c r="D191" s="19" t="s">
        <v>1528</v>
      </c>
      <c r="E191" s="175">
        <v>609578</v>
      </c>
      <c r="F191" s="174"/>
      <c r="G191" s="38" t="s">
        <v>179</v>
      </c>
      <c r="H191" s="38" t="s">
        <v>882</v>
      </c>
    </row>
    <row r="192" spans="1:8" ht="36.6" x14ac:dyDescent="0.3">
      <c r="A192" s="36">
        <v>46173</v>
      </c>
      <c r="B192" s="37" t="s">
        <v>1525</v>
      </c>
      <c r="C192" s="38" t="s">
        <v>15</v>
      </c>
      <c r="D192" s="19" t="s">
        <v>1529</v>
      </c>
      <c r="E192" s="175">
        <v>2125120</v>
      </c>
      <c r="F192" s="174"/>
      <c r="G192" s="38" t="s">
        <v>179</v>
      </c>
      <c r="H192" s="38" t="s">
        <v>882</v>
      </c>
    </row>
    <row r="193" spans="1:8" ht="24.6" x14ac:dyDescent="0.3">
      <c r="A193" s="36">
        <v>46173</v>
      </c>
      <c r="B193" s="37" t="s">
        <v>1525</v>
      </c>
      <c r="C193" s="38" t="s">
        <v>15</v>
      </c>
      <c r="D193" s="19" t="s">
        <v>1530</v>
      </c>
      <c r="E193" s="175">
        <v>2512500</v>
      </c>
      <c r="F193" s="174"/>
      <c r="G193" s="38" t="s">
        <v>179</v>
      </c>
      <c r="H193" s="38" t="s">
        <v>882</v>
      </c>
    </row>
    <row r="194" spans="1:8" ht="36.6" x14ac:dyDescent="0.3">
      <c r="A194" s="36">
        <v>46173</v>
      </c>
      <c r="B194" s="37" t="s">
        <v>1525</v>
      </c>
      <c r="C194" s="38" t="s">
        <v>15</v>
      </c>
      <c r="D194" s="19" t="s">
        <v>1531</v>
      </c>
      <c r="E194" s="175">
        <v>466667</v>
      </c>
      <c r="F194" s="174"/>
      <c r="G194" s="38" t="s">
        <v>179</v>
      </c>
      <c r="H194" s="38" t="s">
        <v>882</v>
      </c>
    </row>
    <row r="195" spans="1:8" ht="24.6" x14ac:dyDescent="0.3">
      <c r="A195" s="36">
        <v>46173</v>
      </c>
      <c r="B195" s="37" t="s">
        <v>1525</v>
      </c>
      <c r="C195" s="38" t="s">
        <v>15</v>
      </c>
      <c r="D195" s="19" t="s">
        <v>1532</v>
      </c>
      <c r="E195" s="175">
        <v>3465000</v>
      </c>
      <c r="F195" s="174"/>
      <c r="G195" s="38" t="s">
        <v>179</v>
      </c>
      <c r="H195" s="38" t="s">
        <v>882</v>
      </c>
    </row>
    <row r="196" spans="1:8" ht="24.6" x14ac:dyDescent="0.3">
      <c r="A196" s="36">
        <v>46173</v>
      </c>
      <c r="B196" s="37" t="s">
        <v>1525</v>
      </c>
      <c r="C196" s="38" t="s">
        <v>15</v>
      </c>
      <c r="D196" s="19" t="s">
        <v>1533</v>
      </c>
      <c r="E196" s="175">
        <v>656224</v>
      </c>
      <c r="F196" s="174"/>
      <c r="G196" s="38" t="s">
        <v>179</v>
      </c>
      <c r="H196" s="38" t="s">
        <v>882</v>
      </c>
    </row>
    <row r="197" spans="1:8" ht="36.6" x14ac:dyDescent="0.3">
      <c r="A197" s="36">
        <v>46173</v>
      </c>
      <c r="B197" s="37" t="s">
        <v>1525</v>
      </c>
      <c r="C197" s="38" t="s">
        <v>15</v>
      </c>
      <c r="D197" s="19" t="s">
        <v>1534</v>
      </c>
      <c r="E197" s="175">
        <v>2188889</v>
      </c>
      <c r="F197" s="174"/>
      <c r="G197" s="38" t="s">
        <v>179</v>
      </c>
      <c r="H197" s="38" t="s">
        <v>882</v>
      </c>
    </row>
    <row r="198" spans="1:8" ht="36.6" x14ac:dyDescent="0.3">
      <c r="A198" s="36">
        <v>46173</v>
      </c>
      <c r="B198" s="37" t="s">
        <v>1525</v>
      </c>
      <c r="C198" s="38" t="s">
        <v>15</v>
      </c>
      <c r="D198" s="19" t="s">
        <v>1535</v>
      </c>
      <c r="E198" s="175">
        <v>469200</v>
      </c>
      <c r="F198" s="174"/>
      <c r="G198" s="38" t="s">
        <v>179</v>
      </c>
      <c r="H198" s="38" t="s">
        <v>882</v>
      </c>
    </row>
    <row r="199" spans="1:8" ht="36.6" x14ac:dyDescent="0.3">
      <c r="A199" s="36">
        <v>46173</v>
      </c>
      <c r="B199" s="37" t="s">
        <v>1525</v>
      </c>
      <c r="C199" s="38" t="s">
        <v>15</v>
      </c>
      <c r="D199" s="19" t="s">
        <v>1536</v>
      </c>
      <c r="E199" s="175">
        <v>2672000</v>
      </c>
      <c r="F199" s="174"/>
      <c r="G199" s="38" t="s">
        <v>179</v>
      </c>
      <c r="H199" s="38" t="s">
        <v>882</v>
      </c>
    </row>
    <row r="200" spans="1:8" ht="36.6" x14ac:dyDescent="0.3">
      <c r="A200" s="36">
        <v>46173</v>
      </c>
      <c r="B200" s="37" t="s">
        <v>1525</v>
      </c>
      <c r="C200" s="38" t="s">
        <v>15</v>
      </c>
      <c r="D200" s="19" t="s">
        <v>1537</v>
      </c>
      <c r="E200" s="175">
        <v>20995200</v>
      </c>
      <c r="F200" s="174"/>
      <c r="G200" s="38" t="s">
        <v>179</v>
      </c>
      <c r="H200" s="38" t="s">
        <v>882</v>
      </c>
    </row>
    <row r="201" spans="1:8" ht="36.6" x14ac:dyDescent="0.3">
      <c r="A201" s="36">
        <v>46173</v>
      </c>
      <c r="B201" s="37" t="s">
        <v>1525</v>
      </c>
      <c r="C201" s="38" t="s">
        <v>15</v>
      </c>
      <c r="D201" s="19" t="s">
        <v>1538</v>
      </c>
      <c r="E201" s="175">
        <v>471377</v>
      </c>
      <c r="F201" s="174"/>
      <c r="G201" s="38" t="s">
        <v>179</v>
      </c>
      <c r="H201" s="38" t="s">
        <v>882</v>
      </c>
    </row>
    <row r="202" spans="1:8" x14ac:dyDescent="0.3">
      <c r="A202" s="36">
        <v>46173</v>
      </c>
      <c r="B202" s="37" t="s">
        <v>1539</v>
      </c>
      <c r="C202" s="38" t="s">
        <v>15</v>
      </c>
      <c r="D202" s="19" t="s">
        <v>1540</v>
      </c>
      <c r="E202" s="175">
        <v>179226</v>
      </c>
      <c r="F202" s="174"/>
      <c r="G202" s="38" t="s">
        <v>259</v>
      </c>
      <c r="H202" s="38" t="s">
        <v>882</v>
      </c>
    </row>
    <row r="203" spans="1:8" x14ac:dyDescent="0.3">
      <c r="A203" s="36">
        <v>46173</v>
      </c>
      <c r="B203" s="37" t="s">
        <v>1539</v>
      </c>
      <c r="C203" s="38" t="s">
        <v>15</v>
      </c>
      <c r="D203" s="19" t="s">
        <v>1541</v>
      </c>
      <c r="E203" s="175">
        <v>100000</v>
      </c>
      <c r="F203" s="174"/>
      <c r="G203" s="38" t="s">
        <v>259</v>
      </c>
      <c r="H203" s="38" t="s">
        <v>882</v>
      </c>
    </row>
    <row r="204" spans="1:8" x14ac:dyDescent="0.3">
      <c r="A204" s="36">
        <v>46173</v>
      </c>
      <c r="B204" s="37" t="s">
        <v>1539</v>
      </c>
      <c r="C204" s="38" t="s">
        <v>15</v>
      </c>
      <c r="D204" s="19" t="s">
        <v>1068</v>
      </c>
      <c r="E204" s="175">
        <v>24000</v>
      </c>
      <c r="F204" s="174"/>
      <c r="G204" s="38" t="s">
        <v>259</v>
      </c>
      <c r="H204" s="38" t="s">
        <v>882</v>
      </c>
    </row>
    <row r="205" spans="1:8" x14ac:dyDescent="0.3">
      <c r="A205" s="36">
        <v>46173</v>
      </c>
      <c r="B205" s="37" t="s">
        <v>1539</v>
      </c>
      <c r="C205" s="38" t="s">
        <v>15</v>
      </c>
      <c r="D205" s="19" t="s">
        <v>1054</v>
      </c>
      <c r="E205" s="175">
        <v>109407</v>
      </c>
      <c r="F205" s="174"/>
      <c r="G205" s="38" t="s">
        <v>259</v>
      </c>
      <c r="H205" s="38" t="s">
        <v>882</v>
      </c>
    </row>
    <row r="206" spans="1:8" x14ac:dyDescent="0.3">
      <c r="A206" s="36">
        <v>46173</v>
      </c>
      <c r="B206" s="37" t="s">
        <v>1539</v>
      </c>
      <c r="C206" s="38" t="s">
        <v>15</v>
      </c>
      <c r="D206" s="19" t="s">
        <v>1542</v>
      </c>
      <c r="E206" s="175">
        <v>24000</v>
      </c>
      <c r="F206" s="174"/>
      <c r="G206" s="38" t="s">
        <v>259</v>
      </c>
      <c r="H206" s="38" t="s">
        <v>882</v>
      </c>
    </row>
    <row r="207" spans="1:8" x14ac:dyDescent="0.3">
      <c r="A207" s="36">
        <v>46173</v>
      </c>
      <c r="B207" s="37" t="s">
        <v>1539</v>
      </c>
      <c r="C207" s="38" t="s">
        <v>15</v>
      </c>
      <c r="D207" s="19" t="s">
        <v>1542</v>
      </c>
      <c r="E207" s="175">
        <v>24000</v>
      </c>
      <c r="F207" s="174"/>
      <c r="G207" s="38" t="s">
        <v>259</v>
      </c>
      <c r="H207" s="38" t="s">
        <v>882</v>
      </c>
    </row>
    <row r="208" spans="1:8" x14ac:dyDescent="0.3">
      <c r="A208" s="36">
        <v>46173</v>
      </c>
      <c r="B208" s="37" t="s">
        <v>1539</v>
      </c>
      <c r="C208" s="38" t="s">
        <v>15</v>
      </c>
      <c r="D208" s="19" t="s">
        <v>1542</v>
      </c>
      <c r="E208" s="175">
        <v>24000</v>
      </c>
      <c r="F208" s="174"/>
      <c r="G208" s="38" t="s">
        <v>259</v>
      </c>
      <c r="H208" s="38" t="s">
        <v>882</v>
      </c>
    </row>
    <row r="209" spans="1:8" x14ac:dyDescent="0.3">
      <c r="A209" s="36">
        <v>46173</v>
      </c>
      <c r="B209" s="37" t="s">
        <v>1539</v>
      </c>
      <c r="C209" s="38" t="s">
        <v>15</v>
      </c>
      <c r="D209" s="19" t="s">
        <v>1543</v>
      </c>
      <c r="E209" s="175">
        <v>145454</v>
      </c>
      <c r="F209" s="174"/>
      <c r="G209" s="38" t="s">
        <v>259</v>
      </c>
      <c r="H209" s="38" t="s">
        <v>882</v>
      </c>
    </row>
    <row r="210" spans="1:8" x14ac:dyDescent="0.3">
      <c r="A210" s="36">
        <v>46173</v>
      </c>
      <c r="B210" s="37" t="s">
        <v>1539</v>
      </c>
      <c r="C210" s="38" t="s">
        <v>15</v>
      </c>
      <c r="D210" s="19" t="s">
        <v>1542</v>
      </c>
      <c r="E210" s="175">
        <v>21091</v>
      </c>
      <c r="F210" s="174"/>
      <c r="G210" s="38" t="s">
        <v>259</v>
      </c>
      <c r="H210" s="38" t="s">
        <v>882</v>
      </c>
    </row>
    <row r="211" spans="1:8" x14ac:dyDescent="0.3">
      <c r="A211" s="36">
        <v>46173</v>
      </c>
      <c r="B211" s="37" t="s">
        <v>1539</v>
      </c>
      <c r="C211" s="38" t="s">
        <v>15</v>
      </c>
      <c r="D211" s="19" t="s">
        <v>1542</v>
      </c>
      <c r="E211" s="175">
        <v>18182</v>
      </c>
      <c r="F211" s="174"/>
      <c r="G211" s="38" t="s">
        <v>259</v>
      </c>
      <c r="H211" s="38" t="s">
        <v>882</v>
      </c>
    </row>
    <row r="212" spans="1:8" x14ac:dyDescent="0.3">
      <c r="A212" s="36">
        <v>46173</v>
      </c>
      <c r="B212" s="37" t="s">
        <v>1539</v>
      </c>
      <c r="C212" s="38" t="s">
        <v>15</v>
      </c>
      <c r="D212" s="19" t="s">
        <v>1542</v>
      </c>
      <c r="E212" s="175">
        <v>21091</v>
      </c>
      <c r="F212" s="174"/>
      <c r="G212" s="38" t="s">
        <v>259</v>
      </c>
      <c r="H212" s="38" t="s">
        <v>882</v>
      </c>
    </row>
    <row r="213" spans="1:8" x14ac:dyDescent="0.3">
      <c r="A213" s="36">
        <v>46173</v>
      </c>
      <c r="B213" s="37" t="s">
        <v>1539</v>
      </c>
      <c r="C213" s="38" t="s">
        <v>15</v>
      </c>
      <c r="D213" s="19" t="s">
        <v>1094</v>
      </c>
      <c r="E213" s="175">
        <v>360607</v>
      </c>
      <c r="F213" s="174"/>
      <c r="G213" s="38" t="s">
        <v>259</v>
      </c>
      <c r="H213" s="38" t="s">
        <v>882</v>
      </c>
    </row>
    <row r="214" spans="1:8" x14ac:dyDescent="0.3">
      <c r="A214" s="36">
        <v>46173</v>
      </c>
      <c r="B214" s="37" t="s">
        <v>1539</v>
      </c>
      <c r="C214" s="38" t="s">
        <v>15</v>
      </c>
      <c r="D214" s="19" t="s">
        <v>1094</v>
      </c>
      <c r="E214" s="175">
        <v>3200</v>
      </c>
      <c r="F214" s="174"/>
      <c r="G214" s="38" t="s">
        <v>259</v>
      </c>
      <c r="H214" s="38" t="s">
        <v>882</v>
      </c>
    </row>
    <row r="215" spans="1:8" x14ac:dyDescent="0.3">
      <c r="A215" s="36">
        <v>46173</v>
      </c>
      <c r="B215" s="37" t="s">
        <v>1539</v>
      </c>
      <c r="C215" s="38" t="s">
        <v>15</v>
      </c>
      <c r="D215" s="19" t="s">
        <v>1544</v>
      </c>
      <c r="E215" s="175">
        <v>13333</v>
      </c>
      <c r="F215" s="174"/>
      <c r="G215" s="38" t="s">
        <v>259</v>
      </c>
      <c r="H215" s="38" t="s">
        <v>882</v>
      </c>
    </row>
    <row r="216" spans="1:8" x14ac:dyDescent="0.3">
      <c r="A216" s="36">
        <v>46173</v>
      </c>
      <c r="B216" s="37" t="s">
        <v>1539</v>
      </c>
      <c r="C216" s="38" t="s">
        <v>15</v>
      </c>
      <c r="D216" s="19" t="s">
        <v>1511</v>
      </c>
      <c r="E216" s="175">
        <v>329036</v>
      </c>
      <c r="F216" s="174"/>
      <c r="G216" s="38" t="s">
        <v>259</v>
      </c>
      <c r="H216" s="38" t="s">
        <v>882</v>
      </c>
    </row>
    <row r="217" spans="1:8" x14ac:dyDescent="0.3">
      <c r="A217" s="36">
        <v>46173</v>
      </c>
      <c r="B217" s="37" t="s">
        <v>1539</v>
      </c>
      <c r="C217" s="38" t="s">
        <v>15</v>
      </c>
      <c r="D217" s="19" t="s">
        <v>1511</v>
      </c>
      <c r="E217" s="175">
        <v>5455</v>
      </c>
      <c r="F217" s="174"/>
      <c r="G217" s="38" t="s">
        <v>259</v>
      </c>
      <c r="H217" s="38" t="s">
        <v>882</v>
      </c>
    </row>
    <row r="218" spans="1:8" x14ac:dyDescent="0.3">
      <c r="A218" s="36">
        <v>46173</v>
      </c>
      <c r="B218" s="37" t="s">
        <v>1539</v>
      </c>
      <c r="C218" s="38" t="s">
        <v>15</v>
      </c>
      <c r="D218" s="19" t="s">
        <v>1511</v>
      </c>
      <c r="E218" s="175">
        <v>328518</v>
      </c>
      <c r="F218" s="174"/>
      <c r="G218" s="38" t="s">
        <v>259</v>
      </c>
      <c r="H218" s="38" t="s">
        <v>882</v>
      </c>
    </row>
    <row r="219" spans="1:8" x14ac:dyDescent="0.3">
      <c r="A219" s="36">
        <v>46173</v>
      </c>
      <c r="B219" s="37" t="s">
        <v>1539</v>
      </c>
      <c r="C219" s="38" t="s">
        <v>15</v>
      </c>
      <c r="D219" s="19" t="s">
        <v>1511</v>
      </c>
      <c r="E219" s="175">
        <v>7273</v>
      </c>
      <c r="F219" s="174"/>
      <c r="G219" s="38" t="s">
        <v>259</v>
      </c>
      <c r="H219" s="38" t="s">
        <v>882</v>
      </c>
    </row>
    <row r="220" spans="1:8" x14ac:dyDescent="0.3">
      <c r="A220" s="36">
        <v>46173</v>
      </c>
      <c r="B220" s="37" t="s">
        <v>1539</v>
      </c>
      <c r="C220" s="38" t="s">
        <v>15</v>
      </c>
      <c r="D220" s="19" t="s">
        <v>1511</v>
      </c>
      <c r="E220" s="175">
        <v>328666</v>
      </c>
      <c r="F220" s="174"/>
      <c r="G220" s="38" t="s">
        <v>259</v>
      </c>
      <c r="H220" s="38" t="s">
        <v>882</v>
      </c>
    </row>
    <row r="221" spans="1:8" x14ac:dyDescent="0.3">
      <c r="A221" s="36">
        <v>46173</v>
      </c>
      <c r="B221" s="37" t="s">
        <v>1539</v>
      </c>
      <c r="C221" s="38" t="s">
        <v>15</v>
      </c>
      <c r="D221" s="19" t="s">
        <v>1511</v>
      </c>
      <c r="E221" s="175">
        <v>8182</v>
      </c>
      <c r="F221" s="174"/>
      <c r="G221" s="38" t="s">
        <v>259</v>
      </c>
      <c r="H221" s="38" t="s">
        <v>882</v>
      </c>
    </row>
    <row r="222" spans="1:8" x14ac:dyDescent="0.3">
      <c r="A222" s="36">
        <v>46173</v>
      </c>
      <c r="B222" s="37" t="s">
        <v>1539</v>
      </c>
      <c r="C222" s="38" t="s">
        <v>15</v>
      </c>
      <c r="D222" s="19" t="s">
        <v>1511</v>
      </c>
      <c r="E222" s="175">
        <v>327924</v>
      </c>
      <c r="F222" s="174"/>
      <c r="G222" s="38" t="s">
        <v>259</v>
      </c>
      <c r="H222" s="38" t="s">
        <v>882</v>
      </c>
    </row>
    <row r="223" spans="1:8" x14ac:dyDescent="0.3">
      <c r="A223" s="36">
        <v>46173</v>
      </c>
      <c r="B223" s="37" t="s">
        <v>1539</v>
      </c>
      <c r="C223" s="38" t="s">
        <v>15</v>
      </c>
      <c r="D223" s="19" t="s">
        <v>1511</v>
      </c>
      <c r="E223" s="175">
        <v>6818</v>
      </c>
      <c r="F223" s="174"/>
      <c r="G223" s="38" t="s">
        <v>259</v>
      </c>
      <c r="H223" s="38" t="s">
        <v>882</v>
      </c>
    </row>
    <row r="224" spans="1:8" x14ac:dyDescent="0.3">
      <c r="A224" s="36">
        <v>46173</v>
      </c>
      <c r="B224" s="37" t="s">
        <v>1539</v>
      </c>
      <c r="C224" s="38" t="s">
        <v>15</v>
      </c>
      <c r="D224" s="19" t="s">
        <v>1511</v>
      </c>
      <c r="E224" s="175">
        <v>295852</v>
      </c>
      <c r="F224" s="174"/>
      <c r="G224" s="38" t="s">
        <v>259</v>
      </c>
      <c r="H224" s="38" t="s">
        <v>882</v>
      </c>
    </row>
    <row r="225" spans="1:8" x14ac:dyDescent="0.3">
      <c r="A225" s="36">
        <v>46173</v>
      </c>
      <c r="B225" s="37" t="s">
        <v>1539</v>
      </c>
      <c r="C225" s="38" t="s">
        <v>15</v>
      </c>
      <c r="D225" s="19" t="s">
        <v>1511</v>
      </c>
      <c r="E225" s="175">
        <v>1364</v>
      </c>
      <c r="F225" s="174"/>
      <c r="G225" s="38" t="s">
        <v>259</v>
      </c>
      <c r="H225" s="38" t="s">
        <v>882</v>
      </c>
    </row>
    <row r="226" spans="1:8" x14ac:dyDescent="0.3">
      <c r="A226" s="36">
        <v>46173</v>
      </c>
      <c r="B226" s="37" t="s">
        <v>1539</v>
      </c>
      <c r="C226" s="38" t="s">
        <v>15</v>
      </c>
      <c r="D226" s="19" t="s">
        <v>1545</v>
      </c>
      <c r="E226" s="175">
        <v>24000</v>
      </c>
      <c r="F226" s="174"/>
      <c r="G226" s="38" t="s">
        <v>259</v>
      </c>
      <c r="H226" s="38" t="s">
        <v>882</v>
      </c>
    </row>
    <row r="227" spans="1:8" x14ac:dyDescent="0.3">
      <c r="A227" s="36">
        <v>46173</v>
      </c>
      <c r="B227" s="37" t="s">
        <v>1539</v>
      </c>
      <c r="C227" s="38" t="s">
        <v>15</v>
      </c>
      <c r="D227" s="19" t="s">
        <v>1545</v>
      </c>
      <c r="E227" s="175">
        <v>96000</v>
      </c>
      <c r="F227" s="174"/>
      <c r="G227" s="38" t="s">
        <v>259</v>
      </c>
      <c r="H227" s="38" t="s">
        <v>882</v>
      </c>
    </row>
    <row r="228" spans="1:8" x14ac:dyDescent="0.3">
      <c r="A228" s="36">
        <v>46173</v>
      </c>
      <c r="B228" s="37" t="s">
        <v>1539</v>
      </c>
      <c r="C228" s="38" t="s">
        <v>15</v>
      </c>
      <c r="D228" s="19" t="s">
        <v>1544</v>
      </c>
      <c r="E228" s="175">
        <v>31111</v>
      </c>
      <c r="F228" s="174"/>
      <c r="G228" s="38" t="s">
        <v>259</v>
      </c>
      <c r="H228" s="38" t="s">
        <v>882</v>
      </c>
    </row>
    <row r="229" spans="1:8" x14ac:dyDescent="0.3">
      <c r="A229" s="36">
        <v>46173</v>
      </c>
      <c r="B229" s="37" t="s">
        <v>1539</v>
      </c>
      <c r="C229" s="38" t="s">
        <v>15</v>
      </c>
      <c r="D229" s="19" t="s">
        <v>1544</v>
      </c>
      <c r="E229" s="175">
        <v>20000</v>
      </c>
      <c r="F229" s="174"/>
      <c r="G229" s="38" t="s">
        <v>259</v>
      </c>
      <c r="H229" s="38" t="s">
        <v>882</v>
      </c>
    </row>
    <row r="230" spans="1:8" x14ac:dyDescent="0.3">
      <c r="A230" s="36">
        <v>46173</v>
      </c>
      <c r="B230" s="37" t="s">
        <v>1539</v>
      </c>
      <c r="C230" s="38" t="s">
        <v>15</v>
      </c>
      <c r="D230" s="19" t="s">
        <v>1544</v>
      </c>
      <c r="E230" s="175">
        <v>26667</v>
      </c>
      <c r="F230" s="174"/>
      <c r="G230" s="38" t="s">
        <v>259</v>
      </c>
      <c r="H230" s="38" t="s">
        <v>882</v>
      </c>
    </row>
    <row r="231" spans="1:8" x14ac:dyDescent="0.3">
      <c r="A231" s="36">
        <v>46173</v>
      </c>
      <c r="B231" s="37" t="s">
        <v>1539</v>
      </c>
      <c r="C231" s="38" t="s">
        <v>15</v>
      </c>
      <c r="D231" s="19" t="s">
        <v>1544</v>
      </c>
      <c r="E231" s="175">
        <v>18148</v>
      </c>
      <c r="F231" s="174"/>
      <c r="G231" s="38" t="s">
        <v>259</v>
      </c>
      <c r="H231" s="38" t="s">
        <v>882</v>
      </c>
    </row>
    <row r="232" spans="1:8" x14ac:dyDescent="0.3">
      <c r="A232" s="36">
        <v>46173</v>
      </c>
      <c r="B232" s="37" t="s">
        <v>1539</v>
      </c>
      <c r="C232" s="38" t="s">
        <v>15</v>
      </c>
      <c r="D232" s="19" t="s">
        <v>1511</v>
      </c>
      <c r="E232" s="175">
        <v>334667</v>
      </c>
      <c r="F232" s="174"/>
      <c r="G232" s="38" t="s">
        <v>259</v>
      </c>
      <c r="H232" s="38" t="s">
        <v>882</v>
      </c>
    </row>
    <row r="233" spans="1:8" x14ac:dyDescent="0.3">
      <c r="A233" s="36">
        <v>46173</v>
      </c>
      <c r="B233" s="37" t="s">
        <v>1539</v>
      </c>
      <c r="C233" s="38" t="s">
        <v>15</v>
      </c>
      <c r="D233" s="19" t="s">
        <v>1511</v>
      </c>
      <c r="E233" s="175">
        <v>6400</v>
      </c>
      <c r="F233" s="174"/>
      <c r="G233" s="38" t="s">
        <v>259</v>
      </c>
      <c r="H233" s="38" t="s">
        <v>882</v>
      </c>
    </row>
    <row r="234" spans="1:8" x14ac:dyDescent="0.3">
      <c r="A234" s="36">
        <v>46173</v>
      </c>
      <c r="B234" s="37" t="s">
        <v>1539</v>
      </c>
      <c r="C234" s="38" t="s">
        <v>15</v>
      </c>
      <c r="D234" s="19" t="s">
        <v>1511</v>
      </c>
      <c r="E234" s="175">
        <v>331200</v>
      </c>
      <c r="F234" s="174"/>
      <c r="G234" s="38" t="s">
        <v>259</v>
      </c>
      <c r="H234" s="38" t="s">
        <v>882</v>
      </c>
    </row>
    <row r="235" spans="1:8" x14ac:dyDescent="0.3">
      <c r="A235" s="36">
        <v>46173</v>
      </c>
      <c r="B235" s="37" t="s">
        <v>1539</v>
      </c>
      <c r="C235" s="38" t="s">
        <v>15</v>
      </c>
      <c r="D235" s="19" t="s">
        <v>1511</v>
      </c>
      <c r="E235" s="175">
        <v>5455</v>
      </c>
      <c r="F235" s="174"/>
      <c r="G235" s="38" t="s">
        <v>259</v>
      </c>
      <c r="H235" s="38" t="s">
        <v>882</v>
      </c>
    </row>
    <row r="236" spans="1:8" x14ac:dyDescent="0.3">
      <c r="A236" s="36">
        <v>46173</v>
      </c>
      <c r="B236" s="37" t="s">
        <v>1539</v>
      </c>
      <c r="C236" s="38" t="s">
        <v>15</v>
      </c>
      <c r="D236" s="19" t="s">
        <v>1511</v>
      </c>
      <c r="E236" s="175">
        <v>325777</v>
      </c>
      <c r="F236" s="174"/>
      <c r="G236" s="38" t="s">
        <v>259</v>
      </c>
      <c r="H236" s="38" t="s">
        <v>882</v>
      </c>
    </row>
    <row r="237" spans="1:8" x14ac:dyDescent="0.3">
      <c r="A237" s="36">
        <v>46173</v>
      </c>
      <c r="B237" s="37" t="s">
        <v>1539</v>
      </c>
      <c r="C237" s="38" t="s">
        <v>15</v>
      </c>
      <c r="D237" s="19" t="s">
        <v>1511</v>
      </c>
      <c r="E237" s="175">
        <v>334320</v>
      </c>
      <c r="F237" s="174"/>
      <c r="G237" s="38" t="s">
        <v>259</v>
      </c>
      <c r="H237" s="38" t="s">
        <v>882</v>
      </c>
    </row>
    <row r="238" spans="1:8" x14ac:dyDescent="0.3">
      <c r="A238" s="36">
        <v>46173</v>
      </c>
      <c r="B238" s="37" t="s">
        <v>1539</v>
      </c>
      <c r="C238" s="38" t="s">
        <v>15</v>
      </c>
      <c r="D238" s="19" t="s">
        <v>1511</v>
      </c>
      <c r="E238" s="175">
        <v>335926</v>
      </c>
      <c r="F238" s="174"/>
      <c r="G238" s="38" t="s">
        <v>259</v>
      </c>
      <c r="H238" s="38" t="s">
        <v>882</v>
      </c>
    </row>
    <row r="239" spans="1:8" x14ac:dyDescent="0.3">
      <c r="A239" s="36">
        <v>46173</v>
      </c>
      <c r="B239" s="37" t="s">
        <v>1539</v>
      </c>
      <c r="C239" s="38" t="s">
        <v>15</v>
      </c>
      <c r="D239" s="19" t="s">
        <v>1511</v>
      </c>
      <c r="E239" s="175">
        <v>2727</v>
      </c>
      <c r="F239" s="174"/>
      <c r="G239" s="38" t="s">
        <v>259</v>
      </c>
      <c r="H239" s="38" t="s">
        <v>882</v>
      </c>
    </row>
    <row r="240" spans="1:8" x14ac:dyDescent="0.3">
      <c r="A240" s="36">
        <v>46173</v>
      </c>
      <c r="B240" s="37" t="s">
        <v>1546</v>
      </c>
      <c r="C240" s="38" t="s">
        <v>15</v>
      </c>
      <c r="D240" s="19" t="s">
        <v>1547</v>
      </c>
      <c r="E240" s="175">
        <v>74433</v>
      </c>
      <c r="F240" s="174"/>
      <c r="G240" s="38" t="s">
        <v>259</v>
      </c>
      <c r="H240" s="38" t="s">
        <v>882</v>
      </c>
    </row>
    <row r="241" spans="1:8" x14ac:dyDescent="0.3">
      <c r="A241" s="36">
        <v>46173</v>
      </c>
      <c r="B241" s="37" t="s">
        <v>1546</v>
      </c>
      <c r="C241" s="38" t="s">
        <v>15</v>
      </c>
      <c r="D241" s="19" t="s">
        <v>1547</v>
      </c>
      <c r="E241" s="175">
        <v>53722</v>
      </c>
      <c r="F241" s="174"/>
      <c r="G241" s="38" t="s">
        <v>259</v>
      </c>
      <c r="H241" s="38" t="s">
        <v>882</v>
      </c>
    </row>
    <row r="242" spans="1:8" x14ac:dyDescent="0.3">
      <c r="A242" s="36">
        <v>46173</v>
      </c>
      <c r="B242" s="37" t="s">
        <v>1546</v>
      </c>
      <c r="C242" s="38" t="s">
        <v>15</v>
      </c>
      <c r="D242" s="19" t="s">
        <v>1547</v>
      </c>
      <c r="E242" s="175">
        <v>852272</v>
      </c>
      <c r="F242" s="174"/>
      <c r="G242" s="38" t="s">
        <v>259</v>
      </c>
      <c r="H242" s="38" t="s">
        <v>882</v>
      </c>
    </row>
    <row r="243" spans="1:8" x14ac:dyDescent="0.3">
      <c r="A243" s="36">
        <v>46173</v>
      </c>
      <c r="B243" s="37" t="s">
        <v>1546</v>
      </c>
      <c r="C243" s="38" t="s">
        <v>15</v>
      </c>
      <c r="D243" s="19" t="s">
        <v>1547</v>
      </c>
      <c r="E243" s="175">
        <v>113165</v>
      </c>
      <c r="F243" s="174"/>
      <c r="G243" s="38" t="s">
        <v>259</v>
      </c>
      <c r="H243" s="38" t="s">
        <v>882</v>
      </c>
    </row>
    <row r="244" spans="1:8" x14ac:dyDescent="0.3">
      <c r="A244" s="36">
        <v>46173</v>
      </c>
      <c r="B244" s="37" t="s">
        <v>1546</v>
      </c>
      <c r="C244" s="38" t="s">
        <v>15</v>
      </c>
      <c r="D244" s="19" t="s">
        <v>883</v>
      </c>
      <c r="E244" s="175">
        <v>86221</v>
      </c>
      <c r="F244" s="174"/>
      <c r="G244" s="38" t="s">
        <v>259</v>
      </c>
      <c r="H244" s="38" t="s">
        <v>882</v>
      </c>
    </row>
    <row r="245" spans="1:8" x14ac:dyDescent="0.3">
      <c r="A245" s="36">
        <v>46173</v>
      </c>
      <c r="B245" s="37" t="s">
        <v>1546</v>
      </c>
      <c r="C245" s="38" t="s">
        <v>15</v>
      </c>
      <c r="D245" s="19" t="s">
        <v>883</v>
      </c>
      <c r="E245" s="175">
        <v>91273</v>
      </c>
      <c r="F245" s="174"/>
      <c r="G245" s="38" t="s">
        <v>259</v>
      </c>
      <c r="H245" s="38" t="s">
        <v>882</v>
      </c>
    </row>
    <row r="246" spans="1:8" x14ac:dyDescent="0.3">
      <c r="A246" s="36">
        <v>46173</v>
      </c>
      <c r="B246" s="37" t="s">
        <v>1546</v>
      </c>
      <c r="C246" s="38" t="s">
        <v>15</v>
      </c>
      <c r="D246" s="19" t="s">
        <v>883</v>
      </c>
      <c r="E246" s="175">
        <v>116028</v>
      </c>
      <c r="F246" s="174"/>
      <c r="G246" s="38" t="s">
        <v>259</v>
      </c>
      <c r="H246" s="38" t="s">
        <v>882</v>
      </c>
    </row>
    <row r="247" spans="1:8" x14ac:dyDescent="0.3">
      <c r="A247" s="36">
        <v>46173</v>
      </c>
      <c r="B247" s="37" t="s">
        <v>1546</v>
      </c>
      <c r="C247" s="38" t="s">
        <v>15</v>
      </c>
      <c r="D247" s="19" t="s">
        <v>1547</v>
      </c>
      <c r="E247" s="175">
        <v>7719288</v>
      </c>
      <c r="F247" s="174"/>
      <c r="G247" s="38" t="s">
        <v>259</v>
      </c>
      <c r="H247" s="38" t="s">
        <v>882</v>
      </c>
    </row>
    <row r="248" spans="1:8" x14ac:dyDescent="0.3">
      <c r="A248" s="36">
        <v>46173</v>
      </c>
      <c r="B248" s="37" t="s">
        <v>1546</v>
      </c>
      <c r="C248" s="38" t="s">
        <v>15</v>
      </c>
      <c r="D248" s="19" t="s">
        <v>1547</v>
      </c>
      <c r="E248" s="175">
        <v>256473</v>
      </c>
      <c r="F248" s="174"/>
      <c r="G248" s="38" t="s">
        <v>259</v>
      </c>
      <c r="H248" s="38" t="s">
        <v>882</v>
      </c>
    </row>
    <row r="249" spans="1:8" x14ac:dyDescent="0.3">
      <c r="A249" s="36">
        <v>46173</v>
      </c>
      <c r="B249" s="37" t="s">
        <v>1546</v>
      </c>
      <c r="C249" s="38" t="s">
        <v>15</v>
      </c>
      <c r="D249" s="19" t="s">
        <v>1547</v>
      </c>
      <c r="E249" s="175">
        <v>85716</v>
      </c>
      <c r="F249" s="174"/>
      <c r="G249" s="38" t="s">
        <v>259</v>
      </c>
      <c r="H249" s="38" t="s">
        <v>882</v>
      </c>
    </row>
    <row r="250" spans="1:8" x14ac:dyDescent="0.3">
      <c r="A250" s="36">
        <v>46173</v>
      </c>
      <c r="B250" s="37" t="s">
        <v>1546</v>
      </c>
      <c r="C250" s="38" t="s">
        <v>15</v>
      </c>
      <c r="D250" s="19" t="s">
        <v>1547</v>
      </c>
      <c r="E250" s="175">
        <v>275334</v>
      </c>
      <c r="F250" s="174"/>
      <c r="G250" s="38" t="s">
        <v>259</v>
      </c>
      <c r="H250" s="38" t="s">
        <v>882</v>
      </c>
    </row>
    <row r="251" spans="1:8" x14ac:dyDescent="0.3">
      <c r="A251" s="36">
        <v>46173</v>
      </c>
      <c r="B251" s="37" t="s">
        <v>1546</v>
      </c>
      <c r="C251" s="38" t="s">
        <v>15</v>
      </c>
      <c r="D251" s="19" t="s">
        <v>1547</v>
      </c>
      <c r="E251" s="175">
        <v>1469122</v>
      </c>
      <c r="F251" s="174"/>
      <c r="G251" s="38" t="s">
        <v>259</v>
      </c>
      <c r="H251" s="38" t="s">
        <v>882</v>
      </c>
    </row>
    <row r="252" spans="1:8" x14ac:dyDescent="0.3">
      <c r="A252" s="36">
        <v>46173</v>
      </c>
      <c r="B252" s="37" t="s">
        <v>1546</v>
      </c>
      <c r="C252" s="38" t="s">
        <v>15</v>
      </c>
      <c r="D252" s="19" t="s">
        <v>1547</v>
      </c>
      <c r="E252" s="175">
        <v>2066</v>
      </c>
      <c r="F252" s="174"/>
      <c r="G252" s="38" t="s">
        <v>259</v>
      </c>
      <c r="H252" s="38" t="s">
        <v>882</v>
      </c>
    </row>
    <row r="253" spans="1:8" x14ac:dyDescent="0.3">
      <c r="A253" s="36">
        <v>46173</v>
      </c>
      <c r="B253" s="37" t="s">
        <v>1546</v>
      </c>
      <c r="C253" s="38" t="s">
        <v>15</v>
      </c>
      <c r="D253" s="19" t="s">
        <v>1547</v>
      </c>
      <c r="E253" s="175">
        <v>13472</v>
      </c>
      <c r="F253" s="174"/>
      <c r="G253" s="38" t="s">
        <v>259</v>
      </c>
      <c r="H253" s="38" t="s">
        <v>882</v>
      </c>
    </row>
    <row r="254" spans="1:8" x14ac:dyDescent="0.3">
      <c r="A254" s="36">
        <v>46173</v>
      </c>
      <c r="B254" s="37" t="s">
        <v>1546</v>
      </c>
      <c r="C254" s="38" t="s">
        <v>15</v>
      </c>
      <c r="D254" s="19" t="s">
        <v>1547</v>
      </c>
      <c r="E254" s="175">
        <v>20882</v>
      </c>
      <c r="F254" s="174"/>
      <c r="G254" s="38" t="s">
        <v>259</v>
      </c>
      <c r="H254" s="38" t="s">
        <v>882</v>
      </c>
    </row>
    <row r="255" spans="1:8" x14ac:dyDescent="0.3">
      <c r="A255" s="36">
        <v>46173</v>
      </c>
      <c r="B255" s="37" t="s">
        <v>1546</v>
      </c>
      <c r="C255" s="38" t="s">
        <v>15</v>
      </c>
      <c r="D255" s="19" t="s">
        <v>1547</v>
      </c>
      <c r="E255" s="175">
        <v>657939</v>
      </c>
      <c r="F255" s="174"/>
      <c r="G255" s="38" t="s">
        <v>259</v>
      </c>
      <c r="H255" s="38" t="s">
        <v>882</v>
      </c>
    </row>
    <row r="256" spans="1:8" x14ac:dyDescent="0.3">
      <c r="A256" s="36">
        <v>46173</v>
      </c>
      <c r="B256" s="37" t="s">
        <v>1546</v>
      </c>
      <c r="C256" s="38" t="s">
        <v>15</v>
      </c>
      <c r="D256" s="19" t="s">
        <v>1547</v>
      </c>
      <c r="E256" s="175">
        <v>482185</v>
      </c>
      <c r="F256" s="174"/>
      <c r="G256" s="38" t="s">
        <v>259</v>
      </c>
      <c r="H256" s="38" t="s">
        <v>882</v>
      </c>
    </row>
    <row r="257" spans="1:8" x14ac:dyDescent="0.3">
      <c r="A257" s="36">
        <v>46173</v>
      </c>
      <c r="B257" s="37" t="s">
        <v>1546</v>
      </c>
      <c r="C257" s="38" t="s">
        <v>15</v>
      </c>
      <c r="D257" s="19" t="s">
        <v>1547</v>
      </c>
      <c r="E257" s="175">
        <v>2205703</v>
      </c>
      <c r="F257" s="174"/>
      <c r="G257" s="38" t="s">
        <v>259</v>
      </c>
      <c r="H257" s="38" t="s">
        <v>882</v>
      </c>
    </row>
    <row r="258" spans="1:8" x14ac:dyDescent="0.3">
      <c r="A258" s="36">
        <v>46173</v>
      </c>
      <c r="B258" s="37" t="s">
        <v>1546</v>
      </c>
      <c r="C258" s="38" t="s">
        <v>15</v>
      </c>
      <c r="D258" s="19" t="s">
        <v>1547</v>
      </c>
      <c r="E258" s="175">
        <v>287627</v>
      </c>
      <c r="F258" s="174"/>
      <c r="G258" s="38" t="s">
        <v>259</v>
      </c>
      <c r="H258" s="38" t="s">
        <v>882</v>
      </c>
    </row>
    <row r="259" spans="1:8" x14ac:dyDescent="0.3">
      <c r="A259" s="36">
        <v>46173</v>
      </c>
      <c r="B259" s="37" t="s">
        <v>1546</v>
      </c>
      <c r="C259" s="38" t="s">
        <v>15</v>
      </c>
      <c r="D259" s="19" t="s">
        <v>1547</v>
      </c>
      <c r="E259" s="175">
        <v>244854</v>
      </c>
      <c r="F259" s="174"/>
      <c r="G259" s="38" t="s">
        <v>259</v>
      </c>
      <c r="H259" s="38" t="s">
        <v>882</v>
      </c>
    </row>
    <row r="260" spans="1:8" x14ac:dyDescent="0.3">
      <c r="A260" s="36">
        <v>46173</v>
      </c>
      <c r="B260" s="37" t="s">
        <v>1546</v>
      </c>
      <c r="C260" s="38" t="s">
        <v>15</v>
      </c>
      <c r="D260" s="19" t="s">
        <v>1547</v>
      </c>
      <c r="E260" s="175">
        <v>1662950</v>
      </c>
      <c r="F260" s="174"/>
      <c r="G260" s="38" t="s">
        <v>259</v>
      </c>
      <c r="H260" s="38" t="s">
        <v>882</v>
      </c>
    </row>
    <row r="261" spans="1:8" x14ac:dyDescent="0.3">
      <c r="A261" s="36">
        <v>46173</v>
      </c>
      <c r="B261" s="37" t="s">
        <v>1546</v>
      </c>
      <c r="C261" s="38" t="s">
        <v>15</v>
      </c>
      <c r="D261" s="19" t="s">
        <v>1547</v>
      </c>
      <c r="E261" s="175">
        <v>2406773</v>
      </c>
      <c r="F261" s="174"/>
      <c r="G261" s="38" t="s">
        <v>259</v>
      </c>
      <c r="H261" s="38" t="s">
        <v>882</v>
      </c>
    </row>
    <row r="262" spans="1:8" x14ac:dyDescent="0.3">
      <c r="A262" s="36">
        <v>46173</v>
      </c>
      <c r="B262" s="37" t="s">
        <v>1546</v>
      </c>
      <c r="C262" s="38" t="s">
        <v>15</v>
      </c>
      <c r="D262" s="19" t="s">
        <v>1547</v>
      </c>
      <c r="E262" s="175">
        <v>462090</v>
      </c>
      <c r="F262" s="174"/>
      <c r="G262" s="38" t="s">
        <v>259</v>
      </c>
      <c r="H262" s="38" t="s">
        <v>882</v>
      </c>
    </row>
    <row r="263" spans="1:8" x14ac:dyDescent="0.3">
      <c r="A263" s="36">
        <v>46173</v>
      </c>
      <c r="B263" s="37" t="s">
        <v>1546</v>
      </c>
      <c r="C263" s="38" t="s">
        <v>15</v>
      </c>
      <c r="D263" s="19" t="s">
        <v>1547</v>
      </c>
      <c r="E263" s="175">
        <v>3120789</v>
      </c>
      <c r="F263" s="174"/>
      <c r="G263" s="38" t="s">
        <v>259</v>
      </c>
      <c r="H263" s="38" t="s">
        <v>882</v>
      </c>
    </row>
    <row r="264" spans="1:8" x14ac:dyDescent="0.3">
      <c r="A264" s="36">
        <v>46173</v>
      </c>
      <c r="B264" s="37" t="s">
        <v>1546</v>
      </c>
      <c r="C264" s="38" t="s">
        <v>15</v>
      </c>
      <c r="D264" s="19" t="s">
        <v>1547</v>
      </c>
      <c r="E264" s="175">
        <v>325349</v>
      </c>
      <c r="F264" s="174"/>
      <c r="G264" s="38" t="s">
        <v>259</v>
      </c>
      <c r="H264" s="38" t="s">
        <v>882</v>
      </c>
    </row>
    <row r="265" spans="1:8" x14ac:dyDescent="0.3">
      <c r="A265" s="36">
        <v>46173</v>
      </c>
      <c r="B265" s="37" t="s">
        <v>1546</v>
      </c>
      <c r="C265" s="38" t="s">
        <v>15</v>
      </c>
      <c r="D265" s="19" t="s">
        <v>1547</v>
      </c>
      <c r="E265" s="175">
        <v>3000888</v>
      </c>
      <c r="F265" s="174"/>
      <c r="G265" s="38" t="s">
        <v>259</v>
      </c>
      <c r="H265" s="38" t="s">
        <v>882</v>
      </c>
    </row>
    <row r="266" spans="1:8" x14ac:dyDescent="0.3">
      <c r="A266" s="36">
        <v>46173</v>
      </c>
      <c r="B266" s="37" t="s">
        <v>1546</v>
      </c>
      <c r="C266" s="38" t="s">
        <v>15</v>
      </c>
      <c r="D266" s="19" t="s">
        <v>1547</v>
      </c>
      <c r="E266" s="175">
        <v>140277</v>
      </c>
      <c r="F266" s="174"/>
      <c r="G266" s="38" t="s">
        <v>259</v>
      </c>
      <c r="H266" s="38" t="s">
        <v>882</v>
      </c>
    </row>
    <row r="267" spans="1:8" x14ac:dyDescent="0.3">
      <c r="A267" s="36">
        <v>46173</v>
      </c>
      <c r="B267" s="37" t="s">
        <v>1546</v>
      </c>
      <c r="C267" s="38" t="s">
        <v>15</v>
      </c>
      <c r="D267" s="19" t="s">
        <v>1547</v>
      </c>
      <c r="E267" s="175">
        <v>164358</v>
      </c>
      <c r="F267" s="174"/>
      <c r="G267" s="38" t="s">
        <v>259</v>
      </c>
      <c r="H267" s="38" t="s">
        <v>882</v>
      </c>
    </row>
    <row r="268" spans="1:8" x14ac:dyDescent="0.3">
      <c r="A268" s="36">
        <v>46173</v>
      </c>
      <c r="B268" s="37" t="s">
        <v>1546</v>
      </c>
      <c r="C268" s="38" t="s">
        <v>15</v>
      </c>
      <c r="D268" s="19" t="s">
        <v>1547</v>
      </c>
      <c r="E268" s="175">
        <v>20154112</v>
      </c>
      <c r="F268" s="174"/>
      <c r="G268" s="38" t="s">
        <v>259</v>
      </c>
      <c r="H268" s="38" t="s">
        <v>882</v>
      </c>
    </row>
    <row r="269" spans="1:8" x14ac:dyDescent="0.3">
      <c r="A269" s="36">
        <v>46173</v>
      </c>
      <c r="B269" s="37" t="s">
        <v>1546</v>
      </c>
      <c r="C269" s="38" t="s">
        <v>15</v>
      </c>
      <c r="D269" s="19" t="s">
        <v>1547</v>
      </c>
      <c r="E269" s="175">
        <v>1644594</v>
      </c>
      <c r="F269" s="174"/>
      <c r="G269" s="38" t="s">
        <v>259</v>
      </c>
      <c r="H269" s="38" t="s">
        <v>882</v>
      </c>
    </row>
    <row r="270" spans="1:8" x14ac:dyDescent="0.3">
      <c r="A270" s="36">
        <v>46173</v>
      </c>
      <c r="B270" s="37" t="s">
        <v>1546</v>
      </c>
      <c r="C270" s="38" t="s">
        <v>15</v>
      </c>
      <c r="D270" s="19" t="s">
        <v>1547</v>
      </c>
      <c r="E270" s="175">
        <v>18667727</v>
      </c>
      <c r="F270" s="174"/>
      <c r="G270" s="38" t="s">
        <v>259</v>
      </c>
      <c r="H270" s="38" t="s">
        <v>882</v>
      </c>
    </row>
    <row r="271" spans="1:8" x14ac:dyDescent="0.3">
      <c r="A271" s="36">
        <v>46173</v>
      </c>
      <c r="B271" s="37" t="s">
        <v>1546</v>
      </c>
      <c r="C271" s="38" t="s">
        <v>15</v>
      </c>
      <c r="D271" s="19" t="s">
        <v>1547</v>
      </c>
      <c r="E271" s="175">
        <v>15661</v>
      </c>
      <c r="F271" s="174"/>
      <c r="G271" s="38" t="s">
        <v>259</v>
      </c>
      <c r="H271" s="38" t="s">
        <v>882</v>
      </c>
    </row>
    <row r="272" spans="1:8" x14ac:dyDescent="0.3">
      <c r="A272" s="36">
        <v>46173</v>
      </c>
      <c r="B272" s="37" t="s">
        <v>1546</v>
      </c>
      <c r="C272" s="38" t="s">
        <v>15</v>
      </c>
      <c r="D272" s="19" t="s">
        <v>1547</v>
      </c>
      <c r="E272" s="175">
        <v>4480114</v>
      </c>
      <c r="F272" s="174"/>
      <c r="G272" s="38" t="s">
        <v>259</v>
      </c>
      <c r="H272" s="38" t="s">
        <v>882</v>
      </c>
    </row>
    <row r="273" spans="1:8" x14ac:dyDescent="0.3">
      <c r="A273" s="36">
        <v>46173</v>
      </c>
      <c r="B273" s="37" t="s">
        <v>1546</v>
      </c>
      <c r="C273" s="38" t="s">
        <v>15</v>
      </c>
      <c r="D273" s="19" t="s">
        <v>1547</v>
      </c>
      <c r="E273" s="175">
        <v>5549622</v>
      </c>
      <c r="F273" s="174"/>
      <c r="G273" s="38" t="s">
        <v>259</v>
      </c>
      <c r="H273" s="38" t="s">
        <v>882</v>
      </c>
    </row>
    <row r="274" spans="1:8" x14ac:dyDescent="0.3">
      <c r="A274" s="36">
        <v>46173</v>
      </c>
      <c r="B274" s="37" t="s">
        <v>1546</v>
      </c>
      <c r="C274" s="38" t="s">
        <v>15</v>
      </c>
      <c r="D274" s="19" t="s">
        <v>1547</v>
      </c>
      <c r="E274" s="175">
        <v>2146595</v>
      </c>
      <c r="F274" s="174"/>
      <c r="G274" s="38" t="s">
        <v>259</v>
      </c>
      <c r="H274" s="38" t="s">
        <v>882</v>
      </c>
    </row>
    <row r="275" spans="1:8" x14ac:dyDescent="0.3">
      <c r="A275" s="36">
        <v>46173</v>
      </c>
      <c r="B275" s="37" t="s">
        <v>1546</v>
      </c>
      <c r="C275" s="38" t="s">
        <v>15</v>
      </c>
      <c r="D275" s="19" t="s">
        <v>1547</v>
      </c>
      <c r="E275" s="175">
        <v>21962560</v>
      </c>
      <c r="F275" s="174"/>
      <c r="G275" s="38" t="s">
        <v>259</v>
      </c>
      <c r="H275" s="38" t="s">
        <v>882</v>
      </c>
    </row>
    <row r="276" spans="1:8" x14ac:dyDescent="0.3">
      <c r="A276" s="36">
        <v>46173</v>
      </c>
      <c r="B276" s="37" t="s">
        <v>1546</v>
      </c>
      <c r="C276" s="38" t="s">
        <v>15</v>
      </c>
      <c r="D276" s="19" t="s">
        <v>1547</v>
      </c>
      <c r="E276" s="175">
        <v>8917790</v>
      </c>
      <c r="F276" s="174"/>
      <c r="G276" s="38" t="s">
        <v>259</v>
      </c>
      <c r="H276" s="38" t="s">
        <v>882</v>
      </c>
    </row>
    <row r="277" spans="1:8" x14ac:dyDescent="0.3">
      <c r="A277" s="36">
        <v>46173</v>
      </c>
      <c r="B277" s="37" t="s">
        <v>1546</v>
      </c>
      <c r="C277" s="38" t="s">
        <v>15</v>
      </c>
      <c r="D277" s="19" t="s">
        <v>1547</v>
      </c>
      <c r="E277" s="175">
        <v>174631</v>
      </c>
      <c r="F277" s="174"/>
      <c r="G277" s="38" t="s">
        <v>259</v>
      </c>
      <c r="H277" s="38" t="s">
        <v>882</v>
      </c>
    </row>
    <row r="278" spans="1:8" x14ac:dyDescent="0.3">
      <c r="A278" s="36">
        <v>46173</v>
      </c>
      <c r="B278" s="37" t="s">
        <v>1546</v>
      </c>
      <c r="C278" s="38" t="s">
        <v>15</v>
      </c>
      <c r="D278" s="19" t="s">
        <v>1547</v>
      </c>
      <c r="E278" s="175">
        <v>625606</v>
      </c>
      <c r="F278" s="174"/>
      <c r="G278" s="38" t="s">
        <v>259</v>
      </c>
      <c r="H278" s="38" t="s">
        <v>882</v>
      </c>
    </row>
    <row r="279" spans="1:8" x14ac:dyDescent="0.3">
      <c r="A279" s="36">
        <v>46173</v>
      </c>
      <c r="B279" s="37" t="s">
        <v>1546</v>
      </c>
      <c r="C279" s="38" t="s">
        <v>15</v>
      </c>
      <c r="D279" s="19" t="s">
        <v>1547</v>
      </c>
      <c r="E279" s="175">
        <v>8351630</v>
      </c>
      <c r="F279" s="174"/>
      <c r="G279" s="38" t="s">
        <v>259</v>
      </c>
      <c r="H279" s="38" t="s">
        <v>882</v>
      </c>
    </row>
    <row r="280" spans="1:8" x14ac:dyDescent="0.3">
      <c r="A280" s="36">
        <v>46173</v>
      </c>
      <c r="B280" s="37" t="s">
        <v>1546</v>
      </c>
      <c r="C280" s="38" t="s">
        <v>15</v>
      </c>
      <c r="D280" s="19" t="s">
        <v>1547</v>
      </c>
      <c r="E280" s="175">
        <v>6869373</v>
      </c>
      <c r="F280" s="174"/>
      <c r="G280" s="38" t="s">
        <v>259</v>
      </c>
      <c r="H280" s="38" t="s">
        <v>882</v>
      </c>
    </row>
    <row r="281" spans="1:8" x14ac:dyDescent="0.3">
      <c r="A281" s="36">
        <v>46173</v>
      </c>
      <c r="B281" s="37" t="s">
        <v>1546</v>
      </c>
      <c r="C281" s="38" t="s">
        <v>15</v>
      </c>
      <c r="D281" s="19" t="s">
        <v>1547</v>
      </c>
      <c r="E281" s="175">
        <v>189787</v>
      </c>
      <c r="F281" s="174"/>
      <c r="G281" s="38" t="s">
        <v>259</v>
      </c>
      <c r="H281" s="38" t="s">
        <v>882</v>
      </c>
    </row>
    <row r="282" spans="1:8" x14ac:dyDescent="0.3">
      <c r="A282" s="36">
        <v>46173</v>
      </c>
      <c r="B282" s="37" t="s">
        <v>1546</v>
      </c>
      <c r="C282" s="38" t="s">
        <v>15</v>
      </c>
      <c r="D282" s="19" t="s">
        <v>1547</v>
      </c>
      <c r="E282" s="175">
        <v>132615</v>
      </c>
      <c r="F282" s="174"/>
      <c r="G282" s="38" t="s">
        <v>259</v>
      </c>
      <c r="H282" s="38" t="s">
        <v>882</v>
      </c>
    </row>
    <row r="283" spans="1:8" x14ac:dyDescent="0.3">
      <c r="A283" s="36">
        <v>46173</v>
      </c>
      <c r="B283" s="37" t="s">
        <v>1546</v>
      </c>
      <c r="C283" s="38" t="s">
        <v>15</v>
      </c>
      <c r="D283" s="19" t="s">
        <v>1547</v>
      </c>
      <c r="E283" s="175">
        <v>584516</v>
      </c>
      <c r="F283" s="174"/>
      <c r="G283" s="38" t="s">
        <v>259</v>
      </c>
      <c r="H283" s="38" t="s">
        <v>882</v>
      </c>
    </row>
    <row r="284" spans="1:8" x14ac:dyDescent="0.3">
      <c r="A284" s="36">
        <v>46173</v>
      </c>
      <c r="B284" s="37" t="s">
        <v>1546</v>
      </c>
      <c r="C284" s="38" t="s">
        <v>15</v>
      </c>
      <c r="D284" s="19" t="s">
        <v>1547</v>
      </c>
      <c r="E284" s="175">
        <v>15320418</v>
      </c>
      <c r="F284" s="174"/>
      <c r="G284" s="38" t="s">
        <v>259</v>
      </c>
      <c r="H284" s="38" t="s">
        <v>882</v>
      </c>
    </row>
    <row r="285" spans="1:8" x14ac:dyDescent="0.3">
      <c r="A285" s="36">
        <v>46173</v>
      </c>
      <c r="B285" s="37" t="s">
        <v>1546</v>
      </c>
      <c r="C285" s="38" t="s">
        <v>15</v>
      </c>
      <c r="D285" s="19" t="s">
        <v>1547</v>
      </c>
      <c r="E285" s="175">
        <v>10521800</v>
      </c>
      <c r="F285" s="174"/>
      <c r="G285" s="38" t="s">
        <v>259</v>
      </c>
      <c r="H285" s="38" t="s">
        <v>882</v>
      </c>
    </row>
    <row r="286" spans="1:8" x14ac:dyDescent="0.3">
      <c r="A286" s="36">
        <v>46173</v>
      </c>
      <c r="B286" s="37" t="s">
        <v>1546</v>
      </c>
      <c r="C286" s="38" t="s">
        <v>15</v>
      </c>
      <c r="D286" s="19" t="s">
        <v>1547</v>
      </c>
      <c r="E286" s="175">
        <v>15894434</v>
      </c>
      <c r="F286" s="174"/>
      <c r="G286" s="38" t="s">
        <v>259</v>
      </c>
      <c r="H286" s="38" t="s">
        <v>882</v>
      </c>
    </row>
    <row r="287" spans="1:8" x14ac:dyDescent="0.3">
      <c r="A287" s="36">
        <v>46173</v>
      </c>
      <c r="B287" s="37" t="s">
        <v>1546</v>
      </c>
      <c r="C287" s="38" t="s">
        <v>15</v>
      </c>
      <c r="D287" s="19" t="s">
        <v>883</v>
      </c>
      <c r="E287" s="175">
        <v>23952374</v>
      </c>
      <c r="F287" s="174"/>
      <c r="G287" s="38" t="s">
        <v>259</v>
      </c>
      <c r="H287" s="38" t="s">
        <v>882</v>
      </c>
    </row>
    <row r="288" spans="1:8" x14ac:dyDescent="0.3">
      <c r="A288" s="36">
        <v>46173</v>
      </c>
      <c r="B288" s="37" t="s">
        <v>1546</v>
      </c>
      <c r="C288" s="38" t="s">
        <v>15</v>
      </c>
      <c r="D288" s="19" t="s">
        <v>883</v>
      </c>
      <c r="E288" s="175">
        <v>23601092</v>
      </c>
      <c r="F288" s="174"/>
      <c r="G288" s="38" t="s">
        <v>259</v>
      </c>
      <c r="H288" s="38" t="s">
        <v>882</v>
      </c>
    </row>
    <row r="289" spans="1:8" x14ac:dyDescent="0.3">
      <c r="A289" s="36">
        <v>46173</v>
      </c>
      <c r="B289" s="37" t="s">
        <v>1546</v>
      </c>
      <c r="C289" s="38" t="s">
        <v>15</v>
      </c>
      <c r="D289" s="19" t="s">
        <v>883</v>
      </c>
      <c r="E289" s="175">
        <v>22745788</v>
      </c>
      <c r="F289" s="174"/>
      <c r="G289" s="38" t="s">
        <v>259</v>
      </c>
      <c r="H289" s="38" t="s">
        <v>882</v>
      </c>
    </row>
    <row r="290" spans="1:8" x14ac:dyDescent="0.3">
      <c r="A290" s="36">
        <v>46173</v>
      </c>
      <c r="B290" s="37" t="s">
        <v>1546</v>
      </c>
      <c r="C290" s="38" t="s">
        <v>15</v>
      </c>
      <c r="D290" s="19" t="s">
        <v>883</v>
      </c>
      <c r="E290" s="175">
        <v>24002220</v>
      </c>
      <c r="F290" s="174"/>
      <c r="G290" s="38" t="s">
        <v>259</v>
      </c>
      <c r="H290" s="38" t="s">
        <v>882</v>
      </c>
    </row>
    <row r="291" spans="1:8" x14ac:dyDescent="0.3">
      <c r="A291" s="36">
        <v>46173</v>
      </c>
      <c r="B291" s="37" t="s">
        <v>1546</v>
      </c>
      <c r="C291" s="38" t="s">
        <v>15</v>
      </c>
      <c r="D291" s="19" t="s">
        <v>883</v>
      </c>
      <c r="E291" s="175">
        <v>23071305</v>
      </c>
      <c r="F291" s="174"/>
      <c r="G291" s="38" t="s">
        <v>259</v>
      </c>
      <c r="H291" s="38" t="s">
        <v>882</v>
      </c>
    </row>
    <row r="292" spans="1:8" x14ac:dyDescent="0.3">
      <c r="A292" s="36">
        <v>46173</v>
      </c>
      <c r="B292" s="37" t="s">
        <v>1546</v>
      </c>
      <c r="C292" s="38" t="s">
        <v>15</v>
      </c>
      <c r="D292" s="19" t="s">
        <v>883</v>
      </c>
      <c r="E292" s="175">
        <v>23161231</v>
      </c>
      <c r="F292" s="174"/>
      <c r="G292" s="38" t="s">
        <v>259</v>
      </c>
      <c r="H292" s="38" t="s">
        <v>882</v>
      </c>
    </row>
    <row r="293" spans="1:8" x14ac:dyDescent="0.3">
      <c r="A293" s="36">
        <v>46173</v>
      </c>
      <c r="B293" s="37" t="s">
        <v>1546</v>
      </c>
      <c r="C293" s="38" t="s">
        <v>15</v>
      </c>
      <c r="D293" s="19" t="s">
        <v>883</v>
      </c>
      <c r="E293" s="175">
        <v>23590651</v>
      </c>
      <c r="F293" s="174"/>
      <c r="G293" s="38" t="s">
        <v>259</v>
      </c>
      <c r="H293" s="38" t="s">
        <v>882</v>
      </c>
    </row>
    <row r="294" spans="1:8" x14ac:dyDescent="0.3">
      <c r="A294" s="36">
        <v>46173</v>
      </c>
      <c r="B294" s="37" t="s">
        <v>1546</v>
      </c>
      <c r="C294" s="38" t="s">
        <v>15</v>
      </c>
      <c r="D294" s="19" t="s">
        <v>883</v>
      </c>
      <c r="E294" s="175">
        <v>22930018</v>
      </c>
      <c r="F294" s="174"/>
      <c r="G294" s="38" t="s">
        <v>259</v>
      </c>
      <c r="H294" s="38" t="s">
        <v>882</v>
      </c>
    </row>
    <row r="295" spans="1:8" x14ac:dyDescent="0.3">
      <c r="A295" s="36">
        <v>46173</v>
      </c>
      <c r="B295" s="37" t="s">
        <v>1546</v>
      </c>
      <c r="C295" s="38" t="s">
        <v>15</v>
      </c>
      <c r="D295" s="19" t="s">
        <v>1547</v>
      </c>
      <c r="E295" s="175">
        <v>19038125</v>
      </c>
      <c r="F295" s="174"/>
      <c r="G295" s="38" t="s">
        <v>259</v>
      </c>
      <c r="H295" s="38" t="s">
        <v>882</v>
      </c>
    </row>
    <row r="296" spans="1:8" x14ac:dyDescent="0.3">
      <c r="A296" s="36">
        <v>46173</v>
      </c>
      <c r="B296" s="37" t="s">
        <v>1546</v>
      </c>
      <c r="C296" s="38" t="s">
        <v>15</v>
      </c>
      <c r="D296" s="19" t="s">
        <v>1547</v>
      </c>
      <c r="E296" s="175">
        <v>20829059</v>
      </c>
      <c r="F296" s="174"/>
      <c r="G296" s="38" t="s">
        <v>259</v>
      </c>
      <c r="H296" s="38" t="s">
        <v>882</v>
      </c>
    </row>
    <row r="297" spans="1:8" x14ac:dyDescent="0.3">
      <c r="A297" s="36">
        <v>46173</v>
      </c>
      <c r="B297" s="37" t="s">
        <v>1546</v>
      </c>
      <c r="C297" s="38" t="s">
        <v>15</v>
      </c>
      <c r="D297" s="19" t="s">
        <v>1547</v>
      </c>
      <c r="E297" s="175">
        <v>13575566</v>
      </c>
      <c r="F297" s="174"/>
      <c r="G297" s="38" t="s">
        <v>259</v>
      </c>
      <c r="H297" s="38" t="s">
        <v>882</v>
      </c>
    </row>
    <row r="298" spans="1:8" x14ac:dyDescent="0.3">
      <c r="A298" s="36">
        <v>46173</v>
      </c>
      <c r="B298" s="37" t="s">
        <v>1546</v>
      </c>
      <c r="C298" s="38" t="s">
        <v>15</v>
      </c>
      <c r="D298" s="19" t="s">
        <v>1547</v>
      </c>
      <c r="E298" s="175">
        <v>11633577</v>
      </c>
      <c r="F298" s="174"/>
      <c r="G298" s="38" t="s">
        <v>259</v>
      </c>
      <c r="H298" s="38" t="s">
        <v>882</v>
      </c>
    </row>
    <row r="299" spans="1:8" x14ac:dyDescent="0.3">
      <c r="A299" s="36">
        <v>46173</v>
      </c>
      <c r="B299" s="37" t="s">
        <v>1546</v>
      </c>
      <c r="C299" s="38" t="s">
        <v>15</v>
      </c>
      <c r="D299" s="19" t="s">
        <v>883</v>
      </c>
      <c r="E299" s="175">
        <v>9973490</v>
      </c>
      <c r="F299" s="174"/>
      <c r="G299" s="38" t="s">
        <v>259</v>
      </c>
      <c r="H299" s="38" t="s">
        <v>882</v>
      </c>
    </row>
    <row r="300" spans="1:8" x14ac:dyDescent="0.3">
      <c r="A300" s="36">
        <v>46173</v>
      </c>
      <c r="B300" s="37" t="s">
        <v>1546</v>
      </c>
      <c r="C300" s="38" t="s">
        <v>15</v>
      </c>
      <c r="D300" s="19" t="s">
        <v>883</v>
      </c>
      <c r="E300" s="175">
        <v>19766960</v>
      </c>
      <c r="F300" s="174"/>
      <c r="G300" s="38" t="s">
        <v>259</v>
      </c>
      <c r="H300" s="38" t="s">
        <v>882</v>
      </c>
    </row>
    <row r="301" spans="1:8" x14ac:dyDescent="0.3">
      <c r="A301" s="36">
        <v>46173</v>
      </c>
      <c r="B301" s="37" t="s">
        <v>1546</v>
      </c>
      <c r="C301" s="38" t="s">
        <v>15</v>
      </c>
      <c r="D301" s="19" t="s">
        <v>1547</v>
      </c>
      <c r="E301" s="175">
        <v>18264496</v>
      </c>
      <c r="F301" s="174"/>
      <c r="G301" s="38" t="s">
        <v>259</v>
      </c>
      <c r="H301" s="38" t="s">
        <v>882</v>
      </c>
    </row>
    <row r="302" spans="1:8" x14ac:dyDescent="0.3">
      <c r="A302" s="36">
        <v>46173</v>
      </c>
      <c r="B302" s="37" t="s">
        <v>1546</v>
      </c>
      <c r="C302" s="38" t="s">
        <v>15</v>
      </c>
      <c r="D302" s="19" t="s">
        <v>883</v>
      </c>
      <c r="E302" s="175">
        <v>18445694</v>
      </c>
      <c r="F302" s="174"/>
      <c r="G302" s="38" t="s">
        <v>259</v>
      </c>
      <c r="H302" s="38" t="s">
        <v>882</v>
      </c>
    </row>
    <row r="303" spans="1:8" x14ac:dyDescent="0.3">
      <c r="A303" s="36">
        <v>46173</v>
      </c>
      <c r="B303" s="37" t="s">
        <v>1546</v>
      </c>
      <c r="C303" s="38" t="s">
        <v>15</v>
      </c>
      <c r="D303" s="19" t="s">
        <v>1547</v>
      </c>
      <c r="E303" s="175">
        <v>21055894</v>
      </c>
      <c r="F303" s="174"/>
      <c r="G303" s="38" t="s">
        <v>259</v>
      </c>
      <c r="H303" s="38" t="s">
        <v>882</v>
      </c>
    </row>
    <row r="304" spans="1:8" x14ac:dyDescent="0.3">
      <c r="A304" s="36">
        <v>46173</v>
      </c>
      <c r="B304" s="37" t="s">
        <v>1546</v>
      </c>
      <c r="C304" s="38" t="s">
        <v>15</v>
      </c>
      <c r="D304" s="19" t="s">
        <v>1547</v>
      </c>
      <c r="E304" s="175">
        <v>22236546</v>
      </c>
      <c r="F304" s="174"/>
      <c r="G304" s="38" t="s">
        <v>259</v>
      </c>
      <c r="H304" s="38" t="s">
        <v>882</v>
      </c>
    </row>
    <row r="305" spans="1:8" x14ac:dyDescent="0.3">
      <c r="A305" s="36">
        <v>46173</v>
      </c>
      <c r="B305" s="37" t="s">
        <v>1546</v>
      </c>
      <c r="C305" s="38" t="s">
        <v>15</v>
      </c>
      <c r="D305" s="19" t="s">
        <v>883</v>
      </c>
      <c r="E305" s="175">
        <v>16388688</v>
      </c>
      <c r="F305" s="174"/>
      <c r="G305" s="38" t="s">
        <v>259</v>
      </c>
      <c r="H305" s="38" t="s">
        <v>882</v>
      </c>
    </row>
    <row r="306" spans="1:8" x14ac:dyDescent="0.3">
      <c r="A306" s="36">
        <v>46173</v>
      </c>
      <c r="B306" s="37" t="s">
        <v>1546</v>
      </c>
      <c r="C306" s="38" t="s">
        <v>15</v>
      </c>
      <c r="D306" s="19" t="s">
        <v>1547</v>
      </c>
      <c r="E306" s="175">
        <v>7810897</v>
      </c>
      <c r="F306" s="174"/>
      <c r="G306" s="38" t="s">
        <v>259</v>
      </c>
      <c r="H306" s="38" t="s">
        <v>882</v>
      </c>
    </row>
    <row r="307" spans="1:8" x14ac:dyDescent="0.3">
      <c r="A307" s="36">
        <v>46173</v>
      </c>
      <c r="B307" s="37" t="s">
        <v>1546</v>
      </c>
      <c r="C307" s="38" t="s">
        <v>15</v>
      </c>
      <c r="D307" s="19" t="s">
        <v>1547</v>
      </c>
      <c r="E307" s="175">
        <v>19015054</v>
      </c>
      <c r="F307" s="174"/>
      <c r="G307" s="38" t="s">
        <v>259</v>
      </c>
      <c r="H307" s="38" t="s">
        <v>882</v>
      </c>
    </row>
    <row r="308" spans="1:8" x14ac:dyDescent="0.3">
      <c r="A308" s="36">
        <v>46173</v>
      </c>
      <c r="B308" s="37" t="s">
        <v>1546</v>
      </c>
      <c r="C308" s="38" t="s">
        <v>15</v>
      </c>
      <c r="D308" s="19" t="s">
        <v>1547</v>
      </c>
      <c r="E308" s="175">
        <v>18521474</v>
      </c>
      <c r="F308" s="174"/>
      <c r="G308" s="38" t="s">
        <v>259</v>
      </c>
      <c r="H308" s="38" t="s">
        <v>882</v>
      </c>
    </row>
    <row r="309" spans="1:8" x14ac:dyDescent="0.3">
      <c r="A309" s="36">
        <v>46173</v>
      </c>
      <c r="B309" s="37" t="s">
        <v>1546</v>
      </c>
      <c r="C309" s="38" t="s">
        <v>15</v>
      </c>
      <c r="D309" s="19" t="s">
        <v>1547</v>
      </c>
      <c r="E309" s="175">
        <v>18055174</v>
      </c>
      <c r="F309" s="174"/>
      <c r="G309" s="38" t="s">
        <v>259</v>
      </c>
      <c r="H309" s="38" t="s">
        <v>882</v>
      </c>
    </row>
    <row r="310" spans="1:8" x14ac:dyDescent="0.3">
      <c r="A310" s="36">
        <v>46173</v>
      </c>
      <c r="B310" s="37" t="s">
        <v>1546</v>
      </c>
      <c r="C310" s="38" t="s">
        <v>15</v>
      </c>
      <c r="D310" s="19" t="s">
        <v>1547</v>
      </c>
      <c r="E310" s="175">
        <v>19760056</v>
      </c>
      <c r="F310" s="174"/>
      <c r="G310" s="38" t="s">
        <v>259</v>
      </c>
      <c r="H310" s="38" t="s">
        <v>882</v>
      </c>
    </row>
    <row r="311" spans="1:8" x14ac:dyDescent="0.3">
      <c r="A311" s="36">
        <v>46173</v>
      </c>
      <c r="B311" s="37" t="s">
        <v>1546</v>
      </c>
      <c r="C311" s="38" t="s">
        <v>15</v>
      </c>
      <c r="D311" s="19" t="s">
        <v>1547</v>
      </c>
      <c r="E311" s="175">
        <v>20280412</v>
      </c>
      <c r="F311" s="174"/>
      <c r="G311" s="38" t="s">
        <v>259</v>
      </c>
      <c r="H311" s="38" t="s">
        <v>882</v>
      </c>
    </row>
    <row r="312" spans="1:8" x14ac:dyDescent="0.3">
      <c r="A312" s="36">
        <v>46173</v>
      </c>
      <c r="B312" s="37" t="s">
        <v>1546</v>
      </c>
      <c r="C312" s="38" t="s">
        <v>15</v>
      </c>
      <c r="D312" s="19" t="s">
        <v>1547</v>
      </c>
      <c r="E312" s="175">
        <v>22297170</v>
      </c>
      <c r="F312" s="174"/>
      <c r="G312" s="38" t="s">
        <v>259</v>
      </c>
      <c r="H312" s="38" t="s">
        <v>882</v>
      </c>
    </row>
    <row r="313" spans="1:8" x14ac:dyDescent="0.3">
      <c r="A313" s="36">
        <v>46173</v>
      </c>
      <c r="B313" s="37" t="s">
        <v>1546</v>
      </c>
      <c r="C313" s="38" t="s">
        <v>15</v>
      </c>
      <c r="D313" s="19" t="s">
        <v>1547</v>
      </c>
      <c r="E313" s="175">
        <v>24943913</v>
      </c>
      <c r="F313" s="174"/>
      <c r="G313" s="38" t="s">
        <v>259</v>
      </c>
      <c r="H313" s="38" t="s">
        <v>882</v>
      </c>
    </row>
    <row r="314" spans="1:8" x14ac:dyDescent="0.3">
      <c r="A314" s="36">
        <v>46173</v>
      </c>
      <c r="B314" s="37" t="s">
        <v>1546</v>
      </c>
      <c r="C314" s="38" t="s">
        <v>15</v>
      </c>
      <c r="D314" s="19" t="s">
        <v>1547</v>
      </c>
      <c r="E314" s="175">
        <v>21460720</v>
      </c>
      <c r="F314" s="174"/>
      <c r="G314" s="38" t="s">
        <v>259</v>
      </c>
      <c r="H314" s="38" t="s">
        <v>882</v>
      </c>
    </row>
    <row r="315" spans="1:8" x14ac:dyDescent="0.3">
      <c r="A315" s="36">
        <v>46173</v>
      </c>
      <c r="B315" s="37" t="s">
        <v>1546</v>
      </c>
      <c r="C315" s="38" t="s">
        <v>15</v>
      </c>
      <c r="D315" s="19" t="s">
        <v>1547</v>
      </c>
      <c r="E315" s="175">
        <v>21125050</v>
      </c>
      <c r="F315" s="174"/>
      <c r="G315" s="38" t="s">
        <v>259</v>
      </c>
      <c r="H315" s="38" t="s">
        <v>882</v>
      </c>
    </row>
    <row r="316" spans="1:8" x14ac:dyDescent="0.3">
      <c r="A316" s="36">
        <v>46173</v>
      </c>
      <c r="B316" s="37" t="s">
        <v>1546</v>
      </c>
      <c r="C316" s="38" t="s">
        <v>15</v>
      </c>
      <c r="D316" s="19" t="s">
        <v>1547</v>
      </c>
      <c r="E316" s="175">
        <v>182377</v>
      </c>
      <c r="F316" s="174"/>
      <c r="G316" s="38" t="s">
        <v>259</v>
      </c>
      <c r="H316" s="38" t="s">
        <v>882</v>
      </c>
    </row>
    <row r="317" spans="1:8" x14ac:dyDescent="0.3">
      <c r="A317" s="36">
        <v>46173</v>
      </c>
      <c r="B317" s="37" t="s">
        <v>1546</v>
      </c>
      <c r="C317" s="38" t="s">
        <v>15</v>
      </c>
      <c r="D317" s="19" t="s">
        <v>1547</v>
      </c>
      <c r="E317" s="175">
        <v>3735786</v>
      </c>
      <c r="F317" s="174"/>
      <c r="G317" s="38" t="s">
        <v>259</v>
      </c>
      <c r="H317" s="38" t="s">
        <v>882</v>
      </c>
    </row>
    <row r="318" spans="1:8" x14ac:dyDescent="0.3">
      <c r="A318" s="36">
        <v>46173</v>
      </c>
      <c r="B318" s="37" t="s">
        <v>1546</v>
      </c>
      <c r="C318" s="38" t="s">
        <v>15</v>
      </c>
      <c r="D318" s="19" t="s">
        <v>1547</v>
      </c>
      <c r="E318" s="175">
        <v>1111945</v>
      </c>
      <c r="F318" s="174"/>
      <c r="G318" s="38" t="s">
        <v>259</v>
      </c>
      <c r="H318" s="38" t="s">
        <v>882</v>
      </c>
    </row>
    <row r="319" spans="1:8" x14ac:dyDescent="0.3">
      <c r="A319" s="36">
        <v>46173</v>
      </c>
      <c r="B319" s="37" t="s">
        <v>1546</v>
      </c>
      <c r="C319" s="38" t="s">
        <v>15</v>
      </c>
      <c r="D319" s="19" t="s">
        <v>1547</v>
      </c>
      <c r="E319" s="175">
        <v>602535</v>
      </c>
      <c r="F319" s="174"/>
      <c r="G319" s="38" t="s">
        <v>259</v>
      </c>
      <c r="H319" s="38" t="s">
        <v>882</v>
      </c>
    </row>
    <row r="320" spans="1:8" x14ac:dyDescent="0.3">
      <c r="A320" s="36">
        <v>46173</v>
      </c>
      <c r="B320" s="37" t="s">
        <v>1546</v>
      </c>
      <c r="C320" s="38" t="s">
        <v>15</v>
      </c>
      <c r="D320" s="19" t="s">
        <v>1547</v>
      </c>
      <c r="E320" s="175">
        <v>14504966</v>
      </c>
      <c r="F320" s="174"/>
      <c r="G320" s="38" t="s">
        <v>259</v>
      </c>
      <c r="H320" s="38" t="s">
        <v>882</v>
      </c>
    </row>
    <row r="321" spans="1:8" x14ac:dyDescent="0.3">
      <c r="A321" s="36">
        <v>46173</v>
      </c>
      <c r="B321" s="37" t="s">
        <v>1546</v>
      </c>
      <c r="C321" s="38" t="s">
        <v>15</v>
      </c>
      <c r="D321" s="19" t="s">
        <v>883</v>
      </c>
      <c r="E321" s="175">
        <v>2408457</v>
      </c>
      <c r="F321" s="174"/>
      <c r="G321" s="38" t="s">
        <v>259</v>
      </c>
      <c r="H321" s="38" t="s">
        <v>882</v>
      </c>
    </row>
    <row r="322" spans="1:8" x14ac:dyDescent="0.3">
      <c r="A322" s="36">
        <v>46173</v>
      </c>
      <c r="B322" s="37" t="s">
        <v>1546</v>
      </c>
      <c r="C322" s="38" t="s">
        <v>15</v>
      </c>
      <c r="D322" s="19" t="s">
        <v>1547</v>
      </c>
      <c r="E322" s="175">
        <v>2089339</v>
      </c>
      <c r="F322" s="174"/>
      <c r="G322" s="38" t="s">
        <v>259</v>
      </c>
      <c r="H322" s="38" t="s">
        <v>882</v>
      </c>
    </row>
    <row r="323" spans="1:8" x14ac:dyDescent="0.3">
      <c r="A323" s="36">
        <v>46173</v>
      </c>
      <c r="B323" s="37" t="s">
        <v>1546</v>
      </c>
      <c r="C323" s="38" t="s">
        <v>15</v>
      </c>
      <c r="D323" s="19" t="s">
        <v>1547</v>
      </c>
      <c r="E323" s="175">
        <v>21018509</v>
      </c>
      <c r="F323" s="174"/>
      <c r="G323" s="38" t="s">
        <v>259</v>
      </c>
      <c r="H323" s="38" t="s">
        <v>882</v>
      </c>
    </row>
    <row r="324" spans="1:8" x14ac:dyDescent="0.3">
      <c r="A324" s="36">
        <v>46173</v>
      </c>
      <c r="B324" s="37" t="s">
        <v>1546</v>
      </c>
      <c r="C324" s="38" t="s">
        <v>15</v>
      </c>
      <c r="D324" s="19" t="s">
        <v>1547</v>
      </c>
      <c r="E324" s="175">
        <v>444239</v>
      </c>
      <c r="F324" s="174"/>
      <c r="G324" s="38" t="s">
        <v>259</v>
      </c>
      <c r="H324" s="38" t="s">
        <v>882</v>
      </c>
    </row>
    <row r="325" spans="1:8" x14ac:dyDescent="0.3">
      <c r="A325" s="36">
        <v>46173</v>
      </c>
      <c r="B325" s="37" t="s">
        <v>1546</v>
      </c>
      <c r="C325" s="38" t="s">
        <v>15</v>
      </c>
      <c r="D325" s="19" t="s">
        <v>1547</v>
      </c>
      <c r="E325" s="175">
        <v>5233198</v>
      </c>
      <c r="F325" s="174"/>
      <c r="G325" s="38" t="s">
        <v>259</v>
      </c>
      <c r="H325" s="38" t="s">
        <v>882</v>
      </c>
    </row>
    <row r="326" spans="1:8" x14ac:dyDescent="0.3">
      <c r="A326" s="36">
        <v>46173</v>
      </c>
      <c r="B326" s="37" t="s">
        <v>1546</v>
      </c>
      <c r="C326" s="38" t="s">
        <v>15</v>
      </c>
      <c r="D326" s="19" t="s">
        <v>1547</v>
      </c>
      <c r="E326" s="175">
        <v>18895490</v>
      </c>
      <c r="F326" s="174"/>
      <c r="G326" s="38" t="s">
        <v>259</v>
      </c>
      <c r="H326" s="38" t="s">
        <v>882</v>
      </c>
    </row>
    <row r="327" spans="1:8" x14ac:dyDescent="0.3">
      <c r="A327" s="36">
        <v>46173</v>
      </c>
      <c r="B327" s="37" t="s">
        <v>1546</v>
      </c>
      <c r="C327" s="38" t="s">
        <v>15</v>
      </c>
      <c r="D327" s="19" t="s">
        <v>1547</v>
      </c>
      <c r="E327" s="175">
        <v>24414632</v>
      </c>
      <c r="F327" s="174"/>
      <c r="G327" s="38" t="s">
        <v>259</v>
      </c>
      <c r="H327" s="38" t="s">
        <v>882</v>
      </c>
    </row>
    <row r="328" spans="1:8" x14ac:dyDescent="0.3">
      <c r="A328" s="36">
        <v>46173</v>
      </c>
      <c r="B328" s="37" t="s">
        <v>1546</v>
      </c>
      <c r="C328" s="38" t="s">
        <v>15</v>
      </c>
      <c r="D328" s="19" t="s">
        <v>1547</v>
      </c>
      <c r="E328" s="175">
        <v>21054715</v>
      </c>
      <c r="F328" s="174"/>
      <c r="G328" s="38" t="s">
        <v>259</v>
      </c>
      <c r="H328" s="38" t="s">
        <v>882</v>
      </c>
    </row>
    <row r="329" spans="1:8" x14ac:dyDescent="0.3">
      <c r="A329" s="36">
        <v>46173</v>
      </c>
      <c r="B329" s="37" t="s">
        <v>1546</v>
      </c>
      <c r="C329" s="38" t="s">
        <v>15</v>
      </c>
      <c r="D329" s="19" t="s">
        <v>1547</v>
      </c>
      <c r="E329" s="175">
        <v>20212378</v>
      </c>
      <c r="F329" s="174"/>
      <c r="G329" s="38" t="s">
        <v>259</v>
      </c>
      <c r="H329" s="38" t="s">
        <v>882</v>
      </c>
    </row>
    <row r="330" spans="1:8" x14ac:dyDescent="0.3">
      <c r="A330" s="36">
        <v>46173</v>
      </c>
      <c r="B330" s="37" t="s">
        <v>1546</v>
      </c>
      <c r="C330" s="38" t="s">
        <v>15</v>
      </c>
      <c r="D330" s="19" t="s">
        <v>1547</v>
      </c>
      <c r="E330" s="175">
        <v>19498362</v>
      </c>
      <c r="F330" s="174"/>
      <c r="G330" s="38" t="s">
        <v>259</v>
      </c>
      <c r="H330" s="38" t="s">
        <v>882</v>
      </c>
    </row>
    <row r="331" spans="1:8" x14ac:dyDescent="0.3">
      <c r="A331" s="36">
        <v>46173</v>
      </c>
      <c r="B331" s="37" t="s">
        <v>1546</v>
      </c>
      <c r="C331" s="38" t="s">
        <v>15</v>
      </c>
      <c r="D331" s="19" t="s">
        <v>1547</v>
      </c>
      <c r="E331" s="175">
        <v>19821354</v>
      </c>
      <c r="F331" s="174"/>
      <c r="G331" s="38" t="s">
        <v>259</v>
      </c>
      <c r="H331" s="38" t="s">
        <v>882</v>
      </c>
    </row>
    <row r="332" spans="1:8" x14ac:dyDescent="0.3">
      <c r="A332" s="36">
        <v>46173</v>
      </c>
      <c r="B332" s="37" t="s">
        <v>1546</v>
      </c>
      <c r="C332" s="38" t="s">
        <v>15</v>
      </c>
      <c r="D332" s="19" t="s">
        <v>883</v>
      </c>
      <c r="E332" s="175">
        <v>718900</v>
      </c>
      <c r="F332" s="174"/>
      <c r="G332" s="38" t="s">
        <v>259</v>
      </c>
      <c r="H332" s="38" t="s">
        <v>882</v>
      </c>
    </row>
    <row r="333" spans="1:8" x14ac:dyDescent="0.3">
      <c r="A333" s="36">
        <v>46173</v>
      </c>
      <c r="B333" s="37" t="s">
        <v>1546</v>
      </c>
      <c r="C333" s="38" t="s">
        <v>15</v>
      </c>
      <c r="D333" s="19" t="s">
        <v>883</v>
      </c>
      <c r="E333" s="175">
        <v>9417096</v>
      </c>
      <c r="F333" s="174"/>
      <c r="G333" s="38" t="s">
        <v>259</v>
      </c>
      <c r="H333" s="38" t="s">
        <v>882</v>
      </c>
    </row>
    <row r="334" spans="1:8" x14ac:dyDescent="0.3">
      <c r="A334" s="36">
        <v>46173</v>
      </c>
      <c r="B334" s="37" t="s">
        <v>1546</v>
      </c>
      <c r="C334" s="38" t="s">
        <v>15</v>
      </c>
      <c r="D334" s="19" t="s">
        <v>1547</v>
      </c>
      <c r="E334" s="175">
        <v>10627219</v>
      </c>
      <c r="F334" s="174"/>
      <c r="G334" s="38" t="s">
        <v>259</v>
      </c>
      <c r="H334" s="38" t="s">
        <v>882</v>
      </c>
    </row>
    <row r="335" spans="1:8" x14ac:dyDescent="0.3">
      <c r="A335" s="36">
        <v>46173</v>
      </c>
      <c r="B335" s="37" t="s">
        <v>1546</v>
      </c>
      <c r="C335" s="38" t="s">
        <v>15</v>
      </c>
      <c r="D335" s="19" t="s">
        <v>883</v>
      </c>
      <c r="E335" s="175">
        <v>191471</v>
      </c>
      <c r="F335" s="174"/>
      <c r="G335" s="38" t="s">
        <v>259</v>
      </c>
      <c r="H335" s="38" t="s">
        <v>882</v>
      </c>
    </row>
    <row r="336" spans="1:8" x14ac:dyDescent="0.3">
      <c r="A336" s="36">
        <v>46173</v>
      </c>
      <c r="B336" s="37" t="s">
        <v>1546</v>
      </c>
      <c r="C336" s="38" t="s">
        <v>15</v>
      </c>
      <c r="D336" s="19" t="s">
        <v>1547</v>
      </c>
      <c r="E336" s="175">
        <v>892183</v>
      </c>
      <c r="F336" s="174"/>
      <c r="G336" s="38" t="s">
        <v>259</v>
      </c>
      <c r="H336" s="38" t="s">
        <v>882</v>
      </c>
    </row>
    <row r="337" spans="1:8" x14ac:dyDescent="0.3">
      <c r="A337" s="36">
        <v>46173</v>
      </c>
      <c r="B337" s="37" t="s">
        <v>1546</v>
      </c>
      <c r="C337" s="38" t="s">
        <v>15</v>
      </c>
      <c r="D337" s="19" t="s">
        <v>883</v>
      </c>
      <c r="E337" s="175">
        <v>129836</v>
      </c>
      <c r="F337" s="174"/>
      <c r="G337" s="38" t="s">
        <v>259</v>
      </c>
      <c r="H337" s="38" t="s">
        <v>882</v>
      </c>
    </row>
    <row r="338" spans="1:8" x14ac:dyDescent="0.3">
      <c r="A338" s="36">
        <v>46173</v>
      </c>
      <c r="B338" s="37" t="s">
        <v>1546</v>
      </c>
      <c r="C338" s="38" t="s">
        <v>15</v>
      </c>
      <c r="D338" s="19" t="s">
        <v>1547</v>
      </c>
      <c r="E338" s="175">
        <v>366102</v>
      </c>
      <c r="F338" s="174"/>
      <c r="G338" s="38" t="s">
        <v>259</v>
      </c>
      <c r="H338" s="38" t="s">
        <v>882</v>
      </c>
    </row>
    <row r="339" spans="1:8" x14ac:dyDescent="0.3">
      <c r="A339" s="36">
        <v>46173</v>
      </c>
      <c r="B339" s="37" t="s">
        <v>1546</v>
      </c>
      <c r="C339" s="38" t="s">
        <v>15</v>
      </c>
      <c r="D339" s="19" t="s">
        <v>883</v>
      </c>
      <c r="E339" s="175">
        <v>2296808</v>
      </c>
      <c r="F339" s="174"/>
      <c r="G339" s="38" t="s">
        <v>259</v>
      </c>
      <c r="H339" s="38" t="s">
        <v>882</v>
      </c>
    </row>
    <row r="340" spans="1:8" x14ac:dyDescent="0.3">
      <c r="A340" s="36">
        <v>46173</v>
      </c>
      <c r="B340" s="37" t="s">
        <v>1546</v>
      </c>
      <c r="C340" s="38" t="s">
        <v>15</v>
      </c>
      <c r="D340" s="19" t="s">
        <v>1547</v>
      </c>
      <c r="E340" s="175">
        <v>85467</v>
      </c>
      <c r="F340" s="174"/>
      <c r="G340" s="38" t="s">
        <v>259</v>
      </c>
      <c r="H340" s="38" t="s">
        <v>882</v>
      </c>
    </row>
    <row r="341" spans="1:8" x14ac:dyDescent="0.3">
      <c r="A341" s="36">
        <v>46173</v>
      </c>
      <c r="B341" s="37" t="s">
        <v>1546</v>
      </c>
      <c r="C341" s="38" t="s">
        <v>15</v>
      </c>
      <c r="D341" s="19" t="s">
        <v>1547</v>
      </c>
      <c r="E341" s="175">
        <v>3878757</v>
      </c>
      <c r="F341" s="174"/>
      <c r="G341" s="38" t="s">
        <v>259</v>
      </c>
      <c r="H341" s="38" t="s">
        <v>882</v>
      </c>
    </row>
    <row r="342" spans="1:8" x14ac:dyDescent="0.3">
      <c r="A342" s="36">
        <v>46173</v>
      </c>
      <c r="B342" s="37" t="s">
        <v>1546</v>
      </c>
      <c r="C342" s="38" t="s">
        <v>15</v>
      </c>
      <c r="D342" s="19" t="s">
        <v>1547</v>
      </c>
      <c r="E342" s="175">
        <v>25055394</v>
      </c>
      <c r="F342" s="174"/>
      <c r="G342" s="38" t="s">
        <v>259</v>
      </c>
      <c r="H342" s="38" t="s">
        <v>882</v>
      </c>
    </row>
    <row r="343" spans="1:8" x14ac:dyDescent="0.3">
      <c r="A343" s="36">
        <v>46173</v>
      </c>
      <c r="B343" s="37" t="s">
        <v>1546</v>
      </c>
      <c r="C343" s="38" t="s">
        <v>15</v>
      </c>
      <c r="D343" s="19" t="s">
        <v>1547</v>
      </c>
      <c r="E343" s="175">
        <v>18745109</v>
      </c>
      <c r="F343" s="174"/>
      <c r="G343" s="38" t="s">
        <v>259</v>
      </c>
      <c r="H343" s="38" t="s">
        <v>882</v>
      </c>
    </row>
    <row r="344" spans="1:8" x14ac:dyDescent="0.3">
      <c r="A344" s="36">
        <v>46173</v>
      </c>
      <c r="B344" s="37" t="s">
        <v>1546</v>
      </c>
      <c r="C344" s="38" t="s">
        <v>15</v>
      </c>
      <c r="D344" s="19" t="s">
        <v>883</v>
      </c>
      <c r="E344" s="175">
        <v>25897226</v>
      </c>
      <c r="F344" s="174"/>
      <c r="G344" s="38" t="s">
        <v>259</v>
      </c>
      <c r="H344" s="38" t="s">
        <v>882</v>
      </c>
    </row>
    <row r="345" spans="1:8" x14ac:dyDescent="0.3">
      <c r="A345" s="36">
        <v>46173</v>
      </c>
      <c r="B345" s="37" t="s">
        <v>1546</v>
      </c>
      <c r="C345" s="38" t="s">
        <v>15</v>
      </c>
      <c r="D345" s="19" t="s">
        <v>1547</v>
      </c>
      <c r="E345" s="175">
        <v>23788521</v>
      </c>
      <c r="F345" s="174"/>
      <c r="G345" s="38" t="s">
        <v>259</v>
      </c>
      <c r="H345" s="38" t="s">
        <v>882</v>
      </c>
    </row>
    <row r="346" spans="1:8" x14ac:dyDescent="0.3">
      <c r="A346" s="36">
        <v>46173</v>
      </c>
      <c r="B346" s="37" t="s">
        <v>1546</v>
      </c>
      <c r="C346" s="38" t="s">
        <v>15</v>
      </c>
      <c r="D346" s="19" t="s">
        <v>883</v>
      </c>
      <c r="E346" s="175">
        <v>23779427</v>
      </c>
      <c r="F346" s="174"/>
      <c r="G346" s="38" t="s">
        <v>259</v>
      </c>
      <c r="H346" s="38" t="s">
        <v>882</v>
      </c>
    </row>
    <row r="347" spans="1:8" x14ac:dyDescent="0.3">
      <c r="A347" s="36">
        <v>46173</v>
      </c>
      <c r="B347" s="37" t="s">
        <v>1546</v>
      </c>
      <c r="C347" s="38" t="s">
        <v>15</v>
      </c>
      <c r="D347" s="19" t="s">
        <v>1547</v>
      </c>
      <c r="E347" s="175">
        <v>23587788</v>
      </c>
      <c r="F347" s="174"/>
      <c r="G347" s="38" t="s">
        <v>259</v>
      </c>
      <c r="H347" s="38" t="s">
        <v>882</v>
      </c>
    </row>
    <row r="348" spans="1:8" x14ac:dyDescent="0.3">
      <c r="A348" s="36">
        <v>46173</v>
      </c>
      <c r="B348" s="37" t="s">
        <v>1546</v>
      </c>
      <c r="C348" s="38" t="s">
        <v>15</v>
      </c>
      <c r="D348" s="19" t="s">
        <v>883</v>
      </c>
      <c r="E348" s="175">
        <v>24266945</v>
      </c>
      <c r="F348" s="174"/>
      <c r="G348" s="38" t="s">
        <v>259</v>
      </c>
      <c r="H348" s="38" t="s">
        <v>882</v>
      </c>
    </row>
    <row r="349" spans="1:8" x14ac:dyDescent="0.3">
      <c r="A349" s="36">
        <v>46173</v>
      </c>
      <c r="B349" s="37" t="s">
        <v>1546</v>
      </c>
      <c r="C349" s="38" t="s">
        <v>15</v>
      </c>
      <c r="D349" s="19" t="s">
        <v>1547</v>
      </c>
      <c r="E349" s="175">
        <v>22028404</v>
      </c>
      <c r="F349" s="174"/>
      <c r="G349" s="38" t="s">
        <v>259</v>
      </c>
      <c r="H349" s="38" t="s">
        <v>882</v>
      </c>
    </row>
    <row r="350" spans="1:8" x14ac:dyDescent="0.3">
      <c r="A350" s="36">
        <v>46173</v>
      </c>
      <c r="B350" s="37" t="s">
        <v>1546</v>
      </c>
      <c r="C350" s="38" t="s">
        <v>15</v>
      </c>
      <c r="D350" s="19" t="s">
        <v>883</v>
      </c>
      <c r="E350" s="175">
        <v>14499072</v>
      </c>
      <c r="F350" s="174"/>
      <c r="G350" s="38" t="s">
        <v>259</v>
      </c>
      <c r="H350" s="38" t="s">
        <v>882</v>
      </c>
    </row>
    <row r="351" spans="1:8" x14ac:dyDescent="0.3">
      <c r="A351" s="36">
        <v>46173</v>
      </c>
      <c r="B351" s="37" t="s">
        <v>1546</v>
      </c>
      <c r="C351" s="38" t="s">
        <v>15</v>
      </c>
      <c r="D351" s="19" t="s">
        <v>1547</v>
      </c>
      <c r="E351" s="175">
        <v>11401859</v>
      </c>
      <c r="F351" s="174"/>
      <c r="G351" s="38" t="s">
        <v>259</v>
      </c>
      <c r="H351" s="38" t="s">
        <v>882</v>
      </c>
    </row>
    <row r="352" spans="1:8" x14ac:dyDescent="0.3">
      <c r="A352" s="36">
        <v>46173</v>
      </c>
      <c r="B352" s="37" t="s">
        <v>1546</v>
      </c>
      <c r="C352" s="38" t="s">
        <v>15</v>
      </c>
      <c r="D352" s="19" t="s">
        <v>883</v>
      </c>
      <c r="E352" s="175">
        <v>23691691</v>
      </c>
      <c r="F352" s="174"/>
      <c r="G352" s="38" t="s">
        <v>259</v>
      </c>
      <c r="H352" s="38" t="s">
        <v>882</v>
      </c>
    </row>
    <row r="353" spans="1:8" x14ac:dyDescent="0.3">
      <c r="A353" s="36">
        <v>46173</v>
      </c>
      <c r="B353" s="37" t="s">
        <v>1546</v>
      </c>
      <c r="C353" s="38" t="s">
        <v>15</v>
      </c>
      <c r="D353" s="19" t="s">
        <v>1547</v>
      </c>
      <c r="E353" s="175">
        <v>21343690</v>
      </c>
      <c r="F353" s="174"/>
      <c r="G353" s="38" t="s">
        <v>259</v>
      </c>
      <c r="H353" s="38" t="s">
        <v>882</v>
      </c>
    </row>
    <row r="354" spans="1:8" x14ac:dyDescent="0.3">
      <c r="A354" s="36">
        <v>46173</v>
      </c>
      <c r="B354" s="37" t="s">
        <v>1546</v>
      </c>
      <c r="C354" s="38" t="s">
        <v>15</v>
      </c>
      <c r="D354" s="19" t="s">
        <v>1547</v>
      </c>
      <c r="E354" s="175">
        <v>53720</v>
      </c>
      <c r="F354" s="174"/>
      <c r="G354" s="38" t="s">
        <v>259</v>
      </c>
      <c r="H354" s="38" t="s">
        <v>882</v>
      </c>
    </row>
    <row r="355" spans="1:8" x14ac:dyDescent="0.3">
      <c r="A355" s="36">
        <v>46173</v>
      </c>
      <c r="B355" s="37" t="s">
        <v>1546</v>
      </c>
      <c r="C355" s="38" t="s">
        <v>15</v>
      </c>
      <c r="D355" s="19" t="s">
        <v>1547</v>
      </c>
      <c r="E355" s="175">
        <v>127310</v>
      </c>
      <c r="F355" s="174"/>
      <c r="G355" s="38" t="s">
        <v>259</v>
      </c>
      <c r="H355" s="38" t="s">
        <v>882</v>
      </c>
    </row>
    <row r="356" spans="1:8" x14ac:dyDescent="0.3">
      <c r="A356" s="36">
        <v>46173</v>
      </c>
      <c r="B356" s="37" t="s">
        <v>1546</v>
      </c>
      <c r="C356" s="38" t="s">
        <v>15</v>
      </c>
      <c r="D356" s="19" t="s">
        <v>1547</v>
      </c>
      <c r="E356" s="175">
        <v>30312</v>
      </c>
      <c r="F356" s="174"/>
      <c r="G356" s="38" t="s">
        <v>259</v>
      </c>
      <c r="H356" s="38" t="s">
        <v>882</v>
      </c>
    </row>
    <row r="357" spans="1:8" x14ac:dyDescent="0.3">
      <c r="A357" s="36">
        <v>46173</v>
      </c>
      <c r="B357" s="37" t="s">
        <v>1546</v>
      </c>
      <c r="C357" s="38" t="s">
        <v>15</v>
      </c>
      <c r="D357" s="19" t="s">
        <v>883</v>
      </c>
      <c r="E357" s="175">
        <v>113333</v>
      </c>
      <c r="F357" s="174"/>
      <c r="G357" s="38" t="s">
        <v>259</v>
      </c>
      <c r="H357" s="38" t="s">
        <v>882</v>
      </c>
    </row>
    <row r="358" spans="1:8" x14ac:dyDescent="0.3">
      <c r="A358" s="36">
        <v>46173</v>
      </c>
      <c r="B358" s="37" t="s">
        <v>1546</v>
      </c>
      <c r="C358" s="38" t="s">
        <v>15</v>
      </c>
      <c r="D358" s="19" t="s">
        <v>1547</v>
      </c>
      <c r="E358" s="175">
        <v>17177</v>
      </c>
      <c r="F358" s="174"/>
      <c r="G358" s="38" t="s">
        <v>259</v>
      </c>
      <c r="H358" s="38" t="s">
        <v>882</v>
      </c>
    </row>
    <row r="359" spans="1:8" x14ac:dyDescent="0.3">
      <c r="A359" s="36">
        <v>46173</v>
      </c>
      <c r="B359" s="37" t="s">
        <v>1546</v>
      </c>
      <c r="C359" s="38" t="s">
        <v>15</v>
      </c>
      <c r="D359" s="19" t="s">
        <v>1547</v>
      </c>
      <c r="E359" s="175">
        <v>5220</v>
      </c>
      <c r="F359" s="174"/>
      <c r="G359" s="38" t="s">
        <v>259</v>
      </c>
      <c r="H359" s="38" t="s">
        <v>882</v>
      </c>
    </row>
    <row r="360" spans="1:8" x14ac:dyDescent="0.3">
      <c r="A360" s="36">
        <v>46173</v>
      </c>
      <c r="B360" s="37" t="s">
        <v>1546</v>
      </c>
      <c r="C360" s="38" t="s">
        <v>15</v>
      </c>
      <c r="D360" s="19" t="s">
        <v>1547</v>
      </c>
      <c r="E360" s="175">
        <v>2021</v>
      </c>
      <c r="F360" s="174"/>
      <c r="G360" s="38" t="s">
        <v>259</v>
      </c>
      <c r="H360" s="38" t="s">
        <v>882</v>
      </c>
    </row>
    <row r="361" spans="1:8" x14ac:dyDescent="0.3">
      <c r="A361" s="36">
        <v>46173</v>
      </c>
      <c r="B361" s="37" t="s">
        <v>1546</v>
      </c>
      <c r="C361" s="38" t="s">
        <v>15</v>
      </c>
      <c r="D361" s="19" t="s">
        <v>1547</v>
      </c>
      <c r="E361" s="175">
        <v>4622580</v>
      </c>
      <c r="F361" s="174"/>
      <c r="G361" s="38" t="s">
        <v>259</v>
      </c>
      <c r="H361" s="38" t="s">
        <v>882</v>
      </c>
    </row>
    <row r="362" spans="1:8" x14ac:dyDescent="0.3">
      <c r="A362" s="36">
        <v>46173</v>
      </c>
      <c r="B362" s="37" t="s">
        <v>1546</v>
      </c>
      <c r="C362" s="38" t="s">
        <v>15</v>
      </c>
      <c r="D362" s="19" t="s">
        <v>1547</v>
      </c>
      <c r="E362" s="175">
        <v>2057848</v>
      </c>
      <c r="F362" s="174"/>
      <c r="G362" s="38" t="s">
        <v>259</v>
      </c>
      <c r="H362" s="38" t="s">
        <v>882</v>
      </c>
    </row>
    <row r="363" spans="1:8" x14ac:dyDescent="0.3">
      <c r="A363" s="36">
        <v>46173</v>
      </c>
      <c r="B363" s="37" t="s">
        <v>1546</v>
      </c>
      <c r="C363" s="38" t="s">
        <v>15</v>
      </c>
      <c r="D363" s="19" t="s">
        <v>885</v>
      </c>
      <c r="E363" s="175">
        <v>1329855</v>
      </c>
      <c r="F363" s="174"/>
      <c r="G363" s="38" t="s">
        <v>259</v>
      </c>
      <c r="H363" s="38" t="s">
        <v>882</v>
      </c>
    </row>
    <row r="364" spans="1:8" x14ac:dyDescent="0.3">
      <c r="A364" s="36">
        <v>46173</v>
      </c>
      <c r="B364" s="37" t="s">
        <v>1546</v>
      </c>
      <c r="C364" s="38" t="s">
        <v>15</v>
      </c>
      <c r="D364" s="19" t="s">
        <v>885</v>
      </c>
      <c r="E364" s="175">
        <v>1119860</v>
      </c>
      <c r="F364" s="174"/>
      <c r="G364" s="38" t="s">
        <v>259</v>
      </c>
      <c r="H364" s="38" t="s">
        <v>882</v>
      </c>
    </row>
    <row r="365" spans="1:8" x14ac:dyDescent="0.3">
      <c r="A365" s="36">
        <v>46173</v>
      </c>
      <c r="B365" s="37" t="s">
        <v>1546</v>
      </c>
      <c r="C365" s="38" t="s">
        <v>15</v>
      </c>
      <c r="D365" s="19" t="s">
        <v>884</v>
      </c>
      <c r="E365" s="175">
        <v>1264179</v>
      </c>
      <c r="F365" s="174"/>
      <c r="G365" s="38" t="s">
        <v>259</v>
      </c>
      <c r="H365" s="38" t="s">
        <v>882</v>
      </c>
    </row>
    <row r="366" spans="1:8" x14ac:dyDescent="0.3">
      <c r="A366" s="36">
        <v>46173</v>
      </c>
      <c r="B366" s="37" t="s">
        <v>1546</v>
      </c>
      <c r="C366" s="38" t="s">
        <v>15</v>
      </c>
      <c r="D366" s="19" t="s">
        <v>1547</v>
      </c>
      <c r="E366" s="175">
        <v>1221237</v>
      </c>
      <c r="F366" s="174"/>
      <c r="G366" s="38" t="s">
        <v>259</v>
      </c>
      <c r="H366" s="38" t="s">
        <v>882</v>
      </c>
    </row>
    <row r="367" spans="1:8" x14ac:dyDescent="0.3">
      <c r="A367" s="36">
        <v>46173</v>
      </c>
      <c r="B367" s="37" t="s">
        <v>1546</v>
      </c>
      <c r="C367" s="38" t="s">
        <v>15</v>
      </c>
      <c r="D367" s="19" t="s">
        <v>1547</v>
      </c>
      <c r="E367" s="175">
        <v>28996628</v>
      </c>
      <c r="F367" s="174"/>
      <c r="G367" s="38" t="s">
        <v>259</v>
      </c>
      <c r="H367" s="38" t="s">
        <v>882</v>
      </c>
    </row>
    <row r="368" spans="1:8" x14ac:dyDescent="0.3">
      <c r="A368" s="36">
        <v>46173</v>
      </c>
      <c r="B368" s="37" t="s">
        <v>1546</v>
      </c>
      <c r="C368" s="38" t="s">
        <v>15</v>
      </c>
      <c r="D368" s="19" t="s">
        <v>1547</v>
      </c>
      <c r="E368" s="175">
        <v>26694431</v>
      </c>
      <c r="F368" s="174"/>
      <c r="G368" s="38" t="s">
        <v>259</v>
      </c>
      <c r="H368" s="38" t="s">
        <v>882</v>
      </c>
    </row>
    <row r="369" spans="1:8" x14ac:dyDescent="0.3">
      <c r="A369" s="36">
        <v>46173</v>
      </c>
      <c r="B369" s="37" t="s">
        <v>1546</v>
      </c>
      <c r="C369" s="38" t="s">
        <v>15</v>
      </c>
      <c r="D369" s="19" t="s">
        <v>1547</v>
      </c>
      <c r="E369" s="175">
        <v>16698544</v>
      </c>
      <c r="F369" s="174"/>
      <c r="G369" s="38" t="s">
        <v>259</v>
      </c>
      <c r="H369" s="38" t="s">
        <v>882</v>
      </c>
    </row>
    <row r="370" spans="1:8" x14ac:dyDescent="0.3">
      <c r="A370" s="36">
        <v>46173</v>
      </c>
      <c r="B370" s="37" t="s">
        <v>1546</v>
      </c>
      <c r="C370" s="38" t="s">
        <v>15</v>
      </c>
      <c r="D370" s="19" t="s">
        <v>1547</v>
      </c>
      <c r="E370" s="175">
        <v>20000868</v>
      </c>
      <c r="F370" s="174"/>
      <c r="G370" s="38" t="s">
        <v>259</v>
      </c>
      <c r="H370" s="38" t="s">
        <v>882</v>
      </c>
    </row>
    <row r="371" spans="1:8" x14ac:dyDescent="0.3">
      <c r="A371" s="36">
        <v>46173</v>
      </c>
      <c r="B371" s="37" t="s">
        <v>1546</v>
      </c>
      <c r="C371" s="38" t="s">
        <v>15</v>
      </c>
      <c r="D371" s="19" t="s">
        <v>1547</v>
      </c>
      <c r="E371" s="175">
        <v>2127566</v>
      </c>
      <c r="F371" s="174"/>
      <c r="G371" s="38" t="s">
        <v>259</v>
      </c>
      <c r="H371" s="38" t="s">
        <v>882</v>
      </c>
    </row>
    <row r="372" spans="1:8" x14ac:dyDescent="0.3">
      <c r="A372" s="36">
        <v>46173</v>
      </c>
      <c r="B372" s="37" t="s">
        <v>1546</v>
      </c>
      <c r="C372" s="38" t="s">
        <v>15</v>
      </c>
      <c r="D372" s="19" t="s">
        <v>1547</v>
      </c>
      <c r="E372" s="175">
        <v>54730</v>
      </c>
      <c r="F372" s="174"/>
      <c r="G372" s="38" t="s">
        <v>259</v>
      </c>
      <c r="H372" s="38" t="s">
        <v>882</v>
      </c>
    </row>
    <row r="373" spans="1:8" x14ac:dyDescent="0.3">
      <c r="A373" s="36">
        <v>46173</v>
      </c>
      <c r="B373" s="37" t="s">
        <v>1546</v>
      </c>
      <c r="C373" s="38" t="s">
        <v>15</v>
      </c>
      <c r="D373" s="19" t="s">
        <v>1547</v>
      </c>
      <c r="E373" s="175">
        <v>35869</v>
      </c>
      <c r="F373" s="174"/>
      <c r="G373" s="38" t="s">
        <v>259</v>
      </c>
      <c r="H373" s="38" t="s">
        <v>882</v>
      </c>
    </row>
    <row r="374" spans="1:8" x14ac:dyDescent="0.3">
      <c r="A374" s="36">
        <v>46173</v>
      </c>
      <c r="B374" s="37" t="s">
        <v>1546</v>
      </c>
      <c r="C374" s="38" t="s">
        <v>15</v>
      </c>
      <c r="D374" s="19" t="s">
        <v>1547</v>
      </c>
      <c r="E374" s="175">
        <v>122258</v>
      </c>
      <c r="F374" s="174"/>
      <c r="G374" s="38" t="s">
        <v>259</v>
      </c>
      <c r="H374" s="38" t="s">
        <v>882</v>
      </c>
    </row>
    <row r="375" spans="1:8" x14ac:dyDescent="0.3">
      <c r="A375" s="36">
        <v>46173</v>
      </c>
      <c r="B375" s="37" t="s">
        <v>1546</v>
      </c>
      <c r="C375" s="38" t="s">
        <v>15</v>
      </c>
      <c r="D375" s="19" t="s">
        <v>883</v>
      </c>
      <c r="E375" s="175">
        <v>108113</v>
      </c>
      <c r="F375" s="174"/>
      <c r="G375" s="38" t="s">
        <v>259</v>
      </c>
      <c r="H375" s="38" t="s">
        <v>882</v>
      </c>
    </row>
    <row r="376" spans="1:8" x14ac:dyDescent="0.3">
      <c r="A376" s="36">
        <v>46173</v>
      </c>
      <c r="B376" s="37" t="s">
        <v>1546</v>
      </c>
      <c r="C376" s="38" t="s">
        <v>15</v>
      </c>
      <c r="D376" s="19" t="s">
        <v>1547</v>
      </c>
      <c r="E376" s="175">
        <v>44963</v>
      </c>
      <c r="F376" s="174"/>
      <c r="G376" s="38" t="s">
        <v>259</v>
      </c>
      <c r="H376" s="38" t="s">
        <v>882</v>
      </c>
    </row>
    <row r="377" spans="1:8" x14ac:dyDescent="0.3">
      <c r="A377" s="36">
        <v>46173</v>
      </c>
      <c r="B377" s="37" t="s">
        <v>1546</v>
      </c>
      <c r="C377" s="38" t="s">
        <v>15</v>
      </c>
      <c r="D377" s="19" t="s">
        <v>883</v>
      </c>
      <c r="E377" s="175">
        <v>486844</v>
      </c>
      <c r="F377" s="174"/>
      <c r="G377" s="38" t="s">
        <v>259</v>
      </c>
      <c r="H377" s="38" t="s">
        <v>882</v>
      </c>
    </row>
    <row r="378" spans="1:8" x14ac:dyDescent="0.3">
      <c r="A378" s="36">
        <v>46173</v>
      </c>
      <c r="B378" s="37" t="s">
        <v>1546</v>
      </c>
      <c r="C378" s="38" t="s">
        <v>15</v>
      </c>
      <c r="D378" s="19" t="s">
        <v>1547</v>
      </c>
      <c r="E378" s="175">
        <v>308004</v>
      </c>
      <c r="F378" s="174"/>
      <c r="G378" s="38" t="s">
        <v>259</v>
      </c>
      <c r="H378" s="38" t="s">
        <v>882</v>
      </c>
    </row>
    <row r="379" spans="1:8" x14ac:dyDescent="0.3">
      <c r="A379" s="36">
        <v>46173</v>
      </c>
      <c r="B379" s="37" t="s">
        <v>1546</v>
      </c>
      <c r="C379" s="38" t="s">
        <v>15</v>
      </c>
      <c r="D379" s="19" t="s">
        <v>1547</v>
      </c>
      <c r="E379" s="175">
        <v>68202</v>
      </c>
      <c r="F379" s="174"/>
      <c r="G379" s="38" t="s">
        <v>259</v>
      </c>
      <c r="H379" s="38" t="s">
        <v>882</v>
      </c>
    </row>
    <row r="380" spans="1:8" x14ac:dyDescent="0.3">
      <c r="A380" s="36">
        <v>46173</v>
      </c>
      <c r="B380" s="37" t="s">
        <v>1546</v>
      </c>
      <c r="C380" s="38" t="s">
        <v>15</v>
      </c>
      <c r="D380" s="19" t="s">
        <v>1547</v>
      </c>
      <c r="E380" s="175">
        <v>1776788</v>
      </c>
      <c r="F380" s="174"/>
      <c r="G380" s="38" t="s">
        <v>259</v>
      </c>
      <c r="H380" s="38" t="s">
        <v>882</v>
      </c>
    </row>
    <row r="381" spans="1:8" x14ac:dyDescent="0.3">
      <c r="A381" s="36">
        <v>46173</v>
      </c>
      <c r="B381" s="37" t="s">
        <v>1546</v>
      </c>
      <c r="C381" s="38" t="s">
        <v>15</v>
      </c>
      <c r="D381" s="19" t="s">
        <v>1547</v>
      </c>
      <c r="E381" s="175">
        <v>496106</v>
      </c>
      <c r="F381" s="174"/>
      <c r="G381" s="38" t="s">
        <v>259</v>
      </c>
      <c r="H381" s="38" t="s">
        <v>882</v>
      </c>
    </row>
    <row r="382" spans="1:8" x14ac:dyDescent="0.3">
      <c r="A382" s="36">
        <v>46173</v>
      </c>
      <c r="B382" s="37" t="s">
        <v>1546</v>
      </c>
      <c r="C382" s="38" t="s">
        <v>15</v>
      </c>
      <c r="D382" s="19" t="s">
        <v>1547</v>
      </c>
      <c r="E382" s="175">
        <v>82179</v>
      </c>
      <c r="F382" s="174"/>
      <c r="G382" s="38" t="s">
        <v>259</v>
      </c>
      <c r="H382" s="38" t="s">
        <v>882</v>
      </c>
    </row>
    <row r="383" spans="1:8" x14ac:dyDescent="0.3">
      <c r="A383" s="36">
        <v>46173</v>
      </c>
      <c r="B383" s="37" t="s">
        <v>1546</v>
      </c>
      <c r="C383" s="38" t="s">
        <v>15</v>
      </c>
      <c r="D383" s="19" t="s">
        <v>1547</v>
      </c>
      <c r="E383" s="175">
        <v>17214522</v>
      </c>
      <c r="F383" s="174"/>
      <c r="G383" s="38" t="s">
        <v>259</v>
      </c>
      <c r="H383" s="38" t="s">
        <v>882</v>
      </c>
    </row>
    <row r="384" spans="1:8" x14ac:dyDescent="0.3">
      <c r="A384" s="36">
        <v>46173</v>
      </c>
      <c r="B384" s="37" t="s">
        <v>1546</v>
      </c>
      <c r="C384" s="38" t="s">
        <v>15</v>
      </c>
      <c r="D384" s="19" t="s">
        <v>1547</v>
      </c>
      <c r="E384" s="175">
        <v>20117064</v>
      </c>
      <c r="F384" s="174"/>
      <c r="G384" s="38" t="s">
        <v>259</v>
      </c>
      <c r="H384" s="38" t="s">
        <v>882</v>
      </c>
    </row>
    <row r="385" spans="1:8" x14ac:dyDescent="0.3">
      <c r="A385" s="36">
        <v>46173</v>
      </c>
      <c r="B385" s="37" t="s">
        <v>1546</v>
      </c>
      <c r="C385" s="38" t="s">
        <v>15</v>
      </c>
      <c r="D385" s="19" t="s">
        <v>1547</v>
      </c>
      <c r="E385" s="175">
        <v>20281254</v>
      </c>
      <c r="F385" s="174"/>
      <c r="G385" s="38" t="s">
        <v>259</v>
      </c>
      <c r="H385" s="38" t="s">
        <v>882</v>
      </c>
    </row>
    <row r="386" spans="1:8" x14ac:dyDescent="0.3">
      <c r="A386" s="36">
        <v>46173</v>
      </c>
      <c r="B386" s="37" t="s">
        <v>1546</v>
      </c>
      <c r="C386" s="38" t="s">
        <v>15</v>
      </c>
      <c r="D386" s="19" t="s">
        <v>1547</v>
      </c>
      <c r="E386" s="175">
        <v>18973628</v>
      </c>
      <c r="F386" s="174"/>
      <c r="G386" s="38" t="s">
        <v>259</v>
      </c>
      <c r="H386" s="38" t="s">
        <v>882</v>
      </c>
    </row>
    <row r="387" spans="1:8" x14ac:dyDescent="0.3">
      <c r="A387" s="36">
        <v>46173</v>
      </c>
      <c r="B387" s="37" t="s">
        <v>1546</v>
      </c>
      <c r="C387" s="38" t="s">
        <v>15</v>
      </c>
      <c r="D387" s="19" t="s">
        <v>1547</v>
      </c>
      <c r="E387" s="175">
        <v>18104516</v>
      </c>
      <c r="F387" s="174"/>
      <c r="G387" s="38" t="s">
        <v>259</v>
      </c>
      <c r="H387" s="38" t="s">
        <v>882</v>
      </c>
    </row>
    <row r="388" spans="1:8" x14ac:dyDescent="0.3">
      <c r="A388" s="36">
        <v>46173</v>
      </c>
      <c r="B388" s="37" t="s">
        <v>1546</v>
      </c>
      <c r="C388" s="38" t="s">
        <v>15</v>
      </c>
      <c r="D388" s="19" t="s">
        <v>1547</v>
      </c>
      <c r="E388" s="175">
        <v>23856891</v>
      </c>
      <c r="F388" s="174"/>
      <c r="G388" s="38" t="s">
        <v>259</v>
      </c>
      <c r="H388" s="38" t="s">
        <v>882</v>
      </c>
    </row>
    <row r="389" spans="1:8" x14ac:dyDescent="0.3">
      <c r="A389" s="36">
        <v>46173</v>
      </c>
      <c r="B389" s="37" t="s">
        <v>1546</v>
      </c>
      <c r="C389" s="38" t="s">
        <v>15</v>
      </c>
      <c r="D389" s="19" t="s">
        <v>1547</v>
      </c>
      <c r="E389" s="175">
        <v>16879742</v>
      </c>
      <c r="F389" s="174"/>
      <c r="G389" s="38" t="s">
        <v>259</v>
      </c>
      <c r="H389" s="38" t="s">
        <v>882</v>
      </c>
    </row>
    <row r="390" spans="1:8" x14ac:dyDescent="0.3">
      <c r="A390" s="36">
        <v>46173</v>
      </c>
      <c r="B390" s="37" t="s">
        <v>1546</v>
      </c>
      <c r="C390" s="38" t="s">
        <v>15</v>
      </c>
      <c r="D390" s="19" t="s">
        <v>1547</v>
      </c>
      <c r="E390" s="175">
        <v>13925164</v>
      </c>
      <c r="F390" s="174"/>
      <c r="G390" s="38" t="s">
        <v>259</v>
      </c>
      <c r="H390" s="38" t="s">
        <v>882</v>
      </c>
    </row>
    <row r="391" spans="1:8" x14ac:dyDescent="0.3">
      <c r="A391" s="36">
        <v>46173</v>
      </c>
      <c r="B391" s="37" t="s">
        <v>1546</v>
      </c>
      <c r="C391" s="38" t="s">
        <v>15</v>
      </c>
      <c r="D391" s="19" t="s">
        <v>1547</v>
      </c>
      <c r="E391" s="175">
        <v>4972852</v>
      </c>
      <c r="F391" s="174"/>
      <c r="G391" s="38" t="s">
        <v>259</v>
      </c>
      <c r="H391" s="38" t="s">
        <v>882</v>
      </c>
    </row>
    <row r="392" spans="1:8" x14ac:dyDescent="0.3">
      <c r="A392" s="36">
        <v>46173</v>
      </c>
      <c r="B392" s="37" t="s">
        <v>1546</v>
      </c>
      <c r="C392" s="38" t="s">
        <v>15</v>
      </c>
      <c r="D392" s="19" t="s">
        <v>1547</v>
      </c>
      <c r="E392" s="175">
        <v>1920770</v>
      </c>
      <c r="F392" s="174"/>
      <c r="G392" s="38" t="s">
        <v>259</v>
      </c>
      <c r="H392" s="38" t="s">
        <v>882</v>
      </c>
    </row>
    <row r="393" spans="1:8" x14ac:dyDescent="0.3">
      <c r="A393" s="36">
        <v>46173</v>
      </c>
      <c r="B393" s="37" t="s">
        <v>1546</v>
      </c>
      <c r="C393" s="38" t="s">
        <v>15</v>
      </c>
      <c r="D393" s="19" t="s">
        <v>1547</v>
      </c>
      <c r="E393" s="175">
        <v>12885294</v>
      </c>
      <c r="F393" s="174"/>
      <c r="G393" s="38" t="s">
        <v>259</v>
      </c>
      <c r="H393" s="38" t="s">
        <v>882</v>
      </c>
    </row>
    <row r="394" spans="1:8" x14ac:dyDescent="0.3">
      <c r="A394" s="36">
        <v>46173</v>
      </c>
      <c r="B394" s="37" t="s">
        <v>1546</v>
      </c>
      <c r="C394" s="38" t="s">
        <v>15</v>
      </c>
      <c r="D394" s="19" t="s">
        <v>883</v>
      </c>
      <c r="E394" s="175">
        <v>7536910</v>
      </c>
      <c r="F394" s="174"/>
      <c r="G394" s="38" t="s">
        <v>259</v>
      </c>
      <c r="H394" s="38" t="s">
        <v>882</v>
      </c>
    </row>
    <row r="395" spans="1:8" x14ac:dyDescent="0.3">
      <c r="A395" s="36">
        <v>46173</v>
      </c>
      <c r="B395" s="37" t="s">
        <v>1546</v>
      </c>
      <c r="C395" s="38" t="s">
        <v>15</v>
      </c>
      <c r="D395" s="19" t="s">
        <v>1547</v>
      </c>
      <c r="E395" s="175">
        <v>5526214</v>
      </c>
      <c r="F395" s="174"/>
      <c r="G395" s="38" t="s">
        <v>259</v>
      </c>
      <c r="H395" s="38" t="s">
        <v>882</v>
      </c>
    </row>
    <row r="396" spans="1:8" x14ac:dyDescent="0.3">
      <c r="A396" s="36">
        <v>46173</v>
      </c>
      <c r="B396" s="37" t="s">
        <v>1546</v>
      </c>
      <c r="C396" s="38" t="s">
        <v>15</v>
      </c>
      <c r="D396" s="19" t="s">
        <v>883</v>
      </c>
      <c r="E396" s="175">
        <v>18003981</v>
      </c>
      <c r="F396" s="174"/>
      <c r="G396" s="38" t="s">
        <v>259</v>
      </c>
      <c r="H396" s="38" t="s">
        <v>882</v>
      </c>
    </row>
    <row r="397" spans="1:8" x14ac:dyDescent="0.3">
      <c r="A397" s="36">
        <v>46173</v>
      </c>
      <c r="B397" s="37" t="s">
        <v>1546</v>
      </c>
      <c r="C397" s="38" t="s">
        <v>15</v>
      </c>
      <c r="D397" s="19" t="s">
        <v>1547</v>
      </c>
      <c r="E397" s="175">
        <v>14191910</v>
      </c>
      <c r="F397" s="174"/>
      <c r="G397" s="38" t="s">
        <v>259</v>
      </c>
      <c r="H397" s="38" t="s">
        <v>882</v>
      </c>
    </row>
    <row r="398" spans="1:8" x14ac:dyDescent="0.3">
      <c r="A398" s="36">
        <v>46173</v>
      </c>
      <c r="B398" s="37" t="s">
        <v>1546</v>
      </c>
      <c r="C398" s="38" t="s">
        <v>15</v>
      </c>
      <c r="D398" s="19" t="s">
        <v>883</v>
      </c>
      <c r="E398" s="175">
        <v>16824844</v>
      </c>
      <c r="F398" s="174"/>
      <c r="G398" s="38" t="s">
        <v>259</v>
      </c>
      <c r="H398" s="38" t="s">
        <v>882</v>
      </c>
    </row>
    <row r="399" spans="1:8" x14ac:dyDescent="0.3">
      <c r="A399" s="36">
        <v>46173</v>
      </c>
      <c r="B399" s="37" t="s">
        <v>1546</v>
      </c>
      <c r="C399" s="38" t="s">
        <v>15</v>
      </c>
      <c r="D399" s="19" t="s">
        <v>1547</v>
      </c>
      <c r="E399" s="175">
        <v>11532706</v>
      </c>
      <c r="F399" s="174"/>
      <c r="G399" s="38" t="s">
        <v>259</v>
      </c>
      <c r="H399" s="38" t="s">
        <v>882</v>
      </c>
    </row>
    <row r="400" spans="1:8" x14ac:dyDescent="0.3">
      <c r="A400" s="36">
        <v>46173</v>
      </c>
      <c r="B400" s="37" t="s">
        <v>1546</v>
      </c>
      <c r="C400" s="38" t="s">
        <v>15</v>
      </c>
      <c r="D400" s="19" t="s">
        <v>1547</v>
      </c>
      <c r="E400" s="175">
        <v>19448179</v>
      </c>
      <c r="F400" s="174"/>
      <c r="G400" s="38" t="s">
        <v>259</v>
      </c>
      <c r="H400" s="38" t="s">
        <v>882</v>
      </c>
    </row>
    <row r="401" spans="1:8" x14ac:dyDescent="0.3">
      <c r="A401" s="36">
        <v>46173</v>
      </c>
      <c r="B401" s="37" t="s">
        <v>1546</v>
      </c>
      <c r="C401" s="38" t="s">
        <v>15</v>
      </c>
      <c r="D401" s="19" t="s">
        <v>883</v>
      </c>
      <c r="E401" s="175">
        <v>20162027</v>
      </c>
      <c r="F401" s="174"/>
      <c r="G401" s="38" t="s">
        <v>259</v>
      </c>
      <c r="H401" s="38" t="s">
        <v>882</v>
      </c>
    </row>
    <row r="402" spans="1:8" x14ac:dyDescent="0.3">
      <c r="A402" s="36">
        <v>46173</v>
      </c>
      <c r="B402" s="37" t="s">
        <v>1546</v>
      </c>
      <c r="C402" s="38" t="s">
        <v>15</v>
      </c>
      <c r="D402" s="19" t="s">
        <v>1547</v>
      </c>
      <c r="E402" s="175">
        <v>16598178</v>
      </c>
      <c r="F402" s="174"/>
      <c r="G402" s="38" t="s">
        <v>259</v>
      </c>
      <c r="H402" s="38" t="s">
        <v>882</v>
      </c>
    </row>
    <row r="403" spans="1:8" x14ac:dyDescent="0.3">
      <c r="A403" s="36">
        <v>46173</v>
      </c>
      <c r="B403" s="37" t="s">
        <v>1546</v>
      </c>
      <c r="C403" s="38" t="s">
        <v>15</v>
      </c>
      <c r="D403" s="19" t="s">
        <v>883</v>
      </c>
      <c r="E403" s="175">
        <v>9725437</v>
      </c>
      <c r="F403" s="174"/>
      <c r="G403" s="38" t="s">
        <v>259</v>
      </c>
      <c r="H403" s="38" t="s">
        <v>882</v>
      </c>
    </row>
    <row r="404" spans="1:8" x14ac:dyDescent="0.3">
      <c r="A404" s="36">
        <v>46173</v>
      </c>
      <c r="B404" s="37" t="s">
        <v>1546</v>
      </c>
      <c r="C404" s="38" t="s">
        <v>15</v>
      </c>
      <c r="D404" s="19" t="s">
        <v>1547</v>
      </c>
      <c r="E404" s="175">
        <v>8992560</v>
      </c>
      <c r="F404" s="174"/>
      <c r="G404" s="38" t="s">
        <v>259</v>
      </c>
      <c r="H404" s="38" t="s">
        <v>882</v>
      </c>
    </row>
    <row r="405" spans="1:8" x14ac:dyDescent="0.3">
      <c r="A405" s="36">
        <v>46173</v>
      </c>
      <c r="B405" s="37" t="s">
        <v>1546</v>
      </c>
      <c r="C405" s="38" t="s">
        <v>15</v>
      </c>
      <c r="D405" s="19" t="s">
        <v>1547</v>
      </c>
      <c r="E405" s="175">
        <v>20376</v>
      </c>
      <c r="F405" s="174"/>
      <c r="G405" s="38" t="s">
        <v>259</v>
      </c>
      <c r="H405" s="38" t="s">
        <v>882</v>
      </c>
    </row>
    <row r="406" spans="1:8" x14ac:dyDescent="0.3">
      <c r="A406" s="36">
        <v>46173</v>
      </c>
      <c r="B406" s="37" t="s">
        <v>1546</v>
      </c>
      <c r="C406" s="38" t="s">
        <v>15</v>
      </c>
      <c r="D406" s="19" t="s">
        <v>1547</v>
      </c>
      <c r="E406" s="175">
        <v>13640</v>
      </c>
      <c r="F406" s="174"/>
      <c r="G406" s="38" t="s">
        <v>259</v>
      </c>
      <c r="H406" s="38" t="s">
        <v>882</v>
      </c>
    </row>
    <row r="407" spans="1:8" x14ac:dyDescent="0.3">
      <c r="A407" s="36">
        <v>46173</v>
      </c>
      <c r="B407" s="37" t="s">
        <v>1546</v>
      </c>
      <c r="C407" s="38" t="s">
        <v>15</v>
      </c>
      <c r="D407" s="19" t="s">
        <v>883</v>
      </c>
      <c r="E407" s="175">
        <v>16503</v>
      </c>
      <c r="F407" s="174"/>
      <c r="G407" s="38" t="s">
        <v>259</v>
      </c>
      <c r="H407" s="38" t="s">
        <v>882</v>
      </c>
    </row>
    <row r="408" spans="1:8" x14ac:dyDescent="0.3">
      <c r="A408" s="36">
        <v>46173</v>
      </c>
      <c r="B408" s="37" t="s">
        <v>1546</v>
      </c>
      <c r="C408" s="38" t="s">
        <v>15</v>
      </c>
      <c r="D408" s="19" t="s">
        <v>884</v>
      </c>
      <c r="E408" s="175">
        <v>153918</v>
      </c>
      <c r="F408" s="174"/>
      <c r="G408" s="38" t="s">
        <v>259</v>
      </c>
      <c r="H408" s="38" t="s">
        <v>882</v>
      </c>
    </row>
    <row r="409" spans="1:8" x14ac:dyDescent="0.3">
      <c r="A409" s="36">
        <v>46173</v>
      </c>
      <c r="B409" s="37" t="s">
        <v>1546</v>
      </c>
      <c r="C409" s="38" t="s">
        <v>15</v>
      </c>
      <c r="D409" s="19" t="s">
        <v>884</v>
      </c>
      <c r="E409" s="175">
        <v>163685</v>
      </c>
      <c r="F409" s="174"/>
      <c r="G409" s="38" t="s">
        <v>259</v>
      </c>
      <c r="H409" s="38" t="s">
        <v>882</v>
      </c>
    </row>
    <row r="410" spans="1:8" x14ac:dyDescent="0.3">
      <c r="A410" s="36">
        <v>46173</v>
      </c>
      <c r="B410" s="37" t="s">
        <v>1546</v>
      </c>
      <c r="C410" s="38" t="s">
        <v>15</v>
      </c>
      <c r="D410" s="19" t="s">
        <v>883</v>
      </c>
      <c r="E410" s="175">
        <v>343368</v>
      </c>
      <c r="F410" s="174"/>
      <c r="G410" s="38" t="s">
        <v>259</v>
      </c>
      <c r="H410" s="38" t="s">
        <v>882</v>
      </c>
    </row>
    <row r="411" spans="1:8" x14ac:dyDescent="0.3">
      <c r="A411" s="36">
        <v>46173</v>
      </c>
      <c r="B411" s="37" t="s">
        <v>1546</v>
      </c>
      <c r="C411" s="38" t="s">
        <v>15</v>
      </c>
      <c r="D411" s="19" t="s">
        <v>1547</v>
      </c>
      <c r="E411" s="175">
        <v>55413</v>
      </c>
      <c r="F411" s="174"/>
      <c r="G411" s="38" t="s">
        <v>259</v>
      </c>
      <c r="H411" s="38" t="s">
        <v>882</v>
      </c>
    </row>
    <row r="412" spans="1:8" x14ac:dyDescent="0.3">
      <c r="A412" s="36">
        <v>46173</v>
      </c>
      <c r="B412" s="37" t="s">
        <v>1546</v>
      </c>
      <c r="C412" s="38" t="s">
        <v>15</v>
      </c>
      <c r="D412" s="19" t="s">
        <v>1547</v>
      </c>
      <c r="E412" s="175">
        <v>61298</v>
      </c>
      <c r="F412" s="174"/>
      <c r="G412" s="38" t="s">
        <v>259</v>
      </c>
      <c r="H412" s="38" t="s">
        <v>882</v>
      </c>
    </row>
    <row r="413" spans="1:8" x14ac:dyDescent="0.3">
      <c r="A413" s="36">
        <v>46173</v>
      </c>
      <c r="B413" s="37" t="s">
        <v>1546</v>
      </c>
      <c r="C413" s="38" t="s">
        <v>15</v>
      </c>
      <c r="D413" s="19" t="s">
        <v>1547</v>
      </c>
      <c r="E413" s="175">
        <v>77632</v>
      </c>
      <c r="F413" s="174"/>
      <c r="G413" s="38" t="s">
        <v>259</v>
      </c>
      <c r="H413" s="38" t="s">
        <v>882</v>
      </c>
    </row>
    <row r="414" spans="1:8" x14ac:dyDescent="0.3">
      <c r="A414" s="36">
        <v>46173</v>
      </c>
      <c r="B414" s="37" t="s">
        <v>1546</v>
      </c>
      <c r="C414" s="38" t="s">
        <v>15</v>
      </c>
      <c r="D414" s="19" t="s">
        <v>1547</v>
      </c>
      <c r="E414" s="175">
        <v>4715</v>
      </c>
      <c r="F414" s="174"/>
      <c r="G414" s="38" t="s">
        <v>259</v>
      </c>
      <c r="H414" s="38" t="s">
        <v>882</v>
      </c>
    </row>
    <row r="415" spans="1:8" x14ac:dyDescent="0.3">
      <c r="A415" s="36">
        <v>46173</v>
      </c>
      <c r="B415" s="37" t="s">
        <v>1546</v>
      </c>
      <c r="C415" s="38" t="s">
        <v>15</v>
      </c>
      <c r="D415" s="19" t="s">
        <v>885</v>
      </c>
      <c r="E415" s="175">
        <v>18861</v>
      </c>
      <c r="F415" s="174"/>
      <c r="G415" s="38" t="s">
        <v>259</v>
      </c>
      <c r="H415" s="38" t="s">
        <v>882</v>
      </c>
    </row>
    <row r="416" spans="1:8" x14ac:dyDescent="0.3">
      <c r="A416" s="36">
        <v>46173</v>
      </c>
      <c r="B416" s="37" t="s">
        <v>1546</v>
      </c>
      <c r="C416" s="38" t="s">
        <v>15</v>
      </c>
      <c r="D416" s="19" t="s">
        <v>884</v>
      </c>
      <c r="E416" s="175">
        <v>76622</v>
      </c>
      <c r="F416" s="174"/>
      <c r="G416" s="38" t="s">
        <v>259</v>
      </c>
      <c r="H416" s="38" t="s">
        <v>882</v>
      </c>
    </row>
    <row r="417" spans="1:8" x14ac:dyDescent="0.3">
      <c r="A417" s="36">
        <v>46173</v>
      </c>
      <c r="B417" s="37" t="s">
        <v>1546</v>
      </c>
      <c r="C417" s="38" t="s">
        <v>15</v>
      </c>
      <c r="D417" s="19" t="s">
        <v>883</v>
      </c>
      <c r="E417" s="175">
        <v>82853</v>
      </c>
      <c r="F417" s="174"/>
      <c r="G417" s="38" t="s">
        <v>259</v>
      </c>
      <c r="H417" s="38" t="s">
        <v>882</v>
      </c>
    </row>
    <row r="418" spans="1:8" x14ac:dyDescent="0.3">
      <c r="A418" s="36">
        <v>46173</v>
      </c>
      <c r="B418" s="37" t="s">
        <v>1546</v>
      </c>
      <c r="C418" s="38" t="s">
        <v>15</v>
      </c>
      <c r="D418" s="19" t="s">
        <v>1547</v>
      </c>
      <c r="E418" s="175">
        <v>76454</v>
      </c>
      <c r="F418" s="174"/>
      <c r="G418" s="38" t="s">
        <v>259</v>
      </c>
      <c r="H418" s="38" t="s">
        <v>882</v>
      </c>
    </row>
    <row r="419" spans="1:8" x14ac:dyDescent="0.3">
      <c r="A419" s="36">
        <v>46173</v>
      </c>
      <c r="B419" s="37" t="s">
        <v>1546</v>
      </c>
      <c r="C419" s="38" t="s">
        <v>15</v>
      </c>
      <c r="D419" s="19" t="s">
        <v>883</v>
      </c>
      <c r="E419" s="175">
        <v>92283</v>
      </c>
      <c r="F419" s="174"/>
      <c r="G419" s="38" t="s">
        <v>259</v>
      </c>
      <c r="H419" s="38" t="s">
        <v>882</v>
      </c>
    </row>
    <row r="420" spans="1:8" x14ac:dyDescent="0.3">
      <c r="A420" s="36">
        <v>46173</v>
      </c>
      <c r="B420" s="37" t="s">
        <v>1546</v>
      </c>
      <c r="C420" s="38" t="s">
        <v>15</v>
      </c>
      <c r="D420" s="19" t="s">
        <v>1547</v>
      </c>
      <c r="E420" s="175">
        <v>98177</v>
      </c>
      <c r="F420" s="174"/>
      <c r="G420" s="38" t="s">
        <v>259</v>
      </c>
      <c r="H420" s="38" t="s">
        <v>882</v>
      </c>
    </row>
    <row r="421" spans="1:8" x14ac:dyDescent="0.3">
      <c r="A421" s="36">
        <v>46173</v>
      </c>
      <c r="B421" s="37" t="s">
        <v>1546</v>
      </c>
      <c r="C421" s="38" t="s">
        <v>15</v>
      </c>
      <c r="D421" s="19" t="s">
        <v>1547</v>
      </c>
      <c r="E421" s="175">
        <v>3233280</v>
      </c>
      <c r="F421" s="174"/>
      <c r="G421" s="38" t="s">
        <v>259</v>
      </c>
      <c r="H421" s="38" t="s">
        <v>882</v>
      </c>
    </row>
    <row r="422" spans="1:8" x14ac:dyDescent="0.3">
      <c r="A422" s="36">
        <v>46173</v>
      </c>
      <c r="B422" s="37" t="s">
        <v>1546</v>
      </c>
      <c r="C422" s="38" t="s">
        <v>15</v>
      </c>
      <c r="D422" s="19" t="s">
        <v>1547</v>
      </c>
      <c r="E422" s="175">
        <v>6860784</v>
      </c>
      <c r="F422" s="174"/>
      <c r="G422" s="38" t="s">
        <v>259</v>
      </c>
      <c r="H422" s="38" t="s">
        <v>882</v>
      </c>
    </row>
    <row r="423" spans="1:8" x14ac:dyDescent="0.3">
      <c r="A423" s="36">
        <v>46173</v>
      </c>
      <c r="B423" s="37" t="s">
        <v>1546</v>
      </c>
      <c r="C423" s="38" t="s">
        <v>15</v>
      </c>
      <c r="D423" s="19" t="s">
        <v>1547</v>
      </c>
      <c r="E423" s="175">
        <v>344715</v>
      </c>
      <c r="F423" s="174"/>
      <c r="G423" s="38" t="s">
        <v>259</v>
      </c>
      <c r="H423" s="38" t="s">
        <v>882</v>
      </c>
    </row>
    <row r="424" spans="1:8" x14ac:dyDescent="0.3">
      <c r="A424" s="36">
        <v>46173</v>
      </c>
      <c r="B424" s="37" t="s">
        <v>1546</v>
      </c>
      <c r="C424" s="38" t="s">
        <v>15</v>
      </c>
      <c r="D424" s="19" t="s">
        <v>1547</v>
      </c>
      <c r="E424" s="175">
        <v>765378</v>
      </c>
      <c r="F424" s="174"/>
      <c r="G424" s="38" t="s">
        <v>259</v>
      </c>
      <c r="H424" s="38" t="s">
        <v>882</v>
      </c>
    </row>
    <row r="425" spans="1:8" x14ac:dyDescent="0.3">
      <c r="A425" s="36">
        <v>46173</v>
      </c>
      <c r="B425" s="37" t="s">
        <v>1546</v>
      </c>
      <c r="C425" s="38" t="s">
        <v>15</v>
      </c>
      <c r="D425" s="19" t="s">
        <v>1547</v>
      </c>
      <c r="E425" s="175">
        <v>43784</v>
      </c>
      <c r="F425" s="174"/>
      <c r="G425" s="38" t="s">
        <v>259</v>
      </c>
      <c r="H425" s="38" t="s">
        <v>882</v>
      </c>
    </row>
    <row r="426" spans="1:8" x14ac:dyDescent="0.3">
      <c r="A426" s="36">
        <v>46173</v>
      </c>
      <c r="B426" s="37" t="s">
        <v>1546</v>
      </c>
      <c r="C426" s="38" t="s">
        <v>15</v>
      </c>
      <c r="D426" s="19" t="s">
        <v>1547</v>
      </c>
      <c r="E426" s="175">
        <v>436324</v>
      </c>
      <c r="F426" s="174"/>
      <c r="G426" s="38" t="s">
        <v>259</v>
      </c>
      <c r="H426" s="38" t="s">
        <v>882</v>
      </c>
    </row>
    <row r="427" spans="1:8" x14ac:dyDescent="0.3">
      <c r="A427" s="36">
        <v>46173</v>
      </c>
      <c r="B427" s="37" t="s">
        <v>1546</v>
      </c>
      <c r="C427" s="38" t="s">
        <v>15</v>
      </c>
      <c r="D427" s="19" t="s">
        <v>1547</v>
      </c>
      <c r="E427" s="175">
        <v>289648</v>
      </c>
      <c r="F427" s="174"/>
      <c r="G427" s="38" t="s">
        <v>259</v>
      </c>
      <c r="H427" s="38" t="s">
        <v>882</v>
      </c>
    </row>
    <row r="428" spans="1:8" x14ac:dyDescent="0.3">
      <c r="A428" s="36">
        <v>46173</v>
      </c>
      <c r="B428" s="37" t="s">
        <v>1546</v>
      </c>
      <c r="C428" s="38" t="s">
        <v>15</v>
      </c>
      <c r="D428" s="19" t="s">
        <v>1547</v>
      </c>
      <c r="E428" s="175">
        <v>1139900</v>
      </c>
      <c r="F428" s="174"/>
      <c r="G428" s="38" t="s">
        <v>259</v>
      </c>
      <c r="H428" s="38" t="s">
        <v>882</v>
      </c>
    </row>
    <row r="429" spans="1:8" x14ac:dyDescent="0.3">
      <c r="A429" s="36">
        <v>46173</v>
      </c>
      <c r="B429" s="37" t="s">
        <v>1546</v>
      </c>
      <c r="C429" s="38" t="s">
        <v>15</v>
      </c>
      <c r="D429" s="19" t="s">
        <v>1547</v>
      </c>
      <c r="E429" s="175">
        <v>609776</v>
      </c>
      <c r="F429" s="174"/>
      <c r="G429" s="38" t="s">
        <v>259</v>
      </c>
      <c r="H429" s="38" t="s">
        <v>882</v>
      </c>
    </row>
    <row r="430" spans="1:8" x14ac:dyDescent="0.3">
      <c r="A430" s="36">
        <v>46173</v>
      </c>
      <c r="B430" s="37" t="s">
        <v>1546</v>
      </c>
      <c r="C430" s="38" t="s">
        <v>15</v>
      </c>
      <c r="D430" s="19" t="s">
        <v>1547</v>
      </c>
      <c r="E430" s="175">
        <v>83021</v>
      </c>
      <c r="F430" s="174"/>
      <c r="G430" s="38" t="s">
        <v>259</v>
      </c>
      <c r="H430" s="38" t="s">
        <v>882</v>
      </c>
    </row>
    <row r="431" spans="1:8" x14ac:dyDescent="0.3">
      <c r="A431" s="36">
        <v>46173</v>
      </c>
      <c r="B431" s="37" t="s">
        <v>1546</v>
      </c>
      <c r="C431" s="38" t="s">
        <v>15</v>
      </c>
      <c r="D431" s="19" t="s">
        <v>1547</v>
      </c>
      <c r="E431" s="175">
        <v>642109</v>
      </c>
      <c r="F431" s="174"/>
      <c r="G431" s="38" t="s">
        <v>259</v>
      </c>
      <c r="H431" s="38" t="s">
        <v>882</v>
      </c>
    </row>
    <row r="432" spans="1:8" x14ac:dyDescent="0.3">
      <c r="A432" s="36">
        <v>46173</v>
      </c>
      <c r="B432" s="37" t="s">
        <v>1546</v>
      </c>
      <c r="C432" s="38" t="s">
        <v>15</v>
      </c>
      <c r="D432" s="19" t="s">
        <v>1547</v>
      </c>
      <c r="E432" s="175">
        <v>79832</v>
      </c>
      <c r="F432" s="174"/>
      <c r="G432" s="38" t="s">
        <v>259</v>
      </c>
      <c r="H432" s="38" t="s">
        <v>882</v>
      </c>
    </row>
    <row r="433" spans="1:8" x14ac:dyDescent="0.3">
      <c r="A433" s="36">
        <v>46173</v>
      </c>
      <c r="B433" s="37" t="s">
        <v>1546</v>
      </c>
      <c r="C433" s="38" t="s">
        <v>15</v>
      </c>
      <c r="D433" s="19" t="s">
        <v>1547</v>
      </c>
      <c r="E433" s="175">
        <v>317266</v>
      </c>
      <c r="F433" s="174"/>
      <c r="G433" s="38" t="s">
        <v>259</v>
      </c>
      <c r="H433" s="38" t="s">
        <v>882</v>
      </c>
    </row>
    <row r="434" spans="1:8" x14ac:dyDescent="0.3">
      <c r="A434" s="36">
        <v>46173</v>
      </c>
      <c r="B434" s="37" t="s">
        <v>1546</v>
      </c>
      <c r="C434" s="38" t="s">
        <v>15</v>
      </c>
      <c r="D434" s="19" t="s">
        <v>1547</v>
      </c>
      <c r="E434" s="175">
        <v>9893837</v>
      </c>
      <c r="F434" s="174"/>
      <c r="G434" s="38" t="s">
        <v>259</v>
      </c>
      <c r="H434" s="38" t="s">
        <v>882</v>
      </c>
    </row>
    <row r="435" spans="1:8" x14ac:dyDescent="0.3">
      <c r="A435" s="36">
        <v>46173</v>
      </c>
      <c r="B435" s="37" t="s">
        <v>1546</v>
      </c>
      <c r="C435" s="38" t="s">
        <v>15</v>
      </c>
      <c r="D435" s="19" t="s">
        <v>883</v>
      </c>
      <c r="E435" s="175">
        <v>163011</v>
      </c>
      <c r="F435" s="174"/>
      <c r="G435" s="38" t="s">
        <v>259</v>
      </c>
      <c r="H435" s="38" t="s">
        <v>882</v>
      </c>
    </row>
    <row r="436" spans="1:8" x14ac:dyDescent="0.3">
      <c r="A436" s="36">
        <v>46173</v>
      </c>
      <c r="B436" s="37" t="s">
        <v>1546</v>
      </c>
      <c r="C436" s="38" t="s">
        <v>15</v>
      </c>
      <c r="D436" s="19" t="s">
        <v>883</v>
      </c>
      <c r="E436" s="175">
        <v>21387</v>
      </c>
      <c r="F436" s="174"/>
      <c r="G436" s="38" t="s">
        <v>259</v>
      </c>
      <c r="H436" s="38" t="s">
        <v>882</v>
      </c>
    </row>
    <row r="437" spans="1:8" x14ac:dyDescent="0.3">
      <c r="A437" s="36">
        <v>46173</v>
      </c>
      <c r="B437" s="37" t="s">
        <v>1546</v>
      </c>
      <c r="C437" s="38" t="s">
        <v>15</v>
      </c>
      <c r="D437" s="19" t="s">
        <v>883</v>
      </c>
      <c r="E437" s="175">
        <v>1032629</v>
      </c>
      <c r="F437" s="174"/>
      <c r="G437" s="38" t="s">
        <v>259</v>
      </c>
      <c r="H437" s="38" t="s">
        <v>882</v>
      </c>
    </row>
    <row r="438" spans="1:8" x14ac:dyDescent="0.3">
      <c r="A438" s="36">
        <v>46173</v>
      </c>
      <c r="B438" s="37" t="s">
        <v>1546</v>
      </c>
      <c r="C438" s="38" t="s">
        <v>15</v>
      </c>
      <c r="D438" s="19" t="s">
        <v>1547</v>
      </c>
      <c r="E438" s="175">
        <v>1064962</v>
      </c>
      <c r="F438" s="174"/>
      <c r="G438" s="38" t="s">
        <v>259</v>
      </c>
      <c r="H438" s="38" t="s">
        <v>882</v>
      </c>
    </row>
    <row r="439" spans="1:8" x14ac:dyDescent="0.3">
      <c r="A439" s="36">
        <v>46173</v>
      </c>
      <c r="B439" s="37" t="s">
        <v>1546</v>
      </c>
      <c r="C439" s="38" t="s">
        <v>15</v>
      </c>
      <c r="D439" s="19" t="s">
        <v>1547</v>
      </c>
      <c r="E439" s="175">
        <v>246538</v>
      </c>
      <c r="F439" s="174"/>
      <c r="G439" s="38" t="s">
        <v>259</v>
      </c>
      <c r="H439" s="38" t="s">
        <v>882</v>
      </c>
    </row>
    <row r="440" spans="1:8" x14ac:dyDescent="0.3">
      <c r="A440" s="36">
        <v>46173</v>
      </c>
      <c r="B440" s="37" t="s">
        <v>1546</v>
      </c>
      <c r="C440" s="38" t="s">
        <v>15</v>
      </c>
      <c r="D440" s="19" t="s">
        <v>883</v>
      </c>
      <c r="E440" s="175">
        <v>5042570</v>
      </c>
      <c r="F440" s="174"/>
      <c r="G440" s="38" t="s">
        <v>259</v>
      </c>
      <c r="H440" s="38" t="s">
        <v>882</v>
      </c>
    </row>
    <row r="441" spans="1:8" x14ac:dyDescent="0.3">
      <c r="A441" s="36">
        <v>46173</v>
      </c>
      <c r="B441" s="37" t="s">
        <v>1546</v>
      </c>
      <c r="C441" s="38" t="s">
        <v>15</v>
      </c>
      <c r="D441" s="19" t="s">
        <v>1547</v>
      </c>
      <c r="E441" s="175">
        <v>5142768</v>
      </c>
      <c r="F441" s="174"/>
      <c r="G441" s="38" t="s">
        <v>259</v>
      </c>
      <c r="H441" s="38" t="s">
        <v>882</v>
      </c>
    </row>
    <row r="442" spans="1:8" x14ac:dyDescent="0.3">
      <c r="A442" s="36">
        <v>46173</v>
      </c>
      <c r="B442" s="37" t="s">
        <v>1546</v>
      </c>
      <c r="C442" s="38" t="s">
        <v>15</v>
      </c>
      <c r="D442" s="19" t="s">
        <v>1547</v>
      </c>
      <c r="E442" s="175">
        <v>8369648</v>
      </c>
      <c r="F442" s="174"/>
      <c r="G442" s="38" t="s">
        <v>259</v>
      </c>
      <c r="H442" s="38" t="s">
        <v>882</v>
      </c>
    </row>
    <row r="443" spans="1:8" x14ac:dyDescent="0.3">
      <c r="A443" s="36">
        <v>46173</v>
      </c>
      <c r="B443" s="37" t="s">
        <v>1546</v>
      </c>
      <c r="C443" s="38" t="s">
        <v>15</v>
      </c>
      <c r="D443" s="19" t="s">
        <v>1547</v>
      </c>
      <c r="E443" s="175">
        <v>14798824</v>
      </c>
      <c r="F443" s="174"/>
      <c r="G443" s="38" t="s">
        <v>259</v>
      </c>
      <c r="H443" s="38" t="s">
        <v>882</v>
      </c>
    </row>
    <row r="444" spans="1:8" x14ac:dyDescent="0.3">
      <c r="A444" s="36">
        <v>46173</v>
      </c>
      <c r="B444" s="37" t="s">
        <v>1546</v>
      </c>
      <c r="C444" s="38" t="s">
        <v>15</v>
      </c>
      <c r="D444" s="19" t="s">
        <v>1547</v>
      </c>
      <c r="E444" s="175">
        <v>14602469</v>
      </c>
      <c r="F444" s="174"/>
      <c r="G444" s="38" t="s">
        <v>259</v>
      </c>
      <c r="H444" s="38" t="s">
        <v>882</v>
      </c>
    </row>
    <row r="445" spans="1:8" x14ac:dyDescent="0.3">
      <c r="A445" s="36">
        <v>46173</v>
      </c>
      <c r="B445" s="37" t="s">
        <v>1546</v>
      </c>
      <c r="C445" s="38" t="s">
        <v>15</v>
      </c>
      <c r="D445" s="19" t="s">
        <v>883</v>
      </c>
      <c r="E445" s="175">
        <v>12256489</v>
      </c>
      <c r="F445" s="174"/>
      <c r="G445" s="38" t="s">
        <v>259</v>
      </c>
      <c r="H445" s="38" t="s">
        <v>882</v>
      </c>
    </row>
    <row r="446" spans="1:8" x14ac:dyDescent="0.3">
      <c r="A446" s="36">
        <v>46173</v>
      </c>
      <c r="B446" s="37" t="s">
        <v>1546</v>
      </c>
      <c r="C446" s="38" t="s">
        <v>15</v>
      </c>
      <c r="D446" s="19" t="s">
        <v>1547</v>
      </c>
      <c r="E446" s="175">
        <v>11806692</v>
      </c>
      <c r="F446" s="174"/>
      <c r="G446" s="38" t="s">
        <v>259</v>
      </c>
      <c r="H446" s="38" t="s">
        <v>882</v>
      </c>
    </row>
    <row r="447" spans="1:8" x14ac:dyDescent="0.3">
      <c r="A447" s="36">
        <v>46173</v>
      </c>
      <c r="B447" s="37" t="s">
        <v>1546</v>
      </c>
      <c r="C447" s="38" t="s">
        <v>15</v>
      </c>
      <c r="D447" s="19" t="s">
        <v>1547</v>
      </c>
      <c r="E447" s="175">
        <v>764031</v>
      </c>
      <c r="F447" s="174"/>
      <c r="G447" s="38" t="s">
        <v>259</v>
      </c>
      <c r="H447" s="38" t="s">
        <v>882</v>
      </c>
    </row>
    <row r="448" spans="1:8" x14ac:dyDescent="0.3">
      <c r="A448" s="36">
        <v>46173</v>
      </c>
      <c r="B448" s="37" t="s">
        <v>1546</v>
      </c>
      <c r="C448" s="38" t="s">
        <v>15</v>
      </c>
      <c r="D448" s="19" t="s">
        <v>1547</v>
      </c>
      <c r="E448" s="175">
        <v>19168130</v>
      </c>
      <c r="F448" s="174"/>
      <c r="G448" s="38" t="s">
        <v>259</v>
      </c>
      <c r="H448" s="38" t="s">
        <v>882</v>
      </c>
    </row>
    <row r="449" spans="1:8" x14ac:dyDescent="0.3">
      <c r="A449" s="36">
        <v>46173</v>
      </c>
      <c r="B449" s="37" t="s">
        <v>1546</v>
      </c>
      <c r="C449" s="38" t="s">
        <v>15</v>
      </c>
      <c r="D449" s="19" t="s">
        <v>1547</v>
      </c>
      <c r="E449" s="175">
        <v>20708485</v>
      </c>
      <c r="F449" s="174"/>
      <c r="G449" s="38" t="s">
        <v>259</v>
      </c>
      <c r="H449" s="38" t="s">
        <v>882</v>
      </c>
    </row>
    <row r="450" spans="1:8" x14ac:dyDescent="0.3">
      <c r="A450" s="36">
        <v>46173</v>
      </c>
      <c r="B450" s="37" t="s">
        <v>1546</v>
      </c>
      <c r="C450" s="38" t="s">
        <v>15</v>
      </c>
      <c r="D450" s="19" t="s">
        <v>1547</v>
      </c>
      <c r="E450" s="175">
        <v>19099928</v>
      </c>
      <c r="F450" s="174"/>
      <c r="G450" s="38" t="s">
        <v>259</v>
      </c>
      <c r="H450" s="38" t="s">
        <v>882</v>
      </c>
    </row>
    <row r="451" spans="1:8" x14ac:dyDescent="0.3">
      <c r="A451" s="36">
        <v>46173</v>
      </c>
      <c r="B451" s="37" t="s">
        <v>1546</v>
      </c>
      <c r="C451" s="38" t="s">
        <v>15</v>
      </c>
      <c r="D451" s="19" t="s">
        <v>1547</v>
      </c>
      <c r="E451" s="175">
        <v>10646585</v>
      </c>
      <c r="F451" s="174"/>
      <c r="G451" s="38" t="s">
        <v>259</v>
      </c>
      <c r="H451" s="38" t="s">
        <v>882</v>
      </c>
    </row>
    <row r="452" spans="1:8" x14ac:dyDescent="0.3">
      <c r="A452" s="36">
        <v>46173</v>
      </c>
      <c r="B452" s="37" t="s">
        <v>1546</v>
      </c>
      <c r="C452" s="38" t="s">
        <v>15</v>
      </c>
      <c r="D452" s="19" t="s">
        <v>1547</v>
      </c>
      <c r="E452" s="175">
        <v>14572494</v>
      </c>
      <c r="F452" s="174"/>
      <c r="G452" s="38" t="s">
        <v>259</v>
      </c>
      <c r="H452" s="38" t="s">
        <v>882</v>
      </c>
    </row>
    <row r="453" spans="1:8" x14ac:dyDescent="0.3">
      <c r="A453" s="36">
        <v>46173</v>
      </c>
      <c r="B453" s="37" t="s">
        <v>1546</v>
      </c>
      <c r="C453" s="38" t="s">
        <v>15</v>
      </c>
      <c r="D453" s="19" t="s">
        <v>1547</v>
      </c>
      <c r="E453" s="175">
        <v>17092263</v>
      </c>
      <c r="F453" s="174"/>
      <c r="G453" s="38" t="s">
        <v>259</v>
      </c>
      <c r="H453" s="38" t="s">
        <v>882</v>
      </c>
    </row>
    <row r="454" spans="1:8" x14ac:dyDescent="0.3">
      <c r="A454" s="36">
        <v>46173</v>
      </c>
      <c r="B454" s="37" t="s">
        <v>1546</v>
      </c>
      <c r="C454" s="38" t="s">
        <v>15</v>
      </c>
      <c r="D454" s="19" t="s">
        <v>1547</v>
      </c>
      <c r="E454" s="175">
        <v>14970592</v>
      </c>
      <c r="F454" s="174"/>
      <c r="G454" s="38" t="s">
        <v>259</v>
      </c>
      <c r="H454" s="38" t="s">
        <v>882</v>
      </c>
    </row>
    <row r="455" spans="1:8" x14ac:dyDescent="0.3">
      <c r="A455" s="36">
        <v>46173</v>
      </c>
      <c r="B455" s="37" t="s">
        <v>1546</v>
      </c>
      <c r="C455" s="38" t="s">
        <v>15</v>
      </c>
      <c r="D455" s="19" t="s">
        <v>1547</v>
      </c>
      <c r="E455" s="175">
        <v>17449440</v>
      </c>
      <c r="F455" s="174"/>
      <c r="G455" s="38" t="s">
        <v>259</v>
      </c>
      <c r="H455" s="38" t="s">
        <v>882</v>
      </c>
    </row>
    <row r="456" spans="1:8" x14ac:dyDescent="0.3">
      <c r="A456" s="36">
        <v>46173</v>
      </c>
      <c r="B456" s="37" t="s">
        <v>1546</v>
      </c>
      <c r="C456" s="38" t="s">
        <v>15</v>
      </c>
      <c r="D456" s="19" t="s">
        <v>883</v>
      </c>
      <c r="E456" s="175">
        <v>16208500</v>
      </c>
      <c r="F456" s="174"/>
      <c r="G456" s="38" t="s">
        <v>259</v>
      </c>
      <c r="H456" s="38" t="s">
        <v>882</v>
      </c>
    </row>
    <row r="457" spans="1:8" x14ac:dyDescent="0.3">
      <c r="A457" s="36">
        <v>46173</v>
      </c>
      <c r="B457" s="37" t="s">
        <v>1546</v>
      </c>
      <c r="C457" s="38" t="s">
        <v>15</v>
      </c>
      <c r="D457" s="19" t="s">
        <v>883</v>
      </c>
      <c r="E457" s="175">
        <v>21115676</v>
      </c>
      <c r="F457" s="174"/>
      <c r="G457" s="38" t="s">
        <v>259</v>
      </c>
      <c r="H457" s="38" t="s">
        <v>882</v>
      </c>
    </row>
    <row r="458" spans="1:8" x14ac:dyDescent="0.3">
      <c r="A458" s="36">
        <v>46173</v>
      </c>
      <c r="B458" s="37" t="s">
        <v>1546</v>
      </c>
      <c r="C458" s="38" t="s">
        <v>15</v>
      </c>
      <c r="D458" s="19" t="s">
        <v>1547</v>
      </c>
      <c r="E458" s="175">
        <v>24935830</v>
      </c>
      <c r="F458" s="174"/>
      <c r="G458" s="38" t="s">
        <v>259</v>
      </c>
      <c r="H458" s="38" t="s">
        <v>882</v>
      </c>
    </row>
    <row r="459" spans="1:8" x14ac:dyDescent="0.3">
      <c r="A459" s="36">
        <v>46173</v>
      </c>
      <c r="B459" s="37" t="s">
        <v>1546</v>
      </c>
      <c r="C459" s="38" t="s">
        <v>15</v>
      </c>
      <c r="D459" s="19" t="s">
        <v>1547</v>
      </c>
      <c r="E459" s="175">
        <v>25836938</v>
      </c>
      <c r="F459" s="174"/>
      <c r="G459" s="38" t="s">
        <v>259</v>
      </c>
      <c r="H459" s="38" t="s">
        <v>882</v>
      </c>
    </row>
    <row r="460" spans="1:8" x14ac:dyDescent="0.3">
      <c r="A460" s="36">
        <v>46173</v>
      </c>
      <c r="B460" s="37" t="s">
        <v>1546</v>
      </c>
      <c r="C460" s="38" t="s">
        <v>15</v>
      </c>
      <c r="D460" s="19" t="s">
        <v>1547</v>
      </c>
      <c r="E460" s="175">
        <v>25678137</v>
      </c>
      <c r="F460" s="174"/>
      <c r="G460" s="38" t="s">
        <v>259</v>
      </c>
      <c r="H460" s="38" t="s">
        <v>882</v>
      </c>
    </row>
    <row r="461" spans="1:8" x14ac:dyDescent="0.3">
      <c r="A461" s="36">
        <v>46173</v>
      </c>
      <c r="B461" s="37" t="s">
        <v>1546</v>
      </c>
      <c r="C461" s="38" t="s">
        <v>15</v>
      </c>
      <c r="D461" s="19" t="s">
        <v>1547</v>
      </c>
      <c r="E461" s="175">
        <v>25506874</v>
      </c>
      <c r="F461" s="174"/>
      <c r="G461" s="38" t="s">
        <v>259</v>
      </c>
      <c r="H461" s="38" t="s">
        <v>882</v>
      </c>
    </row>
    <row r="462" spans="1:8" x14ac:dyDescent="0.3">
      <c r="A462" s="36">
        <v>46173</v>
      </c>
      <c r="B462" s="37" t="s">
        <v>1546</v>
      </c>
      <c r="C462" s="38" t="s">
        <v>15</v>
      </c>
      <c r="D462" s="19" t="s">
        <v>883</v>
      </c>
      <c r="E462" s="175">
        <v>23662389</v>
      </c>
      <c r="F462" s="174"/>
      <c r="G462" s="38" t="s">
        <v>259</v>
      </c>
      <c r="H462" s="38" t="s">
        <v>882</v>
      </c>
    </row>
    <row r="463" spans="1:8" x14ac:dyDescent="0.3">
      <c r="A463" s="36">
        <v>46173</v>
      </c>
      <c r="B463" s="37" t="s">
        <v>1546</v>
      </c>
      <c r="C463" s="38" t="s">
        <v>15</v>
      </c>
      <c r="D463" s="19" t="s">
        <v>1547</v>
      </c>
      <c r="E463" s="175">
        <v>19035094</v>
      </c>
      <c r="F463" s="174"/>
      <c r="G463" s="38" t="s">
        <v>259</v>
      </c>
      <c r="H463" s="38" t="s">
        <v>882</v>
      </c>
    </row>
    <row r="464" spans="1:8" x14ac:dyDescent="0.3">
      <c r="A464" s="36">
        <v>46173</v>
      </c>
      <c r="B464" s="37" t="s">
        <v>1546</v>
      </c>
      <c r="C464" s="38" t="s">
        <v>15</v>
      </c>
      <c r="D464" s="19" t="s">
        <v>1547</v>
      </c>
      <c r="E464" s="175">
        <v>10293787</v>
      </c>
      <c r="F464" s="174"/>
      <c r="G464" s="38" t="s">
        <v>259</v>
      </c>
      <c r="H464" s="38" t="s">
        <v>882</v>
      </c>
    </row>
    <row r="465" spans="1:8" x14ac:dyDescent="0.3">
      <c r="A465" s="36">
        <v>46173</v>
      </c>
      <c r="B465" s="37" t="s">
        <v>1546</v>
      </c>
      <c r="C465" s="38" t="s">
        <v>15</v>
      </c>
      <c r="D465" s="19" t="s">
        <v>1547</v>
      </c>
      <c r="E465" s="175">
        <v>19147922</v>
      </c>
      <c r="F465" s="174"/>
      <c r="G465" s="38" t="s">
        <v>259</v>
      </c>
      <c r="H465" s="38" t="s">
        <v>882</v>
      </c>
    </row>
    <row r="466" spans="1:8" ht="24.6" x14ac:dyDescent="0.3">
      <c r="A466" s="36">
        <v>46173</v>
      </c>
      <c r="B466" s="37" t="s">
        <v>1548</v>
      </c>
      <c r="C466" s="38" t="s">
        <v>15</v>
      </c>
      <c r="D466" s="19" t="s">
        <v>1549</v>
      </c>
      <c r="E466" s="175">
        <v>334074</v>
      </c>
      <c r="F466" s="174"/>
      <c r="G466" s="38" t="s">
        <v>99</v>
      </c>
      <c r="H466" s="38" t="s">
        <v>882</v>
      </c>
    </row>
    <row r="467" spans="1:8" ht="24.6" x14ac:dyDescent="0.3">
      <c r="A467" s="36">
        <v>46173</v>
      </c>
      <c r="B467" s="37" t="s">
        <v>1548</v>
      </c>
      <c r="C467" s="38" t="s">
        <v>15</v>
      </c>
      <c r="D467" s="19" t="s">
        <v>1550</v>
      </c>
      <c r="E467" s="175">
        <v>556455</v>
      </c>
      <c r="F467" s="174"/>
      <c r="G467" s="38" t="s">
        <v>99</v>
      </c>
      <c r="H467" s="38" t="s">
        <v>882</v>
      </c>
    </row>
    <row r="468" spans="1:8" ht="24.6" x14ac:dyDescent="0.3">
      <c r="A468" s="36">
        <v>46173</v>
      </c>
      <c r="B468" s="37" t="s">
        <v>1548</v>
      </c>
      <c r="C468" s="38" t="s">
        <v>15</v>
      </c>
      <c r="D468" s="19" t="s">
        <v>1551</v>
      </c>
      <c r="E468" s="175">
        <v>635000</v>
      </c>
      <c r="F468" s="174"/>
      <c r="G468" s="38" t="s">
        <v>99</v>
      </c>
      <c r="H468" s="38" t="s">
        <v>882</v>
      </c>
    </row>
    <row r="469" spans="1:8" ht="24.6" x14ac:dyDescent="0.3">
      <c r="A469" s="36">
        <v>46173</v>
      </c>
      <c r="B469" s="37" t="s">
        <v>1600</v>
      </c>
      <c r="C469" s="38" t="s">
        <v>15</v>
      </c>
      <c r="D469" s="19" t="s">
        <v>1601</v>
      </c>
      <c r="E469" s="175">
        <v>103359678984</v>
      </c>
      <c r="F469" s="174"/>
      <c r="G469" s="38" t="s">
        <v>366</v>
      </c>
      <c r="H469" s="38" t="s">
        <v>882</v>
      </c>
    </row>
    <row r="470" spans="1:8" x14ac:dyDescent="0.3">
      <c r="A470" s="36">
        <v>46173</v>
      </c>
      <c r="B470" s="37" t="s">
        <v>1595</v>
      </c>
      <c r="C470" s="38" t="s">
        <v>15</v>
      </c>
      <c r="D470" s="19" t="s">
        <v>1596</v>
      </c>
      <c r="E470" s="174"/>
      <c r="F470" s="175">
        <v>108965015793</v>
      </c>
      <c r="G470" s="38" t="s">
        <v>366</v>
      </c>
      <c r="H470" s="38" t="s">
        <v>882</v>
      </c>
    </row>
    <row r="471" spans="1:8" x14ac:dyDescent="0.3">
      <c r="A471" s="174"/>
      <c r="B471" s="174"/>
      <c r="C471" s="174"/>
      <c r="D471" s="172" t="s">
        <v>65</v>
      </c>
      <c r="E471" s="173">
        <v>105695245168</v>
      </c>
      <c r="F471" s="173">
        <v>108965015793</v>
      </c>
      <c r="G471" s="174"/>
      <c r="H471" s="174"/>
    </row>
    <row r="472" spans="1:8" x14ac:dyDescent="0.3">
      <c r="A472" s="174"/>
      <c r="B472" s="174"/>
      <c r="C472" s="174"/>
      <c r="D472" s="172" t="s">
        <v>64</v>
      </c>
      <c r="E472" s="173">
        <v>76551770289</v>
      </c>
      <c r="F472" s="174"/>
      <c r="G472" s="174"/>
      <c r="H472" s="174"/>
    </row>
    <row r="473" spans="1:8" x14ac:dyDescent="0.3">
      <c r="A473" s="174"/>
      <c r="B473" s="174"/>
      <c r="C473" s="174"/>
      <c r="D473" s="172" t="s">
        <v>63</v>
      </c>
      <c r="E473" s="173">
        <v>79821540914</v>
      </c>
      <c r="F473" s="174"/>
      <c r="G473" s="174"/>
      <c r="H473" s="174"/>
    </row>
    <row r="474" spans="1:8" x14ac:dyDescent="0.3">
      <c r="A474" s="174"/>
      <c r="B474" s="174"/>
      <c r="C474" s="174"/>
      <c r="D474" s="172" t="s">
        <v>62</v>
      </c>
      <c r="E474" s="173">
        <v>105695245168</v>
      </c>
      <c r="F474" s="173">
        <v>108965015793</v>
      </c>
      <c r="G474" s="174"/>
      <c r="H474" s="174"/>
    </row>
    <row r="475" spans="1:8" x14ac:dyDescent="0.3">
      <c r="A475" s="174"/>
      <c r="B475" s="174"/>
      <c r="C475" s="174"/>
      <c r="D475" s="172" t="s">
        <v>61</v>
      </c>
      <c r="E475" s="173">
        <v>76551770289</v>
      </c>
      <c r="F475" s="174"/>
      <c r="G475" s="174"/>
      <c r="H475" s="174"/>
    </row>
    <row r="477" spans="1:8" x14ac:dyDescent="0.3">
      <c r="A477" s="364" t="s">
        <v>185</v>
      </c>
      <c r="B477" s="365"/>
      <c r="C477" s="365"/>
      <c r="D477" s="365"/>
      <c r="E477" s="365"/>
      <c r="F477" s="365"/>
      <c r="G477" s="365"/>
      <c r="H477" s="365"/>
    </row>
    <row r="478" spans="1:8" x14ac:dyDescent="0.3">
      <c r="A478" s="170"/>
      <c r="E478">
        <v>1785491138</v>
      </c>
    </row>
    <row r="479" spans="1:8" x14ac:dyDescent="0.3">
      <c r="E479" s="291">
        <f>E478+E471</f>
        <v>107480736306</v>
      </c>
    </row>
    <row r="480" spans="1:8" x14ac:dyDescent="0.3">
      <c r="A480" s="59" t="s">
        <v>1682</v>
      </c>
    </row>
  </sheetData>
  <mergeCells count="8">
    <mergeCell ref="A11:C11"/>
    <mergeCell ref="A477:H477"/>
    <mergeCell ref="A9:C9"/>
    <mergeCell ref="D9:D10"/>
    <mergeCell ref="E9:E10"/>
    <mergeCell ref="F9:F10"/>
    <mergeCell ref="G9:G10"/>
    <mergeCell ref="H9:H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509B-7A4A-4D2A-A060-F8192FC49028}">
  <dimension ref="A1:H57"/>
  <sheetViews>
    <sheetView topLeftCell="A29" workbookViewId="0">
      <selection activeCell="E48" sqref="E48"/>
    </sheetView>
  </sheetViews>
  <sheetFormatPr defaultRowHeight="15.6" x14ac:dyDescent="0.3"/>
  <cols>
    <col min="1" max="1" width="35.19921875" bestFit="1" customWidth="1"/>
    <col min="2" max="2" width="8.5" bestFit="1" customWidth="1"/>
    <col min="3" max="3" width="11.19921875" bestFit="1" customWidth="1"/>
    <col min="4" max="4" width="35.19921875" bestFit="1" customWidth="1"/>
    <col min="5" max="6" width="11.69921875" bestFit="1" customWidth="1"/>
    <col min="7" max="7" width="16.09765625" bestFit="1" customWidth="1"/>
    <col min="8" max="8" width="7.3984375" bestFit="1" customWidth="1"/>
  </cols>
  <sheetData>
    <row r="1" spans="1:8" ht="27" x14ac:dyDescent="0.3">
      <c r="A1" s="167" t="s">
        <v>75</v>
      </c>
    </row>
    <row r="2" spans="1:8" ht="40.200000000000003" x14ac:dyDescent="0.3">
      <c r="A2" s="167" t="s">
        <v>74</v>
      </c>
    </row>
    <row r="3" spans="1:8" ht="34.799999999999997" x14ac:dyDescent="0.3">
      <c r="A3" s="168" t="s">
        <v>73</v>
      </c>
    </row>
    <row r="4" spans="1:8" ht="40.200000000000003" x14ac:dyDescent="0.3">
      <c r="A4" s="169" t="s">
        <v>1676</v>
      </c>
    </row>
    <row r="5" spans="1:8" x14ac:dyDescent="0.3">
      <c r="A5" s="169" t="s">
        <v>72</v>
      </c>
    </row>
    <row r="6" spans="1:8" x14ac:dyDescent="0.3">
      <c r="A6" s="169" t="s">
        <v>941</v>
      </c>
    </row>
    <row r="7" spans="1:8" x14ac:dyDescent="0.3">
      <c r="A7" s="170"/>
    </row>
    <row r="9" spans="1:8" x14ac:dyDescent="0.3">
      <c r="A9" s="371" t="s">
        <v>71</v>
      </c>
      <c r="B9" s="372"/>
      <c r="C9" s="373"/>
      <c r="D9" s="366" t="s">
        <v>70</v>
      </c>
      <c r="E9" s="366" t="s">
        <v>358</v>
      </c>
      <c r="F9" s="366" t="s">
        <v>359</v>
      </c>
      <c r="G9" s="366" t="s">
        <v>69</v>
      </c>
      <c r="H9" s="366" t="s">
        <v>27</v>
      </c>
    </row>
    <row r="10" spans="1:8" x14ac:dyDescent="0.3">
      <c r="A10" s="171" t="s">
        <v>68</v>
      </c>
      <c r="B10" s="171" t="s">
        <v>33</v>
      </c>
      <c r="C10" s="171" t="s">
        <v>34</v>
      </c>
      <c r="D10" s="367"/>
      <c r="E10" s="367"/>
      <c r="F10" s="367"/>
      <c r="G10" s="367"/>
      <c r="H10" s="367"/>
    </row>
    <row r="11" spans="1:8" x14ac:dyDescent="0.3">
      <c r="A11" s="368" t="s">
        <v>228</v>
      </c>
      <c r="B11" s="369"/>
      <c r="C11" s="370"/>
      <c r="D11" s="172" t="s">
        <v>66</v>
      </c>
      <c r="E11" s="174"/>
      <c r="F11" s="174"/>
      <c r="G11" s="174"/>
      <c r="H11" s="174"/>
    </row>
    <row r="12" spans="1:8" ht="24.6" x14ac:dyDescent="0.3">
      <c r="A12" s="36">
        <v>46173</v>
      </c>
      <c r="B12" s="37" t="s">
        <v>951</v>
      </c>
      <c r="C12" s="38" t="s">
        <v>15</v>
      </c>
      <c r="D12" s="19" t="s">
        <v>1556</v>
      </c>
      <c r="E12" s="175">
        <v>314617</v>
      </c>
      <c r="F12" s="174"/>
      <c r="G12" s="38" t="s">
        <v>16</v>
      </c>
      <c r="H12" s="38" t="s">
        <v>882</v>
      </c>
    </row>
    <row r="13" spans="1:8" ht="24.6" x14ac:dyDescent="0.3">
      <c r="A13" s="36">
        <v>46173</v>
      </c>
      <c r="B13" s="37" t="s">
        <v>951</v>
      </c>
      <c r="C13" s="38" t="s">
        <v>15</v>
      </c>
      <c r="D13" s="19" t="s">
        <v>1557</v>
      </c>
      <c r="E13" s="175">
        <v>87008</v>
      </c>
      <c r="F13" s="174"/>
      <c r="G13" s="38" t="s">
        <v>16</v>
      </c>
      <c r="H13" s="38" t="s">
        <v>882</v>
      </c>
    </row>
    <row r="14" spans="1:8" ht="24.6" x14ac:dyDescent="0.3">
      <c r="A14" s="36">
        <v>46173</v>
      </c>
      <c r="B14" s="37" t="s">
        <v>951</v>
      </c>
      <c r="C14" s="38" t="s">
        <v>15</v>
      </c>
      <c r="D14" s="19" t="s">
        <v>1558</v>
      </c>
      <c r="E14" s="175">
        <v>5000</v>
      </c>
      <c r="F14" s="174"/>
      <c r="G14" s="38" t="s">
        <v>16</v>
      </c>
      <c r="H14" s="38" t="s">
        <v>882</v>
      </c>
    </row>
    <row r="15" spans="1:8" ht="24.6" x14ac:dyDescent="0.3">
      <c r="A15" s="36">
        <v>46173</v>
      </c>
      <c r="B15" s="37" t="s">
        <v>951</v>
      </c>
      <c r="C15" s="38" t="s">
        <v>15</v>
      </c>
      <c r="D15" s="19" t="s">
        <v>1555</v>
      </c>
      <c r="E15" s="175">
        <v>24381</v>
      </c>
      <c r="F15" s="174"/>
      <c r="G15" s="38" t="s">
        <v>16</v>
      </c>
      <c r="H15" s="38" t="s">
        <v>882</v>
      </c>
    </row>
    <row r="16" spans="1:8" ht="24.6" x14ac:dyDescent="0.3">
      <c r="A16" s="36">
        <v>46173</v>
      </c>
      <c r="B16" s="37" t="s">
        <v>951</v>
      </c>
      <c r="C16" s="38" t="s">
        <v>15</v>
      </c>
      <c r="D16" s="19" t="s">
        <v>1553</v>
      </c>
      <c r="E16" s="175">
        <v>2727</v>
      </c>
      <c r="F16" s="174"/>
      <c r="G16" s="38" t="s">
        <v>16</v>
      </c>
      <c r="H16" s="38" t="s">
        <v>882</v>
      </c>
    </row>
    <row r="17" spans="1:8" ht="24.6" x14ac:dyDescent="0.3">
      <c r="A17" s="36">
        <v>46173</v>
      </c>
      <c r="B17" s="37" t="s">
        <v>951</v>
      </c>
      <c r="C17" s="38" t="s">
        <v>15</v>
      </c>
      <c r="D17" s="19" t="s">
        <v>1552</v>
      </c>
      <c r="E17" s="175">
        <v>149456</v>
      </c>
      <c r="F17" s="174"/>
      <c r="G17" s="38" t="s">
        <v>16</v>
      </c>
      <c r="H17" s="38" t="s">
        <v>882</v>
      </c>
    </row>
    <row r="18" spans="1:8" ht="24.6" x14ac:dyDescent="0.3">
      <c r="A18" s="36">
        <v>46173</v>
      </c>
      <c r="B18" s="37" t="s">
        <v>951</v>
      </c>
      <c r="C18" s="38" t="s">
        <v>15</v>
      </c>
      <c r="D18" s="19" t="s">
        <v>1554</v>
      </c>
      <c r="E18" s="175">
        <v>15124</v>
      </c>
      <c r="F18" s="174"/>
      <c r="G18" s="38" t="s">
        <v>16</v>
      </c>
      <c r="H18" s="38" t="s">
        <v>882</v>
      </c>
    </row>
    <row r="19" spans="1:8" x14ac:dyDescent="0.3">
      <c r="A19" s="36">
        <v>46173</v>
      </c>
      <c r="B19" s="37" t="s">
        <v>951</v>
      </c>
      <c r="C19" s="38" t="s">
        <v>15</v>
      </c>
      <c r="D19" s="19" t="s">
        <v>952</v>
      </c>
      <c r="E19" s="174"/>
      <c r="F19" s="175">
        <v>598313</v>
      </c>
      <c r="G19" s="38" t="s">
        <v>16</v>
      </c>
      <c r="H19" s="38" t="s">
        <v>882</v>
      </c>
    </row>
    <row r="20" spans="1:8" ht="24.6" x14ac:dyDescent="0.3">
      <c r="A20" s="36">
        <v>46173</v>
      </c>
      <c r="B20" s="37" t="s">
        <v>1491</v>
      </c>
      <c r="C20" s="38" t="s">
        <v>15</v>
      </c>
      <c r="D20" s="19" t="s">
        <v>1563</v>
      </c>
      <c r="E20" s="175">
        <v>376000000</v>
      </c>
      <c r="F20" s="174"/>
      <c r="G20" s="38" t="s">
        <v>195</v>
      </c>
      <c r="H20" s="38" t="s">
        <v>882</v>
      </c>
    </row>
    <row r="21" spans="1:8" ht="24.6" x14ac:dyDescent="0.3">
      <c r="A21" s="36">
        <v>46173</v>
      </c>
      <c r="B21" s="37" t="s">
        <v>1491</v>
      </c>
      <c r="C21" s="38" t="s">
        <v>15</v>
      </c>
      <c r="D21" s="19" t="s">
        <v>1564</v>
      </c>
      <c r="E21" s="175">
        <v>376000000</v>
      </c>
      <c r="F21" s="174"/>
      <c r="G21" s="38" t="s">
        <v>195</v>
      </c>
      <c r="H21" s="38" t="s">
        <v>882</v>
      </c>
    </row>
    <row r="22" spans="1:8" ht="24.6" x14ac:dyDescent="0.3">
      <c r="A22" s="36">
        <v>46173</v>
      </c>
      <c r="B22" s="37" t="s">
        <v>1491</v>
      </c>
      <c r="C22" s="38" t="s">
        <v>15</v>
      </c>
      <c r="D22" s="19" t="s">
        <v>1560</v>
      </c>
      <c r="E22" s="175">
        <v>144771840</v>
      </c>
      <c r="F22" s="174"/>
      <c r="G22" s="38" t="s">
        <v>195</v>
      </c>
      <c r="H22" s="38" t="s">
        <v>882</v>
      </c>
    </row>
    <row r="23" spans="1:8" ht="24.6" x14ac:dyDescent="0.3">
      <c r="A23" s="36">
        <v>46173</v>
      </c>
      <c r="B23" s="37" t="s">
        <v>1491</v>
      </c>
      <c r="C23" s="38" t="s">
        <v>15</v>
      </c>
      <c r="D23" s="19" t="s">
        <v>1561</v>
      </c>
      <c r="E23" s="175">
        <v>289543680</v>
      </c>
      <c r="F23" s="174"/>
      <c r="G23" s="38" t="s">
        <v>195</v>
      </c>
      <c r="H23" s="38" t="s">
        <v>882</v>
      </c>
    </row>
    <row r="24" spans="1:8" ht="24.6" x14ac:dyDescent="0.3">
      <c r="A24" s="36">
        <v>46173</v>
      </c>
      <c r="B24" s="37" t="s">
        <v>1491</v>
      </c>
      <c r="C24" s="38" t="s">
        <v>15</v>
      </c>
      <c r="D24" s="19" t="s">
        <v>1562</v>
      </c>
      <c r="E24" s="175">
        <v>102546720</v>
      </c>
      <c r="F24" s="174"/>
      <c r="G24" s="38" t="s">
        <v>195</v>
      </c>
      <c r="H24" s="38" t="s">
        <v>882</v>
      </c>
    </row>
    <row r="25" spans="1:8" ht="24.6" x14ac:dyDescent="0.3">
      <c r="A25" s="36">
        <v>46173</v>
      </c>
      <c r="B25" s="37" t="s">
        <v>1491</v>
      </c>
      <c r="C25" s="38" t="s">
        <v>15</v>
      </c>
      <c r="D25" s="19" t="s">
        <v>1559</v>
      </c>
      <c r="E25" s="175">
        <v>25728000</v>
      </c>
      <c r="F25" s="174"/>
      <c r="G25" s="38" t="s">
        <v>195</v>
      </c>
      <c r="H25" s="38" t="s">
        <v>882</v>
      </c>
    </row>
    <row r="26" spans="1:8" ht="24.6" x14ac:dyDescent="0.3">
      <c r="A26" s="36">
        <v>46173</v>
      </c>
      <c r="B26" s="37" t="s">
        <v>1491</v>
      </c>
      <c r="C26" s="38" t="s">
        <v>15</v>
      </c>
      <c r="D26" s="19" t="s">
        <v>1565</v>
      </c>
      <c r="E26" s="175">
        <v>102912000</v>
      </c>
      <c r="F26" s="174"/>
      <c r="G26" s="38" t="s">
        <v>195</v>
      </c>
      <c r="H26" s="38" t="s">
        <v>882</v>
      </c>
    </row>
    <row r="27" spans="1:8" ht="36.6" x14ac:dyDescent="0.3">
      <c r="A27" s="36">
        <v>46173</v>
      </c>
      <c r="B27" s="37" t="s">
        <v>953</v>
      </c>
      <c r="C27" s="38" t="s">
        <v>15</v>
      </c>
      <c r="D27" s="19" t="s">
        <v>1568</v>
      </c>
      <c r="E27" s="175">
        <v>51217</v>
      </c>
      <c r="F27" s="174"/>
      <c r="G27" s="38" t="s">
        <v>16</v>
      </c>
      <c r="H27" s="38" t="s">
        <v>882</v>
      </c>
    </row>
    <row r="28" spans="1:8" ht="36.6" x14ac:dyDescent="0.3">
      <c r="A28" s="36">
        <v>46173</v>
      </c>
      <c r="B28" s="37" t="s">
        <v>953</v>
      </c>
      <c r="C28" s="38" t="s">
        <v>15</v>
      </c>
      <c r="D28" s="19" t="s">
        <v>1567</v>
      </c>
      <c r="E28" s="175">
        <v>1238589</v>
      </c>
      <c r="F28" s="174"/>
      <c r="G28" s="38" t="s">
        <v>16</v>
      </c>
      <c r="H28" s="38" t="s">
        <v>882</v>
      </c>
    </row>
    <row r="29" spans="1:8" ht="36.6" x14ac:dyDescent="0.3">
      <c r="A29" s="36">
        <v>46173</v>
      </c>
      <c r="B29" s="37" t="s">
        <v>953</v>
      </c>
      <c r="C29" s="38" t="s">
        <v>15</v>
      </c>
      <c r="D29" s="19" t="s">
        <v>1570</v>
      </c>
      <c r="E29" s="175">
        <v>704963</v>
      </c>
      <c r="F29" s="174"/>
      <c r="G29" s="38" t="s">
        <v>16</v>
      </c>
      <c r="H29" s="38" t="s">
        <v>882</v>
      </c>
    </row>
    <row r="30" spans="1:8" ht="36.6" x14ac:dyDescent="0.3">
      <c r="A30" s="36">
        <v>46173</v>
      </c>
      <c r="B30" s="37" t="s">
        <v>953</v>
      </c>
      <c r="C30" s="38" t="s">
        <v>15</v>
      </c>
      <c r="D30" s="19" t="s">
        <v>1566</v>
      </c>
      <c r="E30" s="175">
        <v>1238589</v>
      </c>
      <c r="F30" s="174"/>
      <c r="G30" s="38" t="s">
        <v>16</v>
      </c>
      <c r="H30" s="38" t="s">
        <v>882</v>
      </c>
    </row>
    <row r="31" spans="1:8" ht="36.6" x14ac:dyDescent="0.3">
      <c r="A31" s="36">
        <v>46173</v>
      </c>
      <c r="B31" s="37" t="s">
        <v>953</v>
      </c>
      <c r="C31" s="38" t="s">
        <v>15</v>
      </c>
      <c r="D31" s="19" t="s">
        <v>1571</v>
      </c>
      <c r="E31" s="175">
        <v>11130053</v>
      </c>
      <c r="F31" s="174"/>
      <c r="G31" s="38" t="s">
        <v>16</v>
      </c>
      <c r="H31" s="38" t="s">
        <v>882</v>
      </c>
    </row>
    <row r="32" spans="1:8" ht="36.6" x14ac:dyDescent="0.3">
      <c r="A32" s="36">
        <v>46173</v>
      </c>
      <c r="B32" s="37" t="s">
        <v>953</v>
      </c>
      <c r="C32" s="38" t="s">
        <v>15</v>
      </c>
      <c r="D32" s="19" t="s">
        <v>1569</v>
      </c>
      <c r="E32" s="175">
        <v>11885477</v>
      </c>
      <c r="F32" s="174"/>
      <c r="G32" s="38" t="s">
        <v>16</v>
      </c>
      <c r="H32" s="38" t="s">
        <v>882</v>
      </c>
    </row>
    <row r="33" spans="1:8" x14ac:dyDescent="0.3">
      <c r="A33" s="36">
        <v>46173</v>
      </c>
      <c r="B33" s="37" t="s">
        <v>953</v>
      </c>
      <c r="C33" s="38" t="s">
        <v>15</v>
      </c>
      <c r="D33" s="19" t="s">
        <v>954</v>
      </c>
      <c r="E33" s="174"/>
      <c r="F33" s="175">
        <v>26248888</v>
      </c>
      <c r="G33" s="38" t="s">
        <v>16</v>
      </c>
      <c r="H33" s="38" t="s">
        <v>882</v>
      </c>
    </row>
    <row r="34" spans="1:8" x14ac:dyDescent="0.3">
      <c r="A34" s="36">
        <v>46173</v>
      </c>
      <c r="B34" s="37" t="s">
        <v>968</v>
      </c>
      <c r="C34" s="38" t="s">
        <v>15</v>
      </c>
      <c r="D34" s="19" t="s">
        <v>969</v>
      </c>
      <c r="E34" s="174"/>
      <c r="F34" s="175">
        <v>218813875</v>
      </c>
      <c r="G34" s="38" t="s">
        <v>299</v>
      </c>
      <c r="H34" s="38" t="s">
        <v>882</v>
      </c>
    </row>
    <row r="35" spans="1:8" ht="24.6" x14ac:dyDescent="0.3">
      <c r="A35" s="36">
        <v>46173</v>
      </c>
      <c r="B35" s="37" t="s">
        <v>968</v>
      </c>
      <c r="C35" s="38" t="s">
        <v>15</v>
      </c>
      <c r="D35" s="19" t="s">
        <v>1573</v>
      </c>
      <c r="E35" s="175">
        <v>-2996294</v>
      </c>
      <c r="F35" s="174"/>
      <c r="G35" s="38" t="s">
        <v>299</v>
      </c>
      <c r="H35" s="38" t="s">
        <v>882</v>
      </c>
    </row>
    <row r="36" spans="1:8" x14ac:dyDescent="0.3">
      <c r="A36" s="36">
        <v>46173</v>
      </c>
      <c r="B36" s="37" t="s">
        <v>968</v>
      </c>
      <c r="C36" s="38" t="s">
        <v>15</v>
      </c>
      <c r="D36" s="19" t="s">
        <v>1576</v>
      </c>
      <c r="E36" s="175">
        <v>177673281</v>
      </c>
      <c r="F36" s="174"/>
      <c r="G36" s="38" t="s">
        <v>299</v>
      </c>
      <c r="H36" s="38" t="s">
        <v>882</v>
      </c>
    </row>
    <row r="37" spans="1:8" ht="24.6" x14ac:dyDescent="0.3">
      <c r="A37" s="36">
        <v>46173</v>
      </c>
      <c r="B37" s="37" t="s">
        <v>968</v>
      </c>
      <c r="C37" s="38" t="s">
        <v>15</v>
      </c>
      <c r="D37" s="19" t="s">
        <v>1577</v>
      </c>
      <c r="E37" s="175">
        <v>3400000</v>
      </c>
      <c r="F37" s="174"/>
      <c r="G37" s="38" t="s">
        <v>299</v>
      </c>
      <c r="H37" s="38" t="s">
        <v>882</v>
      </c>
    </row>
    <row r="38" spans="1:8" ht="24.6" x14ac:dyDescent="0.3">
      <c r="A38" s="36">
        <v>46173</v>
      </c>
      <c r="B38" s="37" t="s">
        <v>968</v>
      </c>
      <c r="C38" s="38" t="s">
        <v>15</v>
      </c>
      <c r="D38" s="19" t="s">
        <v>1578</v>
      </c>
      <c r="E38" s="175">
        <v>10296296</v>
      </c>
      <c r="F38" s="174"/>
      <c r="G38" s="38" t="s">
        <v>299</v>
      </c>
      <c r="H38" s="38" t="s">
        <v>882</v>
      </c>
    </row>
    <row r="39" spans="1:8" ht="24.6" x14ac:dyDescent="0.3">
      <c r="A39" s="36">
        <v>46173</v>
      </c>
      <c r="B39" s="37" t="s">
        <v>968</v>
      </c>
      <c r="C39" s="38" t="s">
        <v>15</v>
      </c>
      <c r="D39" s="19" t="s">
        <v>1579</v>
      </c>
      <c r="E39" s="175">
        <v>9333333</v>
      </c>
      <c r="F39" s="174"/>
      <c r="G39" s="38" t="s">
        <v>299</v>
      </c>
      <c r="H39" s="38" t="s">
        <v>882</v>
      </c>
    </row>
    <row r="40" spans="1:8" ht="24.6" x14ac:dyDescent="0.3">
      <c r="A40" s="36">
        <v>46173</v>
      </c>
      <c r="B40" s="37" t="s">
        <v>968</v>
      </c>
      <c r="C40" s="38" t="s">
        <v>15</v>
      </c>
      <c r="D40" s="19" t="s">
        <v>1580</v>
      </c>
      <c r="E40" s="175">
        <v>4451852</v>
      </c>
      <c r="F40" s="174"/>
      <c r="G40" s="38" t="s">
        <v>299</v>
      </c>
      <c r="H40" s="38" t="s">
        <v>882</v>
      </c>
    </row>
    <row r="41" spans="1:8" ht="24.6" x14ac:dyDescent="0.3">
      <c r="A41" s="36">
        <v>46173</v>
      </c>
      <c r="B41" s="37" t="s">
        <v>968</v>
      </c>
      <c r="C41" s="38" t="s">
        <v>15</v>
      </c>
      <c r="D41" s="19" t="s">
        <v>1575</v>
      </c>
      <c r="E41" s="175">
        <v>5777778</v>
      </c>
      <c r="F41" s="174"/>
      <c r="G41" s="38" t="s">
        <v>299</v>
      </c>
      <c r="H41" s="38" t="s">
        <v>882</v>
      </c>
    </row>
    <row r="42" spans="1:8" ht="24.6" x14ac:dyDescent="0.3">
      <c r="A42" s="36">
        <v>46173</v>
      </c>
      <c r="B42" s="37" t="s">
        <v>968</v>
      </c>
      <c r="C42" s="38" t="s">
        <v>15</v>
      </c>
      <c r="D42" s="19" t="s">
        <v>1572</v>
      </c>
      <c r="E42" s="175">
        <v>5486222</v>
      </c>
      <c r="F42" s="174"/>
      <c r="G42" s="38" t="s">
        <v>299</v>
      </c>
      <c r="H42" s="38" t="s">
        <v>882</v>
      </c>
    </row>
    <row r="43" spans="1:8" ht="24.6" x14ac:dyDescent="0.3">
      <c r="A43" s="36">
        <v>46173</v>
      </c>
      <c r="B43" s="37" t="s">
        <v>968</v>
      </c>
      <c r="C43" s="38" t="s">
        <v>15</v>
      </c>
      <c r="D43" s="19" t="s">
        <v>1574</v>
      </c>
      <c r="E43" s="175">
        <v>5391407</v>
      </c>
      <c r="F43" s="174"/>
      <c r="G43" s="38" t="s">
        <v>299</v>
      </c>
      <c r="H43" s="38" t="s">
        <v>882</v>
      </c>
    </row>
    <row r="44" spans="1:8" x14ac:dyDescent="0.3">
      <c r="A44" s="36">
        <v>46173</v>
      </c>
      <c r="B44" s="37" t="s">
        <v>955</v>
      </c>
      <c r="C44" s="38" t="s">
        <v>15</v>
      </c>
      <c r="D44" s="19" t="s">
        <v>1582</v>
      </c>
      <c r="E44" s="174"/>
      <c r="F44" s="175">
        <v>122327822</v>
      </c>
      <c r="G44" s="38" t="s">
        <v>299</v>
      </c>
      <c r="H44" s="38" t="s">
        <v>882</v>
      </c>
    </row>
    <row r="45" spans="1:8" ht="24.6" x14ac:dyDescent="0.3">
      <c r="A45" s="36">
        <v>46173</v>
      </c>
      <c r="B45" s="37" t="s">
        <v>955</v>
      </c>
      <c r="C45" s="38" t="s">
        <v>15</v>
      </c>
      <c r="D45" s="19" t="s">
        <v>1581</v>
      </c>
      <c r="E45" s="175">
        <v>3325027</v>
      </c>
      <c r="F45" s="174"/>
      <c r="G45" s="38" t="s">
        <v>299</v>
      </c>
      <c r="H45" s="38" t="s">
        <v>882</v>
      </c>
    </row>
    <row r="46" spans="1:8" ht="24.6" x14ac:dyDescent="0.3">
      <c r="A46" s="36">
        <v>46173</v>
      </c>
      <c r="B46" s="37" t="s">
        <v>955</v>
      </c>
      <c r="C46" s="38" t="s">
        <v>15</v>
      </c>
      <c r="D46" s="19" t="s">
        <v>1583</v>
      </c>
      <c r="E46" s="175">
        <v>119002795</v>
      </c>
      <c r="F46" s="174"/>
      <c r="G46" s="38" t="s">
        <v>299</v>
      </c>
      <c r="H46" s="38" t="s">
        <v>882</v>
      </c>
    </row>
    <row r="47" spans="1:8" x14ac:dyDescent="0.3">
      <c r="A47" s="36">
        <v>46173</v>
      </c>
      <c r="B47" s="37" t="s">
        <v>1677</v>
      </c>
      <c r="C47" s="38" t="s">
        <v>15</v>
      </c>
      <c r="D47" s="19" t="s">
        <v>1678</v>
      </c>
      <c r="E47" s="174"/>
      <c r="F47" s="175">
        <v>1417502240</v>
      </c>
      <c r="G47" s="38" t="s">
        <v>366</v>
      </c>
      <c r="H47" s="38" t="s">
        <v>1679</v>
      </c>
    </row>
    <row r="48" spans="1:8" x14ac:dyDescent="0.3">
      <c r="A48" s="174"/>
      <c r="B48" s="174"/>
      <c r="C48" s="174"/>
      <c r="D48" s="172" t="s">
        <v>65</v>
      </c>
      <c r="E48" s="173">
        <v>1785491138</v>
      </c>
      <c r="F48" s="173">
        <v>1785491138</v>
      </c>
      <c r="G48" s="174"/>
      <c r="H48" s="174"/>
    </row>
    <row r="49" spans="1:8" x14ac:dyDescent="0.3">
      <c r="A49" s="174"/>
      <c r="B49" s="174"/>
      <c r="C49" s="174"/>
      <c r="D49" s="172" t="s">
        <v>64</v>
      </c>
      <c r="E49" s="174"/>
      <c r="F49" s="174"/>
      <c r="G49" s="174"/>
      <c r="H49" s="174"/>
    </row>
    <row r="50" spans="1:8" x14ac:dyDescent="0.3">
      <c r="A50" s="174"/>
      <c r="B50" s="174"/>
      <c r="C50" s="174"/>
      <c r="D50" s="172" t="s">
        <v>63</v>
      </c>
      <c r="E50" s="174"/>
      <c r="F50" s="174"/>
      <c r="G50" s="174"/>
      <c r="H50" s="174"/>
    </row>
    <row r="51" spans="1:8" x14ac:dyDescent="0.3">
      <c r="A51" s="174"/>
      <c r="B51" s="174"/>
      <c r="C51" s="174"/>
      <c r="D51" s="172" t="s">
        <v>62</v>
      </c>
      <c r="E51" s="173">
        <v>1785491138</v>
      </c>
      <c r="F51" s="173">
        <v>1785491138</v>
      </c>
      <c r="G51" s="174"/>
      <c r="H51" s="174"/>
    </row>
    <row r="52" spans="1:8" x14ac:dyDescent="0.3">
      <c r="A52" s="174"/>
      <c r="B52" s="174"/>
      <c r="C52" s="174"/>
      <c r="D52" s="172" t="s">
        <v>61</v>
      </c>
      <c r="E52" s="174"/>
      <c r="F52" s="174"/>
      <c r="G52" s="174"/>
      <c r="H52" s="174"/>
    </row>
    <row r="54" spans="1:8" x14ac:dyDescent="0.3">
      <c r="A54" s="364" t="s">
        <v>185</v>
      </c>
      <c r="B54" s="365"/>
      <c r="C54" s="365"/>
      <c r="D54" s="365"/>
      <c r="E54" s="365"/>
      <c r="F54" s="365"/>
      <c r="G54" s="365"/>
      <c r="H54" s="365"/>
    </row>
    <row r="55" spans="1:8" x14ac:dyDescent="0.3">
      <c r="A55" s="170"/>
    </row>
    <row r="57" spans="1:8" x14ac:dyDescent="0.3">
      <c r="A57" s="59" t="s">
        <v>1680</v>
      </c>
    </row>
  </sheetData>
  <mergeCells count="8">
    <mergeCell ref="A11:C11"/>
    <mergeCell ref="A54:H54"/>
    <mergeCell ref="A9:C9"/>
    <mergeCell ref="D9:D10"/>
    <mergeCell ref="E9:E10"/>
    <mergeCell ref="F9:F10"/>
    <mergeCell ref="G9:G10"/>
    <mergeCell ref="H9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TAXVTA</vt:lpstr>
      <vt:lpstr>GCS</vt:lpstr>
      <vt:lpstr>0903</vt:lpstr>
      <vt:lpstr>3A</vt:lpstr>
      <vt:lpstr>4A</vt:lpstr>
      <vt:lpstr>TA35</vt:lpstr>
      <vt:lpstr>333111</vt:lpstr>
      <vt:lpstr>33895</vt:lpstr>
      <vt:lpstr>TA36</vt:lpstr>
      <vt:lpstr>13311</vt:lpstr>
      <vt:lpstr>Nhom TC</vt:lpstr>
      <vt:lpstr>133111</vt:lpstr>
      <vt:lpstr>13313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Thanh</dc:creator>
  <cp:lastModifiedBy>TUAN HOANG MINH</cp:lastModifiedBy>
  <dcterms:created xsi:type="dcterms:W3CDTF">2025-08-08T02:37:04Z</dcterms:created>
  <dcterms:modified xsi:type="dcterms:W3CDTF">2026-06-13T08:51:18Z</dcterms:modified>
</cp:coreProperties>
</file>