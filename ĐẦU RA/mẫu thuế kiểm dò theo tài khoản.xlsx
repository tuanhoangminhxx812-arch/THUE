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THUE\ĐẦU RA\"/>
    </mc:Choice>
  </mc:AlternateContent>
  <xr:revisionPtr revIDLastSave="0" documentId="13_ncr:1_{7C73DA4A-9917-4E75-B281-FDB4ECB9F83E}" xr6:coauthVersionLast="47" xr6:coauthVersionMax="47" xr10:uidLastSave="{00000000-0000-0000-0000-000000000000}"/>
  <bookViews>
    <workbookView xWindow="-110" yWindow="-110" windowWidth="29020" windowHeight="17500" xr2:uid="{210DD74D-F053-4A45-AF88-8E065199D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I6" i="1"/>
  <c r="I7" i="1" s="1"/>
  <c r="I9" i="1" s="1"/>
  <c r="B3" i="1"/>
  <c r="C7" i="1"/>
  <c r="B7" i="1"/>
  <c r="B8" i="1" l="1"/>
  <c r="B10" i="1" s="1"/>
</calcChain>
</file>

<file path=xl/sharedStrings.xml><?xml version="1.0" encoding="utf-8"?>
<sst xmlns="http://schemas.openxmlformats.org/spreadsheetml/2006/main" count="35" uniqueCount="29">
  <si>
    <t>số dư HCM</t>
  </si>
  <si>
    <t>số dư SPC</t>
  </si>
  <si>
    <t>psinh tháng này</t>
  </si>
  <si>
    <t>KC 13311-333111 (SXKD)</t>
  </si>
  <si>
    <t>KC 13313-333111 (XDCB)</t>
  </si>
  <si>
    <t>số còn được cấn trừ tháng sau</t>
  </si>
  <si>
    <t>giữ nguyên số dư</t>
  </si>
  <si>
    <t>CỘNG</t>
  </si>
  <si>
    <t>Số thuế phải nộp</t>
  </si>
  <si>
    <t>số dư cuối cùng</t>
  </si>
  <si>
    <t>TK333111</t>
  </si>
  <si>
    <t>Nợ</t>
  </si>
  <si>
    <t>Có</t>
  </si>
  <si>
    <t>Dữ liệu lấy ở các bảng</t>
  </si>
  <si>
    <t>Số dư dầu kỳ ở bảng TA_030_TK3331</t>
  </si>
  <si>
    <t>Tổng</t>
  </si>
  <si>
    <t>số dư SPC (đúng)</t>
  </si>
  <si>
    <t>KC 133-333</t>
  </si>
  <si>
    <t>Số còn được KT thực tế</t>
  </si>
  <si>
    <t xml:space="preserve">                             TK13311</t>
  </si>
  <si>
    <t>Số dư dầu kỳ ở bảng TA_030_TK1331</t>
  </si>
  <si>
    <t>Số cộng phát sinh nợ của TK13311 ở bảng TA_030_TK3331</t>
  </si>
  <si>
    <t>Số cộng phát sinh có của TK333111 ở bảng TA_030_TK3331</t>
  </si>
  <si>
    <t>Số cộng phát sinh có của TK13311 ở bảng TA_030_TK1331</t>
  </si>
  <si>
    <t>Số cộng phát sinh có của TK13313 ở bảng TA_030_TK1331</t>
  </si>
  <si>
    <t>Số cộng phát sinh có của TK13311 ở bảng TA_030_TK3331</t>
  </si>
  <si>
    <t>theo công thức</t>
  </si>
  <si>
    <t>số này giữ nguyên</t>
  </si>
  <si>
    <t>Số còn được khấu trừ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</si>
</sst>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165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C0A5-2A9A-4571-9C36-EEF5E996BC3E}">
  <dimension ref="A1:K11"/>
  <sheetViews>
    <sheetView tabSelected="1" workbookViewId="0">
      <selection activeCell="G14" sqref="G14"/>
    </sheetView>
  </sheetViews>
  <sheetFormatPr defaultRowHeight="14" x14ac:dyDescent="0.3"/>
  <cols>
    <col min="1" max="1" width="21.453125" style="4" bestFit="1" customWidth="1"/>
    <col min="2" max="3" width="18.1796875" style="4" bestFit="1" customWidth="1"/>
    <col min="4" max="4" width="49.54296875" style="4" bestFit="1" customWidth="1"/>
    <col min="5" max="7" width="8.7265625" style="4"/>
    <col min="8" max="8" width="19.90625" style="4" bestFit="1" customWidth="1"/>
    <col min="9" max="9" width="21.26953125" style="4" bestFit="1" customWidth="1"/>
    <col min="10" max="10" width="15.54296875" style="4" bestFit="1" customWidth="1"/>
    <col min="11" max="11" width="49.54296875" style="4" bestFit="1" customWidth="1"/>
    <col min="12" max="16384" width="8.7265625" style="4"/>
  </cols>
  <sheetData>
    <row r="1" spans="1:11" x14ac:dyDescent="0.3">
      <c r="A1" s="1"/>
      <c r="B1" s="2" t="s">
        <v>10</v>
      </c>
      <c r="C1" s="2"/>
      <c r="D1" s="3" t="s">
        <v>13</v>
      </c>
      <c r="H1" s="1"/>
      <c r="I1" s="1" t="s">
        <v>19</v>
      </c>
      <c r="J1" s="1"/>
      <c r="K1" s="3" t="s">
        <v>13</v>
      </c>
    </row>
    <row r="2" spans="1:11" x14ac:dyDescent="0.3">
      <c r="A2" s="1"/>
      <c r="B2" s="3" t="s">
        <v>11</v>
      </c>
      <c r="C2" s="3" t="s">
        <v>12</v>
      </c>
      <c r="D2" s="1"/>
      <c r="H2" s="1"/>
      <c r="I2" s="3" t="s">
        <v>11</v>
      </c>
      <c r="J2" s="3" t="s">
        <v>12</v>
      </c>
      <c r="K2" s="1"/>
    </row>
    <row r="3" spans="1:11" x14ac:dyDescent="0.3">
      <c r="A3" s="1" t="s">
        <v>0</v>
      </c>
      <c r="B3" s="5">
        <f>1500000000-B9</f>
        <v>0</v>
      </c>
      <c r="C3" s="5"/>
      <c r="D3" s="1" t="s">
        <v>14</v>
      </c>
      <c r="H3" s="1" t="s">
        <v>16</v>
      </c>
      <c r="I3" s="5">
        <v>79821540914</v>
      </c>
      <c r="J3" s="5"/>
      <c r="K3" s="1" t="s">
        <v>20</v>
      </c>
    </row>
    <row r="4" spans="1:11" x14ac:dyDescent="0.3">
      <c r="A4" s="1" t="s">
        <v>2</v>
      </c>
      <c r="B4" s="5"/>
      <c r="C4" s="5">
        <v>108965015793</v>
      </c>
      <c r="D4" s="1" t="s">
        <v>22</v>
      </c>
      <c r="H4" s="1" t="s">
        <v>2</v>
      </c>
      <c r="I4" s="5">
        <v>105695245168</v>
      </c>
      <c r="J4" s="5"/>
      <c r="K4" s="1" t="s">
        <v>21</v>
      </c>
    </row>
    <row r="5" spans="1:11" x14ac:dyDescent="0.3">
      <c r="A5" s="1" t="s">
        <v>3</v>
      </c>
      <c r="B5" s="5">
        <v>107179524655</v>
      </c>
      <c r="C5" s="5"/>
      <c r="D5" s="1" t="s">
        <v>23</v>
      </c>
      <c r="H5" s="1" t="s">
        <v>17</v>
      </c>
      <c r="I5" s="5"/>
      <c r="J5" s="5">
        <v>107179524655</v>
      </c>
      <c r="K5" s="1" t="s">
        <v>25</v>
      </c>
    </row>
    <row r="6" spans="1:11" x14ac:dyDescent="0.3">
      <c r="A6" s="1" t="s">
        <v>4</v>
      </c>
      <c r="B6" s="5">
        <v>1785491138</v>
      </c>
      <c r="C6" s="5"/>
      <c r="D6" s="1" t="s">
        <v>24</v>
      </c>
      <c r="H6" s="1"/>
      <c r="I6" s="5">
        <f>I4</f>
        <v>105695245168</v>
      </c>
      <c r="J6" s="5">
        <f>J5</f>
        <v>107179524655</v>
      </c>
      <c r="K6" s="1"/>
    </row>
    <row r="7" spans="1:11" x14ac:dyDescent="0.3">
      <c r="A7" s="1" t="s">
        <v>15</v>
      </c>
      <c r="B7" s="5">
        <f>B5+B6</f>
        <v>108965015793</v>
      </c>
      <c r="C7" s="5">
        <f>C4</f>
        <v>108965015793</v>
      </c>
      <c r="D7" s="1"/>
      <c r="H7" s="1"/>
      <c r="I7" s="5">
        <f>I3+I6-J6</f>
        <v>78337261427</v>
      </c>
      <c r="J7" s="5"/>
      <c r="K7" s="1" t="s">
        <v>26</v>
      </c>
    </row>
    <row r="8" spans="1:11" x14ac:dyDescent="0.3">
      <c r="A8" s="1" t="s">
        <v>0</v>
      </c>
      <c r="B8" s="5">
        <f>B3+B7-C7</f>
        <v>0</v>
      </c>
      <c r="C8" s="5"/>
      <c r="D8" s="1" t="s">
        <v>5</v>
      </c>
      <c r="H8" s="1" t="s">
        <v>1</v>
      </c>
      <c r="I8" s="5">
        <v>60549888887</v>
      </c>
      <c r="J8" s="5"/>
      <c r="K8" s="1" t="s">
        <v>27</v>
      </c>
    </row>
    <row r="9" spans="1:11" x14ac:dyDescent="0.3">
      <c r="A9" s="1" t="s">
        <v>1</v>
      </c>
      <c r="B9" s="5">
        <v>1500000000</v>
      </c>
      <c r="C9" s="5"/>
      <c r="D9" s="1" t="s">
        <v>6</v>
      </c>
      <c r="H9" s="1" t="s">
        <v>18</v>
      </c>
      <c r="I9" s="5">
        <f>I7-I8</f>
        <v>17787372540</v>
      </c>
      <c r="J9" s="5"/>
      <c r="K9" s="1" t="s">
        <v>28</v>
      </c>
    </row>
    <row r="10" spans="1:11" x14ac:dyDescent="0.3">
      <c r="A10" s="1" t="s">
        <v>7</v>
      </c>
      <c r="B10" s="5">
        <f>B8+B9</f>
        <v>1500000000</v>
      </c>
      <c r="C10" s="5"/>
      <c r="D10" s="1" t="s">
        <v>8</v>
      </c>
    </row>
    <row r="11" spans="1:11" x14ac:dyDescent="0.3">
      <c r="A11" s="1"/>
      <c r="B11" s="1" t="s">
        <v>9</v>
      </c>
      <c r="C11" s="1"/>
      <c r="D11" s="1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2026-07-06T08:43:20Z</dcterms:created>
  <dcterms:modified xsi:type="dcterms:W3CDTF">2026-07-06T09:03:30Z</dcterms:modified>
</cp:coreProperties>
</file>