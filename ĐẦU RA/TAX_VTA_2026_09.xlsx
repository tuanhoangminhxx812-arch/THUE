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9020" windowHeight="17500" tabRatio="719" firstSheet="0" activeTab="0" autoFilterDateGrouping="1"/>
  </bookViews>
  <sheets>
    <sheet xmlns:r="http://schemas.openxmlformats.org/officeDocument/2006/relationships" name="DASHBOARD_KIEMDO" sheetId="1" state="visible" r:id="rId1"/>
    <sheet xmlns:r="http://schemas.openxmlformats.org/officeDocument/2006/relationships" name="TAXVTA" sheetId="2" state="visible" r:id="rId2"/>
    <sheet xmlns:r="http://schemas.openxmlformats.org/officeDocument/2006/relationships" name="GCS" sheetId="3" state="visible" r:id="rId3"/>
    <sheet xmlns:r="http://schemas.openxmlformats.org/officeDocument/2006/relationships" name="0903" sheetId="4" state="visible" r:id="rId4"/>
    <sheet xmlns:r="http://schemas.openxmlformats.org/officeDocument/2006/relationships" name="3A" sheetId="5" state="visible" r:id="rId5"/>
    <sheet xmlns:r="http://schemas.openxmlformats.org/officeDocument/2006/relationships" name="4A" sheetId="6" state="visible" r:id="rId6"/>
    <sheet xmlns:r="http://schemas.openxmlformats.org/officeDocument/2006/relationships" name="TA35" sheetId="7" state="visible" r:id="rId7"/>
    <sheet xmlns:r="http://schemas.openxmlformats.org/officeDocument/2006/relationships" name="333111" sheetId="8" state="visible" r:id="rId8"/>
    <sheet xmlns:r="http://schemas.openxmlformats.org/officeDocument/2006/relationships" name="33895" sheetId="9" state="visible" r:id="rId9"/>
    <sheet xmlns:r="http://schemas.openxmlformats.org/officeDocument/2006/relationships" name="TA36" sheetId="10" state="visible" r:id="rId10"/>
    <sheet xmlns:r="http://schemas.openxmlformats.org/officeDocument/2006/relationships" name="13311" sheetId="11" state="visible" r:id="rId11"/>
    <sheet xmlns:r="http://schemas.openxmlformats.org/officeDocument/2006/relationships" name="Nhom TC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_xlnm._FilterDatabase" localSheetId="1" hidden="1">'TAXVTA'!$J$73:$K$74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#,##0;#,##0"/>
    <numFmt numFmtId="168" formatCode="_ * #,##0_ ;_ * \-#,##0_ ;_ * &quot;-&quot;??_ ;_ @_ "/>
    <numFmt numFmtId="169" formatCode="yyyy-mm-dd h:mm:ss"/>
  </numFmts>
  <fonts count="75">
    <font>
      <name val="Times New Roman"/>
      <family val="1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9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Tahoma"/>
      <family val="2"/>
      <color rgb="FFFFFFFF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4"/>
    </font>
    <font>
      <name val="Times New Roman"/>
      <family val="1"/>
      <color rgb="FF000000"/>
      <sz val="8"/>
    </font>
    <font>
      <name val="Times New Roman"/>
      <family val="1"/>
      <i val="1"/>
      <color rgb="FF000000"/>
      <sz val="9"/>
    </font>
    <font>
      <name val="Times New Roman"/>
      <family val="1"/>
      <color rgb="FFFFFFFF"/>
      <sz val="9"/>
    </font>
    <font>
      <name val="Times New Roman"/>
      <family val="1"/>
      <b val="1"/>
      <color rgb="FF000000"/>
      <sz val="10"/>
    </font>
    <font>
      <name val="Calibri"/>
      <family val="2"/>
      <sz val="11"/>
      <scheme val="minor"/>
    </font>
    <font>
      <name val="Arial"/>
      <family val="2"/>
      <color indexed="8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11"/>
      <scheme val="minor"/>
    </font>
    <font>
      <name val="Times New Roman"/>
      <family val="1"/>
      <color indexed="8"/>
      <sz val="11"/>
    </font>
    <font>
      <name val="Times New Roman"/>
      <family val="1"/>
      <b val="1"/>
      <color indexed="8"/>
      <sz val="11"/>
    </font>
    <font>
      <name val="Times New Roman"/>
      <family val="1"/>
      <sz val="9"/>
    </font>
    <font>
      <name val="Times New Roman"/>
      <family val="1"/>
      <color theme="1"/>
      <sz val="9"/>
    </font>
    <font>
      <name val="Times New Roman"/>
      <family val="1"/>
      <color rgb="FFFF0000"/>
      <sz val="9"/>
    </font>
    <font>
      <name val="Calibri"/>
      <family val="2"/>
      <color theme="1"/>
      <sz val="9"/>
      <scheme val="minor"/>
    </font>
    <font>
      <name val="Times New Roman"/>
      <family val="1"/>
      <b val="1"/>
      <sz val="9"/>
    </font>
    <font>
      <name val="Times New Roman"/>
      <family val="1"/>
      <b val="1"/>
      <color rgb="FFFF0000"/>
      <sz val="9"/>
    </font>
    <font>
      <name val="Times New Roman"/>
      <family val="1"/>
      <color rgb="FFFF0000"/>
      <sz val="12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Arial"/>
      <family val="2"/>
      <b val="1"/>
      <sz val="8"/>
    </font>
    <font>
      <name val="Tahoma"/>
      <family val="2"/>
      <sz val="9"/>
    </font>
    <font>
      <name val="Arial"/>
      <color indexed="8"/>
      <sz val="10"/>
    </font>
    <font>
      <name val="Times New Roman"/>
      <charset val="134"/>
      <color indexed="8"/>
      <sz val="11"/>
    </font>
    <font>
      <name val="Times New Roman"/>
      <charset val="134"/>
      <b val="1"/>
      <color indexed="8"/>
      <sz val="11"/>
    </font>
    <font>
      <name val="Times New Roman"/>
      <charset val="134"/>
      <b val="1"/>
      <color indexed="8"/>
      <sz val="15"/>
    </font>
    <font>
      <name val="Times New Roman"/>
      <charset val="134"/>
      <color indexed="8"/>
      <sz val="15"/>
    </font>
    <font>
      <name val="Times New Roman"/>
      <charset val="134"/>
      <color rgb="FFFF0000"/>
      <sz val="11"/>
    </font>
    <font>
      <name val="Times New Roman"/>
      <charset val="134"/>
      <b val="1"/>
      <color rgb="FFFF0000"/>
      <sz val="11"/>
    </font>
    <font>
      <name val="Times New Roman"/>
      <charset val="134"/>
      <sz val="12"/>
    </font>
    <font>
      <name val="Times New Roman"/>
      <charset val="134"/>
      <b val="1"/>
      <sz val="12"/>
    </font>
    <font>
      <name val="Times New Roman"/>
      <charset val="134"/>
      <i val="1"/>
      <color rgb="FFFF0000"/>
      <sz val="12"/>
    </font>
    <font>
      <name val="Times New Roman"/>
      <charset val="134"/>
      <i val="1"/>
      <sz val="12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color rgb="FF000000"/>
      <sz val="11"/>
    </font>
    <font>
      <name val="Times New Roman"/>
      <charset val="134"/>
      <b val="1"/>
      <color rgb="FF212121"/>
      <sz val="11"/>
    </font>
    <font>
      <name val="Times New Roman"/>
      <charset val="134"/>
      <color rgb="FF212121"/>
      <sz val="11"/>
    </font>
    <font>
      <name val="Calibri"/>
      <family val="2"/>
      <color rgb="FF000000"/>
      <sz val="11"/>
      <scheme val="minor"/>
    </font>
    <font>
      <name val="Segoe UI"/>
      <b val="1"/>
      <color rgb="00FFFFFF"/>
      <sz val="15"/>
    </font>
    <font>
      <name val="Segoe UI"/>
      <i val="1"/>
      <color rgb="00E7EEF8"/>
      <sz val="10"/>
    </font>
    <font>
      <name val="Segoe UI"/>
      <b val="1"/>
      <color rgb="00276A3C"/>
      <sz val="9"/>
    </font>
    <font>
      <name val="Segoe UI"/>
      <b val="1"/>
      <color rgb="00276A3C"/>
      <sz val="15"/>
    </font>
    <font>
      <name val="Segoe UI"/>
      <b val="1"/>
      <color rgb="00C65911"/>
      <sz val="9"/>
    </font>
    <font>
      <name val="Segoe UI"/>
      <b val="1"/>
      <color rgb="00C65911"/>
      <sz val="15"/>
    </font>
    <font>
      <name val="Segoe UI"/>
      <b val="1"/>
      <color rgb="001F4E79"/>
      <sz val="9"/>
    </font>
    <font>
      <name val="Segoe UI"/>
      <b val="1"/>
      <color rgb="001F4E79"/>
      <sz val="15"/>
    </font>
    <font>
      <name val="Segoe UI"/>
      <b val="1"/>
      <color rgb="007F6000"/>
      <sz val="9"/>
    </font>
    <font>
      <name val="Segoe UI"/>
      <b val="1"/>
      <color rgb="00C00000"/>
      <sz val="12"/>
    </font>
    <font>
      <name val="Segoe UI"/>
      <b val="1"/>
      <color rgb="001F4E7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</fonts>
  <fills count="3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1719C"/>
        <bgColor rgb="0041719C"/>
      </patternFill>
    </fill>
    <fill>
      <patternFill patternType="solid">
        <fgColor rgb="00D9E1F2"/>
        <bgColor rgb="00D9E1F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8">
    <xf numFmtId="0" fontId="10" fillId="0" borderId="0"/>
    <xf numFmtId="43" fontId="10" fillId="0" borderId="0"/>
    <xf numFmtId="0" fontId="9" fillId="0" borderId="0"/>
    <xf numFmtId="0" fontId="25" fillId="0" borderId="0" applyAlignment="1">
      <alignment vertical="top"/>
    </xf>
    <xf numFmtId="0" fontId="26" fillId="0" borderId="0"/>
    <xf numFmtId="43" fontId="26" fillId="0" borderId="0"/>
    <xf numFmtId="0" fontId="9" fillId="0" borderId="0"/>
    <xf numFmtId="0" fontId="44" fillId="0" borderId="0" applyAlignment="1">
      <alignment vertical="top"/>
    </xf>
  </cellStyleXfs>
  <cellXfs count="576">
    <xf numFmtId="0" fontId="0" fillId="0" borderId="0" pivotButton="0" quotePrefix="0" xfId="0"/>
    <xf numFmtId="164" fontId="0" fillId="0" borderId="0" pivotButton="0" quotePrefix="0" xfId="1"/>
    <xf numFmtId="164" fontId="9" fillId="3" borderId="0" pivotButton="0" quotePrefix="0" xfId="1"/>
    <xf numFmtId="164" fontId="0" fillId="3" borderId="0" pivotButton="0" quotePrefix="0" xfId="1"/>
    <xf numFmtId="164" fontId="0" fillId="10" borderId="0" pivotButton="0" quotePrefix="0" xfId="1"/>
    <xf numFmtId="0" fontId="26" fillId="0" borderId="0" pivotButton="0" quotePrefix="0" xfId="4"/>
    <xf numFmtId="0" fontId="26" fillId="6" borderId="0" pivotButton="0" quotePrefix="0" xfId="4"/>
    <xf numFmtId="164" fontId="0" fillId="0" borderId="0" pivotButton="0" quotePrefix="0" xfId="5"/>
    <xf numFmtId="164" fontId="0" fillId="3" borderId="0" pivotButton="0" quotePrefix="0" xfId="5"/>
    <xf numFmtId="164" fontId="0" fillId="9" borderId="0" pivotButton="0" quotePrefix="0" xfId="5"/>
    <xf numFmtId="0" fontId="26" fillId="3" borderId="0" pivotButton="0" quotePrefix="0" xfId="4"/>
    <xf numFmtId="164" fontId="0" fillId="12" borderId="0" pivotButton="0" quotePrefix="0" xfId="1"/>
    <xf numFmtId="0" fontId="26" fillId="4" borderId="0" pivotButton="0" quotePrefix="0" xfId="4"/>
    <xf numFmtId="164" fontId="7" fillId="3" borderId="0" pivotButton="0" quotePrefix="0" xfId="1"/>
    <xf numFmtId="164" fontId="26" fillId="0" borderId="0" pivotButton="0" quotePrefix="0" xfId="1"/>
    <xf numFmtId="164" fontId="9" fillId="0" borderId="0" pivotButton="0" quotePrefix="0" xfId="1"/>
    <xf numFmtId="164" fontId="26" fillId="3" borderId="0" pivotButton="0" quotePrefix="0" xfId="1"/>
    <xf numFmtId="164" fontId="26" fillId="0" borderId="0" pivotButton="0" quotePrefix="0" xfId="4"/>
    <xf numFmtId="43" fontId="26" fillId="0" borderId="0" pivotButton="0" quotePrefix="0" xfId="4"/>
    <xf numFmtId="0" fontId="11" fillId="2" borderId="2" applyAlignment="1" pivotButton="0" quotePrefix="0" xfId="0">
      <alignment wrapText="1"/>
    </xf>
    <xf numFmtId="0" fontId="28" fillId="0" borderId="0" applyAlignment="1" pivotButton="0" quotePrefix="0" xfId="0">
      <alignment vertical="top"/>
    </xf>
    <xf numFmtId="3" fontId="28" fillId="0" borderId="0" applyAlignment="1" pivotButton="0" quotePrefix="0" xfId="1">
      <alignment vertical="top"/>
    </xf>
    <xf numFmtId="0" fontId="29" fillId="0" borderId="0" applyAlignment="1" pivotButton="0" quotePrefix="0" xfId="0">
      <alignment vertical="top" wrapText="1" readingOrder="1"/>
    </xf>
    <xf numFmtId="164" fontId="0" fillId="0" borderId="1" pivotButton="0" quotePrefix="0" xfId="1"/>
    <xf numFmtId="0" fontId="0" fillId="0" borderId="1" pivotButton="0" quotePrefix="0" xfId="0"/>
    <xf numFmtId="14" fontId="0" fillId="0" borderId="0" pivotButton="0" quotePrefix="0" xfId="5"/>
    <xf numFmtId="14" fontId="0" fillId="3" borderId="0" pivotButton="0" quotePrefix="0" xfId="5"/>
    <xf numFmtId="0" fontId="28" fillId="0" borderId="0" applyAlignment="1" pivotButton="0" quotePrefix="0" xfId="0">
      <alignment horizontal="center" vertical="top"/>
    </xf>
    <xf numFmtId="3" fontId="29" fillId="0" borderId="0" applyAlignment="1" pivotButton="0" quotePrefix="0" xfId="1">
      <alignment vertical="top"/>
    </xf>
    <xf numFmtId="0" fontId="0" fillId="0" borderId="0" applyAlignment="1" pivotButton="0" quotePrefix="0" xfId="0">
      <alignment vertical="center"/>
    </xf>
    <xf numFmtId="14" fontId="11" fillId="2" borderId="2" applyAlignment="1" pivotButton="0" quotePrefix="0" xfId="0">
      <alignment horizontal="center" wrapText="1"/>
    </xf>
    <xf numFmtId="0" fontId="22" fillId="2" borderId="2" applyAlignment="1" pivotButton="0" quotePrefix="0" xfId="0">
      <alignment horizontal="center" wrapText="1"/>
    </xf>
    <xf numFmtId="0" fontId="11" fillId="2" borderId="2" applyAlignment="1" pivotButton="0" quotePrefix="0" xfId="0">
      <alignment horizontal="center" wrapText="1"/>
    </xf>
    <xf numFmtId="164" fontId="0" fillId="0" borderId="0" pivotButton="0" quotePrefix="0" xfId="0"/>
    <xf numFmtId="165" fontId="26" fillId="0" borderId="0" pivotButton="0" quotePrefix="0" xfId="4"/>
    <xf numFmtId="0" fontId="9" fillId="0" borderId="0" pivotButton="0" quotePrefix="0" xfId="2"/>
    <xf numFmtId="0" fontId="27" fillId="0" borderId="0" pivotButton="0" quotePrefix="0" xfId="2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164" fontId="0" fillId="3" borderId="1" pivotButton="0" quotePrefix="0" xfId="1"/>
    <xf numFmtId="0" fontId="0" fillId="10" borderId="1" pivotButton="0" quotePrefix="0" xfId="0"/>
    <xf numFmtId="164" fontId="0" fillId="10" borderId="0" pivotButton="0" quotePrefix="0" xfId="5"/>
    <xf numFmtId="164" fontId="9" fillId="10" borderId="0" pivotButton="0" quotePrefix="0" xfId="1"/>
    <xf numFmtId="0" fontId="3" fillId="0" borderId="0" pivotButton="0" quotePrefix="0" xfId="2"/>
    <xf numFmtId="0" fontId="12" fillId="2" borderId="4" pivotButton="0" quotePrefix="0" xfId="0"/>
    <xf numFmtId="0" fontId="12" fillId="2" borderId="2" pivotButton="0" quotePrefix="0" xfId="0"/>
    <xf numFmtId="0" fontId="11" fillId="2" borderId="2" pivotButton="0" quotePrefix="0" xfId="0"/>
    <xf numFmtId="43" fontId="9" fillId="0" borderId="0" pivotButton="0" quotePrefix="0" xfId="2"/>
    <xf numFmtId="164" fontId="9" fillId="0" borderId="0" pivotButton="0" quotePrefix="0" xfId="2"/>
    <xf numFmtId="43" fontId="9" fillId="14" borderId="0" pivotButton="0" quotePrefix="0" xfId="2"/>
    <xf numFmtId="164" fontId="27" fillId="0" borderId="0" pivotButton="0" quotePrefix="0" xfId="1"/>
    <xf numFmtId="0" fontId="4" fillId="0" borderId="0" pivotButton="0" quotePrefix="0" xfId="2"/>
    <xf numFmtId="0" fontId="20" fillId="0" borderId="0" pivotButton="0" quotePrefix="0" xfId="0"/>
    <xf numFmtId="0" fontId="9" fillId="4" borderId="0" applyAlignment="1" pivotButton="0" quotePrefix="0" xfId="2">
      <alignment vertical="top"/>
    </xf>
    <xf numFmtId="0" fontId="9" fillId="5" borderId="0" pivotButton="0" quotePrefix="0" xfId="2"/>
    <xf numFmtId="0" fontId="9" fillId="7" borderId="0" pivotButton="0" quotePrefix="0" xfId="2"/>
    <xf numFmtId="0" fontId="18" fillId="4" borderId="0" pivotButton="0" quotePrefix="0" xfId="2"/>
    <xf numFmtId="0" fontId="9" fillId="4" borderId="0" pivotButton="0" quotePrefix="0" xfId="2"/>
    <xf numFmtId="0" fontId="9" fillId="0" borderId="0" pivotButton="0" quotePrefix="1" xfId="2"/>
    <xf numFmtId="164" fontId="9" fillId="5" borderId="0" pivotButton="0" quotePrefix="0" xfId="2"/>
    <xf numFmtId="0" fontId="8" fillId="0" borderId="0" pivotButton="0" quotePrefix="0" xfId="2"/>
    <xf numFmtId="0" fontId="24" fillId="0" borderId="0" pivotButton="0" quotePrefix="0" xfId="2"/>
    <xf numFmtId="0" fontId="9" fillId="3" borderId="0" pivotButton="0" quotePrefix="0" xfId="2"/>
    <xf numFmtId="0" fontId="27" fillId="3" borderId="0" pivotButton="0" quotePrefix="0" xfId="2"/>
    <xf numFmtId="0" fontId="5" fillId="3" borderId="0" pivotButton="0" quotePrefix="0" xfId="2"/>
    <xf numFmtId="0" fontId="6" fillId="3" borderId="0" pivotButton="0" quotePrefix="0" xfId="2"/>
    <xf numFmtId="0" fontId="11" fillId="2" borderId="0" pivotButton="0" quotePrefix="0" xfId="0"/>
    <xf numFmtId="0" fontId="12" fillId="2" borderId="0" pivotButton="0" quotePrefix="0" xfId="0"/>
    <xf numFmtId="0" fontId="16" fillId="2" borderId="1" pivotButton="0" quotePrefix="0" xfId="0"/>
    <xf numFmtId="164" fontId="9" fillId="0" borderId="1" pivotButton="0" quotePrefix="0" xfId="1"/>
    <xf numFmtId="164" fontId="9" fillId="3" borderId="0" pivotButton="0" quotePrefix="0" xfId="2"/>
    <xf numFmtId="164" fontId="9" fillId="4" borderId="0" pivotButton="0" quotePrefix="0" xfId="2"/>
    <xf numFmtId="0" fontId="16" fillId="4" borderId="2" applyAlignment="1" pivotButton="0" quotePrefix="0" xfId="2">
      <alignment horizontal="right"/>
    </xf>
    <xf numFmtId="0" fontId="12" fillId="4" borderId="0" pivotButton="0" quotePrefix="0" xfId="0"/>
    <xf numFmtId="0" fontId="30" fillId="0" borderId="0" pivotButton="0" quotePrefix="0" xfId="0"/>
    <xf numFmtId="0" fontId="30" fillId="4" borderId="0" pivotButton="0" quotePrefix="0" xfId="0"/>
    <xf numFmtId="0" fontId="31" fillId="3" borderId="0" pivotButton="0" quotePrefix="0" xfId="6"/>
    <xf numFmtId="0" fontId="31" fillId="4" borderId="0" pivotButton="0" quotePrefix="0" xfId="6"/>
    <xf numFmtId="0" fontId="31" fillId="0" borderId="0" pivotButton="0" quotePrefix="0" xfId="6"/>
    <xf numFmtId="0" fontId="30" fillId="2" borderId="0" pivotButton="0" quotePrefix="0" xfId="0"/>
    <xf numFmtId="0" fontId="30" fillId="2" borderId="2" pivotButton="0" quotePrefix="0" xfId="0"/>
    <xf numFmtId="3" fontId="31" fillId="0" borderId="0" pivotButton="0" quotePrefix="0" xfId="6"/>
    <xf numFmtId="164" fontId="31" fillId="0" borderId="0" pivotButton="0" quotePrefix="0" xfId="1"/>
    <xf numFmtId="164" fontId="31" fillId="0" borderId="0" pivotButton="0" quotePrefix="0" xfId="6"/>
    <xf numFmtId="0" fontId="32" fillId="0" borderId="0" pivotButton="0" quotePrefix="0" xfId="6"/>
    <xf numFmtId="0" fontId="31" fillId="0" borderId="1" pivotButton="0" quotePrefix="0" xfId="6"/>
    <xf numFmtId="0" fontId="30" fillId="0" borderId="1" pivotButton="0" quotePrefix="0" xfId="0"/>
    <xf numFmtId="164" fontId="31" fillId="0" borderId="1" pivotButton="0" quotePrefix="0" xfId="1"/>
    <xf numFmtId="164" fontId="31" fillId="3" borderId="1" pivotButton="0" quotePrefix="0" xfId="6"/>
    <xf numFmtId="164" fontId="31" fillId="4" borderId="1" pivotButton="0" quotePrefix="0" xfId="6"/>
    <xf numFmtId="164" fontId="31" fillId="17" borderId="1" pivotButton="0" quotePrefix="0" xfId="6"/>
    <xf numFmtId="164" fontId="33" fillId="0" borderId="0" pivotButton="0" quotePrefix="0" xfId="1"/>
    <xf numFmtId="0" fontId="31" fillId="11" borderId="0" pivotButton="0" quotePrefix="0" xfId="2"/>
    <xf numFmtId="0" fontId="31" fillId="10" borderId="0" pivotButton="0" quotePrefix="0" xfId="2"/>
    <xf numFmtId="0" fontId="31" fillId="0" borderId="0" pivotButton="0" quotePrefix="0" xfId="2"/>
    <xf numFmtId="0" fontId="12" fillId="2" borderId="7" pivotButton="0" quotePrefix="0" xfId="0"/>
    <xf numFmtId="0" fontId="12" fillId="2" borderId="6" pivotButton="0" quotePrefix="0" xfId="0"/>
    <xf numFmtId="0" fontId="32" fillId="0" borderId="0" pivotButton="0" quotePrefix="0" xfId="2"/>
    <xf numFmtId="0" fontId="12" fillId="2" borderId="15" pivotButton="0" quotePrefix="0" xfId="0"/>
    <xf numFmtId="164" fontId="31" fillId="0" borderId="0" pivotButton="0" quotePrefix="0" xfId="2"/>
    <xf numFmtId="164" fontId="11" fillId="9" borderId="0" pivotButton="0" quotePrefix="0" xfId="0"/>
    <xf numFmtId="0" fontId="31" fillId="10" borderId="0" applyAlignment="1" pivotButton="0" quotePrefix="0" xfId="2">
      <alignment horizontal="right"/>
    </xf>
    <xf numFmtId="164" fontId="11" fillId="12" borderId="0" pivotButton="0" quotePrefix="0" xfId="0"/>
    <xf numFmtId="0" fontId="33" fillId="10" borderId="0" pivotButton="0" quotePrefix="0" xfId="6"/>
    <xf numFmtId="164" fontId="33" fillId="3" borderId="0" pivotButton="0" quotePrefix="0" xfId="1"/>
    <xf numFmtId="0" fontId="33" fillId="0" borderId="0" pivotButton="0" quotePrefix="0" xfId="6"/>
    <xf numFmtId="0" fontId="33" fillId="0" borderId="1" pivotButton="0" quotePrefix="0" xfId="6"/>
    <xf numFmtId="164" fontId="33" fillId="0" borderId="1" pivotButton="0" quotePrefix="0" xfId="1"/>
    <xf numFmtId="164" fontId="33" fillId="4" borderId="1" pivotButton="0" quotePrefix="0" xfId="1"/>
    <xf numFmtId="164" fontId="33" fillId="3" borderId="1" pivotButton="0" quotePrefix="0" xfId="1"/>
    <xf numFmtId="164" fontId="11" fillId="2" borderId="7" applyAlignment="1" pivotButton="0" quotePrefix="0" xfId="1">
      <alignment horizontal="right"/>
    </xf>
    <xf numFmtId="164" fontId="30" fillId="10" borderId="0" pivotButton="0" quotePrefix="0" xfId="1"/>
    <xf numFmtId="164" fontId="30" fillId="0" borderId="0" pivotButton="0" quotePrefix="0" xfId="1"/>
    <xf numFmtId="0" fontId="30" fillId="0" borderId="0" pivotButton="0" quotePrefix="0" xfId="1"/>
    <xf numFmtId="164" fontId="30" fillId="3" borderId="0" pivotButton="0" quotePrefix="0" xfId="1"/>
    <xf numFmtId="164" fontId="30" fillId="9" borderId="0" pivotButton="0" quotePrefix="0" xfId="1"/>
    <xf numFmtId="164" fontId="30" fillId="0" borderId="0" applyAlignment="1" pivotButton="0" quotePrefix="0" xfId="1">
      <alignment horizontal="right"/>
    </xf>
    <xf numFmtId="164" fontId="30" fillId="0" borderId="0" pivotButton="0" quotePrefix="0" xfId="5"/>
    <xf numFmtId="164" fontId="30" fillId="12" borderId="0" pivotButton="0" quotePrefix="0" xfId="1"/>
    <xf numFmtId="164" fontId="30" fillId="0" borderId="1" pivotButton="0" quotePrefix="0" xfId="1"/>
    <xf numFmtId="164" fontId="32" fillId="14" borderId="1" pivotButton="0" quotePrefix="0" xfId="1"/>
    <xf numFmtId="164" fontId="30" fillId="14" borderId="1" pivotButton="0" quotePrefix="0" xfId="1"/>
    <xf numFmtId="164" fontId="30" fillId="0" borderId="1" pivotButton="0" quotePrefix="0" xfId="1"/>
    <xf numFmtId="164" fontId="30" fillId="11" borderId="0" pivotButton="0" quotePrefix="0" xfId="1"/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43" fontId="30" fillId="0" borderId="0" pivotButton="0" quotePrefix="0" xfId="1"/>
    <xf numFmtId="164" fontId="30" fillId="16" borderId="0" pivotButton="0" quotePrefix="0" xfId="1"/>
    <xf numFmtId="164" fontId="32" fillId="0" borderId="0" pivotButton="0" quotePrefix="0" xfId="1"/>
    <xf numFmtId="164" fontId="30" fillId="3" borderId="24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0" borderId="0" pivotButton="0" quotePrefix="0" xfId="1"/>
    <xf numFmtId="164" fontId="30" fillId="16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9" borderId="23" pivotButton="0" quotePrefix="0" xfId="1"/>
    <xf numFmtId="164" fontId="30" fillId="14" borderId="23" pivotButton="0" quotePrefix="0" xfId="1"/>
    <xf numFmtId="164" fontId="32" fillId="0" borderId="0" pivotButton="0" quotePrefix="0" xfId="1"/>
    <xf numFmtId="164" fontId="30" fillId="15" borderId="0" pivotButton="0" quotePrefix="0" xfId="1"/>
    <xf numFmtId="164" fontId="12" fillId="2" borderId="0" pivotButton="0" quotePrefix="0" xfId="0"/>
    <xf numFmtId="164" fontId="30" fillId="3" borderId="1" pivotButton="0" quotePrefix="0" xfId="1"/>
    <xf numFmtId="164" fontId="34" fillId="0" borderId="1" pivotButton="0" quotePrefix="0" xfId="1"/>
    <xf numFmtId="164" fontId="0" fillId="4" borderId="0" pivotButton="0" quotePrefix="0" xfId="1"/>
    <xf numFmtId="164" fontId="0" fillId="12" borderId="0" pivotButton="0" quotePrefix="0" xfId="5"/>
    <xf numFmtId="164" fontId="2" fillId="3" borderId="0" pivotButton="0" quotePrefix="0" xfId="1"/>
    <xf numFmtId="164" fontId="9" fillId="9" borderId="0" pivotButton="0" quotePrefix="0" xfId="1"/>
    <xf numFmtId="164" fontId="36" fillId="0" borderId="0" pivotButton="0" quotePrefix="0" xfId="1"/>
    <xf numFmtId="3" fontId="31" fillId="9" borderId="0" pivotButton="0" quotePrefix="0" xfId="6"/>
    <xf numFmtId="164" fontId="30" fillId="18" borderId="0" pivotButton="0" quotePrefix="0" xfId="1"/>
    <xf numFmtId="164" fontId="32" fillId="18" borderId="23" pivotButton="0" quotePrefix="0" xfId="1"/>
    <xf numFmtId="164" fontId="30" fillId="12" borderId="0" applyAlignment="1" pivotButton="0" quotePrefix="0" xfId="1">
      <alignment horizontal="right"/>
    </xf>
    <xf numFmtId="164" fontId="30" fillId="12" borderId="23" pivotButton="0" quotePrefix="0" xfId="1"/>
    <xf numFmtId="164" fontId="30" fillId="4" borderId="0" pivotButton="0" quotePrefix="0" xfId="1"/>
    <xf numFmtId="164" fontId="30" fillId="4" borderId="0" pivotButton="0" quotePrefix="0" xfId="1"/>
    <xf numFmtId="164" fontId="31" fillId="4" borderId="0" pivotButton="0" quotePrefix="0" xfId="6"/>
    <xf numFmtId="164" fontId="9" fillId="4" borderId="0" pivotButton="0" quotePrefix="0" xfId="1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3" fillId="2" borderId="0" applyAlignment="1" pivotButton="0" quotePrefix="0" xfId="0">
      <alignment wrapText="1"/>
    </xf>
    <xf numFmtId="0" fontId="19" fillId="2" borderId="0" applyAlignment="1" pivotButton="0" quotePrefix="0" xfId="0">
      <alignment horizontal="center" wrapText="1"/>
    </xf>
    <xf numFmtId="0" fontId="23" fillId="2" borderId="0" applyAlignment="1" pivotButton="0" quotePrefix="0" xfId="0">
      <alignment horizontal="center" wrapText="1"/>
    </xf>
    <xf numFmtId="0" fontId="0" fillId="2" borderId="0" applyAlignment="1" pivotButton="0" quotePrefix="0" xfId="0">
      <alignment wrapText="1"/>
    </xf>
    <xf numFmtId="0" fontId="12" fillId="8" borderId="2" applyAlignment="1" pivotButton="0" quotePrefix="0" xfId="0">
      <alignment horizontal="center" wrapText="1"/>
    </xf>
    <xf numFmtId="0" fontId="12" fillId="2" borderId="2" applyAlignment="1" pivotButton="0" quotePrefix="0" xfId="0">
      <alignment horizontal="center" wrapText="1"/>
    </xf>
    <xf numFmtId="0" fontId="0" fillId="2" borderId="2" applyAlignment="1" pivotButton="0" quotePrefix="0" xfId="0">
      <alignment wrapText="1"/>
    </xf>
    <xf numFmtId="164" fontId="30" fillId="14" borderId="0" pivotButton="0" quotePrefix="0" xfId="1"/>
    <xf numFmtId="0" fontId="38" fillId="13" borderId="20" applyAlignment="1" pivotButton="0" quotePrefix="0" xfId="0">
      <alignment horizontal="center" wrapText="1"/>
    </xf>
    <xf numFmtId="0" fontId="38" fillId="13" borderId="20" applyAlignment="1" pivotButton="0" quotePrefix="0" xfId="0">
      <alignment horizontal="center" vertical="top" wrapText="1"/>
    </xf>
    <xf numFmtId="0" fontId="38" fillId="13" borderId="19" applyAlignment="1" pivotButton="0" quotePrefix="0" xfId="0">
      <alignment horizontal="center" wrapText="1"/>
    </xf>
    <xf numFmtId="0" fontId="38" fillId="13" borderId="17" applyAlignment="1" pivotButton="0" quotePrefix="0" xfId="0">
      <alignment horizontal="center" vertical="top" wrapText="1"/>
    </xf>
    <xf numFmtId="0" fontId="0" fillId="13" borderId="19" applyAlignment="1" pivotButton="0" quotePrefix="0" xfId="0">
      <alignment wrapText="1"/>
    </xf>
    <xf numFmtId="0" fontId="12" fillId="2" borderId="3" applyAlignment="1" pivotButton="0" quotePrefix="0" xfId="0">
      <alignment horizontal="justify" wrapText="1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1" fillId="2" borderId="0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center" wrapText="1"/>
    </xf>
    <xf numFmtId="14" fontId="16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wrapText="1"/>
    </xf>
    <xf numFmtId="164" fontId="31" fillId="0" borderId="0" pivotButton="0" quotePrefix="0" xfId="1"/>
    <xf numFmtId="164" fontId="34" fillId="0" borderId="1" applyAlignment="1" pivotButton="0" quotePrefix="0" xfId="1">
      <alignment horizontal="right"/>
    </xf>
    <xf numFmtId="164" fontId="34" fillId="0" borderId="1" pivotButton="0" quotePrefix="0" xfId="1"/>
    <xf numFmtId="164" fontId="30" fillId="0" borderId="1" applyAlignment="1" pivotButton="0" quotePrefix="0" xfId="1">
      <alignment horizontal="left"/>
    </xf>
    <xf numFmtId="37" fontId="30" fillId="0" borderId="1" pivotButton="0" quotePrefix="0" xfId="1"/>
    <xf numFmtId="0" fontId="0" fillId="2" borderId="0" pivotButton="0" quotePrefix="0" xfId="0"/>
    <xf numFmtId="0" fontId="23" fillId="2" borderId="0" pivotButton="0" quotePrefix="0" xfId="0"/>
    <xf numFmtId="0" fontId="2" fillId="0" borderId="0" pivotButton="0" quotePrefix="0" xfId="2"/>
    <xf numFmtId="0" fontId="0" fillId="2" borderId="18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5" fillId="2" borderId="2" applyAlignment="1" pivotButton="0" quotePrefix="0" xfId="0">
      <alignment horizontal="center" wrapText="1"/>
    </xf>
    <xf numFmtId="0" fontId="16" fillId="2" borderId="2" applyAlignment="1" pivotButton="0" quotePrefix="0" xfId="0">
      <alignment horizontal="right" wrapText="1"/>
    </xf>
    <xf numFmtId="0" fontId="14" fillId="2" borderId="2" applyAlignment="1" pivotButton="0" quotePrefix="0" xfId="0">
      <alignment horizontal="right" wrapText="1"/>
    </xf>
    <xf numFmtId="164" fontId="23" fillId="2" borderId="0" pivotButton="0" quotePrefix="0" xfId="1"/>
    <xf numFmtId="164" fontId="0" fillId="2" borderId="0" pivotButton="0" quotePrefix="0" xfId="1"/>
    <xf numFmtId="0" fontId="37" fillId="2" borderId="2" applyAlignment="1" pivotButton="0" quotePrefix="0" xfId="0">
      <alignment horizontal="justify" wrapText="1"/>
    </xf>
    <xf numFmtId="0" fontId="40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0" fillId="0" borderId="0" pivotButton="0" quotePrefix="0" xfId="0"/>
    <xf numFmtId="164" fontId="40" fillId="0" borderId="0" pivotButton="0" quotePrefix="0" xfId="1"/>
    <xf numFmtId="0" fontId="0" fillId="2" borderId="19" applyAlignment="1" pivotButton="0" quotePrefix="0" xfId="0">
      <alignment wrapText="1"/>
    </xf>
    <xf numFmtId="164" fontId="32" fillId="19" borderId="1" pivotButton="0" quotePrefix="0" xfId="1"/>
    <xf numFmtId="164" fontId="30" fillId="19" borderId="1" pivotButton="0" quotePrefix="0" xfId="1"/>
    <xf numFmtId="164" fontId="30" fillId="0" borderId="22" applyAlignment="1" pivotButton="0" quotePrefix="0" xfId="1">
      <alignment horizontal="left"/>
    </xf>
    <xf numFmtId="3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horizontal="center" vertical="center" wrapText="1"/>
    </xf>
    <xf numFmtId="49" fontId="42" fillId="20" borderId="1" applyAlignment="1" pivotButton="0" quotePrefix="0" xfId="0">
      <alignment vertical="center" wrapText="1"/>
    </xf>
    <xf numFmtId="3" fontId="42" fillId="20" borderId="1" applyAlignment="1" pivotButton="0" quotePrefix="0" xfId="0">
      <alignment vertical="center" wrapText="1"/>
    </xf>
    <xf numFmtId="0" fontId="42" fillId="20" borderId="1" applyAlignment="1" pivotButton="0" quotePrefix="0" xfId="0">
      <alignment vertical="center" wrapText="1"/>
    </xf>
    <xf numFmtId="164" fontId="30" fillId="0" borderId="0" applyAlignment="1" pivotButton="0" quotePrefix="0" xfId="1">
      <alignment horizontal="center" vertical="center"/>
    </xf>
    <xf numFmtId="164" fontId="32" fillId="3" borderId="0" pivotButton="0" quotePrefix="0" xfId="1"/>
    <xf numFmtId="166" fontId="12" fillId="2" borderId="4" pivotButton="0" quotePrefix="0" xfId="0"/>
    <xf numFmtId="0" fontId="10" fillId="0" borderId="0" applyAlignment="1" pivotButton="0" quotePrefix="0" xfId="0">
      <alignment wrapText="1"/>
    </xf>
    <xf numFmtId="164" fontId="10" fillId="0" borderId="0" applyAlignment="1" pivotButton="0" quotePrefix="0" xfId="1">
      <alignment wrapText="1"/>
    </xf>
    <xf numFmtId="0" fontId="39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9" fillId="2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/>
    </xf>
    <xf numFmtId="0" fontId="0" fillId="2" borderId="18" applyAlignment="1" pivotButton="0" quotePrefix="0" xfId="0">
      <alignment vertical="center"/>
    </xf>
    <xf numFmtId="0" fontId="18" fillId="2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top"/>
    </xf>
    <xf numFmtId="0" fontId="45" fillId="0" borderId="0" applyAlignment="1" pivotButton="0" quotePrefix="0" xfId="0">
      <alignment vertical="top"/>
    </xf>
    <xf numFmtId="3" fontId="45" fillId="0" borderId="0" applyAlignment="1" pivotButton="0" quotePrefix="0" xfId="1">
      <alignment vertical="top"/>
    </xf>
    <xf numFmtId="3" fontId="45" fillId="0" borderId="0" applyAlignment="1" pivotButton="0" quotePrefix="0" xfId="1">
      <alignment horizontal="right" vertical="top"/>
    </xf>
    <xf numFmtId="3" fontId="45" fillId="0" borderId="0" applyAlignment="1" pivotButton="0" quotePrefix="0" xfId="0">
      <alignment vertical="top"/>
    </xf>
    <xf numFmtId="3" fontId="45" fillId="0" borderId="0" applyAlignment="1" pivotButton="0" quotePrefix="0" xfId="1">
      <alignment horizontal="left" vertical="top"/>
    </xf>
    <xf numFmtId="3" fontId="45" fillId="0" borderId="0" applyAlignment="1" pivotButton="0" quotePrefix="0" xfId="1">
      <alignment horizontal="center" vertical="top"/>
    </xf>
    <xf numFmtId="3" fontId="45" fillId="0" borderId="0" applyAlignment="1" pivotButton="0" quotePrefix="0" xfId="0">
      <alignment horizontal="center" vertical="top"/>
    </xf>
    <xf numFmtId="3" fontId="46" fillId="0" borderId="1" applyAlignment="1" pivotButton="0" quotePrefix="0" xfId="1">
      <alignment horizontal="center" vertical="center"/>
    </xf>
    <xf numFmtId="3" fontId="45" fillId="0" borderId="1" applyAlignment="1" pivotButton="0" quotePrefix="0" xfId="1">
      <alignment vertical="top"/>
    </xf>
    <xf numFmtId="3" fontId="45" fillId="0" borderId="1" applyAlignment="1" pivotButton="0" quotePrefix="0" xfId="1">
      <alignment horizontal="right" vertical="top"/>
    </xf>
    <xf numFmtId="0" fontId="45" fillId="0" borderId="1" applyAlignment="1" pivotButton="0" quotePrefix="0" xfId="0">
      <alignment vertical="top"/>
    </xf>
    <xf numFmtId="3" fontId="45" fillId="0" borderId="1" applyAlignment="1" pivotButton="0" quotePrefix="0" xfId="0">
      <alignment vertical="top"/>
    </xf>
    <xf numFmtId="167" fontId="45" fillId="0" borderId="1" applyAlignment="1" pivotButton="0" quotePrefix="0" xfId="0">
      <alignment horizontal="center" vertical="top"/>
    </xf>
    <xf numFmtId="14" fontId="45" fillId="0" borderId="1" applyAlignment="1" pivotButton="0" quotePrefix="0" xfId="0">
      <alignment vertical="top"/>
    </xf>
    <xf numFmtId="14" fontId="49" fillId="0" borderId="1" applyAlignment="1" pivotButton="0" quotePrefix="0" xfId="1">
      <alignment horizontal="right" vertical="top"/>
    </xf>
    <xf numFmtId="1" fontId="45" fillId="0" borderId="1" applyAlignment="1" pivotButton="0" quotePrefix="0" xfId="1">
      <alignment vertical="top"/>
    </xf>
    <xf numFmtId="3" fontId="46" fillId="0" borderId="26" applyAlignment="1" pivotButton="0" quotePrefix="0" xfId="1">
      <alignment vertical="top"/>
    </xf>
    <xf numFmtId="3" fontId="49" fillId="0" borderId="1" applyAlignment="1" pivotButton="0" quotePrefix="0" xfId="1">
      <alignment horizontal="right" vertical="top"/>
    </xf>
    <xf numFmtId="3" fontId="45" fillId="0" borderId="1" applyAlignment="1" pivotButton="0" quotePrefix="0" xfId="1">
      <alignment horizontal="center" vertical="top"/>
    </xf>
    <xf numFmtId="3" fontId="46" fillId="0" borderId="1" applyAlignment="1" pivotButton="0" quotePrefix="0" xfId="1">
      <alignment vertical="top"/>
    </xf>
    <xf numFmtId="3" fontId="50" fillId="0" borderId="1" applyAlignment="1" pivotButton="0" quotePrefix="0" xfId="1">
      <alignment horizontal="right" vertical="top"/>
    </xf>
    <xf numFmtId="0" fontId="46" fillId="0" borderId="29" applyAlignment="1" pivotButton="0" quotePrefix="0" xfId="0">
      <alignment vertical="top"/>
    </xf>
    <xf numFmtId="0" fontId="46" fillId="0" borderId="25" applyAlignment="1" pivotButton="0" quotePrefix="0" xfId="0">
      <alignment vertical="top"/>
    </xf>
    <xf numFmtId="0" fontId="46" fillId="0" borderId="26" applyAlignment="1" pivotButton="0" quotePrefix="0" xfId="0">
      <alignment vertical="top"/>
    </xf>
    <xf numFmtId="3" fontId="46" fillId="0" borderId="1" applyAlignment="1" pivotButton="0" quotePrefix="0" xfId="1">
      <alignment horizontal="right" vertical="top"/>
    </xf>
    <xf numFmtId="0" fontId="51" fillId="0" borderId="0" pivotButton="0" quotePrefix="0" xfId="0"/>
    <xf numFmtId="164" fontId="51" fillId="0" borderId="0" pivotButton="0" quotePrefix="0" xfId="1"/>
    <xf numFmtId="0" fontId="54" fillId="0" borderId="0" applyAlignment="1" pivotButton="0" quotePrefix="0" xfId="0">
      <alignment horizontal="right"/>
    </xf>
    <xf numFmtId="0" fontId="55" fillId="0" borderId="1" applyAlignment="1" pivotButton="0" quotePrefix="0" xfId="0">
      <alignment horizontal="center" vertical="center"/>
    </xf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4" fontId="49" fillId="2" borderId="29" applyAlignment="1" pivotButton="0" quotePrefix="1" xfId="0">
      <alignment horizontal="center" vertical="center" wrapText="1"/>
    </xf>
    <xf numFmtId="14" fontId="49" fillId="2" borderId="29" applyAlignment="1" pivotButton="0" quotePrefix="0" xfId="0">
      <alignment horizontal="center" vertical="center" wrapText="1"/>
    </xf>
    <xf numFmtId="14" fontId="56" fillId="2" borderId="1" applyAlignment="1" pivotButton="0" quotePrefix="1" xfId="0">
      <alignment horizontal="center" vertical="center" wrapText="1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164" fontId="56" fillId="0" borderId="1" pivotButton="0" quotePrefix="0" xfId="1"/>
    <xf numFmtId="0" fontId="55" fillId="0" borderId="1" applyAlignment="1" pivotButton="0" quotePrefix="0" xfId="0">
      <alignment horizontal="center"/>
    </xf>
    <xf numFmtId="164" fontId="55" fillId="0" borderId="1" applyAlignment="1" pivotButton="0" quotePrefix="0" xfId="1">
      <alignment horizontal="center"/>
    </xf>
    <xf numFmtId="0" fontId="23" fillId="2" borderId="2" applyAlignment="1" pivotButton="0" quotePrefix="0" xfId="0">
      <alignment horizontal="center"/>
    </xf>
    <xf numFmtId="0" fontId="38" fillId="2" borderId="2" applyAlignment="1" pivotButton="0" quotePrefix="0" xfId="0">
      <alignment horizontal="center"/>
    </xf>
    <xf numFmtId="0" fontId="18" fillId="2" borderId="2" applyAlignment="1" pivotButton="0" quotePrefix="0" xfId="0">
      <alignment vertical="top"/>
    </xf>
    <xf numFmtId="15" fontId="18" fillId="2" borderId="2" applyAlignment="1" pivotButton="0" quotePrefix="0" xfId="0">
      <alignment vertical="top"/>
    </xf>
    <xf numFmtId="3" fontId="0" fillId="2" borderId="2" applyAlignment="1" pivotButton="0" quotePrefix="0" xfId="0">
      <alignment vertical="top"/>
    </xf>
    <xf numFmtId="3" fontId="18" fillId="2" borderId="2" applyAlignment="1" pivotButton="0" quotePrefix="0" xfId="0">
      <alignment horizontal="right" vertical="top"/>
    </xf>
    <xf numFmtId="0" fontId="60" fillId="2" borderId="2" applyAlignment="1" pivotButton="0" quotePrefix="0" xfId="0">
      <alignment wrapText="1"/>
    </xf>
    <xf numFmtId="0" fontId="12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19" fillId="2" borderId="8" applyAlignment="1" pivotButton="0" quotePrefix="0" xfId="0">
      <alignment horizontal="center" wrapText="1"/>
    </xf>
    <xf numFmtId="0" fontId="0" fillId="2" borderId="8" applyAlignment="1" pivotButton="0" quotePrefix="0" xfId="0">
      <alignment wrapText="1"/>
    </xf>
    <xf numFmtId="0" fontId="17" fillId="2" borderId="2" applyAlignment="1" pivotButton="0" quotePrefix="0" xfId="0">
      <alignment horizontal="center" wrapText="1"/>
    </xf>
    <xf numFmtId="0" fontId="15" fillId="2" borderId="2" applyAlignment="1" pivotButton="0" quotePrefix="0" xfId="0">
      <alignment wrapText="1"/>
    </xf>
    <xf numFmtId="0" fontId="13" fillId="2" borderId="2" applyAlignment="1" pivotButton="0" quotePrefix="0" xfId="0">
      <alignment horizontal="right" wrapText="1"/>
    </xf>
    <xf numFmtId="164" fontId="0" fillId="2" borderId="2" applyAlignment="1" pivotButton="0" quotePrefix="0" xfId="1">
      <alignment wrapText="1"/>
    </xf>
    <xf numFmtId="164" fontId="0" fillId="0" borderId="0" applyAlignment="1" pivotButton="0" quotePrefix="0" xfId="1">
      <alignment vertical="center"/>
    </xf>
    <xf numFmtId="164" fontId="18" fillId="2" borderId="0" applyAlignment="1" pivotButton="0" quotePrefix="0" xfId="1">
      <alignment horizontal="right" vertical="center"/>
    </xf>
    <xf numFmtId="164" fontId="12" fillId="2" borderId="2" applyAlignment="1" pivotButton="0" quotePrefix="0" xfId="1">
      <alignment horizontal="right" wrapText="1"/>
    </xf>
    <xf numFmtId="164" fontId="11" fillId="2" borderId="2" applyAlignment="1" pivotButton="0" quotePrefix="0" xfId="1">
      <alignment horizontal="right" wrapText="1"/>
    </xf>
    <xf numFmtId="0" fontId="1" fillId="0" borderId="0" pivotButton="0" quotePrefix="0" xfId="2"/>
    <xf numFmtId="164" fontId="30" fillId="0" borderId="22" applyAlignment="1" pivotButton="0" quotePrefix="0" xfId="1">
      <alignment horizontal="center"/>
    </xf>
    <xf numFmtId="164" fontId="10" fillId="0" borderId="33" applyAlignment="1" pivotButton="0" quotePrefix="0" xfId="1">
      <alignment horizontal="center" vertical="center" wrapText="1"/>
    </xf>
    <xf numFmtId="0" fontId="46" fillId="0" borderId="29" applyAlignment="1" pivotButton="0" quotePrefix="0" xfId="0">
      <alignment horizontal="left" vertical="top"/>
    </xf>
    <xf numFmtId="0" fontId="46" fillId="0" borderId="25" applyAlignment="1" pivotButton="0" quotePrefix="0" xfId="0">
      <alignment horizontal="left" vertical="top"/>
    </xf>
    <xf numFmtId="0" fontId="46" fillId="0" borderId="26" applyAlignment="1" pivotButton="0" quotePrefix="0" xfId="0">
      <alignment horizontal="left" vertical="top"/>
    </xf>
    <xf numFmtId="3" fontId="46" fillId="0" borderId="1" applyAlignment="1" pivotButton="0" quotePrefix="0" xfId="1">
      <alignment horizontal="center" vertical="top"/>
    </xf>
    <xf numFmtId="0" fontId="46" fillId="0" borderId="1" applyAlignment="1" pivotButton="0" quotePrefix="0" xfId="0">
      <alignment horizontal="center" vertical="top"/>
    </xf>
    <xf numFmtId="3" fontId="46" fillId="0" borderId="27" applyAlignment="1" pivotButton="0" quotePrefix="0" xfId="0">
      <alignment horizontal="center" vertical="center"/>
    </xf>
    <xf numFmtId="3" fontId="46" fillId="0" borderId="28" applyAlignment="1" pivotButton="0" quotePrefix="0" xfId="0">
      <alignment horizontal="center" vertical="center"/>
    </xf>
    <xf numFmtId="14" fontId="46" fillId="0" borderId="29" applyAlignment="1" pivotButton="0" quotePrefix="0" xfId="0">
      <alignment horizontal="center" vertical="top"/>
    </xf>
    <xf numFmtId="14" fontId="46" fillId="0" borderId="25" applyAlignment="1" pivotButton="0" quotePrefix="0" xfId="0">
      <alignment horizontal="center" vertical="top"/>
    </xf>
    <xf numFmtId="0" fontId="45" fillId="0" borderId="0" applyAlignment="1" pivotButton="0" quotePrefix="0" xfId="0">
      <alignment horizontal="center" vertical="top"/>
    </xf>
    <xf numFmtId="0" fontId="46" fillId="0" borderId="0" applyAlignment="1" pivotButton="0" quotePrefix="0" xfId="0">
      <alignment horizontal="center" vertical="top"/>
    </xf>
    <xf numFmtId="0" fontId="47" fillId="0" borderId="0" applyAlignment="1" pivotButton="0" quotePrefix="0" xfId="0">
      <alignment horizontal="center" vertical="top" wrapText="1" readingOrder="1"/>
    </xf>
    <xf numFmtId="0" fontId="48" fillId="0" borderId="0" applyAlignment="1" pivotButton="0" quotePrefix="0" xfId="0">
      <alignment horizontal="center" vertical="top"/>
    </xf>
    <xf numFmtId="0" fontId="46" fillId="0" borderId="27" applyAlignment="1" pivotButton="0" quotePrefix="0" xfId="0">
      <alignment horizontal="center" vertical="center"/>
    </xf>
    <xf numFmtId="0" fontId="46" fillId="0" borderId="28" applyAlignment="1" pivotButton="0" quotePrefix="0" xfId="0">
      <alignment horizontal="center" vertical="center"/>
    </xf>
    <xf numFmtId="3" fontId="46" fillId="0" borderId="27" applyAlignment="1" pivotButton="0" quotePrefix="0" xfId="1">
      <alignment horizontal="center" vertical="center"/>
    </xf>
    <xf numFmtId="3" fontId="46" fillId="0" borderId="28" applyAlignment="1" pivotButton="0" quotePrefix="0" xfId="1">
      <alignment horizontal="center" vertical="center"/>
    </xf>
    <xf numFmtId="3" fontId="46" fillId="0" borderId="27" applyAlignment="1" pivotButton="0" quotePrefix="0" xfId="1">
      <alignment horizontal="center" vertical="center" wrapText="1"/>
    </xf>
    <xf numFmtId="3" fontId="46" fillId="0" borderId="28" applyAlignment="1" pivotButton="0" quotePrefix="0" xfId="1">
      <alignment horizontal="center" vertical="center" wrapText="1"/>
    </xf>
    <xf numFmtId="3" fontId="46" fillId="0" borderId="1" applyAlignment="1" pivotButton="0" quotePrefix="0" xfId="1">
      <alignment horizontal="center" vertical="center"/>
    </xf>
    <xf numFmtId="0" fontId="14" fillId="2" borderId="5" applyAlignment="1" pivotButton="0" quotePrefix="0" xfId="0">
      <alignment horizontal="center" wrapText="1"/>
    </xf>
    <xf numFmtId="0" fontId="14" fillId="2" borderId="4" applyAlignment="1" pivotButton="0" quotePrefix="0" xfId="0">
      <alignment horizontal="center" wrapText="1"/>
    </xf>
    <xf numFmtId="0" fontId="14" fillId="2" borderId="3" applyAlignment="1" pivotButton="0" quotePrefix="0" xfId="0">
      <alignment horizontal="center" wrapText="1"/>
    </xf>
    <xf numFmtId="0" fontId="14" fillId="2" borderId="5" applyAlignment="1" pivotButton="0" quotePrefix="0" xfId="0">
      <alignment wrapText="1"/>
    </xf>
    <xf numFmtId="0" fontId="14" fillId="2" borderId="4" applyAlignment="1" pivotButton="0" quotePrefix="0" xfId="0">
      <alignment wrapText="1"/>
    </xf>
    <xf numFmtId="0" fontId="14" fillId="2" borderId="3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14" fillId="2" borderId="15" applyAlignment="1" pivotButton="0" quotePrefix="0" xfId="0">
      <alignment wrapText="1"/>
    </xf>
    <xf numFmtId="0" fontId="0" fillId="2" borderId="15" applyAlignment="1" pivotButton="0" quotePrefix="0" xfId="0">
      <alignment wrapText="1"/>
    </xf>
    <xf numFmtId="0" fontId="14" fillId="2" borderId="0" applyAlignment="1" pivotButton="0" quotePrefix="0" xfId="0">
      <alignment horizontal="center" wrapText="1"/>
    </xf>
    <xf numFmtId="0" fontId="16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1" fillId="2" borderId="31" applyAlignment="1" pivotButton="0" quotePrefix="0" xfId="0">
      <alignment horizontal="center" wrapText="1"/>
    </xf>
    <xf numFmtId="0" fontId="11" fillId="2" borderId="15" applyAlignment="1" pivotButton="0" quotePrefix="0" xfId="0">
      <alignment horizontal="center" wrapText="1"/>
    </xf>
    <xf numFmtId="0" fontId="11" fillId="2" borderId="20" applyAlignment="1" pivotButton="0" quotePrefix="0" xfId="0">
      <alignment horizontal="center" wrapText="1"/>
    </xf>
    <xf numFmtId="0" fontId="0" fillId="2" borderId="16" applyAlignment="1" pivotButton="0" quotePrefix="0" xfId="0">
      <alignment wrapText="1"/>
    </xf>
    <xf numFmtId="0" fontId="12" fillId="2" borderId="16" applyAlignment="1" pivotButton="0" quotePrefix="0" xfId="0">
      <alignment horizontal="center" wrapText="1"/>
    </xf>
    <xf numFmtId="0" fontId="12" fillId="2" borderId="0" applyAlignment="1" pivotButton="0" quotePrefix="0" xfId="0">
      <alignment horizontal="center" wrapText="1"/>
    </xf>
    <xf numFmtId="0" fontId="12" fillId="2" borderId="19" applyAlignment="1" pivotButton="0" quotePrefix="0" xfId="0">
      <alignment horizontal="center" wrapText="1"/>
    </xf>
    <xf numFmtId="0" fontId="11" fillId="2" borderId="16" applyAlignment="1" pivotButton="0" quotePrefix="0" xfId="0">
      <alignment horizontal="center" wrapText="1"/>
    </xf>
    <xf numFmtId="0" fontId="11" fillId="2" borderId="0" applyAlignment="1" pivotButton="0" quotePrefix="0" xfId="0">
      <alignment horizontal="center" wrapText="1"/>
    </xf>
    <xf numFmtId="0" fontId="11" fillId="2" borderId="19" applyAlignment="1" pivotButton="0" quotePrefix="0" xfId="0">
      <alignment horizontal="center" wrapText="1"/>
    </xf>
    <xf numFmtId="0" fontId="11" fillId="2" borderId="32" applyAlignment="1" pivotButton="0" quotePrefix="0" xfId="0">
      <alignment horizontal="center" wrapText="1"/>
    </xf>
    <xf numFmtId="0" fontId="11" fillId="2" borderId="18" applyAlignment="1" pivotButton="0" quotePrefix="0" xfId="0">
      <alignment horizontal="center" wrapText="1"/>
    </xf>
    <xf numFmtId="0" fontId="11" fillId="2" borderId="17" applyAlignment="1" pivotButton="0" quotePrefix="0" xfId="0">
      <alignment horizontal="center" wrapText="1"/>
    </xf>
    <xf numFmtId="0" fontId="19" fillId="2" borderId="0" applyAlignment="1" pivotButton="0" quotePrefix="0" xfId="0">
      <alignment horizontal="center" wrapText="1"/>
    </xf>
    <xf numFmtId="0" fontId="18" fillId="2" borderId="0" applyAlignment="1" pivotButton="0" quotePrefix="0" xfId="0">
      <alignment horizontal="center" wrapText="1"/>
    </xf>
    <xf numFmtId="0" fontId="14" fillId="2" borderId="7" applyAlignment="1" pivotButton="0" quotePrefix="0" xfId="0">
      <alignment horizontal="center" wrapText="1"/>
    </xf>
    <xf numFmtId="0" fontId="14" fillId="2" borderId="6" applyAlignment="1" pivotButton="0" quotePrefix="0" xfId="0">
      <alignment horizontal="center" wrapText="1"/>
    </xf>
    <xf numFmtId="0" fontId="23" fillId="2" borderId="0" applyAlignment="1" pivotButton="0" quotePrefix="0" xfId="0">
      <alignment wrapText="1"/>
    </xf>
    <xf numFmtId="0" fontId="12" fillId="2" borderId="5" applyAlignment="1" pivotButton="0" quotePrefix="0" xfId="0">
      <alignment horizontal="center" wrapText="1"/>
    </xf>
    <xf numFmtId="0" fontId="12" fillId="2" borderId="4" applyAlignment="1" pivotButton="0" quotePrefix="0" xfId="0">
      <alignment horizontal="center" wrapText="1"/>
    </xf>
    <xf numFmtId="0" fontId="12" fillId="2" borderId="3" applyAlignment="1" pivotButton="0" quotePrefix="0" xfId="0">
      <alignment horizontal="center" wrapText="1"/>
    </xf>
    <xf numFmtId="0" fontId="21" fillId="0" borderId="0" applyAlignment="1" pivotButton="0" quotePrefix="0" xfId="0">
      <alignment horizontal="right" wrapText="1"/>
    </xf>
    <xf numFmtId="0" fontId="0" fillId="0" borderId="0" pivotButton="0" quotePrefix="0" xfId="0"/>
    <xf numFmtId="164" fontId="12" fillId="8" borderId="7" applyAlignment="1" pivotButton="0" quotePrefix="0" xfId="1">
      <alignment horizontal="center" wrapText="1"/>
    </xf>
    <xf numFmtId="164" fontId="12" fillId="8" borderId="6" applyAlignment="1" pivotButton="0" quotePrefix="0" xfId="1">
      <alignment horizontal="center" wrapText="1"/>
    </xf>
    <xf numFmtId="0" fontId="12" fillId="8" borderId="7" applyAlignment="1" pivotButton="0" quotePrefix="0" xfId="0">
      <alignment horizontal="center" wrapText="1"/>
    </xf>
    <xf numFmtId="0" fontId="12" fillId="8" borderId="6" applyAlignment="1" pivotButton="0" quotePrefix="0" xfId="0">
      <alignment horizontal="center" wrapText="1"/>
    </xf>
    <xf numFmtId="0" fontId="12" fillId="8" borderId="5" applyAlignment="1" pivotButton="0" quotePrefix="0" xfId="0">
      <alignment horizontal="center" wrapText="1"/>
    </xf>
    <xf numFmtId="0" fontId="12" fillId="8" borderId="4" applyAlignment="1" pivotButton="0" quotePrefix="0" xfId="0">
      <alignment horizontal="center" wrapText="1"/>
    </xf>
    <xf numFmtId="0" fontId="12" fillId="8" borderId="3" applyAlignment="1" pivotButton="0" quotePrefix="0" xfId="0">
      <alignment horizontal="center" wrapText="1"/>
    </xf>
    <xf numFmtId="0" fontId="38" fillId="2" borderId="5" applyAlignment="1" pivotButton="0" quotePrefix="0" xfId="0">
      <alignment horizontal="left" wrapText="1" indent="1"/>
    </xf>
    <xf numFmtId="0" fontId="38" fillId="2" borderId="4" applyAlignment="1" pivotButton="0" quotePrefix="0" xfId="0">
      <alignment horizontal="left" wrapText="1" indent="1"/>
    </xf>
    <xf numFmtId="0" fontId="38" fillId="2" borderId="3" applyAlignment="1" pivotButton="0" quotePrefix="0" xfId="0">
      <alignment horizontal="left" wrapText="1" indent="1"/>
    </xf>
    <xf numFmtId="0" fontId="11" fillId="2" borderId="7" applyAlignment="1" pivotButton="0" quotePrefix="0" xfId="0">
      <alignment horizontal="left" wrapText="1" indent="1"/>
    </xf>
    <xf numFmtId="0" fontId="11" fillId="2" borderId="6" applyAlignment="1" pivotButton="0" quotePrefix="0" xfId="0">
      <alignment horizontal="left" wrapText="1" indent="1"/>
    </xf>
    <xf numFmtId="0" fontId="38" fillId="2" borderId="5" applyAlignment="1" pivotButton="0" quotePrefix="0" xfId="0">
      <alignment horizontal="justify" wrapText="1"/>
    </xf>
    <xf numFmtId="0" fontId="38" fillId="2" borderId="4" applyAlignment="1" pivotButton="0" quotePrefix="0" xfId="0">
      <alignment horizontal="justify" wrapText="1"/>
    </xf>
    <xf numFmtId="0" fontId="38" fillId="2" borderId="3" applyAlignment="1" pivotButton="0" quotePrefix="0" xfId="0">
      <alignment horizontal="justify" wrapText="1"/>
    </xf>
    <xf numFmtId="0" fontId="0" fillId="2" borderId="7" applyAlignment="1" pivotButton="0" quotePrefix="0" xfId="0">
      <alignment wrapText="1"/>
    </xf>
    <xf numFmtId="0" fontId="0" fillId="2" borderId="6" applyAlignment="1" pivotButton="0" quotePrefix="0" xfId="0">
      <alignment wrapText="1"/>
    </xf>
    <xf numFmtId="0" fontId="11" fillId="2" borderId="7" applyAlignment="1" pivotButton="0" quotePrefix="0" xfId="0">
      <alignment wrapText="1"/>
    </xf>
    <xf numFmtId="0" fontId="11" fillId="2" borderId="6" applyAlignment="1" pivotButton="0" quotePrefix="0" xfId="0">
      <alignment wrapText="1"/>
    </xf>
    <xf numFmtId="14" fontId="11" fillId="2" borderId="7" applyAlignment="1" pivotButton="0" quotePrefix="0" xfId="0">
      <alignment horizontal="left" wrapText="1" indent="1"/>
    </xf>
    <xf numFmtId="14" fontId="11" fillId="2" borderId="6" applyAlignment="1" pivotButton="0" quotePrefix="0" xfId="0">
      <alignment horizontal="left" wrapText="1" indent="1"/>
    </xf>
    <xf numFmtId="0" fontId="12" fillId="2" borderId="5" applyAlignment="1" pivotButton="0" quotePrefix="0" xfId="0">
      <alignment horizontal="justify" wrapText="1"/>
    </xf>
    <xf numFmtId="0" fontId="12" fillId="2" borderId="4" applyAlignment="1" pivotButton="0" quotePrefix="0" xfId="0">
      <alignment horizontal="justify" wrapText="1"/>
    </xf>
    <xf numFmtId="0" fontId="12" fillId="2" borderId="3" applyAlignment="1" pivotButton="0" quotePrefix="0" xfId="0">
      <alignment horizontal="justify" wrapText="1"/>
    </xf>
    <xf numFmtId="0" fontId="0" fillId="2" borderId="4" applyAlignment="1" pivotButton="0" quotePrefix="0" xfId="0">
      <alignment wrapText="1"/>
    </xf>
    <xf numFmtId="0" fontId="11" fillId="2" borderId="5" applyAlignment="1" pivotButton="0" quotePrefix="0" xfId="0">
      <alignment horizontal="justify" wrapText="1"/>
    </xf>
    <xf numFmtId="0" fontId="11" fillId="2" borderId="4" applyAlignment="1" pivotButton="0" quotePrefix="0" xfId="0">
      <alignment horizontal="justify" wrapText="1"/>
    </xf>
    <xf numFmtId="0" fontId="11" fillId="2" borderId="3" applyAlignment="1" pivotButton="0" quotePrefix="0" xfId="0">
      <alignment horizontal="justify" wrapText="1"/>
    </xf>
    <xf numFmtId="0" fontId="38" fillId="13" borderId="7" applyAlignment="1" pivotButton="0" quotePrefix="0" xfId="0">
      <alignment horizontal="center" wrapText="1"/>
    </xf>
    <xf numFmtId="0" fontId="38" fillId="13" borderId="21" applyAlignment="1" pivotButton="0" quotePrefix="0" xfId="0">
      <alignment horizontal="center" wrapText="1"/>
    </xf>
    <xf numFmtId="0" fontId="38" fillId="13" borderId="6" applyAlignment="1" pivotButton="0" quotePrefix="0" xfId="0">
      <alignment horizontal="center" wrapText="1"/>
    </xf>
    <xf numFmtId="0" fontId="12" fillId="0" borderId="0" applyAlignment="1" pivotButton="0" quotePrefix="0" xfId="0">
      <alignment horizontal="justify" wrapText="1"/>
    </xf>
    <xf numFmtId="0" fontId="19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wrapText="1"/>
    </xf>
    <xf numFmtId="0" fontId="38" fillId="13" borderId="5" applyAlignment="1" pivotButton="0" quotePrefix="0" xfId="0">
      <alignment horizontal="center" wrapText="1"/>
    </xf>
    <xf numFmtId="0" fontId="38" fillId="13" borderId="4" applyAlignment="1" pivotButton="0" quotePrefix="0" xfId="0">
      <alignment horizontal="center" wrapText="1"/>
    </xf>
    <xf numFmtId="0" fontId="38" fillId="13" borderId="3" applyAlignment="1" pivotButton="0" quotePrefix="0" xfId="0">
      <alignment horizontal="center" wrapText="1"/>
    </xf>
    <xf numFmtId="0" fontId="13" fillId="2" borderId="0" applyAlignment="1" pivotButton="0" quotePrefix="0" xfId="0">
      <alignment wrapText="1"/>
    </xf>
    <xf numFmtId="0" fontId="11" fillId="2" borderId="14" applyAlignment="1" pivotButton="0" quotePrefix="0" xfId="0">
      <alignment horizontal="center" wrapText="1"/>
    </xf>
    <xf numFmtId="0" fontId="11" fillId="2" borderId="13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1" applyAlignment="1" pivotButton="0" quotePrefix="0" xfId="0">
      <alignment horizontal="center" wrapText="1"/>
    </xf>
    <xf numFmtId="0" fontId="11" fillId="2" borderId="12" applyAlignment="1" pivotButton="0" quotePrefix="0" xfId="0">
      <alignment horizontal="center" wrapText="1"/>
    </xf>
    <xf numFmtId="0" fontId="11" fillId="2" borderId="11" applyAlignment="1" pivotButton="0" quotePrefix="0" xfId="0">
      <alignment horizontal="center" wrapText="1"/>
    </xf>
    <xf numFmtId="0" fontId="11" fillId="2" borderId="10" applyAlignment="1" pivotButton="0" quotePrefix="0" xfId="0">
      <alignment horizontal="center" wrapText="1"/>
    </xf>
    <xf numFmtId="0" fontId="11" fillId="2" borderId="9" applyAlignment="1" pivotButton="0" quotePrefix="0" xfId="0">
      <alignment horizontal="center" wrapText="1"/>
    </xf>
    <xf numFmtId="0" fontId="51" fillId="0" borderId="0" applyAlignment="1" pivotButton="0" quotePrefix="0" xfId="0">
      <alignment horizontal="center"/>
    </xf>
    <xf numFmtId="0" fontId="52" fillId="0" borderId="0" applyAlignment="1" pivotButton="0" quotePrefix="0" xfId="0">
      <alignment horizontal="center" vertical="center" wrapText="1"/>
    </xf>
    <xf numFmtId="0" fontId="52" fillId="0" borderId="22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55" fillId="0" borderId="1" applyAlignment="1" pivotButton="0" quotePrefix="0" xfId="0">
      <alignment horizontal="center"/>
    </xf>
    <xf numFmtId="0" fontId="41" fillId="0" borderId="3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64" fontId="30" fillId="0" borderId="0" pivotButton="0" quotePrefix="0" xfId="1"/>
    <xf numFmtId="164" fontId="30" fillId="10" borderId="0" pivotButton="0" quotePrefix="0" xfId="1"/>
    <xf numFmtId="164" fontId="30" fillId="14" borderId="0" pivotButton="0" quotePrefix="0" xfId="1"/>
    <xf numFmtId="164" fontId="30" fillId="3" borderId="0" pivotButton="0" quotePrefix="0" xfId="1"/>
    <xf numFmtId="164" fontId="30" fillId="0" borderId="0" applyAlignment="1" pivotButton="0" quotePrefix="0" xfId="1">
      <alignment horizontal="center" vertical="center"/>
    </xf>
    <xf numFmtId="164" fontId="30" fillId="0" borderId="1" pivotButton="0" quotePrefix="0" xfId="1"/>
    <xf numFmtId="164" fontId="30" fillId="0" borderId="0" pivotButton="0" quotePrefix="0" xfId="5"/>
    <xf numFmtId="164" fontId="30" fillId="12" borderId="0" pivotButton="0" quotePrefix="0" xfId="1"/>
    <xf numFmtId="164" fontId="32" fillId="14" borderId="1" pivotButton="0" quotePrefix="0" xfId="1"/>
    <xf numFmtId="164" fontId="32" fillId="19" borderId="1" pivotButton="0" quotePrefix="0" xfId="1"/>
    <xf numFmtId="164" fontId="30" fillId="14" borderId="1" pivotButton="0" quotePrefix="0" xfId="1"/>
    <xf numFmtId="164" fontId="30" fillId="18" borderId="0" pivotButton="0" quotePrefix="0" xfId="1"/>
    <xf numFmtId="164" fontId="30" fillId="19" borderId="1" pivotButton="0" quotePrefix="0" xfId="1"/>
    <xf numFmtId="164" fontId="30" fillId="3" borderId="1" pivotButton="0" quotePrefix="0" xfId="1"/>
    <xf numFmtId="164" fontId="34" fillId="0" borderId="1" pivotButton="0" quotePrefix="0" xfId="1"/>
    <xf numFmtId="164" fontId="30" fillId="11" borderId="0" pivotButton="0" quotePrefix="0" xfId="1"/>
    <xf numFmtId="164" fontId="34" fillId="0" borderId="1" applyAlignment="1" pivotButton="0" quotePrefix="0" xfId="1">
      <alignment horizontal="right"/>
    </xf>
    <xf numFmtId="164" fontId="10" fillId="0" borderId="33" applyAlignment="1" pivotButton="0" quotePrefix="0" xfId="1">
      <alignment horizontal="center" vertical="center" wrapText="1"/>
    </xf>
    <xf numFmtId="164" fontId="30" fillId="0" borderId="1" applyAlignment="1" pivotButton="0" quotePrefix="0" xfId="1">
      <alignment horizontal="left"/>
    </xf>
    <xf numFmtId="0" fontId="0" fillId="0" borderId="33" pivotButton="0" quotePrefix="0" xfId="0"/>
    <xf numFmtId="164" fontId="30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164" fontId="34" fillId="0" borderId="0" applyAlignment="1" pivotButton="0" quotePrefix="0" xfId="1">
      <alignment horizontal="right"/>
    </xf>
    <xf numFmtId="164" fontId="34" fillId="0" borderId="0" pivotButton="0" quotePrefix="0" xfId="1"/>
    <xf numFmtId="164" fontId="30" fillId="16" borderId="0" pivotButton="0" quotePrefix="0" xfId="1"/>
    <xf numFmtId="164" fontId="30" fillId="9" borderId="0" pivotButton="0" quotePrefix="0" xfId="1"/>
    <xf numFmtId="164" fontId="36" fillId="0" borderId="0" pivotButton="0" quotePrefix="0" xfId="1"/>
    <xf numFmtId="164" fontId="30" fillId="0" borderId="22" applyAlignment="1" pivotButton="0" quotePrefix="0" xfId="1">
      <alignment horizontal="left"/>
    </xf>
    <xf numFmtId="164" fontId="30" fillId="0" borderId="22" applyAlignment="1" pivotButton="0" quotePrefix="0" xfId="1">
      <alignment horizontal="center"/>
    </xf>
    <xf numFmtId="0" fontId="0" fillId="0" borderId="22" pivotButton="0" quotePrefix="0" xfId="0"/>
    <xf numFmtId="164" fontId="32" fillId="18" borderId="23" pivotButton="0" quotePrefix="0" xfId="1"/>
    <xf numFmtId="164" fontId="30" fillId="12" borderId="23" pivotButton="0" quotePrefix="0" xfId="1"/>
    <xf numFmtId="164" fontId="32" fillId="0" borderId="0" pivotButton="0" quotePrefix="0" xfId="1"/>
    <xf numFmtId="164" fontId="30" fillId="12" borderId="0" applyAlignment="1" pivotButton="0" quotePrefix="0" xfId="1">
      <alignment horizontal="right"/>
    </xf>
    <xf numFmtId="164" fontId="30" fillId="0" borderId="0" applyAlignment="1" pivotButton="0" quotePrefix="0" xfId="1">
      <alignment horizontal="right"/>
    </xf>
    <xf numFmtId="164" fontId="30" fillId="4" borderId="0" pivotButton="0" quotePrefix="0" xfId="1"/>
    <xf numFmtId="164" fontId="35" fillId="0" borderId="24" pivotButton="0" quotePrefix="0" xfId="1"/>
    <xf numFmtId="164" fontId="34" fillId="0" borderId="24" pivotButton="0" quotePrefix="0" xfId="1"/>
    <xf numFmtId="164" fontId="30" fillId="0" borderId="24" pivotButton="0" quotePrefix="0" xfId="1"/>
    <xf numFmtId="164" fontId="30" fillId="16" borderId="24" pivotButton="0" quotePrefix="0" xfId="1"/>
    <xf numFmtId="164" fontId="30" fillId="3" borderId="24" pivotButton="0" quotePrefix="0" xfId="1"/>
    <xf numFmtId="164" fontId="30" fillId="0" borderId="26" pivotButton="0" quotePrefix="0" xfId="1"/>
    <xf numFmtId="164" fontId="30" fillId="0" borderId="25" pivotButton="0" quotePrefix="0" xfId="1"/>
    <xf numFmtId="164" fontId="30" fillId="14" borderId="23" pivotButton="0" quotePrefix="0" xfId="1"/>
    <xf numFmtId="164" fontId="30" fillId="9" borderId="23" pivotButton="0" quotePrefix="0" xfId="1"/>
    <xf numFmtId="164" fontId="32" fillId="3" borderId="0" pivotButton="0" quotePrefix="0" xfId="1"/>
    <xf numFmtId="164" fontId="30" fillId="15" borderId="0" pivotButton="0" quotePrefix="0" xfId="1"/>
    <xf numFmtId="164" fontId="0" fillId="0" borderId="0" pivotButton="0" quotePrefix="0" xfId="5"/>
    <xf numFmtId="164" fontId="0" fillId="0" borderId="0" pivotButton="0" quotePrefix="0" xfId="1"/>
    <xf numFmtId="0" fontId="46" fillId="0" borderId="1" applyAlignment="1" pivotButton="0" quotePrefix="0" xfId="0">
      <alignment horizontal="center" vertical="center"/>
    </xf>
    <xf numFmtId="3" fontId="46" fillId="0" borderId="1" applyAlignment="1" pivotButton="0" quotePrefix="0" xfId="1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3" fontId="46" fillId="0" borderId="1" applyAlignment="1" pivotButton="0" quotePrefix="0" xfId="0">
      <alignment horizontal="center" vertical="center"/>
    </xf>
    <xf numFmtId="0" fontId="0" fillId="0" borderId="28" pivotButton="0" quotePrefix="0" xfId="0"/>
    <xf numFmtId="0" fontId="46" fillId="0" borderId="1" applyAlignment="1" pivotButton="0" quotePrefix="0" xfId="0">
      <alignment horizontal="left" vertical="top"/>
    </xf>
    <xf numFmtId="167" fontId="45" fillId="0" borderId="1" applyAlignment="1" pivotButton="0" quotePrefix="0" xfId="0">
      <alignment horizontal="center" vertical="top"/>
    </xf>
    <xf numFmtId="164" fontId="0" fillId="3" borderId="0" pivotButton="0" quotePrefix="0" xfId="5"/>
    <xf numFmtId="164" fontId="0" fillId="3" borderId="0" pivotButton="0" quotePrefix="0" xfId="1"/>
    <xf numFmtId="164" fontId="0" fillId="9" borderId="0" pivotButton="0" quotePrefix="0" xfId="5"/>
    <xf numFmtId="164" fontId="0" fillId="12" borderId="0" pivotButton="0" quotePrefix="0" xfId="5"/>
    <xf numFmtId="164" fontId="0" fillId="12" borderId="0" pivotButton="0" quotePrefix="0" xfId="1"/>
    <xf numFmtId="164" fontId="26" fillId="0" borderId="0" pivotButton="0" quotePrefix="0" xfId="1"/>
    <xf numFmtId="164" fontId="0" fillId="4" borderId="0" pivotButton="0" quotePrefix="0" xfId="1"/>
    <xf numFmtId="164" fontId="0" fillId="10" borderId="0" pivotButton="0" quotePrefix="0" xfId="1"/>
    <xf numFmtId="164" fontId="31" fillId="0" borderId="1" pivotButton="0" quotePrefix="0" xfId="1"/>
    <xf numFmtId="164" fontId="31" fillId="0" borderId="0" pivotButton="0" quotePrefix="0" xfId="1"/>
    <xf numFmtId="164" fontId="31" fillId="0" borderId="0" pivotButton="0" quotePrefix="0" xfId="2"/>
    <xf numFmtId="164" fontId="31" fillId="3" borderId="1" pivotButton="0" quotePrefix="0" xfId="6"/>
    <xf numFmtId="169" fontId="0" fillId="0" borderId="0" pivotButton="0" quotePrefix="0" xfId="0"/>
    <xf numFmtId="164" fontId="26" fillId="0" borderId="0" pivotButton="0" quotePrefix="0" xfId="4"/>
    <xf numFmtId="165" fontId="26" fillId="0" borderId="0" pivotButton="0" quotePrefix="0" xfId="4"/>
    <xf numFmtId="164" fontId="26" fillId="3" borderId="0" pivotButton="0" quotePrefix="0" xfId="1"/>
    <xf numFmtId="0" fontId="11" fillId="2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20" pivotButton="0" quotePrefix="0" xfId="0"/>
    <xf numFmtId="0" fontId="12" fillId="2" borderId="21" applyAlignment="1" pivotButton="0" quotePrefix="0" xfId="0">
      <alignment horizontal="center" wrapText="1"/>
    </xf>
    <xf numFmtId="0" fontId="0" fillId="0" borderId="19" pivotButton="0" quotePrefix="0" xfId="0"/>
    <xf numFmtId="0" fontId="11" fillId="2" borderId="21" applyAlignment="1" pivotButton="0" quotePrefix="0" xfId="0">
      <alignment horizontal="center" wrapText="1"/>
    </xf>
    <xf numFmtId="0" fontId="11" fillId="2" borderId="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7" pivotButton="0" quotePrefix="0" xfId="0"/>
    <xf numFmtId="164" fontId="31" fillId="4" borderId="1" pivotButton="0" quotePrefix="0" xfId="6"/>
    <xf numFmtId="164" fontId="31" fillId="17" borderId="1" pivotButton="0" quotePrefix="0" xfId="6"/>
    <xf numFmtId="164" fontId="11" fillId="12" borderId="0" pivotButton="0" quotePrefix="0" xfId="0"/>
    <xf numFmtId="164" fontId="11" fillId="9" borderId="0" pivotButton="0" quotePrefix="0" xfId="0"/>
    <xf numFmtId="164" fontId="23" fillId="2" borderId="0" pivotButton="0" quotePrefix="0" xfId="1"/>
    <xf numFmtId="164" fontId="0" fillId="2" borderId="0" pivotButton="0" quotePrefix="0" xfId="1"/>
    <xf numFmtId="164" fontId="12" fillId="2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14" fillId="2" borderId="2" applyAlignment="1" pivotButton="0" quotePrefix="0" xfId="0">
      <alignment wrapText="1"/>
    </xf>
    <xf numFmtId="166" fontId="12" fillId="2" borderId="4" pivotButton="0" quotePrefix="0" xfId="0"/>
    <xf numFmtId="164" fontId="31" fillId="4" borderId="0" pivotButton="0" quotePrefix="0" xfId="6"/>
    <xf numFmtId="164" fontId="12" fillId="8" borderId="2" applyAlignment="1" pivotButton="0" quotePrefix="0" xfId="1">
      <alignment horizontal="center" wrapText="1"/>
    </xf>
    <xf numFmtId="164" fontId="12" fillId="2" borderId="2" applyAlignment="1" pivotButton="0" quotePrefix="0" xfId="1">
      <alignment horizontal="right" wrapText="1"/>
    </xf>
    <xf numFmtId="164" fontId="0" fillId="2" borderId="2" applyAlignment="1" pivotButton="0" quotePrefix="0" xfId="1">
      <alignment wrapText="1"/>
    </xf>
    <xf numFmtId="164" fontId="11" fillId="2" borderId="2" applyAlignment="1" pivotButton="0" quotePrefix="0" xfId="1">
      <alignment horizontal="right" wrapText="1"/>
    </xf>
    <xf numFmtId="164" fontId="31" fillId="0" borderId="0" pivotButton="0" quotePrefix="0" xfId="6"/>
    <xf numFmtId="164" fontId="33" fillId="3" borderId="0" pivotButton="0" quotePrefix="0" xfId="1"/>
    <xf numFmtId="164" fontId="33" fillId="0" borderId="1" pivotButton="0" quotePrefix="0" xfId="1"/>
    <xf numFmtId="164" fontId="33" fillId="0" borderId="0" pivotButton="0" quotePrefix="0" xfId="1"/>
    <xf numFmtId="164" fontId="33" fillId="4" borderId="1" pivotButton="0" quotePrefix="0" xfId="1"/>
    <xf numFmtId="164" fontId="33" fillId="3" borderId="1" pivotButton="0" quotePrefix="0" xfId="1"/>
    <xf numFmtId="0" fontId="38" fillId="13" borderId="2" applyAlignment="1" pivotButton="0" quotePrefix="0" xfId="0">
      <alignment horizontal="center" wrapText="1"/>
    </xf>
    <xf numFmtId="0" fontId="0" fillId="0" borderId="21" pivotButton="0" quotePrefix="0" xfId="0"/>
    <xf numFmtId="164" fontId="11" fillId="2" borderId="7" applyAlignment="1" pivotButton="0" quotePrefix="0" xfId="1">
      <alignment horizontal="right"/>
    </xf>
    <xf numFmtId="0" fontId="12" fillId="2" borderId="2" applyAlignment="1" pivotButton="0" quotePrefix="0" xfId="0">
      <alignment horizontal="justify" wrapText="1"/>
    </xf>
    <xf numFmtId="0" fontId="11" fillId="2" borderId="2" applyAlignment="1" pivotButton="0" quotePrefix="0" xfId="0">
      <alignment horizontal="justify" wrapText="1"/>
    </xf>
    <xf numFmtId="14" fontId="11" fillId="2" borderId="2" applyAlignment="1" pivotButton="0" quotePrefix="0" xfId="0">
      <alignment horizontal="left" wrapText="1" indent="1"/>
    </xf>
    <xf numFmtId="0" fontId="11" fillId="2" borderId="2" applyAlignment="1" pivotButton="0" quotePrefix="0" xfId="0">
      <alignment horizontal="left" wrapText="1" indent="1"/>
    </xf>
    <xf numFmtId="0" fontId="38" fillId="2" borderId="2" applyAlignment="1" pivotButton="0" quotePrefix="0" xfId="0">
      <alignment horizontal="justify" wrapText="1"/>
    </xf>
    <xf numFmtId="0" fontId="38" fillId="2" borderId="2" applyAlignment="1" pivotButton="0" quotePrefix="0" xfId="0">
      <alignment horizontal="left" wrapText="1" indent="1"/>
    </xf>
    <xf numFmtId="0" fontId="11" fillId="2" borderId="35" applyAlignment="1" pivotButton="0" quotePrefix="0" xfId="0">
      <alignment horizontal="center" wrapText="1"/>
    </xf>
    <xf numFmtId="0" fontId="0" fillId="0" borderId="13" pivotButton="0" quotePrefix="0" xfId="0"/>
    <xf numFmtId="164" fontId="9" fillId="0" borderId="1" pivotButton="0" quotePrefix="0" xfId="1"/>
    <xf numFmtId="0" fontId="12" fillId="2" borderId="36" applyAlignment="1" pivotButton="0" quotePrefix="0" xfId="0">
      <alignment horizontal="center" wrapText="1"/>
    </xf>
    <xf numFmtId="0" fontId="0" fillId="0" borderId="11" pivotButton="0" quotePrefix="0" xfId="0"/>
    <xf numFmtId="0" fontId="11" fillId="2" borderId="36" applyAlignment="1" pivotButton="0" quotePrefix="0" xfId="0">
      <alignment horizontal="center" wrapText="1"/>
    </xf>
    <xf numFmtId="0" fontId="11" fillId="2" borderId="37" applyAlignment="1" pivotButton="0" quotePrefix="0" xfId="0">
      <alignment horizontal="center" wrapText="1"/>
    </xf>
    <xf numFmtId="0" fontId="0" fillId="0" borderId="9" pivotButton="0" quotePrefix="0" xfId="0"/>
    <xf numFmtId="164" fontId="9" fillId="4" borderId="0" pivotButton="0" quotePrefix="0" xfId="2"/>
    <xf numFmtId="164" fontId="9" fillId="3" borderId="0" pivotButton="0" quotePrefix="0" xfId="2"/>
    <xf numFmtId="164" fontId="18" fillId="2" borderId="0" applyAlignment="1" pivotButton="0" quotePrefix="0" xfId="1">
      <alignment horizontal="right" vertical="center"/>
    </xf>
    <xf numFmtId="164" fontId="0" fillId="0" borderId="0" applyAlignment="1" pivotButton="0" quotePrefix="0" xfId="1">
      <alignment vertical="center"/>
    </xf>
    <xf numFmtId="164" fontId="9" fillId="0" borderId="0" pivotButton="0" quotePrefix="0" xfId="1"/>
    <xf numFmtId="164" fontId="9" fillId="5" borderId="0" pivotButton="0" quotePrefix="0" xfId="2"/>
    <xf numFmtId="164" fontId="9" fillId="3" borderId="0" pivotButton="0" quotePrefix="0" xfId="1"/>
    <xf numFmtId="164" fontId="9" fillId="10" borderId="0" pivotButton="0" quotePrefix="0" xfId="1"/>
    <xf numFmtId="164" fontId="9" fillId="9" borderId="0" pivotButton="0" quotePrefix="0" xfId="1"/>
    <xf numFmtId="164" fontId="2" fillId="3" borderId="0" pivotButton="0" quotePrefix="0" xfId="1"/>
    <xf numFmtId="164" fontId="9" fillId="4" borderId="0" pivotButton="0" quotePrefix="0" xfId="1"/>
    <xf numFmtId="164" fontId="9" fillId="0" borderId="0" pivotButton="0" quotePrefix="0" xfId="2"/>
    <xf numFmtId="164" fontId="27" fillId="0" borderId="0" pivotButton="0" quotePrefix="0" xfId="1"/>
    <xf numFmtId="164" fontId="7" fillId="3" borderId="0" pivotButton="0" quotePrefix="0" xfId="1"/>
    <xf numFmtId="164" fontId="0" fillId="0" borderId="1" pivotButton="0" quotePrefix="0" xfId="1"/>
    <xf numFmtId="164" fontId="0" fillId="0" borderId="0" pivotButton="0" quotePrefix="0" xfId="0"/>
    <xf numFmtId="164" fontId="51" fillId="0" borderId="0" pivotButton="0" quotePrefix="0" xfId="1"/>
    <xf numFmtId="164" fontId="0" fillId="3" borderId="1" pivotButton="0" quotePrefix="0" xfId="1"/>
    <xf numFmtId="164" fontId="55" fillId="0" borderId="1" applyAlignment="1" pivotButton="0" quotePrefix="0" xfId="1">
      <alignment horizontal="center" vertical="center" wrapText="1"/>
    </xf>
    <xf numFmtId="164" fontId="55" fillId="0" borderId="1" applyAlignment="1" pivotButton="0" quotePrefix="0" xfId="1">
      <alignment horizontal="center" vertical="center"/>
    </xf>
    <xf numFmtId="168" fontId="57" fillId="0" borderId="1" pivotButton="0" quotePrefix="0" xfId="0"/>
    <xf numFmtId="164" fontId="58" fillId="2" borderId="1" applyAlignment="1" pivotButton="0" quotePrefix="0" xfId="1">
      <alignment horizontal="center" vertical="center" wrapText="1"/>
    </xf>
    <xf numFmtId="164" fontId="59" fillId="2" borderId="1" applyAlignment="1" pivotButton="0" quotePrefix="0" xfId="1">
      <alignment horizontal="center" vertical="center" wrapText="1"/>
    </xf>
    <xf numFmtId="0" fontId="0" fillId="0" borderId="34" pivotButton="0" quotePrefix="0" xfId="0"/>
    <xf numFmtId="164" fontId="56" fillId="0" borderId="1" pivotButton="0" quotePrefix="0" xfId="1"/>
    <xf numFmtId="164" fontId="0" fillId="10" borderId="0" pivotButton="0" quotePrefix="0" xfId="5"/>
    <xf numFmtId="164" fontId="55" fillId="0" borderId="1" applyAlignment="1" pivotButton="0" quotePrefix="0" xfId="1">
      <alignment horizontal="center"/>
    </xf>
    <xf numFmtId="0" fontId="0" fillId="0" borderId="30" pivotButton="0" quotePrefix="0" xfId="0"/>
    <xf numFmtId="164" fontId="40" fillId="0" borderId="0" pivotButton="0" quotePrefix="0" xfId="1"/>
    <xf numFmtId="164" fontId="10" fillId="0" borderId="0" applyAlignment="1" pivotButton="0" quotePrefix="0" xfId="1">
      <alignment wrapText="1"/>
    </xf>
    <xf numFmtId="0" fontId="61" fillId="21" borderId="0" applyAlignment="1" pivotButton="0" quotePrefix="0" xfId="0">
      <alignment horizontal="center" vertical="center"/>
    </xf>
    <xf numFmtId="0" fontId="62" fillId="22" borderId="0" applyAlignment="1" pivotButton="0" quotePrefix="0" xfId="0">
      <alignment horizontal="center" vertical="center"/>
    </xf>
    <xf numFmtId="0" fontId="63" fillId="23" borderId="38" applyAlignment="1" pivotButton="0" quotePrefix="0" xfId="0">
      <alignment horizontal="center" vertical="center"/>
    </xf>
    <xf numFmtId="0" fontId="65" fillId="24" borderId="38" applyAlignment="1" pivotButton="0" quotePrefix="0" xfId="0">
      <alignment horizontal="center" vertical="center"/>
    </xf>
    <xf numFmtId="0" fontId="67" fillId="25" borderId="38" applyAlignment="1" pivotButton="0" quotePrefix="0" xfId="0">
      <alignment horizontal="center" vertical="center"/>
    </xf>
    <xf numFmtId="0" fontId="69" fillId="26" borderId="38" applyAlignment="1" pivotButton="0" quotePrefix="0" xfId="0">
      <alignment horizontal="center" vertical="center"/>
    </xf>
    <xf numFmtId="3" fontId="64" fillId="23" borderId="38" applyAlignment="1" pivotButton="0" quotePrefix="0" xfId="0">
      <alignment horizontal="center" vertical="center"/>
    </xf>
    <xf numFmtId="3" fontId="66" fillId="24" borderId="38" applyAlignment="1" pivotButton="0" quotePrefix="0" xfId="0">
      <alignment horizontal="center" vertical="center"/>
    </xf>
    <xf numFmtId="3" fontId="68" fillId="25" borderId="38" applyAlignment="1" pivotButton="0" quotePrefix="0" xfId="0">
      <alignment horizontal="center" vertical="center"/>
    </xf>
    <xf numFmtId="0" fontId="70" fillId="26" borderId="38" applyAlignment="1" pivotButton="0" quotePrefix="0" xfId="0">
      <alignment horizontal="center" vertical="center"/>
    </xf>
    <xf numFmtId="0" fontId="71" fillId="27" borderId="38" applyAlignment="1" pivotButton="0" quotePrefix="0" xfId="0">
      <alignment horizontal="center" vertical="center"/>
    </xf>
    <xf numFmtId="0" fontId="72" fillId="22" borderId="0" applyAlignment="1" pivotButton="0" quotePrefix="0" xfId="0">
      <alignment horizontal="left" vertical="center" indent="1"/>
    </xf>
    <xf numFmtId="0" fontId="73" fillId="28" borderId="38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38" pivotButton="0" quotePrefix="0" xfId="0"/>
    <xf numFmtId="3" fontId="74" fillId="0" borderId="38" applyAlignment="1" pivotButton="0" quotePrefix="0" xfId="0">
      <alignment horizontal="right" vertical="center"/>
    </xf>
    <xf numFmtId="0" fontId="71" fillId="29" borderId="38" applyAlignment="1" pivotButton="0" quotePrefix="0" xfId="0">
      <alignment horizontal="center" vertical="center"/>
    </xf>
    <xf numFmtId="0" fontId="71" fillId="29" borderId="38" pivotButton="0" quotePrefix="0" xfId="0"/>
    <xf numFmtId="3" fontId="71" fillId="29" borderId="38" applyAlignment="1" pivotButton="0" quotePrefix="0" xfId="0">
      <alignment horizontal="right" vertical="center"/>
    </xf>
    <xf numFmtId="169" fontId="46" fillId="0" borderId="1" applyAlignment="1" pivotButton="0" quotePrefix="0" xfId="1">
      <alignment vertical="top"/>
    </xf>
    <xf numFmtId="169" fontId="0" fillId="2" borderId="2" applyAlignment="1" pivotButton="0" quotePrefix="0" xfId="0">
      <alignment wrapText="1"/>
    </xf>
    <xf numFmtId="169" fontId="12" fillId="2" borderId="2" applyAlignment="1" pivotButton="0" quotePrefix="0" xfId="0">
      <alignment horizontal="center" wrapText="1"/>
    </xf>
  </cellXfs>
  <cellStyles count="8">
    <cellStyle name="Normal" xfId="0" builtinId="0"/>
    <cellStyle name="Comma" xfId="1" builtinId="3"/>
    <cellStyle name="Normal 2" xfId="2"/>
    <cellStyle name="Normal 3" xfId="3"/>
    <cellStyle name="Normal 4" xfId="4"/>
    <cellStyle name="Comma 2" xfId="5"/>
    <cellStyle name="Normal 5" xfId="6"/>
    <cellStyle name="Normal 6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Nguyễn Văn Hải</author>
  </authors>
  <commentList>
    <comment ref="Q43" authorId="0" shapeId="0">
      <text>
        <t>Ứng dụng tự động tính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116</row>
      <rowOff>0</rowOff>
    </from>
    <to>
      <col>6</col>
      <colOff>135831</colOff>
      <row>158</row>
      <rowOff>27785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47107" y="26139321"/>
          <a:ext cx="7266667" cy="6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DATA\DATA_THUE\THUE\&#272;&#7846;U%20V&#192;O\2026-07\BC_HDon_01_THopTheoNgayGCS%2007-2026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Soft/Soft/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C"/>
      <sheetName val="1,8-PH_GCS"/>
      <sheetName val="3,3-HDSS"/>
    </sheetNames>
    <sheetDataSet>
      <sheetData sheetId="0" refreshError="1"/>
      <sheetData sheetId="1" refreshError="1"/>
      <sheetData sheetId="2">
        <row r="2">
          <cell r="B2">
            <v>27</v>
          </cell>
          <cell r="C2" t="str">
            <v>31/07/2026</v>
          </cell>
          <cell r="D2">
            <v>35</v>
          </cell>
          <cell r="E2">
            <v>-95254</v>
          </cell>
          <cell r="F2">
            <v>-26210</v>
          </cell>
          <cell r="G2">
            <v>-69044</v>
          </cell>
          <cell r="H2">
            <v>-234984967</v>
          </cell>
          <cell r="I2">
            <v>-18798798</v>
          </cell>
          <cell r="J2">
            <v>-253783765</v>
          </cell>
          <cell r="K2">
            <v>0</v>
          </cell>
          <cell r="L2">
            <v>0</v>
          </cell>
          <cell r="M2">
            <v>0</v>
          </cell>
          <cell r="N2">
            <v>-253783765</v>
          </cell>
        </row>
        <row r="3">
          <cell r="B3">
            <v>27</v>
          </cell>
          <cell r="C3" t="str">
            <v>31/07/2026</v>
          </cell>
          <cell r="D3">
            <v>35</v>
          </cell>
          <cell r="E3">
            <v>60201</v>
          </cell>
          <cell r="F3">
            <v>15287</v>
          </cell>
          <cell r="G3">
            <v>44914</v>
          </cell>
          <cell r="H3">
            <v>136913985</v>
          </cell>
          <cell r="I3">
            <v>10953121</v>
          </cell>
          <cell r="J3">
            <v>147867106</v>
          </cell>
          <cell r="K3">
            <v>0</v>
          </cell>
          <cell r="L3">
            <v>0</v>
          </cell>
          <cell r="M3">
            <v>0</v>
          </cell>
          <cell r="N3">
            <v>147867106</v>
          </cell>
        </row>
        <row r="4">
          <cell r="B4">
            <v>20</v>
          </cell>
          <cell r="C4" t="str">
            <v>10/07/2026</v>
          </cell>
          <cell r="D4">
            <v>441</v>
          </cell>
          <cell r="E4">
            <v>165276177</v>
          </cell>
          <cell r="F4">
            <v>1441</v>
          </cell>
          <cell r="G4">
            <v>165274736</v>
          </cell>
          <cell r="H4">
            <v>317594230904</v>
          </cell>
          <cell r="I4">
            <v>25399596965</v>
          </cell>
          <cell r="J4">
            <v>342993827869</v>
          </cell>
          <cell r="K4">
            <v>68479512</v>
          </cell>
          <cell r="L4">
            <v>5478363</v>
          </cell>
          <cell r="M4">
            <v>73957875</v>
          </cell>
          <cell r="N4">
            <v>343067785744</v>
          </cell>
        </row>
        <row r="5">
          <cell r="B5">
            <v>9</v>
          </cell>
          <cell r="C5" t="str">
            <v>15/07/2026</v>
          </cell>
          <cell r="D5">
            <v>193</v>
          </cell>
          <cell r="E5">
            <v>5200532</v>
          </cell>
          <cell r="F5">
            <v>10433</v>
          </cell>
          <cell r="G5">
            <v>5190099</v>
          </cell>
          <cell r="H5">
            <v>12770571358</v>
          </cell>
          <cell r="I5">
            <v>1021645710</v>
          </cell>
          <cell r="J5">
            <v>13792217068</v>
          </cell>
          <cell r="K5">
            <v>21856349</v>
          </cell>
          <cell r="L5">
            <v>1748507</v>
          </cell>
          <cell r="M5">
            <v>23604856</v>
          </cell>
          <cell r="N5">
            <v>13815821924</v>
          </cell>
        </row>
        <row r="6">
          <cell r="B6">
            <v>21</v>
          </cell>
          <cell r="C6" t="str">
            <v>20/07/2026</v>
          </cell>
          <cell r="D6">
            <v>442</v>
          </cell>
          <cell r="E6">
            <v>166923825</v>
          </cell>
          <cell r="F6">
            <v>1482</v>
          </cell>
          <cell r="G6">
            <v>166922343</v>
          </cell>
          <cell r="H6">
            <v>315639019534</v>
          </cell>
          <cell r="I6">
            <v>25244157162</v>
          </cell>
          <cell r="J6">
            <v>340883176696</v>
          </cell>
          <cell r="K6">
            <v>72561794</v>
          </cell>
          <cell r="L6">
            <v>5804946</v>
          </cell>
          <cell r="M6">
            <v>78366740</v>
          </cell>
          <cell r="N6">
            <v>340961543436</v>
          </cell>
        </row>
        <row r="7">
          <cell r="B7">
            <v>2029</v>
          </cell>
          <cell r="C7" t="str">
            <v>31/07/2026</v>
          </cell>
          <cell r="D7">
            <v>236345</v>
          </cell>
          <cell r="E7">
            <v>318846113</v>
          </cell>
          <cell r="F7">
            <v>83959632</v>
          </cell>
          <cell r="G7">
            <v>234886481</v>
          </cell>
          <cell r="H7">
            <v>723940975858</v>
          </cell>
          <cell r="I7">
            <v>57907262194</v>
          </cell>
          <cell r="J7">
            <v>781848238052</v>
          </cell>
          <cell r="K7">
            <v>552108768</v>
          </cell>
          <cell r="L7">
            <v>44168705</v>
          </cell>
          <cell r="M7">
            <v>596277473</v>
          </cell>
          <cell r="N7">
            <v>782444515525</v>
          </cell>
        </row>
        <row r="8">
          <cell r="B8">
            <v>11</v>
          </cell>
          <cell r="C8" t="str">
            <v>31/07/2026</v>
          </cell>
          <cell r="D8">
            <v>11</v>
          </cell>
          <cell r="E8">
            <v>-7226</v>
          </cell>
          <cell r="F8">
            <v>-7226</v>
          </cell>
          <cell r="G8">
            <v>0</v>
          </cell>
          <cell r="H8">
            <v>-27836249</v>
          </cell>
          <cell r="I8">
            <v>-2226899</v>
          </cell>
          <cell r="J8">
            <v>-30063148</v>
          </cell>
          <cell r="K8">
            <v>0</v>
          </cell>
          <cell r="L8">
            <v>0</v>
          </cell>
          <cell r="M8">
            <v>0</v>
          </cell>
          <cell r="N8">
            <v>-30063148</v>
          </cell>
        </row>
        <row r="9">
          <cell r="B9">
            <v>2</v>
          </cell>
          <cell r="C9" t="str">
            <v>15/07/2026</v>
          </cell>
          <cell r="D9">
            <v>2</v>
          </cell>
          <cell r="E9">
            <v>40958</v>
          </cell>
          <cell r="F9">
            <v>0</v>
          </cell>
          <cell r="G9">
            <v>40958</v>
          </cell>
          <cell r="H9">
            <v>129099616</v>
          </cell>
          <cell r="I9">
            <v>10327969</v>
          </cell>
          <cell r="J9">
            <v>139427585</v>
          </cell>
          <cell r="K9">
            <v>0</v>
          </cell>
          <cell r="L9">
            <v>0</v>
          </cell>
          <cell r="M9">
            <v>0</v>
          </cell>
          <cell r="N9">
            <v>139427585</v>
          </cell>
        </row>
        <row r="10">
          <cell r="B10">
            <v>42</v>
          </cell>
          <cell r="C10" t="str">
            <v>31/07/2026</v>
          </cell>
          <cell r="D10">
            <v>57</v>
          </cell>
          <cell r="E10">
            <v>245378</v>
          </cell>
          <cell r="F10">
            <v>18816</v>
          </cell>
          <cell r="G10">
            <v>226562</v>
          </cell>
          <cell r="H10">
            <v>624301377</v>
          </cell>
          <cell r="I10">
            <v>49944111</v>
          </cell>
          <cell r="J10">
            <v>674245488</v>
          </cell>
          <cell r="K10">
            <v>0</v>
          </cell>
          <cell r="L10">
            <v>0</v>
          </cell>
          <cell r="M10">
            <v>0</v>
          </cell>
          <cell r="N10">
            <v>674245488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8" customWidth="1" style="344" min="1" max="1"/>
    <col width="24" customWidth="1" style="344" min="2" max="2"/>
    <col width="28" customWidth="1" style="344" min="3" max="3"/>
    <col width="22" customWidth="1" style="344" min="4" max="4"/>
    <col width="18" customWidth="1" style="344" min="5" max="5"/>
    <col width="32" customWidth="1" style="344" min="6" max="6"/>
    <col width="22" customWidth="1" style="344" min="7" max="7"/>
    <col width="22" customWidth="1" style="344" min="8" max="8"/>
  </cols>
  <sheetData>
    <row r="1" ht="30" customHeight="1" s="344">
      <c r="A1" s="554" t="inlineStr">
        <is>
          <t>DASHBOARD KIỂM DÒ ĐỐI SOÁT THUẾ GTGT - CÔNG TY ĐIỆN LỰC VŨNG TÀU</t>
        </is>
      </c>
      <c r="B1" s="554" t="n"/>
      <c r="C1" s="554" t="n"/>
      <c r="D1" s="554" t="n"/>
      <c r="E1" s="554" t="n"/>
      <c r="F1" s="554" t="n"/>
      <c r="G1" s="554" t="n"/>
      <c r="H1" s="554" t="n"/>
    </row>
    <row r="2" ht="20" customHeight="1" s="344">
      <c r="A2" s="555" t="inlineStr">
        <is>
          <t>Kỳ tính thuế: Tháng 09/2026 | Hệ Thống Tự Động Đồng Bộ &amp; Đối Soát Dữ Liệu ERP</t>
        </is>
      </c>
      <c r="B2" s="555" t="n"/>
      <c r="C2" s="555" t="n"/>
      <c r="D2" s="555" t="n"/>
      <c r="E2" s="555" t="n"/>
      <c r="F2" s="555" t="n"/>
      <c r="G2" s="555" t="n"/>
      <c r="H2" s="555" t="n"/>
    </row>
    <row r="3" ht="8" customHeight="1" s="344"/>
    <row r="4" ht="22" customHeight="1" s="344">
      <c r="A4" s="556" t="inlineStr">
        <is>
          <t>THUẾ ĐẦU VÀO KHẤU TRỪ [25]</t>
        </is>
      </c>
      <c r="B4" s="556" t="n"/>
      <c r="C4" s="557" t="inlineStr">
        <is>
          <t>THUẾ ĐẦU RA PHÁT SINH [28]</t>
        </is>
      </c>
      <c r="D4" s="557" t="n"/>
      <c r="E4" s="558" t="inlineStr">
        <is>
          <t>THUẾ PHẢI NỘP / KHẤU TRỪ [36]</t>
        </is>
      </c>
      <c r="F4" s="558" t="n"/>
      <c r="G4" s="559" t="inlineStr">
        <is>
          <t>TRẠNG THÁI KIỂM DÒ TỔNG THỂ</t>
        </is>
      </c>
      <c r="H4" s="559" t="n"/>
    </row>
    <row r="5" ht="20" customHeight="1" s="344">
      <c r="A5" s="560">
        <f>'TAXVTA'!F63</f>
        <v/>
      </c>
      <c r="B5" s="560" t="n"/>
      <c r="C5" s="561">
        <f>'TAXVTA'!L63</f>
        <v/>
      </c>
      <c r="D5" s="561" t="n"/>
      <c r="E5" s="562">
        <f>'TAXVTA'!F70</f>
        <v/>
      </c>
      <c r="F5" s="562" t="n"/>
      <c r="G5" s="563">
        <f>IF(AND('TAXVTA'!K6=0,'TAXVTA'!C21=0,'TAXVTA'!G21=0,'TAXVTA'!K21=0,'TAXVTA'!C24=0,'TAXVTA'!G24=0,'TAXVTA'!K24=0,'TAXVTA'!K34=0),"KHỚP DỮ LIỆU (PASS)","LỆCH SỐ LIỆU (CẦN KIỂM TRA)")</f>
        <v/>
      </c>
      <c r="H5" s="563" t="n"/>
    </row>
    <row r="6" ht="24" customHeight="1" s="344">
      <c r="A6" s="560" t="n"/>
      <c r="B6" s="560" t="n"/>
      <c r="C6" s="561" t="n"/>
      <c r="D6" s="561" t="n"/>
      <c r="E6" s="562" t="n"/>
      <c r="F6" s="562" t="n"/>
      <c r="G6" s="563" t="n"/>
      <c r="H6" s="563" t="n"/>
    </row>
    <row r="7" ht="24" customHeight="1" s="344">
      <c r="A7" s="564">
        <f>IF('TAXVTA'!K74=60549888887, "✅ SỐ DƯ NỢ SPC CỐ ĐỊNH: 60.549.888.887 Đ (KHỚP CHUẨN - KHÔNG ĐƯỢC SAI LỆCH)", "🚨 CẢNH BÁO: SAI LỆCH SỐ DƯ NỢ SPC CỦA ĐƠN VỊ CŨ (YÊU CẦU CỐ ĐỊNH: 60.549.888.887 Đ)!")</f>
        <v/>
      </c>
      <c r="B7" s="564" t="n"/>
      <c r="C7" s="564" t="n"/>
      <c r="D7" s="564" t="n"/>
      <c r="E7" s="564" t="n"/>
      <c r="F7" s="564" t="n"/>
      <c r="G7" s="564" t="n"/>
      <c r="H7" s="564" t="n"/>
    </row>
    <row r="8" ht="10" customHeight="1" s="344"/>
    <row r="9" ht="24" customHeight="1" s="344">
      <c r="A9" s="565" t="inlineStr">
        <is>
          <t>KHỐI 2: ĐỐI SOÁT DOANH SỐ &amp; THUẾ ĐẦU VÀO (BẢNG KÊ TA36 vs SỔ CÁI 13311)</t>
        </is>
      </c>
      <c r="B9" s="565" t="n"/>
      <c r="C9" s="565" t="n"/>
      <c r="D9" s="565" t="n"/>
      <c r="E9" s="565" t="n"/>
      <c r="F9" s="565" t="n"/>
      <c r="G9" s="565" t="n"/>
      <c r="H9" s="565" t="n"/>
    </row>
    <row r="10" ht="22" customHeight="1" s="344">
      <c r="A10" s="566" t="inlineStr">
        <is>
          <t>STT</t>
        </is>
      </c>
      <c r="B10" s="566" t="inlineStr">
        <is>
          <t>Mã TK</t>
        </is>
      </c>
      <c r="C10" s="566" t="inlineStr">
        <is>
          <t>Nội Dung Diễn Giải</t>
        </is>
      </c>
      <c r="D10" s="566" t="inlineStr">
        <is>
          <t>Doanh Số TA36</t>
        </is>
      </c>
      <c r="E10" s="566" t="inlineStr">
        <is>
          <t>Tiền Thuế TA36</t>
        </is>
      </c>
      <c r="F10" s="566" t="inlineStr">
        <is>
          <t>Tiền Thuế Sổ Cái (13311)</t>
        </is>
      </c>
      <c r="G10" s="566" t="inlineStr">
        <is>
          <t>Chênh Lệch (TA36 - Sổ Cái)</t>
        </is>
      </c>
      <c r="H10" s="566" t="inlineStr">
        <is>
          <t>Trạng Thái</t>
        </is>
      </c>
    </row>
    <row r="11" ht="20" customHeight="1" s="344">
      <c r="A11" s="567" t="n">
        <v>1</v>
      </c>
      <c r="B11" s="567" t="inlineStr">
        <is>
          <t>13311</t>
        </is>
      </c>
      <c r="C11" s="568" t="inlineStr">
        <is>
          <t>Thuế GTGT HHDV dùng chung SXKD</t>
        </is>
      </c>
      <c r="D11" s="569">
        <f>'TAXVTA'!D4</f>
        <v/>
      </c>
      <c r="E11" s="569">
        <f>'TAXVTA'!F4</f>
        <v/>
      </c>
      <c r="F11" s="569">
        <f>'TAXVTA'!J4</f>
        <v/>
      </c>
      <c r="G11" s="569">
        <f>E11-F11</f>
        <v/>
      </c>
      <c r="H11" s="567">
        <f>IF(G11=0,"OK","LỆCH")</f>
        <v/>
      </c>
    </row>
    <row r="12" ht="20" customHeight="1" s="344">
      <c r="A12" s="567" t="n">
        <v>2</v>
      </c>
      <c r="B12" s="567" t="inlineStr">
        <is>
          <t>13313</t>
        </is>
      </c>
      <c r="C12" s="568" t="inlineStr">
        <is>
          <t>Thuế GTGT hàng hóa TSCĐ / XDCB</t>
        </is>
      </c>
      <c r="D12" s="569">
        <f>'TAXVTA'!D5</f>
        <v/>
      </c>
      <c r="E12" s="569">
        <f>'TAXVTA'!F5</f>
        <v/>
      </c>
      <c r="F12" s="569">
        <f>'TAXVTA'!J5</f>
        <v/>
      </c>
      <c r="G12" s="569">
        <f>E12-F12</f>
        <v/>
      </c>
      <c r="H12" s="567">
        <f>IF(G12=0,"OK","LỆCH")</f>
        <v/>
      </c>
    </row>
    <row r="13" ht="22" customHeight="1" s="344">
      <c r="A13" s="570" t="inlineStr">
        <is>
          <t>Cộng</t>
        </is>
      </c>
      <c r="B13" s="570" t="inlineStr"/>
      <c r="C13" s="571" t="inlineStr">
        <is>
          <t>TỔNG CỘNG ĐẦU VÀO</t>
        </is>
      </c>
      <c r="D13" s="572">
        <f>SUM(D11:D12)</f>
        <v/>
      </c>
      <c r="E13" s="572">
        <f>SUM(E11:E12)</f>
        <v/>
      </c>
      <c r="F13" s="572">
        <f>SUM(F11:F12)</f>
        <v/>
      </c>
      <c r="G13" s="572">
        <f>SUM(G11:G12)</f>
        <v/>
      </c>
      <c r="H13" s="570">
        <f>IF(G13=0,"OK","LỆCH")</f>
        <v/>
      </c>
    </row>
    <row r="14" ht="10" customHeight="1" s="344"/>
    <row r="15" ht="24" customHeight="1" s="344">
      <c r="A15" s="565" t="inlineStr">
        <is>
          <t>KHỐI 3: ĐỐI SOÁT DOANH SỐ &amp; THUẾ ĐẦU RA (BẢNG KÊ TA35 vs SỔ CÁI 3331)</t>
        </is>
      </c>
      <c r="B15" s="565" t="n"/>
      <c r="C15" s="565" t="n"/>
      <c r="D15" s="565" t="n"/>
      <c r="E15" s="565" t="n"/>
      <c r="F15" s="565" t="n"/>
      <c r="G15" s="565" t="n"/>
      <c r="H15" s="565" t="n"/>
    </row>
    <row r="16" ht="22" customHeight="1" s="344">
      <c r="A16" s="566" t="inlineStr">
        <is>
          <t>STT</t>
        </is>
      </c>
      <c r="B16" s="566" t="inlineStr">
        <is>
          <t>Mã TK</t>
        </is>
      </c>
      <c r="C16" s="566" t="inlineStr">
        <is>
          <t>Nội Dung Diễn Giải</t>
        </is>
      </c>
      <c r="D16" s="566" t="inlineStr">
        <is>
          <t>Doanh Số TA35</t>
        </is>
      </c>
      <c r="E16" s="566" t="inlineStr">
        <is>
          <t>Tiền Thuế TA35</t>
        </is>
      </c>
      <c r="F16" s="566" t="inlineStr">
        <is>
          <t>Tiền Thuế Sổ Cái (3331)</t>
        </is>
      </c>
      <c r="G16" s="566" t="inlineStr">
        <is>
          <t>Chênh Lệch (TA35 - Sổ Cái)</t>
        </is>
      </c>
      <c r="H16" s="566" t="inlineStr">
        <is>
          <t>Trạng Thái</t>
        </is>
      </c>
    </row>
    <row r="17" ht="20" customHeight="1" s="344">
      <c r="A17" s="567" t="n">
        <v>1</v>
      </c>
      <c r="B17" s="567" t="inlineStr">
        <is>
          <t>333111</t>
        </is>
      </c>
      <c r="C17" s="568" t="inlineStr">
        <is>
          <t>Thuế GTGT tiền điện &amp; CSPK</t>
        </is>
      </c>
      <c r="D17" s="569">
        <f>'TAXVTA'!J4+'TAXVTA'!J6+'TAXVTA'!J7</f>
        <v/>
      </c>
      <c r="E17" s="569">
        <f>'TAXVTA'!L4+'TAXVTA'!L6+'TAXVTA'!L7</f>
        <v/>
      </c>
      <c r="F17" s="569">
        <f>'333111'!E29</f>
        <v/>
      </c>
      <c r="G17" s="569">
        <f>E17-F17</f>
        <v/>
      </c>
      <c r="H17" s="567">
        <f>IF(ABS(G17)&lt;50000,"OK","LỆCH")</f>
        <v/>
      </c>
    </row>
    <row r="18" ht="20" customHeight="1" s="344">
      <c r="A18" s="567" t="n">
        <v>2</v>
      </c>
      <c r="B18" s="567" t="inlineStr">
        <is>
          <t>333113</t>
        </is>
      </c>
      <c r="C18" s="568" t="inlineStr">
        <is>
          <t>Thuế GTGT điều động VTTB (1388ĐĐ)</t>
        </is>
      </c>
      <c r="D18" s="569">
        <f>'TAXVTA'!J8</f>
        <v/>
      </c>
      <c r="E18" s="569">
        <f>'TAXVTA'!L8</f>
        <v/>
      </c>
      <c r="F18" s="569">
        <f>'333111'!E42</f>
        <v/>
      </c>
      <c r="G18" s="569">
        <f>E18-F18</f>
        <v/>
      </c>
      <c r="H18" s="567">
        <f>IF(ABS(G18)&lt;50000,"OK","LỆCH")</f>
        <v/>
      </c>
    </row>
    <row r="19" ht="20" customHeight="1" s="344">
      <c r="A19" s="567" t="n">
        <v>3</v>
      </c>
      <c r="B19" s="567" t="inlineStr">
        <is>
          <t>333114</t>
        </is>
      </c>
      <c r="C19" s="568" t="inlineStr">
        <is>
          <t>Thuế GTGT cho thuê cột điện treo cáp (4500TT)</t>
        </is>
      </c>
      <c r="D19" s="569">
        <f>'TAXVTA'!J9</f>
        <v/>
      </c>
      <c r="E19" s="569">
        <f>'TAXVTA'!L9</f>
        <v/>
      </c>
      <c r="F19" s="569">
        <f>'333111'!E51</f>
        <v/>
      </c>
      <c r="G19" s="569">
        <f>E19-F19</f>
        <v/>
      </c>
      <c r="H19" s="567">
        <f>IF(ABS(G19)&lt;50000,"OK","LỆCH")</f>
        <v/>
      </c>
    </row>
    <row r="20" ht="22" customHeight="1" s="344">
      <c r="A20" s="570" t="inlineStr">
        <is>
          <t>Cộng</t>
        </is>
      </c>
      <c r="B20" s="570" t="inlineStr"/>
      <c r="C20" s="571" t="inlineStr">
        <is>
          <t>TỔNG CỘNG ĐẦU RA</t>
        </is>
      </c>
      <c r="D20" s="572">
        <f>SUM(D17:D19)</f>
        <v/>
      </c>
      <c r="E20" s="572">
        <f>SUM(E17:E19)</f>
        <v/>
      </c>
      <c r="F20" s="572">
        <f>SUM(F17:F19)</f>
        <v/>
      </c>
      <c r="G20" s="572">
        <f>SUM(G17:G19)</f>
        <v/>
      </c>
      <c r="H20" s="570">
        <f>IF(ABS(G20)&lt;50000,"OK","LỆCH")</f>
        <v/>
      </c>
    </row>
    <row r="21" ht="10" customHeight="1" s="344"/>
    <row r="22" ht="24" customHeight="1" s="344">
      <c r="A22" s="565" t="inlineStr">
        <is>
          <t>KHỐI 4: MA TRẬN KIỂM DÒ DOANH THU ĐẦU RA 3 CHIỀU (GCS vs BÁO CÁO 4A vs SỔ GL 0903)</t>
        </is>
      </c>
      <c r="B22" s="565" t="n"/>
      <c r="C22" s="565" t="n"/>
      <c r="D22" s="565" t="n"/>
      <c r="E22" s="565" t="n"/>
      <c r="F22" s="565" t="n"/>
      <c r="G22" s="565" t="n"/>
      <c r="H22" s="565" t="n"/>
    </row>
    <row r="23" ht="22" customHeight="1" s="344">
      <c r="A23" s="566" t="inlineStr">
        <is>
          <t>Hạng Mục Doanh Thu</t>
        </is>
      </c>
      <c r="B23" s="566" t="inlineStr">
        <is>
          <t>Mã DFF</t>
        </is>
      </c>
      <c r="C23" s="566" t="inlineStr">
        <is>
          <t>Doanh Số GCS</t>
        </is>
      </c>
      <c r="D23" s="566" t="inlineStr">
        <is>
          <t>Doanh Số 4A</t>
        </is>
      </c>
      <c r="E23" s="566" t="inlineStr">
        <is>
          <t>Doanh Số GL 0903</t>
        </is>
      </c>
      <c r="F23" s="566" t="inlineStr">
        <is>
          <t>Lệch (GCS - 4A)</t>
        </is>
      </c>
      <c r="G23" s="566" t="inlineStr">
        <is>
          <t>Lệch (4A - GL0903)</t>
        </is>
      </c>
      <c r="H23" s="566" t="inlineStr">
        <is>
          <t>Đánh Giá</t>
        </is>
      </c>
    </row>
    <row r="24" ht="20" customHeight="1" s="344">
      <c r="A24" s="568" t="inlineStr">
        <is>
          <t>Tiền điện sinh hoạt &amp; SX</t>
        </is>
      </c>
      <c r="B24" s="567" t="inlineStr">
        <is>
          <t>DIEN01</t>
        </is>
      </c>
      <c r="C24" s="569">
        <f>'TAXVTA'!C19</f>
        <v/>
      </c>
      <c r="D24" s="569">
        <f>'TAXVTA'!C20</f>
        <v/>
      </c>
      <c r="E24" s="569">
        <f>'TAXVTA'!C23</f>
        <v/>
      </c>
      <c r="F24" s="569">
        <f>C24-D24</f>
        <v/>
      </c>
      <c r="G24" s="569">
        <f>D24-E24</f>
        <v/>
      </c>
      <c r="H24" s="567">
        <f>IF(AND(F24=0,G24=0),"KHỚP","LỆCH")</f>
        <v/>
      </c>
    </row>
    <row r="25" ht="20" customHeight="1" s="344">
      <c r="A25" s="568" t="inlineStr">
        <is>
          <t>Công suất phản kháng</t>
        </is>
      </c>
      <c r="B25" s="567" t="inlineStr">
        <is>
          <t>CSPK02</t>
        </is>
      </c>
      <c r="C25" s="569">
        <f>'TAXVTA'!G19</f>
        <v/>
      </c>
      <c r="D25" s="569">
        <f>'TAXVTA'!G20</f>
        <v/>
      </c>
      <c r="E25" s="569">
        <f>'TAXVTA'!G23</f>
        <v/>
      </c>
      <c r="F25" s="569">
        <f>C25-D25</f>
        <v/>
      </c>
      <c r="G25" s="569">
        <f>D25-E25</f>
        <v/>
      </c>
      <c r="H25" s="567">
        <f>IF(AND(F25=0,G25=0),"KHỚP","LỆCH")</f>
        <v/>
      </c>
    </row>
    <row r="26" ht="20" customHeight="1" s="344">
      <c r="A26" s="568" t="inlineStr">
        <is>
          <t>Tiền điện thu khác (Nhôm TC)</t>
        </is>
      </c>
      <c r="B26" s="567" t="inlineStr">
        <is>
          <t>DIEN00</t>
        </is>
      </c>
      <c r="C26" s="569">
        <f>'TAXVTA'!K19</f>
        <v/>
      </c>
      <c r="D26" s="569">
        <f>'TAXVTA'!K20</f>
        <v/>
      </c>
      <c r="E26" s="569">
        <f>'TAXVTA'!K23</f>
        <v/>
      </c>
      <c r="F26" s="569">
        <f>C26-D26</f>
        <v/>
      </c>
      <c r="G26" s="569">
        <f>D26-E26</f>
        <v/>
      </c>
      <c r="H26" s="567">
        <f>IF(AND(F26=0,G26=0),"KHỚP","LỆCH")</f>
        <v/>
      </c>
    </row>
    <row r="27" ht="22" customHeight="1" s="344">
      <c r="A27" s="571" t="inlineStr">
        <is>
          <t>TỔNG CỘNG ĐẦU RA</t>
        </is>
      </c>
      <c r="B27" s="570" t="inlineStr"/>
      <c r="C27" s="572">
        <f>SUM(C24:C26)</f>
        <v/>
      </c>
      <c r="D27" s="572">
        <f>SUM(D24:D26)</f>
        <v/>
      </c>
      <c r="E27" s="572">
        <f>SUM(E24:E26)</f>
        <v/>
      </c>
      <c r="F27" s="572">
        <f>SUM(F24:F26)</f>
        <v/>
      </c>
      <c r="G27" s="572">
        <f>SUM(G24:G26)</f>
        <v/>
      </c>
      <c r="H27" s="570">
        <f>IF(AND(F27=0,G27=0),"KHỚP","LỆCH")</f>
        <v/>
      </c>
    </row>
  </sheetData>
  <mergeCells count="14">
    <mergeCell ref="A4:B4"/>
    <mergeCell ref="G4:H4"/>
    <mergeCell ref="E4:F4"/>
    <mergeCell ref="A9:H9"/>
    <mergeCell ref="A15:H15"/>
    <mergeCell ref="A7:H7"/>
    <mergeCell ref="A2:H2"/>
    <mergeCell ref="C5:D6"/>
    <mergeCell ref="A5:B6"/>
    <mergeCell ref="G5:H6"/>
    <mergeCell ref="E5:F6"/>
    <mergeCell ref="A1:H1"/>
    <mergeCell ref="A22:H2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155"/>
  <sheetViews>
    <sheetView tabSelected="1" zoomScale="115" zoomScaleNormal="115" workbookViewId="0">
      <selection activeCell="E89" sqref="E89"/>
    </sheetView>
  </sheetViews>
  <sheetFormatPr baseColWidth="8" defaultColWidth="9" defaultRowHeight="11.5"/>
  <cols>
    <col width="20.4140625" customWidth="1" style="402" min="1" max="1"/>
    <col width="17.58203125" bestFit="1" customWidth="1" style="402" min="2" max="2"/>
    <col width="19.1640625" customWidth="1" style="402" min="3" max="3"/>
    <col width="18.33203125" bestFit="1" customWidth="1" style="402" min="4" max="4"/>
    <col width="16.9140625" customWidth="1" style="402" min="5" max="5"/>
    <col width="21.58203125" customWidth="1" style="402" min="6" max="6"/>
    <col width="17.08203125" customWidth="1" style="402" min="7" max="7"/>
    <col width="14.58203125" customWidth="1" style="402" min="8" max="8"/>
    <col width="14.08203125" bestFit="1" customWidth="1" style="402" min="9" max="9"/>
    <col width="22.1640625" bestFit="1" customWidth="1" style="402" min="10" max="10"/>
    <col width="17.1640625" customWidth="1" style="402" min="11" max="11"/>
    <col width="17.08203125" customWidth="1" style="402" min="12" max="12"/>
    <col width="16.6640625" customWidth="1" style="402" min="13" max="13"/>
    <col width="10" bestFit="1" customWidth="1" style="402" min="14" max="14"/>
    <col width="18.83203125" customWidth="1" style="402" min="15" max="15"/>
    <col width="20.58203125" customWidth="1" style="402" min="16" max="16"/>
    <col width="14.83203125" customWidth="1" style="402" min="17" max="17"/>
    <col width="15.1640625" customWidth="1" style="402" min="18" max="18"/>
    <col width="8.1640625" bestFit="1" customWidth="1" style="402" min="19" max="19"/>
    <col width="13.6640625" bestFit="1" customWidth="1" style="402" min="20" max="20"/>
    <col width="13.58203125" customWidth="1" style="402" min="21" max="21"/>
    <col width="11.5" bestFit="1" customWidth="1" style="402" min="22" max="22"/>
    <col width="10" bestFit="1" customWidth="1" style="402" min="23" max="25"/>
    <col width="16.9140625" bestFit="1" customWidth="1" style="402" min="26" max="26"/>
    <col width="18" bestFit="1" customWidth="1" style="402" min="27" max="27"/>
    <col width="9" customWidth="1" style="402" min="28" max="16384"/>
  </cols>
  <sheetData>
    <row r="1" customFormat="1" s="403">
      <c r="A1" s="403" t="inlineStr">
        <is>
          <t>THUẾ ĐẦU VÀO</t>
        </is>
      </c>
    </row>
    <row r="2">
      <c r="K2" s="404" t="inlineStr">
        <is>
          <t>C/LECH</t>
        </is>
      </c>
    </row>
    <row r="3">
      <c r="A3" s="402" t="inlineStr">
        <is>
          <t>TA36</t>
        </is>
      </c>
      <c r="C3" s="402" t="inlineStr">
        <is>
          <t>Tài khoản</t>
        </is>
      </c>
      <c r="D3" s="402" t="inlineStr">
        <is>
          <t>Doanh số</t>
        </is>
      </c>
      <c r="E3" s="402" t="inlineStr">
        <is>
          <t>thuế suất</t>
        </is>
      </c>
      <c r="F3" s="402" t="inlineStr">
        <is>
          <t>Tiền thuế</t>
        </is>
      </c>
      <c r="G3" s="402" t="inlineStr">
        <is>
          <t>Sau thuế</t>
        </is>
      </c>
      <c r="I3" s="402" t="inlineStr">
        <is>
          <t>TA30</t>
        </is>
      </c>
      <c r="J3" s="402" t="inlineStr">
        <is>
          <t>Tiền thuế</t>
        </is>
      </c>
      <c r="K3" s="404" t="inlineStr">
        <is>
          <t>TA36-TA30</t>
        </is>
      </c>
    </row>
    <row r="4">
      <c r="A4" s="402" t="inlineStr">
        <is>
          <t>TA36</t>
        </is>
      </c>
      <c r="C4" s="113" t="n">
        <v>13311</v>
      </c>
      <c r="D4" s="402">
        <f>SUMIF('TA36'!$V:$V,TAXVTA!C4,'TA36'!$H:$H)</f>
        <v/>
      </c>
      <c r="F4" s="402">
        <f>SUMIF('TA36'!$V:$V,TAXVTA!C4,'TA36'!$J:$J)</f>
        <v/>
      </c>
      <c r="G4" s="402">
        <f>+D4+F4</f>
        <v/>
      </c>
      <c r="I4" s="402" t="inlineStr">
        <is>
          <t>TA30</t>
        </is>
      </c>
      <c r="J4" s="402">
        <f>'13311'!L2</f>
        <v/>
      </c>
      <c r="K4" s="404">
        <f>+F4-J4</f>
        <v/>
      </c>
    </row>
    <row r="5">
      <c r="A5" s="402" t="inlineStr">
        <is>
          <t>TA36</t>
        </is>
      </c>
      <c r="C5" s="113" t="n">
        <v>13313</v>
      </c>
      <c r="D5" s="402">
        <f>SUMIF('TA36'!$V:$V,TAXVTA!C5,'TA36'!$H:$H)</f>
        <v/>
      </c>
      <c r="F5" s="402">
        <f>SUMIF('TA36'!$V:$V,TAXVTA!C5,'TA36'!$J:$J)</f>
        <v/>
      </c>
      <c r="G5" s="402">
        <f>+D5+F5</f>
        <v/>
      </c>
      <c r="I5" s="402" t="inlineStr">
        <is>
          <t>TA30</t>
        </is>
      </c>
      <c r="J5" s="402">
        <f>'13311'!L3</f>
        <v/>
      </c>
      <c r="K5" s="404">
        <f>+F5-J5</f>
        <v/>
      </c>
    </row>
    <row r="6" ht="12" customHeight="1" s="344">
      <c r="D6" s="405">
        <f>SUM(D4:D5)</f>
        <v/>
      </c>
      <c r="E6" s="405" t="n"/>
      <c r="F6" s="405">
        <f>SUM(F4:F5)</f>
        <v/>
      </c>
      <c r="G6" s="405">
        <f>SUM(G4:G5)</f>
        <v/>
      </c>
      <c r="J6" s="405">
        <f>SUM(J4:J5)</f>
        <v/>
      </c>
      <c r="K6" s="404">
        <f>SUM(K4:K5)</f>
        <v/>
      </c>
    </row>
    <row r="8" ht="42" customFormat="1" customHeight="1" s="406">
      <c r="C8" s="406" t="inlineStr">
        <is>
          <t>thuế đầu vào lên tờ khai</t>
        </is>
      </c>
      <c r="D8" s="406" t="inlineStr">
        <is>
          <t>Doanh số</t>
        </is>
      </c>
      <c r="E8" s="406" t="inlineStr">
        <is>
          <t>thuế suất</t>
        </is>
      </c>
      <c r="F8" s="406" t="inlineStr">
        <is>
          <t>Tiền thuế</t>
        </is>
      </c>
      <c r="G8" s="406" t="inlineStr">
        <is>
          <t>Sau thuế</t>
        </is>
      </c>
      <c r="O8" s="208" t="inlineStr">
        <is>
          <t>Tên hàng hóa, dịch vụ</t>
        </is>
      </c>
      <c r="P8" s="207" t="inlineStr">
        <is>
          <t>Giá trị hàng hóa, dịch vụ mua vào chưa có thuế GTGT được khấu trừ trong kỳ</t>
        </is>
      </c>
      <c r="Q8" s="208" t="inlineStr">
        <is>
          <t>Thuế GTGT của hàng hóa, dịch vụ mua vào được khấu trừ trong kỳ</t>
        </is>
      </c>
    </row>
    <row r="9">
      <c r="D9" s="402">
        <f>SUMIFS('TA36'!$H:$H,'TA36'!$I:$I,TAXVTA!$E9)</f>
        <v/>
      </c>
      <c r="E9" s="402" t="n">
        <v>5</v>
      </c>
      <c r="F9" s="402">
        <f>SUMIFS('TA36'!$J:$J,'TA36'!$I:$I,TAXVTA!$E$9)</f>
        <v/>
      </c>
      <c r="G9" s="402">
        <f>D9+F9</f>
        <v/>
      </c>
      <c r="O9" s="407" t="inlineStr">
        <is>
          <t>Hàng hóa dịnh vụ mua vào áp thuế suất 8%</t>
        </is>
      </c>
      <c r="P9" s="407">
        <f>D10</f>
        <v/>
      </c>
      <c r="Q9" s="407">
        <f>F10</f>
        <v/>
      </c>
    </row>
    <row r="10">
      <c r="D10" s="402">
        <f>SUMIFS('TA36'!$H:$H,'TA36'!$I:$I,TAXVTA!$E10)</f>
        <v/>
      </c>
      <c r="E10" s="402" t="n">
        <v>8</v>
      </c>
      <c r="F10" s="402">
        <f>SUMIFS('TA36'!$J:$J,'TA36'!$I:$I,TAXVTA!$E10)</f>
        <v/>
      </c>
      <c r="G10" s="402">
        <f>D10+F10</f>
        <v/>
      </c>
    </row>
    <row r="11">
      <c r="D11" s="402">
        <f>SUMIFS('TA36'!$H:$H,'TA36'!$I:$I,TAXVTA!$E11)</f>
        <v/>
      </c>
      <c r="E11" s="402" t="n">
        <v>10</v>
      </c>
      <c r="F11" s="402">
        <f>SUMIFS('TA36'!$J:$J,'TA36'!$I:$I,TAXVTA!$E11)</f>
        <v/>
      </c>
      <c r="G11" s="402">
        <f>D11+F11</f>
        <v/>
      </c>
    </row>
    <row r="12">
      <c r="D12" s="405">
        <f>SUM(D9:D11)</f>
        <v/>
      </c>
      <c r="E12" s="405" t="n"/>
      <c r="F12" s="405">
        <f>SUM(F9:F11)</f>
        <v/>
      </c>
      <c r="G12" s="405">
        <f>SUM(G9:G11)</f>
        <v/>
      </c>
    </row>
    <row r="13">
      <c r="D13" s="402">
        <f>'TA36'!X15</f>
        <v/>
      </c>
      <c r="F13" s="402">
        <f>'TA36'!Y15</f>
        <v/>
      </c>
    </row>
    <row r="14" customFormat="1" s="403">
      <c r="A14" s="403" t="inlineStr">
        <is>
          <t>THUẾ,ĐẦU,RA</t>
        </is>
      </c>
      <c r="D14" s="403">
        <f>+D12-D13</f>
        <v/>
      </c>
      <c r="F14" s="403">
        <f>+F12-F13</f>
        <v/>
      </c>
    </row>
    <row r="15">
      <c r="C15" s="402" t="inlineStr">
        <is>
          <t>DIEN01</t>
        </is>
      </c>
      <c r="D15" s="402" t="inlineStr">
        <is>
          <t>DIEN01</t>
        </is>
      </c>
      <c r="E15" s="402" t="inlineStr">
        <is>
          <t>DIEN01</t>
        </is>
      </c>
      <c r="F15" s="402" t="inlineStr">
        <is>
          <t>DIEN01</t>
        </is>
      </c>
      <c r="G15" s="402" t="inlineStr">
        <is>
          <t>CSPK02</t>
        </is>
      </c>
      <c r="H15" s="402" t="inlineStr">
        <is>
          <t>CSPK02</t>
        </is>
      </c>
      <c r="I15" s="402" t="inlineStr">
        <is>
          <t>CSPK02</t>
        </is>
      </c>
      <c r="J15" s="402" t="inlineStr">
        <is>
          <t>CSPK02</t>
        </is>
      </c>
      <c r="K15" s="402" t="inlineStr">
        <is>
          <t>DIEN00</t>
        </is>
      </c>
      <c r="L15" s="402" t="inlineStr">
        <is>
          <t>DIEN00</t>
        </is>
      </c>
      <c r="M15" s="402" t="inlineStr">
        <is>
          <t>DIEN00</t>
        </is>
      </c>
      <c r="N15" s="402" t="inlineStr">
        <is>
          <t>DIEN00</t>
        </is>
      </c>
      <c r="O15" s="402" t="inlineStr">
        <is>
          <t>CỘNG</t>
        </is>
      </c>
      <c r="P15" s="402" t="inlineStr">
        <is>
          <t>CỘNG</t>
        </is>
      </c>
      <c r="Q15" s="402" t="inlineStr">
        <is>
          <t>CỘNG</t>
        </is>
      </c>
      <c r="R15" s="402" t="inlineStr">
        <is>
          <t>CỘNG</t>
        </is>
      </c>
    </row>
    <row r="16">
      <c r="C16" s="402" t="inlineStr">
        <is>
          <t>Doanh,số</t>
        </is>
      </c>
      <c r="D16" s="402" t="inlineStr">
        <is>
          <t>thuế,suất</t>
        </is>
      </c>
      <c r="E16" s="402" t="inlineStr">
        <is>
          <t>Tiền,thuế</t>
        </is>
      </c>
      <c r="F16" s="402" t="inlineStr">
        <is>
          <t>Sau,thuế</t>
        </is>
      </c>
      <c r="G16" s="402" t="inlineStr">
        <is>
          <t>Doanh,số</t>
        </is>
      </c>
      <c r="H16" s="402" t="inlineStr">
        <is>
          <t>thuế,suất</t>
        </is>
      </c>
      <c r="I16" s="402" t="inlineStr">
        <is>
          <t>Tiền,thuế</t>
        </is>
      </c>
      <c r="J16" s="402" t="inlineStr">
        <is>
          <t>Sau,thuế</t>
        </is>
      </c>
      <c r="K16" s="402" t="inlineStr">
        <is>
          <t>Doanh,số</t>
        </is>
      </c>
      <c r="L16" s="402" t="inlineStr">
        <is>
          <t>thuế,suất</t>
        </is>
      </c>
      <c r="M16" s="402" t="inlineStr">
        <is>
          <t>Tiền,thuế</t>
        </is>
      </c>
      <c r="N16" s="402" t="inlineStr">
        <is>
          <t>Sau,thuế</t>
        </is>
      </c>
      <c r="O16" s="402" t="inlineStr">
        <is>
          <t>Doanh,số</t>
        </is>
      </c>
      <c r="P16" s="402" t="inlineStr">
        <is>
          <t>thuế,suất</t>
        </is>
      </c>
      <c r="Q16" s="402" t="inlineStr">
        <is>
          <t>Tiền,thuế</t>
        </is>
      </c>
      <c r="R16" s="402" t="inlineStr">
        <is>
          <t>Sau,thuế</t>
        </is>
      </c>
    </row>
    <row r="17">
      <c r="A17" s="402" t="inlineStr">
        <is>
          <t>KDGCS</t>
        </is>
      </c>
      <c r="B17" s="408" t="inlineStr">
        <is>
          <t>TRONGTHANG</t>
        </is>
      </c>
      <c r="C17" s="402">
        <f>GCS!H38</f>
        <v/>
      </c>
      <c r="E17" s="402">
        <f>GCS!I38</f>
        <v/>
      </c>
      <c r="F17" s="402">
        <f>GCS!J38</f>
        <v/>
      </c>
      <c r="G17" s="402">
        <f>+GCS!K33</f>
        <v/>
      </c>
      <c r="I17" s="402">
        <f>GCS!L33</f>
        <v/>
      </c>
      <c r="J17" s="402">
        <f>GCS!M33</f>
        <v/>
      </c>
      <c r="K17" s="402">
        <f>GCS!H39</f>
        <v/>
      </c>
      <c r="M17" s="402" t="n">
        <v>0</v>
      </c>
      <c r="N17" s="402">
        <f>GCS!J39</f>
        <v/>
      </c>
      <c r="O17" s="402">
        <f>C17+G17+K17</f>
        <v/>
      </c>
      <c r="Q17" s="402">
        <f>+E17+I17</f>
        <v/>
      </c>
      <c r="R17" s="402">
        <f>+O17+Q17</f>
        <v/>
      </c>
    </row>
    <row r="18">
      <c r="A18" s="402" t="inlineStr">
        <is>
          <t>KDGCS</t>
        </is>
      </c>
      <c r="B18" s="408" t="inlineStr">
        <is>
          <t>CUOITHANG</t>
        </is>
      </c>
      <c r="C18" s="402">
        <f>+GCS!H45</f>
        <v/>
      </c>
      <c r="E18" s="402">
        <f>+GCS!I45</f>
        <v/>
      </c>
      <c r="F18" s="402">
        <f>GCS!J45</f>
        <v/>
      </c>
      <c r="G18" s="402">
        <f>+GCS!K34</f>
        <v/>
      </c>
      <c r="I18" s="402">
        <f>GCS!L34</f>
        <v/>
      </c>
      <c r="J18" s="402">
        <f>GCS!M34</f>
        <v/>
      </c>
      <c r="K18" s="402">
        <f>GCS!H46</f>
        <v/>
      </c>
      <c r="N18" s="402">
        <f>GCS!J46</f>
        <v/>
      </c>
      <c r="O18" s="402">
        <f>+C18+G18+K18</f>
        <v/>
      </c>
      <c r="Q18" s="402">
        <f>+E18+I18</f>
        <v/>
      </c>
      <c r="R18" s="402">
        <f>+O18+Q18</f>
        <v/>
      </c>
    </row>
    <row r="19">
      <c r="C19" s="405">
        <f>SUM(C17:C18)</f>
        <v/>
      </c>
      <c r="E19" s="405">
        <f>SUM(E17:E18)</f>
        <v/>
      </c>
      <c r="F19" s="405">
        <f>SUM(F17:F18)</f>
        <v/>
      </c>
      <c r="G19" s="405">
        <f>SUM(G17:G18)</f>
        <v/>
      </c>
      <c r="I19" s="405">
        <f>SUM(I17:I18)</f>
        <v/>
      </c>
      <c r="J19" s="405">
        <f>SUM(J17:J18)</f>
        <v/>
      </c>
      <c r="K19" s="405">
        <f>SUM(K17:K18)</f>
        <v/>
      </c>
      <c r="L19" s="405">
        <f>SUM(L17:L18)</f>
        <v/>
      </c>
      <c r="M19" s="405">
        <f>SUM(M17:M18)</f>
        <v/>
      </c>
      <c r="N19" s="405">
        <f>SUM(N17:N18)</f>
        <v/>
      </c>
      <c r="O19" s="405">
        <f>SUM(O17:O18)</f>
        <v/>
      </c>
      <c r="Q19" s="405">
        <f>SUM(Q17:Q18)</f>
        <v/>
      </c>
      <c r="R19" s="405">
        <f>SUM(R17:R18)</f>
        <v/>
      </c>
    </row>
    <row r="20">
      <c r="A20" s="402" t="inlineStr">
        <is>
          <t>KD4A</t>
        </is>
      </c>
      <c r="C20" s="403">
        <f>'4A'!D13</f>
        <v/>
      </c>
      <c r="E20" s="403">
        <f>'4A'!E13</f>
        <v/>
      </c>
      <c r="F20" s="402">
        <f>'4A'!F13</f>
        <v/>
      </c>
      <c r="G20" s="403">
        <f>+'4A'!D9</f>
        <v/>
      </c>
      <c r="I20" s="403">
        <f>+'4A'!E9</f>
        <v/>
      </c>
      <c r="J20" s="403">
        <f>+'4A'!F9</f>
        <v/>
      </c>
      <c r="K20" s="403">
        <f>'4A'!D12</f>
        <v/>
      </c>
      <c r="L20" s="403" t="n"/>
      <c r="M20" s="403">
        <f>+'4A'!I9</f>
        <v/>
      </c>
      <c r="N20" s="403">
        <f>'4A'!F12</f>
        <v/>
      </c>
      <c r="O20" s="403">
        <f>C20+G20+K20</f>
        <v/>
      </c>
      <c r="Q20" s="403">
        <f>+E20+I20</f>
        <v/>
      </c>
      <c r="R20" s="402">
        <f>O20+Q20</f>
        <v/>
      </c>
    </row>
    <row r="21" customFormat="1" s="404">
      <c r="A21" s="404" t="inlineStr">
        <is>
          <t>c/lech</t>
        </is>
      </c>
      <c r="B21" s="404" t="inlineStr">
        <is>
          <t>GCS-4A</t>
        </is>
      </c>
      <c r="C21" s="404">
        <f>+C19-C20</f>
        <v/>
      </c>
      <c r="D21" s="404">
        <f>+D19-D20</f>
        <v/>
      </c>
      <c r="E21" s="404">
        <f>+E19-E20</f>
        <v/>
      </c>
      <c r="F21" s="404">
        <f>+F19-F20</f>
        <v/>
      </c>
      <c r="G21" s="404">
        <f>+G19-G20</f>
        <v/>
      </c>
      <c r="H21" s="404">
        <f>+H19-H20</f>
        <v/>
      </c>
      <c r="I21" s="404">
        <f>+I19-I20</f>
        <v/>
      </c>
      <c r="J21" s="404">
        <f>+J19-J20</f>
        <v/>
      </c>
      <c r="K21" s="404">
        <f>+K19-K20</f>
        <v/>
      </c>
      <c r="L21" s="404">
        <f>+L19-L20</f>
        <v/>
      </c>
      <c r="M21" s="404">
        <f>+M19-M20</f>
        <v/>
      </c>
      <c r="N21" s="404">
        <f>+N19-N20</f>
        <v/>
      </c>
      <c r="O21" s="404">
        <f>+O19-O20</f>
        <v/>
      </c>
      <c r="P21" s="404">
        <f>+P19-P20</f>
        <v/>
      </c>
      <c r="Q21" s="404">
        <f>+Q19-Q20</f>
        <v/>
      </c>
      <c r="R21" s="404">
        <f>+R19-R20</f>
        <v/>
      </c>
    </row>
    <row r="23">
      <c r="A23" s="402" t="inlineStr">
        <is>
          <t>GL0903</t>
        </is>
      </c>
      <c r="C23" s="409">
        <f>'0903'!X3</f>
        <v/>
      </c>
      <c r="G23" s="409">
        <f>'0903'!X4+'0903'!X1</f>
        <v/>
      </c>
      <c r="K23" s="409">
        <f>'0903'!X2</f>
        <v/>
      </c>
      <c r="O23" s="409">
        <f>SUM(C23:N23)</f>
        <v/>
      </c>
    </row>
    <row r="24" customFormat="1" s="404">
      <c r="A24" s="404" t="inlineStr">
        <is>
          <t>c/lech</t>
        </is>
      </c>
      <c r="B24" s="404" t="inlineStr">
        <is>
          <t>KD4A-GL0903</t>
        </is>
      </c>
      <c r="C24" s="404">
        <f>+C20-C23</f>
        <v/>
      </c>
      <c r="G24" s="404">
        <f>+G20-G23</f>
        <v/>
      </c>
      <c r="K24" s="404">
        <f>+K20-K23</f>
        <v/>
      </c>
      <c r="O24" s="404">
        <f>+O20-O23</f>
        <v/>
      </c>
    </row>
    <row r="26">
      <c r="A26" s="402" t="inlineStr">
        <is>
          <t>TA35</t>
        </is>
      </c>
      <c r="C26" s="407" t="n"/>
      <c r="D26" s="410" t="inlineStr">
        <is>
          <t>TA_035</t>
        </is>
      </c>
      <c r="E26" s="410" t="n"/>
      <c r="F26" s="411" t="inlineStr">
        <is>
          <t>GCS T8-2026 sang T9/26 HT</t>
        </is>
      </c>
      <c r="G26" s="411" t="n"/>
      <c r="H26" s="410" t="inlineStr">
        <is>
          <t>GCS T6-2026</t>
        </is>
      </c>
      <c r="I26" s="410" t="n"/>
      <c r="J26" s="412" t="inlineStr">
        <is>
          <t>Chênh lệch</t>
        </is>
      </c>
      <c r="K26" s="412" t="n"/>
      <c r="L26" s="413" t="n"/>
    </row>
    <row r="27">
      <c r="C27" s="407" t="n"/>
      <c r="D27" s="407" t="inlineStr">
        <is>
          <t>Doanh số</t>
        </is>
      </c>
      <c r="E27" s="407" t="inlineStr">
        <is>
          <t>Tiền thuế</t>
        </is>
      </c>
      <c r="F27" s="414" t="inlineStr">
        <is>
          <t>Doanh số</t>
        </is>
      </c>
      <c r="G27" s="414" t="inlineStr">
        <is>
          <t>Tiền thuế</t>
        </is>
      </c>
      <c r="H27" s="407" t="inlineStr">
        <is>
          <t>Doanh số</t>
        </is>
      </c>
      <c r="I27" s="407" t="inlineStr">
        <is>
          <t>Tiền thuế</t>
        </is>
      </c>
      <c r="J27" s="407" t="inlineStr">
        <is>
          <t>Doanh số</t>
        </is>
      </c>
      <c r="K27" s="407" t="inlineStr">
        <is>
          <t>Tiền thuế</t>
        </is>
      </c>
      <c r="L27" s="413" t="n"/>
    </row>
    <row r="28">
      <c r="C28" s="415" t="inlineStr">
        <is>
          <t>DIEN00</t>
        </is>
      </c>
      <c r="D28" s="415">
        <f>SUMIFS('TA35'!$H:$H,'TA35'!$T:$T,TAXVTA!$C28)</f>
        <v/>
      </c>
      <c r="E28" s="415">
        <f>SUMIFS('TA35'!$J:$J,'TA35'!$T:$T,TAXVTA!$C28)</f>
        <v/>
      </c>
      <c r="F28" s="414" t="n">
        <v>95198300</v>
      </c>
      <c r="G28" s="414" t="n"/>
      <c r="H28" s="415">
        <f>GCS!H39</f>
        <v/>
      </c>
      <c r="I28" s="415" t="n"/>
      <c r="J28" s="415">
        <f>D28-F28-H28</f>
        <v/>
      </c>
      <c r="K28" s="415">
        <f>E28-G28-I28</f>
        <v/>
      </c>
      <c r="L28" s="413" t="n"/>
    </row>
    <row r="29">
      <c r="C29" s="415" t="inlineStr">
        <is>
          <t>DIEN01</t>
        </is>
      </c>
      <c r="D29" s="415">
        <f>SUMIFS('TA35'!$H:$H,'TA35'!$T:$T,TAXVTA!$C29)</f>
        <v/>
      </c>
      <c r="E29" s="415">
        <f>SUMIFS('TA35'!$J:$J,'TA35'!$T:$T,TAXVTA!$C29)</f>
        <v/>
      </c>
      <c r="F29" s="414" t="n">
        <v>693017465643</v>
      </c>
      <c r="G29" s="414">
        <f>'33895'!M2</f>
        <v/>
      </c>
      <c r="H29" s="415">
        <f>GCS!H38</f>
        <v/>
      </c>
      <c r="I29" s="415">
        <f>GCS!I38</f>
        <v/>
      </c>
      <c r="J29" s="415">
        <f>D29-F29-H29</f>
        <v/>
      </c>
      <c r="K29" s="415">
        <f>E29-G29-I29</f>
        <v/>
      </c>
      <c r="L29" s="413" t="n"/>
    </row>
    <row r="30">
      <c r="C30" s="415" t="inlineStr">
        <is>
          <t>CSPK02</t>
        </is>
      </c>
      <c r="D30" s="415">
        <f>SUMIFS('TA35'!$H:$H,'TA35'!$T:$T,TAXVTA!$C30)+'TA35'!W5</f>
        <v/>
      </c>
      <c r="E30" s="415">
        <f>SUMIFS('TA35'!$J:$J,'TA35'!$T:$T,TAXVTA!$C30)</f>
        <v/>
      </c>
      <c r="F30" s="414" t="n">
        <v>538950224</v>
      </c>
      <c r="G30" s="414">
        <f>'33895'!M3</f>
        <v/>
      </c>
      <c r="H30" s="415">
        <f>GCS!L40</f>
        <v/>
      </c>
      <c r="I30" s="415">
        <f>GCS!M38</f>
        <v/>
      </c>
      <c r="J30" s="415">
        <f>D30-F30-H30</f>
        <v/>
      </c>
      <c r="K30" s="415">
        <f>E30-G30-I30</f>
        <v/>
      </c>
      <c r="L30" s="413" t="n"/>
    </row>
    <row r="31">
      <c r="C31" s="407" t="inlineStr">
        <is>
          <t>1388ĐĐ</t>
        </is>
      </c>
      <c r="D31" s="407">
        <f>SUMIFS('TA35'!$H:$H,'TA35'!$T:$T,TAXVTA!$C31)</f>
        <v/>
      </c>
      <c r="E31" s="407">
        <f>SUMIFS('TA35'!$J:$J,'TA35'!$T:$T,TAXVTA!$C31)</f>
        <v/>
      </c>
      <c r="F31" s="414" t="n"/>
      <c r="G31" s="414" t="n"/>
      <c r="H31" s="407" t="n"/>
      <c r="I31" s="407" t="n"/>
      <c r="J31" s="407" t="n"/>
      <c r="K31" s="407" t="n"/>
      <c r="L31" s="413" t="n"/>
    </row>
    <row r="32">
      <c r="C32" s="407" t="inlineStr">
        <is>
          <t>5118QT</t>
        </is>
      </c>
      <c r="D32" s="407">
        <f>SUMIFS('TA35'!$H:$H,'TA35'!$T:$T,TAXVTA!$C32)</f>
        <v/>
      </c>
      <c r="E32" s="407">
        <f>SUMIFS('TA35'!$J:$J,'TA35'!$T:$T,TAXVTA!$C32)</f>
        <v/>
      </c>
      <c r="F32" s="414" t="n"/>
      <c r="G32" s="414" t="n"/>
      <c r="H32" s="407" t="n"/>
      <c r="I32" s="407" t="n"/>
      <c r="J32" s="407" t="n"/>
      <c r="K32" s="407" t="n"/>
      <c r="L32" s="413" t="n"/>
    </row>
    <row r="33">
      <c r="C33" s="407" t="inlineStr">
        <is>
          <t>4500TT</t>
        </is>
      </c>
      <c r="D33" s="407">
        <f>SUMIFS('TA35'!$H:$H,'TA35'!$T:$T,TAXVTA!$C33)</f>
        <v/>
      </c>
      <c r="E33" s="407">
        <f>SUMIFS('TA35'!$J:$J,'TA35'!$T:$T,TAXVTA!$C33)</f>
        <v/>
      </c>
      <c r="F33" s="414" t="n"/>
      <c r="G33" s="414" t="n"/>
      <c r="H33" s="407" t="n"/>
      <c r="I33" s="407" t="n"/>
      <c r="J33" s="407" t="n"/>
      <c r="K33" s="407" t="n"/>
      <c r="L33" s="413" t="n"/>
    </row>
    <row r="34">
      <c r="C34" s="416" t="inlineStr">
        <is>
          <t>Cộng</t>
        </is>
      </c>
      <c r="D34" s="407">
        <f>SUM(D28:D33)</f>
        <v/>
      </c>
      <c r="E34" s="407">
        <f>SUM(E28:E33)</f>
        <v/>
      </c>
      <c r="F34" s="414">
        <f>SUM(F28:F33)</f>
        <v/>
      </c>
      <c r="G34" s="414">
        <f>SUM(G28:G33)</f>
        <v/>
      </c>
      <c r="H34" s="407">
        <f>SUM(H28:H33)</f>
        <v/>
      </c>
      <c r="I34" s="407">
        <f>SUM(I28:I33)</f>
        <v/>
      </c>
      <c r="J34" s="407">
        <f>SUM(J28:J33)</f>
        <v/>
      </c>
      <c r="K34" s="407">
        <f>SUM(K28:K33)</f>
        <v/>
      </c>
      <c r="L34" s="413" t="n"/>
    </row>
    <row r="35">
      <c r="L35" s="413" t="n"/>
    </row>
    <row r="36">
      <c r="A36" s="402" t="inlineStr">
        <is>
          <t>GL33895 (GL_038)</t>
        </is>
      </c>
      <c r="E36" s="417">
        <f>SUMIFS('33895'!$K:$K,'33895'!$J:$J,TAXVTA!C$15)</f>
        <v/>
      </c>
      <c r="I36" s="417">
        <f>SUMIFS('33895'!$K:$K,'33895'!$J:$J,TAXVTA!G$15)</f>
        <v/>
      </c>
      <c r="L36" s="413" t="n"/>
      <c r="Q36" s="417">
        <f>+E36+I36</f>
        <v/>
      </c>
    </row>
    <row r="37" customFormat="1" s="404">
      <c r="A37" s="404" t="inlineStr">
        <is>
          <t>c/lech</t>
        </is>
      </c>
      <c r="B37" s="404" t="inlineStr">
        <is>
          <t>KDGCS-GL33895</t>
        </is>
      </c>
      <c r="E37" s="404">
        <f>+E18-E36</f>
        <v/>
      </c>
      <c r="I37" s="404">
        <f>+I18-I36</f>
        <v/>
      </c>
      <c r="Q37" s="404">
        <f>+Q18-Q36</f>
        <v/>
      </c>
    </row>
    <row r="38">
      <c r="D38" s="402" t="inlineStr">
        <is>
          <t>Doanh số</t>
        </is>
      </c>
      <c r="E38" s="402" t="inlineStr">
        <is>
          <t>Tiền thuế</t>
        </is>
      </c>
      <c r="L38" s="413" t="n"/>
    </row>
    <row r="39">
      <c r="A39" s="402" t="inlineStr">
        <is>
          <t>TA030</t>
        </is>
      </c>
      <c r="B39" s="402" t="inlineStr">
        <is>
          <t>TK333111</t>
        </is>
      </c>
      <c r="D39" s="409">
        <f>'333111'!M2</f>
        <v/>
      </c>
      <c r="E39" s="402">
        <f>+'333111'!M7</f>
        <v/>
      </c>
      <c r="L39" s="413" t="n"/>
    </row>
    <row r="40" customFormat="1" s="404">
      <c r="A40" s="404" t="inlineStr">
        <is>
          <t>c/lech</t>
        </is>
      </c>
      <c r="B40" s="404" t="inlineStr">
        <is>
          <t>KDGCS-TA30</t>
        </is>
      </c>
      <c r="D40" s="404">
        <f>E17-D39</f>
        <v/>
      </c>
      <c r="E40" s="404">
        <f>D40+G29</f>
        <v/>
      </c>
    </row>
    <row r="41" customFormat="1" s="404">
      <c r="A41" s="404" t="inlineStr">
        <is>
          <t>c/lech</t>
        </is>
      </c>
      <c r="B41" s="404" t="inlineStr">
        <is>
          <t>TA35-TA30</t>
        </is>
      </c>
      <c r="D41" s="404">
        <f>E29-G29-D39</f>
        <v/>
      </c>
    </row>
    <row r="43" ht="20.4" customHeight="1" s="344">
      <c r="O43" s="209" t="inlineStr">
        <is>
          <t>Tên hàng hóa, dịch vụ</t>
        </is>
      </c>
      <c r="P43" s="210" t="inlineStr">
        <is>
          <t>Giá trị hàng hóa, dịch vụ chưa có thuế GTGT</t>
        </is>
      </c>
      <c r="Q43" s="211" t="inlineStr">
        <is>
          <t>Thuế GTGT của hàng hóa, dịch vụ bán ra được giảm</t>
        </is>
      </c>
    </row>
    <row r="44">
      <c r="A44" s="407" t="n"/>
      <c r="B44" s="418" t="inlineStr">
        <is>
          <t>Thuế đầu ra lên tờ khai</t>
        </is>
      </c>
      <c r="C44" s="416" t="inlineStr">
        <is>
          <t>Doanh,số</t>
        </is>
      </c>
      <c r="D44" s="416" t="inlineStr">
        <is>
          <t>thuế,suất</t>
        </is>
      </c>
      <c r="E44" s="416" t="inlineStr">
        <is>
          <t>Tiền,thuế</t>
        </is>
      </c>
      <c r="F44" s="416" t="inlineStr">
        <is>
          <t>Sau,thuế</t>
        </is>
      </c>
      <c r="G44" s="407" t="n"/>
      <c r="H44" s="407" t="n"/>
      <c r="I44" s="407" t="n"/>
      <c r="J44" s="407" t="n"/>
      <c r="K44" s="407" t="n"/>
      <c r="L44" s="407" t="n"/>
      <c r="M44" s="419" t="inlineStr">
        <is>
          <t>NHẬP LÊN TỜ KHÁI THUẾ THÁNG</t>
        </is>
      </c>
      <c r="O44" s="407" t="inlineStr">
        <is>
          <t>Hoạt động kinh doanh điện</t>
        </is>
      </c>
      <c r="P44" s="407">
        <f>C46+C48</f>
        <v/>
      </c>
      <c r="Q44" s="407">
        <f>E46+E48</f>
        <v/>
      </c>
    </row>
    <row r="45">
      <c r="A45" s="407" t="inlineStr">
        <is>
          <t>Điện</t>
        </is>
      </c>
      <c r="B45" s="420" t="inlineStr">
        <is>
          <t>DIEN00</t>
        </is>
      </c>
      <c r="C45" s="407">
        <f>SUMIFS('TA35'!$H:$H,'TA35'!$T:$T,TAXVTA!B45,'TA35'!$I:$I,TAXVTA!D45)</f>
        <v/>
      </c>
      <c r="D45" s="187" t="n">
        <v>0</v>
      </c>
      <c r="E45" s="407">
        <f>SUMIFS('TA35'!$J:$J,'TA35'!$T:$T,TAXVTA!B45,'TA35'!$I:$I,TAXVTA!D45)</f>
        <v/>
      </c>
      <c r="F45" s="407">
        <f>C45+E45</f>
        <v/>
      </c>
      <c r="G45" s="407" t="n"/>
      <c r="H45" s="407" t="n"/>
      <c r="I45" s="407" t="n"/>
      <c r="J45" s="407" t="n"/>
      <c r="K45" s="407" t="n">
        <v>91678635810</v>
      </c>
      <c r="L45" s="407" t="n"/>
      <c r="M45" s="421" t="n"/>
      <c r="O45" s="407" t="inlineStr">
        <is>
          <t>Điều động vật tư thiết bị</t>
        </is>
      </c>
      <c r="P45" s="407">
        <f>C49</f>
        <v/>
      </c>
      <c r="Q45" s="407">
        <f>E49</f>
        <v/>
      </c>
    </row>
    <row r="46">
      <c r="A46" s="407" t="inlineStr">
        <is>
          <t>Điện</t>
        </is>
      </c>
      <c r="B46" s="407" t="inlineStr">
        <is>
          <t>DIEN01</t>
        </is>
      </c>
      <c r="C46" s="407">
        <f>SUMIFS('TA35'!$H:$H,'TA35'!$T:$T,TAXVTA!B46,'TA35'!$I:$I,TAXVTA!D46)</f>
        <v/>
      </c>
      <c r="D46" s="407" t="n">
        <v>8</v>
      </c>
      <c r="E46" s="407">
        <f>SUMIFS('TA35'!$J:$J,'TA35'!$T:$T,TAXVTA!B46,'TA35'!$I:$I,TAXVTA!D46)</f>
        <v/>
      </c>
      <c r="F46" s="407">
        <f>C46+E46</f>
        <v/>
      </c>
      <c r="G46" s="407" t="n"/>
      <c r="H46" s="407" t="n"/>
      <c r="I46" s="407" t="n"/>
      <c r="J46" s="407" t="n"/>
      <c r="K46" s="407" t="n">
        <v>14156022</v>
      </c>
      <c r="L46" s="407" t="n"/>
      <c r="M46" s="421" t="n"/>
      <c r="O46" s="407" t="inlineStr">
        <is>
          <t>Cho thuê trụ</t>
        </is>
      </c>
      <c r="P46" s="407">
        <f>C51</f>
        <v/>
      </c>
      <c r="Q46" s="407">
        <f>E51</f>
        <v/>
      </c>
    </row>
    <row r="47">
      <c r="A47" s="407" t="inlineStr">
        <is>
          <t>Điện vô công</t>
        </is>
      </c>
      <c r="B47" s="407" t="inlineStr">
        <is>
          <t>CSPK00</t>
        </is>
      </c>
      <c r="C47" s="407">
        <f>SUMIFS('TA35'!$H:$H,'TA35'!$T:$T,TAXVTA!B47,'TA35'!$I:$I,TAXVTA!D47)</f>
        <v/>
      </c>
      <c r="D47" s="187" t="n">
        <v>0</v>
      </c>
      <c r="E47" s="407">
        <f>SUMIFS('TA35'!$J:$J,'TA35'!$T:$T,TAXVTA!B47,'TA35'!$I:$I,TAXVTA!D47)</f>
        <v/>
      </c>
      <c r="F47" s="407">
        <f>C47+E47</f>
        <v/>
      </c>
      <c r="G47" s="407" t="n"/>
      <c r="H47" s="407" t="n"/>
      <c r="I47" s="407" t="n"/>
      <c r="J47" s="407" t="n"/>
      <c r="K47" s="407" t="n">
        <v>7350000</v>
      </c>
      <c r="L47" s="407" t="n"/>
      <c r="M47" s="421" t="n"/>
      <c r="P47" s="402">
        <f>SUM(P44:P46)</f>
        <v/>
      </c>
      <c r="Q47" s="402">
        <f>SUM(Q44:Q46)</f>
        <v/>
      </c>
    </row>
    <row r="48">
      <c r="A48" s="407" t="inlineStr">
        <is>
          <t>Điện vô công</t>
        </is>
      </c>
      <c r="B48" s="407" t="inlineStr">
        <is>
          <t>CSPK02</t>
        </is>
      </c>
      <c r="C48" s="407">
        <f>SUMIFS('TA35'!$H:$H,'TA35'!$T:$T,TAXVTA!B48,'TA35'!$I:$I,TAXVTA!D48)</f>
        <v/>
      </c>
      <c r="D48" s="407" t="n">
        <v>8</v>
      </c>
      <c r="E48" s="407">
        <f>SUMIFS('TA35'!$J:$J,'TA35'!$T:$T,TAXVTA!B48,'TA35'!$I:$I,TAXVTA!D48)</f>
        <v/>
      </c>
      <c r="F48" s="407">
        <f>C48+E48</f>
        <v/>
      </c>
      <c r="G48" s="407" t="n"/>
      <c r="H48" s="407">
        <f>C46+C47</f>
        <v/>
      </c>
      <c r="I48" s="407">
        <f>E46+E47</f>
        <v/>
      </c>
      <c r="J48" s="407">
        <f>H48*10%</f>
        <v/>
      </c>
      <c r="K48" s="407" t="n">
        <v>127322953</v>
      </c>
      <c r="L48" s="407" t="n"/>
      <c r="M48" s="421" t="n"/>
    </row>
    <row r="49">
      <c r="A49" s="407" t="inlineStr">
        <is>
          <t>Điều động VTTB</t>
        </is>
      </c>
      <c r="B49" s="407" t="inlineStr">
        <is>
          <t>1388ĐĐ</t>
        </is>
      </c>
      <c r="C49" s="407">
        <f>SUMIFS('TA35'!$H:$H,'TA35'!$T:$T,TAXVTA!B49,'TA35'!$I:$I,TAXVTA!D49)</f>
        <v/>
      </c>
      <c r="D49" s="407" t="n">
        <v>8</v>
      </c>
      <c r="E49" s="407">
        <f>SUMIFS('TA35'!$J:$J,'TA35'!$T:$T,TAXVTA!B49,'TA35'!$I:$I,TAXVTA!D49)</f>
        <v/>
      </c>
      <c r="F49" s="407">
        <f>C49+E49</f>
        <v/>
      </c>
      <c r="G49" s="407" t="n"/>
      <c r="H49" s="407">
        <f>C46+C47+C48+C49+C52</f>
        <v/>
      </c>
      <c r="I49" s="407" t="n"/>
      <c r="J49" s="407">
        <f>H49*10%</f>
        <v/>
      </c>
      <c r="K49" s="407">
        <f>SUM(K45:K48)</f>
        <v/>
      </c>
      <c r="L49" s="407">
        <f>J49-K49</f>
        <v/>
      </c>
      <c r="M49" s="421" t="n"/>
    </row>
    <row r="50">
      <c r="A50" s="407" t="inlineStr">
        <is>
          <t>Điều động VTTB</t>
        </is>
      </c>
      <c r="B50" s="407" t="inlineStr">
        <is>
          <t>1388DD</t>
        </is>
      </c>
      <c r="C50" s="407">
        <f>SUMIFS('TA35'!$H:$H,'TA35'!$T:$T,TAXVTA!B50,'TA35'!$I:$I,TAXVTA!D50)</f>
        <v/>
      </c>
      <c r="D50" s="407" t="n">
        <v>10</v>
      </c>
      <c r="E50" s="407">
        <f>SUMIFS('TA35'!$J:$J,'TA35'!$T:$T,TAXVTA!B50,'TA35'!$I:$I,TAXVTA!D50)</f>
        <v/>
      </c>
      <c r="F50" s="407" t="n"/>
      <c r="G50" s="407" t="n"/>
      <c r="H50" s="407" t="n"/>
      <c r="I50" s="407" t="n"/>
      <c r="J50" s="407" t="n"/>
      <c r="K50" s="407" t="n"/>
      <c r="L50" s="407" t="n"/>
      <c r="M50" s="421" t="n"/>
    </row>
    <row r="51" ht="12" customHeight="1" s="344">
      <c r="A51" s="407" t="inlineStr">
        <is>
          <t>Cho thuê trụ điện</t>
        </is>
      </c>
      <c r="B51" s="407" t="inlineStr">
        <is>
          <t>4500TT</t>
        </is>
      </c>
      <c r="C51" s="407">
        <f>SUMIFS('TA35'!$H:$H,'TA35'!$T:$T,TAXVTA!B51,'TA35'!$I:$I,TAXVTA!D51)</f>
        <v/>
      </c>
      <c r="D51" s="407" t="n">
        <v>8</v>
      </c>
      <c r="E51" s="407">
        <f>SUMIFS('TA35'!$J:$J,'TA35'!$T:$T,TAXVTA!B51,'TA35'!$I:$I,TAXVTA!D51)</f>
        <v/>
      </c>
      <c r="F51" s="407">
        <f>C51+E51</f>
        <v/>
      </c>
      <c r="G51" s="407" t="n"/>
      <c r="H51" s="407" t="n"/>
      <c r="I51" s="407" t="n"/>
      <c r="J51" s="407" t="n"/>
      <c r="K51" s="407" t="n"/>
      <c r="L51" s="407" t="n"/>
      <c r="M51" s="421" t="n"/>
    </row>
    <row r="52">
      <c r="A52" s="407" t="n"/>
      <c r="B52" s="407" t="n"/>
      <c r="C52" s="407">
        <f>SUMIFS('TA35'!$H:$H,'TA35'!$T:$T,TAXVTA!$B52,'TA35'!$I:$I,TAXVTA!$D52)</f>
        <v/>
      </c>
      <c r="D52" s="407" t="n"/>
      <c r="E52" s="407">
        <f>SUMIFS('TA35'!$J:$J,'TA35'!$T:$T,TAXVTA!B52,'TA35'!$I:$I,TAXVTA!D52)</f>
        <v/>
      </c>
      <c r="F52" s="407">
        <f>C52+E52</f>
        <v/>
      </c>
      <c r="G52" s="407" t="n"/>
      <c r="H52" s="407" t="n"/>
      <c r="I52" s="407" t="n"/>
      <c r="J52" s="407" t="n"/>
      <c r="K52" s="407" t="n"/>
      <c r="L52" s="407" t="n"/>
      <c r="M52" s="421" t="n"/>
    </row>
    <row r="53">
      <c r="A53" s="407" t="n"/>
      <c r="B53" s="407" t="n"/>
      <c r="C53" s="415">
        <f>SUM(C45:C52)</f>
        <v/>
      </c>
      <c r="D53" s="407" t="n"/>
      <c r="E53" s="415">
        <f>SUM(E45:E52)</f>
        <v/>
      </c>
      <c r="F53" s="415">
        <f>SUM(F45:F52)</f>
        <v/>
      </c>
      <c r="G53" s="407" t="n"/>
      <c r="H53" s="407">
        <f>C53-C45</f>
        <v/>
      </c>
      <c r="I53" s="407" t="n"/>
      <c r="J53" s="407" t="n"/>
      <c r="K53" s="407" t="n"/>
      <c r="L53" s="407" t="n"/>
      <c r="M53" s="421" t="n"/>
    </row>
    <row r="54">
      <c r="A54" s="407" t="n"/>
      <c r="B54" s="407" t="n"/>
      <c r="C54" s="407">
        <f>'TA35'!H59</f>
        <v/>
      </c>
      <c r="D54" s="407" t="n"/>
      <c r="E54" s="407">
        <f>'TA35'!J51</f>
        <v/>
      </c>
      <c r="F54" s="407">
        <f>'TA35'!J54</f>
        <v/>
      </c>
      <c r="G54" s="407" t="n"/>
      <c r="H54" s="407" t="n"/>
      <c r="I54" s="407" t="n"/>
      <c r="J54" s="407" t="n"/>
      <c r="K54" s="407" t="n"/>
      <c r="L54" s="407" t="n"/>
      <c r="M54" s="421" t="n"/>
    </row>
    <row r="55">
      <c r="C55" s="402">
        <f>+C53-C54</f>
        <v/>
      </c>
      <c r="E55" s="402">
        <f>+E53-E54</f>
        <v/>
      </c>
      <c r="F55" s="402">
        <f>+F53-F54</f>
        <v/>
      </c>
      <c r="O55" s="403" t="n"/>
      <c r="P55" s="403" t="n"/>
      <c r="Q55" s="403" t="n"/>
    </row>
    <row r="56" customFormat="1" s="403">
      <c r="A56" s="403" t="inlineStr">
        <is>
          <t>TỜ,KHAI,THUẾ,GTGT</t>
        </is>
      </c>
      <c r="C56" s="403" t="inlineStr">
        <is>
          <t>2026T04</t>
        </is>
      </c>
      <c r="O56" s="402" t="n"/>
      <c r="P56" s="402" t="n"/>
      <c r="Q56" s="402" t="n"/>
    </row>
    <row r="57">
      <c r="O57" s="422" t="n"/>
      <c r="P57" s="422" t="n"/>
      <c r="Q57" s="422" t="n"/>
    </row>
    <row r="58" customFormat="1" s="422">
      <c r="C58" s="423" t="inlineStr">
        <is>
          <t>Đầu vào</t>
        </is>
      </c>
      <c r="D58" s="423" t="inlineStr">
        <is>
          <t>Doanh số</t>
        </is>
      </c>
      <c r="E58" s="423" t="inlineStr">
        <is>
          <t>thuế suất</t>
        </is>
      </c>
      <c r="F58" s="423" t="inlineStr">
        <is>
          <t>Tiền thuế</t>
        </is>
      </c>
      <c r="G58" s="423" t="inlineStr">
        <is>
          <t>Sau thuế</t>
        </is>
      </c>
      <c r="I58" s="423" t="inlineStr">
        <is>
          <t>Đầu ra</t>
        </is>
      </c>
      <c r="J58" s="423" t="inlineStr">
        <is>
          <t>Doanh số</t>
        </is>
      </c>
      <c r="K58" s="423" t="inlineStr">
        <is>
          <t>thuế suất</t>
        </is>
      </c>
      <c r="L58" s="423" t="inlineStr">
        <is>
          <t>Tiền thuế</t>
        </is>
      </c>
      <c r="M58" s="423" t="inlineStr">
        <is>
          <t>Sau thuế</t>
        </is>
      </c>
      <c r="N58" s="423" t="n"/>
      <c r="O58" s="402" t="n"/>
      <c r="P58" s="402" t="n"/>
      <c r="Q58" s="402" t="n"/>
    </row>
    <row r="59">
      <c r="B59" s="424" t="n"/>
      <c r="D59" s="425" t="n"/>
      <c r="E59" s="425" t="n"/>
      <c r="F59" s="425" t="n"/>
      <c r="G59" s="425" t="n"/>
      <c r="J59" s="402">
        <f>SUMIF('TA35'!$I:$I,TAXVTA!K59,'TA35'!$H:$H)</f>
        <v/>
      </c>
      <c r="K59" s="402" t="n">
        <v>0</v>
      </c>
      <c r="L59" s="402">
        <f>SUMIF('TA35'!$I:$I,TAXVTA!K59,'TA35'!$J:$J)</f>
        <v/>
      </c>
      <c r="M59" s="402">
        <f>J59+L59</f>
        <v/>
      </c>
      <c r="N59" s="425" t="n"/>
    </row>
    <row r="60">
      <c r="D60" s="402">
        <f>D9</f>
        <v/>
      </c>
      <c r="E60" s="402" t="n">
        <v>5</v>
      </c>
      <c r="F60" s="402">
        <f>F9</f>
        <v/>
      </c>
      <c r="G60" s="402">
        <f>D60+F60</f>
        <v/>
      </c>
      <c r="J60" s="402">
        <f>SUMIF('TA35'!$I:$I,TAXVTA!K60,'TA35'!$H:$H)</f>
        <v/>
      </c>
      <c r="K60" s="402" t="n">
        <v>5</v>
      </c>
      <c r="L60" s="402">
        <f>SUMIF('TA35'!$I:$I,TAXVTA!K60,'TA35'!$J:$J)</f>
        <v/>
      </c>
      <c r="M60" s="402">
        <f>J60+L60</f>
        <v/>
      </c>
      <c r="N60" s="425" t="n"/>
    </row>
    <row r="61">
      <c r="D61" s="402">
        <f>D10</f>
        <v/>
      </c>
      <c r="E61" s="402" t="n">
        <v>8</v>
      </c>
      <c r="F61" s="402">
        <f>F10</f>
        <v/>
      </c>
      <c r="G61" s="402">
        <f>D61+F61</f>
        <v/>
      </c>
      <c r="J61" s="402">
        <f>SUMIF('TA35'!$I:$I,TAXVTA!K61,'TA35'!$H:$H)</f>
        <v/>
      </c>
      <c r="K61" s="402" t="n">
        <v>8</v>
      </c>
      <c r="L61" s="402">
        <f>SUMIF('TA35'!$I:$I,TAXVTA!K61,'TA35'!$J:$J)</f>
        <v/>
      </c>
      <c r="M61" s="402">
        <f>J61+L61</f>
        <v/>
      </c>
      <c r="N61" s="425" t="n"/>
    </row>
    <row r="62">
      <c r="D62" s="402">
        <f>D11</f>
        <v/>
      </c>
      <c r="E62" s="402" t="n">
        <v>10</v>
      </c>
      <c r="F62" s="402">
        <f>F11</f>
        <v/>
      </c>
      <c r="G62" s="402">
        <f>D62+F62</f>
        <v/>
      </c>
      <c r="J62" s="402">
        <f>SUMIF('TA35'!$I:$I,TAXVTA!K62,'TA35'!$H:$H)</f>
        <v/>
      </c>
      <c r="K62" s="402" t="n">
        <v>10</v>
      </c>
      <c r="L62" s="402">
        <f>SUMIF('TA35'!$I:$I,TAXVTA!K62,'TA35'!$J:$J)</f>
        <v/>
      </c>
      <c r="M62" s="402">
        <f>J62+L62</f>
        <v/>
      </c>
      <c r="N62" s="425" t="n"/>
      <c r="Q62" s="426" t="n"/>
    </row>
    <row r="63">
      <c r="A63" s="126" t="n"/>
      <c r="D63" s="405">
        <f>SUM(D60:D62)</f>
        <v/>
      </c>
      <c r="E63" s="405" t="n"/>
      <c r="F63" s="405">
        <f>SUM(F60:F62)</f>
        <v/>
      </c>
      <c r="G63" s="405">
        <f>SUM(G60:G62)</f>
        <v/>
      </c>
      <c r="J63" s="405">
        <f>SUM(J59:J62)</f>
        <v/>
      </c>
      <c r="K63" s="405" t="n"/>
      <c r="L63" s="405">
        <f>SUM(L59:L62)</f>
        <v/>
      </c>
      <c r="M63" s="405">
        <f>SUM(M59:M62)</f>
        <v/>
      </c>
      <c r="N63" s="425" t="n"/>
    </row>
    <row r="64">
      <c r="D64" s="402" t="n">
        <v>1291317159290</v>
      </c>
      <c r="F64" s="402" t="n">
        <v>103209196176</v>
      </c>
      <c r="G64" s="402">
        <f>D64+F64</f>
        <v/>
      </c>
      <c r="J64" s="402">
        <f>'TA35'!H54</f>
        <v/>
      </c>
      <c r="K64" s="425" t="n"/>
      <c r="L64" s="402">
        <f>'TA35'!J54</f>
        <v/>
      </c>
      <c r="M64" s="425" t="n"/>
      <c r="N64" s="425" t="n"/>
    </row>
    <row r="65">
      <c r="D65" s="402">
        <f>D63-D64</f>
        <v/>
      </c>
      <c r="F65" s="402">
        <f>F63-F64</f>
        <v/>
      </c>
      <c r="J65" s="402">
        <f>J63-J64</f>
        <v/>
      </c>
      <c r="K65" s="425" t="n"/>
      <c r="L65" s="402">
        <f>L63-L64</f>
        <v/>
      </c>
      <c r="M65" s="425" t="n"/>
      <c r="N65" s="425" t="n"/>
    </row>
    <row r="66">
      <c r="A66" s="402" t="inlineStr">
        <is>
          <t>số trên tokhai</t>
        </is>
      </c>
      <c r="B66" s="402" t="inlineStr">
        <is>
          <t>dauky dauvao(N13311)</t>
        </is>
      </c>
      <c r="E66" s="405">
        <f>'13311'!I1</f>
        <v/>
      </c>
      <c r="G66" s="402">
        <f>+(E66+F68)-(F69-E67)-G67</f>
        <v/>
      </c>
      <c r="H66" s="402" t="inlineStr">
        <is>
          <t>số dư Nợ 13311</t>
        </is>
      </c>
      <c r="K66" s="425" t="n"/>
      <c r="L66" s="425" t="n"/>
      <c r="M66" s="425" t="n"/>
      <c r="N66" s="425" t="n"/>
    </row>
    <row r="67">
      <c r="B67" s="402" t="inlineStr">
        <is>
          <t>dauky daura (N333111)</t>
        </is>
      </c>
      <c r="E67" s="413">
        <f>'333111'!J1</f>
        <v/>
      </c>
      <c r="G67" s="402">
        <f>+E67</f>
        <v/>
      </c>
      <c r="H67" s="402" t="inlineStr">
        <is>
          <t>số dư Nợ 333111</t>
        </is>
      </c>
      <c r="K67" s="425" t="n"/>
      <c r="L67" s="425" t="n"/>
      <c r="M67" s="425" t="n"/>
      <c r="N67" s="425" t="n"/>
    </row>
    <row r="68">
      <c r="B68" s="402" t="inlineStr">
        <is>
          <t>dauvao trong thang</t>
        </is>
      </c>
      <c r="D68" s="402">
        <f>D63</f>
        <v/>
      </c>
      <c r="F68" s="402">
        <f>F63</f>
        <v/>
      </c>
      <c r="K68" s="425" t="n"/>
      <c r="L68" s="425" t="n"/>
      <c r="M68" s="425" t="n"/>
      <c r="N68" s="425" t="n"/>
    </row>
    <row r="69">
      <c r="B69" s="402" t="inlineStr">
        <is>
          <t>daura trong thang</t>
        </is>
      </c>
      <c r="D69" s="402">
        <f>J63</f>
        <v/>
      </c>
      <c r="F69" s="402">
        <f>L63</f>
        <v/>
      </c>
      <c r="K69" s="425" t="n"/>
      <c r="L69" s="425" t="n"/>
      <c r="M69" s="425" t="n"/>
      <c r="N69" s="425" t="n"/>
    </row>
    <row r="70" ht="15.5" customHeight="1" s="344">
      <c r="D70" s="402">
        <f>SUM(D68:D69)</f>
        <v/>
      </c>
      <c r="F70" s="427">
        <f>F69-F68-E67</f>
        <v/>
      </c>
      <c r="G70" s="402">
        <f>SUM(G66:G67)</f>
        <v/>
      </c>
      <c r="H70" s="428">
        <f>IF(F70&lt;0,"còn được khấu trừ tháng sau, 333111=0, dư nợ 13311", "nộp thuế tháng này")</f>
        <v/>
      </c>
      <c r="K70" s="425" t="n"/>
      <c r="L70" s="425" t="n"/>
      <c r="M70" s="425" t="n"/>
      <c r="N70" s="425" t="n"/>
    </row>
    <row r="71">
      <c r="K71" s="425" t="n"/>
      <c r="L71" s="425" t="n"/>
      <c r="M71" s="425" t="n"/>
      <c r="N71" s="425" t="n"/>
      <c r="O71" s="427" t="n"/>
      <c r="P71" s="427" t="n"/>
      <c r="Q71" s="427" t="n"/>
    </row>
    <row r="72" customFormat="1" s="427">
      <c r="O72" s="429" t="n"/>
      <c r="P72" s="402" t="n"/>
      <c r="Q72" s="402" t="n"/>
    </row>
    <row r="73">
      <c r="E73" s="430" t="inlineStr">
        <is>
          <t>TK,333111</t>
        </is>
      </c>
      <c r="F73" s="431" t="n"/>
      <c r="K73" s="429" t="inlineStr">
        <is>
          <t xml:space="preserve">                             TK 13311</t>
        </is>
      </c>
      <c r="L73" s="429" t="n"/>
      <c r="M73" s="429" t="n"/>
      <c r="N73" s="429" t="n"/>
    </row>
    <row r="74">
      <c r="D74" s="402" t="inlineStr">
        <is>
          <t>số dư HCM</t>
        </is>
      </c>
      <c r="E74" s="432">
        <f>+'333111'!J1-E75</f>
        <v/>
      </c>
      <c r="F74" s="402" t="inlineStr">
        <is>
          <t>số này sẽ được khấu trừ trong năm 2026</t>
        </is>
      </c>
      <c r="J74" s="402" t="inlineStr">
        <is>
          <t>số dư SPC (đúng)</t>
        </is>
      </c>
      <c r="K74" s="433">
        <f>'13311'!I1</f>
        <v/>
      </c>
      <c r="M74" s="434" t="inlineStr">
        <is>
          <t>số dư Nợ 13311 của SPC không được, để nguyên</t>
        </is>
      </c>
      <c r="N74" s="434" t="n"/>
    </row>
    <row r="75">
      <c r="D75" s="402" t="inlineStr">
        <is>
          <t>số dư SPC</t>
        </is>
      </c>
      <c r="E75" s="435" t="n">
        <v>1500000000</v>
      </c>
      <c r="F75" s="434" t="inlineStr">
        <is>
          <t>số nộp dư của SCP Nợ TK333111 --&gt; không được khấu trừ, để nguyên</t>
        </is>
      </c>
      <c r="J75" s="436" t="n"/>
      <c r="K75" s="436" t="n"/>
      <c r="L75" s="437" t="n"/>
      <c r="M75" s="402" t="inlineStr">
        <is>
          <t>đ/c giảm đầu vào của Tân Thuận (đã làm tờ đ/c trong T2/2024+T3/2024)</t>
        </is>
      </c>
      <c r="N75" s="434" t="n"/>
    </row>
    <row r="76">
      <c r="D76" s="436" t="n"/>
      <c r="E76" s="438" t="n"/>
      <c r="K76" s="439" t="n"/>
      <c r="L76" s="434" t="n"/>
      <c r="M76" s="434" t="n"/>
      <c r="N76" s="434" t="n"/>
    </row>
    <row r="77">
      <c r="E77" s="440" t="n"/>
      <c r="K77" s="440" t="n"/>
      <c r="L77" s="434" t="n"/>
      <c r="M77" s="434" t="n"/>
      <c r="N77" s="434" t="n"/>
    </row>
    <row r="78">
      <c r="D78" s="402" t="inlineStr">
        <is>
          <t>psinh tháng này</t>
        </is>
      </c>
      <c r="E78" s="441" t="n"/>
      <c r="F78" s="405">
        <f>'333111'!F29</f>
        <v/>
      </c>
      <c r="J78" s="402" t="inlineStr">
        <is>
          <t>psinh tháng này</t>
        </is>
      </c>
      <c r="K78" s="442">
        <f>'13311'!E1090</f>
        <v/>
      </c>
      <c r="L78" s="434" t="n"/>
      <c r="M78" s="434" t="n"/>
      <c r="N78" s="434" t="n"/>
      <c r="O78" s="402" t="inlineStr">
        <is>
          <t xml:space="preserve">Cộng phát sinh </t>
        </is>
      </c>
    </row>
    <row r="79">
      <c r="D79" s="436" t="inlineStr">
        <is>
          <t>KC 13311-333111 (SXKD)</t>
        </is>
      </c>
      <c r="E79" s="440">
        <f>+L79</f>
        <v/>
      </c>
      <c r="J79" s="436" t="inlineStr">
        <is>
          <t>KC 133-333</t>
        </is>
      </c>
      <c r="K79" s="440" t="n"/>
      <c r="L79" s="402">
        <f>'13311'!F1090</f>
        <v/>
      </c>
      <c r="M79" s="434" t="n"/>
      <c r="N79" s="434" t="n"/>
    </row>
    <row r="80">
      <c r="D80" s="436" t="inlineStr">
        <is>
          <t>KC 13313-333111 (XDCB)</t>
        </is>
      </c>
      <c r="E80" s="440">
        <f>'333111'!E24+'333111'!E25</f>
        <v/>
      </c>
      <c r="K80" s="440" t="n"/>
      <c r="L80" s="434" t="n"/>
      <c r="M80" s="434" t="n"/>
      <c r="N80" s="434" t="n"/>
    </row>
    <row r="81">
      <c r="D81" s="436" t="n"/>
      <c r="E81" s="440" t="n"/>
      <c r="K81" s="440" t="n"/>
      <c r="L81" s="402" t="n"/>
      <c r="M81" s="434" t="n"/>
      <c r="N81" s="434" t="n"/>
    </row>
    <row r="82">
      <c r="E82" s="440" t="n"/>
      <c r="K82" s="439" t="n"/>
      <c r="M82" s="434" t="n"/>
      <c r="N82" s="434" t="n"/>
    </row>
    <row r="83">
      <c r="E83" s="443">
        <f>+E79+E80</f>
        <v/>
      </c>
      <c r="F83" s="444">
        <f>+F78</f>
        <v/>
      </c>
      <c r="K83" s="443">
        <f>+K78</f>
        <v/>
      </c>
      <c r="L83" s="444">
        <f>+L79</f>
        <v/>
      </c>
      <c r="M83" s="434" t="n"/>
      <c r="N83" s="434" t="n"/>
    </row>
    <row r="84">
      <c r="A84" s="402" t="n">
        <v>91242750075</v>
      </c>
      <c r="D84" s="402" t="inlineStr">
        <is>
          <t>số dư HCM</t>
        </is>
      </c>
      <c r="E84" s="445">
        <f>+E74+E83-F83</f>
        <v/>
      </c>
      <c r="G84" s="402" t="inlineStr">
        <is>
          <t>số còn được cấn trừ tháng sau</t>
        </is>
      </c>
      <c r="K84" s="446">
        <f>K74+K83-L75-L83</f>
        <v/>
      </c>
      <c r="M84" s="402" t="inlineStr">
        <is>
          <t>giữ nguyên số dư</t>
        </is>
      </c>
      <c r="N84" s="434" t="n"/>
    </row>
    <row r="85">
      <c r="D85" s="402" t="inlineStr">
        <is>
          <t>số dư SPC</t>
        </is>
      </c>
      <c r="E85" s="437">
        <f>+E75</f>
        <v/>
      </c>
      <c r="G85" s="402" t="inlineStr">
        <is>
          <t>giữ nguyên số dư</t>
        </is>
      </c>
      <c r="J85" s="402" t="inlineStr">
        <is>
          <t>số dư SPC</t>
        </is>
      </c>
      <c r="K85" s="402" t="n">
        <v>60549888887</v>
      </c>
      <c r="N85" s="434" t="n"/>
    </row>
    <row r="86">
      <c r="D86" s="427" t="inlineStr">
        <is>
          <t>CỘNG</t>
        </is>
      </c>
      <c r="E86" s="446">
        <f>+E84+E85</f>
        <v/>
      </c>
      <c r="F86" s="427" t="n"/>
      <c r="G86" s="427" t="inlineStr">
        <is>
          <t>Số thuế phải nộp</t>
        </is>
      </c>
      <c r="J86" s="402" t="inlineStr">
        <is>
          <t>Số còn được KT thực tế</t>
        </is>
      </c>
      <c r="K86" s="447">
        <f>K84-K85</f>
        <v/>
      </c>
      <c r="L86" s="402" t="n">
        <v>17787372540</v>
      </c>
      <c r="M86" s="402">
        <f>K86-L86</f>
        <v/>
      </c>
      <c r="N86" s="434" t="n"/>
    </row>
    <row r="87">
      <c r="E87" s="402" t="inlineStr">
        <is>
          <t>số dư cuối cùng</t>
        </is>
      </c>
      <c r="N87" s="434" t="n"/>
    </row>
    <row r="89">
      <c r="E89" s="402">
        <f>'333111'!J3</f>
        <v/>
      </c>
      <c r="K89" s="402">
        <f>'13311'!I4</f>
        <v/>
      </c>
      <c r="O89" s="404" t="n"/>
      <c r="P89" s="404" t="n"/>
      <c r="Q89" s="404" t="n"/>
    </row>
    <row r="90" customFormat="1" s="404">
      <c r="D90" s="404" t="inlineStr">
        <is>
          <t>c/lech</t>
        </is>
      </c>
      <c r="E90" s="404">
        <f>E86-E89</f>
        <v/>
      </c>
      <c r="J90" s="404" t="inlineStr">
        <is>
          <t>c/lech</t>
        </is>
      </c>
      <c r="K90" s="404">
        <f>K84-K89</f>
        <v/>
      </c>
      <c r="O90" s="402" t="n"/>
      <c r="P90" s="402" t="n"/>
      <c r="Q90" s="402" t="n"/>
    </row>
    <row r="93">
      <c r="C93" s="402" t="inlineStr">
        <is>
          <t>Đ/cgiảm thuế GTGT đầu vào T2/2024 cho PC Tân Thuận</t>
        </is>
      </c>
      <c r="E93" s="402" t="n">
        <v>-1477840</v>
      </c>
    </row>
    <row r="94">
      <c r="C94" s="402" t="inlineStr">
        <is>
          <t>Đ/cgiảm thuế GTGT đầu vào T3/2024 cho PC Tân Thuận</t>
        </is>
      </c>
      <c r="E94" s="402" t="n">
        <v>-2920764</v>
      </c>
    </row>
    <row r="95">
      <c r="E95" s="402">
        <f>SUM(E93:E94)</f>
        <v/>
      </c>
    </row>
    <row r="96">
      <c r="E96" s="402">
        <f>E84+E95</f>
        <v/>
      </c>
    </row>
    <row r="97">
      <c r="K97" s="402" t="n">
        <v>17787372540</v>
      </c>
    </row>
    <row r="98">
      <c r="K98" s="402">
        <f>K97-K86</f>
        <v/>
      </c>
    </row>
    <row r="99">
      <c r="K99" s="402" t="n">
        <v>6687911564</v>
      </c>
    </row>
    <row r="100">
      <c r="K100" s="402">
        <f>K98-K99</f>
        <v/>
      </c>
    </row>
    <row r="103">
      <c r="K103" s="402">
        <f>K101-K102</f>
        <v/>
      </c>
    </row>
    <row r="117">
      <c r="H117" s="402" t="inlineStr">
        <is>
          <t>[22]</t>
        </is>
      </c>
    </row>
    <row r="123">
      <c r="H123" s="402" t="inlineStr">
        <is>
          <t>[25]</t>
        </is>
      </c>
    </row>
    <row r="136">
      <c r="H136" s="402" t="inlineStr">
        <is>
          <t>[35]</t>
        </is>
      </c>
    </row>
    <row r="143">
      <c r="K143" s="402">
        <f>-I117</f>
        <v/>
      </c>
    </row>
    <row r="144">
      <c r="K144" s="402">
        <f>-I123</f>
        <v/>
      </c>
    </row>
    <row r="145">
      <c r="K145" s="402">
        <f>+I136</f>
        <v/>
      </c>
    </row>
    <row r="146">
      <c r="K146" s="405">
        <f>SUM(K143:K145)</f>
        <v/>
      </c>
      <c r="L146" s="405" t="n"/>
      <c r="M146" s="405" t="n"/>
      <c r="N146" s="405" t="n"/>
    </row>
    <row r="147">
      <c r="K147" s="402">
        <f>K146-E81</f>
        <v/>
      </c>
    </row>
    <row r="150">
      <c r="H150" s="402" t="inlineStr">
        <is>
          <t>[40]</t>
        </is>
      </c>
      <c r="I150" s="427">
        <f>K146</f>
        <v/>
      </c>
    </row>
    <row r="151">
      <c r="B151" s="434" t="inlineStr">
        <is>
          <t>chỉtiêu22:lấytừchỉtiêu43củatờkhailầnđầucủathángliềnkềtrước</t>
        </is>
      </c>
    </row>
    <row r="152">
      <c r="B152" s="434" t="inlineStr">
        <is>
          <t>SốthuếGTGTcònđượckhấutrừtănggiảmsẽnhậpvàochỉtiêu37+38</t>
        </is>
      </c>
    </row>
    <row r="153">
      <c r="H153" s="436" t="inlineStr">
        <is>
          <t>sốphảinộp</t>
        </is>
      </c>
      <c r="I153" s="402">
        <f>I150</f>
        <v/>
      </c>
    </row>
    <row r="154">
      <c r="H154" s="436" t="inlineStr">
        <is>
          <t>cấntrừnộpthừa</t>
        </is>
      </c>
      <c r="I154" s="402">
        <f>E75</f>
        <v/>
      </c>
    </row>
    <row r="155">
      <c r="I155" s="448">
        <f>+I153-I154</f>
        <v/>
      </c>
      <c r="J155" s="402" t="inlineStr">
        <is>
          <t>sốthuếnộpthựctếtháng7/2025</t>
        </is>
      </c>
    </row>
  </sheetData>
  <autoFilter ref="J73:K74"/>
  <mergeCells count="2">
    <mergeCell ref="E73:F73"/>
    <mergeCell ref="M44:M54"/>
  </mergeCells>
  <pageMargins left="0.7" right="0.7" top="0.75" bottom="0.75" header="0.3" footer="0.3"/>
  <pageSetup orientation="portrait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T64"/>
  <sheetViews>
    <sheetView zoomScale="80" zoomScaleNormal="80" workbookViewId="0">
      <selection activeCell="D54" sqref="D54"/>
    </sheetView>
  </sheetViews>
  <sheetFormatPr baseColWidth="8" defaultColWidth="9" defaultRowHeight="15.5"/>
  <cols>
    <col width="6.4140625" customWidth="1" style="5" min="1" max="1"/>
    <col width="11.9140625" customWidth="1" style="5" min="2" max="2"/>
    <col width="5.9140625" customWidth="1" style="5" min="3" max="3"/>
    <col width="20.58203125" customWidth="1" style="5" min="4" max="4"/>
    <col width="22.08203125" customWidth="1" style="25" min="5" max="5"/>
    <col width="21.1640625" customWidth="1" style="449" min="6" max="6"/>
    <col width="15.9140625" bestFit="1" customWidth="1" style="449" min="7" max="7"/>
    <col width="18.58203125" customWidth="1" style="450" min="8" max="8"/>
    <col width="17.6640625" customWidth="1" style="449" min="9" max="9"/>
    <col width="17.5" bestFit="1" customWidth="1" style="449" min="10" max="10"/>
    <col width="19.08203125" customWidth="1" style="449" min="11" max="11"/>
    <col width="14.58203125" customWidth="1" style="449" min="12" max="12"/>
    <col width="15.9140625" bestFit="1" customWidth="1" style="449" min="13" max="13"/>
    <col width="17.5" bestFit="1" customWidth="1" style="449" min="14" max="14"/>
    <col width="18.08203125" customWidth="1" style="12" min="15" max="15"/>
    <col width="15.9140625" bestFit="1" customWidth="1" style="12" min="16" max="16"/>
    <col width="9" customWidth="1" style="5" min="17" max="19"/>
    <col width="11.4140625" customWidth="1" style="5" min="20" max="20"/>
    <col width="9" customWidth="1" style="5" min="21" max="23"/>
    <col width="17.6640625" customWidth="1" style="5" min="24" max="24"/>
    <col width="9" customWidth="1" style="5" min="25" max="16384"/>
  </cols>
  <sheetData>
    <row r="1" ht="12.75" customFormat="1" customHeight="1" s="20">
      <c r="A1" s="297" t="n"/>
      <c r="B1" s="225" t="n"/>
      <c r="C1" s="226" t="n"/>
      <c r="D1" s="226" t="n"/>
      <c r="E1" s="227" t="n"/>
      <c r="F1" s="226" t="n"/>
      <c r="G1" s="226" t="n"/>
      <c r="H1" s="226" t="n"/>
      <c r="I1" s="226" t="n"/>
      <c r="J1" s="226" t="n"/>
      <c r="K1" s="226" t="n"/>
      <c r="L1" s="226" t="n"/>
      <c r="M1" s="226" t="n"/>
      <c r="N1" s="225" t="n"/>
      <c r="O1" s="228" t="n"/>
    </row>
    <row r="2" ht="14" customFormat="1" customHeight="1" s="20">
      <c r="A2" s="297" t="inlineStr">
        <is>
          <t>TỔNG CÔNG TY ĐIỆN LỰC THÀNH PHỐ HỒ CHÍ MINH TNHH</t>
        </is>
      </c>
      <c r="G2" s="229" t="n"/>
      <c r="H2" s="229" t="n"/>
      <c r="I2" s="229" t="n"/>
      <c r="J2" s="226" t="n"/>
      <c r="K2" s="226" t="n"/>
      <c r="L2" s="226" t="n"/>
      <c r="M2" s="226" t="n"/>
      <c r="N2" s="225" t="n"/>
      <c r="O2" s="228" t="n"/>
    </row>
    <row r="3" ht="14" customFormat="1" customHeight="1" s="20">
      <c r="A3" s="298" t="inlineStr">
        <is>
          <t>CÔNG TY ĐIỆN LỰC VŨNG TÀU</t>
        </is>
      </c>
      <c r="G3" s="229" t="n"/>
      <c r="H3" s="229" t="n"/>
      <c r="I3" s="229" t="n"/>
      <c r="J3" s="226" t="n"/>
      <c r="K3" s="226" t="n"/>
      <c r="L3" s="226" t="n"/>
      <c r="M3" s="226" t="n"/>
      <c r="N3" s="225" t="n"/>
      <c r="O3" s="228" t="n"/>
    </row>
    <row r="4" ht="12.75" customFormat="1" customHeight="1" s="20">
      <c r="A4" s="297" t="n"/>
      <c r="B4" s="225" t="n"/>
      <c r="C4" s="226" t="n"/>
      <c r="D4" s="226" t="n"/>
      <c r="E4" s="227" t="n"/>
      <c r="F4" s="226" t="n"/>
      <c r="G4" s="226" t="n"/>
      <c r="H4" s="226" t="n"/>
      <c r="I4" s="226" t="n"/>
      <c r="J4" s="226" t="n"/>
      <c r="K4" s="226" t="n"/>
      <c r="L4" s="226" t="n"/>
      <c r="M4" s="226" t="n"/>
      <c r="N4" s="225" t="n"/>
      <c r="O4" s="228" t="n"/>
    </row>
    <row r="5" ht="19" customFormat="1" customHeight="1" s="20">
      <c r="A5" s="299" t="inlineStr">
        <is>
          <t>BÁO CÁO TỔNG HỢP THEO NGÀY GHI CHỈ SỐ VÀ PHÁT HÀNH HÓA ĐƠN</t>
        </is>
      </c>
      <c r="P5" s="22" t="n"/>
      <c r="Q5" s="22" t="n"/>
    </row>
    <row r="6" ht="19" customFormat="1" customHeight="1" s="20">
      <c r="A6" s="300" t="inlineStr">
        <is>
          <t>Tháng năm: 09/2026</t>
        </is>
      </c>
    </row>
    <row r="7" ht="14" customFormat="1" customHeight="1" s="20">
      <c r="A7" s="297" t="n"/>
      <c r="B7" s="297" t="n"/>
      <c r="C7" s="230" t="n"/>
      <c r="D7" s="230" t="n"/>
      <c r="E7" s="227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97" t="n"/>
      <c r="O7" s="231" t="n"/>
      <c r="P7" s="27" t="n"/>
      <c r="Q7" s="27" t="n"/>
    </row>
    <row r="8" ht="14" customFormat="1" customHeight="1" s="20">
      <c r="A8" s="451" t="inlineStr">
        <is>
          <t>Stt</t>
        </is>
      </c>
      <c r="B8" s="451" t="inlineStr">
        <is>
          <t>Ngày ghi</t>
        </is>
      </c>
      <c r="C8" s="307" t="inlineStr">
        <is>
          <t>Số sổ GCS</t>
        </is>
      </c>
      <c r="D8" s="307" t="inlineStr">
        <is>
          <t>Số hóa đơn</t>
        </is>
      </c>
      <c r="E8" s="452" t="inlineStr">
        <is>
          <t>Ngày phát hành hóa đơn</t>
        </is>
      </c>
      <c r="F8" s="307" t="inlineStr">
        <is>
          <t>Điện năng tiêu thụ</t>
        </is>
      </c>
      <c r="G8" s="453" t="n"/>
      <c r="H8" s="454" t="n"/>
      <c r="I8" s="307" t="inlineStr">
        <is>
          <t>Tiền điện tác dụng</t>
        </is>
      </c>
      <c r="J8" s="307" t="inlineStr">
        <is>
          <t>Thuế điện tác dụng</t>
        </is>
      </c>
      <c r="K8" s="307" t="inlineStr">
        <is>
          <t>Tổng tiền điện tác dụng</t>
        </is>
      </c>
      <c r="L8" s="307" t="inlineStr">
        <is>
          <t>Tiền CSPK</t>
        </is>
      </c>
      <c r="M8" s="307" t="inlineStr">
        <is>
          <t>Thuế CSPK</t>
        </is>
      </c>
      <c r="N8" s="451" t="inlineStr">
        <is>
          <t>Tổng tiền CSPK</t>
        </is>
      </c>
      <c r="O8" s="455" t="inlineStr">
        <is>
          <t>Tổng cộng</t>
        </is>
      </c>
      <c r="P8" s="27" t="n"/>
      <c r="Q8" s="27" t="n"/>
    </row>
    <row r="9" ht="14" customFormat="1" customHeight="1" s="20">
      <c r="A9" s="456" t="n"/>
      <c r="B9" s="456" t="n"/>
      <c r="C9" s="456" t="n"/>
      <c r="D9" s="456" t="n"/>
      <c r="E9" s="456" t="n"/>
      <c r="F9" s="307" t="inlineStr">
        <is>
          <t>SH</t>
        </is>
      </c>
      <c r="G9" s="307" t="inlineStr">
        <is>
          <t>Ngoài SH</t>
        </is>
      </c>
      <c r="H9" s="307" t="inlineStr">
        <is>
          <t>Tổng</t>
        </is>
      </c>
      <c r="I9" s="456" t="n"/>
      <c r="J9" s="456" t="n"/>
      <c r="K9" s="456" t="n"/>
      <c r="L9" s="456" t="n"/>
      <c r="M9" s="456" t="n"/>
      <c r="N9" s="456" t="n"/>
      <c r="O9" s="456" t="n"/>
      <c r="P9" s="27" t="n"/>
      <c r="Q9" s="27" t="n"/>
    </row>
    <row r="10" customFormat="1" s="20">
      <c r="A10" s="457" t="inlineStr">
        <is>
          <t>Loại hoá đơn : Hủy bỏ</t>
        </is>
      </c>
      <c r="B10" s="453" t="n"/>
      <c r="C10" s="454" t="n"/>
      <c r="D10" s="233" t="n"/>
      <c r="E10" s="234" t="n"/>
      <c r="F10" s="233" t="n"/>
      <c r="G10" s="233" t="n"/>
      <c r="H10" s="233" t="n"/>
      <c r="I10" s="233" t="n"/>
      <c r="J10" s="233" t="n"/>
      <c r="K10" s="233" t="n"/>
      <c r="L10" s="233" t="n"/>
      <c r="M10" s="233" t="n"/>
      <c r="N10" s="235" t="n"/>
      <c r="O10" s="236" t="n"/>
      <c r="P10" s="449" t="n"/>
    </row>
    <row r="11" customFormat="1" s="20">
      <c r="A11" s="458" t="n">
        <v>1</v>
      </c>
      <c r="B11" s="238" t="inlineStr">
        <is>
          <t>30/09/2026</t>
        </is>
      </c>
      <c r="C11" s="233" t="n">
        <v>8</v>
      </c>
      <c r="D11" s="233" t="n">
        <v>9</v>
      </c>
      <c r="E11" s="239" t="n">
        <v>46295</v>
      </c>
      <c r="F11" s="233" t="n">
        <v>-8593</v>
      </c>
      <c r="G11" s="233" t="n">
        <v>-18326</v>
      </c>
      <c r="H11" s="233" t="n">
        <v>-26919</v>
      </c>
      <c r="I11" s="233" t="n">
        <v>-90228084</v>
      </c>
      <c r="J11" s="233" t="n">
        <v>-7218247</v>
      </c>
      <c r="K11" s="233" t="n">
        <v>-97446331</v>
      </c>
      <c r="L11" s="233" t="n">
        <v>-896068</v>
      </c>
      <c r="M11" s="233" t="n">
        <v>-71685</v>
      </c>
      <c r="N11" s="240" t="n">
        <v>-967753</v>
      </c>
      <c r="O11" s="233" t="n">
        <v>-98414084</v>
      </c>
      <c r="P11" s="449" t="inlineStr">
        <is>
          <t>TRONGTHANG</t>
        </is>
      </c>
    </row>
    <row r="12" customFormat="1" s="20">
      <c r="A12" s="295" t="inlineStr">
        <is>
          <t>Tổng số</t>
        </is>
      </c>
      <c r="B12" s="453" t="n"/>
      <c r="C12" s="241" t="n">
        <v>8</v>
      </c>
      <c r="D12" s="241" t="n">
        <v>9</v>
      </c>
      <c r="E12" s="241" t="n"/>
      <c r="F12" s="241" t="n">
        <v>-8593</v>
      </c>
      <c r="G12" s="241" t="n">
        <v>-18326</v>
      </c>
      <c r="H12" s="241" t="n">
        <v>-26919</v>
      </c>
      <c r="I12" s="241" t="n">
        <v>-90228084</v>
      </c>
      <c r="J12" s="241" t="n">
        <v>-7218247</v>
      </c>
      <c r="K12" s="241" t="n">
        <v>-97446331</v>
      </c>
      <c r="L12" s="241" t="n">
        <v>-896068</v>
      </c>
      <c r="M12" s="241" t="n">
        <v>-71685</v>
      </c>
      <c r="N12" s="241" t="n">
        <v>-967753</v>
      </c>
      <c r="O12" s="241" t="n">
        <v>-98414084</v>
      </c>
      <c r="P12" s="449" t="n"/>
    </row>
    <row r="13" customFormat="1" s="21">
      <c r="A13" s="457" t="inlineStr">
        <is>
          <t>Loại hoá đơn : Lặp lại</t>
        </is>
      </c>
      <c r="B13" s="453" t="n"/>
      <c r="C13" s="454" t="n"/>
      <c r="D13" s="233" t="n"/>
      <c r="E13" s="242" t="n"/>
      <c r="F13" s="233" t="n"/>
      <c r="G13" s="233" t="n"/>
      <c r="H13" s="233" t="n"/>
      <c r="I13" s="233" t="n"/>
      <c r="J13" s="233" t="n"/>
      <c r="K13" s="233" t="n"/>
      <c r="L13" s="233" t="n"/>
      <c r="M13" s="233" t="n"/>
      <c r="N13" s="233" t="n"/>
      <c r="O13" s="233" t="n"/>
      <c r="P13" s="449" t="n"/>
    </row>
    <row r="14" customFormat="1" s="21">
      <c r="A14" s="243" t="n">
        <v>2</v>
      </c>
      <c r="B14" s="238" t="inlineStr">
        <is>
          <t>30/09/2026</t>
        </is>
      </c>
      <c r="C14" s="233" t="n">
        <v>8</v>
      </c>
      <c r="D14" s="233" t="n">
        <v>9</v>
      </c>
      <c r="E14" s="239" t="n">
        <v>46295</v>
      </c>
      <c r="F14" s="233" t="n">
        <v>1812</v>
      </c>
      <c r="G14" s="233" t="n">
        <v>13634</v>
      </c>
      <c r="H14" s="233" t="n">
        <v>15446</v>
      </c>
      <c r="I14" s="233" t="n">
        <v>54987416</v>
      </c>
      <c r="J14" s="233" t="n">
        <v>4398992</v>
      </c>
      <c r="K14" s="233" t="n">
        <v>59386408</v>
      </c>
      <c r="L14" s="233" t="n">
        <v>0</v>
      </c>
      <c r="M14" s="233" t="n">
        <v>0</v>
      </c>
      <c r="N14" s="240" t="n">
        <v>0</v>
      </c>
      <c r="O14" s="233" t="n">
        <v>59386408</v>
      </c>
      <c r="P14" s="449" t="inlineStr">
        <is>
          <t>TRONGTHANG</t>
        </is>
      </c>
    </row>
    <row r="15" customFormat="1" s="21">
      <c r="A15" s="291" t="inlineStr">
        <is>
          <t>Tổng số:</t>
        </is>
      </c>
      <c r="B15" s="454" t="n"/>
      <c r="C15" s="244" t="n">
        <v>8</v>
      </c>
      <c r="D15" s="244" t="n">
        <v>9</v>
      </c>
      <c r="E15" s="244" t="n"/>
      <c r="F15" s="244" t="n">
        <v>1812</v>
      </c>
      <c r="G15" s="244" t="n">
        <v>13634</v>
      </c>
      <c r="H15" s="244" t="n">
        <v>15446</v>
      </c>
      <c r="I15" s="244" t="n">
        <v>54987416</v>
      </c>
      <c r="J15" s="244" t="n">
        <v>4398992</v>
      </c>
      <c r="K15" s="244" t="n">
        <v>59386408</v>
      </c>
      <c r="L15" s="244" t="n">
        <v>0</v>
      </c>
      <c r="M15" s="244" t="n">
        <v>0</v>
      </c>
      <c r="N15" s="244" t="n">
        <v>0</v>
      </c>
      <c r="O15" s="244" t="n">
        <v>59386408</v>
      </c>
      <c r="P15" s="449" t="n"/>
    </row>
    <row r="16" customFormat="1" s="21">
      <c r="A16" s="457" t="inlineStr">
        <is>
          <t>Loại hoá đơn : Phát sinh</t>
        </is>
      </c>
      <c r="B16" s="453" t="n"/>
      <c r="C16" s="454" t="n"/>
      <c r="D16" s="233" t="n"/>
      <c r="E16" s="242" t="n"/>
      <c r="F16" s="233" t="n"/>
      <c r="G16" s="233" t="n"/>
      <c r="H16" s="233" t="n"/>
      <c r="I16" s="233" t="n"/>
      <c r="J16" s="233" t="n"/>
      <c r="K16" s="233" t="n"/>
      <c r="L16" s="233" t="n"/>
      <c r="M16" s="233" t="n"/>
      <c r="N16" s="233" t="n"/>
      <c r="O16" s="233" t="n"/>
      <c r="P16" s="449" t="n"/>
    </row>
    <row r="17" customFormat="1" s="21">
      <c r="A17" s="243" t="n">
        <v>3</v>
      </c>
      <c r="B17" s="238" t="inlineStr">
        <is>
          <t>10/09/2026</t>
        </is>
      </c>
      <c r="C17" s="233" t="n">
        <v>21</v>
      </c>
      <c r="D17" s="233" t="n">
        <v>450</v>
      </c>
      <c r="E17" s="239" t="n">
        <v>46276</v>
      </c>
      <c r="F17" s="233" t="n">
        <v>1677</v>
      </c>
      <c r="G17" s="233" t="n">
        <v>158599806</v>
      </c>
      <c r="H17" s="233" t="n">
        <v>158601483</v>
      </c>
      <c r="I17" s="233" t="n">
        <v>305939385736</v>
      </c>
      <c r="J17" s="233" t="n">
        <v>24466693819</v>
      </c>
      <c r="K17" s="233" t="n">
        <v>330406079555</v>
      </c>
      <c r="L17" s="233" t="n">
        <v>188521298</v>
      </c>
      <c r="M17" s="233" t="n">
        <v>15081702</v>
      </c>
      <c r="N17" s="240" t="n">
        <v>203603000</v>
      </c>
      <c r="O17" s="233" t="n">
        <v>330609682555</v>
      </c>
      <c r="P17" s="449" t="inlineStr">
        <is>
          <t>TRONGTHANG</t>
        </is>
      </c>
    </row>
    <row r="18" customFormat="1" s="21">
      <c r="A18" s="243" t="n">
        <v>4</v>
      </c>
      <c r="B18" s="238" t="inlineStr">
        <is>
          <t>15/09/2026</t>
        </is>
      </c>
      <c r="C18" s="233" t="n">
        <v>9</v>
      </c>
      <c r="D18" s="233" t="n">
        <v>190</v>
      </c>
      <c r="E18" s="239" t="n">
        <v>46281</v>
      </c>
      <c r="F18" s="233" t="n">
        <v>9285</v>
      </c>
      <c r="G18" s="233" t="n">
        <v>4567698</v>
      </c>
      <c r="H18" s="233" t="n">
        <v>4576983</v>
      </c>
      <c r="I18" s="233" t="n">
        <v>11196063409</v>
      </c>
      <c r="J18" s="233" t="n">
        <v>895685075</v>
      </c>
      <c r="K18" s="233" t="n">
        <v>12091748484</v>
      </c>
      <c r="L18" s="233" t="n">
        <v>47189941</v>
      </c>
      <c r="M18" s="233" t="n">
        <v>3775196</v>
      </c>
      <c r="N18" s="240" t="n">
        <v>50965137</v>
      </c>
      <c r="O18" s="233" t="n">
        <v>12142713621</v>
      </c>
      <c r="P18" s="449" t="inlineStr">
        <is>
          <t>TRONGTHANG</t>
        </is>
      </c>
      <c r="T18" s="449" t="n"/>
    </row>
    <row r="19" customFormat="1" s="21">
      <c r="A19" s="243" t="n">
        <v>5</v>
      </c>
      <c r="B19" s="238" t="inlineStr">
        <is>
          <t>20/09/2026</t>
        </is>
      </c>
      <c r="C19" s="233" t="n">
        <v>21</v>
      </c>
      <c r="D19" s="233" t="n">
        <v>456</v>
      </c>
      <c r="E19" s="239" t="n">
        <v>46286</v>
      </c>
      <c r="F19" s="233" t="n">
        <v>1382</v>
      </c>
      <c r="G19" s="233" t="n">
        <v>179974564</v>
      </c>
      <c r="H19" s="233" t="n">
        <v>179975946</v>
      </c>
      <c r="I19" s="233" t="n">
        <v>340503392283</v>
      </c>
      <c r="J19" s="233" t="n">
        <v>27232232700</v>
      </c>
      <c r="K19" s="233" t="n">
        <v>367735624983</v>
      </c>
      <c r="L19" s="233" t="n">
        <v>122527217</v>
      </c>
      <c r="M19" s="233" t="n">
        <v>9802181</v>
      </c>
      <c r="N19" s="240" t="n">
        <v>132329398</v>
      </c>
      <c r="O19" s="233" t="n">
        <v>367867954381</v>
      </c>
      <c r="P19" s="449" t="inlineStr">
        <is>
          <t>TRONGTHANG</t>
        </is>
      </c>
    </row>
    <row r="20" customFormat="1" s="20">
      <c r="A20" s="243" t="n">
        <v>6</v>
      </c>
      <c r="B20" s="238" t="inlineStr">
        <is>
          <t>30/09/2026</t>
        </is>
      </c>
      <c r="C20" s="233" t="n">
        <v>2030</v>
      </c>
      <c r="D20" s="233" t="n">
        <v>237539</v>
      </c>
      <c r="E20" s="239" t="n">
        <v>46297</v>
      </c>
      <c r="F20" s="233" t="n">
        <v>77607796</v>
      </c>
      <c r="G20" s="233" t="n">
        <v>224896711</v>
      </c>
      <c r="H20" s="233" t="n">
        <v>302504507</v>
      </c>
      <c r="I20" s="233" t="n">
        <v>678922434286</v>
      </c>
      <c r="J20" s="233" t="n">
        <v>54304559408</v>
      </c>
      <c r="K20" s="233" t="n">
        <v>733226993694</v>
      </c>
      <c r="L20" s="233" t="n">
        <v>556214881</v>
      </c>
      <c r="M20" s="233" t="n">
        <v>44497199</v>
      </c>
      <c r="N20" s="240" t="n">
        <v>600712080</v>
      </c>
      <c r="O20" s="233" t="n">
        <v>733827705774</v>
      </c>
      <c r="P20" s="449" t="inlineStr">
        <is>
          <t>CUOITHANG</t>
        </is>
      </c>
    </row>
    <row r="21" customFormat="1" s="21">
      <c r="A21" s="291" t="inlineStr">
        <is>
          <t>Tổng số:</t>
        </is>
      </c>
      <c r="B21" s="454" t="n"/>
      <c r="C21" s="244" t="n">
        <v>2081</v>
      </c>
      <c r="D21" s="244" t="n">
        <v>238635</v>
      </c>
      <c r="E21" s="245" t="n"/>
      <c r="F21" s="244" t="n">
        <v>77620140</v>
      </c>
      <c r="G21" s="244" t="n">
        <v>568038779</v>
      </c>
      <c r="H21" s="244" t="n">
        <v>645658919</v>
      </c>
      <c r="I21" s="244" t="n">
        <v>1336561275714</v>
      </c>
      <c r="J21" s="244" t="n">
        <v>106899171002</v>
      </c>
      <c r="K21" s="244" t="n">
        <v>1443460446716</v>
      </c>
      <c r="L21" s="244" t="n">
        <v>914453337</v>
      </c>
      <c r="M21" s="244" t="n">
        <v>73156278</v>
      </c>
      <c r="N21" s="244" t="n">
        <v>987609615</v>
      </c>
      <c r="O21" s="244" t="n">
        <v>1444448056331</v>
      </c>
      <c r="P21" s="449" t="n"/>
    </row>
    <row r="22" customFormat="1" s="21">
      <c r="A22" s="246" t="inlineStr">
        <is>
          <t>Loại hoá đơn : Thoái hoàn</t>
        </is>
      </c>
      <c r="B22" s="247" t="n"/>
      <c r="C22" s="248" t="n"/>
      <c r="D22" s="233" t="n"/>
      <c r="E22" s="242" t="n"/>
      <c r="F22" s="233" t="n"/>
      <c r="G22" s="233" t="n"/>
      <c r="H22" s="233" t="n"/>
      <c r="I22" s="233" t="n"/>
      <c r="J22" s="233" t="n"/>
      <c r="K22" s="233" t="n"/>
      <c r="L22" s="233" t="n"/>
      <c r="M22" s="233" t="n"/>
      <c r="N22" s="235" t="n"/>
      <c r="O22" s="236" t="n"/>
      <c r="P22" s="449" t="n"/>
    </row>
    <row r="23" customFormat="1" s="20">
      <c r="A23" s="243" t="n">
        <v>7</v>
      </c>
      <c r="B23" s="238" t="inlineStr">
        <is>
          <t>30/09/2026</t>
        </is>
      </c>
      <c r="C23" s="233" t="n">
        <v>6</v>
      </c>
      <c r="D23" s="233" t="n">
        <v>6</v>
      </c>
      <c r="E23" s="239" t="n">
        <v>46295</v>
      </c>
      <c r="F23" s="233" t="n">
        <v>-3191</v>
      </c>
      <c r="G23" s="233" t="n">
        <v>-800</v>
      </c>
      <c r="H23" s="233" t="n">
        <v>-3991</v>
      </c>
      <c r="I23" s="233" t="n">
        <v>-12575260</v>
      </c>
      <c r="J23" s="233" t="n">
        <v>-1006021</v>
      </c>
      <c r="K23" s="233" t="n">
        <v>-13581281</v>
      </c>
      <c r="L23" s="233" t="n">
        <v>0</v>
      </c>
      <c r="M23" s="233" t="n">
        <v>0</v>
      </c>
      <c r="N23" s="240" t="n">
        <v>0</v>
      </c>
      <c r="O23" s="233" t="n">
        <v>-13581281</v>
      </c>
      <c r="P23" s="449" t="inlineStr">
        <is>
          <t>TRONGTHANG</t>
        </is>
      </c>
    </row>
    <row r="24" customFormat="1" s="20">
      <c r="A24" s="292" t="inlineStr">
        <is>
          <t>Tổng số:</t>
        </is>
      </c>
      <c r="B24" s="454" t="n"/>
      <c r="C24" s="244" t="n">
        <v>6</v>
      </c>
      <c r="D24" s="244" t="n">
        <v>6</v>
      </c>
      <c r="E24" s="244" t="n"/>
      <c r="F24" s="244" t="n">
        <v>-3191</v>
      </c>
      <c r="G24" s="244" t="n">
        <v>-800</v>
      </c>
      <c r="H24" s="244" t="n">
        <v>-3991</v>
      </c>
      <c r="I24" s="244" t="n">
        <v>-12575260</v>
      </c>
      <c r="J24" s="244" t="n">
        <v>-1006021</v>
      </c>
      <c r="K24" s="244" t="n">
        <v>-13581281</v>
      </c>
      <c r="L24" s="244" t="n">
        <v>0</v>
      </c>
      <c r="M24" s="244" t="n">
        <v>0</v>
      </c>
      <c r="N24" s="244" t="n">
        <v>0</v>
      </c>
      <c r="O24" s="244" t="n">
        <v>-13581281</v>
      </c>
      <c r="P24" s="449" t="n"/>
    </row>
    <row r="25" customFormat="1" s="20">
      <c r="A25" s="246" t="inlineStr">
        <is>
          <t>Loại hoá đơn : Truy thu</t>
        </is>
      </c>
      <c r="B25" s="248" t="n"/>
      <c r="C25" s="233" t="n"/>
      <c r="D25" s="233" t="n"/>
      <c r="E25" s="242" t="n"/>
      <c r="F25" s="233" t="n"/>
      <c r="G25" s="233" t="n"/>
      <c r="H25" s="233" t="n"/>
      <c r="I25" s="233" t="n"/>
      <c r="J25" s="233" t="n"/>
      <c r="K25" s="233" t="n"/>
      <c r="L25" s="233" t="n"/>
      <c r="M25" s="233" t="n"/>
      <c r="N25" s="235" t="n"/>
      <c r="O25" s="236" t="n"/>
      <c r="P25" s="449" t="n"/>
    </row>
    <row r="26" customFormat="1" s="20">
      <c r="A26" s="458" t="n">
        <v>8</v>
      </c>
      <c r="B26" s="238" t="inlineStr">
        <is>
          <t>10/09/2026</t>
        </is>
      </c>
      <c r="C26" s="233" t="n">
        <v>3</v>
      </c>
      <c r="D26" s="233" t="n">
        <v>6</v>
      </c>
      <c r="E26" s="239" t="n">
        <v>46276</v>
      </c>
      <c r="F26" s="233" t="n">
        <v>0</v>
      </c>
      <c r="G26" s="233" t="n">
        <v>35252</v>
      </c>
      <c r="H26" s="233" t="n">
        <v>35252</v>
      </c>
      <c r="I26" s="233" t="n">
        <v>82523432</v>
      </c>
      <c r="J26" s="233" t="n">
        <v>6601875</v>
      </c>
      <c r="K26" s="233" t="n">
        <v>89125307</v>
      </c>
      <c r="L26" s="233" t="n">
        <v>0</v>
      </c>
      <c r="M26" s="233" t="n">
        <v>0</v>
      </c>
      <c r="N26" s="240" t="n">
        <v>0</v>
      </c>
      <c r="O26" s="233" t="n">
        <v>89125307</v>
      </c>
      <c r="P26" s="449" t="inlineStr">
        <is>
          <t>TRONGTHANG</t>
        </is>
      </c>
    </row>
    <row r="27" customFormat="1" s="20">
      <c r="A27" s="458" t="n">
        <v>9</v>
      </c>
      <c r="B27" s="238" t="inlineStr">
        <is>
          <t>15/09/2026</t>
        </is>
      </c>
      <c r="C27" s="233" t="n">
        <v>1</v>
      </c>
      <c r="D27" s="233" t="n">
        <v>1</v>
      </c>
      <c r="E27" s="239" t="n">
        <v>46281</v>
      </c>
      <c r="F27" s="233" t="n">
        <v>0</v>
      </c>
      <c r="G27" s="233" t="n">
        <v>0</v>
      </c>
      <c r="H27" s="233" t="n">
        <v>0</v>
      </c>
      <c r="I27" s="233" t="n">
        <v>0</v>
      </c>
      <c r="J27" s="233" t="n">
        <v>0</v>
      </c>
      <c r="K27" s="233" t="n">
        <v>0</v>
      </c>
      <c r="L27" s="233" t="n">
        <v>0</v>
      </c>
      <c r="M27" s="233" t="n">
        <v>0</v>
      </c>
      <c r="N27" s="240" t="n">
        <v>0</v>
      </c>
      <c r="O27" s="233" t="n">
        <v>0</v>
      </c>
      <c r="P27" s="449" t="inlineStr">
        <is>
          <t>TRONGTHANG</t>
        </is>
      </c>
    </row>
    <row r="28" customFormat="1" s="28">
      <c r="A28" s="292" t="n">
        <v>10</v>
      </c>
      <c r="B28" s="454" t="n"/>
      <c r="C28" s="244" t="n">
        <v>17</v>
      </c>
      <c r="D28" s="244" t="n">
        <v>24</v>
      </c>
      <c r="E28" s="573" t="n">
        <v>46297</v>
      </c>
      <c r="F28" s="244" t="n">
        <v>20532</v>
      </c>
      <c r="G28" s="244" t="n">
        <v>102389</v>
      </c>
      <c r="H28" s="244" t="n">
        <v>122921</v>
      </c>
      <c r="I28" s="244" t="n">
        <v>414704832</v>
      </c>
      <c r="J28" s="244" t="n">
        <v>33176388</v>
      </c>
      <c r="K28" s="244" t="n">
        <v>447881220</v>
      </c>
      <c r="L28" s="244" t="n">
        <v>0</v>
      </c>
      <c r="M28" s="244" t="n">
        <v>0</v>
      </c>
      <c r="N28" s="244" t="n">
        <v>0</v>
      </c>
      <c r="O28" s="244" t="n">
        <v>447881220</v>
      </c>
      <c r="P28" s="449" t="inlineStr">
        <is>
          <t>CUOITHANG</t>
        </is>
      </c>
    </row>
    <row r="29" customFormat="1" s="28">
      <c r="A29" s="291" t="inlineStr">
        <is>
          <t>Tổng số:</t>
        </is>
      </c>
      <c r="B29" s="454" t="n"/>
      <c r="C29" s="244" t="n">
        <v>21</v>
      </c>
      <c r="D29" s="244" t="n">
        <v>31</v>
      </c>
      <c r="E29" s="249" t="n"/>
      <c r="F29" s="244" t="n">
        <v>20532</v>
      </c>
      <c r="G29" s="244" t="n">
        <v>137641</v>
      </c>
      <c r="H29" s="244" t="n">
        <v>158173</v>
      </c>
      <c r="I29" s="244" t="n">
        <v>497228264</v>
      </c>
      <c r="J29" s="244" t="n">
        <v>39778263</v>
      </c>
      <c r="K29" s="244" t="n">
        <v>537006527</v>
      </c>
      <c r="L29" s="244" t="n">
        <v>0</v>
      </c>
      <c r="M29" s="244" t="n">
        <v>0</v>
      </c>
      <c r="N29" s="244" t="n">
        <v>0</v>
      </c>
      <c r="O29" s="244" t="n">
        <v>537006527</v>
      </c>
      <c r="P29" s="449" t="n"/>
    </row>
    <row r="30">
      <c r="O30" s="449" t="n"/>
    </row>
    <row r="31" customFormat="1" s="10">
      <c r="E31" s="26" t="n"/>
      <c r="F31" s="459" t="n"/>
      <c r="G31" s="459" t="n"/>
      <c r="H31" s="460" t="inlineStr">
        <is>
          <t>TIENDIEN</t>
        </is>
      </c>
      <c r="I31" s="459" t="inlineStr">
        <is>
          <t>THUE DIEN</t>
        </is>
      </c>
      <c r="J31" s="459" t="inlineStr">
        <is>
          <t>TONG</t>
        </is>
      </c>
      <c r="K31" s="459" t="inlineStr">
        <is>
          <t>CSPK</t>
        </is>
      </c>
      <c r="L31" s="459" t="inlineStr">
        <is>
          <t>THUE CSPK</t>
        </is>
      </c>
      <c r="M31" s="459" t="inlineStr">
        <is>
          <t>TONG CSPK</t>
        </is>
      </c>
      <c r="N31" s="459" t="n"/>
      <c r="O31" s="12" t="n"/>
      <c r="P31" s="12" t="n"/>
    </row>
    <row r="33">
      <c r="G33" s="449" t="inlineStr">
        <is>
          <t>TRONGTHANG</t>
        </is>
      </c>
      <c r="H33" s="450">
        <f>SUMIF($P:$P,G33,$I:$I)</f>
        <v/>
      </c>
      <c r="I33" s="450">
        <f>SUMIF($P:$P,G33,$J:$J)</f>
        <v/>
      </c>
      <c r="J33" s="450">
        <f>SUMIF($P:$P,G33,$K:$K)</f>
        <v/>
      </c>
      <c r="K33" s="450">
        <f>SUMIF($P:$P,G33,$L:$L)</f>
        <v/>
      </c>
      <c r="L33" s="450">
        <f>SUMIF($P:$P,G33,$M:$M)</f>
        <v/>
      </c>
      <c r="M33" s="450">
        <f>SUMIF($P:$P,G33,$N:$N)</f>
        <v/>
      </c>
      <c r="N33" s="450">
        <f>SUMIF($P:$P,G33,$O:$O)</f>
        <v/>
      </c>
    </row>
    <row r="34">
      <c r="G34" s="449" t="inlineStr">
        <is>
          <t>CUOITHANG</t>
        </is>
      </c>
      <c r="H34" s="450">
        <f>SUMIF($P:$P,G34,$I:$I)</f>
        <v/>
      </c>
      <c r="I34" s="450">
        <f>SUMIF($P:$P,G34,$J:$J)</f>
        <v/>
      </c>
      <c r="J34" s="450">
        <f>SUMIF($P:$P,G34,$K:$K)</f>
        <v/>
      </c>
      <c r="K34" s="450">
        <f>SUMIF($P:$P,G34,$L:$L)</f>
        <v/>
      </c>
      <c r="L34" s="450">
        <f>SUMIF($P:$P,G34,$M:$M)</f>
        <v/>
      </c>
      <c r="M34" s="450">
        <f>SUMIF($P:$P,G34,$N:$N)</f>
        <v/>
      </c>
      <c r="N34" s="450">
        <f>SUMIF($P:$P,G34,$O:$O)</f>
        <v/>
      </c>
    </row>
    <row r="35">
      <c r="H35" s="460">
        <f>SUM(H33:H34)</f>
        <v/>
      </c>
      <c r="I35" s="459">
        <f>SUM(I33:I34)</f>
        <v/>
      </c>
      <c r="J35" s="461">
        <f>SUM(J33:J34)</f>
        <v/>
      </c>
      <c r="K35" s="459">
        <f>SUM(K33:K34)</f>
        <v/>
      </c>
      <c r="L35" s="459">
        <f>SUM(L33:L34)</f>
        <v/>
      </c>
      <c r="M35" s="461">
        <f>SUM(M33:M34)</f>
        <v/>
      </c>
      <c r="N35" s="459">
        <f>SUM(N33:N34)</f>
        <v/>
      </c>
    </row>
    <row r="36">
      <c r="H36" s="450">
        <f>H35-D54-D56</f>
        <v/>
      </c>
      <c r="I36" s="450">
        <f>I35-E54</f>
        <v/>
      </c>
      <c r="J36" s="450">
        <f>J35-F54-F56</f>
        <v/>
      </c>
      <c r="K36" s="450">
        <f>K35-D55</f>
        <v/>
      </c>
      <c r="L36" s="450">
        <f>L35-E55</f>
        <v/>
      </c>
      <c r="M36" s="450">
        <f>M35-F55</f>
        <v/>
      </c>
      <c r="N36" s="450">
        <f>N35-F58</f>
        <v/>
      </c>
    </row>
    <row r="37">
      <c r="E37" s="449" t="inlineStr">
        <is>
          <t>Trong đó</t>
        </is>
      </c>
      <c r="F37" s="462" t="inlineStr">
        <is>
          <t>TRONGTHANG</t>
        </is>
      </c>
      <c r="G37" s="462" t="n"/>
      <c r="H37" s="463" t="n"/>
      <c r="I37" s="463" t="n"/>
      <c r="J37" s="463" t="n"/>
      <c r="K37" s="463" t="n"/>
      <c r="L37" s="463" t="n"/>
      <c r="M37" s="463" t="n"/>
      <c r="N37" s="463" t="n"/>
    </row>
    <row r="38">
      <c r="G38" s="449" t="inlineStr">
        <is>
          <t>DIEN01</t>
        </is>
      </c>
      <c r="H38" s="450">
        <f>H33-H39</f>
        <v/>
      </c>
      <c r="I38" s="450">
        <f>I33-I39</f>
        <v/>
      </c>
      <c r="J38" s="450">
        <f>J33-J39</f>
        <v/>
      </c>
      <c r="L38" s="450">
        <f>K33-L39</f>
        <v/>
      </c>
      <c r="M38" s="450">
        <f>L33</f>
        <v/>
      </c>
      <c r="N38" s="450">
        <f>L38+M38</f>
        <v/>
      </c>
      <c r="O38" s="459" t="inlineStr">
        <is>
          <t>CSPK02</t>
        </is>
      </c>
    </row>
    <row r="39">
      <c r="G39" s="449" t="inlineStr">
        <is>
          <t>DIEN00</t>
        </is>
      </c>
      <c r="H39" s="464">
        <f>'Nhom TC'!O1</f>
        <v/>
      </c>
      <c r="I39" s="449" t="n">
        <v>0</v>
      </c>
      <c r="J39" s="464">
        <f>H39+I39</f>
        <v/>
      </c>
      <c r="L39" s="450" t="n"/>
      <c r="M39" s="450" t="n">
        <v>0</v>
      </c>
      <c r="N39" s="450">
        <f>L39+M39</f>
        <v/>
      </c>
      <c r="O39" s="459" t="inlineStr">
        <is>
          <t>CSPK00</t>
        </is>
      </c>
    </row>
    <row r="40">
      <c r="H40" s="450">
        <f>SUM(H38:H39)</f>
        <v/>
      </c>
      <c r="I40" s="465">
        <f>SUM(I38:I39)</f>
        <v/>
      </c>
      <c r="J40" s="450">
        <f>SUM(J38:J39)</f>
        <v/>
      </c>
      <c r="K40" s="450" t="n"/>
      <c r="L40" s="450">
        <f>SUM(L38:L39)</f>
        <v/>
      </c>
      <c r="M40" s="465">
        <f>SUM(M38:M39)</f>
        <v/>
      </c>
      <c r="N40" s="450">
        <f>L40+M40</f>
        <v/>
      </c>
    </row>
    <row r="41">
      <c r="H41" s="450">
        <f>H33-H40</f>
        <v/>
      </c>
      <c r="I41" s="450">
        <f>I33-I40</f>
        <v/>
      </c>
      <c r="J41" s="450">
        <f>J33-J40</f>
        <v/>
      </c>
      <c r="K41" s="450" t="n"/>
      <c r="L41" s="450" t="n"/>
      <c r="M41" s="450" t="n"/>
      <c r="N41" s="450" t="n"/>
    </row>
    <row r="42">
      <c r="G42" s="5" t="inlineStr">
        <is>
          <t>CSPK02</t>
        </is>
      </c>
      <c r="I42" s="450" t="n"/>
      <c r="J42" s="450" t="n"/>
      <c r="K42" s="450">
        <f>K33</f>
        <v/>
      </c>
      <c r="L42" s="450">
        <f>L33</f>
        <v/>
      </c>
      <c r="M42" s="450">
        <f>M33</f>
        <v/>
      </c>
      <c r="N42" s="450">
        <f>N33</f>
        <v/>
      </c>
    </row>
    <row r="43">
      <c r="H43" s="450">
        <f>+H40+H42-H33</f>
        <v/>
      </c>
      <c r="I43" s="450">
        <f>+I40+I42-I33</f>
        <v/>
      </c>
      <c r="J43" s="450">
        <f>+J40+J42-J33</f>
        <v/>
      </c>
      <c r="K43" s="450">
        <f>+K40+K42-K33</f>
        <v/>
      </c>
      <c r="L43" s="450">
        <f>+L40+L42-L33</f>
        <v/>
      </c>
      <c r="M43" s="450">
        <f>+M40+M42-M33</f>
        <v/>
      </c>
      <c r="N43" s="450">
        <f>+N40+N42-N33</f>
        <v/>
      </c>
    </row>
    <row r="44">
      <c r="F44" s="462" t="inlineStr">
        <is>
          <t>CUOITHANG</t>
        </is>
      </c>
      <c r="G44" s="462" t="n"/>
      <c r="H44" s="463" t="n"/>
      <c r="I44" s="463" t="n"/>
      <c r="J44" s="463" t="n"/>
      <c r="K44" s="463" t="n"/>
      <c r="L44" s="463" t="n"/>
      <c r="M44" s="463" t="n"/>
      <c r="N44" s="463" t="n"/>
    </row>
    <row r="45">
      <c r="G45" s="449" t="inlineStr">
        <is>
          <t>DIEN01</t>
        </is>
      </c>
      <c r="H45" s="450">
        <f>H34-H46</f>
        <v/>
      </c>
      <c r="I45" s="450">
        <f>I34</f>
        <v/>
      </c>
      <c r="J45" s="450">
        <f>J34-J46</f>
        <v/>
      </c>
      <c r="K45" s="450" t="n"/>
      <c r="L45" s="450" t="n"/>
      <c r="M45" s="450" t="n"/>
      <c r="N45" s="450" t="n"/>
    </row>
    <row r="46">
      <c r="G46" s="449" t="inlineStr">
        <is>
          <t>DIEN00</t>
        </is>
      </c>
      <c r="H46" s="450">
        <f>'Nhom TC'!O2</f>
        <v/>
      </c>
      <c r="I46" s="450" t="n">
        <v>0</v>
      </c>
      <c r="J46" s="450">
        <f>H46+I46</f>
        <v/>
      </c>
      <c r="K46" s="450" t="n"/>
      <c r="L46" s="450" t="n"/>
      <c r="M46" s="450" t="n"/>
      <c r="N46" s="450" t="n"/>
    </row>
    <row r="47">
      <c r="H47" s="450">
        <f>SUM(H45:H46)</f>
        <v/>
      </c>
      <c r="I47" s="450">
        <f>SUM(I45:I46)</f>
        <v/>
      </c>
      <c r="J47" s="450">
        <f>SUM(J45:J46)</f>
        <v/>
      </c>
      <c r="K47" s="450" t="n"/>
      <c r="L47" s="450" t="n"/>
      <c r="M47" s="450" t="n"/>
      <c r="N47" s="450" t="n"/>
    </row>
    <row r="48">
      <c r="G48" s="5" t="inlineStr">
        <is>
          <t>CSPK02</t>
        </is>
      </c>
      <c r="I48" s="450" t="n"/>
      <c r="J48" s="450" t="n"/>
      <c r="K48" s="450">
        <f>K34</f>
        <v/>
      </c>
      <c r="L48" s="450">
        <f>L34</f>
        <v/>
      </c>
      <c r="M48" s="450">
        <f>M34</f>
        <v/>
      </c>
      <c r="N48" s="450">
        <f>N34</f>
        <v/>
      </c>
    </row>
    <row r="49">
      <c r="I49" s="450">
        <f>I34-I47</f>
        <v/>
      </c>
      <c r="J49" s="450">
        <f>J34-J47</f>
        <v/>
      </c>
      <c r="K49" s="450" t="n"/>
      <c r="L49" s="450" t="n"/>
      <c r="M49" s="450" t="n"/>
      <c r="N49" s="450" t="n"/>
    </row>
    <row r="50">
      <c r="H50" s="450">
        <f>+H47+H48-H34</f>
        <v/>
      </c>
      <c r="I50" s="450">
        <f>+I47+I48-I34</f>
        <v/>
      </c>
      <c r="J50" s="450">
        <f>+J47+J48-J34</f>
        <v/>
      </c>
      <c r="K50" s="450">
        <f>+K47+K48-K34</f>
        <v/>
      </c>
      <c r="L50" s="450">
        <f>+L47+L48-L34</f>
        <v/>
      </c>
      <c r="M50" s="450">
        <f>+M47+M48-M34</f>
        <v/>
      </c>
      <c r="N50" s="450">
        <f>+N47+N48-N34</f>
        <v/>
      </c>
    </row>
    <row r="51">
      <c r="F51" s="462" t="n"/>
      <c r="G51" s="462" t="n"/>
      <c r="H51" s="463">
        <f>H40+H47</f>
        <v/>
      </c>
      <c r="I51" s="463">
        <f>I40+I47</f>
        <v/>
      </c>
      <c r="J51" s="463">
        <f>J40+J47</f>
        <v/>
      </c>
      <c r="K51" s="463">
        <f>+K42+K48</f>
        <v/>
      </c>
      <c r="L51" s="463">
        <f>+L42+L48</f>
        <v/>
      </c>
      <c r="M51" s="463">
        <f>+M42+M48</f>
        <v/>
      </c>
      <c r="N51" s="463">
        <f>+N42+N48</f>
        <v/>
      </c>
    </row>
    <row r="52">
      <c r="A52" s="5" t="inlineStr">
        <is>
          <t>Biểu 4A</t>
        </is>
      </c>
      <c r="H52" s="450">
        <f>+H35-H51</f>
        <v/>
      </c>
      <c r="I52" s="450">
        <f>+I35-I51</f>
        <v/>
      </c>
      <c r="J52" s="450">
        <f>+J35-J51</f>
        <v/>
      </c>
      <c r="K52" s="450">
        <f>+K35-K51</f>
        <v/>
      </c>
      <c r="L52" s="450">
        <f>+L35-L51</f>
        <v/>
      </c>
      <c r="M52" s="450">
        <f>+M35-M51</f>
        <v/>
      </c>
      <c r="N52" s="450">
        <f>+N35-N51</f>
        <v/>
      </c>
    </row>
    <row r="53">
      <c r="D53" s="5" t="inlineStr">
        <is>
          <t>trước thuế</t>
        </is>
      </c>
      <c r="E53" s="25" t="inlineStr">
        <is>
          <t>thuế</t>
        </is>
      </c>
      <c r="F53" s="449" t="inlineStr">
        <is>
          <t>sau thuế</t>
        </is>
      </c>
    </row>
    <row r="54">
      <c r="A54" s="5" t="inlineStr">
        <is>
          <t>Điện</t>
        </is>
      </c>
      <c r="B54" s="5" t="inlineStr">
        <is>
          <t>DIEN01</t>
        </is>
      </c>
      <c r="D54" s="464">
        <f>'4A'!D13</f>
        <v/>
      </c>
      <c r="E54" s="450">
        <f>'4A'!E13</f>
        <v/>
      </c>
      <c r="F54" s="449">
        <f>'4A'!F13</f>
        <v/>
      </c>
    </row>
    <row r="55">
      <c r="A55" s="5" t="inlineStr">
        <is>
          <t>CSPK</t>
        </is>
      </c>
      <c r="B55" s="5" t="inlineStr">
        <is>
          <t>CSPK02</t>
        </is>
      </c>
      <c r="D55" s="464">
        <f>'4A'!D9</f>
        <v/>
      </c>
      <c r="E55" s="450">
        <f>'4A'!E9</f>
        <v/>
      </c>
      <c r="F55" s="449">
        <f>'4A'!F9</f>
        <v/>
      </c>
      <c r="J55" s="466">
        <f>'4A'!F13</f>
        <v/>
      </c>
    </row>
    <row r="56">
      <c r="A56" s="5" t="inlineStr">
        <is>
          <t>Điện</t>
        </is>
      </c>
      <c r="B56" s="5" t="inlineStr">
        <is>
          <t>DIEN00</t>
        </is>
      </c>
      <c r="D56" s="464">
        <f>'4A'!D12</f>
        <v/>
      </c>
      <c r="E56" s="450" t="n">
        <v>0</v>
      </c>
      <c r="F56" s="464">
        <f>'4A'!F12</f>
        <v/>
      </c>
      <c r="J56" s="449">
        <f>J55-J35</f>
        <v/>
      </c>
    </row>
    <row r="57">
      <c r="B57" s="5" t="inlineStr">
        <is>
          <t>CSPK00</t>
        </is>
      </c>
      <c r="D57" s="464" t="n">
        <v>25367337</v>
      </c>
      <c r="E57" s="450" t="n"/>
      <c r="F57" s="464" t="n"/>
    </row>
    <row r="58">
      <c r="D58" s="464">
        <f>SUM(D54:D57)</f>
        <v/>
      </c>
      <c r="E58" s="464" t="n"/>
      <c r="F58" s="464">
        <f>SUM(F54:F56)</f>
        <v/>
      </c>
    </row>
    <row r="59">
      <c r="H59" s="450" t="inlineStr">
        <is>
          <t>dò biểu 33895</t>
        </is>
      </c>
      <c r="I59" s="449">
        <f>I45+L34</f>
        <v/>
      </c>
    </row>
    <row r="60">
      <c r="D60" s="464" t="n"/>
      <c r="F60" s="464" t="n"/>
      <c r="I60" s="449">
        <f>'33895'!G37</f>
        <v/>
      </c>
    </row>
    <row r="61">
      <c r="I61" s="459">
        <f>I59-I60</f>
        <v/>
      </c>
    </row>
    <row r="64">
      <c r="M64" s="449" t="n">
        <v>100833864242</v>
      </c>
    </row>
  </sheetData>
  <mergeCells count="26">
    <mergeCell ref="A24:B24"/>
    <mergeCell ref="E8:E9"/>
    <mergeCell ref="A15:B15"/>
    <mergeCell ref="F8:H8"/>
    <mergeCell ref="B8:B9"/>
    <mergeCell ref="A3:F3"/>
    <mergeCell ref="A2:F2"/>
    <mergeCell ref="L8:L9"/>
    <mergeCell ref="N8:N9"/>
    <mergeCell ref="A5:O5"/>
    <mergeCell ref="A12:B12"/>
    <mergeCell ref="A10:C10"/>
    <mergeCell ref="A21:B21"/>
    <mergeCell ref="A8:A9"/>
    <mergeCell ref="A13:C13"/>
    <mergeCell ref="C8:C9"/>
    <mergeCell ref="I8:I9"/>
    <mergeCell ref="K8:K9"/>
    <mergeCell ref="M8:M9"/>
    <mergeCell ref="O8:O9"/>
    <mergeCell ref="D8:D9"/>
    <mergeCell ref="A29:B29"/>
    <mergeCell ref="J8:J9"/>
    <mergeCell ref="A28:B28"/>
    <mergeCell ref="A6:O6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2">
    <outlinePr summaryBelow="1" summaryRight="1"/>
    <pageSetUpPr/>
  </sheetPr>
  <dimension ref="A1:Z47"/>
  <sheetViews>
    <sheetView workbookViewId="0">
      <selection activeCell="S30" sqref="S30"/>
    </sheetView>
  </sheetViews>
  <sheetFormatPr baseColWidth="8" defaultColWidth="5.4140625" defaultRowHeight="15.5"/>
  <cols>
    <col width="9.1640625" customWidth="1" style="29" min="1" max="1"/>
    <col width="9.08203125" customWidth="1" style="29" min="2" max="3"/>
    <col width="9.5" customWidth="1" style="29" min="4" max="5"/>
    <col width="14.25" customWidth="1" style="29" min="6" max="6"/>
    <col width="9.5" customWidth="1" style="29" min="7" max="11"/>
    <col width="12.1640625" customWidth="1" style="29" min="12" max="12"/>
    <col width="9.08203125" customWidth="1" style="29" min="13" max="13"/>
    <col width="9.5" customWidth="1" style="29" min="14" max="14"/>
    <col width="12" bestFit="1" customWidth="1" style="29" min="15" max="15"/>
    <col width="9.08203125" customWidth="1" style="29" min="16" max="16"/>
    <col width="12" bestFit="1" customWidth="1" style="29" min="17" max="17"/>
    <col width="9.08203125" customWidth="1" style="29" min="18" max="20"/>
    <col width="11.83203125" customWidth="1" style="29" min="21" max="21"/>
    <col width="7.9140625" customWidth="1" style="93" min="22" max="22"/>
    <col width="6.08203125" bestFit="1" customWidth="1" style="94" min="23" max="23"/>
    <col width="13.1640625" bestFit="1" customWidth="1" style="94" min="24" max="24"/>
    <col width="13.08203125" bestFit="1" customWidth="1" style="94" min="25" max="25"/>
    <col width="8.58203125" bestFit="1" customWidth="1" style="94" min="26" max="26"/>
    <col width="5.4140625" customWidth="1" style="94" min="27" max="16384"/>
  </cols>
  <sheetData>
    <row r="1" ht="15" customHeight="1" s="344">
      <c r="A1" s="217" t="inlineStr">
        <is>
          <t>HCMC - Công ty Điện lực Vũng Tàu</t>
        </is>
      </c>
      <c r="B1" s="217" t="n"/>
      <c r="C1" s="217" t="n"/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W1" s="86" t="inlineStr">
        <is>
          <t>CSPK00</t>
        </is>
      </c>
      <c r="X1" s="467">
        <f>SUMIF($V:$V,$W1,$O:$O)</f>
        <v/>
      </c>
    </row>
    <row r="2">
      <c r="A2" s="218" t="n"/>
      <c r="B2" s="218" t="n"/>
      <c r="C2" s="218" t="n"/>
      <c r="D2" s="218" t="n"/>
      <c r="E2" s="218" t="n"/>
      <c r="F2" s="218" t="n"/>
      <c r="G2" s="218" t="n"/>
      <c r="H2" s="218" t="n"/>
      <c r="I2" s="218" t="n"/>
      <c r="J2" s="218" t="n"/>
      <c r="K2" s="218" t="n"/>
      <c r="L2" s="218" t="n"/>
      <c r="M2" s="218" t="n"/>
      <c r="N2" s="218" t="n"/>
      <c r="O2" s="218" t="n"/>
      <c r="P2" s="218" t="n"/>
      <c r="Q2" s="218" t="n"/>
      <c r="R2" s="218" t="n"/>
      <c r="S2" s="218" t="n"/>
      <c r="T2" s="218" t="n"/>
      <c r="U2" s="218" t="n"/>
      <c r="W2" s="86" t="inlineStr">
        <is>
          <t>DIEN00</t>
        </is>
      </c>
      <c r="X2" s="467">
        <f>SUMIF($V:$V,$W2,$O:$O)</f>
        <v/>
      </c>
    </row>
    <row r="3" ht="17.5" customHeight="1" s="344">
      <c r="A3" s="219" t="inlineStr">
        <is>
          <t>Báo cáo liệt kê giao dịch phát sinh theo tài khoản</t>
        </is>
      </c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W3" s="86" t="inlineStr">
        <is>
          <t>DIEN01</t>
        </is>
      </c>
      <c r="X3" s="467">
        <f>SUMIF($V:$V,$W3,$O:$O)</f>
        <v/>
      </c>
    </row>
    <row r="4" ht="14" customHeight="1" s="344">
      <c r="A4" s="220" t="inlineStr">
        <is>
          <t>Từ ngày 01/09/2026 đến ngày 30/09/2026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W4" s="86" t="inlineStr">
        <is>
          <t>CSPK02</t>
        </is>
      </c>
      <c r="X4" s="467">
        <f>SUMIF($V:$V,$W4,$O:$O)</f>
        <v/>
      </c>
      <c r="Y4" s="468" t="n"/>
      <c r="Z4" s="469" t="n"/>
    </row>
    <row r="5">
      <c r="A5" s="221" t="n"/>
      <c r="B5" s="221" t="n"/>
      <c r="C5" s="221" t="n"/>
      <c r="D5" s="221" t="n"/>
      <c r="E5" s="221" t="n"/>
      <c r="F5" s="221" t="n"/>
      <c r="G5" s="221" t="n"/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1" t="n"/>
      <c r="T5" s="221" t="n"/>
      <c r="U5" s="221" t="n"/>
      <c r="W5" s="86" t="inlineStr">
        <is>
          <t>1388DD</t>
        </is>
      </c>
      <c r="X5" s="467">
        <f>SUMIF($V:$V,$W5,$O:$O)</f>
        <v/>
      </c>
      <c r="Y5" s="78" t="inlineStr">
        <is>
          <t>vật tư điều động</t>
        </is>
      </c>
    </row>
    <row r="6" ht="14" customHeight="1" s="344">
      <c r="A6" s="265" t="inlineStr">
        <is>
          <t>Nguồn phát sinh</t>
        </is>
      </c>
      <c r="B6" s="265" t="inlineStr">
        <is>
          <t>Số giao dịch</t>
        </is>
      </c>
      <c r="C6" s="265" t="inlineStr">
        <is>
          <t>Ngày giao dịch</t>
        </is>
      </c>
      <c r="D6" s="265" t="inlineStr">
        <is>
          <t>Chi nhánh</t>
        </is>
      </c>
      <c r="E6" s="266" t="inlineStr">
        <is>
          <t>Trung tâm chi phí</t>
        </is>
      </c>
      <c r="F6" s="266" t="inlineStr">
        <is>
          <t>Tài khoản</t>
        </is>
      </c>
      <c r="G6" s="266" t="inlineStr">
        <is>
          <t>Loại hình</t>
        </is>
      </c>
      <c r="H6" s="266" t="inlineStr">
        <is>
          <t>Sản phẩm</t>
        </is>
      </c>
      <c r="I6" s="266" t="inlineStr">
        <is>
          <t>Yếu tố</t>
        </is>
      </c>
      <c r="J6" s="266" t="inlineStr">
        <is>
          <t>Đơn vị nội bộ</t>
        </is>
      </c>
      <c r="K6" s="266" t="inlineStr">
        <is>
          <t>Dự phòng đơn vị</t>
        </is>
      </c>
      <c r="L6" s="266" t="inlineStr">
        <is>
          <t>Dự phòng EVN</t>
        </is>
      </c>
      <c r="M6" s="265" t="inlineStr">
        <is>
          <t>Loại tiền</t>
        </is>
      </c>
      <c r="N6" s="265" t="inlineStr">
        <is>
          <t>Nợ nguyên tệ</t>
        </is>
      </c>
      <c r="O6" s="265" t="inlineStr">
        <is>
          <t>Có nguyên tệ</t>
        </is>
      </c>
      <c r="P6" s="265" t="inlineStr">
        <is>
          <t>Nợ quy đổi</t>
        </is>
      </c>
      <c r="Q6" s="265" t="inlineStr">
        <is>
          <t>Có quy đổi</t>
        </is>
      </c>
      <c r="R6" s="265" t="inlineStr">
        <is>
          <t>Nội dung</t>
        </is>
      </c>
      <c r="S6" s="265" t="inlineStr">
        <is>
          <t>Trạng thái hạch toán</t>
        </is>
      </c>
      <c r="T6" s="265" t="inlineStr">
        <is>
          <t>Người tạo</t>
        </is>
      </c>
      <c r="U6" s="265" t="inlineStr">
        <is>
          <t>Người cập nhật</t>
        </is>
      </c>
      <c r="W6" s="86" t="inlineStr">
        <is>
          <t>5118QT</t>
        </is>
      </c>
      <c r="X6" s="467">
        <f>SUMIF($V:$V,$W6,$O:$O)</f>
        <v/>
      </c>
      <c r="Y6" s="78" t="inlineStr">
        <is>
          <t>quà tặng</t>
        </is>
      </c>
    </row>
    <row r="7">
      <c r="A7" s="267" t="inlineStr">
        <is>
          <t>GL</t>
        </is>
      </c>
      <c r="B7" s="267" t="n">
        <v>3188</v>
      </c>
      <c r="C7" s="268" t="n">
        <v>46295</v>
      </c>
      <c r="D7" s="267" t="n">
        <v>0</v>
      </c>
      <c r="E7" s="267" t="n">
        <v>0</v>
      </c>
      <c r="F7" s="267" t="n">
        <v>51511110000</v>
      </c>
      <c r="G7" s="267" t="n">
        <v>0</v>
      </c>
      <c r="H7" s="267" t="n">
        <v>0</v>
      </c>
      <c r="I7" s="267" t="n">
        <v>999</v>
      </c>
      <c r="J7" s="267" t="n">
        <v>0</v>
      </c>
      <c r="K7" s="267" t="n">
        <v>0</v>
      </c>
      <c r="L7" s="267" t="n">
        <v>0</v>
      </c>
      <c r="M7" s="267" t="inlineStr">
        <is>
          <t>VND</t>
        </is>
      </c>
      <c r="N7" s="269" t="n"/>
      <c r="O7" s="270" t="n">
        <v>30437</v>
      </c>
      <c r="P7" s="269" t="n"/>
      <c r="Q7" s="270" t="n">
        <v>30437</v>
      </c>
      <c r="R7" s="267" t="inlineStr">
        <is>
          <t>K/c 51511 &gt; 911511 (LÃI TIỀN CHO VAY)</t>
        </is>
      </c>
      <c r="S7" s="267" t="inlineStr">
        <is>
          <t>P</t>
        </is>
      </c>
      <c r="T7" s="267" t="inlineStr">
        <is>
          <t>DUYENTT.HCM.VTA</t>
        </is>
      </c>
      <c r="U7" s="267" t="inlineStr">
        <is>
          <t>DUYENTT.HCM.VTA</t>
        </is>
      </c>
      <c r="V7" s="93">
        <f>LEFT(R7,6)</f>
        <v/>
      </c>
      <c r="W7" s="86" t="inlineStr">
        <is>
          <t>4500TT</t>
        </is>
      </c>
      <c r="X7" s="467">
        <f>SUMIF($V:$V,$W7,$O:$O)</f>
        <v/>
      </c>
      <c r="Y7" s="78" t="inlineStr">
        <is>
          <t>dường dây thông tin</t>
        </is>
      </c>
    </row>
    <row r="8">
      <c r="A8" s="267" t="inlineStr">
        <is>
          <t>GL</t>
        </is>
      </c>
      <c r="B8" s="267" t="n">
        <v>3103</v>
      </c>
      <c r="C8" s="268" t="n">
        <v>46295</v>
      </c>
      <c r="D8" s="267" t="n">
        <v>0</v>
      </c>
      <c r="E8" s="267" t="n">
        <v>0</v>
      </c>
      <c r="F8" s="267" t="n">
        <v>51511110000</v>
      </c>
      <c r="G8" s="267" t="n">
        <v>0</v>
      </c>
      <c r="H8" s="267" t="n">
        <v>0</v>
      </c>
      <c r="I8" s="267" t="n">
        <v>999</v>
      </c>
      <c r="J8" s="267" t="n">
        <v>0</v>
      </c>
      <c r="K8" s="267" t="n">
        <v>0</v>
      </c>
      <c r="L8" s="267" t="n">
        <v>0</v>
      </c>
      <c r="M8" s="267" t="inlineStr">
        <is>
          <t>VND</t>
        </is>
      </c>
      <c r="N8" s="269" t="n">
        <v>30437</v>
      </c>
      <c r="O8" s="270" t="n"/>
      <c r="P8" s="269" t="n">
        <v>30437</v>
      </c>
      <c r="Q8" s="270" t="n"/>
      <c r="R8" s="267" t="inlineStr">
        <is>
          <t>K/c 51511 &gt; 911511 (LÃI TIỀN CHO VAY)</t>
        </is>
      </c>
      <c r="S8" s="267" t="inlineStr">
        <is>
          <t>P</t>
        </is>
      </c>
      <c r="T8" s="267" t="inlineStr">
        <is>
          <t>DUYENTT.HCM.VTA</t>
        </is>
      </c>
      <c r="U8" s="267" t="inlineStr">
        <is>
          <t>DUYENTT.HCM.VTA</t>
        </is>
      </c>
      <c r="V8" s="93">
        <f>LEFT(R8,6)</f>
        <v/>
      </c>
      <c r="W8" s="85" t="n"/>
      <c r="X8" s="470">
        <f>SUM(X2:X7)</f>
        <v/>
      </c>
    </row>
    <row r="9">
      <c r="A9" s="267" t="inlineStr">
        <is>
          <t>GL</t>
        </is>
      </c>
      <c r="B9" s="267" t="n">
        <v>3181</v>
      </c>
      <c r="C9" s="268" t="n">
        <v>46295</v>
      </c>
      <c r="D9" s="267" t="n">
        <v>0</v>
      </c>
      <c r="E9" s="267" t="n">
        <v>0</v>
      </c>
      <c r="F9" s="267" t="n">
        <v>51511110000</v>
      </c>
      <c r="G9" s="267" t="n">
        <v>1310</v>
      </c>
      <c r="H9" s="267" t="n">
        <v>0</v>
      </c>
      <c r="I9" s="267" t="n">
        <v>0</v>
      </c>
      <c r="J9" s="267" t="n">
        <v>0</v>
      </c>
      <c r="K9" s="267" t="n">
        <v>0</v>
      </c>
      <c r="L9" s="267" t="n">
        <v>0</v>
      </c>
      <c r="M9" s="267" t="inlineStr">
        <is>
          <t>VND</t>
        </is>
      </c>
      <c r="N9" s="269" t="n"/>
      <c r="O9" s="270" t="n">
        <v>-30437</v>
      </c>
      <c r="P9" s="269" t="n"/>
      <c r="Q9" s="270" t="n">
        <v>-30437</v>
      </c>
      <c r="R9" s="267" t="inlineStr">
        <is>
          <t>Điều chỉnh hạch toán TK  theo G0926VC0011-25/9/26</t>
        </is>
      </c>
      <c r="S9" s="267" t="inlineStr">
        <is>
          <t>P</t>
        </is>
      </c>
      <c r="T9" s="267" t="inlineStr">
        <is>
          <t>HUENT.HCM.VTA</t>
        </is>
      </c>
      <c r="U9" s="267" t="inlineStr">
        <is>
          <t>DUYENTT.HCM.VTA</t>
        </is>
      </c>
      <c r="V9" s="93">
        <f>LEFT(R9,6)</f>
        <v/>
      </c>
    </row>
    <row r="10">
      <c r="A10" s="267" t="inlineStr">
        <is>
          <t>AR_RECEIPTS</t>
        </is>
      </c>
      <c r="B10" s="267" t="inlineStr">
        <is>
          <t>G0926VC0011</t>
        </is>
      </c>
      <c r="C10" s="268" t="n">
        <v>46290</v>
      </c>
      <c r="D10" s="267" t="n">
        <v>0</v>
      </c>
      <c r="E10" s="267" t="n">
        <v>0</v>
      </c>
      <c r="F10" s="267" t="n">
        <v>51511110000</v>
      </c>
      <c r="G10" s="267" t="n">
        <v>1310</v>
      </c>
      <c r="H10" s="267" t="n">
        <v>0</v>
      </c>
      <c r="I10" s="267" t="n">
        <v>0</v>
      </c>
      <c r="J10" s="267" t="n">
        <v>0</v>
      </c>
      <c r="K10" s="267" t="n">
        <v>0</v>
      </c>
      <c r="L10" s="267" t="n">
        <v>0</v>
      </c>
      <c r="M10" s="267" t="inlineStr">
        <is>
          <t>VND</t>
        </is>
      </c>
      <c r="N10" s="269" t="n"/>
      <c r="O10" s="270" t="n">
        <v>30437</v>
      </c>
      <c r="P10" s="269" t="n"/>
      <c r="Q10" s="270" t="n">
        <v>30437</v>
      </c>
      <c r="R10" s="267" t="inlineStr">
        <is>
          <t>Nhập lãi TK NH VCB T9/26</t>
        </is>
      </c>
      <c r="S10" s="267" t="inlineStr">
        <is>
          <t>F</t>
        </is>
      </c>
      <c r="T10" s="267" t="inlineStr">
        <is>
          <t>HUENT.HCM.VTA</t>
        </is>
      </c>
      <c r="U10" s="267" t="inlineStr">
        <is>
          <t>HUENT.HCM.VTA</t>
        </is>
      </c>
      <c r="V10" s="93">
        <f>LEFT(R10,6)</f>
        <v/>
      </c>
    </row>
    <row r="11">
      <c r="A11" s="267" t="n"/>
      <c r="B11" s="267" t="n"/>
      <c r="C11" s="268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9" t="n"/>
      <c r="O11" s="270" t="n"/>
      <c r="P11" s="269" t="n"/>
      <c r="Q11" s="270" t="n"/>
      <c r="R11" s="267" t="n"/>
      <c r="S11" s="267" t="n"/>
      <c r="T11" s="267" t="n"/>
      <c r="U11" s="267" t="n"/>
      <c r="V11" s="93" t="n"/>
    </row>
    <row r="12">
      <c r="A12" s="267" t="n"/>
      <c r="B12" s="267" t="n"/>
      <c r="C12" s="268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9" t="n"/>
      <c r="O12" s="270" t="n"/>
      <c r="P12" s="269" t="n"/>
      <c r="Q12" s="270" t="n"/>
      <c r="R12" s="267" t="n"/>
      <c r="S12" s="267" t="n"/>
      <c r="T12" s="267" t="n"/>
      <c r="U12" s="267" t="n"/>
      <c r="V12" s="93" t="n"/>
    </row>
    <row r="13">
      <c r="A13" s="267" t="n"/>
      <c r="B13" s="267" t="n"/>
      <c r="C13" s="268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9" t="n"/>
      <c r="O13" s="270" t="n"/>
      <c r="P13" s="269" t="n"/>
      <c r="Q13" s="270" t="n"/>
      <c r="R13" s="267" t="n"/>
      <c r="S13" s="267" t="n"/>
      <c r="T13" s="267" t="n"/>
      <c r="U13" s="267" t="n"/>
      <c r="V13" s="93" t="n"/>
    </row>
    <row r="14">
      <c r="A14" s="267" t="n"/>
      <c r="B14" s="267" t="n"/>
      <c r="C14" s="268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9" t="n"/>
      <c r="O14" s="270" t="n"/>
      <c r="P14" s="269" t="n"/>
      <c r="Q14" s="270" t="n"/>
      <c r="R14" s="267" t="n"/>
      <c r="S14" s="267" t="n"/>
      <c r="T14" s="267" t="n"/>
      <c r="U14" s="267" t="n"/>
      <c r="V14" s="93" t="n"/>
    </row>
    <row r="15">
      <c r="A15" s="267" t="n"/>
      <c r="B15" s="267" t="n"/>
      <c r="C15" s="268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9" t="n"/>
      <c r="O15" s="270" t="n"/>
      <c r="P15" s="269" t="n"/>
      <c r="Q15" s="270" t="n"/>
      <c r="R15" s="267" t="n"/>
      <c r="S15" s="267" t="n"/>
      <c r="T15" s="267" t="n"/>
      <c r="U15" s="267" t="n"/>
      <c r="V15" s="93" t="n"/>
    </row>
    <row r="16">
      <c r="A16" s="267" t="n"/>
      <c r="B16" s="267" t="n"/>
      <c r="C16" s="268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  <c r="M16" s="267" t="n"/>
      <c r="N16" s="269" t="n"/>
      <c r="O16" s="270" t="n"/>
      <c r="P16" s="269" t="n"/>
      <c r="Q16" s="270" t="n"/>
      <c r="R16" s="267" t="n"/>
      <c r="S16" s="267" t="n"/>
      <c r="T16" s="267" t="n"/>
      <c r="U16" s="267" t="n"/>
      <c r="V16" s="93" t="n"/>
    </row>
    <row r="17">
      <c r="A17" s="267" t="n"/>
      <c r="B17" s="267" t="n"/>
      <c r="C17" s="268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  <c r="M17" s="267" t="n"/>
      <c r="N17" s="269" t="n"/>
      <c r="O17" s="270" t="n"/>
      <c r="P17" s="269" t="n"/>
      <c r="Q17" s="270" t="n"/>
      <c r="R17" s="267" t="n"/>
      <c r="S17" s="267" t="n"/>
      <c r="T17" s="267" t="n"/>
      <c r="U17" s="267" t="n"/>
      <c r="V17" s="94" t="n"/>
    </row>
    <row r="18">
      <c r="A18" s="267" t="n"/>
      <c r="B18" s="267" t="n"/>
      <c r="C18" s="268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  <c r="M18" s="267" t="n"/>
      <c r="N18" s="269" t="n"/>
      <c r="O18" s="270" t="n"/>
      <c r="P18" s="269" t="n"/>
      <c r="Q18" s="270" t="n"/>
      <c r="R18" s="267" t="n"/>
      <c r="S18" s="267" t="n"/>
      <c r="T18" s="267" t="n"/>
      <c r="U18" s="267" t="n"/>
      <c r="V18" s="93" t="n"/>
    </row>
    <row r="19">
      <c r="A19" s="267" t="n"/>
      <c r="B19" s="267" t="n"/>
      <c r="C19" s="268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  <c r="M19" s="267" t="n"/>
      <c r="N19" s="269" t="n"/>
      <c r="O19" s="270" t="n"/>
      <c r="P19" s="269" t="n"/>
      <c r="Q19" s="270" t="n"/>
      <c r="R19" s="267" t="n"/>
      <c r="S19" s="267" t="n"/>
      <c r="T19" s="267" t="n"/>
      <c r="U19" s="267" t="n"/>
      <c r="V19" s="93" t="n"/>
    </row>
    <row r="20">
      <c r="A20" s="267" t="n"/>
      <c r="B20" s="267" t="n"/>
      <c r="C20" s="268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  <c r="M20" s="267" t="n"/>
      <c r="N20" s="269" t="n"/>
      <c r="O20" s="270" t="n"/>
      <c r="P20" s="269" t="n"/>
      <c r="Q20" s="270" t="n"/>
      <c r="R20" s="267" t="n"/>
      <c r="S20" s="267" t="n"/>
      <c r="T20" s="267" t="n"/>
      <c r="U20" s="267" t="n"/>
      <c r="V20" s="93" t="n"/>
    </row>
    <row r="21">
      <c r="A21" s="267" t="n"/>
      <c r="B21" s="267" t="n"/>
      <c r="C21" s="268" t="n"/>
      <c r="D21" s="267" t="n"/>
      <c r="E21" s="267" t="n"/>
      <c r="F21" s="267" t="n"/>
      <c r="G21" s="267" t="n"/>
      <c r="H21" s="267" t="n"/>
      <c r="I21" s="267" t="n"/>
      <c r="J21" s="267" t="n"/>
      <c r="K21" s="267" t="n"/>
      <c r="L21" s="267" t="n"/>
      <c r="M21" s="267" t="n"/>
      <c r="N21" s="269" t="n"/>
      <c r="O21" s="270" t="n"/>
      <c r="P21" s="269" t="n"/>
      <c r="Q21" s="270" t="n"/>
      <c r="R21" s="267" t="n"/>
      <c r="S21" s="267" t="n"/>
      <c r="T21" s="267" t="n"/>
      <c r="U21" s="267" t="n"/>
      <c r="V21" s="93" t="n"/>
    </row>
    <row r="22">
      <c r="A22" s="267" t="n"/>
      <c r="B22" s="267" t="n"/>
      <c r="C22" s="268" t="n"/>
      <c r="D22" s="267" t="n"/>
      <c r="E22" s="267" t="n"/>
      <c r="F22" s="267" t="n"/>
      <c r="G22" s="267" t="n"/>
      <c r="H22" s="267" t="n"/>
      <c r="I22" s="267" t="n"/>
      <c r="J22" s="267" t="n"/>
      <c r="K22" s="267" t="n"/>
      <c r="L22" s="267" t="n"/>
      <c r="M22" s="267" t="n"/>
      <c r="N22" s="269" t="n"/>
      <c r="O22" s="270" t="n"/>
      <c r="P22" s="269" t="n"/>
      <c r="Q22" s="270" t="n"/>
      <c r="R22" s="267" t="n"/>
      <c r="S22" s="267" t="n"/>
      <c r="T22" s="267" t="n"/>
      <c r="U22" s="267" t="n"/>
      <c r="V22" s="93" t="n"/>
    </row>
    <row r="23">
      <c r="A23" s="267" t="n"/>
      <c r="B23" s="267" t="n"/>
      <c r="C23" s="268" t="n"/>
      <c r="D23" s="267" t="n"/>
      <c r="E23" s="267" t="n"/>
      <c r="F23" s="267" t="n"/>
      <c r="G23" s="267" t="n"/>
      <c r="H23" s="267" t="n"/>
      <c r="I23" s="267" t="n"/>
      <c r="J23" s="267" t="n"/>
      <c r="K23" s="267" t="n"/>
      <c r="L23" s="267" t="n"/>
      <c r="M23" s="267" t="n"/>
      <c r="N23" s="269" t="n"/>
      <c r="O23" s="270" t="n"/>
      <c r="P23" s="269" t="n"/>
      <c r="Q23" s="270" t="n"/>
      <c r="R23" s="267" t="n"/>
      <c r="S23" s="267" t="n"/>
      <c r="T23" s="267" t="n"/>
      <c r="U23" s="267" t="n"/>
      <c r="V23" s="93" t="n"/>
    </row>
    <row r="24">
      <c r="A24" s="267" t="n"/>
      <c r="B24" s="267" t="n"/>
      <c r="C24" s="268" t="n"/>
      <c r="D24" s="267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  <c r="N24" s="269" t="n"/>
      <c r="O24" s="270" t="n"/>
      <c r="P24" s="269" t="n"/>
      <c r="Q24" s="270" t="n"/>
      <c r="R24" s="267" t="n"/>
      <c r="S24" s="267" t="n"/>
      <c r="T24" s="267" t="n"/>
      <c r="U24" s="267" t="n"/>
      <c r="V24" s="93" t="n"/>
    </row>
    <row r="25">
      <c r="A25" s="267" t="n"/>
      <c r="B25" s="267" t="n"/>
      <c r="C25" s="268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9" t="n"/>
      <c r="O25" s="270" t="n"/>
      <c r="P25" s="269" t="n"/>
      <c r="Q25" s="270" t="n"/>
      <c r="R25" s="267" t="n"/>
      <c r="S25" s="267" t="n"/>
      <c r="T25" s="267" t="n"/>
      <c r="U25" s="267" t="n"/>
      <c r="V25" s="93" t="n"/>
    </row>
    <row r="26">
      <c r="C26" s="471" t="n"/>
      <c r="V26" s="93" t="n"/>
    </row>
    <row r="27">
      <c r="V27" s="93" t="n"/>
    </row>
    <row r="28">
      <c r="V28" s="93" t="n"/>
    </row>
    <row r="29">
      <c r="V29" s="93" t="n"/>
    </row>
    <row r="30">
      <c r="V30" s="93" t="n"/>
    </row>
    <row r="31">
      <c r="V31" s="93" t="n"/>
    </row>
    <row r="32">
      <c r="V32" s="93" t="n"/>
    </row>
    <row r="33">
      <c r="V33" s="93" t="n"/>
    </row>
    <row r="34">
      <c r="V34" s="93" t="n"/>
    </row>
    <row r="35">
      <c r="V35" s="93" t="n"/>
    </row>
    <row r="36">
      <c r="V36" s="93" t="n"/>
    </row>
    <row r="37">
      <c r="V37" s="93" t="n"/>
    </row>
    <row r="38">
      <c r="V38" s="93" t="n"/>
    </row>
    <row r="39">
      <c r="V39" s="93" t="n"/>
    </row>
    <row r="40">
      <c r="V40" s="93" t="n"/>
    </row>
    <row r="41">
      <c r="V41" s="93" t="n"/>
    </row>
    <row r="42">
      <c r="V42" s="93" t="n"/>
    </row>
    <row r="43">
      <c r="V43" s="93" t="n"/>
    </row>
    <row r="44">
      <c r="V44" s="93" t="n"/>
    </row>
    <row r="45">
      <c r="V45" s="93" t="n"/>
    </row>
    <row r="46">
      <c r="V46" s="93" t="n"/>
    </row>
    <row r="47">
      <c r="V47" s="93" t="n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0" summaryRight="0"/>
    <pageSetUpPr autoPageBreaks="0"/>
  </sheetPr>
  <dimension ref="A1:A1"/>
  <sheetViews>
    <sheetView showOutlineSymbols="0" zoomScaleNormal="100" workbookViewId="0">
      <pane xSplit="2" topLeftCell="C1" activePane="topRight" state="frozen"/>
      <selection pane="topRight" activeCell="J27" sqref="J27"/>
    </sheetView>
  </sheetViews>
  <sheetFormatPr baseColWidth="8" defaultRowHeight="15.5"/>
  <sheetData/>
  <pageMargins left="0.5" right="0.5" top="0.5" bottom="0.5" header="0" footer="0"/>
  <pageSetup orientation="landscape" paperSize="9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J26"/>
  <sheetViews>
    <sheetView workbookViewId="0">
      <selection activeCell="J2" sqref="J2"/>
    </sheetView>
  </sheetViews>
  <sheetFormatPr baseColWidth="8" defaultColWidth="9" defaultRowHeight="15.5"/>
  <cols>
    <col width="14.6640625" bestFit="1" customWidth="1" style="5" min="1" max="1"/>
    <col width="24" bestFit="1" customWidth="1" style="5" min="2" max="2"/>
    <col width="14.9140625" bestFit="1" customWidth="1" style="5" min="3" max="3"/>
    <col width="20" bestFit="1" customWidth="1" style="5" min="4" max="4"/>
    <col width="22.5" customWidth="1" style="5" min="5" max="5"/>
    <col width="20" bestFit="1" customWidth="1" style="5" min="6" max="6"/>
    <col width="18.5" bestFit="1" customWidth="1" style="5" min="7" max="7"/>
    <col width="21.1640625" customWidth="1" style="5" min="8" max="8"/>
    <col width="14.5" customWidth="1" style="5" min="9" max="9"/>
    <col width="19.4140625" customWidth="1" style="5" min="10" max="10"/>
    <col width="20.58203125" customWidth="1" style="5" min="11" max="11"/>
    <col width="9" customWidth="1" style="5" min="12" max="16384"/>
  </cols>
  <sheetData>
    <row r="1" s="344">
      <c r="A1" t="inlineStr">
        <is>
          <t>MADONVI</t>
        </is>
      </c>
      <c r="B1" t="inlineStr">
        <is>
          <t>TENDONVI</t>
        </is>
      </c>
      <c r="C1" t="inlineStr">
        <is>
          <t>TONGDTP</t>
        </is>
      </c>
      <c r="D1" t="inlineStr">
        <is>
          <t>TIENDIEN</t>
        </is>
      </c>
      <c r="E1" t="inlineStr">
        <is>
          <t>TIENCSPK</t>
        </is>
      </c>
      <c r="F1" t="inlineStr">
        <is>
          <t>THUE_TD</t>
        </is>
      </c>
      <c r="G1" t="inlineStr">
        <is>
          <t>THUE_CSPK</t>
        </is>
      </c>
      <c r="H1" t="inlineStr">
        <is>
          <t>TONGDTPKH</t>
        </is>
      </c>
      <c r="I1" t="inlineStr">
        <is>
          <t>TIENDIENKH</t>
        </is>
      </c>
      <c r="J1" t="inlineStr">
        <is>
          <t>GIABQKH</t>
        </is>
      </c>
    </row>
    <row r="2" s="344">
      <c r="A2" t="inlineStr">
        <is>
          <t>PE1800</t>
        </is>
      </c>
      <c r="B2" t="inlineStr">
        <is>
          <t>Công ty Điện lực Vũng Tàu</t>
        </is>
      </c>
      <c r="C2" t="n">
        <v>645801628</v>
      </c>
      <c r="D2" t="n">
        <v>1337010688050</v>
      </c>
      <c r="E2" t="n">
        <v>913557269</v>
      </c>
      <c r="F2" t="n">
        <v>106935123989</v>
      </c>
      <c r="G2" t="n">
        <v>73084593</v>
      </c>
      <c r="H2" t="n">
        <v>7416000000</v>
      </c>
      <c r="I2" t="n">
        <v>0</v>
      </c>
      <c r="J2" t="n">
        <v>2066</v>
      </c>
    </row>
    <row r="3">
      <c r="C3" s="464">
        <f>VALUE(C2)</f>
        <v/>
      </c>
      <c r="D3" s="464">
        <f>VALUE(D2)</f>
        <v/>
      </c>
      <c r="E3" s="464">
        <f>VALUE(E2)</f>
        <v/>
      </c>
      <c r="F3" s="464">
        <f>VALUE(F2)</f>
        <v/>
      </c>
      <c r="G3" s="464">
        <f>VALUE(G2)</f>
        <v/>
      </c>
      <c r="H3" s="464">
        <f>VALUE(H2)</f>
        <v/>
      </c>
      <c r="I3" s="464">
        <f>VALUE(I2)</f>
        <v/>
      </c>
      <c r="J3" s="464">
        <f>VALUE(J2)</f>
        <v/>
      </c>
    </row>
    <row r="4" customFormat="1" s="6"/>
    <row r="7">
      <c r="D7" s="5" t="inlineStr">
        <is>
          <t>trước thuế</t>
        </is>
      </c>
      <c r="E7" s="5" t="inlineStr">
        <is>
          <t>thuế</t>
        </is>
      </c>
      <c r="F7" s="5" t="inlineStr">
        <is>
          <t>sau thuế</t>
        </is>
      </c>
    </row>
    <row r="8">
      <c r="A8" s="5" t="inlineStr">
        <is>
          <t>Điện</t>
        </is>
      </c>
      <c r="B8" s="5" t="inlineStr">
        <is>
          <t>DIEN01</t>
        </is>
      </c>
      <c r="D8" s="464">
        <f>D3</f>
        <v/>
      </c>
      <c r="E8" s="464">
        <f>F3</f>
        <v/>
      </c>
      <c r="F8" s="464">
        <f>+D8+E8</f>
        <v/>
      </c>
      <c r="G8" s="472">
        <f>D8*8%</f>
        <v/>
      </c>
      <c r="H8" s="472">
        <f>E8-G8</f>
        <v/>
      </c>
    </row>
    <row r="9">
      <c r="A9" s="5" t="inlineStr">
        <is>
          <t>CSPK</t>
        </is>
      </c>
      <c r="B9" s="5" t="inlineStr">
        <is>
          <t>CSPK02</t>
        </is>
      </c>
      <c r="D9" s="464">
        <f>E3</f>
        <v/>
      </c>
      <c r="E9" s="464">
        <f>G3</f>
        <v/>
      </c>
      <c r="F9" s="464">
        <f>+D9+E9</f>
        <v/>
      </c>
      <c r="G9" s="472">
        <f>D9*8%</f>
        <v/>
      </c>
      <c r="H9" s="472">
        <f>E9-G9</f>
        <v/>
      </c>
      <c r="I9" s="473" t="n"/>
    </row>
    <row r="10">
      <c r="D10" s="474">
        <f>SUM(D8:D9)</f>
        <v/>
      </c>
      <c r="E10" s="474">
        <f>SUM(E8:E9)</f>
        <v/>
      </c>
      <c r="F10" s="474">
        <f>SUM(F8:F9)</f>
        <v/>
      </c>
    </row>
    <row r="12">
      <c r="A12" s="5" t="inlineStr">
        <is>
          <t>Trong DIEN01 có</t>
        </is>
      </c>
      <c r="B12" s="5" t="inlineStr">
        <is>
          <t>DIEN00</t>
        </is>
      </c>
      <c r="D12" s="464">
        <f>'Nhom TC'!O4</f>
        <v/>
      </c>
      <c r="E12" s="464" t="n">
        <v>0</v>
      </c>
      <c r="F12" s="464">
        <f>D12+E12</f>
        <v/>
      </c>
    </row>
    <row r="13">
      <c r="B13" s="5" t="inlineStr">
        <is>
          <t>DIEN01</t>
        </is>
      </c>
      <c r="D13" s="472">
        <f>D8-D12</f>
        <v/>
      </c>
      <c r="E13" s="472">
        <f>E8-E12</f>
        <v/>
      </c>
      <c r="F13" s="472">
        <f>F8-F12</f>
        <v/>
      </c>
      <c r="G13" s="18">
        <f>D13*8%</f>
        <v/>
      </c>
      <c r="H13" s="18">
        <f>E13-G13</f>
        <v/>
      </c>
    </row>
    <row r="16">
      <c r="A16" s="5" t="inlineStr">
        <is>
          <t>Trong DIEN01 có</t>
        </is>
      </c>
      <c r="B16" s="5" t="inlineStr">
        <is>
          <t>CSPK02</t>
        </is>
      </c>
      <c r="D16" s="464">
        <f>E2-D17</f>
        <v/>
      </c>
      <c r="E16" s="464" t="n"/>
      <c r="F16" s="464" t="n"/>
    </row>
    <row r="17">
      <c r="B17" s="5" t="inlineStr">
        <is>
          <t>CSPK00</t>
        </is>
      </c>
      <c r="D17" s="472">
        <f>'Nhom TC'!O5</f>
        <v/>
      </c>
      <c r="E17" s="472" t="n"/>
      <c r="F17" s="472" t="n"/>
      <c r="G17" s="18" t="n"/>
      <c r="H17" s="18" t="n"/>
    </row>
    <row r="19">
      <c r="E19" s="472" t="n"/>
    </row>
    <row r="20">
      <c r="A20" s="5" t="inlineStr">
        <is>
          <t>GL_0903</t>
        </is>
      </c>
      <c r="B20" s="5" t="inlineStr">
        <is>
          <t>DIEN01</t>
        </is>
      </c>
      <c r="D20" s="464">
        <f>'0903'!X3</f>
        <v/>
      </c>
      <c r="E20" s="472">
        <f>D13-D20</f>
        <v/>
      </c>
    </row>
    <row r="21">
      <c r="B21" s="5" t="inlineStr">
        <is>
          <t>CSPK02</t>
        </is>
      </c>
      <c r="D21" s="472">
        <f>'0903'!X2</f>
        <v/>
      </c>
      <c r="E21" s="472">
        <f>D12-D21</f>
        <v/>
      </c>
    </row>
    <row r="22">
      <c r="B22" s="5" t="inlineStr">
        <is>
          <t>CSPK00</t>
        </is>
      </c>
      <c r="D22" s="5">
        <f>'0903'!X1</f>
        <v/>
      </c>
      <c r="E22" s="472">
        <f>D17-D22</f>
        <v/>
      </c>
    </row>
    <row r="26">
      <c r="D26" s="46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C74"/>
  <sheetViews>
    <sheetView zoomScale="95" zoomScaleNormal="95" workbookViewId="0">
      <pane xSplit="10" topLeftCell="R1" activePane="topRight" state="frozen"/>
      <selection activeCell="A19" sqref="A19"/>
      <selection pane="topRight" activeCell="X24" sqref="X24"/>
    </sheetView>
  </sheetViews>
  <sheetFormatPr baseColWidth="8" defaultColWidth="6.6640625" defaultRowHeight="15.5"/>
  <cols>
    <col width="3.4140625" bestFit="1" customWidth="1" style="344" min="1" max="1"/>
    <col width="11.58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9140625" bestFit="1" customWidth="1" style="344" min="6" max="6"/>
    <col width="32" bestFit="1" customWidth="1" style="344" min="7" max="7"/>
    <col width="19.1640625" bestFit="1" customWidth="1" style="344" min="8" max="8"/>
    <col width="7.5" bestFit="1" customWidth="1" style="344" min="9" max="9"/>
    <col width="10.1640625" bestFit="1" customWidth="1" style="344" min="10" max="10"/>
    <col width="32" bestFit="1" customWidth="1" style="344" min="11" max="11"/>
    <col width="11.5" bestFit="1" customWidth="1" style="344" min="12" max="12"/>
    <col width="8.8320312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4.9140625" bestFit="1" customWidth="1" style="344" min="17" max="17"/>
    <col width="13.75" bestFit="1" customWidth="1" style="344" min="18" max="18"/>
    <col width="8.58203125" bestFit="1" customWidth="1" style="344" min="19" max="19"/>
    <col width="6.6640625" customWidth="1" style="92" min="20" max="20"/>
    <col width="6.9140625" bestFit="1" customWidth="1" style="93" min="21" max="21"/>
    <col width="14" bestFit="1" customWidth="1" style="74" min="22" max="22"/>
    <col width="14" bestFit="1" customWidth="1" style="94" min="23" max="23"/>
    <col width="12.4140625" bestFit="1" customWidth="1" style="94" min="24" max="24"/>
    <col width="13.1640625" bestFit="1" customWidth="1" style="94" min="25" max="25"/>
    <col width="11.9140625" bestFit="1" customWidth="1" style="94" min="26" max="26"/>
    <col width="11" bestFit="1" customWidth="1" style="94" min="27" max="27"/>
    <col width="9.9140625" bestFit="1" customWidth="1" style="94" min="28" max="29"/>
    <col width="13.1640625" bestFit="1" customWidth="1" style="94" min="30" max="30"/>
    <col width="6.6640625" customWidth="1" style="94" min="31" max="16384"/>
  </cols>
  <sheetData>
    <row r="1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191" t="n"/>
      <c r="K1" s="191" t="n"/>
      <c r="L1" s="191" t="n"/>
      <c r="M1" s="191" t="n"/>
      <c r="N1" s="321" t="n"/>
      <c r="P1" s="321" t="n"/>
      <c r="R1" s="321" t="n"/>
      <c r="V1" s="85" t="n"/>
      <c r="X1" s="85" t="inlineStr">
        <is>
          <t>333111</t>
        </is>
      </c>
      <c r="Z1" s="85" t="inlineStr">
        <is>
          <t>333113</t>
        </is>
      </c>
      <c r="AB1" s="85" t="inlineStr">
        <is>
          <t>333114</t>
        </is>
      </c>
    </row>
    <row r="2">
      <c r="A2" s="321" t="n"/>
      <c r="B2" s="321" t="n"/>
      <c r="C2" s="321" t="n"/>
      <c r="D2" s="321" t="n"/>
      <c r="E2" s="321" t="n"/>
      <c r="F2" s="321" t="n"/>
      <c r="G2" s="321" t="n"/>
      <c r="H2" s="321" t="n"/>
      <c r="I2" s="203" t="n"/>
      <c r="J2" s="475" t="inlineStr">
        <is>
          <t>Mẫu số : 01-1/GTGT</t>
        </is>
      </c>
      <c r="K2" s="476" t="n"/>
      <c r="L2" s="476" t="n"/>
      <c r="M2" s="477" t="n"/>
      <c r="N2" s="325" t="n"/>
      <c r="P2" s="321" t="n"/>
      <c r="R2" s="321" t="n"/>
      <c r="V2" s="86" t="inlineStr">
        <is>
          <t>DIEN00</t>
        </is>
      </c>
      <c r="W2" s="467">
        <f>SUMIFS($H:$H,$T:$T,$V2)</f>
        <v/>
      </c>
      <c r="X2" s="467">
        <f>SUMIFS($J:$J,$T:$T,$V2)</f>
        <v/>
      </c>
      <c r="Y2" s="467" t="n"/>
      <c r="Z2" s="467" t="n"/>
      <c r="AA2" s="467" t="n"/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203" t="n"/>
      <c r="J3" s="478" t="inlineStr">
        <is>
          <t>(Ban hành kèm theo thông tư</t>
        </is>
      </c>
      <c r="M3" s="479" t="n"/>
      <c r="N3" s="325" t="n"/>
      <c r="P3" s="321" t="n"/>
      <c r="R3" s="321" t="n"/>
      <c r="V3" s="86" t="inlineStr">
        <is>
          <t>DIEN01</t>
        </is>
      </c>
      <c r="W3" s="467">
        <f>SUMIFS($H:$H,$T:$T,$V3)</f>
        <v/>
      </c>
      <c r="X3" s="467">
        <f>SUMIFS($J:$J,$T:$T,$V3)</f>
        <v/>
      </c>
      <c r="Y3" s="467" t="n"/>
      <c r="Z3" s="467" t="n"/>
      <c r="AA3" s="467" t="n"/>
    </row>
    <row r="4" ht="15.65" customHeight="1" s="344">
      <c r="A4" s="321" t="n"/>
      <c r="B4" s="321" t="n"/>
      <c r="C4" s="321" t="n"/>
      <c r="D4" s="321" t="n"/>
      <c r="E4" s="321" t="n"/>
      <c r="F4" s="321" t="n"/>
      <c r="G4" s="321" t="n"/>
      <c r="H4" s="321" t="n"/>
      <c r="I4" s="203" t="n"/>
      <c r="J4" s="480" t="inlineStr">
        <is>
          <t>số 119/2014/TT-BTC ngày</t>
        </is>
      </c>
      <c r="M4" s="479" t="n"/>
      <c r="N4" s="325" t="n"/>
      <c r="P4" s="321" t="n"/>
      <c r="R4" s="321" t="n"/>
      <c r="V4" s="86" t="inlineStr">
        <is>
          <t>CSPK02</t>
        </is>
      </c>
      <c r="W4" s="467">
        <f>SUMIFS($H:$H,$T:$T,$V4)</f>
        <v/>
      </c>
      <c r="X4" s="467">
        <f>SUMIFS($J:$J,$T:$T,$V4)</f>
        <v/>
      </c>
      <c r="Y4" s="467" t="n"/>
      <c r="Z4" s="467" t="n"/>
      <c r="AA4" s="467" t="n"/>
      <c r="AB4" s="85" t="n"/>
    </row>
    <row r="5" ht="15.6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203" t="n"/>
      <c r="J5" s="481" t="inlineStr">
        <is>
          <t>25/08/2014 của  Bộ tài chính)</t>
        </is>
      </c>
      <c r="K5" s="482" t="n"/>
      <c r="L5" s="482" t="n"/>
      <c r="M5" s="483" t="n"/>
      <c r="N5" s="325" t="n"/>
      <c r="P5" s="321" t="n"/>
      <c r="R5" s="321" t="n"/>
      <c r="V5" s="86" t="inlineStr">
        <is>
          <t>CSPK00</t>
        </is>
      </c>
      <c r="W5" s="467">
        <f>SUMIFS($H:$H,$T:$T,$V5)</f>
        <v/>
      </c>
      <c r="X5" s="467">
        <f>SUMIFS($J:$J,$T:$T,$V5)</f>
        <v/>
      </c>
      <c r="Y5" s="467" t="n"/>
      <c r="Z5" s="467" t="n"/>
      <c r="AA5" s="467" t="n"/>
      <c r="AB5" s="85" t="n"/>
    </row>
    <row r="6" ht="15.65" customHeight="1" s="344">
      <c r="A6" s="321" t="n"/>
      <c r="B6" s="321" t="n"/>
      <c r="C6" s="321" t="n"/>
      <c r="D6" s="321" t="n"/>
      <c r="E6" s="321" t="n"/>
      <c r="F6" s="321" t="n"/>
      <c r="G6" s="321" t="n"/>
      <c r="H6" s="321" t="n"/>
      <c r="I6" s="321" t="n"/>
      <c r="J6" s="317" t="n"/>
      <c r="K6" s="317" t="n"/>
      <c r="L6" s="317" t="n"/>
      <c r="M6" s="317" t="n"/>
      <c r="N6" s="321" t="n"/>
      <c r="P6" s="321" t="n"/>
      <c r="R6" s="321" t="n"/>
      <c r="V6" s="86" t="inlineStr">
        <is>
          <t>1388ĐĐ</t>
        </is>
      </c>
      <c r="W6" s="467">
        <f>SUMIFS($H:$H,$T:$T,$V6)</f>
        <v/>
      </c>
      <c r="X6" s="467">
        <f>SUMIFS($J:$J,$T:$T,$V6)</f>
        <v/>
      </c>
      <c r="Y6" s="467">
        <f>SUMIFS($H:$H,$T:$T,$V6)</f>
        <v/>
      </c>
      <c r="Z6" s="467">
        <f>SUMIFS($J:$J,$T:$T,$V6)</f>
        <v/>
      </c>
      <c r="AA6" s="467" t="n"/>
      <c r="AB6" s="85" t="n"/>
      <c r="AC6" s="78" t="inlineStr">
        <is>
          <t>vật tư điều động</t>
        </is>
      </c>
    </row>
    <row r="7" ht="17.4" customHeight="1" s="344">
      <c r="A7" s="335" t="inlineStr">
        <is>
          <t>BẢNG KÊ HÓA ĐƠN, CHỨNG TỪ HÀNG HÓA, DỊCH VỤ BÁN RA(Kiểm soát số liệu)</t>
        </is>
      </c>
      <c r="O7" s="321" t="n"/>
      <c r="Q7" s="321" t="n"/>
      <c r="S7" s="188" t="n"/>
      <c r="V7" s="86" t="inlineStr">
        <is>
          <t>5118QT</t>
        </is>
      </c>
      <c r="W7" s="467">
        <f>SUMIFS($H:$H,$T:$T,$V7)</f>
        <v/>
      </c>
      <c r="X7" s="467">
        <f>SUMIFS($J:$J,$T:$T,$V7)</f>
        <v/>
      </c>
      <c r="Y7" s="467">
        <f>SUMIFS($H:$H,$T:$T,$V7)</f>
        <v/>
      </c>
      <c r="Z7" s="467">
        <f>SUMIFS($J:$J,$T:$T,$V7)</f>
        <v/>
      </c>
      <c r="AA7" s="467" t="n"/>
      <c r="AB7" s="85" t="n"/>
      <c r="AC7" s="78" t="inlineStr">
        <is>
          <t>quà tặng</t>
        </is>
      </c>
    </row>
    <row r="8" ht="17.4" customHeight="1" s="344">
      <c r="A8" s="336" t="inlineStr">
        <is>
          <t>Kèm theo tờ kê khai thuế GTGT theo mẫu số 01/GTGT</t>
        </is>
      </c>
      <c r="O8" s="321" t="n"/>
      <c r="Q8" s="321" t="n"/>
      <c r="S8" s="79" t="n"/>
      <c r="V8" s="86" t="inlineStr">
        <is>
          <t>4500TT</t>
        </is>
      </c>
      <c r="W8" s="467">
        <f>SUMIFS($H:$H,$T:$T,$V8)</f>
        <v/>
      </c>
      <c r="X8" s="467">
        <f>SUMIFS($J:$J,$T:$T,$V8)</f>
        <v/>
      </c>
      <c r="Y8" s="467" t="n"/>
      <c r="AA8" s="467">
        <f>SUMIFS($H:$H,$T:$T,$V8)</f>
        <v/>
      </c>
      <c r="AB8" s="467">
        <f>SUMIFS($J:$J,$T:$T,$V8)</f>
        <v/>
      </c>
      <c r="AC8" s="78" t="inlineStr">
        <is>
          <t>dường dây thông tin</t>
        </is>
      </c>
    </row>
    <row r="9" ht="15.65" customHeight="1" s="344">
      <c r="A9" s="336" t="inlineStr">
        <is>
          <t>Từ ngày 01/09/2026 đến ngày 30/09/2026</t>
        </is>
      </c>
      <c r="O9" s="321" t="n"/>
      <c r="Q9" s="321" t="n"/>
      <c r="S9" s="79" t="n"/>
      <c r="V9" s="85" t="n"/>
      <c r="W9" s="470">
        <f>SUM(W2:W8)</f>
        <v/>
      </c>
      <c r="X9" s="470">
        <f>SUM(X2:X8)</f>
        <v/>
      </c>
      <c r="Y9" s="484">
        <f>SUM(Y2:Y8)</f>
        <v/>
      </c>
      <c r="Z9" s="484">
        <f>SUM(Z2:Z8)</f>
        <v/>
      </c>
      <c r="AA9" s="485">
        <f>SUM(AA2:AA8)</f>
        <v/>
      </c>
      <c r="AB9" s="485">
        <f>SUM(AB2:AB8)</f>
        <v/>
      </c>
    </row>
    <row r="10" ht="15.65" customHeight="1" s="344">
      <c r="A10" s="321" t="n"/>
      <c r="O10" s="321" t="n"/>
      <c r="Q10" s="321" t="n"/>
      <c r="S10" s="79" t="n"/>
      <c r="V10" s="66" t="n"/>
    </row>
    <row r="11" ht="15.65" customHeight="1" s="344">
      <c r="A11" s="339" t="inlineStr">
        <is>
          <t>Người nộp thuế : CHI NHÁNH TỔNG CÔNG TY ĐIỆN LỰC THÀNH PHỐ HỒ CHÍ MINH TNHH - CÔNG TY ĐIỆN LỰC VŨNG TÀU</t>
        </is>
      </c>
      <c r="O11" s="321" t="n"/>
      <c r="Q11" s="321" t="n"/>
      <c r="S11" s="79" t="n"/>
      <c r="U11" s="101" t="inlineStr">
        <is>
          <t>trước thuế</t>
        </is>
      </c>
      <c r="V11" s="486">
        <f>SUM(W11:AB11)</f>
        <v/>
      </c>
      <c r="W11" s="469">
        <f>W9</f>
        <v/>
      </c>
      <c r="Y11" s="469">
        <f>Y9</f>
        <v/>
      </c>
      <c r="AA11" s="469">
        <f>AA9</f>
        <v/>
      </c>
    </row>
    <row r="12" ht="15.65" customHeight="1" s="344">
      <c r="A12" s="339" t="inlineStr">
        <is>
          <t>Mã số thuế : 0300951119-010</t>
        </is>
      </c>
      <c r="O12" s="321" t="n"/>
      <c r="Q12" s="321" t="n"/>
      <c r="S12" s="79" t="n"/>
      <c r="U12" s="101" t="inlineStr">
        <is>
          <t>thuế</t>
        </is>
      </c>
      <c r="V12" s="487">
        <f>SUM(W12:AB12)</f>
        <v/>
      </c>
      <c r="X12" s="469">
        <f>X9</f>
        <v/>
      </c>
      <c r="Z12" s="469">
        <f>Z9</f>
        <v/>
      </c>
      <c r="AB12" s="469">
        <f>AB9</f>
        <v/>
      </c>
    </row>
    <row r="13" ht="15.65" customHeight="1" s="344">
      <c r="A13" s="189" t="inlineStr">
        <is>
          <t>Đơn vị tính: đồng Việt Nam</t>
        </is>
      </c>
      <c r="B13" s="189" t="n"/>
      <c r="C13" s="189" t="n"/>
      <c r="D13" s="189" t="n"/>
      <c r="E13" s="189" t="n"/>
      <c r="F13" s="189" t="n"/>
      <c r="G13" s="189" t="n"/>
      <c r="H13" s="488" t="n"/>
      <c r="I13" s="488" t="n"/>
      <c r="J13" s="488" t="n"/>
      <c r="K13" s="189" t="n"/>
      <c r="L13" s="189" t="n"/>
      <c r="M13" s="189" t="n"/>
      <c r="N13" s="189" t="n"/>
      <c r="O13" s="188" t="n"/>
      <c r="P13" s="489" t="n"/>
      <c r="Q13" s="188" t="n"/>
      <c r="R13" s="188" t="n"/>
      <c r="S13" s="79" t="n"/>
      <c r="V13" s="490">
        <f>SUM(V11:V12)</f>
        <v/>
      </c>
    </row>
    <row r="14" ht="12" customHeight="1" s="344">
      <c r="A14" s="179" t="inlineStr">
        <is>
          <t>STT</t>
        </is>
      </c>
      <c r="B14" s="179" t="inlineStr">
        <is>
          <t>Hóa đơn, chứng từ bán</t>
        </is>
      </c>
      <c r="C14" s="491" t="n"/>
      <c r="D14" s="492" t="n"/>
      <c r="E14" s="179" t="inlineStr">
        <is>
          <t>Tên người mua</t>
        </is>
      </c>
      <c r="F14" s="179" t="inlineStr">
        <is>
          <t>Mã số thuế người mua</t>
        </is>
      </c>
      <c r="G14" s="179" t="inlineStr">
        <is>
          <t>Mặt hàng</t>
        </is>
      </c>
      <c r="H14" s="179" t="inlineStr">
        <is>
          <t>Doanh số bán chưa có thuế</t>
        </is>
      </c>
      <c r="I14" s="179" t="inlineStr">
        <is>
          <t>Thuế suất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kinh doanh</t>
        </is>
      </c>
      <c r="R14" s="179" t="inlineStr">
        <is>
          <t>Người lập chứng từ</t>
        </is>
      </c>
      <c r="S14" s="179" t="inlineStr">
        <is>
          <t>Trạng thái</t>
        </is>
      </c>
    </row>
    <row r="15" ht="12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U15" s="93" t="inlineStr">
        <is>
          <t>Kiểm dò MST</t>
        </is>
      </c>
      <c r="V15" s="95" t="inlineStr">
        <is>
          <t>Thuế suất</t>
        </is>
      </c>
    </row>
    <row r="16" ht="11.5" customHeight="1" s="344">
      <c r="A16" s="179" t="n">
        <v>1</v>
      </c>
      <c r="B16" s="179" t="n">
        <v>2</v>
      </c>
      <c r="C16" s="179" t="n">
        <v>3</v>
      </c>
      <c r="D16" s="179" t="n">
        <v>4</v>
      </c>
      <c r="E16" s="179" t="n">
        <v>5</v>
      </c>
      <c r="F16" s="179" t="n">
        <v>6</v>
      </c>
      <c r="G16" s="179" t="n">
        <v>7</v>
      </c>
      <c r="H16" s="179" t="n">
        <v>8</v>
      </c>
      <c r="I16" s="179" t="n">
        <v>9</v>
      </c>
      <c r="J16" s="179" t="n">
        <v>10</v>
      </c>
      <c r="K16" s="179" t="n">
        <v>11</v>
      </c>
      <c r="L16" s="179" t="n">
        <v>12</v>
      </c>
      <c r="M16" s="179" t="n">
        <v>13</v>
      </c>
      <c r="N16" s="179" t="n">
        <v>14</v>
      </c>
      <c r="O16" s="179" t="n">
        <v>15</v>
      </c>
      <c r="P16" s="179" t="n">
        <v>16</v>
      </c>
      <c r="Q16" s="179" t="n">
        <v>17</v>
      </c>
      <c r="R16" s="179" t="n">
        <v>18</v>
      </c>
      <c r="S16" s="179" t="n">
        <v>19</v>
      </c>
      <c r="V16" s="96" t="n"/>
      <c r="W16" s="469">
        <f>W9-H51</f>
        <v/>
      </c>
    </row>
    <row r="17" ht="12" customHeight="1" s="344">
      <c r="A17" s="494" t="inlineStr">
        <is>
          <t>1.Hàng hóa, dịch vụ không chịu thuế GTGT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V17" s="45" t="n">
        <v>9</v>
      </c>
    </row>
    <row r="18" ht="12" customHeight="1" s="344">
      <c r="A18" s="180" t="n">
        <v>1</v>
      </c>
      <c r="B18" s="166" t="n"/>
      <c r="C18" s="193" t="inlineStr">
        <is>
          <t>'</t>
        </is>
      </c>
      <c r="D18" s="166" t="n"/>
      <c r="E18" s="166" t="n"/>
      <c r="F18" s="193" t="inlineStr">
        <is>
          <t>'</t>
        </is>
      </c>
      <c r="G18" s="166" t="n"/>
      <c r="H18" s="166" t="n"/>
      <c r="I18" s="166" t="n"/>
      <c r="J18" s="166" t="n"/>
      <c r="K18" s="166" t="n"/>
      <c r="L18" s="166" t="n"/>
      <c r="M18" s="166" t="n"/>
      <c r="N18" s="166" t="n"/>
      <c r="O18" s="166" t="n"/>
      <c r="P18" s="166" t="n"/>
      <c r="Q18" s="166" t="n"/>
      <c r="R18" s="271" t="n"/>
      <c r="S18" s="166" t="n"/>
      <c r="V18" s="44" t="n"/>
    </row>
    <row r="19" ht="15.65" customHeight="1" s="344">
      <c r="A19" s="179" t="inlineStr">
        <is>
          <t>Tổng cộng</t>
        </is>
      </c>
      <c r="B19" s="491" t="n"/>
      <c r="C19" s="491" t="n"/>
      <c r="D19" s="491" t="n"/>
      <c r="E19" s="491" t="n"/>
      <c r="F19" s="491" t="n"/>
      <c r="G19" s="492" t="n"/>
      <c r="H19" s="166" t="n"/>
      <c r="I19" s="166" t="n"/>
      <c r="J19" s="166" t="n"/>
      <c r="K19" s="166" t="n"/>
      <c r="L19" s="166" t="n"/>
      <c r="M19" s="166" t="n"/>
      <c r="N19" s="166" t="n"/>
      <c r="O19" s="166" t="n"/>
      <c r="P19" s="166" t="n"/>
      <c r="Q19" s="166" t="n"/>
      <c r="R19" s="166" t="n"/>
      <c r="S19" s="166" t="n"/>
      <c r="T19" s="92">
        <f>LEFT(G19,6)</f>
        <v/>
      </c>
      <c r="V19" s="80" t="n"/>
      <c r="Y19" t="n">
        <v>5</v>
      </c>
    </row>
    <row r="20" ht="6" customHeight="1" s="344">
      <c r="A20" s="494" t="inlineStr">
        <is>
          <t>2.Hàng hóa, dịch vụ chịu thuế suất thuế GTGT 0%</t>
        </is>
      </c>
      <c r="B20" s="491" t="n"/>
      <c r="C20" s="491" t="n"/>
      <c r="D20" s="491" t="n"/>
      <c r="E20" s="491" t="n"/>
      <c r="F20" s="491" t="n"/>
      <c r="G20" s="491" t="n"/>
      <c r="H20" s="491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2" t="n"/>
      <c r="T20" s="92">
        <f>LEFT(G20,6)</f>
        <v/>
      </c>
      <c r="U20">
        <f>LEN(F20)</f>
        <v/>
      </c>
      <c r="V20" s="80" t="n"/>
      <c r="Y20" t="n">
        <v>8</v>
      </c>
    </row>
    <row r="21" ht="21.65" customHeight="1" s="344">
      <c r="A21" s="180" t="n">
        <v>1</v>
      </c>
      <c r="B21" s="166" t="inlineStr">
        <is>
          <t>1K26TDA</t>
        </is>
      </c>
      <c r="C21" s="193" t="inlineStr">
        <is>
          <t>'</t>
        </is>
      </c>
      <c r="D21" s="181" t="n">
        <v>46276</v>
      </c>
      <c r="E21" s="182" t="inlineStr">
        <is>
          <t>DIEN00-DOANH THU HÓA ĐƠN TIỀN ĐIỆN PHÁT SINH</t>
        </is>
      </c>
      <c r="F21" s="193" t="inlineStr">
        <is>
          <t>'KHDIENKINHDOANH</t>
        </is>
      </c>
      <c r="G21" s="180" t="inlineStr">
        <is>
          <t>DIEN00</t>
        </is>
      </c>
      <c r="H21" s="194" t="n">
        <v>105713000</v>
      </c>
      <c r="I21" s="194" t="n">
        <v>0</v>
      </c>
      <c r="J21" s="194" t="n">
        <v>0</v>
      </c>
      <c r="K21" s="180" t="inlineStr">
        <is>
          <t>DIEN00-DOANH THU HÓA ĐƠN TIỀN ĐIỆN PHÁT SINH-CT TNHH NHÔM TOÀN CẦU VIỆT NAM KỲ 1/9/2026</t>
        </is>
      </c>
      <c r="L21" s="180" t="inlineStr">
        <is>
          <t>AR_TRANS</t>
        </is>
      </c>
      <c r="M21" s="180" t="n">
        <v>2107</v>
      </c>
      <c r="N21" s="181" t="n">
        <v>46276</v>
      </c>
      <c r="O21" s="181" t="n">
        <v>46276</v>
      </c>
      <c r="P21" s="166" t="n"/>
      <c r="Q21" s="180" t="inlineStr">
        <is>
          <t>Không xác định</t>
        </is>
      </c>
      <c r="R21" s="180" t="inlineStr">
        <is>
          <t xml:space="preserve">QUYENNN.HCM.VTA </t>
        </is>
      </c>
      <c r="S21" s="180" t="inlineStr">
        <is>
          <t>Complete</t>
        </is>
      </c>
      <c r="T21" s="92">
        <f>LEFT(G21,6)</f>
        <v/>
      </c>
      <c r="U21" s="93">
        <f>LEN(F21)</f>
        <v/>
      </c>
      <c r="V21" s="44" t="n"/>
      <c r="Y21" t="n">
        <v>10</v>
      </c>
    </row>
    <row r="22" ht="31.5" customHeight="1" s="344">
      <c r="A22" s="180" t="n">
        <v>2</v>
      </c>
      <c r="B22" s="166" t="inlineStr">
        <is>
          <t>1K26TDA</t>
        </is>
      </c>
      <c r="C22" s="193" t="inlineStr">
        <is>
          <t>'</t>
        </is>
      </c>
      <c r="D22" s="181" t="n">
        <v>46286</v>
      </c>
      <c r="E22" s="182" t="inlineStr">
        <is>
          <t>DIEN00-DOANH THU HÓA ĐƠN TIỀN ĐIỆN PHÁT SINH</t>
        </is>
      </c>
      <c r="F22" s="193" t="inlineStr">
        <is>
          <t>'KHDIENKINHDOANH</t>
        </is>
      </c>
      <c r="G22" s="180" t="inlineStr">
        <is>
          <t>DIEN00</t>
        </is>
      </c>
      <c r="H22" s="194" t="n">
        <v>100483557</v>
      </c>
      <c r="I22" s="194" t="n">
        <v>0</v>
      </c>
      <c r="J22" s="194" t="n">
        <v>0</v>
      </c>
      <c r="K22" s="180" t="inlineStr">
        <is>
          <t>DIEN00-DOANH THU HÓA ĐƠN TIỀN ĐIỆN PHÁT SINH-CT TNHH NHÔM TOÀN CẦU VIỆT NAM KỲ 2/09/2026</t>
        </is>
      </c>
      <c r="L22" s="180" t="inlineStr">
        <is>
          <t>AR_TRANS</t>
        </is>
      </c>
      <c r="M22" s="180" t="n">
        <v>2132</v>
      </c>
      <c r="N22" s="181" t="n">
        <v>46286</v>
      </c>
      <c r="O22" s="181" t="n">
        <v>46286</v>
      </c>
      <c r="P22" s="166" t="n"/>
      <c r="Q22" s="180" t="inlineStr">
        <is>
          <t>Không xác định</t>
        </is>
      </c>
      <c r="R22" s="180" t="inlineStr">
        <is>
          <t xml:space="preserve">QUYENNN.HCM.VTA </t>
        </is>
      </c>
      <c r="S22" s="180" t="inlineStr">
        <is>
          <t>Complete</t>
        </is>
      </c>
      <c r="T22" s="92">
        <f>LEFT(G22,6)</f>
        <v/>
      </c>
      <c r="U22" s="93">
        <f>LEN(F22)</f>
        <v/>
      </c>
      <c r="V22" s="46" t="n">
        <v>0</v>
      </c>
    </row>
    <row r="23" ht="31.5" customFormat="1" customHeight="1" s="97">
      <c r="A23" s="180" t="n">
        <v>3</v>
      </c>
      <c r="B23" s="166" t="inlineStr">
        <is>
          <t>1K26TDA</t>
        </is>
      </c>
      <c r="C23" s="193" t="inlineStr">
        <is>
          <t>'</t>
        </is>
      </c>
      <c r="D23" s="166" t="n"/>
      <c r="E23" s="182" t="inlineStr">
        <is>
          <t>DIEN00-DOANH THU HÓA ĐƠN TIỀN ĐIỆN PHÁT SINH-CT TNHH NHÔM TOÀN CẦU VIỆT NAM KỲ 3/08/2026</t>
        </is>
      </c>
      <c r="F23" s="193" t="inlineStr">
        <is>
          <t>'</t>
        </is>
      </c>
      <c r="G23" s="180" t="inlineStr">
        <is>
          <t>DIEN00</t>
        </is>
      </c>
      <c r="H23" s="194" t="n">
        <v>99442300</v>
      </c>
      <c r="I23" s="194" t="n">
        <v>0</v>
      </c>
      <c r="J23" s="194" t="n">
        <v>0</v>
      </c>
      <c r="K23" s="166" t="n"/>
      <c r="L23" s="180" t="inlineStr">
        <is>
          <t>GL</t>
        </is>
      </c>
      <c r="M23" s="180" t="n">
        <v>2839</v>
      </c>
      <c r="N23" s="181" t="n">
        <v>46276</v>
      </c>
      <c r="O23" s="181" t="n">
        <v>46276</v>
      </c>
      <c r="P23" s="194" t="n">
        <v>99442300</v>
      </c>
      <c r="Q23" s="180" t="inlineStr">
        <is>
          <t>Không xác định</t>
        </is>
      </c>
      <c r="R23" s="180" t="inlineStr">
        <is>
          <t xml:space="preserve">QUYENNN.HCM.VTA </t>
        </is>
      </c>
      <c r="S23" s="180" t="inlineStr">
        <is>
          <t>Not Reversed</t>
        </is>
      </c>
      <c r="T23" s="92">
        <f>LEFT(G23,6)</f>
        <v/>
      </c>
      <c r="U23" s="93">
        <f>LEN(F23)</f>
        <v/>
      </c>
      <c r="V23" s="46" t="n">
        <v>0</v>
      </c>
    </row>
    <row r="24" ht="15.65" customFormat="1" customHeight="1" s="97">
      <c r="A24" s="179" t="inlineStr">
        <is>
          <t>Tổng cộng</t>
        </is>
      </c>
      <c r="B24" s="491" t="n"/>
      <c r="C24" s="491" t="n"/>
      <c r="D24" s="491" t="n"/>
      <c r="E24" s="491" t="n"/>
      <c r="F24" s="491" t="n"/>
      <c r="G24" s="492" t="n"/>
      <c r="H24" s="195" t="n">
        <v>305638857</v>
      </c>
      <c r="I24" s="166" t="n"/>
      <c r="J24" s="195" t="n">
        <v>0</v>
      </c>
      <c r="K24" s="166" t="n"/>
      <c r="L24" s="166" t="n"/>
      <c r="M24" s="166" t="n"/>
      <c r="N24" s="166" t="n"/>
      <c r="O24" s="166" t="n"/>
      <c r="P24" s="195" t="n">
        <v>99442300</v>
      </c>
      <c r="Q24" s="166" t="n"/>
      <c r="R24" s="166" t="n"/>
      <c r="S24" s="166" t="n"/>
      <c r="T24" s="92">
        <f>LEFT(G24,6)</f>
        <v/>
      </c>
      <c r="U24" s="93">
        <f>LEN(F24)</f>
        <v/>
      </c>
      <c r="V24" s="46" t="n">
        <v>0</v>
      </c>
    </row>
    <row r="25" ht="24.65" customFormat="1" customHeight="1" s="97">
      <c r="A25" s="494" t="inlineStr">
        <is>
          <t>3.Hàng hóa, dịch vụ chịu thuế suất thuế GTGT 5%</t>
        </is>
      </c>
      <c r="B25" s="491" t="n"/>
      <c r="C25" s="491" t="n"/>
      <c r="D25" s="491" t="n"/>
      <c r="E25" s="491" t="n"/>
      <c r="F25" s="491" t="n"/>
      <c r="G25" s="491" t="n"/>
      <c r="H25" s="49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2" t="n"/>
      <c r="T25" s="92">
        <f>LEFT(G25,6)</f>
        <v/>
      </c>
      <c r="U25" s="93">
        <f>LEN(F25)</f>
        <v/>
      </c>
      <c r="V25" s="80" t="n"/>
    </row>
    <row r="26" ht="15.65" customHeight="1" s="344">
      <c r="A26" s="180" t="n">
        <v>1</v>
      </c>
      <c r="B26" s="166" t="n"/>
      <c r="C26" s="193" t="inlineStr">
        <is>
          <t>'</t>
        </is>
      </c>
      <c r="D26" s="166" t="n"/>
      <c r="E26" s="166" t="n"/>
      <c r="F26" s="193" t="inlineStr">
        <is>
          <t>'</t>
        </is>
      </c>
      <c r="G26" s="166" t="n"/>
      <c r="H26" s="166" t="n"/>
      <c r="I26" s="166" t="n"/>
      <c r="J26" s="166" t="n"/>
      <c r="K26" s="166" t="n"/>
      <c r="L26" s="166" t="n"/>
      <c r="M26" s="166" t="n"/>
      <c r="N26" s="166" t="n"/>
      <c r="O26" s="166" t="n"/>
      <c r="P26" s="166" t="n"/>
      <c r="Q26" s="166" t="n"/>
      <c r="R26" s="271" t="n"/>
      <c r="S26" s="166" t="n"/>
      <c r="T26" s="92">
        <f>LEFT(G26,6)</f>
        <v/>
      </c>
      <c r="U26" s="93">
        <f>LEN(F26)</f>
        <v/>
      </c>
      <c r="V26" s="44" t="n"/>
    </row>
    <row r="27" ht="12" customHeight="1" s="344">
      <c r="A27" s="179" t="inlineStr">
        <is>
          <t>Tổng cộng</t>
        </is>
      </c>
      <c r="B27" s="491" t="n"/>
      <c r="C27" s="491" t="n"/>
      <c r="D27" s="491" t="n"/>
      <c r="E27" s="491" t="n"/>
      <c r="F27" s="491" t="n"/>
      <c r="G27" s="492" t="n"/>
      <c r="H27" s="166" t="n"/>
      <c r="I27" s="166" t="n"/>
      <c r="J27" s="166" t="n"/>
      <c r="K27" s="166" t="n"/>
      <c r="L27" s="166" t="n"/>
      <c r="M27" s="166" t="n"/>
      <c r="N27" s="166" t="n"/>
      <c r="O27" s="166" t="n"/>
      <c r="P27" s="166" t="n"/>
      <c r="Q27" s="166" t="n"/>
      <c r="R27" s="166" t="n"/>
      <c r="S27" s="166" t="n"/>
      <c r="T27" s="92">
        <f>LEFT(G27,6)</f>
        <v/>
      </c>
      <c r="U27" s="93">
        <f>LEN(F27)</f>
        <v/>
      </c>
      <c r="V27" s="80" t="n"/>
    </row>
    <row r="28" ht="12" customHeight="1" s="344">
      <c r="A28" s="494" t="inlineStr">
        <is>
          <t>4.Hàng hóa, dịch vụ chịu thuế suất thuế GTGT 10%</t>
        </is>
      </c>
      <c r="B28" s="491" t="n"/>
      <c r="C28" s="491" t="n"/>
      <c r="D28" s="491" t="n"/>
      <c r="E28" s="491" t="n"/>
      <c r="F28" s="491" t="n"/>
      <c r="G28" s="491" t="n"/>
      <c r="H28" s="491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2" t="n"/>
      <c r="T28" s="92">
        <f>LEFT(G28,6)</f>
        <v/>
      </c>
      <c r="U28" s="93">
        <f>LEN(F28)</f>
        <v/>
      </c>
      <c r="V28" s="80" t="n"/>
    </row>
    <row r="29" ht="31.5" customHeight="1" s="344">
      <c r="A29" s="180" t="n">
        <v>1</v>
      </c>
      <c r="B29" s="180" t="inlineStr">
        <is>
          <t>K26TAH</t>
        </is>
      </c>
      <c r="C29" s="193" t="inlineStr">
        <is>
          <t>'84</t>
        </is>
      </c>
      <c r="D29" s="181" t="n">
        <v>46275</v>
      </c>
      <c r="E29" s="182" t="inlineStr">
        <is>
          <t>CHI NHÁNH TỔNG CÔNG TY ĐIỆN LỰC THÀNH PHỐ HỒ CHÍ MINH TNHH - CÔNG TY LƯỚI ĐIỆN CAO THẾ THÀNH PHỐ HỒ CHÍ MINH</t>
        </is>
      </c>
      <c r="F29" s="193" t="inlineStr">
        <is>
          <t>'0300951119-016</t>
        </is>
      </c>
      <c r="G29" s="180" t="inlineStr">
        <is>
          <t>1388ĐĐ - Điều động VTTB theo CV 6267 ngày 04/09/26, PGH 03.VHJ.43.0002 ngày 07/09/26 - HĐ 84/10.09.2026</t>
        </is>
      </c>
      <c r="H29" s="194" t="n">
        <v>334144500</v>
      </c>
      <c r="I29" s="194" t="n">
        <v>8</v>
      </c>
      <c r="J29" s="194" t="n">
        <v>26731560</v>
      </c>
      <c r="K29" s="180" t="inlineStr">
        <is>
          <t>CK</t>
        </is>
      </c>
      <c r="L29" s="180" t="inlineStr">
        <is>
          <t>AR_TRANS</t>
        </is>
      </c>
      <c r="M29" s="180" t="n">
        <v>2149</v>
      </c>
      <c r="N29" s="181" t="n">
        <v>46275</v>
      </c>
      <c r="O29" s="181" t="n">
        <v>46275</v>
      </c>
      <c r="P29" s="166" t="n"/>
      <c r="Q29" s="180" t="inlineStr">
        <is>
          <t>Không xác định</t>
        </is>
      </c>
      <c r="R29" s="180" t="inlineStr">
        <is>
          <t xml:space="preserve">CHAULTN.HCM.VTA </t>
        </is>
      </c>
      <c r="S29" s="180" t="inlineStr">
        <is>
          <t>Complete</t>
        </is>
      </c>
      <c r="T29" s="92">
        <f>LEFT(G29,6)</f>
        <v/>
      </c>
      <c r="U29" s="93">
        <f>LEN(F29)</f>
        <v/>
      </c>
      <c r="V29" s="495" t="n"/>
    </row>
    <row r="30" ht="30.5" customHeight="1" s="344">
      <c r="A30" s="180" t="n">
        <v>2</v>
      </c>
      <c r="B30" s="180" t="inlineStr">
        <is>
          <t>K26TAH</t>
        </is>
      </c>
      <c r="C30" s="193" t="inlineStr">
        <is>
          <t>'85</t>
        </is>
      </c>
      <c r="D30" s="181" t="n">
        <v>46282</v>
      </c>
      <c r="E30" s="182" t="inlineStr">
        <is>
          <t>Chi nhánh Tổng Công ty Điện lực Thành phố Hồ Chí Minh TNHH - Công ty Dịch vụ Điện lực Thành phố Hồ Chí Minh</t>
        </is>
      </c>
      <c r="F30" s="193" t="inlineStr">
        <is>
          <t>'0300951119-017</t>
        </is>
      </c>
      <c r="G30" s="180" t="inlineStr">
        <is>
          <t>1388ĐĐ - Điều động VTTH theo PĐĐ 9165 ngày 20/08/26 &amp; PGH 03.VH1.17.0002 ngày 08/09/26 - HĐ 85/17.09.2026</t>
        </is>
      </c>
      <c r="H30" s="194" t="n">
        <v>156916987</v>
      </c>
      <c r="I30" s="194" t="n">
        <v>10</v>
      </c>
      <c r="J30" s="194" t="n">
        <v>15691699</v>
      </c>
      <c r="K30" s="180" t="inlineStr">
        <is>
          <t>CK</t>
        </is>
      </c>
      <c r="L30" s="180" t="inlineStr">
        <is>
          <t>AR_TRANS</t>
        </is>
      </c>
      <c r="M30" s="180" t="n">
        <v>2150</v>
      </c>
      <c r="N30" s="181" t="n">
        <v>46282</v>
      </c>
      <c r="O30" s="181" t="n">
        <v>46282</v>
      </c>
      <c r="P30" s="194" t="n">
        <v>172608686</v>
      </c>
      <c r="Q30" s="180" t="inlineStr">
        <is>
          <t>Không xác định</t>
        </is>
      </c>
      <c r="R30" s="180" t="inlineStr">
        <is>
          <t xml:space="preserve">CHAULTN.HCM.VTA </t>
        </is>
      </c>
      <c r="S30" s="180" t="inlineStr">
        <is>
          <t>Complete</t>
        </is>
      </c>
      <c r="T30" s="92">
        <f>LEFT(G30,6)</f>
        <v/>
      </c>
      <c r="U30" s="93">
        <f>LEN(F30)</f>
        <v/>
      </c>
      <c r="V30" s="495" t="n">
        <v>8</v>
      </c>
    </row>
    <row r="31" ht="31.5" customHeight="1" s="344">
      <c r="A31" s="180" t="n">
        <v>3</v>
      </c>
      <c r="B31" s="180" t="inlineStr">
        <is>
          <t>K26TAH</t>
        </is>
      </c>
      <c r="C31" s="193" t="inlineStr">
        <is>
          <t>'86</t>
        </is>
      </c>
      <c r="D31" s="181" t="n">
        <v>46282</v>
      </c>
      <c r="E31" s="182" t="inlineStr">
        <is>
          <t>Chi nhánh Tổng Công ty Điện lực Thành phố Hồ Chí Minh TNHH - Công ty Dịch vụ Điện lực Thành phố Hồ Chí Minh</t>
        </is>
      </c>
      <c r="F31" s="193" t="inlineStr">
        <is>
          <t>'0300951119-017</t>
        </is>
      </c>
      <c r="G31" s="180" t="inlineStr">
        <is>
          <t>1388ĐĐ - Điều động VTTB theo PĐNĐĐ 9165 ngày 20/08/26 và PGH 03.VH1.17.0002 ngày 08/09/26 - HĐ 86/17.09.2026</t>
        </is>
      </c>
      <c r="H31" s="194" t="n">
        <v>33600000</v>
      </c>
      <c r="I31" s="194" t="n">
        <v>8</v>
      </c>
      <c r="J31" s="194" t="n">
        <v>2688000</v>
      </c>
      <c r="K31" s="180" t="inlineStr">
        <is>
          <t>CK</t>
        </is>
      </c>
      <c r="L31" s="180" t="inlineStr">
        <is>
          <t>AR_TRANS</t>
        </is>
      </c>
      <c r="M31" s="180" t="n">
        <v>2154</v>
      </c>
      <c r="N31" s="181" t="n">
        <v>46282</v>
      </c>
      <c r="O31" s="181" t="n">
        <v>46282</v>
      </c>
      <c r="P31" s="166" t="n">
        <v>36288000</v>
      </c>
      <c r="Q31" s="180" t="inlineStr">
        <is>
          <t>Không xác định</t>
        </is>
      </c>
      <c r="R31" s="180" t="inlineStr">
        <is>
          <t xml:space="preserve">CHAULTN.HCM.VTA </t>
        </is>
      </c>
      <c r="S31" s="180" t="inlineStr">
        <is>
          <t>Complete</t>
        </is>
      </c>
      <c r="T31" s="92">
        <f>LEFT(G31,6)</f>
        <v/>
      </c>
      <c r="U31" s="93">
        <f>LEN(F31)</f>
        <v/>
      </c>
      <c r="V31" s="495" t="n">
        <v>8</v>
      </c>
    </row>
    <row r="32" ht="31.5" customHeight="1" s="344">
      <c r="A32" s="180" t="n">
        <v>4</v>
      </c>
      <c r="B32" s="180" t="inlineStr">
        <is>
          <t>K26TAH</t>
        </is>
      </c>
      <c r="C32" s="193" t="inlineStr">
        <is>
          <t>'87</t>
        </is>
      </c>
      <c r="D32" s="181" t="n">
        <v>46283</v>
      </c>
      <c r="E32" s="182" t="inlineStr">
        <is>
          <t>Chi nhánh Tổng Công ty Điện lực Thành phố Hồ Chí Minh TNHH - Công ty Dịch vụ Điện lực Thành phố Hồ Chí Minh</t>
        </is>
      </c>
      <c r="F32" s="193" t="inlineStr">
        <is>
          <t>'0300951119-017</t>
        </is>
      </c>
      <c r="G32" s="180" t="inlineStr">
        <is>
          <t>1388ĐĐ - Điều động VTTB theo PĐN ĐĐ 9970 ngày 17/09/26 và PGH 03.VH1.57.0010 ngày 17/09/26 - HĐ 87 ngày 18/09/2026</t>
        </is>
      </c>
      <c r="H32" s="194" t="n">
        <v>3675000</v>
      </c>
      <c r="I32" s="194" t="n">
        <v>8</v>
      </c>
      <c r="J32" s="194" t="n">
        <v>294000</v>
      </c>
      <c r="K32" s="166" t="inlineStr">
        <is>
          <t>CK</t>
        </is>
      </c>
      <c r="L32" s="180" t="inlineStr">
        <is>
          <t>AR_TRANS</t>
        </is>
      </c>
      <c r="M32" s="180" t="n">
        <v>2139</v>
      </c>
      <c r="N32" s="181" t="n">
        <v>46283</v>
      </c>
      <c r="O32" s="181" t="n">
        <v>46283</v>
      </c>
      <c r="P32" s="194" t="n"/>
      <c r="Q32" s="180" t="inlineStr">
        <is>
          <t>Không xác định</t>
        </is>
      </c>
      <c r="R32" s="180" t="inlineStr">
        <is>
          <t xml:space="preserve">CHAULTN.HCM.VTA </t>
        </is>
      </c>
      <c r="S32" s="180" t="inlineStr">
        <is>
          <t>Complete</t>
        </is>
      </c>
      <c r="T32" s="92">
        <f>LEFT(G32,6)</f>
        <v/>
      </c>
      <c r="U32" s="93">
        <f>LEN(F32)</f>
        <v/>
      </c>
      <c r="V32" s="495" t="n">
        <v>8</v>
      </c>
    </row>
    <row r="33" ht="31.5" customHeight="1" s="344">
      <c r="A33" s="180" t="n">
        <v>5</v>
      </c>
      <c r="B33" s="180" t="inlineStr">
        <is>
          <t>K26TAH</t>
        </is>
      </c>
      <c r="C33" s="193" t="inlineStr">
        <is>
          <t>'88</t>
        </is>
      </c>
      <c r="D33" s="181" t="n">
        <v>46283</v>
      </c>
      <c r="E33" s="182" t="inlineStr">
        <is>
          <t>Chi nhánh Tổng Công ty Điện lực Thành phố Hồ Chí Minh TNHH - Công ty Dịch vụ Điện lực Thành phố Hồ Chí Minh</t>
        </is>
      </c>
      <c r="F33" s="193" t="inlineStr">
        <is>
          <t>'0300951119-017</t>
        </is>
      </c>
      <c r="G33" s="180" t="inlineStr">
        <is>
          <t>1388ĐĐ - Điều động VTTB theo PĐNĐĐ 9840 ngày 15/09/2026 và PGH 03.VH1.57.0008, 03.VH1.57.0009 ngày 15/09/26 - HĐ 88 ngày 18/09/26</t>
        </is>
      </c>
      <c r="H33" s="194" t="n">
        <v>174936197</v>
      </c>
      <c r="I33" s="194" t="n">
        <v>8</v>
      </c>
      <c r="J33" s="194" t="n">
        <v>13994896</v>
      </c>
      <c r="K33" s="180" t="inlineStr">
        <is>
          <t>CK</t>
        </is>
      </c>
      <c r="L33" s="180" t="inlineStr">
        <is>
          <t>AR_TRANS</t>
        </is>
      </c>
      <c r="M33" s="180" t="n">
        <v>2155</v>
      </c>
      <c r="N33" s="181" t="n">
        <v>46283</v>
      </c>
      <c r="O33" s="181" t="n">
        <v>46283</v>
      </c>
      <c r="P33" s="166" t="n"/>
      <c r="Q33" s="180" t="inlineStr">
        <is>
          <t>Không xác định</t>
        </is>
      </c>
      <c r="R33" s="180" t="inlineStr">
        <is>
          <t xml:space="preserve">CHAULTN.HCM.VTA </t>
        </is>
      </c>
      <c r="S33" s="180" t="inlineStr">
        <is>
          <t>Complete</t>
        </is>
      </c>
      <c r="T33" s="92">
        <f>LEFT(G33,6)</f>
        <v/>
      </c>
      <c r="U33" s="93">
        <f>LEN(F33)</f>
        <v/>
      </c>
      <c r="V33" s="495" t="n">
        <v>8</v>
      </c>
    </row>
    <row r="34" ht="21.5" customHeight="1" s="344">
      <c r="A34" s="180" t="n">
        <v>6</v>
      </c>
      <c r="B34" s="180" t="inlineStr">
        <is>
          <t>K26TAH</t>
        </is>
      </c>
      <c r="C34" s="193" t="inlineStr">
        <is>
          <t>'89</t>
        </is>
      </c>
      <c r="D34" s="181" t="n">
        <v>46286</v>
      </c>
      <c r="E34" s="182" t="inlineStr">
        <is>
          <t>CHI NHÁNH TỔNG CÔNG TY ĐIỆN LỰC THÀNH PHỐ HỒ CHÍ MINH TNHH - CÔNG TY ĐIỆN LỰC BÌNH DƯƠNG</t>
        </is>
      </c>
      <c r="F34" s="193" t="inlineStr">
        <is>
          <t>'0300951119-028</t>
        </is>
      </c>
      <c r="G34" s="180" t="inlineStr">
        <is>
          <t>1388ĐĐ - Điều động VTTB theo CV 5120 nagỳ 18/09/2026 và PGH 03.VH1.57.0011 ngày 18/09/26 - HĐ 89 ngày 21/09/26</t>
        </is>
      </c>
      <c r="H34" s="194" t="n">
        <v>52530000</v>
      </c>
      <c r="I34" s="194" t="n">
        <v>8</v>
      </c>
      <c r="J34" s="194" t="n">
        <v>4202400</v>
      </c>
      <c r="K34" s="166" t="inlineStr">
        <is>
          <t>CK</t>
        </is>
      </c>
      <c r="L34" s="180" t="inlineStr">
        <is>
          <t>AR_TRANS</t>
        </is>
      </c>
      <c r="M34" s="180" t="n">
        <v>2140</v>
      </c>
      <c r="N34" s="181" t="n">
        <v>46286</v>
      </c>
      <c r="O34" s="181" t="n">
        <v>46286</v>
      </c>
      <c r="P34" s="166" t="n"/>
      <c r="Q34" s="180" t="inlineStr">
        <is>
          <t>Không xác định</t>
        </is>
      </c>
      <c r="R34" s="180" t="inlineStr">
        <is>
          <t xml:space="preserve">CHAULTN.HCM.VTA </t>
        </is>
      </c>
      <c r="S34" s="180" t="inlineStr">
        <is>
          <t>Complete</t>
        </is>
      </c>
      <c r="T34" s="92">
        <f>LEFT(G34,6)</f>
        <v/>
      </c>
      <c r="U34" s="93">
        <f>LEN(F34)</f>
        <v/>
      </c>
      <c r="V34" s="495" t="n">
        <v>8</v>
      </c>
    </row>
    <row r="35" ht="21.5" customFormat="1" customHeight="1" s="97">
      <c r="A35" s="180" t="n">
        <v>7</v>
      </c>
      <c r="B35" s="180" t="inlineStr">
        <is>
          <t>K26TAH</t>
        </is>
      </c>
      <c r="C35" s="193" t="inlineStr">
        <is>
          <t>'90</t>
        </is>
      </c>
      <c r="D35" s="181" t="n">
        <v>46286</v>
      </c>
      <c r="E35" s="182" t="inlineStr">
        <is>
          <t>Chi nhánh Tổng Công ty Điện lực Thành phố Hồ Chí Minh TNHH - Công ty Dịch vụ Điện lực Thành phố Hồ Chí Minh</t>
        </is>
      </c>
      <c r="F35" s="193" t="inlineStr">
        <is>
          <t>'0300951119-017</t>
        </is>
      </c>
      <c r="G35" s="180" t="inlineStr">
        <is>
          <t>1388ĐĐ - Điều động VTTB theo PĐN ĐĐ 10031 ngày 18/09/2026 và PGH 03.VH1.57.0012 ngày 21/09/26 - HĐ 90 ngày 21/09/2026</t>
        </is>
      </c>
      <c r="H35" s="194" t="n">
        <v>2450000</v>
      </c>
      <c r="I35" s="194" t="n">
        <v>8</v>
      </c>
      <c r="J35" s="194" t="n">
        <v>196000</v>
      </c>
      <c r="K35" s="180" t="inlineStr">
        <is>
          <t>CK</t>
        </is>
      </c>
      <c r="L35" s="180" t="inlineStr">
        <is>
          <t>AR_TRANS</t>
        </is>
      </c>
      <c r="M35" s="180" t="n">
        <v>2156</v>
      </c>
      <c r="N35" s="181" t="n">
        <v>46286</v>
      </c>
      <c r="O35" s="181" t="n">
        <v>46286</v>
      </c>
      <c r="P35" s="166" t="n"/>
      <c r="Q35" s="180" t="inlineStr">
        <is>
          <t>Không xác định</t>
        </is>
      </c>
      <c r="R35" s="180" t="inlineStr">
        <is>
          <t xml:space="preserve">CHAULTN.HCM.VTA </t>
        </is>
      </c>
      <c r="S35" s="180" t="inlineStr">
        <is>
          <t>Complete</t>
        </is>
      </c>
      <c r="T35" s="92">
        <f>LEFT(G35,6)</f>
        <v/>
      </c>
      <c r="U35" s="93">
        <f>LEN(F35)</f>
        <v/>
      </c>
      <c r="V35" s="495" t="n">
        <v>8</v>
      </c>
    </row>
    <row r="36" ht="31.5" customHeight="1" s="344">
      <c r="A36" s="180" t="n">
        <v>8</v>
      </c>
      <c r="B36" s="180" t="inlineStr">
        <is>
          <t>K26TAH</t>
        </is>
      </c>
      <c r="C36" s="193" t="inlineStr">
        <is>
          <t>'91</t>
        </is>
      </c>
      <c r="D36" s="181" t="n">
        <v>46287</v>
      </c>
      <c r="E36" s="182" t="inlineStr">
        <is>
          <t>CHI NHÁNH TỔNG CÔNG TY ĐIỆN LỰC THÀNH PHỐ HỒ CHÍ MINH TNHH - CÔNG TY ĐIỆN LỰC ĐẤT ĐỎ</t>
        </is>
      </c>
      <c r="F36" s="193" t="inlineStr">
        <is>
          <t>'0300951119-020</t>
        </is>
      </c>
      <c r="G36" s="180" t="inlineStr">
        <is>
          <t>1388ĐĐ - Điều động VTTB theo CV 2925 ngày 18/09/26 và PGH 03.VH1.57.0013 ngày 21/09/2026 - HĐ 91 ngày 22/09/2026</t>
        </is>
      </c>
      <c r="H36" s="194" t="n">
        <v>117544514</v>
      </c>
      <c r="I36" s="194" t="n">
        <v>8</v>
      </c>
      <c r="J36" s="194" t="n">
        <v>9403561</v>
      </c>
      <c r="K36" s="180" t="inlineStr">
        <is>
          <t>CK</t>
        </is>
      </c>
      <c r="L36" s="180" t="inlineStr">
        <is>
          <t>AR_TRANS</t>
        </is>
      </c>
      <c r="M36" s="180" t="n">
        <v>2157</v>
      </c>
      <c r="N36" s="181" t="n">
        <v>46287</v>
      </c>
      <c r="O36" s="181" t="n">
        <v>46287</v>
      </c>
      <c r="P36" s="166" t="n"/>
      <c r="Q36" s="180" t="inlineStr">
        <is>
          <t>Không xác định</t>
        </is>
      </c>
      <c r="R36" s="180" t="inlineStr">
        <is>
          <t xml:space="preserve">CHAULTN.HCM.VTA </t>
        </is>
      </c>
      <c r="S36" s="180" t="inlineStr">
        <is>
          <t>Complete</t>
        </is>
      </c>
      <c r="T36" s="92">
        <f>LEFT(G36,6)</f>
        <v/>
      </c>
      <c r="U36" s="93">
        <f>LEN(F36)</f>
        <v/>
      </c>
      <c r="V36" s="495" t="n">
        <v>8</v>
      </c>
    </row>
    <row r="37" ht="31.5" customHeight="1" s="344">
      <c r="A37" s="180" t="n">
        <v>9</v>
      </c>
      <c r="B37" s="180" t="inlineStr">
        <is>
          <t>K26TAH</t>
        </is>
      </c>
      <c r="C37" s="193" t="inlineStr">
        <is>
          <t>'92</t>
        </is>
      </c>
      <c r="D37" s="181" t="n">
        <v>46293</v>
      </c>
      <c r="E37" s="182" t="inlineStr">
        <is>
          <t>CHI NHÁNH TỔNG CÔNG TY ĐIỆN LỰC THÀNH PHỐ HỒ CHÍ MINH TNHH - CÔNG TY ĐIỆN LỰC BÌNH DƯƠNG</t>
        </is>
      </c>
      <c r="F37" s="193" t="inlineStr">
        <is>
          <t>'0300951119-028</t>
        </is>
      </c>
      <c r="G37" s="180" t="inlineStr">
        <is>
          <t>1388ĐĐ - Điều động VTTB theo CV 5219/24.09.26 của PC Bình Dương, PGH 03.VH1.57.0014 ngày 24.09.26 - HĐ 92 ngày 28.09.26</t>
        </is>
      </c>
      <c r="H37" s="194" t="n">
        <v>5242293</v>
      </c>
      <c r="I37" s="194" t="n">
        <v>8</v>
      </c>
      <c r="J37" s="194" t="n">
        <v>419383</v>
      </c>
      <c r="K37" s="180" t="inlineStr">
        <is>
          <t>CK</t>
        </is>
      </c>
      <c r="L37" s="180" t="inlineStr">
        <is>
          <t>AR_TRANS</t>
        </is>
      </c>
      <c r="M37" s="180" t="n">
        <v>2167</v>
      </c>
      <c r="N37" s="181" t="n">
        <v>46293</v>
      </c>
      <c r="O37" s="181" t="n">
        <v>46293</v>
      </c>
      <c r="P37" s="166" t="n"/>
      <c r="Q37" s="180" t="inlineStr">
        <is>
          <t>Không xác định</t>
        </is>
      </c>
      <c r="R37" s="180" t="inlineStr">
        <is>
          <t xml:space="preserve">CHAULTN.HCM.VTA </t>
        </is>
      </c>
      <c r="S37" s="180" t="inlineStr">
        <is>
          <t>Complete</t>
        </is>
      </c>
      <c r="T37" s="92">
        <f>LEFT(G37,6)</f>
        <v/>
      </c>
      <c r="U37" s="93">
        <f>LEN(F37)</f>
        <v/>
      </c>
      <c r="V37" s="495" t="n">
        <v>8</v>
      </c>
    </row>
    <row r="38" ht="31.5" customHeight="1" s="344">
      <c r="A38" s="180" t="n">
        <v>10</v>
      </c>
      <c r="B38" s="180" t="inlineStr">
        <is>
          <t>K26TAH</t>
        </is>
      </c>
      <c r="C38" s="193" t="inlineStr">
        <is>
          <t>'93</t>
        </is>
      </c>
      <c r="D38" s="181" t="n">
        <v>46293</v>
      </c>
      <c r="E38" s="182" t="inlineStr">
        <is>
          <t>CHI NHÁNH 9 - CÔNG TY TNHH TRUYỀN HÌNH CÁP SAIGONTOURIST</t>
        </is>
      </c>
      <c r="F38" s="193" t="inlineStr">
        <is>
          <t>'0301463315-006</t>
        </is>
      </c>
      <c r="G38" s="180" t="inlineStr">
        <is>
          <t>4500TT - Doanh thu cho thuê cột điện từ 01/07/26 đến 30/09/26 SCTV - HĐ 93 ngày 28/09/2026</t>
        </is>
      </c>
      <c r="H38" s="194" t="n">
        <v>274710660</v>
      </c>
      <c r="I38" s="194" t="n">
        <v>8</v>
      </c>
      <c r="J38" s="194" t="n">
        <v>21976853</v>
      </c>
      <c r="K38" s="180" t="inlineStr">
        <is>
          <t>CK</t>
        </is>
      </c>
      <c r="L38" s="180" t="inlineStr">
        <is>
          <t>AR_TRANS</t>
        </is>
      </c>
      <c r="M38" s="180" t="n">
        <v>2182</v>
      </c>
      <c r="N38" s="181" t="n">
        <v>46293</v>
      </c>
      <c r="O38" s="181" t="n">
        <v>46293</v>
      </c>
      <c r="P38" s="166" t="n"/>
      <c r="Q38" s="180" t="inlineStr">
        <is>
          <t>Không xác định</t>
        </is>
      </c>
      <c r="R38" s="180" t="inlineStr">
        <is>
          <t xml:space="preserve">CHAULTN.HCM.VTA </t>
        </is>
      </c>
      <c r="S38" s="180" t="inlineStr">
        <is>
          <t>Complete</t>
        </is>
      </c>
      <c r="T38" s="92">
        <f>LEFT(G38,6)</f>
        <v/>
      </c>
      <c r="U38" s="93">
        <f>LEN(F38)</f>
        <v/>
      </c>
      <c r="V38" s="495" t="n">
        <v>10</v>
      </c>
    </row>
    <row r="39" ht="31.5" customHeight="1" s="344">
      <c r="A39" s="180" t="n">
        <v>11</v>
      </c>
      <c r="B39" s="180" t="inlineStr">
        <is>
          <t>K26TAH</t>
        </is>
      </c>
      <c r="C39" s="193" t="inlineStr">
        <is>
          <t>'94</t>
        </is>
      </c>
      <c r="D39" s="181" t="n">
        <v>46293</v>
      </c>
      <c r="E39" s="182" t="inlineStr">
        <is>
          <t>MobiFone Thành phố Hồ Chí Minh - Chi nhánh Tổng công ty Viễn thông MobiFone</t>
        </is>
      </c>
      <c r="F39" s="193" t="inlineStr">
        <is>
          <t>'0100686209-002</t>
        </is>
      </c>
      <c r="G39" s="180" t="inlineStr">
        <is>
          <t>4500TT - Doanh thu cho thuê cột điện treo cáp viễn thông từ 01/07/26 đến 30/09/26 (MBF) - HĐ 94 ngày 28/09/26</t>
        </is>
      </c>
      <c r="H39" s="194" t="n">
        <v>1213549653</v>
      </c>
      <c r="I39" s="194" t="n">
        <v>8</v>
      </c>
      <c r="J39" s="194" t="n">
        <v>97083972</v>
      </c>
      <c r="K39" s="180" t="inlineStr">
        <is>
          <t>CK</t>
        </is>
      </c>
      <c r="L39" s="180" t="inlineStr">
        <is>
          <t>AR_TRANS</t>
        </is>
      </c>
      <c r="M39" s="180" t="n">
        <v>2183</v>
      </c>
      <c r="N39" s="181" t="n">
        <v>46293</v>
      </c>
      <c r="O39" s="181" t="n">
        <v>46293</v>
      </c>
      <c r="P39" s="166" t="n"/>
      <c r="Q39" s="180" t="inlineStr">
        <is>
          <t>Không xác định</t>
        </is>
      </c>
      <c r="R39" s="180" t="inlineStr">
        <is>
          <t xml:space="preserve">CHAULTN.HCM.VTA </t>
        </is>
      </c>
      <c r="S39" s="180" t="inlineStr">
        <is>
          <t>Complete</t>
        </is>
      </c>
      <c r="T39" s="92">
        <f>LEFT(G39,6)</f>
        <v/>
      </c>
      <c r="U39" s="93">
        <f>LEN(F39)</f>
        <v/>
      </c>
      <c r="V39" s="495" t="n">
        <v>8</v>
      </c>
    </row>
    <row r="40" ht="31.5" customHeight="1" s="344">
      <c r="A40" s="180" t="n">
        <v>12</v>
      </c>
      <c r="B40" s="180" t="inlineStr">
        <is>
          <t>K26TAH</t>
        </is>
      </c>
      <c r="C40" s="193" t="inlineStr">
        <is>
          <t>'95</t>
        </is>
      </c>
      <c r="D40" s="181" t="n">
        <v>46293</v>
      </c>
      <c r="E40" s="182" t="inlineStr">
        <is>
          <t>Chi nhánh Công ty Cổ phần Viễn thông FPT</t>
        </is>
      </c>
      <c r="F40" s="193" t="inlineStr">
        <is>
          <t>'0101778163-001</t>
        </is>
      </c>
      <c r="G40" s="180" t="inlineStr">
        <is>
          <t>4500TT - Doanh thu cho thuê cột điện treo cáp viễn thông từ 01/09/2026 đến 30/09/26 FPT - HĐ 95 ngày 28/09/2026</t>
        </is>
      </c>
      <c r="H40" s="194" t="n">
        <v>57336523</v>
      </c>
      <c r="I40" s="194" t="n">
        <v>8</v>
      </c>
      <c r="J40" s="194" t="n">
        <v>4586922</v>
      </c>
      <c r="K40" s="180" t="inlineStr">
        <is>
          <t>CK</t>
        </is>
      </c>
      <c r="L40" s="180" t="inlineStr">
        <is>
          <t>AR_TRANS</t>
        </is>
      </c>
      <c r="M40" s="180" t="n">
        <v>2168</v>
      </c>
      <c r="N40" s="181" t="n">
        <v>46293</v>
      </c>
      <c r="O40" s="181" t="n">
        <v>46293</v>
      </c>
      <c r="P40" s="166" t="n"/>
      <c r="Q40" s="180" t="inlineStr">
        <is>
          <t>Không xác định</t>
        </is>
      </c>
      <c r="R40" s="180" t="inlineStr">
        <is>
          <t xml:space="preserve">CHAULTN.HCM.VTA </t>
        </is>
      </c>
      <c r="S40" s="180" t="inlineStr">
        <is>
          <t>Complete</t>
        </is>
      </c>
      <c r="T40" s="92">
        <f>LEFT(G40,6)</f>
        <v/>
      </c>
      <c r="U40" s="93">
        <f>LEN(F40)</f>
        <v/>
      </c>
      <c r="V40" s="495" t="n">
        <v>10</v>
      </c>
    </row>
    <row r="41" ht="31.5" customHeight="1" s="344">
      <c r="A41" s="180" t="n">
        <v>13</v>
      </c>
      <c r="B41" s="180" t="inlineStr">
        <is>
          <t>K26TAH</t>
        </is>
      </c>
      <c r="C41" s="193" t="inlineStr">
        <is>
          <t>'96</t>
        </is>
      </c>
      <c r="D41" s="181" t="n">
        <v>46293</v>
      </c>
      <c r="E41" s="182" t="inlineStr">
        <is>
          <t>VNPT thành phố Hồ Chí Minh</t>
        </is>
      </c>
      <c r="F41" s="193" t="inlineStr">
        <is>
          <t>'0300954529</t>
        </is>
      </c>
      <c r="G41" s="180" t="inlineStr">
        <is>
          <t>4500TT - Doanh thu cho thuê cột điện từ 01/09/26 đến 30/09/26 VNPT - HĐ 96 ngày 28/09/26</t>
        </is>
      </c>
      <c r="H41" s="194" t="n">
        <v>150296766</v>
      </c>
      <c r="I41" s="194" t="n">
        <v>8</v>
      </c>
      <c r="J41" s="194" t="n">
        <v>12023741</v>
      </c>
      <c r="K41" s="166" t="inlineStr">
        <is>
          <t>CK</t>
        </is>
      </c>
      <c r="L41" s="180" t="inlineStr">
        <is>
          <t>AR_TRANS</t>
        </is>
      </c>
      <c r="M41" s="180" t="n">
        <v>2184</v>
      </c>
      <c r="N41" s="181" t="n">
        <v>46293</v>
      </c>
      <c r="O41" s="181" t="n">
        <v>46293</v>
      </c>
      <c r="P41" s="194" t="n"/>
      <c r="Q41" s="180" t="inlineStr">
        <is>
          <t>Không xác định</t>
        </is>
      </c>
      <c r="R41" s="180" t="inlineStr">
        <is>
          <t xml:space="preserve">CHAULTN.HCM.VTA </t>
        </is>
      </c>
      <c r="S41" s="180" t="inlineStr">
        <is>
          <t>Complete</t>
        </is>
      </c>
      <c r="T41" s="92">
        <f>LEFT(G41,6)</f>
        <v/>
      </c>
      <c r="U41" s="93">
        <f>LEN(F41)</f>
        <v/>
      </c>
      <c r="V41" s="495" t="n">
        <v>10</v>
      </c>
    </row>
    <row r="42" ht="31.5" customHeight="1" s="344">
      <c r="A42" s="180" t="n">
        <v>14</v>
      </c>
      <c r="B42" s="180" t="inlineStr">
        <is>
          <t>K26TAH</t>
        </is>
      </c>
      <c r="C42" s="193" t="inlineStr">
        <is>
          <t>'97</t>
        </is>
      </c>
      <c r="D42" s="181" t="n">
        <v>46293</v>
      </c>
      <c r="E42" s="182" t="inlineStr">
        <is>
          <t>CHI NHÁNH CÔNG TY CỔ PHẦN TỔNG CÔNG TY TRUYỀN HÌNH CÁP VIỆT NAM TẠI TỈNH BÀ RỊA - VŨNG TÀU</t>
        </is>
      </c>
      <c r="F42" s="193" t="inlineStr">
        <is>
          <t>'0105926285-023</t>
        </is>
      </c>
      <c r="G42" s="180" t="inlineStr">
        <is>
          <t>4500TT - Doanh thu cho thuê cột điện treo cáp viễn thông từ 01/09/2026 đến 30/09/2026 - HĐ 97 ngày 28/09/2026</t>
        </is>
      </c>
      <c r="H42" s="194" t="n">
        <v>45940071</v>
      </c>
      <c r="I42" s="194" t="n">
        <v>8</v>
      </c>
      <c r="J42" s="194" t="n">
        <v>3675206</v>
      </c>
      <c r="K42" s="166" t="inlineStr">
        <is>
          <t>CK</t>
        </is>
      </c>
      <c r="L42" s="180" t="inlineStr">
        <is>
          <t>AR_TRANS</t>
        </is>
      </c>
      <c r="M42" s="180" t="n">
        <v>2169</v>
      </c>
      <c r="N42" s="181" t="n">
        <v>46293</v>
      </c>
      <c r="O42" s="181" t="n">
        <v>46293</v>
      </c>
      <c r="P42" s="194" t="n"/>
      <c r="Q42" s="180" t="inlineStr">
        <is>
          <t>Không xác định</t>
        </is>
      </c>
      <c r="R42" s="180" t="inlineStr">
        <is>
          <t xml:space="preserve">CHAULTN.HCM.VTA </t>
        </is>
      </c>
      <c r="S42" s="180" t="inlineStr">
        <is>
          <t>Complete</t>
        </is>
      </c>
      <c r="T42" s="92">
        <f>LEFT(G42,6)</f>
        <v/>
      </c>
      <c r="U42" s="93">
        <f>LEN(F42)</f>
        <v/>
      </c>
      <c r="V42" s="495" t="n">
        <v>8</v>
      </c>
    </row>
    <row r="43" ht="15.65" customHeight="1" s="344">
      <c r="A43" s="180" t="n">
        <v>15</v>
      </c>
      <c r="B43" s="166" t="inlineStr">
        <is>
          <t>1K26TDA</t>
        </is>
      </c>
      <c r="C43" s="193" t="inlineStr">
        <is>
          <t>'</t>
        </is>
      </c>
      <c r="D43" s="181" t="n">
        <v>46276</v>
      </c>
      <c r="E43" s="182" t="inlineStr">
        <is>
          <t>DIEN01-DOANH THU HÓA ĐƠN TIỀN ĐIỆN PHÁT SINH</t>
        </is>
      </c>
      <c r="F43" s="193" t="inlineStr">
        <is>
          <t>'KHDIENKINHDOANH</t>
        </is>
      </c>
      <c r="G43" s="180" t="inlineStr">
        <is>
          <t>DIEN01</t>
        </is>
      </c>
      <c r="H43" s="194" t="n">
        <v>305833672736</v>
      </c>
      <c r="I43" s="194" t="n">
        <v>8</v>
      </c>
      <c r="J43" s="194" t="n">
        <v>24466693819</v>
      </c>
      <c r="K43" s="180" t="inlineStr">
        <is>
          <t>DIEN01-DOANH THU HÓA ĐƠN TIỀN ĐIỆN PHÁT SINH TỪ NGÀY 11/09/2026 ĐẾN 11/09/2026</t>
        </is>
      </c>
      <c r="L43" s="180" t="inlineStr">
        <is>
          <t>AR_TRANS</t>
        </is>
      </c>
      <c r="M43" s="180" t="n">
        <v>2106</v>
      </c>
      <c r="N43" s="181" t="n">
        <v>46276</v>
      </c>
      <c r="O43" s="181" t="n">
        <v>46276</v>
      </c>
      <c r="P43" s="166" t="n">
        <v>202349781493</v>
      </c>
      <c r="Q43" s="180" t="inlineStr">
        <is>
          <t>Không xác định</t>
        </is>
      </c>
      <c r="R43" s="180" t="inlineStr">
        <is>
          <t xml:space="preserve">QUYENNN.HCM.VTA </t>
        </is>
      </c>
      <c r="S43" s="180" t="inlineStr">
        <is>
          <t>Complete</t>
        </is>
      </c>
      <c r="T43" s="92">
        <f>LEFT(G43,6)</f>
        <v/>
      </c>
      <c r="U43" s="93">
        <f>LEN(F43)</f>
        <v/>
      </c>
      <c r="V43" s="495" t="n">
        <v>8</v>
      </c>
    </row>
    <row r="44" ht="12" customHeight="1" s="344">
      <c r="A44" s="180" t="n">
        <v>16</v>
      </c>
      <c r="B44" s="166" t="inlineStr">
        <is>
          <t>1K26TDA</t>
        </is>
      </c>
      <c r="C44" s="193" t="inlineStr">
        <is>
          <t>'</t>
        </is>
      </c>
      <c r="D44" s="181" t="n">
        <v>46276</v>
      </c>
      <c r="E44" s="182" t="inlineStr">
        <is>
          <t>CSPK02-DOANH THU HÓA ĐƠN TIỀN VÔ CÔNG PHÁT SINH</t>
        </is>
      </c>
      <c r="F44" s="193" t="inlineStr">
        <is>
          <t>'KHDIENVOCONG</t>
        </is>
      </c>
      <c r="G44" s="180" t="inlineStr">
        <is>
          <t>CSPK02</t>
        </is>
      </c>
      <c r="H44" s="194" t="n">
        <v>188521298</v>
      </c>
      <c r="I44" s="194" t="n">
        <v>8</v>
      </c>
      <c r="J44" s="194" t="n">
        <v>15081702</v>
      </c>
      <c r="K44" s="180" t="inlineStr">
        <is>
          <t>CSPK02-DOANH THU HÓA ĐƠN TIỀN VÔ CÔNG PHÁT SINH TỪ NGÀY 11/09/2026 ĐẾN 11/09/2026</t>
        </is>
      </c>
      <c r="L44" s="180" t="inlineStr">
        <is>
          <t>AR_TRANS</t>
        </is>
      </c>
      <c r="M44" s="180" t="n">
        <v>2108</v>
      </c>
      <c r="N44" s="181" t="n">
        <v>46276</v>
      </c>
      <c r="O44" s="181" t="n">
        <v>46276</v>
      </c>
      <c r="P44" s="166" t="n"/>
      <c r="Q44" s="180" t="inlineStr">
        <is>
          <t>Không xác định</t>
        </is>
      </c>
      <c r="R44" s="180" t="inlineStr">
        <is>
          <t xml:space="preserve">QUYENNN.HCM.VTA </t>
        </is>
      </c>
      <c r="S44" s="180" t="inlineStr">
        <is>
          <t>Complete</t>
        </is>
      </c>
      <c r="T44" s="92">
        <f>LEFT(G44,6)</f>
        <v/>
      </c>
      <c r="U44" s="93">
        <f>LEN(F44)</f>
        <v/>
      </c>
      <c r="V44" s="495" t="n">
        <v>8</v>
      </c>
    </row>
    <row r="45" ht="21.5" customHeight="1" s="344">
      <c r="A45" s="180" t="n">
        <v>17</v>
      </c>
      <c r="B45" s="166" t="inlineStr">
        <is>
          <t>1K26TDA</t>
        </is>
      </c>
      <c r="C45" s="193" t="inlineStr">
        <is>
          <t>'</t>
        </is>
      </c>
      <c r="D45" s="181" t="n">
        <v>46286</v>
      </c>
      <c r="E45" s="182" t="inlineStr">
        <is>
          <t>DIEN01-DOANH THU HÓA ĐƠN TIỀN ĐIỆN PHÁT SINH</t>
        </is>
      </c>
      <c r="F45" s="193" t="inlineStr">
        <is>
          <t>'KHDIENKINHDOANH</t>
        </is>
      </c>
      <c r="G45" s="180" t="inlineStr">
        <is>
          <t>DIEN01</t>
        </is>
      </c>
      <c r="H45" s="194" t="n">
        <v>340402908726</v>
      </c>
      <c r="I45" s="194" t="n">
        <v>8</v>
      </c>
      <c r="J45" s="194" t="n">
        <v>27232232700</v>
      </c>
      <c r="K45" s="180" t="inlineStr">
        <is>
          <t>DIEN01-DOANH THU HÓA ĐƠN TIỀN ĐIỆN PHÁT SINH TỪ NGÀY 21/09/2026 ĐẾN 21/09/2026</t>
        </is>
      </c>
      <c r="L45" s="180" t="inlineStr">
        <is>
          <t>AR_TRANS</t>
        </is>
      </c>
      <c r="M45" s="180" t="n">
        <v>2131</v>
      </c>
      <c r="N45" s="181" t="n">
        <v>46286</v>
      </c>
      <c r="O45" s="181" t="n">
        <v>46286</v>
      </c>
      <c r="P45" s="194" t="n"/>
      <c r="Q45" s="180" t="inlineStr">
        <is>
          <t>Không xác định</t>
        </is>
      </c>
      <c r="R45" s="180" t="inlineStr">
        <is>
          <t xml:space="preserve">QUYENNN.HCM.VTA </t>
        </is>
      </c>
      <c r="S45" s="180" t="inlineStr">
        <is>
          <t>Complete</t>
        </is>
      </c>
      <c r="T45" s="92">
        <f>LEFT(G45,6)</f>
        <v/>
      </c>
      <c r="U45" s="93">
        <f>LEN(F45)</f>
        <v/>
      </c>
      <c r="V45" s="495" t="n">
        <v>8</v>
      </c>
    </row>
    <row r="46" ht="15.65" customHeight="1" s="344">
      <c r="A46" s="180" t="n">
        <v>18</v>
      </c>
      <c r="B46" s="166" t="inlineStr">
        <is>
          <t>1K26TDA</t>
        </is>
      </c>
      <c r="C46" s="193" t="inlineStr">
        <is>
          <t>'</t>
        </is>
      </c>
      <c r="D46" s="181" t="n">
        <v>46286</v>
      </c>
      <c r="E46" s="182" t="inlineStr">
        <is>
          <t>CSPK02-DOANH THU HÓA ĐƠN TIỀN VÔ CÔNG PHÁT SINH</t>
        </is>
      </c>
      <c r="F46" s="193" t="inlineStr">
        <is>
          <t>'KHDIENVOCONG</t>
        </is>
      </c>
      <c r="G46" s="180" t="inlineStr">
        <is>
          <t>CSPK02</t>
        </is>
      </c>
      <c r="H46" s="194" t="n">
        <v>122527217</v>
      </c>
      <c r="I46" s="194" t="n">
        <v>8</v>
      </c>
      <c r="J46" s="194" t="n">
        <v>9802181</v>
      </c>
      <c r="K46" s="180" t="inlineStr">
        <is>
          <t>CSPK02-DOANH THU HÓA ĐƠN TIỀN VÔ CÔNG PHÁT SINH TỪ NGÀY 21/09/2026 ĐẾN 21/09/2026</t>
        </is>
      </c>
      <c r="L46" s="180" t="inlineStr">
        <is>
          <t>AR_TRANS</t>
        </is>
      </c>
      <c r="M46" s="180" t="n">
        <v>2133</v>
      </c>
      <c r="N46" s="181" t="n">
        <v>46286</v>
      </c>
      <c r="O46" s="181" t="n">
        <v>46286</v>
      </c>
      <c r="P46" s="166" t="n"/>
      <c r="Q46" s="180" t="inlineStr">
        <is>
          <t>Không xác định</t>
        </is>
      </c>
      <c r="R46" s="180" t="inlineStr">
        <is>
          <t xml:space="preserve">QUYENNN.HCM.VTA </t>
        </is>
      </c>
      <c r="S46" s="180" t="inlineStr">
        <is>
          <t>Complete</t>
        </is>
      </c>
      <c r="T46" s="92">
        <f>LEFT(G46,6)</f>
        <v/>
      </c>
      <c r="U46" s="93">
        <f>LEN(F46)</f>
        <v/>
      </c>
      <c r="V46" s="495" t="n">
        <v>8</v>
      </c>
    </row>
    <row r="47" ht="15.65" customHeight="1" s="344">
      <c r="A47" s="180" t="n">
        <v>19</v>
      </c>
      <c r="B47" s="166" t="inlineStr">
        <is>
          <t>1K26TDA</t>
        </is>
      </c>
      <c r="C47" s="193" t="inlineStr">
        <is>
          <t>'</t>
        </is>
      </c>
      <c r="D47" s="181" t="n">
        <v>46295</v>
      </c>
      <c r="E47" s="182" t="inlineStr">
        <is>
          <t>CSPK02-DOANH THU HÓA ĐƠN TIỀN VÔ CÔNG HỦY BỎ</t>
        </is>
      </c>
      <c r="F47" s="193" t="inlineStr">
        <is>
          <t>'KHDIENVOCONG</t>
        </is>
      </c>
      <c r="G47" s="180" t="inlineStr">
        <is>
          <t>CSPK02</t>
        </is>
      </c>
      <c r="H47" s="194" t="n">
        <v>-896068</v>
      </c>
      <c r="I47" s="194" t="n">
        <v>8</v>
      </c>
      <c r="J47" s="194" t="n">
        <v>-71685</v>
      </c>
      <c r="K47" s="180" t="inlineStr">
        <is>
          <t>CSPK02-DOANH THU HÓA ĐƠN TIỀN VÔ CÔNG HỦY BỎ T09/2026</t>
        </is>
      </c>
      <c r="L47" s="180" t="inlineStr">
        <is>
          <t>AR_TRANS</t>
        </is>
      </c>
      <c r="M47" s="180" t="n">
        <v>2170</v>
      </c>
      <c r="N47" s="181" t="n">
        <v>46295</v>
      </c>
      <c r="O47" s="181" t="n">
        <v>46295</v>
      </c>
      <c r="P47" s="194" t="n">
        <v>-967753</v>
      </c>
      <c r="Q47" s="180" t="inlineStr">
        <is>
          <t>Không xác định</t>
        </is>
      </c>
      <c r="R47" s="180" t="inlineStr">
        <is>
          <t xml:space="preserve">QUYENNN.HCM.VTA </t>
        </is>
      </c>
      <c r="S47" s="180" t="inlineStr">
        <is>
          <t>Complete</t>
        </is>
      </c>
      <c r="T47" s="92">
        <f>LEFT(G47,6)</f>
        <v/>
      </c>
      <c r="U47" s="93">
        <f>LEN(F47)</f>
        <v/>
      </c>
      <c r="V47" s="495" t="n"/>
    </row>
    <row r="48" ht="15.65" customHeight="1" s="344">
      <c r="A48" s="180" t="n">
        <v>20</v>
      </c>
      <c r="B48" s="166" t="inlineStr">
        <is>
          <t>1K26TDA</t>
        </is>
      </c>
      <c r="C48" s="193" t="inlineStr">
        <is>
          <t>'</t>
        </is>
      </c>
      <c r="D48" s="181" t="n">
        <v>46295</v>
      </c>
      <c r="E48" s="182" t="inlineStr">
        <is>
          <t>DIEN01-DOANH THU HÓA ĐƠN TIỀN ĐIỆN LẶP LẠI</t>
        </is>
      </c>
      <c r="F48" s="193" t="inlineStr">
        <is>
          <t>'KHDIENKINHDOANH</t>
        </is>
      </c>
      <c r="G48" s="180" t="inlineStr">
        <is>
          <t>DIEN01</t>
        </is>
      </c>
      <c r="H48" s="194" t="n">
        <v>54987416</v>
      </c>
      <c r="I48" s="194" t="n">
        <v>8</v>
      </c>
      <c r="J48" s="194" t="n">
        <v>4398992</v>
      </c>
      <c r="K48" s="180" t="inlineStr">
        <is>
          <t>DIEN01-DOANH THU HÓA ĐƠN TIỀN ĐIỆN LẶP LẠI T09/2026</t>
        </is>
      </c>
      <c r="L48" s="180" t="inlineStr">
        <is>
          <t>AR_TRANS</t>
        </is>
      </c>
      <c r="M48" s="180" t="n">
        <v>2171</v>
      </c>
      <c r="N48" s="181" t="n">
        <v>46295</v>
      </c>
      <c r="O48" s="181" t="n">
        <v>46295</v>
      </c>
      <c r="P48" s="194" t="n"/>
      <c r="Q48" s="180" t="inlineStr">
        <is>
          <t>Không xác định</t>
        </is>
      </c>
      <c r="R48" s="180" t="inlineStr">
        <is>
          <t xml:space="preserve">QUYENNN.HCM.VTA </t>
        </is>
      </c>
      <c r="S48" s="180" t="inlineStr">
        <is>
          <t>Complete</t>
        </is>
      </c>
      <c r="T48" s="92">
        <f>LEFT(G48,6)</f>
        <v/>
      </c>
      <c r="U48" s="93">
        <f>LEN(F48)</f>
        <v/>
      </c>
      <c r="V48" s="495" t="n"/>
    </row>
    <row r="49" ht="15.65" customHeight="1" s="344">
      <c r="A49" s="180" t="n">
        <v>21</v>
      </c>
      <c r="B49" s="166" t="inlineStr">
        <is>
          <t>1K26TDA</t>
        </is>
      </c>
      <c r="C49" s="193" t="inlineStr">
        <is>
          <t>'</t>
        </is>
      </c>
      <c r="D49" s="181" t="n">
        <v>46295</v>
      </c>
      <c r="E49" s="182" t="inlineStr">
        <is>
          <t>DIEN01-DOANH THU HÓA ĐƠN TIỀN ĐIỆN THOÁI HOÀN</t>
        </is>
      </c>
      <c r="F49" s="193" t="inlineStr">
        <is>
          <t>'KHDIENKINHDOANH</t>
        </is>
      </c>
      <c r="G49" s="180" t="inlineStr">
        <is>
          <t>DIEN01</t>
        </is>
      </c>
      <c r="H49" s="194" t="n">
        <v>-12575260</v>
      </c>
      <c r="I49" s="194" t="n">
        <v>8</v>
      </c>
      <c r="J49" s="194" t="n">
        <v>-1006021</v>
      </c>
      <c r="K49" s="180" t="inlineStr">
        <is>
          <t>DIEN01-DOANH THU HÓA ĐƠN TIỀN ĐIỆN THOÁI HOÀN T09/2026</t>
        </is>
      </c>
      <c r="L49" s="180" t="inlineStr">
        <is>
          <t>AR_TRANS</t>
        </is>
      </c>
      <c r="M49" s="180" t="n">
        <v>2172</v>
      </c>
      <c r="N49" s="181" t="n">
        <v>46295</v>
      </c>
      <c r="O49" s="181" t="n">
        <v>46295</v>
      </c>
      <c r="P49" s="194" t="n">
        <v>-13581281</v>
      </c>
      <c r="Q49" s="180" t="inlineStr">
        <is>
          <t>Không xác định</t>
        </is>
      </c>
      <c r="R49" s="180" t="inlineStr">
        <is>
          <t xml:space="preserve">QUYENNN.HCM.VTA </t>
        </is>
      </c>
      <c r="S49" s="180" t="inlineStr">
        <is>
          <t>Complete</t>
        </is>
      </c>
      <c r="T49" s="92">
        <f>LEFT(G49,6)</f>
        <v/>
      </c>
      <c r="U49" s="93">
        <f>LEN(F49)</f>
        <v/>
      </c>
      <c r="V49" s="495" t="n"/>
    </row>
    <row r="50" ht="15.65" customHeight="1" s="344">
      <c r="A50" s="180" t="n">
        <v>22</v>
      </c>
      <c r="B50" s="166" t="inlineStr">
        <is>
          <t>1K26TDA</t>
        </is>
      </c>
      <c r="C50" s="193" t="inlineStr">
        <is>
          <t>'</t>
        </is>
      </c>
      <c r="D50" s="181" t="n">
        <v>46295</v>
      </c>
      <c r="E50" s="182" t="inlineStr">
        <is>
          <t>DIEN01-DOANH THU HÓA ĐƠN TIỀN ĐIỆN TRUY THU</t>
        </is>
      </c>
      <c r="F50" s="193" t="inlineStr">
        <is>
          <t>'KHDIENKINHDOANH</t>
        </is>
      </c>
      <c r="G50" s="180" t="inlineStr">
        <is>
          <t>DIEN01</t>
        </is>
      </c>
      <c r="H50" s="194" t="n">
        <v>497228264</v>
      </c>
      <c r="I50" s="194" t="n">
        <v>8</v>
      </c>
      <c r="J50" s="194" t="n">
        <v>39778263</v>
      </c>
      <c r="K50" s="180" t="inlineStr">
        <is>
          <t>DIEN01-DOANH THU HÓA ĐƠN TIỀN ĐIỆN TRUY THU T09/2026</t>
        </is>
      </c>
      <c r="L50" s="180" t="inlineStr">
        <is>
          <t>AR_TRANS</t>
        </is>
      </c>
      <c r="M50" s="180" t="n">
        <v>2173</v>
      </c>
      <c r="N50" s="181" t="n">
        <v>46295</v>
      </c>
      <c r="O50" s="181" t="n">
        <v>46295</v>
      </c>
      <c r="P50" s="166" t="n"/>
      <c r="Q50" s="180" t="inlineStr">
        <is>
          <t>Không xác định</t>
        </is>
      </c>
      <c r="R50" s="180" t="inlineStr">
        <is>
          <t xml:space="preserve">QUYENNN.HCM.VTA </t>
        </is>
      </c>
      <c r="S50" s="180" t="inlineStr">
        <is>
          <t>Complete</t>
        </is>
      </c>
      <c r="T50" s="92">
        <f>LEFT(G50,6)</f>
        <v/>
      </c>
      <c r="U50" s="93">
        <f>LEN(F50)</f>
        <v/>
      </c>
      <c r="V50" s="495" t="n"/>
    </row>
    <row r="51" ht="15.65" customHeight="1" s="344">
      <c r="A51" s="180" t="n">
        <v>23</v>
      </c>
      <c r="B51" s="166" t="inlineStr">
        <is>
          <t>1K26TDA</t>
        </is>
      </c>
      <c r="C51" s="193" t="inlineStr">
        <is>
          <t>'</t>
        </is>
      </c>
      <c r="D51" s="181" t="n">
        <v>46281</v>
      </c>
      <c r="E51" s="182" t="inlineStr">
        <is>
          <t>DIEN01-DOANH THU HÓA ĐƠN TIỀN ĐIỆN PHÁT SINH</t>
        </is>
      </c>
      <c r="F51" s="193" t="inlineStr">
        <is>
          <t>'KHDIENKINHDOANH</t>
        </is>
      </c>
      <c r="G51" s="180" t="inlineStr">
        <is>
          <t>DIEN01</t>
        </is>
      </c>
      <c r="H51" s="194" t="n">
        <v>11196063409</v>
      </c>
      <c r="I51" s="194" t="n">
        <v>8</v>
      </c>
      <c r="J51" s="194" t="n">
        <v>895685075</v>
      </c>
      <c r="K51" s="180" t="inlineStr">
        <is>
          <t>DIEN01-DOANH THU HÓA ĐƠN TIỀN ĐIỆN PHÁT SINH TỪ NGÀY 16/09/2026 ĐẾN 16/09/2026</t>
        </is>
      </c>
      <c r="L51" s="180" t="inlineStr">
        <is>
          <t>AR_TRANS</t>
        </is>
      </c>
      <c r="M51" s="180" t="n">
        <v>2175</v>
      </c>
      <c r="N51" s="181" t="n">
        <v>46281</v>
      </c>
      <c r="O51" s="181" t="n">
        <v>46281</v>
      </c>
      <c r="P51" s="194" t="n">
        <v>3537166491</v>
      </c>
      <c r="Q51" s="180" t="inlineStr">
        <is>
          <t>Không xác định</t>
        </is>
      </c>
      <c r="R51" s="180" t="inlineStr">
        <is>
          <t xml:space="preserve">QUYENNN.HCM.VTA </t>
        </is>
      </c>
      <c r="S51" s="180" t="inlineStr">
        <is>
          <t>Complete</t>
        </is>
      </c>
      <c r="T51" s="92">
        <f>LEFT(G51,6)</f>
        <v/>
      </c>
      <c r="U51" s="93">
        <f>LEN(F51)</f>
        <v/>
      </c>
      <c r="V51" s="495" t="n"/>
    </row>
    <row r="52" ht="15.65" customHeight="1" s="344">
      <c r="A52" s="180" t="n">
        <v>24</v>
      </c>
      <c r="B52" s="166" t="inlineStr">
        <is>
          <t>1K26TDA</t>
        </is>
      </c>
      <c r="C52" s="193" t="inlineStr">
        <is>
          <t>'</t>
        </is>
      </c>
      <c r="D52" s="181" t="n">
        <v>46281</v>
      </c>
      <c r="E52" s="182" t="inlineStr">
        <is>
          <t>CSPK02-DOANH THU HÓA ĐƠN TIỀN VÔ CÔNG PHÁT SINH</t>
        </is>
      </c>
      <c r="F52" s="193" t="inlineStr">
        <is>
          <t>'KHDIENVOCONG</t>
        </is>
      </c>
      <c r="G52" s="180" t="inlineStr">
        <is>
          <t>CSPK02</t>
        </is>
      </c>
      <c r="H52" s="194" t="n">
        <v>47189941</v>
      </c>
      <c r="I52" s="194" t="n">
        <v>8</v>
      </c>
      <c r="J52" s="194" t="n">
        <v>3775196</v>
      </c>
      <c r="K52" s="180" t="inlineStr">
        <is>
          <t>CSPK02-DOANH THU HÓA ĐƠN TIỀN VÔ CÔNG PHÁT SINH TỪ NGÀY 16/09/2026 ĐẾN 16/09/206</t>
        </is>
      </c>
      <c r="L52" s="180" t="inlineStr">
        <is>
          <t>AR_TRANS</t>
        </is>
      </c>
      <c r="M52" s="180" t="n">
        <v>2176</v>
      </c>
      <c r="N52" s="181" t="n">
        <v>46281</v>
      </c>
      <c r="O52" s="181" t="n">
        <v>46281</v>
      </c>
      <c r="P52" s="166" t="n">
        <v>453441</v>
      </c>
      <c r="Q52" s="180" t="inlineStr">
        <is>
          <t>Không xác định</t>
        </is>
      </c>
      <c r="R52" s="180" t="inlineStr">
        <is>
          <t xml:space="preserve">QUYENNN.HCM.VTA </t>
        </is>
      </c>
      <c r="S52" s="180" t="inlineStr">
        <is>
          <t>Complete</t>
        </is>
      </c>
      <c r="T52" s="92">
        <f>LEFT(G52,6)</f>
        <v/>
      </c>
      <c r="U52" s="93">
        <f>LEN(F52)</f>
        <v/>
      </c>
      <c r="V52" s="495" t="n"/>
    </row>
    <row r="53" ht="15.65" customHeight="1" s="344">
      <c r="A53" s="180" t="n">
        <v>25</v>
      </c>
      <c r="B53" s="166" t="inlineStr">
        <is>
          <t>1K26TDA</t>
        </is>
      </c>
      <c r="C53" s="193" t="inlineStr">
        <is>
          <t>'</t>
        </is>
      </c>
      <c r="D53" s="574" t="n">
        <v>46295</v>
      </c>
      <c r="E53" s="182" t="inlineStr">
        <is>
          <t>DIEN01-DOANH THU HÓA ĐƠN TIỀN ĐIỆN HỦY BỎ</t>
        </is>
      </c>
      <c r="F53" s="193" t="inlineStr">
        <is>
          <t>'KHDIENKINHDOANH</t>
        </is>
      </c>
      <c r="G53" s="180" t="inlineStr">
        <is>
          <t>DIEN01</t>
        </is>
      </c>
      <c r="H53" s="194" t="n">
        <v>-90228084</v>
      </c>
      <c r="I53" s="194" t="n">
        <v>8</v>
      </c>
      <c r="J53" s="194" t="n">
        <v>-7218247</v>
      </c>
      <c r="K53" s="166" t="inlineStr">
        <is>
          <t>DIEN01-DOANH THU HÓA ĐƠN TIỀN ĐIỆN HỦY BỎ T09/2026</t>
        </is>
      </c>
      <c r="L53" s="180" t="inlineStr">
        <is>
          <t>AR_TRANS</t>
        </is>
      </c>
      <c r="M53" s="180" t="n">
        <v>2187</v>
      </c>
      <c r="N53" s="181" t="n">
        <v>46295</v>
      </c>
      <c r="O53" s="181" t="n">
        <v>46295</v>
      </c>
      <c r="P53" s="194" t="n">
        <v>-97446331</v>
      </c>
      <c r="Q53" s="180" t="inlineStr">
        <is>
          <t>Không xác định</t>
        </is>
      </c>
      <c r="R53" s="180" t="inlineStr">
        <is>
          <t xml:space="preserve">QUYENNN.HCM.VTA </t>
        </is>
      </c>
      <c r="S53" s="180" t="inlineStr">
        <is>
          <t>Complete</t>
        </is>
      </c>
      <c r="T53" s="92">
        <f>LEFT(G53,6)</f>
        <v/>
      </c>
      <c r="U53" s="93">
        <f>LEN(F53)</f>
        <v/>
      </c>
      <c r="V53" s="495" t="n"/>
    </row>
    <row r="54" ht="15.65" customHeight="1" s="344">
      <c r="A54" s="180" t="n">
        <v>26</v>
      </c>
      <c r="B54" s="166" t="inlineStr">
        <is>
          <t>1K26TDA</t>
        </is>
      </c>
      <c r="C54" s="193" t="inlineStr">
        <is>
          <t>'</t>
        </is>
      </c>
      <c r="D54" s="166" t="n"/>
      <c r="E54" s="182" t="inlineStr">
        <is>
          <t>CSPK02-DOANH THU HÓA ĐƠN TIỀN VÔ CÔNG PHÁT SINH T08/2026</t>
        </is>
      </c>
      <c r="F54" s="193" t="inlineStr">
        <is>
          <t>'</t>
        </is>
      </c>
      <c r="G54" s="180" t="inlineStr">
        <is>
          <t>CSPK02</t>
        </is>
      </c>
      <c r="H54" s="194" t="n">
        <v>609368333</v>
      </c>
      <c r="I54" s="194" t="n">
        <v>8</v>
      </c>
      <c r="J54" s="194" t="n">
        <v>48749477</v>
      </c>
      <c r="K54" s="166" t="n"/>
      <c r="L54" s="180" t="inlineStr">
        <is>
          <t>GL</t>
        </is>
      </c>
      <c r="M54" s="180" t="n">
        <v>2839</v>
      </c>
      <c r="N54" s="181" t="n">
        <v>46276</v>
      </c>
      <c r="O54" s="181" t="n">
        <v>46276</v>
      </c>
      <c r="P54" s="194" t="n">
        <v>658117810</v>
      </c>
      <c r="Q54" s="180" t="inlineStr">
        <is>
          <t>Không xác định</t>
        </is>
      </c>
      <c r="R54" s="180" t="inlineStr">
        <is>
          <t xml:space="preserve">QUYENNN.HCM.VTA </t>
        </is>
      </c>
      <c r="S54" s="180" t="inlineStr">
        <is>
          <t>Not Reversed</t>
        </is>
      </c>
      <c r="T54" s="92">
        <f>LEFT(G54,6)</f>
        <v/>
      </c>
      <c r="U54" s="93">
        <f>LEN(F54)</f>
        <v/>
      </c>
      <c r="V54" s="495" t="n"/>
    </row>
    <row r="55" ht="15.65" customHeight="1" s="344">
      <c r="A55" s="179" t="n">
        <v>27</v>
      </c>
      <c r="B55" s="491" t="n"/>
      <c r="C55" s="491" t="n"/>
      <c r="D55" s="491" t="n"/>
      <c r="E55" s="491" t="n"/>
      <c r="F55" s="491" t="n"/>
      <c r="G55" s="492" t="n"/>
      <c r="H55" s="195" t="n">
        <v>736408133782</v>
      </c>
      <c r="I55" s="166" t="n">
        <v>8</v>
      </c>
      <c r="J55" s="195" t="n">
        <v>58912650773</v>
      </c>
      <c r="K55" s="166" t="n"/>
      <c r="L55" s="166" t="inlineStr">
        <is>
          <t>GL</t>
        </is>
      </c>
      <c r="M55" s="166" t="n">
        <v>2839</v>
      </c>
      <c r="N55" s="574" t="n">
        <v>46276</v>
      </c>
      <c r="O55" s="574" t="n">
        <v>46276</v>
      </c>
      <c r="P55" s="195" t="n">
        <v>795320784555</v>
      </c>
      <c r="Q55" s="166" t="inlineStr">
        <is>
          <t>Không xác định</t>
        </is>
      </c>
      <c r="R55" s="166" t="inlineStr">
        <is>
          <t xml:space="preserve">QUYENNN.HCM.VTA </t>
        </is>
      </c>
      <c r="S55" s="166" t="inlineStr">
        <is>
          <t>Not Reversed</t>
        </is>
      </c>
      <c r="T55" s="92">
        <f>LEFT(G55,6)</f>
        <v/>
      </c>
      <c r="U55" s="93">
        <f>LEN(F55)</f>
        <v/>
      </c>
      <c r="V55" s="495" t="n"/>
    </row>
    <row r="56" ht="15.65" customHeight="1" s="344">
      <c r="A56" s="494" t="inlineStr">
        <is>
          <t>Tổng cộng</t>
        </is>
      </c>
      <c r="B56" s="491" t="n"/>
      <c r="C56" s="491" t="n"/>
      <c r="D56" s="491" t="n"/>
      <c r="E56" s="491" t="n"/>
      <c r="F56" s="491" t="n"/>
      <c r="G56" s="491" t="n"/>
      <c r="H56" s="491" t="n"/>
      <c r="I56" s="491" t="n"/>
      <c r="J56" s="491" t="n"/>
      <c r="K56" s="491" t="n"/>
      <c r="L56" s="491" t="n"/>
      <c r="M56" s="491" t="n"/>
      <c r="N56" s="491" t="n"/>
      <c r="O56" s="491" t="n"/>
      <c r="P56" s="491" t="n"/>
      <c r="Q56" s="491" t="n"/>
      <c r="R56" s="491" t="n"/>
      <c r="S56" s="492" t="n"/>
      <c r="T56" s="92">
        <f>LEFT(G56,6)</f>
        <v/>
      </c>
      <c r="U56" s="93">
        <f>LEN(F56)</f>
        <v/>
      </c>
      <c r="V56" s="495" t="n"/>
    </row>
    <row r="57">
      <c r="A57" s="180" t="inlineStr">
        <is>
          <t>5.Hàng hóa, dịch vụ không phải tổng hợp trên tờ khai 01/GTGT</t>
        </is>
      </c>
      <c r="B57" s="166" t="n"/>
      <c r="C57" s="193" t="n"/>
      <c r="D57" s="166" t="n"/>
      <c r="E57" s="166" t="n"/>
      <c r="F57" s="193" t="n"/>
      <c r="G57" s="166" t="n"/>
      <c r="H57" s="166" t="n"/>
      <c r="I57" s="166" t="n"/>
      <c r="J57" s="166" t="n"/>
      <c r="K57" s="166" t="n"/>
      <c r="L57" s="166" t="n"/>
      <c r="M57" s="166" t="n"/>
      <c r="N57" s="166" t="n"/>
      <c r="O57" s="166" t="n"/>
      <c r="P57" s="166" t="n"/>
      <c r="Q57" s="166" t="n"/>
      <c r="R57" s="271" t="n"/>
      <c r="S57" s="166" t="n"/>
      <c r="T57" s="92">
        <f>LEFT(G57,6)</f>
        <v/>
      </c>
      <c r="U57" s="93">
        <f>LEN(F57)</f>
        <v/>
      </c>
      <c r="V57" s="495" t="n"/>
    </row>
    <row r="58" ht="15.65" customHeight="1" s="344">
      <c r="A58" s="179" t="n">
        <v>1</v>
      </c>
      <c r="B58" s="491" t="n"/>
      <c r="C58" s="491" t="n"/>
      <c r="D58" s="491" t="n"/>
      <c r="E58" s="491" t="n"/>
      <c r="F58" s="491" t="n"/>
      <c r="G58" s="492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92">
        <f>LEFT(G58,6)</f>
        <v/>
      </c>
      <c r="U58" s="93">
        <f>LEN(F58)</f>
        <v/>
      </c>
      <c r="V58" s="495" t="n"/>
      <c r="W58" s="468" t="n"/>
    </row>
    <row r="59" ht="15.65" customHeight="1" s="344">
      <c r="A59" s="179" t="inlineStr">
        <is>
          <t>Tổng cộng</t>
        </is>
      </c>
      <c r="B59" s="491" t="n"/>
      <c r="C59" s="491" t="n"/>
      <c r="D59" s="491" t="n"/>
      <c r="E59" s="491" t="n"/>
      <c r="F59" s="491" t="n"/>
      <c r="G59" s="492" t="n"/>
      <c r="H59" s="195" t="n"/>
      <c r="I59" s="166" t="n"/>
      <c r="J59" s="195" t="n"/>
      <c r="K59" s="166" t="n"/>
      <c r="L59" s="166" t="n"/>
      <c r="M59" s="166" t="n"/>
      <c r="N59" s="166" t="n"/>
      <c r="O59" s="166" t="n"/>
      <c r="P59" s="166" t="n"/>
      <c r="Q59" s="166" t="n"/>
      <c r="R59" s="166" t="n"/>
      <c r="S59" s="492" t="n"/>
      <c r="T59">
        <f>LEFT(G59,6)</f>
        <v/>
      </c>
      <c r="V59" s="98" t="n"/>
    </row>
    <row r="60" ht="11.5" customHeight="1" s="344">
      <c r="A60" s="316" t="inlineStr">
        <is>
          <t>Tổng cộng</t>
        </is>
      </c>
      <c r="B60" s="476" t="n"/>
      <c r="C60" s="476" t="n"/>
      <c r="D60" s="476" t="n"/>
      <c r="E60" s="476" t="n"/>
      <c r="F60" s="476" t="n"/>
      <c r="G60" s="476" t="n"/>
      <c r="H60" s="476" t="n"/>
      <c r="I60" s="476" t="n"/>
      <c r="J60" s="476" t="n"/>
      <c r="K60" s="476" t="n"/>
      <c r="L60" s="476" t="n"/>
      <c r="M60" s="317" t="n"/>
      <c r="N60" s="317" t="n"/>
      <c r="O60" s="317" t="n"/>
      <c r="P60" s="317" t="n"/>
      <c r="Q60" s="317" t="n"/>
      <c r="R60" s="317" t="n"/>
      <c r="S60" s="476" t="n"/>
      <c r="T60">
        <f>LEFT(G60,6)</f>
        <v/>
      </c>
      <c r="U60">
        <f>LEN(F60)</f>
        <v/>
      </c>
      <c r="V60" s="67" t="n"/>
    </row>
    <row r="61" ht="15.5" customHeight="1" s="344">
      <c r="A61" s="320" t="inlineStr">
        <is>
          <t>Tổng doanh thu dịch vụ hàng hóa bán ra : 1398185413731</t>
        </is>
      </c>
      <c r="M61" s="321" t="n"/>
      <c r="N61" s="321" t="n"/>
      <c r="O61" s="321" t="n"/>
      <c r="P61" s="321" t="n"/>
      <c r="Q61" s="321" t="n"/>
      <c r="R61" s="321" t="n"/>
      <c r="T61">
        <f>LEFT(G61,6)</f>
        <v/>
      </c>
      <c r="U61">
        <f>LEN(F61)</f>
        <v/>
      </c>
    </row>
    <row r="62" ht="15.5" customHeight="1" s="344">
      <c r="A62" t="inlineStr">
        <is>
          <t>Tổng thuế GTGT của dịch vụ hàng hóa bán ra : 111833520418</t>
        </is>
      </c>
      <c r="T62">
        <f>LEFT(G62,6)</f>
        <v/>
      </c>
      <c r="U62">
        <f>LEN(F62)</f>
        <v/>
      </c>
    </row>
    <row r="63" ht="15.5" customHeight="1" s="344">
      <c r="A63" s="321" t="n"/>
      <c r="B63" s="321" t="n"/>
      <c r="C63" s="321" t="n"/>
      <c r="D63" s="321" t="n"/>
      <c r="E63" s="321" t="n"/>
      <c r="F63" s="321" t="n"/>
      <c r="G63" s="321" t="n"/>
      <c r="H63" s="321" t="n"/>
      <c r="I63" s="321" t="n"/>
      <c r="J63" s="321" t="n"/>
      <c r="K63" s="321" t="n"/>
      <c r="L63" s="321" t="n"/>
      <c r="M63" s="321" t="n"/>
      <c r="N63" s="321" t="n"/>
      <c r="O63" s="321" t="n"/>
      <c r="P63" s="321" t="n"/>
      <c r="Q63" s="321" t="n"/>
      <c r="V63" s="79" t="n"/>
    </row>
    <row r="64" ht="15.5" customHeight="1" s="344">
      <c r="A64" s="321" t="n"/>
      <c r="B64" s="321" t="n"/>
      <c r="C64" s="321" t="n"/>
      <c r="D64" s="321" t="n"/>
      <c r="E64" s="321" t="n"/>
      <c r="F64" s="321" t="n"/>
      <c r="G64" s="321" t="n"/>
      <c r="H64" s="321" t="n"/>
      <c r="I64" s="321" t="n"/>
      <c r="J64" s="319" t="n"/>
      <c r="N64" s="321" t="n"/>
      <c r="O64" s="321" t="n"/>
      <c r="P64" s="321" t="n"/>
      <c r="Q64" s="321" t="n"/>
      <c r="V64" s="79" t="n"/>
    </row>
    <row r="65" ht="15.5" customHeight="1" s="344">
      <c r="A65" s="321" t="n"/>
      <c r="B65" s="321" t="n"/>
      <c r="C65" s="321" t="n"/>
      <c r="D65" s="321" t="n"/>
      <c r="E65" s="321" t="n"/>
      <c r="F65" s="321" t="n"/>
      <c r="G65" s="321" t="n"/>
      <c r="H65" s="321" t="n"/>
      <c r="I65" s="321" t="n"/>
      <c r="J65" s="318" t="inlineStr">
        <is>
          <t>….., ngày ….., tháng ….., năm …...</t>
        </is>
      </c>
      <c r="N65" s="321" t="n"/>
      <c r="O65" s="321" t="n"/>
      <c r="P65" s="321" t="n"/>
      <c r="Q65" s="321" t="n"/>
      <c r="V65" s="79" t="n"/>
    </row>
    <row r="66" ht="15.5" customHeight="1" s="344">
      <c r="A66" s="321" t="n"/>
      <c r="B66" s="321" t="n"/>
      <c r="C66" s="321" t="n"/>
      <c r="D66" s="321" t="n"/>
      <c r="E66" s="321" t="n"/>
      <c r="F66" s="321" t="n"/>
      <c r="G66" s="321" t="n"/>
      <c r="H66" s="321" t="n"/>
      <c r="I66" s="321" t="n"/>
      <c r="J66" s="318" t="inlineStr">
        <is>
          <t>NGƯỜI NỘP THUẾ hoặc</t>
        </is>
      </c>
      <c r="N66" s="321" t="n"/>
      <c r="O66" s="321" t="n"/>
      <c r="P66" s="321" t="n"/>
      <c r="Q66" s="321" t="n"/>
      <c r="V66" s="79" t="n"/>
    </row>
    <row r="67" ht="15.5" customHeight="1" s="344">
      <c r="A67" s="321" t="n"/>
      <c r="B67" s="321" t="n"/>
      <c r="C67" s="321" t="n"/>
      <c r="D67" s="321" t="n"/>
      <c r="E67" s="321" t="n"/>
      <c r="F67" s="321" t="n"/>
      <c r="G67" s="321" t="n"/>
      <c r="H67" s="321" t="n"/>
      <c r="I67" s="321" t="n"/>
      <c r="J67" s="319" t="inlineStr">
        <is>
          <t>ĐẠI DIỆN HỢP PHÁP CỦA NGƯỜI NỘP THUẾ</t>
        </is>
      </c>
      <c r="N67" s="321" t="n"/>
      <c r="O67" s="321" t="n"/>
      <c r="P67" s="321" t="n"/>
      <c r="Q67" s="321" t="n"/>
    </row>
    <row r="68" ht="15.5" customHeight="1" s="344">
      <c r="A68" s="321" t="n"/>
      <c r="B68" s="321" t="n"/>
      <c r="C68" s="321" t="n"/>
      <c r="D68" s="321" t="n"/>
      <c r="E68" s="321" t="n"/>
      <c r="F68" s="321" t="n"/>
      <c r="G68" s="321" t="n"/>
      <c r="H68" s="321" t="n"/>
      <c r="I68" s="321" t="n"/>
      <c r="J68" s="321" t="inlineStr">
        <is>
          <t>Ký tên, đóng dấu (Ghi rõ họ tên và chức vụ)</t>
        </is>
      </c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344"/>
    <row r="70" ht="15.5" customHeight="1" s="344"/>
    <row r="71" ht="15.5" customHeight="1" s="344"/>
    <row r="72"/>
    <row r="73"/>
    <row r="74"/>
  </sheetData>
  <mergeCells count="77">
    <mergeCell ref="A9:N9"/>
    <mergeCell ref="O7:P7"/>
    <mergeCell ref="Q7:R7"/>
    <mergeCell ref="A11:N11"/>
    <mergeCell ref="A19:G19"/>
    <mergeCell ref="L14:L15"/>
    <mergeCell ref="N3:O3"/>
    <mergeCell ref="N14:N15"/>
    <mergeCell ref="P6:Q6"/>
    <mergeCell ref="R6:S6"/>
    <mergeCell ref="A59:G59"/>
    <mergeCell ref="J67:M67"/>
    <mergeCell ref="N5:O5"/>
    <mergeCell ref="J5:M5"/>
    <mergeCell ref="Q9:R9"/>
    <mergeCell ref="O8:P8"/>
    <mergeCell ref="A8:N8"/>
    <mergeCell ref="O11:P11"/>
    <mergeCell ref="Q11:R11"/>
    <mergeCell ref="J4:M4"/>
    <mergeCell ref="A10:N10"/>
    <mergeCell ref="E14:E15"/>
    <mergeCell ref="Q14:Q15"/>
    <mergeCell ref="R60:S60"/>
    <mergeCell ref="Q12:R12"/>
    <mergeCell ref="S14:S15"/>
    <mergeCell ref="R59:S59"/>
    <mergeCell ref="N2:O2"/>
    <mergeCell ref="J64:M64"/>
    <mergeCell ref="P2:Q2"/>
    <mergeCell ref="A12:N12"/>
    <mergeCell ref="A25:S25"/>
    <mergeCell ref="H14:H15"/>
    <mergeCell ref="J14:J15"/>
    <mergeCell ref="A60:L60"/>
    <mergeCell ref="N6:O6"/>
    <mergeCell ref="A55:G55"/>
    <mergeCell ref="R1:S1"/>
    <mergeCell ref="N4:O4"/>
    <mergeCell ref="P4:Q4"/>
    <mergeCell ref="B14:D14"/>
    <mergeCell ref="J3:M3"/>
    <mergeCell ref="P1:Q1"/>
    <mergeCell ref="O9:P9"/>
    <mergeCell ref="A20:S20"/>
    <mergeCell ref="A58:G58"/>
    <mergeCell ref="A24:G24"/>
    <mergeCell ref="A14:A15"/>
    <mergeCell ref="M14:M15"/>
    <mergeCell ref="F14:F15"/>
    <mergeCell ref="J65:M65"/>
    <mergeCell ref="P3:Q3"/>
    <mergeCell ref="P14:P15"/>
    <mergeCell ref="R14:R15"/>
    <mergeCell ref="A56:S56"/>
    <mergeCell ref="A61:L61"/>
    <mergeCell ref="P5:Q5"/>
    <mergeCell ref="R5:S5"/>
    <mergeCell ref="R61:S61"/>
    <mergeCell ref="J66:M66"/>
    <mergeCell ref="O10:P10"/>
    <mergeCell ref="A17:S17"/>
    <mergeCell ref="J2:M2"/>
    <mergeCell ref="R4:S4"/>
    <mergeCell ref="Q8:R8"/>
    <mergeCell ref="A28:S28"/>
    <mergeCell ref="A7:N7"/>
    <mergeCell ref="Q10:R10"/>
    <mergeCell ref="N1:O1"/>
    <mergeCell ref="G14:G15"/>
    <mergeCell ref="I14:I15"/>
    <mergeCell ref="K14:K15"/>
    <mergeCell ref="R3:S3"/>
    <mergeCell ref="O14:O15"/>
    <mergeCell ref="O12:P12"/>
    <mergeCell ref="A27:G27"/>
    <mergeCell ref="R2:S2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Q66"/>
  <sheetViews>
    <sheetView workbookViewId="0">
      <selection activeCell="J4" sqref="J4"/>
    </sheetView>
  </sheetViews>
  <sheetFormatPr baseColWidth="8" defaultColWidth="9" defaultRowHeight="15.5"/>
  <cols>
    <col width="32" bestFit="1" customWidth="1" style="344" min="1" max="1"/>
    <col width="8.66406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5.58203125" bestFit="1" customWidth="1" style="344" min="7" max="7"/>
    <col width="8.75" bestFit="1" customWidth="1" style="344" min="8" max="8"/>
    <col width="2.4140625" bestFit="1" customWidth="1" style="75" min="9" max="9"/>
    <col width="11.1640625" bestFit="1" customWidth="1" style="76" min="10" max="10"/>
    <col width="5.4140625" bestFit="1" customWidth="1" style="77" min="11" max="11"/>
    <col width="6.08203125" bestFit="1" customWidth="1" style="78" min="12" max="12"/>
    <col width="12.6640625" customWidth="1" style="78" min="13" max="13"/>
    <col width="15.4140625" customWidth="1" style="78" min="14" max="14"/>
    <col width="9.4140625" bestFit="1" customWidth="1" style="78" min="15" max="15"/>
    <col width="11.1640625" bestFit="1" customWidth="1" style="78" min="16" max="16"/>
    <col width="13.08203125" bestFit="1" customWidth="1" style="78" min="17" max="17"/>
    <col width="9" customWidth="1" style="78" min="18" max="16384"/>
  </cols>
  <sheetData>
    <row r="1" ht="26.5" customHeight="1" s="344">
      <c r="A1" s="339" t="inlineStr">
        <is>
          <t>TỔNG CÔNG TY ĐIỆN LỰC THÀNH PHỐ HỒ CHÍ MINH TNHH</t>
        </is>
      </c>
      <c r="J1" s="149" t="n"/>
      <c r="L1" s="85" t="n"/>
      <c r="M1" s="85" t="inlineStr">
        <is>
          <t>333111</t>
        </is>
      </c>
      <c r="N1" s="85" t="inlineStr">
        <is>
          <t>333113</t>
        </is>
      </c>
      <c r="O1" s="85" t="inlineStr">
        <is>
          <t>333114</t>
        </is>
      </c>
      <c r="P1" s="85" t="n"/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L2" s="86" t="inlineStr">
        <is>
          <t>DIEN01</t>
        </is>
      </c>
      <c r="M2" s="467">
        <f>SUMIFS($F:$F,$K:$K,M$1,$J:$J,$L2,$I:$I,5)</f>
        <v/>
      </c>
      <c r="N2" s="467">
        <f>SUMIFS($F:$F,$K:$K,N$1,$J:$J,$L2,$I:$I,5)</f>
        <v/>
      </c>
      <c r="O2" s="467">
        <f>SUMIFS($F:$F,$K:$K,O$1,$J:$J,$L2,$I:$I,5)</f>
        <v/>
      </c>
      <c r="P2" s="85" t="n"/>
    </row>
    <row r="3" ht="35" customHeight="1" s="344">
      <c r="A3" s="335" t="inlineStr">
        <is>
          <t>SỔ CHI TIẾT THEO TÀI KHOẢN THUẾ</t>
        </is>
      </c>
      <c r="J3" s="496" t="n"/>
      <c r="L3" s="86" t="inlineStr">
        <is>
          <t>CSPK02</t>
        </is>
      </c>
      <c r="M3" s="467">
        <f>SUMIFS($F:$F,$K:$K,M$1,$J:$J,$L3,$I:$I,5)</f>
        <v/>
      </c>
      <c r="N3" s="467">
        <f>SUMIFS($F:$F,$K:$K,N$1,$J:$J,$L3,$I:$I,5)</f>
        <v/>
      </c>
      <c r="O3" s="467">
        <f>SUMIFS($F:$F,$K:$K,O$1,$J:$J,$L3,$I:$I,5)</f>
        <v/>
      </c>
      <c r="P3" s="85" t="n"/>
    </row>
    <row r="4" ht="39.5" customHeight="1" s="344">
      <c r="A4" s="162" t="inlineStr">
        <is>
          <t xml:space="preserve">Tài khoản: 33311 - Thuế và các khoản phải nộp Nhà nước – Thuế giá trị gia tăng phải nộp – Thuế GTGT đầu ra           </t>
        </is>
      </c>
      <c r="L4" s="86" t="inlineStr">
        <is>
          <t>1388ĐĐ</t>
        </is>
      </c>
      <c r="M4" s="467">
        <f>SUMIFS($F:$F,$K:$K,M$1,$J:$J,$L4,$I:$I,5)</f>
        <v/>
      </c>
      <c r="N4" s="467">
        <f>SUMIFS($F:$F,$K:$K,N$1,$J:$J,$L4,$I:$I,5)</f>
        <v/>
      </c>
      <c r="O4" s="467">
        <f>SUMIFS($F:$F,$K:$K,O$1,$J:$J,$L4,$I:$I,5)</f>
        <v/>
      </c>
      <c r="P4" s="85" t="n"/>
      <c r="Q4" s="78" t="inlineStr">
        <is>
          <t>vật tư điều động</t>
        </is>
      </c>
    </row>
    <row r="5">
      <c r="A5" s="162" t="inlineStr">
        <is>
          <t xml:space="preserve">Loại hình:  - </t>
        </is>
      </c>
      <c r="L5" s="86" t="inlineStr">
        <is>
          <t>5118QT</t>
        </is>
      </c>
      <c r="M5" s="467">
        <f>SUMIFS($F:$F,$K:$K,M$1,$J:$J,$L5,$I:$I,5)</f>
        <v/>
      </c>
      <c r="N5" s="467">
        <f>SUMIFS($F:$F,$K:$K,N$1,$J:$J,$L5,$I:$I,5)</f>
        <v/>
      </c>
      <c r="O5" s="467">
        <f>SUMIFS($F:$F,$K:$K,O$1,$J:$J,$L5,$I:$I,5)</f>
        <v/>
      </c>
      <c r="P5" s="85" t="n"/>
      <c r="Q5" s="78" t="inlineStr">
        <is>
          <t>quà tặng</t>
        </is>
      </c>
    </row>
    <row r="6">
      <c r="A6" s="162" t="inlineStr">
        <is>
          <t>Từ ngày: 01/09/2026 đến ngày: 30/09/2026</t>
        </is>
      </c>
      <c r="L6" s="86" t="inlineStr">
        <is>
          <t>4500TT</t>
        </is>
      </c>
      <c r="M6" s="467">
        <f>SUMIFS($F:$F,$K:$K,M$1,$J:$J,$L6,$I:$I,5)</f>
        <v/>
      </c>
      <c r="N6" s="467">
        <f>SUMIFS($F:$F,$K:$K,N$1,$J:$J,$L6,$I:$I,5)</f>
        <v/>
      </c>
      <c r="O6" s="467">
        <f>SUMIFS($F:$F,$K:$K,O$1,$J:$J,$L6,$I:$I,5)</f>
        <v/>
      </c>
      <c r="P6" s="85" t="n"/>
      <c r="Q6" s="78" t="inlineStr">
        <is>
          <t>dường dây thông tin</t>
        </is>
      </c>
    </row>
    <row r="7">
      <c r="A7" s="321" t="n"/>
      <c r="L7" s="85" t="n"/>
      <c r="M7" s="470">
        <f>SUM(M2:M6)</f>
        <v/>
      </c>
      <c r="N7" s="470">
        <f>SUM(N2:N6)</f>
        <v/>
      </c>
      <c r="O7" s="470">
        <f>SUM(O2:O6)</f>
        <v/>
      </c>
      <c r="P7" s="470">
        <f>SUM(P2:P6)</f>
        <v/>
      </c>
    </row>
    <row r="8"/>
    <row r="9" ht="11.5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73" t="n"/>
    </row>
    <row r="10" ht="11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73" t="n"/>
    </row>
    <row r="11">
      <c r="A11" s="165" t="inlineStr">
        <is>
          <t>Tài khoản: 33311100000</t>
        </is>
      </c>
      <c r="B11" s="491" t="n"/>
      <c r="C11" s="492" t="n"/>
      <c r="D11" s="165" t="inlineStr">
        <is>
          <t xml:space="preserve">Dư đầu kỳ </t>
        </is>
      </c>
      <c r="E11" s="498" t="n">
        <v>922629212</v>
      </c>
      <c r="F11" s="499" t="n"/>
      <c r="G11" s="166" t="n"/>
      <c r="H11" s="166" t="n"/>
      <c r="I11" s="75">
        <f>LEN(A11)</f>
        <v/>
      </c>
      <c r="J11">
        <f>LEFT(D11,6)</f>
        <v/>
      </c>
      <c r="K11" s="77">
        <f>IF(LEFT(A11,11)="Tài khoản: ",MID(A11,12,6),K10)</f>
        <v/>
      </c>
    </row>
    <row r="12" ht="35.5" customHeight="1" s="344">
      <c r="A12" s="30" t="n">
        <v>46276</v>
      </c>
      <c r="B12" s="31" t="inlineStr">
        <is>
          <t>'2106</t>
        </is>
      </c>
      <c r="C12" s="32" t="inlineStr">
        <is>
          <t>AR_TRANS</t>
        </is>
      </c>
      <c r="D12" s="19" t="inlineStr">
        <is>
          <t>DIEN01-DOANH THU HÓA ĐƠN TIỀN ĐIỆN PHÁT SINH TỪ NGÀY 11/09/2026 ĐẾN 11/09/2026</t>
        </is>
      </c>
      <c r="E12" s="499" t="n"/>
      <c r="F12" s="500" t="n">
        <v>24466693819</v>
      </c>
      <c r="G12" s="32" t="inlineStr">
        <is>
          <t>QUYENNN.HCM.VTA</t>
        </is>
      </c>
      <c r="H12" s="32" t="inlineStr">
        <is>
          <t xml:space="preserve">Final to Post </t>
        </is>
      </c>
      <c r="I12" s="75">
        <f>LEN(A12)</f>
        <v/>
      </c>
      <c r="J12" s="76">
        <f>LEFT(D12,6)</f>
        <v/>
      </c>
      <c r="K12" s="77">
        <f>IF(LEFT(A12,11)="Tài khoản: ",MID(A12,12,6),K11)</f>
        <v/>
      </c>
      <c r="M12" s="81" t="n"/>
    </row>
    <row r="13" ht="35.5" customHeight="1" s="344">
      <c r="A13" s="30" t="n">
        <v>46276</v>
      </c>
      <c r="B13" s="31" t="inlineStr">
        <is>
          <t>'2108</t>
        </is>
      </c>
      <c r="C13" s="32" t="inlineStr">
        <is>
          <t>AR_TRANS</t>
        </is>
      </c>
      <c r="D13" s="19" t="inlineStr">
        <is>
          <t>CSPK02-DOANH THU HÓA ĐƠN TIỀN VÔ CÔNG PHÁT SINH TỪ NGÀY 11/09/2026 ĐẾN 11/09/2026</t>
        </is>
      </c>
      <c r="E13" s="499" t="n"/>
      <c r="F13" s="500" t="n">
        <v>15081702</v>
      </c>
      <c r="G13" s="32" t="inlineStr">
        <is>
          <t>QUYENNN.HCM.VTA</t>
        </is>
      </c>
      <c r="H13" s="32" t="inlineStr">
        <is>
          <t xml:space="preserve">Final to Post </t>
        </is>
      </c>
      <c r="I13" s="75">
        <f>LEN(A13)</f>
        <v/>
      </c>
      <c r="J13" s="76">
        <f>LEFT(D13,6)</f>
        <v/>
      </c>
      <c r="K13" s="77">
        <f>IF(LEFT(A13,11)="Tài khoản: ",MID(A13,12,6),K12)</f>
        <v/>
      </c>
      <c r="L13" s="468" t="n"/>
      <c r="M13" s="501" t="n"/>
    </row>
    <row r="14" ht="24" customHeight="1" s="344">
      <c r="A14" s="30" t="n">
        <v>46276</v>
      </c>
      <c r="B14" s="31" t="inlineStr">
        <is>
          <t>'2839</t>
        </is>
      </c>
      <c r="C14" s="32" t="inlineStr">
        <is>
          <t>GL</t>
        </is>
      </c>
      <c r="D14" s="19" t="inlineStr">
        <is>
          <t>CSPK02-Giải trừ thuế GTGT đầu ra từ 33895 sang 333111 AR 2038-31/08/2026</t>
        </is>
      </c>
      <c r="E14" s="499" t="n"/>
      <c r="F14" s="500" t="n">
        <v>48749477</v>
      </c>
      <c r="G14" s="32" t="inlineStr">
        <is>
          <t>QUYENNN.HCM.VTA</t>
        </is>
      </c>
      <c r="H14" s="32" t="inlineStr">
        <is>
          <t xml:space="preserve">Post </t>
        </is>
      </c>
      <c r="I14" s="75">
        <f>LEN(A14)</f>
        <v/>
      </c>
      <c r="J14" s="76">
        <f>LEFT(D14,6)</f>
        <v/>
      </c>
      <c r="K14" s="77">
        <f>IF(LEFT(A14,11)="Tài khoản: ",MID(A14,12,6),K13)</f>
        <v/>
      </c>
    </row>
    <row r="15" ht="24" customHeight="1" s="344">
      <c r="A15" s="30" t="n">
        <v>46276</v>
      </c>
      <c r="B15" s="31" t="inlineStr">
        <is>
          <t>'2839</t>
        </is>
      </c>
      <c r="C15" s="32" t="inlineStr">
        <is>
          <t>GL</t>
        </is>
      </c>
      <c r="D15" s="19" t="inlineStr">
        <is>
          <t>DIEN01-Giải trừ thuế GTGT đầu ra từ 33895 sang 333111 AR 2036-31/08/2026</t>
        </is>
      </c>
      <c r="E15" s="499" t="n"/>
      <c r="F15" s="500" t="n">
        <v>58912650773</v>
      </c>
      <c r="G15" s="32" t="inlineStr">
        <is>
          <t>QUYENNN.HCM.VTA</t>
        </is>
      </c>
      <c r="H15" s="32" t="inlineStr">
        <is>
          <t xml:space="preserve">Post </t>
        </is>
      </c>
      <c r="I15" s="75">
        <f>LEN(A15)</f>
        <v/>
      </c>
      <c r="J15" s="76">
        <f>LEFT(D15,6)</f>
        <v/>
      </c>
      <c r="K15" s="77">
        <f>IF(LEFT(A15,11)="Tài khoản: ",MID(A15,12,6),K14)</f>
        <v/>
      </c>
    </row>
    <row r="16" ht="35.5" customHeight="1" s="344">
      <c r="A16" s="30" t="n">
        <v>46281</v>
      </c>
      <c r="B16" s="31" t="inlineStr">
        <is>
          <t>'2175</t>
        </is>
      </c>
      <c r="C16" s="32" t="inlineStr">
        <is>
          <t>AR_TRANS</t>
        </is>
      </c>
      <c r="D16" s="19" t="inlineStr">
        <is>
          <t>DIEN01-DOANH THU HÓA ĐƠN TIỀN ĐIỆN PHÁT SINH TỪ NGÀY 16/09/2026 ĐẾN 16/09/2026</t>
        </is>
      </c>
      <c r="E16" s="499" t="n"/>
      <c r="F16" s="500" t="n">
        <v>895685075</v>
      </c>
      <c r="G16" s="32" t="inlineStr">
        <is>
          <t>QUYENNN.HCM.VTA</t>
        </is>
      </c>
      <c r="H16" s="32" t="inlineStr">
        <is>
          <t xml:space="preserve">Final to Post </t>
        </is>
      </c>
      <c r="I16" s="75">
        <f>LEN(A16)</f>
        <v/>
      </c>
      <c r="J16" s="76">
        <f>LEFT(D16,6)</f>
        <v/>
      </c>
      <c r="K16" s="77">
        <f>IF(LEFT(A16,11)="Tài khoản: ",MID(A16,12,6),K15)</f>
        <v/>
      </c>
    </row>
    <row r="17" ht="35.5" customHeight="1" s="344">
      <c r="A17" s="30" t="n">
        <v>46281</v>
      </c>
      <c r="B17" s="31" t="inlineStr">
        <is>
          <t>'2176</t>
        </is>
      </c>
      <c r="C17" s="32" t="inlineStr">
        <is>
          <t>AR_TRANS</t>
        </is>
      </c>
      <c r="D17" s="19" t="inlineStr">
        <is>
          <t>CSPK02-DOANH THU HÓA ĐƠN TIỀN VÔ CÔNG PHÁT SINH TỪ NGÀY 16/09/2026 ĐẾN 16/09/206</t>
        </is>
      </c>
      <c r="E17" s="499" t="n"/>
      <c r="F17" s="500" t="n">
        <v>3775196</v>
      </c>
      <c r="G17" s="32" t="inlineStr">
        <is>
          <t>QUYENNN.HCM.VTA</t>
        </is>
      </c>
      <c r="H17" s="32" t="inlineStr">
        <is>
          <t xml:space="preserve">Final to Post </t>
        </is>
      </c>
      <c r="I17" s="75">
        <f>LEN(A17)</f>
        <v/>
      </c>
      <c r="J17" s="76">
        <f>LEFT(D17,6)</f>
        <v/>
      </c>
      <c r="K17" s="77">
        <f>IF(LEFT(A17,11)="Tài khoản: ",MID(A17,12,6),K16)</f>
        <v/>
      </c>
    </row>
    <row r="18" ht="35.5" customHeight="1" s="344">
      <c r="A18" s="30" t="n">
        <v>46281</v>
      </c>
      <c r="B18" s="31" t="inlineStr">
        <is>
          <t>'AP262465</t>
        </is>
      </c>
      <c r="C18" s="32" t="inlineStr">
        <is>
          <t>AP_INV</t>
        </is>
      </c>
      <c r="D18" s="19" t="inlineStr">
        <is>
          <t>Phải nộp tiền thuế GTGT tháng 8/2026</t>
        </is>
      </c>
      <c r="E18" s="499" t="n">
        <v>577370788</v>
      </c>
      <c r="F18" s="500" t="n"/>
      <c r="G18" s="32" t="inlineStr">
        <is>
          <t>TUAN2HM.HCM.VTA</t>
        </is>
      </c>
      <c r="H18" s="32" t="inlineStr">
        <is>
          <t xml:space="preserve">Final to Post </t>
        </is>
      </c>
      <c r="I18" s="75">
        <f>LEN(A18)</f>
        <v/>
      </c>
      <c r="J18" s="76">
        <f>LEFT(D18,6)</f>
        <v/>
      </c>
      <c r="K18" s="77">
        <f>IF(LEFT(A18,11)="Tài khoản: ",MID(A18,12,6),K17)</f>
        <v/>
      </c>
      <c r="L18" s="501" t="n"/>
      <c r="O18" s="501" t="n"/>
    </row>
    <row r="19" ht="35.5" customHeight="1" s="344">
      <c r="A19" s="30" t="n">
        <v>46286</v>
      </c>
      <c r="B19" s="31" t="inlineStr">
        <is>
          <t>'2131</t>
        </is>
      </c>
      <c r="C19" s="32" t="inlineStr">
        <is>
          <t>AR_TRANS</t>
        </is>
      </c>
      <c r="D19" s="19" t="inlineStr">
        <is>
          <t>DIEN01-DOANH THU HÓA ĐƠN TIỀN ĐIỆN PHÁT SINH TỪ NGÀY 21/09/2026 ĐẾN 21/09/2026</t>
        </is>
      </c>
      <c r="E19" s="499" t="n"/>
      <c r="F19" s="500" t="n">
        <v>27232232700</v>
      </c>
      <c r="G19" s="32" t="inlineStr">
        <is>
          <t>QUYENNN.HCM.VTA</t>
        </is>
      </c>
      <c r="H19" s="32" t="inlineStr">
        <is>
          <t xml:space="preserve">Final to Post </t>
        </is>
      </c>
      <c r="I19" s="75">
        <f>LEN(A19)</f>
        <v/>
      </c>
      <c r="J19" s="76">
        <f>LEFT(D19,6)</f>
        <v/>
      </c>
      <c r="K19" s="77">
        <f>IF(LEFT(A19,11)="Tài khoản: ",MID(A19,12,6),K18)</f>
        <v/>
      </c>
      <c r="L19" s="501" t="n"/>
      <c r="O19" s="501" t="n"/>
    </row>
    <row r="20" ht="24" customHeight="1" s="344">
      <c r="A20" s="30" t="n">
        <v>46286</v>
      </c>
      <c r="B20" s="31" t="inlineStr">
        <is>
          <t>'2133</t>
        </is>
      </c>
      <c r="C20" s="32" t="inlineStr">
        <is>
          <t>AR_TRANS</t>
        </is>
      </c>
      <c r="D20" s="19" t="inlineStr">
        <is>
          <t>CSPK02-DOANH THU HÓA ĐƠN TIỀN VÔ CÔNG PHÁT SINH TỪ NGÀY 21/09/2026 ĐẾN 21/09/2026</t>
        </is>
      </c>
      <c r="E20" s="499" t="n"/>
      <c r="F20" s="500" t="n">
        <v>9802181</v>
      </c>
      <c r="G20" s="32" t="inlineStr">
        <is>
          <t>QUYENNN.HCM.VTA</t>
        </is>
      </c>
      <c r="H20" s="32" t="inlineStr">
        <is>
          <t xml:space="preserve">Final to Post </t>
        </is>
      </c>
      <c r="I20" s="75">
        <f>LEN(A20)</f>
        <v/>
      </c>
      <c r="J20" s="76">
        <f>LEFT(D20,6)</f>
        <v/>
      </c>
      <c r="K20" s="77">
        <f>IF(LEFT(A20,11)="Tài khoản: ",MID(A20,12,6),K19)</f>
        <v/>
      </c>
      <c r="L20" s="501" t="n"/>
      <c r="O20" s="501" t="n"/>
    </row>
    <row r="21" ht="24" customHeight="1" s="344">
      <c r="A21" s="30" t="n">
        <v>46295</v>
      </c>
      <c r="B21" s="31" t="inlineStr">
        <is>
          <t>'2170</t>
        </is>
      </c>
      <c r="C21" s="32" t="inlineStr">
        <is>
          <t>AR_TRANS</t>
        </is>
      </c>
      <c r="D21" s="19" t="inlineStr">
        <is>
          <t>CSPK02-DOANH THU HÓA ĐƠN TIỀN VÔ CÔNG HỦY BỎ T09/2026</t>
        </is>
      </c>
      <c r="E21" s="499" t="n"/>
      <c r="F21" s="500" t="n">
        <v>-71685</v>
      </c>
      <c r="G21" s="32" t="inlineStr">
        <is>
          <t>QUYENNN.HCM.VTA</t>
        </is>
      </c>
      <c r="H21" s="32" t="inlineStr">
        <is>
          <t xml:space="preserve">Final to Post </t>
        </is>
      </c>
      <c r="I21" s="75">
        <f>LEN(A21)</f>
        <v/>
      </c>
      <c r="J21" s="76">
        <f>LEFT(D21,6)</f>
        <v/>
      </c>
      <c r="K21" s="77">
        <f>IF(LEFT(A21,11)="Tài khoản: ",MID(A21,12,6),K20)</f>
        <v/>
      </c>
      <c r="L21" s="501" t="n"/>
      <c r="O21" s="501" t="n"/>
    </row>
    <row r="22" ht="24" customHeight="1" s="344">
      <c r="A22" s="30" t="n">
        <v>46295</v>
      </c>
      <c r="B22" s="31" t="inlineStr">
        <is>
          <t>'2171</t>
        </is>
      </c>
      <c r="C22" s="32" t="inlineStr">
        <is>
          <t>AR_TRANS</t>
        </is>
      </c>
      <c r="D22" s="19" t="inlineStr">
        <is>
          <t>DIEN01-DOANH THU HÓA ĐƠN TIỀN ĐIỆN LẶP LẠI T09/2026</t>
        </is>
      </c>
      <c r="E22" s="499" t="n"/>
      <c r="F22" s="500" t="n">
        <v>4398992</v>
      </c>
      <c r="G22" s="32" t="inlineStr">
        <is>
          <t>QUYENNN.HCM.VTA</t>
        </is>
      </c>
      <c r="H22" s="32" t="inlineStr">
        <is>
          <t xml:space="preserve">Final to Post </t>
        </is>
      </c>
      <c r="I22" s="75">
        <f>LEN(A22)</f>
        <v/>
      </c>
      <c r="J22" s="76">
        <f>LEFT(D22,6)</f>
        <v/>
      </c>
      <c r="K22" s="77">
        <f>IF(LEFT(A22,11)="Tài khoản: ",MID(A22,12,6),K21)</f>
        <v/>
      </c>
      <c r="L22" s="501" t="n"/>
      <c r="O22" s="501" t="n"/>
    </row>
    <row r="23" ht="24" customHeight="1" s="344">
      <c r="A23" s="30" t="n">
        <v>46295</v>
      </c>
      <c r="B23" s="31" t="inlineStr">
        <is>
          <t>'2172</t>
        </is>
      </c>
      <c r="C23" s="32" t="inlineStr">
        <is>
          <t>AR_TRANS</t>
        </is>
      </c>
      <c r="D23" s="19" t="inlineStr">
        <is>
          <t>DIEN01-DOANH THU HÓA ĐƠN TIỀN ĐIỆN THOÁI HOÀN T09/2026</t>
        </is>
      </c>
      <c r="E23" s="499" t="n"/>
      <c r="F23" s="500" t="n">
        <v>-1006021</v>
      </c>
      <c r="G23" s="32" t="inlineStr">
        <is>
          <t>QUYENNN.HCM.VTA</t>
        </is>
      </c>
      <c r="H23" s="32" t="inlineStr">
        <is>
          <t xml:space="preserve">Final to Post </t>
        </is>
      </c>
      <c r="I23" s="75">
        <f>LEN(A23)</f>
        <v/>
      </c>
      <c r="J23" s="76">
        <f>LEFT(D23,6)</f>
        <v/>
      </c>
      <c r="K23" s="77">
        <f>IF(LEFT(A23,11)="Tài khoản: ",MID(A23,12,6),K22)</f>
        <v/>
      </c>
      <c r="L23" s="501" t="n"/>
      <c r="O23" s="501" t="n"/>
    </row>
    <row r="24">
      <c r="A24" s="30" t="n">
        <v>46295</v>
      </c>
      <c r="B24" s="31" t="inlineStr">
        <is>
          <t>'2173</t>
        </is>
      </c>
      <c r="C24" s="32" t="inlineStr">
        <is>
          <t>AR_TRANS</t>
        </is>
      </c>
      <c r="D24" s="19" t="inlineStr">
        <is>
          <t>DIEN01-DOANH THU HÓA ĐƠN TIỀN ĐIỆN TRUY THU T09/2026</t>
        </is>
      </c>
      <c r="E24" s="500" t="n"/>
      <c r="F24" s="499" t="n">
        <v>39778263</v>
      </c>
      <c r="G24" s="32" t="inlineStr">
        <is>
          <t>QUYENNN.HCM.VTA</t>
        </is>
      </c>
      <c r="H24" s="32" t="inlineStr">
        <is>
          <t xml:space="preserve">Final to Post </t>
        </is>
      </c>
      <c r="I24" s="75">
        <f>LEN(A24)</f>
        <v/>
      </c>
      <c r="J24" s="76">
        <f>LEFT(D24,6)</f>
        <v/>
      </c>
      <c r="K24" s="77">
        <f>IF(LEFT(A24,11)="Tài khoản: ",MID(A24,12,6),K23)</f>
        <v/>
      </c>
      <c r="L24" s="501" t="n"/>
      <c r="O24" s="501" t="n"/>
    </row>
    <row r="25">
      <c r="A25" s="30" t="n">
        <v>46295</v>
      </c>
      <c r="B25" s="31" t="inlineStr">
        <is>
          <t>'2187</t>
        </is>
      </c>
      <c r="C25" s="32" t="inlineStr">
        <is>
          <t>AR_TRANS</t>
        </is>
      </c>
      <c r="D25" s="19" t="inlineStr">
        <is>
          <t>DIEN01-DOANH THU HÓA ĐƠN TIỀN ĐIỆN HỦY BỎ T09/2026</t>
        </is>
      </c>
      <c r="E25" s="500" t="n"/>
      <c r="F25" s="499" t="n">
        <v>-7218247</v>
      </c>
      <c r="G25" s="32" t="inlineStr">
        <is>
          <t>QUYENNN.HCM.VTA</t>
        </is>
      </c>
      <c r="H25" s="32" t="inlineStr">
        <is>
          <t xml:space="preserve">Final to Post </t>
        </is>
      </c>
      <c r="I25" s="75">
        <f>LEN(A25)</f>
        <v/>
      </c>
      <c r="J25" s="76">
        <f>LEFT(D25,6)</f>
        <v/>
      </c>
      <c r="K25" s="77">
        <f>IF(LEFT(A25,11)="Tài khoản: ",MID(A25,12,6),K24)</f>
        <v/>
      </c>
      <c r="L25" s="501" t="n"/>
      <c r="O25" s="501" t="n"/>
    </row>
    <row r="26" ht="24" customHeight="1" s="344">
      <c r="A26" s="30" t="n">
        <v>46295</v>
      </c>
      <c r="B26" s="31" t="inlineStr">
        <is>
          <t>'2855</t>
        </is>
      </c>
      <c r="C26" s="32" t="inlineStr">
        <is>
          <t>GL</t>
        </is>
      </c>
      <c r="D26" s="19" t="inlineStr">
        <is>
          <t>Kết chuyển TK 13313_9000 qua TK 333111</t>
        </is>
      </c>
      <c r="E26" s="499" t="n">
        <v>110027</v>
      </c>
      <c r="F26" s="500" t="n"/>
      <c r="G26" s="32" t="inlineStr">
        <is>
          <t>LINH3NTT.HCM.VTA</t>
        </is>
      </c>
      <c r="H26" s="32" t="inlineStr">
        <is>
          <t xml:space="preserve">Post </t>
        </is>
      </c>
      <c r="I26" s="75">
        <f>LEN(A26)</f>
        <v/>
      </c>
      <c r="J26" s="76">
        <f>LEFT(D26,6)</f>
        <v/>
      </c>
      <c r="K26" s="77">
        <f>IF(LEFT(A26,11)="Tài khoản: ",MID(A26,12,6),K25)</f>
        <v/>
      </c>
      <c r="L26" s="501" t="n"/>
      <c r="O26" s="501" t="n"/>
    </row>
    <row r="27" ht="24" customHeight="1" s="344">
      <c r="A27" s="30" t="n">
        <v>46295</v>
      </c>
      <c r="B27" s="31" t="inlineStr">
        <is>
          <t>'3122</t>
        </is>
      </c>
      <c r="C27" s="32" t="inlineStr">
        <is>
          <t>GL</t>
        </is>
      </c>
      <c r="D27" s="19" t="inlineStr">
        <is>
          <t>Kết chuyển Thuế GTGT (333113,333114 về 333111) Tháng 9/2026</t>
        </is>
      </c>
      <c r="E27" s="499" t="n"/>
      <c r="F27" s="500" t="n">
        <v>212968193</v>
      </c>
      <c r="G27" s="32" t="inlineStr">
        <is>
          <t>TUAN2HM.HCM.VTA</t>
        </is>
      </c>
      <c r="H27" s="32" t="inlineStr">
        <is>
          <t xml:space="preserve">Unpost </t>
        </is>
      </c>
      <c r="I27" s="75">
        <f>LEN(A27)</f>
        <v/>
      </c>
      <c r="J27" s="76">
        <f>LEFT(D27,6)</f>
        <v/>
      </c>
      <c r="K27" s="77">
        <f>IF(LEFT(A27,11)="Tài khoản: ",MID(A27,12,6),K26)</f>
        <v/>
      </c>
      <c r="L27" s="501" t="n"/>
      <c r="O27" s="501" t="n"/>
    </row>
    <row r="28" ht="24" customHeight="1" s="344">
      <c r="A28" s="30" t="n">
        <v>46295</v>
      </c>
      <c r="B28" s="31" t="inlineStr">
        <is>
          <t>'3123</t>
        </is>
      </c>
      <c r="C28" s="32" t="inlineStr">
        <is>
          <t>GL</t>
        </is>
      </c>
      <c r="D28" s="19" t="inlineStr">
        <is>
          <t>Kê khai thuế GTGT tháng 9 CT ĐTXD</t>
        </is>
      </c>
      <c r="E28" s="500" t="n">
        <v>27831187</v>
      </c>
      <c r="F28" s="499" t="n"/>
      <c r="G28" s="32" t="inlineStr">
        <is>
          <t>HIENNTK.HCM.VTA</t>
        </is>
      </c>
      <c r="H28" s="32" t="inlineStr">
        <is>
          <t xml:space="preserve">Post </t>
        </is>
      </c>
      <c r="I28" s="75">
        <f>LEN(A28)</f>
        <v/>
      </c>
      <c r="J28" s="76">
        <f>LEFT(D28,6)</f>
        <v/>
      </c>
      <c r="K28" s="77">
        <f>IF(LEFT(A28,11)="Tài khoản: ",MID(A28,12,6),K27)</f>
        <v/>
      </c>
      <c r="L28" s="501" t="n"/>
      <c r="M28" s="468" t="n"/>
      <c r="N28" s="468" t="n"/>
      <c r="O28" s="501" t="n"/>
    </row>
    <row r="29">
      <c r="A29" s="574" t="n">
        <v>46295</v>
      </c>
      <c r="B29" s="166" t="inlineStr">
        <is>
          <t>'3193</t>
        </is>
      </c>
      <c r="C29" s="166" t="inlineStr">
        <is>
          <t>GL</t>
        </is>
      </c>
      <c r="D29" s="165" t="inlineStr">
        <is>
          <t>K/c thuế GTGT từ 1331 về 3331 tháng 9/2026</t>
        </is>
      </c>
      <c r="E29" s="498" t="n">
        <v>102540977433</v>
      </c>
      <c r="F29" s="498" t="n"/>
      <c r="G29" s="166" t="inlineStr">
        <is>
          <t>TUAN2HM.HCM.VTA</t>
        </is>
      </c>
      <c r="H29" s="166" t="inlineStr">
        <is>
          <t xml:space="preserve">Unpost </t>
        </is>
      </c>
      <c r="I29" s="75">
        <f>LEN(A29)</f>
        <v/>
      </c>
      <c r="J29" s="76">
        <f>LEFT(D29,6)</f>
        <v/>
      </c>
      <c r="K29" s="77">
        <f>IF(LEFT(A29,11)="Tài khoản: ",MID(A29,12,6),K28)</f>
        <v/>
      </c>
      <c r="L29" s="501" t="n"/>
      <c r="M29" s="468" t="n"/>
      <c r="N29" s="468" t="n"/>
      <c r="O29" s="501" t="n"/>
    </row>
    <row r="30">
      <c r="A30" s="166" t="n"/>
      <c r="B30" s="166" t="n"/>
      <c r="C30" s="166" t="n"/>
      <c r="D30" s="165" t="inlineStr">
        <is>
          <t xml:space="preserve">Cộng phát sinh </t>
        </is>
      </c>
      <c r="E30" s="498" t="n">
        <v>103146289435</v>
      </c>
      <c r="F30" s="499" t="n">
        <v>111833520418</v>
      </c>
      <c r="G30" s="166" t="n"/>
      <c r="H30" s="166" t="n"/>
      <c r="I30" s="75">
        <f>LEN(A30)</f>
        <v/>
      </c>
      <c r="J30" s="76">
        <f>LEFT(D30,6)</f>
        <v/>
      </c>
      <c r="K30" s="77">
        <f>IF(LEFT(A30,11)="Tài khoản: ",MID(A30,12,6),K29)</f>
        <v/>
      </c>
      <c r="L30" s="501" t="n"/>
      <c r="M30" s="81" t="n"/>
      <c r="N30" s="501" t="n"/>
      <c r="O30" s="501" t="n"/>
    </row>
    <row r="31">
      <c r="A31" s="165" t="n"/>
      <c r="B31" s="491" t="n"/>
      <c r="C31" s="492" t="n"/>
      <c r="D31" s="165" t="inlineStr">
        <is>
          <t xml:space="preserve">Dư cuối kỳ  </t>
        </is>
      </c>
      <c r="E31" s="499" t="n"/>
      <c r="F31" s="499" t="n">
        <v>7764601771</v>
      </c>
      <c r="G31" s="166" t="n"/>
      <c r="H31" s="166" t="n"/>
      <c r="I31" s="75">
        <f>LEN(A31)</f>
        <v/>
      </c>
      <c r="J31" s="76">
        <f>LEFT(D31,6)</f>
        <v/>
      </c>
      <c r="K31" s="77">
        <f>IF(LEFT(A31,11)="Tài khoản: ",MID(A31,12,6),K30)</f>
        <v/>
      </c>
      <c r="L31" s="501" t="n"/>
      <c r="O31" s="501" t="n"/>
    </row>
    <row r="32" ht="35.5" customHeight="1" s="344">
      <c r="A32" s="30" t="inlineStr">
        <is>
          <t>Tài khoản: 33311300000</t>
        </is>
      </c>
      <c r="B32" s="31" t="n"/>
      <c r="C32" s="32" t="n"/>
      <c r="D32" s="19" t="inlineStr">
        <is>
          <t xml:space="preserve">Dư đầu kỳ </t>
        </is>
      </c>
      <c r="E32" s="499" t="n"/>
      <c r="F32" s="500" t="n"/>
      <c r="G32" s="32" t="n"/>
      <c r="H32" s="32" t="n"/>
      <c r="I32" s="75">
        <f>LEN(A32)</f>
        <v/>
      </c>
      <c r="J32" s="76">
        <f>LEFT(D32,6)</f>
        <v/>
      </c>
      <c r="K32" s="77">
        <f>IF(LEFT(A32,11)="Tài khoản: ",MID(A32,12,6),K31)</f>
        <v/>
      </c>
      <c r="L32" s="501" t="n"/>
      <c r="O32" s="501" t="n"/>
    </row>
    <row r="33" ht="35.5" customHeight="1" s="344">
      <c r="A33" s="30" t="n">
        <v>46275</v>
      </c>
      <c r="B33" s="31" t="inlineStr">
        <is>
          <t>'2149</t>
        </is>
      </c>
      <c r="C33" s="32" t="inlineStr">
        <is>
          <t>AR_TRANS</t>
        </is>
      </c>
      <c r="D33" s="19" t="inlineStr">
        <is>
          <t>1388ĐĐ - Điều động VTTB theo CV 6267 ngày 04/09/26, PGH 03.VHJ.43.0002 ngày 07/09/26 - HĐ 84/10.09.2026</t>
        </is>
      </c>
      <c r="E33" s="499" t="n"/>
      <c r="F33" s="500" t="n">
        <v>26731560</v>
      </c>
      <c r="G33" s="32" t="inlineStr">
        <is>
          <t>CHAULTN.HCM.VTA</t>
        </is>
      </c>
      <c r="H33" s="32" t="inlineStr">
        <is>
          <t xml:space="preserve">Final to Post </t>
        </is>
      </c>
      <c r="I33" s="75">
        <f>LEN(A33)</f>
        <v/>
      </c>
      <c r="J33" s="76">
        <f>LEFT(D33,6)</f>
        <v/>
      </c>
      <c r="K33" s="77">
        <f>IF(LEFT(A33,11)="Tài khoản: ",MID(A33,12,6),K32)</f>
        <v/>
      </c>
      <c r="L33" s="501" t="n"/>
      <c r="O33" s="501" t="n"/>
    </row>
    <row r="34" ht="35.5" customHeight="1" s="344">
      <c r="A34" s="30" t="n">
        <v>46282</v>
      </c>
      <c r="B34" s="31" t="inlineStr">
        <is>
          <t>'2150</t>
        </is>
      </c>
      <c r="C34" s="32" t="inlineStr">
        <is>
          <t>AR_TRANS</t>
        </is>
      </c>
      <c r="D34" s="19" t="inlineStr">
        <is>
          <t>1388ĐĐ - Điều động VTTH theo PĐĐ 9165 ngày 20/08/26 &amp; PGH 03.VH1.17.0002 ngày 08/09/26 - HĐ 85/17.09.2026</t>
        </is>
      </c>
      <c r="E34" s="499" t="n"/>
      <c r="F34" s="500" t="n">
        <v>15691699</v>
      </c>
      <c r="G34" s="32" t="inlineStr">
        <is>
          <t>CHAULTN.HCM.VTA</t>
        </is>
      </c>
      <c r="H34" s="32" t="inlineStr">
        <is>
          <t xml:space="preserve">Final to Post </t>
        </is>
      </c>
      <c r="I34" s="75">
        <f>LEN(A34)</f>
        <v/>
      </c>
      <c r="J34" s="76">
        <f>LEFT(D34,6)</f>
        <v/>
      </c>
      <c r="K34" s="77">
        <f>IF(LEFT(A34,11)="Tài khoản: ",MID(A34,12,6),K33)</f>
        <v/>
      </c>
      <c r="L34" s="501" t="n"/>
      <c r="O34" s="501" t="n"/>
    </row>
    <row r="35" ht="35.5" customHeight="1" s="344">
      <c r="A35" s="30" t="n">
        <v>46282</v>
      </c>
      <c r="B35" s="31" t="inlineStr">
        <is>
          <t>'2154</t>
        </is>
      </c>
      <c r="C35" s="32" t="inlineStr">
        <is>
          <t>AR_TRANS</t>
        </is>
      </c>
      <c r="D35" s="19" t="inlineStr">
        <is>
          <t>1388ĐĐ - Điều động VTTB theo PĐNĐĐ 9165 ngày 20/08/26 và PGH 03.VH1.17.0002 ngày 08/09/26 - HĐ 86/17.09.2026</t>
        </is>
      </c>
      <c r="E35" s="499" t="n"/>
      <c r="F35" s="500" t="n">
        <v>2688000</v>
      </c>
      <c r="G35" s="32" t="inlineStr">
        <is>
          <t>CHAULTN.HCM.VTA</t>
        </is>
      </c>
      <c r="H35" s="32" t="inlineStr">
        <is>
          <t xml:space="preserve">Final to Post </t>
        </is>
      </c>
      <c r="I35" s="75">
        <f>LEN(A35)</f>
        <v/>
      </c>
      <c r="J35" s="76">
        <f>LEFT(D35,6)</f>
        <v/>
      </c>
      <c r="K35" s="77">
        <f>IF(LEFT(A35,11)="Tài khoản: ",MID(A35,12,6),K34)</f>
        <v/>
      </c>
      <c r="L35" s="501" t="n"/>
      <c r="O35" s="501" t="n"/>
    </row>
    <row r="36" ht="35.5" customHeight="1" s="344">
      <c r="A36" s="30" t="n">
        <v>46283</v>
      </c>
      <c r="B36" s="31" t="inlineStr">
        <is>
          <t>'2139</t>
        </is>
      </c>
      <c r="C36" s="32" t="inlineStr">
        <is>
          <t>AR_TRANS</t>
        </is>
      </c>
      <c r="D36" s="19" t="inlineStr">
        <is>
          <t>1388ĐĐ - Điều động VTTB theo PĐN ĐĐ 9970 ngày 17/09/26 và PGH 03.VH1.57.0010 ngày 17/09/26 - HĐ 87 ngày 18/09/2026</t>
        </is>
      </c>
      <c r="E36" s="499" t="n"/>
      <c r="F36" s="500" t="n">
        <v>294000</v>
      </c>
      <c r="G36" s="32" t="inlineStr">
        <is>
          <t>CHAULTN.HCM.VTA</t>
        </is>
      </c>
      <c r="H36" s="32" t="inlineStr">
        <is>
          <t xml:space="preserve">Final to Post </t>
        </is>
      </c>
      <c r="I36" s="75">
        <f>LEN(A36)</f>
        <v/>
      </c>
      <c r="J36" s="76">
        <f>LEFT(D36,6)</f>
        <v/>
      </c>
      <c r="K36" s="77">
        <f>IF(LEFT(A36,11)="Tài khoản: ",MID(A36,12,6),K35)</f>
        <v/>
      </c>
      <c r="L36" s="501" t="n"/>
      <c r="O36" s="501" t="n"/>
    </row>
    <row r="37" ht="35.5" customHeight="1" s="344">
      <c r="A37" s="30" t="n">
        <v>46283</v>
      </c>
      <c r="B37" s="31" t="inlineStr">
        <is>
          <t>'2155</t>
        </is>
      </c>
      <c r="C37" s="32" t="inlineStr">
        <is>
          <t>AR_TRANS</t>
        </is>
      </c>
      <c r="D37" s="19" t="inlineStr">
        <is>
          <t>1388ĐĐ - Điều động VTTB theo PĐNĐĐ 9840 ngày 15/09/2026 và PGH 03.VH1.57.0008, 03.VH1.57.0009 ngày 15/09/26 - HĐ 88 ngày 18/09/26</t>
        </is>
      </c>
      <c r="E37" s="499" t="n"/>
      <c r="F37" s="500" t="n">
        <v>13994896</v>
      </c>
      <c r="G37" s="32" t="inlineStr">
        <is>
          <t>CHAULTN.HCM.VTA</t>
        </is>
      </c>
      <c r="H37" s="32" t="inlineStr">
        <is>
          <t xml:space="preserve">Final to Post </t>
        </is>
      </c>
      <c r="I37" s="75">
        <f>LEN(A37)</f>
        <v/>
      </c>
      <c r="J37" s="76">
        <f>LEFT(D37,6)</f>
        <v/>
      </c>
      <c r="K37" s="77">
        <f>IF(LEFT(A37,11)="Tài khoản: ",MID(A37,12,6),K36)</f>
        <v/>
      </c>
      <c r="L37" s="501" t="n"/>
      <c r="O37" s="501" t="n"/>
    </row>
    <row r="38" ht="35.5" customHeight="1" s="344">
      <c r="A38" s="30" t="n">
        <v>46286</v>
      </c>
      <c r="B38" s="31" t="inlineStr">
        <is>
          <t>'2140</t>
        </is>
      </c>
      <c r="C38" s="32" t="inlineStr">
        <is>
          <t>AR_TRANS</t>
        </is>
      </c>
      <c r="D38" s="19" t="inlineStr">
        <is>
          <t>1388ĐĐ - Điều động VTTB theo CV 5120 nagỳ 18/09/2026 và PGH 03.VH1.57.0011 ngày 18/09/26 - HĐ 89 ngày 21/09/26</t>
        </is>
      </c>
      <c r="E38" s="499" t="n"/>
      <c r="F38" s="500" t="n">
        <v>4202400</v>
      </c>
      <c r="G38" s="32" t="inlineStr">
        <is>
          <t>CHAULTN.HCM.VTA</t>
        </is>
      </c>
      <c r="H38" s="32" t="inlineStr">
        <is>
          <t xml:space="preserve">Final to Post </t>
        </is>
      </c>
      <c r="I38" s="75">
        <f>LEN(A38)</f>
        <v/>
      </c>
      <c r="J38" s="76">
        <f>LEFT(D38,6)</f>
        <v/>
      </c>
      <c r="K38" s="77">
        <f>IF(LEFT(A38,11)="Tài khoản: ",MID(A38,12,6),K37)</f>
        <v/>
      </c>
      <c r="L38" s="501" t="n"/>
      <c r="O38" s="501" t="n"/>
    </row>
    <row r="39" ht="47" customFormat="1" customHeight="1" s="84">
      <c r="A39" s="30" t="n">
        <v>46286</v>
      </c>
      <c r="B39" s="31" t="inlineStr">
        <is>
          <t>'2156</t>
        </is>
      </c>
      <c r="C39" s="32" t="inlineStr">
        <is>
          <t>AR_TRANS</t>
        </is>
      </c>
      <c r="D39" s="19" t="inlineStr">
        <is>
          <t>1388ĐĐ - Điều động VTTB theo PĐN ĐĐ 10031 ngày 18/09/2026 và PGH 03.VH1.57.0012 ngày 21/09/26 - HĐ 90 ngày 21/09/2026</t>
        </is>
      </c>
      <c r="E39" s="499" t="n"/>
      <c r="F39" s="500" t="n">
        <v>196000</v>
      </c>
      <c r="G39" s="32" t="inlineStr">
        <is>
          <t>CHAULTN.HCM.VTA</t>
        </is>
      </c>
      <c r="H39" s="32" t="inlineStr">
        <is>
          <t xml:space="preserve">Final to Post </t>
        </is>
      </c>
      <c r="I39" s="75">
        <f>LEN(A39)</f>
        <v/>
      </c>
      <c r="J39" s="76">
        <f>LEFT(D39,6)</f>
        <v/>
      </c>
      <c r="K39" s="77">
        <f>IF(LEFT(A39,11)="Tài khoản: ",MID(A39,12,6),K38)</f>
        <v/>
      </c>
      <c r="L39" s="501" t="n"/>
      <c r="M39" s="81" t="n"/>
      <c r="N39" s="78" t="n"/>
      <c r="O39" s="501" t="n"/>
    </row>
    <row r="40" ht="24" customFormat="1" customHeight="1" s="84">
      <c r="A40" s="30" t="n">
        <v>46287</v>
      </c>
      <c r="B40" s="31" t="inlineStr">
        <is>
          <t>'2157</t>
        </is>
      </c>
      <c r="C40" s="32" t="inlineStr">
        <is>
          <t>AR_TRANS</t>
        </is>
      </c>
      <c r="D40" s="19" t="inlineStr">
        <is>
          <t>1388ĐĐ - Điều động VTTB theo CV 2925 ngày 18/09/26 và PGH 03.VH1.57.0013 ngày 21/09/2026 - HĐ 91 ngày 22/09/2026</t>
        </is>
      </c>
      <c r="E40" s="499" t="n"/>
      <c r="F40" s="500" t="n">
        <v>9403561</v>
      </c>
      <c r="G40" s="32" t="inlineStr">
        <is>
          <t>CHAULTN.HCM.VTA</t>
        </is>
      </c>
      <c r="H40" s="32" t="inlineStr">
        <is>
          <t xml:space="preserve">Final to Post </t>
        </is>
      </c>
      <c r="I40" s="75">
        <f>LEN(A40)</f>
        <v/>
      </c>
      <c r="J40" s="76">
        <f>LEFT(D40,6)</f>
        <v/>
      </c>
      <c r="K40" s="77">
        <f>IF(LEFT(A40,11)="Tài khoản: ",MID(A40,12,6),K39)</f>
        <v/>
      </c>
      <c r="L40" s="501" t="n"/>
      <c r="M40" s="78" t="n"/>
      <c r="N40" s="78" t="n"/>
      <c r="O40" s="501" t="n"/>
    </row>
    <row r="41" ht="35.5" customFormat="1" customHeight="1" s="84">
      <c r="A41" s="30" t="n">
        <v>46293</v>
      </c>
      <c r="B41" s="31" t="inlineStr">
        <is>
          <t>'2167</t>
        </is>
      </c>
      <c r="C41" s="32" t="inlineStr">
        <is>
          <t>AR_TRANS</t>
        </is>
      </c>
      <c r="D41" s="19" t="inlineStr">
        <is>
          <t>1388ĐĐ - Điều động VTTB theo CV 5219/24.09.26 của PC Bình Dương, PGH 03.VH1.57.0014 ngày 24.09.26 - HĐ 92 ngày 28.09.26</t>
        </is>
      </c>
      <c r="E41" s="499" t="n"/>
      <c r="F41" s="500" t="n">
        <v>419383</v>
      </c>
      <c r="G41" s="32" t="inlineStr">
        <is>
          <t>CHAULTN.HCM.VTA</t>
        </is>
      </c>
      <c r="H41" s="32" t="inlineStr">
        <is>
          <t xml:space="preserve">Final to Post </t>
        </is>
      </c>
      <c r="I41" s="75">
        <f>LEN(A41)</f>
        <v/>
      </c>
      <c r="J41" s="76">
        <f>LEFT(D41,6)</f>
        <v/>
      </c>
      <c r="K41" s="77">
        <f>IF(LEFT(A41,11)="Tài khoản: ",MID(A41,12,6),K40)</f>
        <v/>
      </c>
      <c r="L41" s="501" t="n"/>
      <c r="M41" s="78" t="n"/>
      <c r="N41" s="78" t="n"/>
      <c r="O41" s="501" t="n"/>
    </row>
    <row r="42" ht="35.5" customHeight="1" s="344">
      <c r="A42" s="30" t="n">
        <v>46295</v>
      </c>
      <c r="B42" s="31" t="inlineStr">
        <is>
          <t>'3122</t>
        </is>
      </c>
      <c r="C42" s="32" t="inlineStr">
        <is>
          <t>GL</t>
        </is>
      </c>
      <c r="D42" s="19" t="inlineStr">
        <is>
          <t>Kết chuyển Thuế GTGT (333113 về 333111) Tháng 9/2026</t>
        </is>
      </c>
      <c r="E42" s="499" t="n"/>
      <c r="F42" s="500" t="n">
        <v>-73621499</v>
      </c>
      <c r="G42" s="32" t="inlineStr">
        <is>
          <t>TUAN2HM.HCM.VTA</t>
        </is>
      </c>
      <c r="H42" s="32" t="inlineStr">
        <is>
          <t xml:space="preserve">Unpost </t>
        </is>
      </c>
      <c r="I42" s="75">
        <f>LEN(A42)</f>
        <v/>
      </c>
      <c r="J42" s="76">
        <f>LEFT(D42,6)</f>
        <v/>
      </c>
      <c r="K42" s="77">
        <f>IF(LEFT(A42,11)="Tài khoản: ",MID(A42,12,6),K41)</f>
        <v/>
      </c>
      <c r="L42" s="501" t="n"/>
      <c r="O42" s="501" t="n"/>
    </row>
    <row r="43" ht="24" customHeight="1" s="344">
      <c r="A43" s="30" t="n"/>
      <c r="B43" s="31" t="n"/>
      <c r="C43" s="32" t="n"/>
      <c r="D43" s="19" t="inlineStr">
        <is>
          <t xml:space="preserve">Cộng phát sinh </t>
        </is>
      </c>
      <c r="E43" s="499" t="n"/>
      <c r="F43" s="500" t="n">
        <v>0</v>
      </c>
      <c r="G43" s="32" t="n"/>
      <c r="H43" s="32" t="n"/>
      <c r="I43" s="75">
        <f>LEN(A43)</f>
        <v/>
      </c>
      <c r="J43" s="76">
        <f>LEFT(D43,6)</f>
        <v/>
      </c>
      <c r="K43" s="77">
        <f>IF(LEFT(A43,11)="Tài khoản: ",MID(A43,12,6),K42)</f>
        <v/>
      </c>
      <c r="L43" s="501" t="n"/>
      <c r="O43" s="501" t="n"/>
    </row>
    <row r="44" customFormat="1" s="84">
      <c r="A44" s="166" t="n"/>
      <c r="B44" s="166" t="n"/>
      <c r="C44" s="166" t="n"/>
      <c r="D44" s="165" t="inlineStr">
        <is>
          <t xml:space="preserve">Dư cuối kỳ  </t>
        </is>
      </c>
      <c r="E44" s="499" t="n"/>
      <c r="F44" s="498" t="n"/>
      <c r="G44" s="166" t="n"/>
      <c r="H44" s="166" t="n"/>
      <c r="I44" s="75">
        <f>LEN(A44)</f>
        <v/>
      </c>
      <c r="J44" s="76">
        <f>LEFT(D44,6)</f>
        <v/>
      </c>
      <c r="K44" s="77">
        <f>IF(LEFT(A44,11)="Tài khoản: ",MID(A44,12,6),K43)</f>
        <v/>
      </c>
      <c r="L44" s="501" t="n"/>
      <c r="M44" s="78" t="n"/>
      <c r="N44" s="78" t="n"/>
      <c r="O44" s="501" t="n"/>
    </row>
    <row r="45" customFormat="1" s="84">
      <c r="A45" s="166" t="inlineStr">
        <is>
          <t>Tài khoản: 33311400000</t>
        </is>
      </c>
      <c r="B45" s="166" t="n"/>
      <c r="C45" s="166" t="n"/>
      <c r="D45" s="165" t="inlineStr">
        <is>
          <t xml:space="preserve">Dư đầu kỳ </t>
        </is>
      </c>
      <c r="E45" s="499" t="n"/>
      <c r="F45" s="499" t="n"/>
      <c r="G45" s="166" t="n"/>
      <c r="H45" s="166" t="n"/>
      <c r="I45" s="75">
        <f>LEN(A45)</f>
        <v/>
      </c>
      <c r="J45" s="76">
        <f>LEFT(D45,6)</f>
        <v/>
      </c>
      <c r="K45" s="77">
        <f>IF(LEFT(A45,11)="Tài khoản: ",MID(A45,12,6),K44)</f>
        <v/>
      </c>
      <c r="L45" s="501" t="n"/>
      <c r="M45" s="78" t="n"/>
      <c r="N45" s="78" t="n"/>
      <c r="O45" s="501" t="n"/>
    </row>
    <row r="46">
      <c r="A46" s="575" t="n">
        <v>46293</v>
      </c>
      <c r="B46" s="491" t="n"/>
      <c r="C46" s="492" t="n"/>
      <c r="D46" s="165" t="inlineStr">
        <is>
          <t>4500TT - Doanh thu cho thuê cột điện treo cáp viễn thông từ 01/09/2026 đến 30/09/26 FPT - HĐ 95 ngày 28/09/2026</t>
        </is>
      </c>
      <c r="E46" s="499" t="n"/>
      <c r="F46" s="499" t="n">
        <v>4586922</v>
      </c>
      <c r="G46" s="166" t="inlineStr">
        <is>
          <t>CHAULTN.HCM.VTA</t>
        </is>
      </c>
      <c r="H46" s="166" t="inlineStr">
        <is>
          <t xml:space="preserve">Final to Post </t>
        </is>
      </c>
      <c r="I46" s="75">
        <f>LEN(A46)</f>
        <v/>
      </c>
      <c r="J46" s="76">
        <f>LEFT(D46,6)</f>
        <v/>
      </c>
      <c r="K46" s="77">
        <f>IF(LEFT(A46,11)="Tài khoản: ",MID(A46,12,6),K45)</f>
        <v/>
      </c>
      <c r="L46" s="501" t="n"/>
      <c r="O46" s="501" t="n"/>
    </row>
    <row r="47" ht="35.5" customHeight="1" s="344">
      <c r="A47" s="30" t="n">
        <v>46293</v>
      </c>
      <c r="B47" s="31" t="inlineStr">
        <is>
          <t>'2169</t>
        </is>
      </c>
      <c r="C47" s="32" t="inlineStr">
        <is>
          <t>AR_TRANS</t>
        </is>
      </c>
      <c r="D47" s="19" t="inlineStr">
        <is>
          <t>4500TT - Doanh thu cho thuê cột điện treo cáp viễn thông từ 01/09/2026 đến 30/09/2026 - HĐ 97 ngày 28/09/2026</t>
        </is>
      </c>
      <c r="E47" s="499" t="n"/>
      <c r="F47" s="500" t="n">
        <v>3675206</v>
      </c>
      <c r="G47" s="32" t="inlineStr">
        <is>
          <t>CHAULTN.HCM.VTA</t>
        </is>
      </c>
      <c r="H47" s="32" t="inlineStr">
        <is>
          <t xml:space="preserve">Final to Post </t>
        </is>
      </c>
      <c r="I47">
        <f>LEN(A47)</f>
        <v/>
      </c>
      <c r="J47" s="76">
        <f>LEFT(D47,6)</f>
        <v/>
      </c>
      <c r="K47" s="77">
        <f>IF(LEFT(A47,11)="Tài khoản: ",MID(A47,12,6),K46)</f>
        <v/>
      </c>
      <c r="L47" s="501" t="n"/>
      <c r="O47" s="501" t="n"/>
    </row>
    <row r="48" ht="35.5" customHeight="1" s="344">
      <c r="A48" s="30" t="n">
        <v>46293</v>
      </c>
      <c r="B48" s="31" t="inlineStr">
        <is>
          <t>'2182</t>
        </is>
      </c>
      <c r="C48" s="32" t="inlineStr">
        <is>
          <t>AR_TRANS</t>
        </is>
      </c>
      <c r="D48" s="19" t="inlineStr">
        <is>
          <t>4500TT - Doanh thu cho thuê cột điện từ 01/07/26 đến 30/09/26 SCTV - HĐ 93 ngày 28/09/2026</t>
        </is>
      </c>
      <c r="E48" s="499" t="n"/>
      <c r="F48" s="500" t="n">
        <v>21976853</v>
      </c>
      <c r="G48" s="32" t="inlineStr">
        <is>
          <t>CHAULTN.HCM.VTA</t>
        </is>
      </c>
      <c r="H48" s="32" t="inlineStr">
        <is>
          <t xml:space="preserve">Final to Post </t>
        </is>
      </c>
      <c r="I48">
        <f>LEN(A48)</f>
        <v/>
      </c>
      <c r="J48" s="76">
        <f>LEFT(D48,6)</f>
        <v/>
      </c>
      <c r="K48" s="77">
        <f>IF(LEFT(A48,11)="Tài khoản: ",MID(A48,12,6),K47)</f>
        <v/>
      </c>
      <c r="L48" s="501" t="n"/>
      <c r="O48" s="501" t="n"/>
    </row>
    <row r="49" ht="24" customHeight="1" s="344">
      <c r="A49" s="30" t="n">
        <v>46293</v>
      </c>
      <c r="B49" s="31" t="inlineStr">
        <is>
          <t>'2183</t>
        </is>
      </c>
      <c r="C49" s="32" t="inlineStr">
        <is>
          <t>AR_TRANS</t>
        </is>
      </c>
      <c r="D49" s="19" t="inlineStr">
        <is>
          <t>4500TT - Doanh thu cho thuê cột điện treo cáp viễn thông từ 01/07/26 đến 30/09/26 (MBF) - HĐ 94 ngày 28/09/26</t>
        </is>
      </c>
      <c r="E49" s="499" t="n"/>
      <c r="F49" s="500" t="n">
        <v>97083972</v>
      </c>
      <c r="G49" s="32" t="inlineStr">
        <is>
          <t>CHAULTN.HCM.VTA</t>
        </is>
      </c>
      <c r="H49" s="32" t="inlineStr">
        <is>
          <t xml:space="preserve">Final to Post </t>
        </is>
      </c>
      <c r="I49">
        <f>LEN(A49)</f>
        <v/>
      </c>
      <c r="J49" s="76">
        <f>LEFT(D49,6)</f>
        <v/>
      </c>
      <c r="K49" s="77">
        <f>IF(LEFT(A49,11)="Tài khoản: ",MID(A49,12,6),K48)</f>
        <v/>
      </c>
      <c r="L49" s="501" t="n"/>
      <c r="O49" s="501" t="n"/>
    </row>
    <row r="50" ht="24" customHeight="1" s="344">
      <c r="A50" s="30" t="n">
        <v>46293</v>
      </c>
      <c r="B50" s="31" t="inlineStr">
        <is>
          <t>'2184</t>
        </is>
      </c>
      <c r="C50" s="32" t="inlineStr">
        <is>
          <t>AR_TRANS</t>
        </is>
      </c>
      <c r="D50" s="19" t="inlineStr">
        <is>
          <t>4500TT - Doanh thu cho thuê cột điện từ 01/09/26 đến 30/09/26 VNPT - HĐ 96 ngày 28/09/26</t>
        </is>
      </c>
      <c r="E50" s="499" t="n"/>
      <c r="F50" s="500" t="n">
        <v>12023741</v>
      </c>
      <c r="G50" s="32" t="inlineStr">
        <is>
          <t>CHAULTN.HCM.VTA</t>
        </is>
      </c>
      <c r="H50" s="32" t="inlineStr">
        <is>
          <t xml:space="preserve">Final to Post </t>
        </is>
      </c>
      <c r="I50">
        <f>LEN(A50)</f>
        <v/>
      </c>
      <c r="J50" s="76">
        <f>LEFT(D50,6)</f>
        <v/>
      </c>
      <c r="K50" s="77">
        <f>IF(LEFT(A50,11)="Tài khoản: ",MID(A50,12,6),K49)</f>
        <v/>
      </c>
    </row>
    <row r="51">
      <c r="A51" s="574" t="n">
        <v>46295</v>
      </c>
      <c r="B51" s="166" t="inlineStr">
        <is>
          <t>'3122</t>
        </is>
      </c>
      <c r="C51" s="166" t="inlineStr">
        <is>
          <t>GL</t>
        </is>
      </c>
      <c r="D51" s="165" t="inlineStr">
        <is>
          <t>Kết chuyển Thuế GTGT (333114 về 333111) Tháng 9/2026</t>
        </is>
      </c>
      <c r="E51" s="499" t="n"/>
      <c r="F51" s="498" t="n">
        <v>-139346694</v>
      </c>
      <c r="G51" s="166" t="inlineStr">
        <is>
          <t>TUAN2HM.HCM.VTA</t>
        </is>
      </c>
      <c r="H51" s="166" t="inlineStr">
        <is>
          <t xml:space="preserve">Unpost </t>
        </is>
      </c>
      <c r="I51">
        <f>LEN(A51)</f>
        <v/>
      </c>
      <c r="J51" s="76">
        <f>LEFT(D51,6)</f>
        <v/>
      </c>
      <c r="K51" s="77">
        <f>IF(LEFT(A51,11)="Tài khoản: ",MID(A51,12,6),K50)</f>
        <v/>
      </c>
    </row>
    <row r="52">
      <c r="A52" s="166" t="n"/>
      <c r="B52" s="166" t="n"/>
      <c r="C52" s="166" t="n"/>
      <c r="D52" s="165" t="inlineStr">
        <is>
          <t xml:space="preserve">Cộng phát sinh </t>
        </is>
      </c>
      <c r="E52" s="499" t="n"/>
      <c r="F52" s="499" t="n">
        <v>0</v>
      </c>
      <c r="G52" s="166" t="n"/>
      <c r="H52" s="166" t="n"/>
      <c r="I52">
        <f>LEN(A52)</f>
        <v/>
      </c>
      <c r="J52" s="76">
        <f>LEFT(D52,6)</f>
        <v/>
      </c>
      <c r="K52" s="77">
        <f>IF(LEFT(A52,11)="Tài khoản: ",MID(A52,12,6),K51)</f>
        <v/>
      </c>
    </row>
    <row r="53">
      <c r="A53" s="166" t="n"/>
      <c r="B53" s="166" t="n"/>
      <c r="C53" s="166" t="n"/>
      <c r="D53" s="165" t="inlineStr">
        <is>
          <t xml:space="preserve">Dư cuối kỳ  </t>
        </is>
      </c>
      <c r="E53" s="498" t="n"/>
      <c r="F53" s="499" t="n"/>
      <c r="G53" s="166" t="n"/>
      <c r="H53" s="166" t="n"/>
      <c r="I53">
        <f>LEN(A53)</f>
        <v/>
      </c>
      <c r="J53" s="76">
        <f>LEFT(D53,6)</f>
        <v/>
      </c>
      <c r="K53" s="77">
        <f>IF(LEFT(A53,11)="Tài khoản: ",MID(A53,12,6),K52)</f>
        <v/>
      </c>
    </row>
    <row r="54">
      <c r="A54" s="166" t="n"/>
      <c r="B54" s="166" t="n"/>
      <c r="C54" s="166" t="n"/>
      <c r="D54" s="165" t="inlineStr">
        <is>
          <t xml:space="preserve">Tổng Dư đầu kỳ </t>
        </is>
      </c>
      <c r="E54" s="498" t="n">
        <v>922629212</v>
      </c>
      <c r="F54" s="498" t="n"/>
      <c r="G54" s="166" t="n"/>
      <c r="H54" s="166" t="n"/>
      <c r="I54">
        <f>LEN(A54)</f>
        <v/>
      </c>
      <c r="J54">
        <f>LEFT(D54,6)</f>
        <v/>
      </c>
      <c r="K54">
        <f>IF(LEFT(A54,11)="Tài khoản: ",MID(A54,12,6),K53)</f>
        <v/>
      </c>
    </row>
    <row r="55">
      <c r="A55" s="166" t="n"/>
      <c r="B55" s="166" t="n"/>
      <c r="C55" s="166" t="n"/>
      <c r="D55" s="165" t="inlineStr">
        <is>
          <t xml:space="preserve">Tổng Cộng phát sinh  </t>
        </is>
      </c>
      <c r="E55" s="498" t="n">
        <v>103146289435</v>
      </c>
      <c r="F55" s="499" t="n">
        <v>111833520418</v>
      </c>
      <c r="G55" s="166" t="n"/>
      <c r="H55" s="166" t="n"/>
      <c r="I55">
        <f>LEN(A55)</f>
        <v/>
      </c>
      <c r="J55">
        <f>LEFT(D55,6)</f>
        <v/>
      </c>
      <c r="K55">
        <f>IF(LEFT(A55,11)="Tài khoản: ",MID(A55,12,6),K54)</f>
        <v/>
      </c>
    </row>
    <row r="56" ht="15.5" customHeight="1" s="344">
      <c r="D56" t="inlineStr">
        <is>
          <t xml:space="preserve">Tổng Dư cuối kỳ </t>
        </is>
      </c>
      <c r="F56" t="n">
        <v>7764601771</v>
      </c>
      <c r="I56">
        <f>LEN(A56)</f>
        <v/>
      </c>
      <c r="J56">
        <f>LEFT(D56,6)</f>
        <v/>
      </c>
      <c r="K56">
        <f>IF(LEFT(A56,11)="Tài khoản: ",MID(A56,12,6),K55)</f>
        <v/>
      </c>
    </row>
    <row r="57">
      <c r="A57" s="343" t="n"/>
      <c r="I57">
        <f>LEN(A57)</f>
        <v/>
      </c>
      <c r="J57">
        <f>LEFT(D57,6)</f>
        <v/>
      </c>
      <c r="K57">
        <f>IF(LEFT(A57,11)="Tài khoản: ",MID(A57,12,6),K56)</f>
        <v/>
      </c>
    </row>
    <row r="58">
      <c r="A58" s="321" t="inlineStr">
        <is>
          <t>TP. Hồ Chí Minh, ngày ..... tháng ..... năm ..........</t>
        </is>
      </c>
      <c r="I58">
        <f>LEN(A58)</f>
        <v/>
      </c>
      <c r="J58">
        <f>LEFT(D58,6)</f>
        <v/>
      </c>
      <c r="K58">
        <f>IF(LEFT(A58,11)="Tài khoản: ",MID(A58,12,6),K57)</f>
        <v/>
      </c>
    </row>
    <row r="59">
      <c r="I59">
        <f>LEN(A59)</f>
        <v/>
      </c>
      <c r="J59">
        <f>LEFT(D59,6)</f>
        <v/>
      </c>
      <c r="K59">
        <f>IF(LEFT(A59,11)="Tài khoản: ",MID(A59,12,6),K58)</f>
        <v/>
      </c>
    </row>
    <row r="60">
      <c r="A60" s="52" t="n"/>
      <c r="I60">
        <f>LEN(A60)</f>
        <v/>
      </c>
      <c r="J60">
        <f>LEFT(D60,6)</f>
        <v/>
      </c>
      <c r="K60">
        <f>IF(LEFT(A60,11)="Tài khoản: ",MID(A60,12,6),K59)</f>
        <v/>
      </c>
    </row>
    <row r="61">
      <c r="A61" t="inlineStr">
        <is>
          <t>EVN_TA_030, người in: TUAN2HM.HCM.VTA, ngày in: 07/10/2026 15:05:46.</t>
        </is>
      </c>
      <c r="I61">
        <f>LEN(A61)</f>
        <v/>
      </c>
      <c r="J61">
        <f>LEFT(D61,6)</f>
        <v/>
      </c>
      <c r="K61">
        <f>IF(LEFT(A61,11)="Tài khoản: ",MID(A61,12,6),K60)</f>
        <v/>
      </c>
    </row>
    <row r="62"/>
    <row r="63"/>
    <row r="64"/>
    <row r="65"/>
    <row r="66"/>
  </sheetData>
  <mergeCells count="10">
    <mergeCell ref="G9:G10"/>
    <mergeCell ref="D9:D10"/>
    <mergeCell ref="A11:C11"/>
    <mergeCell ref="H9:H10"/>
    <mergeCell ref="F9:F10"/>
    <mergeCell ref="E9:E10"/>
    <mergeCell ref="A46:C46"/>
    <mergeCell ref="A57:H57"/>
    <mergeCell ref="A31:C31"/>
    <mergeCell ref="A9:C9"/>
  </mergeCells>
  <pageMargins left="0.75" right="0.75" top="1" bottom="1" header="0.5" footer="0.5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O124"/>
  <sheetViews>
    <sheetView zoomScale="90" zoomScaleNormal="90" workbookViewId="0">
      <selection activeCell="F7" sqref="F1:G1048576"/>
    </sheetView>
  </sheetViews>
  <sheetFormatPr baseColWidth="8" defaultColWidth="9" defaultRowHeight="15.5"/>
  <cols>
    <col width="13" bestFit="1" customWidth="1" style="344" min="1" max="1"/>
    <col width="9" bestFit="1" customWidth="1" style="344" min="2" max="2"/>
    <col width="16.33203125" bestFit="1" customWidth="1" style="344" min="3" max="3"/>
    <col width="10.58203125" bestFit="1" customWidth="1" style="344" min="4" max="4"/>
    <col width="32" bestFit="1" customWidth="1" style="344" min="5" max="5"/>
    <col width="13.33203125" bestFit="1" customWidth="1" style="344" min="6" max="6"/>
    <col width="13.25" bestFit="1" customWidth="1" style="344" min="7" max="7"/>
    <col width="16.83203125" bestFit="1" customWidth="1" style="344" min="8" max="8"/>
    <col width="10.4140625" bestFit="1" customWidth="1" style="344" min="9" max="9"/>
    <col width="12" customWidth="1" style="103" min="10" max="10"/>
    <col width="13.4140625" customWidth="1" style="502" min="11" max="11"/>
    <col width="9" customWidth="1" style="105" min="12" max="12"/>
    <col width="13.4140625" bestFit="1" customWidth="1" style="105" min="13" max="14"/>
    <col width="9" customWidth="1" style="105" min="15" max="16384"/>
  </cols>
  <sheetData>
    <row r="1" ht="15.75" customHeight="1" s="344">
      <c r="A1" s="376" t="inlineStr">
        <is>
          <t>TỔNG CÔNG TY ĐIỆN LỰC THÀNH PHỐ HỒ CHÍ MINH TNHH</t>
        </is>
      </c>
      <c r="L1" s="106" t="n"/>
      <c r="M1" s="106" t="inlineStr">
        <is>
          <t>Nợ_giải trừ</t>
        </is>
      </c>
      <c r="N1" s="106" t="inlineStr">
        <is>
          <t>Có_treo</t>
        </is>
      </c>
    </row>
    <row r="2" ht="15.75" customHeight="1" s="344">
      <c r="A2" s="376" t="inlineStr">
        <is>
          <t>CHI NHÁNH TỔNG CÔNG TY ĐIỆN LỰC THÀNH PHỐ HỒ CHÍ MINH TNHH - CÔNG TY ĐIỆN LỰC VŨNG TÀU</t>
        </is>
      </c>
      <c r="L2" s="106" t="inlineStr">
        <is>
          <t>DIEN01</t>
        </is>
      </c>
      <c r="M2" s="503">
        <f>SUMIF($J:$J,$L2,F:F)</f>
        <v/>
      </c>
      <c r="N2" s="503">
        <f>SUMIF($J:$J,$L2,G:G)</f>
        <v/>
      </c>
      <c r="O2" s="504" t="n"/>
    </row>
    <row r="3" ht="18.75" customHeight="1" s="344">
      <c r="A3" s="377" t="inlineStr">
        <is>
          <t>SỔ CHI TIẾT TÀI KHOẢN THEO 3 CẤP ĐỐI TƯỢNG DFF</t>
        </is>
      </c>
      <c r="L3" s="106" t="inlineStr">
        <is>
          <t>CSPK02</t>
        </is>
      </c>
      <c r="M3" s="503">
        <f>SUMIF($J:$J,$L3,F:F)</f>
        <v/>
      </c>
      <c r="N3" s="503">
        <f>SUMIF($J:$J,$L3,G:G)</f>
        <v/>
      </c>
      <c r="O3" s="504" t="n"/>
    </row>
    <row r="4" ht="15.75" customHeight="1" s="344">
      <c r="A4" s="378" t="inlineStr">
        <is>
          <t>Tài khoản 33895 - Phải trả, phải nộp khác – Thuế đầu ra chưa kê khai</t>
        </is>
      </c>
      <c r="L4" s="106" t="n"/>
      <c r="M4" s="505">
        <f>SUM(M2:M3)</f>
        <v/>
      </c>
      <c r="N4" s="506">
        <f>SUM(N2:N3)</f>
        <v/>
      </c>
      <c r="O4" s="504" t="n"/>
    </row>
    <row r="5">
      <c r="A5" s="378" t="inlineStr">
        <is>
          <t>Tất cả loại hình</t>
        </is>
      </c>
      <c r="M5" s="504" t="n"/>
      <c r="N5" s="504" t="n"/>
      <c r="O5" s="504" t="n"/>
    </row>
    <row r="6" ht="15.75" customHeight="1" s="344">
      <c r="A6" s="378" t="inlineStr">
        <is>
          <t>Từ ngày 01/09/2026 đến ngày 30/09/2026</t>
        </is>
      </c>
    </row>
    <row r="7" ht="16.25" customHeight="1" s="344">
      <c r="A7" s="507" t="inlineStr">
        <is>
          <t>Nguồn bút toán</t>
        </is>
      </c>
      <c r="B7" s="507" t="inlineStr">
        <is>
          <t>Chứng từ</t>
        </is>
      </c>
      <c r="C7" s="491" t="n"/>
      <c r="D7" s="492" t="n"/>
      <c r="E7" s="507" t="inlineStr">
        <is>
          <t>Diễn giải</t>
        </is>
      </c>
      <c r="F7" s="507" t="inlineStr">
        <is>
          <t>Số phát sinh Nợ</t>
        </is>
      </c>
      <c r="G7" s="507" t="inlineStr">
        <is>
          <t>Số phát sinh Có</t>
        </is>
      </c>
      <c r="H7" s="168" t="inlineStr">
        <is>
          <t>Người lập</t>
        </is>
      </c>
      <c r="I7" s="507" t="inlineStr">
        <is>
          <t>Trạng Thái</t>
        </is>
      </c>
    </row>
    <row r="8" ht="15.9" customHeight="1" s="344">
      <c r="A8" s="508" t="n"/>
      <c r="B8" s="507" t="inlineStr">
        <is>
          <t>Ngày</t>
        </is>
      </c>
      <c r="C8" s="507" t="inlineStr">
        <is>
          <t>Số CT Phân hệ phụ</t>
        </is>
      </c>
      <c r="D8" s="169" t="inlineStr">
        <is>
          <t>Số CT phân</t>
        </is>
      </c>
      <c r="E8" s="508" t="n"/>
      <c r="F8" s="508" t="n"/>
      <c r="G8" s="508" t="n"/>
      <c r="H8" s="170" t="inlineStr">
        <is>
          <t>Chứng từ</t>
        </is>
      </c>
      <c r="I8" s="508" t="n"/>
    </row>
    <row r="9" ht="15.9" customHeight="1" s="344">
      <c r="A9" s="493" t="n"/>
      <c r="B9" s="493" t="n"/>
      <c r="C9" s="493" t="n"/>
      <c r="D9" s="171" t="inlineStr">
        <is>
          <t>hệ GL</t>
        </is>
      </c>
      <c r="E9" s="493" t="n"/>
      <c r="F9" s="493" t="n"/>
      <c r="G9" s="493" t="n"/>
      <c r="H9" s="172" t="n"/>
      <c r="I9" s="493" t="n"/>
      <c r="K9" s="509" t="n"/>
    </row>
    <row r="10" ht="14" customHeight="1" s="344">
      <c r="A10" s="510" t="inlineStr">
        <is>
          <t xml:space="preserve">33895000000-Phải trả, phải nộp khác – Thuế đầu ra chưa kê khai </t>
        </is>
      </c>
      <c r="B10" s="491" t="n"/>
      <c r="C10" s="491" t="n"/>
      <c r="D10" s="491" t="n"/>
      <c r="E10" s="491" t="n"/>
      <c r="F10" s="491" t="n"/>
      <c r="G10" s="491" t="n"/>
      <c r="H10" s="491" t="n"/>
      <c r="I10" s="492" t="n"/>
    </row>
    <row r="11" ht="14" customHeight="1" s="344">
      <c r="A11" s="314" t="n"/>
      <c r="B11" s="491" t="n"/>
      <c r="C11" s="491" t="n"/>
      <c r="D11" s="491" t="n"/>
      <c r="E11" s="368" t="inlineStr">
        <is>
          <t>Số dư đầu kỳ</t>
        </is>
      </c>
      <c r="F11" s="315" t="n"/>
      <c r="G11" s="272" t="n">
        <v>58961400250</v>
      </c>
      <c r="H11" s="175" t="n"/>
      <c r="I11" s="175" t="n"/>
    </row>
    <row r="12" ht="14" customHeight="1" s="344">
      <c r="A12" s="511" t="inlineStr">
        <is>
          <t xml:space="preserve">  Khác</t>
        </is>
      </c>
      <c r="B12" s="491" t="n"/>
      <c r="C12" s="491" t="n"/>
      <c r="D12" s="491" t="n"/>
      <c r="E12" s="492" t="n"/>
      <c r="F12" s="315" t="n"/>
      <c r="G12" s="272" t="n">
        <v>58961400250</v>
      </c>
      <c r="H12" s="175" t="n"/>
      <c r="I12" s="175" t="n"/>
    </row>
    <row r="13" ht="14" customHeight="1" s="344">
      <c r="A13" s="511" t="inlineStr">
        <is>
          <t xml:space="preserve">          Khác</t>
        </is>
      </c>
      <c r="B13" s="491" t="n"/>
      <c r="C13" s="491" t="n"/>
      <c r="D13" s="491" t="n"/>
      <c r="E13" s="492" t="n"/>
      <c r="F13" s="315" t="n"/>
      <c r="G13" s="272" t="n">
        <v>58961400250</v>
      </c>
      <c r="H13" s="175" t="n"/>
      <c r="I13" s="175" t="n"/>
    </row>
    <row r="14" ht="14" customHeight="1" s="344">
      <c r="A14" s="511" t="inlineStr">
        <is>
          <t xml:space="preserve">                  Khác</t>
        </is>
      </c>
      <c r="B14" s="491" t="n"/>
      <c r="C14" s="491" t="n"/>
      <c r="D14" s="491" t="n"/>
      <c r="E14" s="492" t="n"/>
      <c r="F14" s="315" t="n"/>
      <c r="G14" s="272" t="n">
        <v>58961400250</v>
      </c>
      <c r="H14" s="175" t="n"/>
      <c r="I14" s="175" t="n"/>
    </row>
    <row r="15" ht="15" customHeight="1" s="344">
      <c r="A15" s="19" t="inlineStr">
        <is>
          <t>GL-Manual</t>
        </is>
      </c>
      <c r="B15" s="512" t="n">
        <v>46276</v>
      </c>
      <c r="C15" s="19" t="n"/>
      <c r="D15" s="513" t="n">
        <v>2839</v>
      </c>
      <c r="E15" s="355" t="inlineStr">
        <is>
          <t>082900.000000.000.33895000000.0000.0000.000.000000.0000.0000</t>
        </is>
      </c>
      <c r="F15" s="513" t="n">
        <v>58912650773</v>
      </c>
      <c r="G15" s="166" t="n"/>
      <c r="H15" s="513" t="inlineStr">
        <is>
          <t>QUYENNN.HCM.VTA</t>
        </is>
      </c>
      <c r="I15" s="513" t="inlineStr">
        <is>
          <t>Post</t>
        </is>
      </c>
      <c r="J15" s="103" t="inlineStr">
        <is>
          <t>DIEN01</t>
        </is>
      </c>
      <c r="K15" s="502">
        <f>IF(H15=$K$9,G15,0)</f>
        <v/>
      </c>
    </row>
    <row r="16" ht="15" customHeight="1" s="344">
      <c r="A16" s="493" t="n"/>
      <c r="B16" s="493" t="n"/>
      <c r="C16" s="493" t="n"/>
      <c r="D16" s="493" t="n"/>
      <c r="E16" s="356" t="inlineStr">
        <is>
          <t>DIEN01-Giải trừ thuế GTGT đầu ra từ 33895 sang 333111 AR 2036-31/08/2026</t>
        </is>
      </c>
      <c r="F16" s="493" t="n"/>
      <c r="G16" s="493" t="n"/>
      <c r="H16" s="493" t="n"/>
      <c r="I16" s="493" t="n"/>
      <c r="J16" s="103" t="inlineStr">
        <is>
          <t>DIEN01</t>
        </is>
      </c>
      <c r="K16" s="502">
        <f>IF(H16=$K$9,G16,0)</f>
        <v/>
      </c>
    </row>
    <row r="17" ht="15" customHeight="1" s="344">
      <c r="A17" s="19" t="inlineStr">
        <is>
          <t>GL-Manual</t>
        </is>
      </c>
      <c r="B17" s="512" t="n">
        <v>46276</v>
      </c>
      <c r="C17" s="19" t="n"/>
      <c r="D17" s="513" t="n">
        <v>2839</v>
      </c>
      <c r="E17" s="355" t="inlineStr">
        <is>
          <t>082900.000000.000.33895000000.0000.0000.000.000000.0000.0000</t>
        </is>
      </c>
      <c r="F17" s="513" t="n"/>
      <c r="G17" s="166" t="n"/>
      <c r="H17" s="513" t="inlineStr">
        <is>
          <t>QUYENNN.HCM.VTA</t>
        </is>
      </c>
      <c r="I17" s="513" t="inlineStr">
        <is>
          <t>Post</t>
        </is>
      </c>
      <c r="J17" s="103" t="inlineStr">
        <is>
          <t>DIEN00</t>
        </is>
      </c>
      <c r="K17" s="502">
        <f>IF(H17=$K$9,G17,0)</f>
        <v/>
      </c>
    </row>
    <row r="18" ht="15" customHeight="1" s="344">
      <c r="A18" s="493" t="n"/>
      <c r="B18" s="493" t="n"/>
      <c r="C18" s="493" t="n"/>
      <c r="D18" s="493" t="n"/>
      <c r="E18" s="356" t="inlineStr">
        <is>
          <t>DIEN00-Giải trừ thuế GTGT đầu ra từ 33895 sang 333111 AR 2037-31/08/2026</t>
        </is>
      </c>
      <c r="F18" s="493" t="n"/>
      <c r="G18" s="493" t="n"/>
      <c r="H18" s="493" t="n"/>
      <c r="I18" s="493" t="n"/>
      <c r="J18" s="103" t="inlineStr">
        <is>
          <t>DIEN00</t>
        </is>
      </c>
      <c r="K18" s="502">
        <f>IF(H18=$K$9,G18,0)</f>
        <v/>
      </c>
    </row>
    <row r="19" ht="15" customHeight="1" s="344">
      <c r="A19" s="19" t="inlineStr">
        <is>
          <t>GL-Manual</t>
        </is>
      </c>
      <c r="B19" s="512" t="n">
        <v>46276</v>
      </c>
      <c r="C19" s="19" t="n"/>
      <c r="D19" s="513" t="n">
        <v>2839</v>
      </c>
      <c r="E19" s="355" t="inlineStr">
        <is>
          <t>082900.000000.000.33895000000.0000.0000.000.000000.0000.0000</t>
        </is>
      </c>
      <c r="F19" s="166" t="n">
        <v>48749477</v>
      </c>
      <c r="G19" s="166" t="n"/>
      <c r="H19" s="513" t="inlineStr">
        <is>
          <t>QUYENNN.HCM.VTA</t>
        </is>
      </c>
      <c r="I19" s="513" t="inlineStr">
        <is>
          <t>Post</t>
        </is>
      </c>
      <c r="J19" s="103" t="inlineStr">
        <is>
          <t>CSPK02</t>
        </is>
      </c>
      <c r="K19" s="502">
        <f>IF(H19=$K$9,G19,0)</f>
        <v/>
      </c>
    </row>
    <row r="20" ht="15" customHeight="1" s="344">
      <c r="A20" s="493" t="n"/>
      <c r="B20" s="493" t="n"/>
      <c r="C20" s="493" t="n"/>
      <c r="D20" s="493" t="n"/>
      <c r="E20" s="356" t="inlineStr">
        <is>
          <t>CSPK02-Giải trừ thuế GTGT đầu ra từ 33895 sang 333111 AR 2038-31/08/2026</t>
        </is>
      </c>
      <c r="F20" s="493" t="n"/>
      <c r="G20" s="493" t="n"/>
      <c r="H20" s="493" t="n"/>
      <c r="I20" s="493" t="n"/>
      <c r="J20" s="103" t="inlineStr">
        <is>
          <t>CSPK02</t>
        </is>
      </c>
      <c r="K20" s="502">
        <f>IF(H20=$K$9,G20,0)</f>
        <v/>
      </c>
    </row>
    <row r="21" ht="15" customHeight="1" s="344">
      <c r="A21" s="19" t="inlineStr">
        <is>
          <t>AR-Transaction</t>
        </is>
      </c>
      <c r="B21" s="512" t="n">
        <v>46295</v>
      </c>
      <c r="C21" s="513" t="n">
        <v>2177</v>
      </c>
      <c r="D21" s="19" t="n"/>
      <c r="E21" s="355" t="inlineStr">
        <is>
          <t>082900.000000.000.33895000000.0000.0000.000.000000.0000.0000</t>
        </is>
      </c>
      <c r="F21" s="166" t="n"/>
      <c r="G21" s="513" t="n">
        <v>54304559408</v>
      </c>
      <c r="H21" s="513" t="inlineStr">
        <is>
          <t>QUYENNN.HCM.VTA</t>
        </is>
      </c>
      <c r="I21" s="513" t="inlineStr">
        <is>
          <t>Final Post GL</t>
        </is>
      </c>
      <c r="J21" s="103" t="inlineStr">
        <is>
          <t>DIEN01</t>
        </is>
      </c>
      <c r="K21" s="502">
        <f>IF(H21=$K$9,G21,0)</f>
        <v/>
      </c>
    </row>
    <row r="22" ht="45.75" customHeight="1" s="344">
      <c r="A22" s="493" t="n"/>
      <c r="B22" s="493" t="n"/>
      <c r="C22" s="493" t="n"/>
      <c r="D22" s="493" t="n"/>
      <c r="E22" s="356" t="inlineStr">
        <is>
          <t>DIEN01-DOANH THU HÓA ĐƠN TIỀN ĐIỆN PHÁT SINH T09/2026</t>
        </is>
      </c>
      <c r="F22" s="493" t="n"/>
      <c r="G22" s="493" t="n"/>
      <c r="H22" s="493" t="n"/>
      <c r="I22" s="493" t="n"/>
      <c r="J22" s="103" t="inlineStr">
        <is>
          <t>DIEN01</t>
        </is>
      </c>
      <c r="K22" s="502">
        <f>IF(H22=$K$9,G22,0)</f>
        <v/>
      </c>
    </row>
    <row r="23" ht="15" customHeight="1" s="344">
      <c r="A23" s="19" t="inlineStr">
        <is>
          <t>AR-Transaction</t>
        </is>
      </c>
      <c r="B23" s="512" t="n">
        <v>46295</v>
      </c>
      <c r="C23" s="513" t="n">
        <v>2201</v>
      </c>
      <c r="D23" s="19" t="n"/>
      <c r="E23" s="355" t="inlineStr">
        <is>
          <t>082900.000000.000.33895000000.0000.0000.000.000000.0000.0000</t>
        </is>
      </c>
      <c r="F23" s="166" t="n"/>
      <c r="G23" s="166" t="n">
        <v>44497199</v>
      </c>
      <c r="H23" s="513" t="inlineStr">
        <is>
          <t>QUYENNN.HCM.VTA</t>
        </is>
      </c>
      <c r="I23" s="513" t="inlineStr">
        <is>
          <t>Final Post GL</t>
        </is>
      </c>
      <c r="J23" s="103" t="inlineStr">
        <is>
          <t>CSPK02</t>
        </is>
      </c>
      <c r="K23" s="502">
        <f>IF(H23=$K$9,G23,0)</f>
        <v/>
      </c>
    </row>
    <row r="24" ht="15" customHeight="1" s="344">
      <c r="A24" s="493" t="n"/>
      <c r="B24" s="493" t="n"/>
      <c r="C24" s="493" t="n"/>
      <c r="D24" s="493" t="n"/>
      <c r="E24" s="356" t="inlineStr">
        <is>
          <t>CSPK02-DOANH THU HÓA ĐƠN TIỀN VÔ CÔNG PHÁT SINH T09/2026</t>
        </is>
      </c>
      <c r="F24" s="493" t="n"/>
      <c r="G24" s="493" t="n"/>
      <c r="H24" s="493" t="n"/>
      <c r="I24" s="493" t="n"/>
      <c r="J24" s="103" t="inlineStr">
        <is>
          <t>CSPK02</t>
        </is>
      </c>
      <c r="K24" s="502">
        <f>IF(H24=$K$9,G24,0)</f>
        <v/>
      </c>
    </row>
    <row r="25" ht="15" customHeight="1" s="344">
      <c r="A25" s="19" t="inlineStr">
        <is>
          <t>AR-Transaction</t>
        </is>
      </c>
      <c r="B25" s="512" t="n">
        <v>46295</v>
      </c>
      <c r="C25" s="513" t="n">
        <v>2178</v>
      </c>
      <c r="D25" s="19" t="n"/>
      <c r="E25" s="355" t="inlineStr">
        <is>
          <t>082900.000000.000.33895000000.0000.0000.000.000000.0000.0000</t>
        </is>
      </c>
      <c r="F25" s="166" t="n"/>
      <c r="G25" s="513" t="n"/>
      <c r="H25" s="513" t="inlineStr">
        <is>
          <t>QUYENNN.HCM.VTA</t>
        </is>
      </c>
      <c r="I25" s="513" t="inlineStr">
        <is>
          <t>Final Post GL</t>
        </is>
      </c>
      <c r="J25" s="103" t="inlineStr">
        <is>
          <t>DIEN00</t>
        </is>
      </c>
      <c r="K25" s="502">
        <f>IF(H25=$K$9,G25,0)</f>
        <v/>
      </c>
    </row>
    <row r="26" ht="47.25" customHeight="1" s="344">
      <c r="A26" s="493" t="n"/>
      <c r="B26" s="493" t="n"/>
      <c r="C26" s="493" t="n"/>
      <c r="D26" s="493" t="n"/>
      <c r="E26" s="356" t="inlineStr">
        <is>
          <t>DIEN00-DOANH THU HÓA ĐƠN TIỀN ĐIỆN PHÁT SINH-CT TNHH NHÔM TOÀN CẦU VIỆT NAM KỲ 3/9/2026</t>
        </is>
      </c>
      <c r="F26" s="493" t="n"/>
      <c r="G26" s="493" t="n"/>
      <c r="H26" s="493" t="n"/>
      <c r="I26" s="493" t="n"/>
      <c r="J26" s="103" t="inlineStr">
        <is>
          <t>DIEN00</t>
        </is>
      </c>
      <c r="K26" s="502">
        <f>IF(H26=$K$9,G26,0)</f>
        <v/>
      </c>
    </row>
    <row r="27" ht="15" customHeight="1" s="344">
      <c r="A27" s="198" t="n"/>
      <c r="B27" s="514" t="inlineStr">
        <is>
          <t>Cộng phát sinh – cấp 3</t>
        </is>
      </c>
      <c r="C27" s="491" t="n"/>
      <c r="D27" s="491" t="n"/>
      <c r="E27" s="492" t="n"/>
      <c r="F27" s="272" t="n">
        <v>58961400250</v>
      </c>
      <c r="G27" s="272" t="n">
        <v>54349056607</v>
      </c>
      <c r="H27" s="315" t="n"/>
      <c r="I27" s="175" t="n"/>
      <c r="J27" s="103" t="n"/>
      <c r="K27" s="502" t="n"/>
    </row>
    <row r="28" ht="15" customHeight="1" s="344">
      <c r="A28" s="166" t="n"/>
      <c r="B28" s="515" t="inlineStr">
        <is>
          <t>Dư cuối kỳ</t>
        </is>
      </c>
      <c r="C28" s="491" t="n"/>
      <c r="D28" s="491" t="n"/>
      <c r="E28" s="492" t="n"/>
      <c r="F28" s="315" t="n"/>
      <c r="G28" s="272" t="n">
        <v>54349056607</v>
      </c>
      <c r="H28" s="175" t="n"/>
      <c r="I28" s="175" t="n"/>
      <c r="J28" s="103" t="n"/>
      <c r="K28" s="502" t="n"/>
    </row>
    <row r="29" ht="15" customHeight="1" s="344">
      <c r="A29" s="166" t="n"/>
      <c r="B29" s="515" t="inlineStr">
        <is>
          <t>Cộng phát sinh – cấp 2</t>
        </is>
      </c>
      <c r="C29" s="491" t="n"/>
      <c r="D29" s="491" t="n"/>
      <c r="E29" s="492" t="n"/>
      <c r="F29" s="272" t="n">
        <v>58961400250</v>
      </c>
      <c r="G29" s="272" t="n">
        <v>54349056607</v>
      </c>
      <c r="H29" s="175" t="n"/>
      <c r="I29" s="175" t="n"/>
      <c r="J29" s="103" t="n"/>
      <c r="K29" s="502" t="n"/>
    </row>
    <row r="30" ht="15" customHeight="1" s="344">
      <c r="A30" s="166" t="n"/>
      <c r="B30" s="515" t="inlineStr">
        <is>
          <t xml:space="preserve">Dư cuối kỳ </t>
        </is>
      </c>
      <c r="C30" s="491" t="n"/>
      <c r="D30" s="491" t="n"/>
      <c r="E30" s="492" t="n"/>
      <c r="F30" s="315" t="n"/>
      <c r="G30" s="272" t="n">
        <v>54349056607</v>
      </c>
      <c r="H30" s="175" t="n"/>
      <c r="I30" s="175" t="n"/>
      <c r="J30" s="103" t="n"/>
      <c r="K30" s="502" t="n"/>
    </row>
    <row r="31" ht="15" customHeight="1" s="344">
      <c r="A31" s="166" t="n"/>
      <c r="B31" s="515" t="inlineStr">
        <is>
          <t>Cộng phát sinh – cấp 1</t>
        </is>
      </c>
      <c r="C31" s="491" t="n"/>
      <c r="D31" s="491" t="n"/>
      <c r="E31" s="492" t="n"/>
      <c r="F31" s="272" t="n">
        <v>58961400250</v>
      </c>
      <c r="G31" s="272" t="n">
        <v>54349056607</v>
      </c>
      <c r="H31" s="175" t="n"/>
      <c r="I31" s="175" t="n"/>
      <c r="J31" s="103" t="n"/>
      <c r="K31" s="502" t="n"/>
    </row>
    <row r="32" ht="15" customHeight="1" s="344">
      <c r="A32" s="166" t="n"/>
      <c r="B32" s="515" t="inlineStr">
        <is>
          <t>Dư cuối kỳ</t>
        </is>
      </c>
      <c r="C32" s="491" t="n"/>
      <c r="D32" s="491" t="n"/>
      <c r="E32" s="492" t="n"/>
      <c r="F32" s="315" t="n"/>
      <c r="G32" s="272" t="n">
        <v>54349056607</v>
      </c>
      <c r="H32" s="175" t="n"/>
      <c r="I32" s="175" t="n"/>
      <c r="J32" s="103" t="n"/>
      <c r="K32" s="502" t="n"/>
    </row>
    <row r="33" ht="15" customHeight="1" s="344">
      <c r="A33" s="166" t="n"/>
      <c r="B33" s="515" t="inlineStr">
        <is>
          <t>Cộng phát sinh-33895000000</t>
        </is>
      </c>
      <c r="C33" s="491" t="n"/>
      <c r="D33" s="491" t="n"/>
      <c r="E33" s="492" t="n"/>
      <c r="F33" s="272" t="n">
        <v>58961400250</v>
      </c>
      <c r="G33" s="272" t="n">
        <v>54349056607</v>
      </c>
      <c r="H33" s="175" t="n"/>
      <c r="I33" s="175" t="n"/>
      <c r="J33" s="103" t="n"/>
      <c r="K33" s="502" t="n"/>
    </row>
    <row r="34" ht="15" customHeight="1" s="344">
      <c r="A34" s="166" t="n"/>
      <c r="B34" s="515" t="inlineStr">
        <is>
          <t xml:space="preserve">Dư cuối kỳ- </t>
        </is>
      </c>
      <c r="C34" s="491" t="n"/>
      <c r="D34" s="491" t="n"/>
      <c r="E34" s="492" t="n"/>
      <c r="F34" s="315" t="n"/>
      <c r="G34" s="272" t="n">
        <v>54349056607</v>
      </c>
      <c r="H34" s="175" t="n"/>
      <c r="I34" s="175" t="n"/>
      <c r="J34" s="103" t="n"/>
      <c r="K34" s="502" t="n"/>
    </row>
    <row r="35" ht="15" customHeight="1" s="344">
      <c r="A35" s="166" t="n"/>
      <c r="B35" s="515" t="inlineStr">
        <is>
          <t>Tổng Dư đầu kỳ - 33895000000</t>
        </is>
      </c>
      <c r="C35" s="491" t="n"/>
      <c r="D35" s="491" t="n"/>
      <c r="E35" s="492" t="n"/>
      <c r="F35" s="315" t="n"/>
      <c r="G35" s="272" t="n">
        <v>58961400250</v>
      </c>
      <c r="H35" s="175" t="n"/>
      <c r="I35" s="175" t="n"/>
      <c r="J35" s="103" t="n"/>
      <c r="K35" s="502" t="n"/>
    </row>
    <row r="36" ht="15" customHeight="1" s="344">
      <c r="A36" s="166" t="n"/>
      <c r="B36" s="515" t="inlineStr">
        <is>
          <t>Tổng Cộng phát sinh</t>
        </is>
      </c>
      <c r="C36" s="491" t="n"/>
      <c r="D36" s="491" t="n"/>
      <c r="E36" s="492" t="n"/>
      <c r="F36" s="272" t="n">
        <v>58961400250</v>
      </c>
      <c r="G36" s="272" t="n">
        <v>54349056607</v>
      </c>
      <c r="H36" s="175" t="n"/>
      <c r="I36" s="175" t="n"/>
      <c r="J36" s="103" t="n"/>
      <c r="K36" s="502" t="n"/>
    </row>
    <row r="37" ht="16.25" customHeight="1" s="344">
      <c r="A37" s="166" t="n"/>
      <c r="B37" s="515" t="inlineStr">
        <is>
          <t>Tổng Dư cuối kỳ</t>
        </is>
      </c>
      <c r="C37" s="491" t="n"/>
      <c r="D37" s="491" t="n"/>
      <c r="E37" s="492" t="n"/>
      <c r="F37" s="315" t="n"/>
      <c r="G37" s="272" t="n">
        <v>54349056607</v>
      </c>
      <c r="H37" s="175" t="n"/>
      <c r="I37" s="175" t="n"/>
      <c r="J37" s="103" t="n"/>
      <c r="K37" s="502" t="n"/>
    </row>
    <row r="38" ht="18.9" customHeight="1" s="344">
      <c r="A38" s="176" t="n"/>
      <c r="B38" s="321" t="n"/>
      <c r="C38" s="177" t="inlineStr">
        <is>
          <t>Người lập biểu</t>
        </is>
      </c>
      <c r="D38" s="177" t="inlineStr">
        <is>
          <t>Kế toán trưởng</t>
        </is>
      </c>
      <c r="E38" s="176" t="n"/>
      <c r="J38" s="103" t="n"/>
      <c r="K38" s="502" t="n"/>
    </row>
    <row r="39" ht="16.25" customHeight="1" s="344">
      <c r="A39" s="176" t="n"/>
      <c r="B39" s="321" t="n"/>
      <c r="C39" s="330" t="inlineStr">
        <is>
          <t>(Ký, họ tên)</t>
        </is>
      </c>
      <c r="D39" s="330" t="inlineStr">
        <is>
          <t>(Ký, họ tên)</t>
        </is>
      </c>
      <c r="E39" s="176" t="n"/>
      <c r="J39" s="103" t="n"/>
      <c r="K39" s="502" t="n"/>
    </row>
    <row r="40" ht="16.25" customHeight="1" s="344">
      <c r="A40" s="176" t="n"/>
      <c r="B40" s="321" t="n"/>
      <c r="C40" s="321" t="n"/>
      <c r="D40" s="321" t="n"/>
      <c r="E40" s="176" t="n"/>
      <c r="J40" s="103" t="n"/>
      <c r="K40" s="502" t="n"/>
    </row>
    <row r="41" ht="16.25" customHeight="1" s="344">
      <c r="A41" s="176" t="n"/>
      <c r="B41" s="321" t="n"/>
      <c r="C41" s="321" t="n"/>
      <c r="D41" s="321" t="n"/>
      <c r="E41" s="176" t="n"/>
      <c r="J41" s="103" t="n"/>
      <c r="K41" s="502" t="n"/>
    </row>
    <row r="42" ht="16.25" customHeight="1" s="344">
      <c r="A42" s="176" t="n"/>
      <c r="B42" s="321" t="n"/>
      <c r="C42" s="321" t="n"/>
      <c r="D42" s="321" t="n"/>
      <c r="E42" s="176" t="n"/>
      <c r="J42" s="103" t="n"/>
      <c r="K42" s="502" t="n"/>
    </row>
    <row r="43" ht="14" customHeight="1" s="344">
      <c r="A43" s="176" t="n"/>
      <c r="B43" s="321" t="n"/>
      <c r="C43" s="321" t="n"/>
      <c r="D43" s="321" t="n"/>
      <c r="E43" s="176" t="n"/>
      <c r="J43" s="103" t="n"/>
      <c r="K43" s="502" t="n"/>
    </row>
    <row r="44" ht="14" customHeight="1" s="344">
      <c r="A44" s="176" t="n"/>
      <c r="B44" s="321" t="n"/>
      <c r="C44" s="321" t="n"/>
      <c r="D44" s="321" t="n"/>
      <c r="E44" s="176" t="n"/>
      <c r="J44" s="103" t="n"/>
      <c r="K44" s="502" t="n"/>
    </row>
    <row r="45" ht="14" customHeight="1" s="344">
      <c r="J45" s="103" t="n"/>
      <c r="K45" s="502" t="n"/>
    </row>
    <row r="46" ht="15" customHeight="1" s="344">
      <c r="J46" s="103" t="n"/>
      <c r="K46" s="502" t="n"/>
    </row>
    <row r="47" ht="15" customHeight="1" s="344">
      <c r="J47" s="103" t="n"/>
      <c r="K47" s="502" t="n"/>
    </row>
    <row r="48" ht="15" customHeight="1" s="344">
      <c r="J48" s="103" t="n"/>
      <c r="K48" s="502" t="n"/>
    </row>
    <row r="49" ht="15" customHeight="1" s="344">
      <c r="J49" s="103" t="n"/>
      <c r="K49" s="502" t="n"/>
    </row>
    <row r="50" ht="15" customHeight="1" s="344">
      <c r="J50" s="103" t="n"/>
      <c r="K50" s="502" t="n"/>
    </row>
    <row r="51" ht="15" customHeight="1" s="344">
      <c r="J51" s="103" t="n"/>
      <c r="K51" s="502" t="n"/>
    </row>
    <row r="52" ht="16.25" customHeight="1" s="344">
      <c r="J52" s="103" t="n"/>
      <c r="K52" s="502" t="n"/>
    </row>
    <row r="53" ht="18.9" customHeight="1" s="344">
      <c r="J53" s="103" t="n"/>
      <c r="K53" s="502" t="n"/>
    </row>
    <row r="54" ht="16.25" customHeight="1" s="344">
      <c r="J54" s="103" t="n"/>
      <c r="K54" s="502" t="n"/>
    </row>
    <row r="55" ht="16.25" customHeight="1" s="344">
      <c r="J55" s="103" t="n"/>
      <c r="K55" s="502" t="n"/>
    </row>
    <row r="56" ht="16.25" customHeight="1" s="344">
      <c r="J56" s="103" t="n"/>
      <c r="K56" s="502" t="n"/>
    </row>
    <row r="57" ht="16.25" customHeight="1" s="344">
      <c r="J57" s="103" t="n"/>
      <c r="K57" s="502" t="n"/>
    </row>
    <row r="58" ht="14" customHeight="1" s="344">
      <c r="J58" s="103" t="n"/>
      <c r="K58" s="502" t="n"/>
    </row>
    <row r="59" ht="14" customHeight="1" s="344">
      <c r="J59" s="103" t="n"/>
      <c r="K59" s="502" t="n"/>
    </row>
    <row r="60" ht="14" customHeight="1" s="344">
      <c r="J60" s="103" t="n"/>
      <c r="K60" s="502" t="n"/>
    </row>
    <row r="61" ht="15" customHeight="1" s="344">
      <c r="J61" s="103" t="n"/>
      <c r="K61" s="502" t="n"/>
    </row>
    <row r="62" ht="15" customHeight="1" s="344">
      <c r="J62" s="103" t="n"/>
      <c r="K62" s="502" t="n"/>
    </row>
    <row r="63" ht="15" customHeight="1" s="344">
      <c r="J63" s="103" t="n"/>
      <c r="K63" s="502" t="n"/>
    </row>
    <row r="64" ht="15" customHeight="1" s="344">
      <c r="J64" s="103" t="n"/>
      <c r="K64" s="502" t="n"/>
    </row>
    <row r="65" ht="15" customHeight="1" s="344">
      <c r="J65" s="103" t="n"/>
      <c r="K65" s="502" t="n"/>
    </row>
    <row r="66" ht="15" customHeight="1" s="344">
      <c r="J66" s="103" t="n"/>
      <c r="K66" s="502" t="n"/>
    </row>
    <row r="67" ht="15" customHeight="1" s="344">
      <c r="J67" s="103" t="n"/>
      <c r="K67" s="502" t="n"/>
    </row>
    <row r="68" ht="15" customHeight="1" s="344">
      <c r="J68" s="103" t="n"/>
      <c r="K68" s="502" t="n"/>
    </row>
    <row r="69" ht="15" customHeight="1" s="344">
      <c r="J69" s="103" t="n"/>
      <c r="K69" s="502" t="n"/>
    </row>
    <row r="70" ht="15" customHeight="1" s="344">
      <c r="J70" s="103" t="n"/>
      <c r="K70" s="502" t="n"/>
    </row>
    <row r="71" ht="15" customHeight="1" s="344">
      <c r="J71" s="103" t="n"/>
      <c r="K71" s="502" t="n"/>
    </row>
    <row r="72" ht="15" customHeight="1" s="344">
      <c r="J72" s="103" t="n"/>
      <c r="K72" s="502" t="n"/>
    </row>
    <row r="73" ht="15" customHeight="1" s="344">
      <c r="J73" s="103" t="n"/>
      <c r="K73" s="502" t="n"/>
    </row>
    <row r="74" ht="15" customHeight="1" s="344">
      <c r="J74" s="103" t="n"/>
      <c r="K74" s="502" t="n"/>
    </row>
    <row r="75" ht="15" customHeight="1" s="344">
      <c r="J75" s="103" t="n"/>
      <c r="K75" s="502" t="n"/>
    </row>
    <row r="76" ht="15" customHeight="1" s="344">
      <c r="J76" s="103" t="n"/>
      <c r="K76" s="502" t="n"/>
    </row>
    <row r="77" ht="15" customHeight="1" s="344">
      <c r="J77" s="103" t="n"/>
      <c r="K77" s="502" t="n"/>
    </row>
    <row r="78" ht="15" customHeight="1" s="344">
      <c r="J78" s="103" t="n"/>
      <c r="K78" s="502" t="n"/>
    </row>
    <row r="79" ht="15" customHeight="1" s="344">
      <c r="J79" s="103" t="n"/>
      <c r="K79" s="502" t="n"/>
    </row>
    <row r="80" ht="15" customHeight="1" s="344">
      <c r="J80" s="103" t="n"/>
      <c r="K80" s="502" t="n"/>
    </row>
    <row r="81" ht="15" customHeight="1" s="344">
      <c r="J81" s="103" t="n"/>
      <c r="K81" s="502" t="n"/>
    </row>
    <row r="82" ht="15" customHeight="1" s="344">
      <c r="J82" s="103" t="n"/>
      <c r="K82" s="502" t="n"/>
    </row>
    <row r="83" ht="15" customHeight="1" s="344">
      <c r="J83" s="103" t="n"/>
      <c r="K83" s="502" t="n"/>
    </row>
    <row r="84" ht="15" customHeight="1" s="344">
      <c r="J84" s="103" t="n"/>
      <c r="K84" s="502" t="n"/>
    </row>
    <row r="85" ht="15" customHeight="1" s="344">
      <c r="J85" s="103" t="n"/>
      <c r="K85" s="502" t="n"/>
    </row>
    <row r="86" ht="15" customHeight="1" s="344">
      <c r="J86" s="103" t="n"/>
      <c r="K86" s="502" t="n"/>
    </row>
    <row r="87" ht="15" customHeight="1" s="344">
      <c r="J87" s="103" t="n"/>
      <c r="K87" s="502" t="n"/>
    </row>
    <row r="88" ht="15" customHeight="1" s="344">
      <c r="J88" s="103" t="n"/>
      <c r="K88" s="502" t="n"/>
    </row>
    <row r="89" ht="15" customHeight="1" s="344">
      <c r="J89" s="103" t="n"/>
      <c r="K89" s="502" t="n"/>
    </row>
    <row r="90" ht="15" customHeight="1" s="344">
      <c r="J90" s="103" t="n"/>
      <c r="K90" s="502" t="n"/>
    </row>
    <row r="91" ht="15" customHeight="1" s="344">
      <c r="J91" s="103" t="n"/>
      <c r="K91" s="502" t="n"/>
    </row>
    <row r="92" ht="15" customHeight="1" s="344">
      <c r="J92" s="103" t="n"/>
      <c r="K92" s="502" t="n"/>
    </row>
    <row r="93" ht="15" customHeight="1" s="344">
      <c r="J93" s="103" t="n"/>
      <c r="K93" s="502" t="n"/>
    </row>
    <row r="94" ht="15" customHeight="1" s="344">
      <c r="J94" s="103" t="n"/>
      <c r="K94" s="502" t="n"/>
    </row>
    <row r="95" ht="15" customHeight="1" s="344">
      <c r="J95" s="103" t="n"/>
      <c r="K95" s="502" t="n"/>
    </row>
    <row r="96" ht="15" customHeight="1" s="344">
      <c r="J96" s="103" t="n"/>
      <c r="K96" s="502" t="n"/>
    </row>
    <row r="97" ht="15" customHeight="1" s="344">
      <c r="J97" s="103" t="n"/>
      <c r="K97" s="502" t="n"/>
    </row>
    <row r="98" ht="15" customHeight="1" s="344">
      <c r="J98" s="103" t="n"/>
      <c r="K98" s="502" t="n"/>
    </row>
    <row r="99" ht="15" customHeight="1" s="344">
      <c r="J99" s="103" t="n"/>
      <c r="K99" s="502" t="n"/>
    </row>
    <row r="100" ht="15" customHeight="1" s="344">
      <c r="J100" s="103" t="n"/>
      <c r="K100" s="502" t="n"/>
    </row>
    <row r="101" ht="16.25" customHeight="1" s="344">
      <c r="J101" s="103" t="n"/>
      <c r="K101" s="502" t="n"/>
    </row>
    <row r="102" ht="18.9" customHeight="1" s="344">
      <c r="J102" s="103" t="n"/>
      <c r="K102" s="502" t="n"/>
    </row>
    <row r="103" ht="16.25" customHeight="1" s="344">
      <c r="J103" s="103" t="n"/>
      <c r="K103" s="502" t="n"/>
    </row>
    <row r="104" ht="16.25" customHeight="1" s="344">
      <c r="J104" s="103" t="n"/>
      <c r="K104" s="502" t="n"/>
    </row>
    <row r="105" ht="16.25" customHeight="1" s="344">
      <c r="J105" s="103" t="n"/>
      <c r="K105" s="502" t="n"/>
    </row>
    <row r="106" ht="16.25" customHeight="1" s="344">
      <c r="J106" s="103" t="n"/>
      <c r="K106" s="502" t="n"/>
    </row>
    <row r="107" ht="16.25" customHeight="1" s="344">
      <c r="J107" s="103" t="n"/>
      <c r="K107" s="502" t="n"/>
    </row>
    <row r="108" ht="17.4" customHeight="1" s="344">
      <c r="J108" s="103" t="n"/>
      <c r="K108" s="502" t="n"/>
    </row>
    <row r="109" ht="16.25" customHeight="1" s="344">
      <c r="J109" s="103" t="n"/>
      <c r="K109" s="502" t="n"/>
    </row>
    <row r="110" ht="16.25" customHeight="1" s="344">
      <c r="J110" s="103" t="n"/>
      <c r="K110" s="502" t="n"/>
    </row>
    <row r="111" ht="16.25" customHeight="1" s="344">
      <c r="J111" s="103" t="n"/>
      <c r="K111" s="502" t="n"/>
    </row>
    <row r="112" ht="23.75" customHeight="1" s="344">
      <c r="J112" s="103" t="n"/>
      <c r="K112" s="502" t="n"/>
    </row>
    <row r="113" ht="23.75" customHeight="1" s="344">
      <c r="J113" s="103" t="n"/>
      <c r="K113" s="502" t="n"/>
    </row>
    <row r="114" ht="26.15" customHeight="1" s="344">
      <c r="J114" s="103" t="n"/>
      <c r="K114" s="502" t="n"/>
    </row>
    <row r="115" ht="26.15" customHeight="1" s="344">
      <c r="J115" s="103" t="n"/>
      <c r="K115" s="502" t="n"/>
    </row>
    <row r="116" ht="26.15" customHeight="1" s="344">
      <c r="J116" s="103" t="n"/>
      <c r="K116" s="502" t="n"/>
    </row>
    <row r="117" ht="26.15" customHeight="1" s="344">
      <c r="J117" s="103" t="n"/>
      <c r="K117" s="502" t="n"/>
    </row>
    <row r="118" ht="26.15" customHeight="1" s="344">
      <c r="J118" s="103" t="n"/>
      <c r="K118" s="502" t="n"/>
    </row>
    <row r="119">
      <c r="J119" s="103" t="n"/>
      <c r="K119" s="502" t="n"/>
    </row>
    <row r="120">
      <c r="J120" s="103" t="n"/>
      <c r="K120" s="502" t="n"/>
    </row>
    <row r="121">
      <c r="J121" s="103" t="n"/>
      <c r="K121" s="502" t="n"/>
    </row>
    <row r="122">
      <c r="J122" s="103" t="n"/>
      <c r="K122" s="502" t="n"/>
    </row>
    <row r="123">
      <c r="J123" s="103" t="n"/>
      <c r="K123" s="502" t="n"/>
    </row>
    <row r="124">
      <c r="J124" s="103" t="n"/>
    </row>
  </sheetData>
  <mergeCells count="78">
    <mergeCell ref="D21:D22"/>
    <mergeCell ref="B36:E36"/>
    <mergeCell ref="B23:B24"/>
    <mergeCell ref="A2:I2"/>
    <mergeCell ref="E7:E9"/>
    <mergeCell ref="I17:I18"/>
    <mergeCell ref="B15:B16"/>
    <mergeCell ref="D15:D16"/>
    <mergeCell ref="B31:E31"/>
    <mergeCell ref="H15:H16"/>
    <mergeCell ref="G21:G22"/>
    <mergeCell ref="B25:B26"/>
    <mergeCell ref="I15:I16"/>
    <mergeCell ref="H23:H24"/>
    <mergeCell ref="G23:G24"/>
    <mergeCell ref="B17:B18"/>
    <mergeCell ref="D17:D18"/>
    <mergeCell ref="B33:E33"/>
    <mergeCell ref="B32:E32"/>
    <mergeCell ref="B35:E35"/>
    <mergeCell ref="H17:H18"/>
    <mergeCell ref="A11:D11"/>
    <mergeCell ref="H19:H20"/>
    <mergeCell ref="A21:A22"/>
    <mergeCell ref="A12:E12"/>
    <mergeCell ref="B27:E27"/>
    <mergeCell ref="C8:C9"/>
    <mergeCell ref="A10:I10"/>
    <mergeCell ref="A17:A18"/>
    <mergeCell ref="C17:C18"/>
    <mergeCell ref="D25:D26"/>
    <mergeCell ref="A23:A24"/>
    <mergeCell ref="A14:E14"/>
    <mergeCell ref="G25:G26"/>
    <mergeCell ref="I19:I20"/>
    <mergeCell ref="A19:A20"/>
    <mergeCell ref="C19:C20"/>
    <mergeCell ref="A7:A9"/>
    <mergeCell ref="A1:I1"/>
    <mergeCell ref="B29:E29"/>
    <mergeCell ref="D23:D24"/>
    <mergeCell ref="B37:E37"/>
    <mergeCell ref="B8:B9"/>
    <mergeCell ref="A3:I3"/>
    <mergeCell ref="F21:F22"/>
    <mergeCell ref="A5:I5"/>
    <mergeCell ref="F17:F18"/>
    <mergeCell ref="C21:C22"/>
    <mergeCell ref="G15:G16"/>
    <mergeCell ref="F23:F24"/>
    <mergeCell ref="A4:I4"/>
    <mergeCell ref="C23:C24"/>
    <mergeCell ref="F7:F9"/>
    <mergeCell ref="I23:I24"/>
    <mergeCell ref="G7:G9"/>
    <mergeCell ref="I7:I9"/>
    <mergeCell ref="A6:I6"/>
    <mergeCell ref="A13:E13"/>
    <mergeCell ref="B34:E34"/>
    <mergeCell ref="B28:E28"/>
    <mergeCell ref="B21:B22"/>
    <mergeCell ref="F15:F16"/>
    <mergeCell ref="G17:G18"/>
    <mergeCell ref="F25:F26"/>
    <mergeCell ref="B30:E30"/>
    <mergeCell ref="H21:H22"/>
    <mergeCell ref="G19:G20"/>
    <mergeCell ref="I25:I26"/>
    <mergeCell ref="A25:A26"/>
    <mergeCell ref="C25:C26"/>
    <mergeCell ref="I21:I22"/>
    <mergeCell ref="B19:B20"/>
    <mergeCell ref="B7:D7"/>
    <mergeCell ref="D19:D20"/>
    <mergeCell ref="F19:F20"/>
    <mergeCell ref="A15:A16"/>
    <mergeCell ref="C15:C16"/>
    <mergeCell ref="H25:H26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B1143"/>
  <sheetViews>
    <sheetView showGridLines="0" zoomScale="90" zoomScaleNormal="90" workbookViewId="0">
      <pane xSplit="6" ySplit="20" topLeftCell="O1110" activePane="bottomRight" state="frozen"/>
      <selection activeCell="S16" sqref="S16"/>
      <selection pane="topRight" activeCell="S16" sqref="S16"/>
      <selection pane="bottomLeft" activeCell="S16" sqref="S16"/>
      <selection pane="bottomRight" activeCell="X1117" sqref="X1117"/>
    </sheetView>
  </sheetViews>
  <sheetFormatPr baseColWidth="8" defaultColWidth="9" defaultRowHeight="15.5"/>
  <cols>
    <col width="7.75" bestFit="1" customWidth="1" style="344" min="1" max="1"/>
    <col width="17.83203125" bestFit="1" customWidth="1" style="344" min="2" max="2"/>
    <col width="8.25" bestFit="1" customWidth="1" style="344" min="3" max="3"/>
    <col width="20.1640625" bestFit="1" customWidth="1" style="344" min="4" max="4"/>
    <col width="32" bestFit="1" customWidth="1" style="344" min="5" max="5"/>
    <col width="15.4140625" bestFit="1" customWidth="1" style="344" min="6" max="6"/>
    <col width="24.33203125" bestFit="1" customWidth="1" style="344" min="7" max="7"/>
    <col width="19.6640625" bestFit="1" customWidth="1" style="344" min="8" max="8"/>
    <col width="10.6640625" bestFit="1" customWidth="1" style="344" min="9" max="9"/>
    <col width="11.1640625" bestFit="1" customWidth="1" style="344" min="10" max="10"/>
    <col width="8.58203125" bestFit="1" customWidth="1" style="344" min="11" max="11"/>
    <col width="11.5" bestFit="1" customWidth="1" style="344" min="12" max="12"/>
    <col width="10.5" bestFit="1" customWidth="1" style="344" min="13" max="13"/>
    <col width="13.1640625" bestFit="1" customWidth="1" style="344" min="14" max="14"/>
    <col width="21.1640625" bestFit="1" customWidth="1" style="344" min="15" max="15"/>
    <col width="15.58203125" bestFit="1" customWidth="1" style="344" min="16" max="16"/>
    <col width="12.9140625" bestFit="1" customWidth="1" style="344" min="17" max="17"/>
    <col width="14" bestFit="1" customWidth="1" style="344" min="18" max="18"/>
    <col width="8.58203125" bestFit="1" customWidth="1" style="344" min="19" max="19"/>
    <col width="7.1640625" customWidth="1" style="57" min="20" max="20"/>
    <col width="15.5" customWidth="1" style="54" min="21" max="21"/>
    <col width="6.58203125" customWidth="1" style="55" min="22" max="22"/>
    <col width="15.08203125" bestFit="1" customWidth="1" style="35" min="23" max="23"/>
    <col width="17" bestFit="1" customWidth="1" style="35" min="24" max="24"/>
    <col width="15.5" bestFit="1" customWidth="1" style="35" min="25" max="26"/>
    <col width="16.08203125" bestFit="1" customWidth="1" style="35" min="27" max="27"/>
    <col width="9" customWidth="1" style="35" min="28" max="16384"/>
  </cols>
  <sheetData>
    <row r="1" ht="15.65" customHeight="1" s="344">
      <c r="A1" s="321" t="n"/>
      <c r="B1" s="321" t="n"/>
      <c r="C1" s="321" t="n"/>
      <c r="D1" s="321" t="n"/>
      <c r="E1" s="321" t="n"/>
      <c r="F1" s="321" t="n"/>
      <c r="G1" s="321" t="n"/>
      <c r="H1" s="321" t="n"/>
      <c r="I1" s="321" t="n"/>
      <c r="J1" s="516" t="inlineStr">
        <is>
          <t>Mẫu số : 01-2/GTGT</t>
        </is>
      </c>
      <c r="K1" s="517" t="n"/>
      <c r="L1" s="321" t="n"/>
      <c r="M1" s="321" t="n"/>
      <c r="N1" s="176" t="n"/>
      <c r="O1" s="176" t="n"/>
      <c r="P1" s="176" t="n"/>
      <c r="Q1" s="176" t="n"/>
      <c r="R1" s="176" t="n"/>
      <c r="S1" s="176" t="n"/>
      <c r="T1" s="53" t="n"/>
      <c r="W1" s="68" t="inlineStr">
        <is>
          <t>TUAN2HM.HCM.VTA</t>
        </is>
      </c>
      <c r="X1" s="518">
        <f>SUMIF($R:$R,$W1,$H:$H)</f>
        <v/>
      </c>
      <c r="Y1" s="518">
        <f>SUMIF($R:$R,$W1,$J:$J)</f>
        <v/>
      </c>
      <c r="Z1" s="518">
        <f>SUMIF('13311'!$G:$G,'TA36'!$W1,'13311'!$E:$E)</f>
        <v/>
      </c>
      <c r="AA1" s="518">
        <f>Y1-Z1</f>
        <v/>
      </c>
    </row>
    <row r="2" ht="15.65" customHeight="1" s="344">
      <c r="A2" s="321" t="n"/>
      <c r="B2" s="321" t="n"/>
      <c r="C2" s="321" t="n"/>
      <c r="D2" s="321" t="n"/>
      <c r="E2" s="321" t="n"/>
      <c r="F2" s="321" t="n"/>
      <c r="G2" s="321" t="n"/>
      <c r="H2" s="321" t="n"/>
      <c r="I2" s="321" t="n"/>
      <c r="J2" s="519" t="inlineStr">
        <is>
          <t xml:space="preserve">(Ban hành kèm theo thông tư </t>
        </is>
      </c>
      <c r="K2" s="520" t="n"/>
      <c r="L2" s="321" t="n"/>
      <c r="M2" s="321" t="n"/>
      <c r="N2" s="176" t="n"/>
      <c r="O2" s="176" t="n"/>
      <c r="P2" s="176" t="n"/>
      <c r="Q2" s="176" t="n"/>
      <c r="R2" s="176" t="n"/>
      <c r="S2" s="176" t="n"/>
      <c r="T2" s="53" t="n"/>
      <c r="W2" s="68" t="inlineStr">
        <is>
          <t>LINH3NTT.HCM.VTA</t>
        </is>
      </c>
      <c r="X2" s="518">
        <f>SUMIF($R:$R,$W2,$H:$H)</f>
        <v/>
      </c>
      <c r="Y2" s="518">
        <f>SUMIF($R:$R,$W2,$J:$J)</f>
        <v/>
      </c>
      <c r="Z2" s="518">
        <f>SUMIF('13311'!$G:$G,'TA36'!$W2,'13311'!$E:$E)</f>
        <v/>
      </c>
      <c r="AA2" s="518">
        <f>Y2-Z2</f>
        <v/>
      </c>
    </row>
    <row r="3" ht="15.65" customHeight="1" s="344">
      <c r="A3" s="321" t="n"/>
      <c r="B3" s="321" t="n"/>
      <c r="C3" s="321" t="n"/>
      <c r="D3" s="321" t="n"/>
      <c r="E3" s="321" t="n"/>
      <c r="F3" s="321" t="n"/>
      <c r="G3" s="321" t="n"/>
      <c r="H3" s="321" t="n"/>
      <c r="I3" s="321" t="n"/>
      <c r="J3" s="521" t="inlineStr">
        <is>
          <t xml:space="preserve">số 119/2014/TT-BTC ngày </t>
        </is>
      </c>
      <c r="K3" s="520" t="n"/>
      <c r="L3" s="321" t="n"/>
      <c r="M3" s="321" t="n"/>
      <c r="N3" s="176" t="n"/>
      <c r="O3" s="176" t="n"/>
      <c r="P3" s="176" t="n"/>
      <c r="Q3" s="176" t="n"/>
      <c r="R3" s="176" t="n"/>
      <c r="S3" s="176" t="n"/>
      <c r="T3" s="53" t="n"/>
      <c r="W3" s="68" t="inlineStr">
        <is>
          <t>THANH5DT.HCM.VTA</t>
        </is>
      </c>
      <c r="X3" s="518">
        <f>SUMIF($R:$R,$W3,$H:$H)</f>
        <v/>
      </c>
      <c r="Y3" s="518">
        <f>SUMIF($R:$R,$W3,$J:$J)</f>
        <v/>
      </c>
      <c r="Z3" s="518">
        <f>SUMIF('13311'!$G:$G,'TA36'!$W3,'13311'!$E:$E)</f>
        <v/>
      </c>
      <c r="AA3" s="518">
        <f>Y3-Z3</f>
        <v/>
      </c>
    </row>
    <row r="4" ht="16.25" customHeight="1" s="344" thickBot="1">
      <c r="A4" s="321" t="n"/>
      <c r="B4" s="321" t="n"/>
      <c r="C4" s="321" t="n"/>
      <c r="D4" s="321" t="n"/>
      <c r="E4" s="321" t="n"/>
      <c r="F4" s="321" t="n"/>
      <c r="G4" s="321" t="n"/>
      <c r="H4" s="321" t="n"/>
      <c r="I4" s="321" t="n"/>
      <c r="J4" s="522" t="inlineStr">
        <is>
          <t>25/08/2014 của  Bộ tài chính)</t>
        </is>
      </c>
      <c r="K4" s="523" t="n"/>
      <c r="L4" s="321" t="n"/>
      <c r="M4" s="321" t="n"/>
      <c r="N4" s="176" t="n"/>
      <c r="O4" s="176" t="n"/>
      <c r="P4" s="176" t="n"/>
      <c r="Q4" s="176" t="n"/>
      <c r="R4" s="176" t="n"/>
      <c r="S4" s="176" t="n"/>
      <c r="T4" s="53" t="n"/>
      <c r="W4" s="68" t="inlineStr">
        <is>
          <t>HIENNTK.HCM.VTA</t>
        </is>
      </c>
      <c r="X4" s="518">
        <f>SUMIF($R:$R,$W4,$H:$H)</f>
        <v/>
      </c>
      <c r="Y4" s="518">
        <f>SUMIF($R:$R,$W4,$J:$J)</f>
        <v/>
      </c>
      <c r="Z4" s="518">
        <f>SUMIF('13311'!$G:$G,'TA36'!$W4,'13311'!$E:$E)</f>
        <v/>
      </c>
      <c r="AA4" s="518">
        <f>Y4-Z4</f>
        <v/>
      </c>
    </row>
    <row r="5" ht="17.5" customHeight="1" s="344">
      <c r="A5" s="321" t="n"/>
      <c r="B5" s="321" t="n"/>
      <c r="C5" s="321" t="n"/>
      <c r="D5" s="321" t="n"/>
      <c r="E5" s="321" t="n"/>
      <c r="F5" s="321" t="n"/>
      <c r="G5" s="321" t="n"/>
      <c r="H5" s="321" t="n"/>
      <c r="I5" s="321" t="n"/>
      <c r="J5" s="275" t="n"/>
      <c r="K5" s="276" t="n"/>
      <c r="L5" s="321" t="n"/>
      <c r="M5" s="321" t="n"/>
      <c r="N5" s="176" t="n"/>
      <c r="O5" s="176" t="n"/>
      <c r="P5" s="176" t="n"/>
      <c r="Q5" s="176" t="n"/>
      <c r="R5" s="176" t="n"/>
      <c r="S5" s="176" t="n"/>
      <c r="T5" s="53" t="n"/>
      <c r="W5" s="68" t="inlineStr">
        <is>
          <t>QUYENNN.HCM.VTA</t>
        </is>
      </c>
      <c r="X5" s="518">
        <f>SUMIF($R:$R,$W5,$H:$H)</f>
        <v/>
      </c>
      <c r="Y5" s="518">
        <f>SUMIF($R:$R,$W5,$J:$J)</f>
        <v/>
      </c>
      <c r="Z5" s="518">
        <f>SUMIF('13311'!$G:$G,'TA36'!$W5,'13311'!$E:$E)</f>
        <v/>
      </c>
      <c r="AA5" s="518">
        <f>Y5-Z5</f>
        <v/>
      </c>
    </row>
    <row r="6" ht="17.4" customHeight="1" s="344">
      <c r="A6" s="321" t="n"/>
      <c r="B6" s="335" t="inlineStr">
        <is>
          <t>BẢNG KÊ HÓA ĐƠN, CHỨNG TỪ HÀNG HÓA, DỊCH VỤ MUA VÀO(Kiểm soát số liệu)</t>
        </is>
      </c>
      <c r="N6" s="176" t="n"/>
      <c r="O6" s="176" t="n"/>
      <c r="P6" s="176" t="n"/>
      <c r="Q6" s="176" t="n"/>
      <c r="R6" s="176" t="n"/>
      <c r="S6" s="176" t="n"/>
      <c r="T6" s="53" t="n"/>
      <c r="W6" s="68" t="inlineStr">
        <is>
          <t>HUENT.HCM.VTA</t>
        </is>
      </c>
      <c r="X6" s="518">
        <f>SUMIF($R:$R,$W6,$H:$H)</f>
        <v/>
      </c>
      <c r="Y6" s="518">
        <f>SUMIF($R:$R,$W6,$J:$J)</f>
        <v/>
      </c>
      <c r="Z6" s="518">
        <f>SUMIF('13311'!$G:$G,'TA36'!$W6,'13311'!$E:$E)</f>
        <v/>
      </c>
      <c r="AA6" s="518">
        <f>Y6-Z6</f>
        <v/>
      </c>
    </row>
    <row r="7" ht="15.65" customHeight="1" s="344">
      <c r="A7" s="321" t="n"/>
      <c r="B7" s="336" t="inlineStr">
        <is>
          <t>Kèm theo tờ kê khai thuế GTGT theo mẫu số 01/GTGT</t>
        </is>
      </c>
      <c r="N7" s="176" t="n"/>
      <c r="O7" s="176" t="n"/>
      <c r="P7" s="176" t="n"/>
      <c r="Q7" s="176" t="n"/>
      <c r="R7" s="176" t="n"/>
      <c r="S7" s="176" t="n"/>
      <c r="T7" s="53" t="n"/>
      <c r="W7" s="68" t="inlineStr">
        <is>
          <t>THAOPTT.HCM.VTA</t>
        </is>
      </c>
      <c r="X7" s="518">
        <f>SUMIF($R:$R,$W7,$H:$H)</f>
        <v/>
      </c>
      <c r="Y7" s="518">
        <f>SUMIF($R:$R,$W7,$J:$J)</f>
        <v/>
      </c>
      <c r="Z7" s="518">
        <f>SUMIF('13311'!$G:$G,'TA36'!$W7,'13311'!$E:$E)</f>
        <v/>
      </c>
      <c r="AA7" s="518">
        <f>Y7-Z7</f>
        <v/>
      </c>
    </row>
    <row r="8" ht="15.65" customHeight="1" s="344">
      <c r="A8" s="321" t="n"/>
      <c r="B8" s="336" t="inlineStr">
        <is>
          <t>Từ ngày 01/09/2026 đến ngày 30/09/2026</t>
        </is>
      </c>
      <c r="N8" s="176" t="n"/>
      <c r="O8" s="176" t="n"/>
      <c r="P8" s="176" t="n"/>
      <c r="Q8" s="176" t="n"/>
      <c r="R8" s="176" t="n"/>
      <c r="S8" s="176" t="n"/>
      <c r="T8" s="53" t="n"/>
      <c r="W8" s="68" t="inlineStr">
        <is>
          <t>CHAULTN.HCM.VTA</t>
        </is>
      </c>
      <c r="X8" s="518">
        <f>SUMIF($R:$R,$W8,$H:$H)</f>
        <v/>
      </c>
      <c r="Y8" s="518">
        <f>SUMIF($R:$R,$W8,$J:$J)</f>
        <v/>
      </c>
      <c r="Z8" s="518">
        <f>SUMIF('13311'!$G:$G,'TA36'!$W8,'13311'!$E:$E)</f>
        <v/>
      </c>
      <c r="AA8" s="518">
        <f>Y8-Z8</f>
        <v/>
      </c>
    </row>
    <row r="9">
      <c r="A9" s="321" t="n"/>
      <c r="B9" s="321" t="n"/>
      <c r="N9" s="176" t="n"/>
      <c r="O9" s="176" t="n"/>
      <c r="P9" s="176" t="n"/>
      <c r="Q9" s="176" t="n"/>
      <c r="R9" s="176" t="n"/>
      <c r="S9" s="176" t="n"/>
      <c r="T9" s="53" t="n"/>
      <c r="W9" s="68" t="inlineStr">
        <is>
          <t>THUTT.HCM.VTA</t>
        </is>
      </c>
      <c r="X9" s="518">
        <f>SUMIF($R:$R,$W9,$H:$H)</f>
        <v/>
      </c>
      <c r="Y9" s="518">
        <f>SUMIF($R:$R,$W9,$J:$J)</f>
        <v/>
      </c>
      <c r="Z9" s="518">
        <f>SUMIF('13311'!$G:$G,'TA36'!$W9,'13311'!$E:$E)</f>
        <v/>
      </c>
      <c r="AA9" s="518">
        <f>Y9-Z9</f>
        <v/>
      </c>
    </row>
    <row r="10" ht="15.65" customHeight="1" s="344">
      <c r="A10" s="321" t="n"/>
      <c r="B10" s="382" t="inlineStr">
        <is>
          <t>Người nộp thuế : CHI NHÁNH TỔNG CÔNG TY ĐIỆN LỰC THÀNH PHỐ HỒ CHÍ MINH TNHH - CÔNG TY ĐIỆN LỰC VŨNG TÀU</t>
        </is>
      </c>
      <c r="N10" s="176" t="n"/>
      <c r="O10" s="176" t="n"/>
      <c r="P10" s="176" t="n"/>
      <c r="Q10" s="176" t="n"/>
      <c r="R10" s="176" t="n"/>
      <c r="S10" s="176" t="n"/>
      <c r="T10" s="53" t="n"/>
      <c r="X10" s="524">
        <f>SUM(X1:X9)</f>
        <v/>
      </c>
      <c r="Y10" s="525">
        <f>SUM(Y1:Y9)</f>
        <v/>
      </c>
      <c r="Z10" s="524">
        <f>SUM(Z1:Z9)</f>
        <v/>
      </c>
      <c r="AA10" s="525">
        <f>SUM(AA1:AA9)</f>
        <v/>
      </c>
    </row>
    <row r="11" ht="15.65" customHeight="1" s="344">
      <c r="A11" s="321" t="n"/>
      <c r="B11" s="382" t="inlineStr">
        <is>
          <t>Mã số thuế : 0300951119-010</t>
        </is>
      </c>
      <c r="N11" s="176" t="n"/>
      <c r="O11" s="176" t="n"/>
      <c r="P11" s="176" t="n"/>
      <c r="Q11" s="176" t="n"/>
      <c r="R11" s="176" t="n"/>
      <c r="S11" s="176" t="n"/>
      <c r="T11" s="53" t="n"/>
      <c r="X11" s="43" t="inlineStr">
        <is>
          <t>TAX36</t>
        </is>
      </c>
      <c r="Y11" s="43" t="inlineStr">
        <is>
          <t>TAX36</t>
        </is>
      </c>
      <c r="Z11" s="43" t="inlineStr">
        <is>
          <t>TA030</t>
        </is>
      </c>
    </row>
    <row r="12">
      <c r="A12" s="321" t="n"/>
      <c r="B12" s="321" t="n"/>
      <c r="N12" s="222" t="inlineStr">
        <is>
          <t>Đơn vị tính: đồng Việt Nam</t>
        </is>
      </c>
      <c r="O12" s="222" t="n"/>
      <c r="P12" s="526" t="n"/>
      <c r="Q12" s="222" t="n"/>
      <c r="R12" s="222" t="n"/>
      <c r="S12" s="222" t="n"/>
      <c r="T12" s="56" t="n"/>
      <c r="V12" s="72" t="inlineStr">
        <is>
          <t>XDCB</t>
        </is>
      </c>
      <c r="X12" s="43" t="inlineStr">
        <is>
          <t>trước thuế</t>
        </is>
      </c>
      <c r="Y12" s="43" t="inlineStr">
        <is>
          <t>tiền thuế</t>
        </is>
      </c>
    </row>
    <row r="13">
      <c r="A13" s="223" t="n"/>
      <c r="B13" s="29" t="n"/>
      <c r="C13" s="29" t="n"/>
      <c r="D13" s="29" t="n"/>
      <c r="E13" s="29" t="n"/>
      <c r="F13" s="29" t="n"/>
      <c r="G13" s="29" t="n"/>
      <c r="H13" s="527" t="n"/>
      <c r="I13" s="527" t="n"/>
      <c r="J13" s="527" t="n"/>
      <c r="K13" s="29" t="n"/>
      <c r="L13" s="29" t="n"/>
      <c r="M13" s="29" t="n"/>
      <c r="N13" s="29" t="n"/>
      <c r="O13" s="29" t="n"/>
      <c r="P13" s="527" t="n"/>
      <c r="Q13" s="29" t="n"/>
      <c r="R13" s="29" t="n"/>
      <c r="S13" s="29" t="n"/>
      <c r="W13" s="43" t="inlineStr">
        <is>
          <t>SXKD</t>
        </is>
      </c>
      <c r="X13" s="528">
        <f>X10-X14</f>
        <v/>
      </c>
      <c r="Y13" s="528">
        <f>Y10-Y14</f>
        <v/>
      </c>
      <c r="Z13" s="528" t="n"/>
      <c r="AA13" s="528" t="n"/>
      <c r="AB13" s="528" t="n"/>
    </row>
    <row r="14" ht="14.4" customHeight="1" s="344">
      <c r="A14" s="179" t="inlineStr">
        <is>
          <t>STT</t>
        </is>
      </c>
      <c r="B14" s="179" t="inlineStr">
        <is>
          <t>Hóa đơn chứng từ bán</t>
        </is>
      </c>
      <c r="C14" s="491" t="n"/>
      <c r="D14" s="492" t="n"/>
      <c r="E14" s="179" t="inlineStr">
        <is>
          <t>Tên người bán</t>
        </is>
      </c>
      <c r="F14" s="179" t="inlineStr">
        <is>
          <t>Mã số thuế người bán</t>
        </is>
      </c>
      <c r="G14" s="179" t="inlineStr">
        <is>
          <t>Mặt hàng</t>
        </is>
      </c>
      <c r="H14" s="179" t="inlineStr">
        <is>
          <t>Doanh số mua chưa có thuế</t>
        </is>
      </c>
      <c r="I14" s="179" t="inlineStr">
        <is>
          <t>Thuế suất (%)</t>
        </is>
      </c>
      <c r="J14" s="179" t="inlineStr">
        <is>
          <t>Thuế GTGT</t>
        </is>
      </c>
      <c r="K14" s="179" t="inlineStr">
        <is>
          <t>Ghi chú</t>
        </is>
      </c>
      <c r="L14" s="179" t="inlineStr">
        <is>
          <t>Nguồn chứng từ</t>
        </is>
      </c>
      <c r="M14" s="179" t="inlineStr">
        <is>
          <t>Số chứng từ</t>
        </is>
      </c>
      <c r="N14" s="179" t="inlineStr">
        <is>
          <t>Ngày lập chứng từ</t>
        </is>
      </c>
      <c r="O14" s="179" t="inlineStr">
        <is>
          <t>Thời hạn thanh toán trả chậm</t>
        </is>
      </c>
      <c r="P14" s="179" t="inlineStr">
        <is>
          <t>Số tiền đã thanh toán</t>
        </is>
      </c>
      <c r="Q14" s="179" t="inlineStr">
        <is>
          <t>Loại hình SXKD</t>
        </is>
      </c>
      <c r="R14" s="179" t="inlineStr">
        <is>
          <t>Người lập chứng từ</t>
        </is>
      </c>
      <c r="S14" s="179" t="inlineStr">
        <is>
          <t>Trạng thái</t>
        </is>
      </c>
      <c r="T14" s="57">
        <f>IF(OR(LEN(F14)=11,LEN(F14)=15),"Đ","SAI")</f>
        <v/>
      </c>
      <c r="U14" s="54">
        <f>ROUND(H14*I14%,0)-J14</f>
        <v/>
      </c>
      <c r="V14" s="55">
        <f>IF(Q14=$V$12,13313,13311)</f>
        <v/>
      </c>
      <c r="W14" s="43" t="inlineStr">
        <is>
          <t>XDCB</t>
        </is>
      </c>
      <c r="X14" s="528">
        <f>SUMIF($Q:$Q,$V$12,$H:$H)</f>
        <v/>
      </c>
      <c r="Y14" s="528">
        <f>SUMIF($Q:$Q,$V$12,$J:$J)</f>
        <v/>
      </c>
      <c r="Z14" s="528" t="n"/>
      <c r="AA14" s="528" t="n"/>
      <c r="AB14" s="528" t="n"/>
    </row>
    <row r="15" ht="14.4" customHeight="1" s="344">
      <c r="A15" s="493" t="n"/>
      <c r="B15" s="179" t="inlineStr">
        <is>
          <t>Ký hiệu hóa đơn</t>
        </is>
      </c>
      <c r="C15" s="179" t="inlineStr">
        <is>
          <t>Số hóa đơn</t>
        </is>
      </c>
      <c r="D15" s="179" t="inlineStr">
        <is>
          <t>Ngày, tháng, năm phát hành</t>
        </is>
      </c>
      <c r="E15" s="493" t="n"/>
      <c r="F15" s="493" t="n"/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57">
        <f>IF(OR(LEN(F15)=11,LEN(F15)=15),"Đ","SAI")</f>
        <v/>
      </c>
      <c r="U15" s="54">
        <f>ROUND(H15*I15%,0)-J15</f>
        <v/>
      </c>
      <c r="V15">
        <f>IF(Q15=$V$12,13313,13311)</f>
        <v/>
      </c>
      <c r="W15" s="58" t="n"/>
      <c r="X15" s="524">
        <f>SUM(X13:X14)</f>
        <v/>
      </c>
      <c r="Y15" s="524">
        <f>SUM(Y13:Y14)</f>
        <v/>
      </c>
      <c r="Z15" s="528" t="n"/>
      <c r="AA15" s="528" t="n"/>
      <c r="AB15" s="528" t="n"/>
    </row>
    <row r="16" ht="14.5" customHeight="1" s="344">
      <c r="A16" s="277" t="inlineStr">
        <is>
          <t>[1]</t>
        </is>
      </c>
      <c r="B16" s="277" t="inlineStr">
        <is>
          <t>[2]</t>
        </is>
      </c>
      <c r="C16" s="277" t="inlineStr">
        <is>
          <t>[3]</t>
        </is>
      </c>
      <c r="D16" s="277" t="inlineStr">
        <is>
          <t>[4]</t>
        </is>
      </c>
      <c r="E16" s="277" t="inlineStr">
        <is>
          <t>[5]</t>
        </is>
      </c>
      <c r="F16" s="277" t="inlineStr">
        <is>
          <t>[6]</t>
        </is>
      </c>
      <c r="G16" s="277" t="inlineStr">
        <is>
          <t>[7]</t>
        </is>
      </c>
      <c r="H16" s="277" t="inlineStr">
        <is>
          <t>[8]</t>
        </is>
      </c>
      <c r="I16" s="277" t="inlineStr">
        <is>
          <t>[9]</t>
        </is>
      </c>
      <c r="J16" s="277" t="inlineStr">
        <is>
          <t>[10]</t>
        </is>
      </c>
      <c r="K16" s="277" t="inlineStr">
        <is>
          <t>[11]</t>
        </is>
      </c>
      <c r="L16" s="277" t="inlineStr">
        <is>
          <t>[12]</t>
        </is>
      </c>
      <c r="M16" s="277" t="inlineStr">
        <is>
          <t>[13]</t>
        </is>
      </c>
      <c r="N16" s="277" t="inlineStr">
        <is>
          <t>[14]</t>
        </is>
      </c>
      <c r="O16" s="277" t="inlineStr">
        <is>
          <t>[15]</t>
        </is>
      </c>
      <c r="P16" s="277" t="inlineStr">
        <is>
          <t>[16]</t>
        </is>
      </c>
      <c r="Q16" s="277" t="inlineStr">
        <is>
          <t>[17]</t>
        </is>
      </c>
      <c r="R16" s="277" t="inlineStr">
        <is>
          <t>[18]</t>
        </is>
      </c>
      <c r="S16" s="277" t="inlineStr">
        <is>
          <t>[19]</t>
        </is>
      </c>
      <c r="T16">
        <f>IF(OR(LEN(F16)=11,LEN(F16)=15),"Đ","SAI")</f>
        <v/>
      </c>
      <c r="U16" s="54">
        <f>ROUND(H16*I16%,0)-J16</f>
        <v/>
      </c>
      <c r="V16">
        <f>IF(Q16=$V$12,13313,13311)</f>
        <v/>
      </c>
      <c r="X16" s="528" t="n"/>
      <c r="Y16" s="528" t="n"/>
      <c r="Z16" s="528" t="n"/>
      <c r="AA16" s="528" t="n"/>
      <c r="AB16" s="528" t="n"/>
    </row>
    <row r="17" ht="14.4" customHeight="1" s="344">
      <c r="A17" s="494" t="inlineStr">
        <is>
          <t>1. Hàng hóa, dịch vụ dùng riêng cho SXKD chịu thuế GTGT đủ điều kiện được khấu trừ</t>
        </is>
      </c>
      <c r="B17" s="491" t="n"/>
      <c r="C17" s="491" t="n"/>
      <c r="D17" s="491" t="n"/>
      <c r="E17" s="491" t="n"/>
      <c r="F17" s="491" t="n"/>
      <c r="G17" s="491" t="n"/>
      <c r="H17" s="49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2" t="n"/>
      <c r="T17">
        <f>IF(OR(LEN(F17)=11,LEN(F17)=15),"Đ","SAI")</f>
        <v/>
      </c>
      <c r="U17">
        <f>ROUND(H17*I17%,0)-J17</f>
        <v/>
      </c>
      <c r="V17">
        <f>IF(Q17=$V$12,13313,13311)</f>
        <v/>
      </c>
      <c r="X17" s="528" t="n"/>
      <c r="Y17" s="528" t="n"/>
      <c r="Z17" s="528" t="n"/>
      <c r="AA17" s="528" t="n"/>
      <c r="AB17" s="528" t="n"/>
    </row>
    <row r="18" ht="15.65" customHeight="1" s="344">
      <c r="A18" s="180" t="n">
        <v>1</v>
      </c>
      <c r="B18" s="182" t="inlineStr">
        <is>
          <t>1K26TAA</t>
        </is>
      </c>
      <c r="C18" s="278" t="inlineStr">
        <is>
          <t>'1325</t>
        </is>
      </c>
      <c r="D18" s="181" t="n">
        <v>46268</v>
      </c>
      <c r="E18" s="182" t="inlineStr">
        <is>
          <t>TỔNG CÔNG TY ĐIỆN LỰC THÀNH PHỐ HỒ CHÍ MINH</t>
        </is>
      </c>
      <c r="F18" s="278" t="inlineStr">
        <is>
          <t>'0300951119</t>
        </is>
      </c>
      <c r="G18" s="182" t="inlineStr">
        <is>
          <t>Thuế GTGT VTĐĐ- hđơn 1325-03.09.26</t>
        </is>
      </c>
      <c r="H18" s="194" t="n">
        <v>802200000</v>
      </c>
      <c r="I18" s="180" t="n">
        <v>8</v>
      </c>
      <c r="J18" s="194" t="n">
        <v>64176000</v>
      </c>
      <c r="K18" s="182" t="inlineStr">
        <is>
          <t>CK</t>
        </is>
      </c>
      <c r="L18" s="182" t="inlineStr">
        <is>
          <t>GL</t>
        </is>
      </c>
      <c r="M18" s="278" t="inlineStr">
        <is>
          <t>'2853</t>
        </is>
      </c>
      <c r="N18" s="181" t="n">
        <v>46294</v>
      </c>
      <c r="O18" s="181" t="n">
        <v>46294</v>
      </c>
      <c r="P18" s="194" t="n">
        <v>866376000</v>
      </c>
      <c r="Q18" s="180" t="inlineStr">
        <is>
          <t>Không xác định</t>
        </is>
      </c>
      <c r="R18" s="180" t="inlineStr">
        <is>
          <t>THANH5DT.HCM.VTA</t>
        </is>
      </c>
      <c r="S18" s="182" t="inlineStr">
        <is>
          <t>Not Reversed</t>
        </is>
      </c>
      <c r="T18" s="57">
        <f>IF(OR(LEN(F18)=11,LEN(F18)=15),"Đ","SAI")</f>
        <v/>
      </c>
      <c r="U18" s="529">
        <f>ROUND(H18*I18%,0)-J18</f>
        <v/>
      </c>
      <c r="V18" s="55">
        <f>IF(Q18=$V$12,13313,13311)</f>
        <v/>
      </c>
      <c r="X18" s="528" t="n"/>
      <c r="Y18" s="528" t="n"/>
      <c r="Z18" s="528" t="n"/>
      <c r="AA18" s="528" t="n"/>
      <c r="AB18" s="528" t="n"/>
    </row>
    <row r="19" ht="21.65" customHeight="1" s="344">
      <c r="A19" s="180" t="n">
        <v>2</v>
      </c>
      <c r="B19" s="182" t="inlineStr">
        <is>
          <t>1K26TAA</t>
        </is>
      </c>
      <c r="C19" s="278" t="inlineStr">
        <is>
          <t>'1329</t>
        </is>
      </c>
      <c r="D19" s="181" t="n">
        <v>46269</v>
      </c>
      <c r="E19" s="182" t="inlineStr">
        <is>
          <t>TỔNG CÔNG TY ĐIỆN LỰC THÀNH PHỐ HỒ CHÍ MINH</t>
        </is>
      </c>
      <c r="F19" s="278" t="inlineStr">
        <is>
          <t>'0300951119</t>
        </is>
      </c>
      <c r="G19" s="182" t="inlineStr">
        <is>
          <t>Thuế GTGT VTĐĐ- hđơn 1329-04.09.26</t>
        </is>
      </c>
      <c r="H19" s="194" t="n">
        <v>175440000</v>
      </c>
      <c r="I19" s="180" t="n">
        <v>8</v>
      </c>
      <c r="J19" s="194" t="n">
        <v>14035200</v>
      </c>
      <c r="K19" s="182" t="inlineStr">
        <is>
          <t>CK</t>
        </is>
      </c>
      <c r="L19" s="182" t="inlineStr">
        <is>
          <t>GL</t>
        </is>
      </c>
      <c r="M19" s="278" t="inlineStr">
        <is>
          <t>'2853</t>
        </is>
      </c>
      <c r="N19" s="181" t="n">
        <v>46294</v>
      </c>
      <c r="O19" s="181" t="n">
        <v>46294</v>
      </c>
      <c r="P19" s="194" t="n">
        <v>189475200</v>
      </c>
      <c r="Q19" s="180" t="inlineStr">
        <is>
          <t>Không xác định</t>
        </is>
      </c>
      <c r="R19" s="180" t="inlineStr">
        <is>
          <t>THANH5DT.HCM.VTA</t>
        </is>
      </c>
      <c r="S19" s="182" t="inlineStr">
        <is>
          <t>Not Reversed</t>
        </is>
      </c>
      <c r="T19" s="57">
        <f>IF(OR(LEN(F19)=11,LEN(F19)=15),"Đ","SAI")</f>
        <v/>
      </c>
      <c r="U19" s="529">
        <f>ROUND(H19*I19%,0)-J19</f>
        <v/>
      </c>
      <c r="V19" s="55">
        <f>IF(Q19=$V$12,13313,13311)</f>
        <v/>
      </c>
    </row>
    <row r="20" ht="21.65" customHeight="1" s="344">
      <c r="A20" s="180" t="n">
        <v>3</v>
      </c>
      <c r="B20" s="182" t="inlineStr">
        <is>
          <t>1K26TAA</t>
        </is>
      </c>
      <c r="C20" s="278" t="inlineStr">
        <is>
          <t>'1368</t>
        </is>
      </c>
      <c r="D20" s="181" t="n">
        <v>46273</v>
      </c>
      <c r="E20" s="182" t="inlineStr">
        <is>
          <t>TỔNG CÔNG TY ĐIỆN LỰC THÀNH PHỐ HỒ CHÍ MINH</t>
        </is>
      </c>
      <c r="F20" s="278" t="inlineStr">
        <is>
          <t>'0300951119</t>
        </is>
      </c>
      <c r="G20" s="182" t="inlineStr">
        <is>
          <t>Thuế GTGT VTĐĐ- hđơn 1368-08.09.26</t>
        </is>
      </c>
      <c r="H20" s="194" t="n">
        <v>167700000</v>
      </c>
      <c r="I20" s="180" t="n">
        <v>8</v>
      </c>
      <c r="J20" s="194" t="n">
        <v>13416000</v>
      </c>
      <c r="K20" s="182" t="inlineStr">
        <is>
          <t>CK</t>
        </is>
      </c>
      <c r="L20" s="182" t="inlineStr">
        <is>
          <t>GL</t>
        </is>
      </c>
      <c r="M20" s="278" t="inlineStr">
        <is>
          <t>'2853</t>
        </is>
      </c>
      <c r="N20" s="181" t="n">
        <v>46294</v>
      </c>
      <c r="O20" s="181" t="n">
        <v>46294</v>
      </c>
      <c r="P20" s="194" t="n">
        <v>181116000</v>
      </c>
      <c r="Q20" s="180" t="inlineStr">
        <is>
          <t>Không xác định</t>
        </is>
      </c>
      <c r="R20" s="180" t="inlineStr">
        <is>
          <t>THANH5DT.HCM.VTA</t>
        </is>
      </c>
      <c r="S20" s="182" t="inlineStr">
        <is>
          <t>Not Reversed</t>
        </is>
      </c>
      <c r="T20" s="57">
        <f>IF(OR(LEN(F20)=11,LEN(F20)=15),"Đ","SAI")</f>
        <v/>
      </c>
      <c r="U20" s="529">
        <f>ROUND(H20*I20%,0)-J20</f>
        <v/>
      </c>
      <c r="V20" s="55">
        <f>IF(Q20=$V$12,13313,13311)</f>
        <v/>
      </c>
    </row>
    <row r="21" ht="21.65" customHeight="1" s="344">
      <c r="A21" s="180" t="n">
        <v>4</v>
      </c>
      <c r="B21" s="182" t="inlineStr">
        <is>
          <t>1K26TAA</t>
        </is>
      </c>
      <c r="C21" s="278" t="inlineStr">
        <is>
          <t>'1415</t>
        </is>
      </c>
      <c r="D21" s="181" t="n">
        <v>46281</v>
      </c>
      <c r="E21" s="182" t="inlineStr">
        <is>
          <t>TỔNG CÔNG TY ĐIỆN LỰC THÀNH PHỐ HỒ CHÍ MINH</t>
        </is>
      </c>
      <c r="F21" s="278" t="inlineStr">
        <is>
          <t>'0300951119</t>
        </is>
      </c>
      <c r="G21" s="182" t="inlineStr">
        <is>
          <t>Thuế GTGT VTĐĐ- hđơn 1415-16.09.26</t>
        </is>
      </c>
      <c r="H21" s="194" t="n">
        <v>147060000</v>
      </c>
      <c r="I21" s="180" t="n">
        <v>8</v>
      </c>
      <c r="J21" s="194" t="n">
        <v>11764800</v>
      </c>
      <c r="K21" s="182" t="inlineStr">
        <is>
          <t>CK</t>
        </is>
      </c>
      <c r="L21" s="182" t="inlineStr">
        <is>
          <t>GL</t>
        </is>
      </c>
      <c r="M21" s="278" t="inlineStr">
        <is>
          <t>'2853</t>
        </is>
      </c>
      <c r="N21" s="181" t="n">
        <v>46294</v>
      </c>
      <c r="O21" s="181" t="n">
        <v>46294</v>
      </c>
      <c r="P21" s="194" t="n">
        <v>158824800</v>
      </c>
      <c r="Q21" s="180" t="inlineStr">
        <is>
          <t>Không xác định</t>
        </is>
      </c>
      <c r="R21" s="180" t="inlineStr">
        <is>
          <t>THANH5DT.HCM.VTA</t>
        </is>
      </c>
      <c r="S21" s="182" t="inlineStr">
        <is>
          <t>Not Reversed</t>
        </is>
      </c>
      <c r="T21" s="57">
        <f>IF(OR(LEN(F21)=11,LEN(F21)=15),"Đ","SAI")</f>
        <v/>
      </c>
      <c r="U21" s="529">
        <f>ROUND(H21*I21%,0)-J21</f>
        <v/>
      </c>
      <c r="V21" s="55">
        <f>IF(Q21=$V$12,13313,13311)</f>
        <v/>
      </c>
    </row>
    <row r="22" ht="21.65" customHeight="1" s="344">
      <c r="A22" s="180" t="n">
        <v>5</v>
      </c>
      <c r="B22" s="182" t="inlineStr">
        <is>
          <t>1K26TAA</t>
        </is>
      </c>
      <c r="C22" s="278" t="inlineStr">
        <is>
          <t>'1435</t>
        </is>
      </c>
      <c r="D22" s="181" t="n">
        <v>46283</v>
      </c>
      <c r="E22" s="182" t="inlineStr">
        <is>
          <t>TỔNG CÔNG TY ĐIỆN LỰC THÀNH PHỐ HỒ CHÍ MINH</t>
        </is>
      </c>
      <c r="F22" s="278" t="inlineStr">
        <is>
          <t>'0300951119</t>
        </is>
      </c>
      <c r="G22" s="182" t="inlineStr">
        <is>
          <t>Thuế GTGT VTĐĐ- hđơn 1435-18.09.26</t>
        </is>
      </c>
      <c r="H22" s="194" t="n">
        <v>933600000</v>
      </c>
      <c r="I22" s="180" t="n">
        <v>8</v>
      </c>
      <c r="J22" s="194" t="n">
        <v>74688000</v>
      </c>
      <c r="K22" s="182" t="inlineStr">
        <is>
          <t>CK</t>
        </is>
      </c>
      <c r="L22" s="182" t="inlineStr">
        <is>
          <t>GL</t>
        </is>
      </c>
      <c r="M22" s="278" t="inlineStr">
        <is>
          <t>'2853</t>
        </is>
      </c>
      <c r="N22" s="181" t="n">
        <v>46294</v>
      </c>
      <c r="O22" s="181" t="n">
        <v>46294</v>
      </c>
      <c r="P22" s="194" t="n">
        <v>1008288000</v>
      </c>
      <c r="Q22" s="180" t="inlineStr">
        <is>
          <t>Không xác định</t>
        </is>
      </c>
      <c r="R22" s="180" t="inlineStr">
        <is>
          <t>THANH5DT.HCM.VTA</t>
        </is>
      </c>
      <c r="S22" s="182" t="inlineStr">
        <is>
          <t>Not Reversed</t>
        </is>
      </c>
      <c r="T22" s="57">
        <f>IF(OR(LEN(F22)=11,LEN(F22)=15),"Đ","SAI")</f>
        <v/>
      </c>
      <c r="U22" s="529">
        <f>ROUND(H22*I22%,0)-J22</f>
        <v/>
      </c>
      <c r="V22" s="55">
        <f>IF(Q22=$V$12,13313,13311)</f>
        <v/>
      </c>
    </row>
    <row r="23" ht="21.65" customHeight="1" s="344">
      <c r="A23" s="180" t="n">
        <v>6</v>
      </c>
      <c r="B23" s="182" t="inlineStr">
        <is>
          <t>1K26TAA</t>
        </is>
      </c>
      <c r="C23" s="278" t="inlineStr">
        <is>
          <t>'1436</t>
        </is>
      </c>
      <c r="D23" s="181" t="n">
        <v>46283</v>
      </c>
      <c r="E23" s="182" t="inlineStr">
        <is>
          <t>TỔNG CÔNG TY ĐIỆN LỰC THÀNH PHỐ HỒ CHÍ MINH</t>
        </is>
      </c>
      <c r="F23" s="278" t="inlineStr">
        <is>
          <t>'0300951119</t>
        </is>
      </c>
      <c r="G23" s="182" t="inlineStr">
        <is>
          <t>Thuế GTGT VTĐĐ- hđơn 1436-18.09.26</t>
        </is>
      </c>
      <c r="H23" s="194" t="n">
        <v>223400000</v>
      </c>
      <c r="I23" s="180" t="n">
        <v>8</v>
      </c>
      <c r="J23" s="194" t="n">
        <v>17872000</v>
      </c>
      <c r="K23" s="182" t="inlineStr">
        <is>
          <t>CK</t>
        </is>
      </c>
      <c r="L23" s="182" t="inlineStr">
        <is>
          <t>GL</t>
        </is>
      </c>
      <c r="M23" s="278" t="inlineStr">
        <is>
          <t>'2853</t>
        </is>
      </c>
      <c r="N23" s="181" t="n">
        <v>46294</v>
      </c>
      <c r="O23" s="181" t="n">
        <v>46294</v>
      </c>
      <c r="P23" s="194" t="n">
        <v>241272000</v>
      </c>
      <c r="Q23" s="180" t="inlineStr">
        <is>
          <t>Không xác định</t>
        </is>
      </c>
      <c r="R23" s="180" t="inlineStr">
        <is>
          <t>THANH5DT.HCM.VTA</t>
        </is>
      </c>
      <c r="S23" s="182" t="inlineStr">
        <is>
          <t>Not Reversed</t>
        </is>
      </c>
      <c r="T23" s="57">
        <f>IF(OR(LEN(F23)=11,LEN(F23)=15),"Đ","SAI")</f>
        <v/>
      </c>
      <c r="U23" s="529">
        <f>ROUND(H23*I23%,0)-J23</f>
        <v/>
      </c>
      <c r="V23" s="55">
        <f>IF(Q23=$V$12,13313,13311)</f>
        <v/>
      </c>
    </row>
    <row r="24" ht="21.65" customHeight="1" s="344">
      <c r="A24" s="180" t="n">
        <v>7</v>
      </c>
      <c r="B24" s="182" t="inlineStr">
        <is>
          <t>1K26TAA</t>
        </is>
      </c>
      <c r="C24" s="278" t="inlineStr">
        <is>
          <t>'1531</t>
        </is>
      </c>
      <c r="D24" s="181" t="n">
        <v>46295</v>
      </c>
      <c r="E24" s="182" t="inlineStr">
        <is>
          <t>TỔNG CÔNG TY ĐIỆN LỰC THÀNH PHỐ HỒ CHÍ MINH</t>
        </is>
      </c>
      <c r="F24" s="278" t="inlineStr">
        <is>
          <t>'0300951119</t>
        </is>
      </c>
      <c r="G24" s="182" t="inlineStr">
        <is>
          <t>Thuế GTGT VTĐĐ- hđơn 1531-30.09.26</t>
        </is>
      </c>
      <c r="H24" s="194" t="n">
        <v>675900000</v>
      </c>
      <c r="I24" s="180" t="n">
        <v>8</v>
      </c>
      <c r="J24" s="194" t="n">
        <v>54072000</v>
      </c>
      <c r="K24" s="182" t="inlineStr">
        <is>
          <t>CK</t>
        </is>
      </c>
      <c r="L24" s="182" t="inlineStr">
        <is>
          <t>GL</t>
        </is>
      </c>
      <c r="M24" s="278" t="inlineStr">
        <is>
          <t>'2853</t>
        </is>
      </c>
      <c r="N24" s="181" t="n">
        <v>46294</v>
      </c>
      <c r="O24" s="181" t="n">
        <v>46294</v>
      </c>
      <c r="P24" s="194" t="n">
        <v>729972000</v>
      </c>
      <c r="Q24" s="180" t="inlineStr">
        <is>
          <t>Không xác định</t>
        </is>
      </c>
      <c r="R24" s="180" t="inlineStr">
        <is>
          <t>THANH5DT.HCM.VTA</t>
        </is>
      </c>
      <c r="S24" s="182" t="inlineStr">
        <is>
          <t>Not Reversed</t>
        </is>
      </c>
      <c r="T24" s="57">
        <f>IF(OR(LEN(F24)=11,LEN(F24)=15),"Đ","SAI")</f>
        <v/>
      </c>
      <c r="U24" s="529">
        <f>ROUND(H24*I24%,0)-J24</f>
        <v/>
      </c>
      <c r="V24" s="55">
        <f>IF(Q24=$V$12,13313,13311)</f>
        <v/>
      </c>
    </row>
    <row r="25" ht="14.4" customHeight="1" s="344">
      <c r="A25" s="180" t="n">
        <v>8</v>
      </c>
      <c r="B25" s="182" t="inlineStr">
        <is>
          <t>1K26TAA</t>
        </is>
      </c>
      <c r="C25" s="278" t="inlineStr">
        <is>
          <t>'00026746</t>
        </is>
      </c>
      <c r="D25" s="181" t="n">
        <v>46279</v>
      </c>
      <c r="E25" s="182" t="inlineStr">
        <is>
          <t>Ngân hàng TMCP Đầu Tư Và Phát Triển - CN Bà Rịa Vũng Tàu</t>
        </is>
      </c>
      <c r="F25" s="278" t="inlineStr">
        <is>
          <t>'0100150619-006</t>
        </is>
      </c>
      <c r="G25" s="182" t="inlineStr">
        <is>
          <t>Dịch vụ ngân hàng</t>
        </is>
      </c>
      <c r="H25" s="194" t="n">
        <v>50000</v>
      </c>
      <c r="I25" s="180" t="n">
        <v>10</v>
      </c>
      <c r="J25" s="194" t="n">
        <v>5000</v>
      </c>
      <c r="K25" s="182" t="n"/>
      <c r="L25" s="182" t="inlineStr">
        <is>
          <t>GL</t>
        </is>
      </c>
      <c r="M25" s="278" t="inlineStr">
        <is>
          <t>'2855</t>
        </is>
      </c>
      <c r="N25" s="181" t="n">
        <v>46295</v>
      </c>
      <c r="O25" s="181" t="n">
        <v>46295</v>
      </c>
      <c r="P25" s="194" t="n">
        <v>55000</v>
      </c>
      <c r="Q25" s="180" t="inlineStr">
        <is>
          <t>ĐẦU TƯ XÂY DỰNG</t>
        </is>
      </c>
      <c r="R25" s="180" t="inlineStr">
        <is>
          <t>LINH3NTT.HCM.VTA</t>
        </is>
      </c>
      <c r="S25" s="182" t="inlineStr">
        <is>
          <t>Not Reversed</t>
        </is>
      </c>
      <c r="T25" s="57">
        <f>IF(OR(LEN(F25)=11,LEN(F25)=15),"Đ","SAI")</f>
        <v/>
      </c>
      <c r="U25" s="529">
        <f>ROUND(H25*I25%,0)-J25</f>
        <v/>
      </c>
      <c r="V25" s="55">
        <f>IF(Q25=$V$12,13313,13311)</f>
        <v/>
      </c>
    </row>
    <row r="26" ht="14.4" customFormat="1" customHeight="1" s="62">
      <c r="A26" s="180" t="n">
        <v>9</v>
      </c>
      <c r="B26" s="182" t="inlineStr">
        <is>
          <t>1K26TAA</t>
        </is>
      </c>
      <c r="C26" s="278" t="inlineStr">
        <is>
          <t>'00026849</t>
        </is>
      </c>
      <c r="D26" s="181" t="n">
        <v>46280</v>
      </c>
      <c r="E26" s="182" t="inlineStr">
        <is>
          <t>Ngân hàng TMCP Đầu Tư Và Phát Triển - CN Bà Rịa Vũng Tàu</t>
        </is>
      </c>
      <c r="F26" s="278" t="inlineStr">
        <is>
          <t>'0100150619-006</t>
        </is>
      </c>
      <c r="G26" s="182" t="inlineStr">
        <is>
          <t>Dịch vụ ngân hàng</t>
        </is>
      </c>
      <c r="H26" s="194" t="n">
        <v>20000</v>
      </c>
      <c r="I26" s="180" t="n">
        <v>10</v>
      </c>
      <c r="J26" s="194" t="n">
        <v>2000</v>
      </c>
      <c r="K26" s="182" t="n"/>
      <c r="L26" s="182" t="inlineStr">
        <is>
          <t>GL</t>
        </is>
      </c>
      <c r="M26" s="278" t="inlineStr">
        <is>
          <t>'2855</t>
        </is>
      </c>
      <c r="N26" s="181" t="n">
        <v>46295</v>
      </c>
      <c r="O26" s="181" t="n">
        <v>46295</v>
      </c>
      <c r="P26" s="194" t="n">
        <v>22000</v>
      </c>
      <c r="Q26" s="180" t="inlineStr">
        <is>
          <t>ĐẦU TƯ XÂY DỰNG</t>
        </is>
      </c>
      <c r="R26" s="180" t="inlineStr">
        <is>
          <t>LINH3NTT.HCM.VTA</t>
        </is>
      </c>
      <c r="S26" s="182" t="inlineStr">
        <is>
          <t>Not Reversed</t>
        </is>
      </c>
      <c r="T26" s="62">
        <f>IF(OR(LEN(F26)=11,LEN(F26)=15),"Đ","SAI")</f>
        <v/>
      </c>
      <c r="U26" s="525">
        <f>ROUND(H26*I26%,0)-J26</f>
        <v/>
      </c>
      <c r="V26" s="62">
        <f>IF(Q26=$V$12,13313,13311)</f>
        <v/>
      </c>
      <c r="X26" s="525">
        <f>H26*8%</f>
        <v/>
      </c>
    </row>
    <row r="27" ht="14.4" customHeight="1" s="344">
      <c r="A27" s="180" t="n">
        <v>10</v>
      </c>
      <c r="B27" s="182" t="inlineStr">
        <is>
          <t>1K26TAA</t>
        </is>
      </c>
      <c r="C27" s="278" t="inlineStr">
        <is>
          <t>'00027125</t>
        </is>
      </c>
      <c r="D27" s="181" t="n">
        <v>46286</v>
      </c>
      <c r="E27" s="182" t="inlineStr">
        <is>
          <t>Ngân hàng TMCP Đầu Tư Và Phát Triển - CN Bà Rịa Vũng Tàu</t>
        </is>
      </c>
      <c r="F27" s="278" t="inlineStr">
        <is>
          <t>'0100150619-006</t>
        </is>
      </c>
      <c r="G27" s="182" t="inlineStr">
        <is>
          <t>Dịch vụ ngân hàng</t>
        </is>
      </c>
      <c r="H27" s="194" t="n">
        <v>838803</v>
      </c>
      <c r="I27" s="180" t="n">
        <v>10</v>
      </c>
      <c r="J27" s="194" t="n">
        <v>83880</v>
      </c>
      <c r="K27" s="182" t="n"/>
      <c r="L27" s="182" t="inlineStr">
        <is>
          <t>GL</t>
        </is>
      </c>
      <c r="M27" s="278" t="inlineStr">
        <is>
          <t>'2855</t>
        </is>
      </c>
      <c r="N27" s="181" t="n">
        <v>46295</v>
      </c>
      <c r="O27" s="181" t="n">
        <v>46295</v>
      </c>
      <c r="P27" s="194" t="n">
        <v>922683</v>
      </c>
      <c r="Q27" s="180" t="inlineStr">
        <is>
          <t>ĐẦU TƯ XÂY DỰNG</t>
        </is>
      </c>
      <c r="R27" s="180" t="inlineStr">
        <is>
          <t>LINH3NTT.HCM.VTA</t>
        </is>
      </c>
      <c r="S27" s="182" t="inlineStr">
        <is>
          <t>Not Reversed</t>
        </is>
      </c>
      <c r="T27" s="57">
        <f>IF(OR(LEN(F27)=11,LEN(F27)=15),"Đ","SAI")</f>
        <v/>
      </c>
      <c r="U27" s="529">
        <f>ROUND(H27*I27%,0)-J27</f>
        <v/>
      </c>
      <c r="V27" s="55">
        <f>IF(Q27=$V$12,13313,13311)</f>
        <v/>
      </c>
    </row>
    <row r="28" ht="15.65" customFormat="1" customHeight="1" s="62">
      <c r="A28" s="180" t="n">
        <v>11</v>
      </c>
      <c r="B28" s="182" t="inlineStr">
        <is>
          <t>1K26TAA</t>
        </is>
      </c>
      <c r="C28" s="278" t="inlineStr">
        <is>
          <t>'00027710</t>
        </is>
      </c>
      <c r="D28" s="181" t="n">
        <v>46294</v>
      </c>
      <c r="E28" s="182" t="inlineStr">
        <is>
          <t>Ngân hàng TMCP Đầu tư và Phát triển Việt Nam- CN Bà Rịa Vũng Tàu</t>
        </is>
      </c>
      <c r="F28" s="278" t="inlineStr">
        <is>
          <t>'0100150619-006</t>
        </is>
      </c>
      <c r="G28" s="182" t="inlineStr">
        <is>
          <t>Dịch vụ ngân hàng</t>
        </is>
      </c>
      <c r="H28" s="194" t="n">
        <v>191476</v>
      </c>
      <c r="I28" s="180" t="n">
        <v>10</v>
      </c>
      <c r="J28" s="194" t="n">
        <v>19147</v>
      </c>
      <c r="K28" s="182" t="n"/>
      <c r="L28" s="182" t="inlineStr">
        <is>
          <t>GL</t>
        </is>
      </c>
      <c r="M28" s="278" t="inlineStr">
        <is>
          <t>'2855</t>
        </is>
      </c>
      <c r="N28" s="181" t="n">
        <v>46295</v>
      </c>
      <c r="O28" s="181" t="n">
        <v>46295</v>
      </c>
      <c r="P28" s="194" t="n">
        <v>210623</v>
      </c>
      <c r="Q28" s="180" t="inlineStr">
        <is>
          <t>ĐẦU TƯ XÂY DỰNG</t>
        </is>
      </c>
      <c r="R28" s="180" t="inlineStr">
        <is>
          <t>LINH3NTT.HCM.VTA</t>
        </is>
      </c>
      <c r="S28" s="182" t="inlineStr">
        <is>
          <t>Not Reversed</t>
        </is>
      </c>
      <c r="T28" s="62">
        <f>IF(OR(LEN(F28)=11,LEN(F28)=15),"Đ","SAI")</f>
        <v/>
      </c>
      <c r="U28" s="525">
        <f>ROUND(H28*I28%,0)-J28</f>
        <v/>
      </c>
      <c r="V28" s="62">
        <f>IF(Q28=$V$12,13313,13311)</f>
        <v/>
      </c>
    </row>
    <row r="29" ht="14.4" customHeight="1" s="344">
      <c r="A29" s="180" t="n">
        <v>12</v>
      </c>
      <c r="B29" s="182" t="inlineStr">
        <is>
          <t>1K26TDA</t>
        </is>
      </c>
      <c r="C29" s="278" t="inlineStr">
        <is>
          <t>'00000032</t>
        </is>
      </c>
      <c r="D29" s="181" t="n">
        <v>46295</v>
      </c>
      <c r="E29" s="182" t="inlineStr">
        <is>
          <t>NGÂN HÀNG TMCP ĐẦU TƯ VÀ PHÁT TRIỂN VIỆT NAM</t>
        </is>
      </c>
      <c r="F29" s="278" t="inlineStr">
        <is>
          <t>'0100150619--006</t>
        </is>
      </c>
      <c r="G29" s="182" t="inlineStr">
        <is>
          <t>PHÍ CHUYỂN TIỀN</t>
        </is>
      </c>
      <c r="H29" s="194" t="n">
        <v>5709746</v>
      </c>
      <c r="I29" s="180" t="n">
        <v>10</v>
      </c>
      <c r="J29" s="194" t="n">
        <v>570975</v>
      </c>
      <c r="K29" s="182" t="inlineStr">
        <is>
          <t>GL_0926Q10</t>
        </is>
      </c>
      <c r="L29" s="182" t="inlineStr">
        <is>
          <t>GL</t>
        </is>
      </c>
      <c r="M29" s="278" t="inlineStr">
        <is>
          <t>'2903</t>
        </is>
      </c>
      <c r="N29" s="181" t="n">
        <v>46295</v>
      </c>
      <c r="O29" s="181" t="n">
        <v>46295</v>
      </c>
      <c r="P29" s="194" t="n">
        <v>6280721</v>
      </c>
      <c r="Q29" s="180" t="inlineStr">
        <is>
          <t>Không xác định</t>
        </is>
      </c>
      <c r="R29" s="180" t="inlineStr">
        <is>
          <t>QUYENNN.HCM.VTA</t>
        </is>
      </c>
      <c r="S29" s="182" t="inlineStr">
        <is>
          <t>Not Reversed</t>
        </is>
      </c>
      <c r="T29" s="57">
        <f>IF(OR(LEN(F29)=11,LEN(F29)=15),"Đ","SAI")</f>
        <v/>
      </c>
      <c r="U29" s="529">
        <f>ROUND(H29*I29%,0)-J29</f>
        <v/>
      </c>
      <c r="V29" s="55">
        <f>IF(Q29=$V$12,13313,13311)</f>
        <v/>
      </c>
    </row>
    <row r="30" ht="14.4" customHeight="1" s="344">
      <c r="A30" s="180" t="n">
        <v>13</v>
      </c>
      <c r="B30" s="182" t="inlineStr">
        <is>
          <t>1K26TDA</t>
        </is>
      </c>
      <c r="C30" s="278" t="inlineStr">
        <is>
          <t>'00000033</t>
        </is>
      </c>
      <c r="D30" s="181" t="n">
        <v>46295</v>
      </c>
      <c r="E30" s="182" t="inlineStr">
        <is>
          <t>NGÂN HÀNG TMCP ĐẦU TƯ VÀ PHÁT TRIỂN VIỆT NAM</t>
        </is>
      </c>
      <c r="F30" s="278" t="inlineStr">
        <is>
          <t>'0100150619-006</t>
        </is>
      </c>
      <c r="G30" s="182" t="inlineStr">
        <is>
          <t>PHÍ CHUYỂN TIỀN</t>
        </is>
      </c>
      <c r="H30" s="194" t="n">
        <v>3300006</v>
      </c>
      <c r="I30" s="180" t="n">
        <v>10</v>
      </c>
      <c r="J30" s="194" t="n">
        <v>330001</v>
      </c>
      <c r="K30" s="182" t="inlineStr">
        <is>
          <t>GL_0926Q10</t>
        </is>
      </c>
      <c r="L30" s="182" t="inlineStr">
        <is>
          <t>GL</t>
        </is>
      </c>
      <c r="M30" s="278" t="inlineStr">
        <is>
          <t>'2903</t>
        </is>
      </c>
      <c r="N30" s="181" t="n">
        <v>46295</v>
      </c>
      <c r="O30" s="181" t="n">
        <v>46295</v>
      </c>
      <c r="P30" s="194" t="n">
        <v>3630007</v>
      </c>
      <c r="Q30" s="180" t="inlineStr">
        <is>
          <t>Không xác định</t>
        </is>
      </c>
      <c r="R30" s="180" t="inlineStr">
        <is>
          <t>QUYENNN.HCM.VTA</t>
        </is>
      </c>
      <c r="S30" s="182" t="inlineStr">
        <is>
          <t>Not Reversed</t>
        </is>
      </c>
      <c r="T30" s="57">
        <f>IF(OR(LEN(F30)=11,LEN(F30)=15),"Đ","SAI")</f>
        <v/>
      </c>
      <c r="U30" s="529">
        <f>ROUND(H30*I30%,0)-J30</f>
        <v/>
      </c>
      <c r="V30" s="55">
        <f>IF(Q30=$V$12,13313,13311)</f>
        <v/>
      </c>
    </row>
    <row r="31" ht="14.4" customHeight="1" s="344">
      <c r="A31" s="180" t="n">
        <v>14</v>
      </c>
      <c r="B31" s="182" t="inlineStr">
        <is>
          <t>1K26TDA</t>
        </is>
      </c>
      <c r="C31" s="278" t="inlineStr">
        <is>
          <t>'00000034</t>
        </is>
      </c>
      <c r="D31" s="181" t="n">
        <v>46295</v>
      </c>
      <c r="E31" s="182" t="inlineStr">
        <is>
          <t>NGÂN HÀNG TMCP ĐẦU TƯ VÀ PHÁT TRIỂN VIỆT NAM</t>
        </is>
      </c>
      <c r="F31" s="278" t="inlineStr">
        <is>
          <t>'0100150619-006</t>
        </is>
      </c>
      <c r="G31" s="182" t="inlineStr">
        <is>
          <t>PHÍ CHUYỂN TIỀN</t>
        </is>
      </c>
      <c r="H31" s="194" t="n">
        <v>5682448</v>
      </c>
      <c r="I31" s="180" t="n">
        <v>10</v>
      </c>
      <c r="J31" s="194" t="n">
        <v>568245</v>
      </c>
      <c r="K31" s="182" t="inlineStr">
        <is>
          <t>GL_0926Q10</t>
        </is>
      </c>
      <c r="L31" s="182" t="inlineStr">
        <is>
          <t>GL</t>
        </is>
      </c>
      <c r="M31" s="278" t="inlineStr">
        <is>
          <t>'2903</t>
        </is>
      </c>
      <c r="N31" s="181" t="n">
        <v>46295</v>
      </c>
      <c r="O31" s="181" t="n">
        <v>46295</v>
      </c>
      <c r="P31" s="194" t="n">
        <v>6250693</v>
      </c>
      <c r="Q31" s="180" t="inlineStr">
        <is>
          <t>Không xác định</t>
        </is>
      </c>
      <c r="R31" s="180" t="inlineStr">
        <is>
          <t>QUYENNN.HCM.VTA</t>
        </is>
      </c>
      <c r="S31" s="182" t="inlineStr">
        <is>
          <t>Not Reversed</t>
        </is>
      </c>
      <c r="T31" s="57">
        <f>IF(OR(LEN(F31)=11,LEN(F31)=15),"Đ","SAI")</f>
        <v/>
      </c>
      <c r="U31" s="529">
        <f>ROUND(H31*I31%,0)-J31</f>
        <v/>
      </c>
      <c r="V31" s="55">
        <f>IF(Q31=$V$12,13313,13311)</f>
        <v/>
      </c>
    </row>
    <row r="32" ht="14.4" customHeight="1" s="344">
      <c r="A32" s="180" t="n">
        <v>15</v>
      </c>
      <c r="B32" s="182" t="inlineStr">
        <is>
          <t>1K26TAA</t>
        </is>
      </c>
      <c r="C32" s="278" t="inlineStr">
        <is>
          <t>'1335</t>
        </is>
      </c>
      <c r="D32" s="181" t="n">
        <v>46271</v>
      </c>
      <c r="E32" s="182" t="inlineStr">
        <is>
          <t>TONG CONG TY DIEN LUC THANH PHO HO CHI MINH TNHH</t>
        </is>
      </c>
      <c r="F32" s="278" t="inlineStr">
        <is>
          <t>'0300951119</t>
        </is>
      </c>
      <c r="G32" s="182" t="inlineStr">
        <is>
          <t>ĐIỆN MUA NỘI BỘ THÁNG 8/2026</t>
        </is>
      </c>
      <c r="H32" s="194" t="n">
        <v>1355819328509</v>
      </c>
      <c r="I32" s="180" t="n">
        <v>8</v>
      </c>
      <c r="J32" s="194" t="n">
        <v>100431061371</v>
      </c>
      <c r="K32" s="182" t="n"/>
      <c r="L32" s="182" t="inlineStr">
        <is>
          <t>GL_REV</t>
        </is>
      </c>
      <c r="M32" s="278" t="inlineStr">
        <is>
          <t>'2905</t>
        </is>
      </c>
      <c r="N32" s="181" t="n">
        <v>46295</v>
      </c>
      <c r="O32" s="181" t="n">
        <v>46295</v>
      </c>
      <c r="P32" s="194" t="n">
        <v>1456250389880</v>
      </c>
      <c r="Q32" s="180" t="inlineStr">
        <is>
          <t>Không xác định</t>
        </is>
      </c>
      <c r="R32" s="180" t="inlineStr">
        <is>
          <t>TUAN2HM.HCM.VTA</t>
        </is>
      </c>
      <c r="S32" s="182" t="inlineStr">
        <is>
          <t>Reversed</t>
        </is>
      </c>
      <c r="T32" s="57">
        <f>IF(OR(LEN(F32)=11,LEN(F32)=15),"Đ","SAI")</f>
        <v/>
      </c>
      <c r="U32" s="529">
        <f>ROUND(H32*I32%,0)-J32</f>
        <v/>
      </c>
      <c r="V32" s="55">
        <f>IF(Q32=$V$12,13313,13311)</f>
        <v/>
      </c>
    </row>
    <row r="33" ht="14.4" customHeight="1" s="344">
      <c r="A33" s="180" t="n">
        <v>16</v>
      </c>
      <c r="B33" s="182" t="inlineStr">
        <is>
          <t>1C26TVC</t>
        </is>
      </c>
      <c r="C33" s="278" t="inlineStr">
        <is>
          <t>'43</t>
        </is>
      </c>
      <c r="D33" s="181" t="n">
        <v>46206</v>
      </c>
      <c r="E33" s="182" t="inlineStr">
        <is>
          <t>Công ty cổ phần tư vấn xây dựng IN.CI.VI</t>
        </is>
      </c>
      <c r="F33" s="278" t="inlineStr">
        <is>
          <t>'0400780851</t>
        </is>
      </c>
      <c r="G33" s="182" t="inlineStr">
        <is>
          <t>Tư vấn thẩm tra BCNCKT</t>
        </is>
      </c>
      <c r="H33" s="194" t="n">
        <v>44444444</v>
      </c>
      <c r="I33" s="180" t="n">
        <v>8</v>
      </c>
      <c r="J33" s="194" t="n">
        <v>3555556</v>
      </c>
      <c r="K33" s="182" t="n"/>
      <c r="L33" s="182" t="inlineStr">
        <is>
          <t>GL</t>
        </is>
      </c>
      <c r="M33" s="278" t="inlineStr">
        <is>
          <t>'3123</t>
        </is>
      </c>
      <c r="N33" s="181" t="n">
        <v>46295</v>
      </c>
      <c r="O33" s="181" t="n">
        <v>46295</v>
      </c>
      <c r="P33" s="194" t="n">
        <v>48000000</v>
      </c>
      <c r="Q33" s="180" t="inlineStr">
        <is>
          <t>ĐẦU TƯ XÂY DỰNG</t>
        </is>
      </c>
      <c r="R33" s="180" t="inlineStr">
        <is>
          <t>HIENNTK.HCM.VTA</t>
        </is>
      </c>
      <c r="S33" s="182" t="inlineStr">
        <is>
          <t>Not Reversed</t>
        </is>
      </c>
      <c r="T33" s="57">
        <f>IF(OR(LEN(F33)=11,LEN(F33)=15),"Đ","SAI")</f>
        <v/>
      </c>
      <c r="U33" s="529">
        <f>ROUND(H33*I33%,0)-J33</f>
        <v/>
      </c>
      <c r="V33" s="55">
        <f>IF(Q33=$V$12,13313,13311)</f>
        <v/>
      </c>
    </row>
    <row r="34" ht="14.4" customHeight="1" s="344">
      <c r="A34" s="180" t="n">
        <v>17</v>
      </c>
      <c r="B34" s="182" t="inlineStr">
        <is>
          <t>1C26TVC</t>
        </is>
      </c>
      <c r="C34" s="278" t="inlineStr">
        <is>
          <t>'44</t>
        </is>
      </c>
      <c r="D34" s="181" t="n">
        <v>46206</v>
      </c>
      <c r="E34" s="182" t="inlineStr">
        <is>
          <t>Công ty cổ phần tư vấn xây dựng IN.CI.VI</t>
        </is>
      </c>
      <c r="F34" s="278" t="inlineStr">
        <is>
          <t>'0400780851</t>
        </is>
      </c>
      <c r="G34" s="182" t="inlineStr">
        <is>
          <t>Tư vấn thẩm tra BCNCKT</t>
        </is>
      </c>
      <c r="H34" s="194" t="n">
        <v>44444444</v>
      </c>
      <c r="I34" s="180" t="n">
        <v>8</v>
      </c>
      <c r="J34" s="194" t="n">
        <v>3555556</v>
      </c>
      <c r="K34" s="182" t="n"/>
      <c r="L34" s="182" t="inlineStr">
        <is>
          <t>GL</t>
        </is>
      </c>
      <c r="M34" s="278" t="inlineStr">
        <is>
          <t>'3123</t>
        </is>
      </c>
      <c r="N34" s="181" t="n">
        <v>46295</v>
      </c>
      <c r="O34" s="181" t="n">
        <v>46295</v>
      </c>
      <c r="P34" s="194" t="n">
        <v>48000000</v>
      </c>
      <c r="Q34" s="180" t="inlineStr">
        <is>
          <t>ĐẦU TƯ XÂY DỰNG</t>
        </is>
      </c>
      <c r="R34" s="180" t="inlineStr">
        <is>
          <t>HIENNTK.HCM.VTA</t>
        </is>
      </c>
      <c r="S34" s="182" t="inlineStr">
        <is>
          <t>Not Reversed</t>
        </is>
      </c>
      <c r="T34" s="57">
        <f>IF(OR(LEN(F34)=11,LEN(F34)=15),"Đ","SAI")</f>
        <v/>
      </c>
      <c r="U34" s="529">
        <f>ROUND(H34*I34%,0)-J34</f>
        <v/>
      </c>
      <c r="V34" s="55">
        <f>IF(Q34=$V$12,13313,13311)</f>
        <v/>
      </c>
    </row>
    <row r="35" ht="14.4" customHeight="1" s="344">
      <c r="A35" s="180" t="n">
        <v>18</v>
      </c>
      <c r="B35" s="182" t="inlineStr">
        <is>
          <t>1C26TVC</t>
        </is>
      </c>
      <c r="C35" s="278" t="inlineStr">
        <is>
          <t>'45</t>
        </is>
      </c>
      <c r="D35" s="181" t="n">
        <v>46216</v>
      </c>
      <c r="E35" s="182" t="inlineStr">
        <is>
          <t>Công ty cổ phần tư vấn xây dựng IN.CI.VI</t>
        </is>
      </c>
      <c r="F35" s="278" t="inlineStr">
        <is>
          <t>'0400780851</t>
        </is>
      </c>
      <c r="G35" s="182" t="inlineStr">
        <is>
          <t>Tư vấn thẩm tra BCNCKT</t>
        </is>
      </c>
      <c r="H35" s="194" t="n">
        <v>44444444</v>
      </c>
      <c r="I35" s="180" t="n">
        <v>8</v>
      </c>
      <c r="J35" s="194" t="n">
        <v>3555556</v>
      </c>
      <c r="K35" s="182" t="n"/>
      <c r="L35" s="182" t="inlineStr">
        <is>
          <t>GL</t>
        </is>
      </c>
      <c r="M35" s="278" t="inlineStr">
        <is>
          <t>'3123</t>
        </is>
      </c>
      <c r="N35" s="181" t="n">
        <v>46295</v>
      </c>
      <c r="O35" s="181" t="n">
        <v>46295</v>
      </c>
      <c r="P35" s="194" t="n">
        <v>48000000</v>
      </c>
      <c r="Q35" s="180" t="inlineStr">
        <is>
          <t>ĐẦU TƯ XÂY DỰNG</t>
        </is>
      </c>
      <c r="R35" s="180" t="inlineStr">
        <is>
          <t>HIENNTK.HCM.VTA</t>
        </is>
      </c>
      <c r="S35" s="182" t="inlineStr">
        <is>
          <t>Not Reversed</t>
        </is>
      </c>
      <c r="T35" s="57">
        <f>IF(OR(LEN(F35)=11,LEN(F35)=15),"Đ","SAI")</f>
        <v/>
      </c>
      <c r="U35" s="529">
        <f>ROUND(H35*I35%,0)-J35</f>
        <v/>
      </c>
      <c r="V35" s="55">
        <f>IF(Q35=$V$12,13313,13311)</f>
        <v/>
      </c>
    </row>
    <row r="36" ht="14.4" customHeight="1" s="344">
      <c r="A36" s="180" t="n">
        <v>19</v>
      </c>
      <c r="B36" s="182" t="inlineStr">
        <is>
          <t>1C26TVC</t>
        </is>
      </c>
      <c r="C36" s="278" t="inlineStr">
        <is>
          <t>'46</t>
        </is>
      </c>
      <c r="D36" s="181" t="n">
        <v>46216</v>
      </c>
      <c r="E36" s="182" t="inlineStr">
        <is>
          <t>Công ty cổ phần tư vấn xây dựng IN.CI.VI</t>
        </is>
      </c>
      <c r="F36" s="278" t="inlineStr">
        <is>
          <t>'0400780851</t>
        </is>
      </c>
      <c r="G36" s="182" t="inlineStr">
        <is>
          <t>Tư vấn thẩm tra BCNCKT</t>
        </is>
      </c>
      <c r="H36" s="194" t="n">
        <v>44444444</v>
      </c>
      <c r="I36" s="180" t="n">
        <v>8</v>
      </c>
      <c r="J36" s="194" t="n">
        <v>3555556</v>
      </c>
      <c r="K36" s="182" t="n"/>
      <c r="L36" s="182" t="inlineStr">
        <is>
          <t>GL</t>
        </is>
      </c>
      <c r="M36" s="278" t="inlineStr">
        <is>
          <t>'3123</t>
        </is>
      </c>
      <c r="N36" s="181" t="n">
        <v>46295</v>
      </c>
      <c r="O36" s="181" t="n">
        <v>46295</v>
      </c>
      <c r="P36" s="194" t="n">
        <v>48000000</v>
      </c>
      <c r="Q36" s="180" t="inlineStr">
        <is>
          <t>ĐẦU TƯ XÂY DỰNG</t>
        </is>
      </c>
      <c r="R36" s="180" t="inlineStr">
        <is>
          <t>HIENNTK.HCM.VTA</t>
        </is>
      </c>
      <c r="S36" s="182" t="inlineStr">
        <is>
          <t>Not Reversed</t>
        </is>
      </c>
      <c r="T36" s="57">
        <f>IF(OR(LEN(F36)=11,LEN(F36)=15),"Đ","SAI")</f>
        <v/>
      </c>
      <c r="U36" s="529">
        <f>ROUND(H36*I36%,0)-J36</f>
        <v/>
      </c>
      <c r="V36" s="55">
        <f>IF(Q36=$V$12,13313,13311)</f>
        <v/>
      </c>
    </row>
    <row r="37" ht="14.4" customHeight="1" s="344">
      <c r="A37" s="180" t="n">
        <v>20</v>
      </c>
      <c r="B37" s="182" t="inlineStr">
        <is>
          <t>1C26TPT</t>
        </is>
      </c>
      <c r="C37" s="278" t="inlineStr">
        <is>
          <t>'132</t>
        </is>
      </c>
      <c r="D37" s="181" t="n">
        <v>46252</v>
      </c>
      <c r="E37" s="182" t="inlineStr">
        <is>
          <t>Công ty TNHH kiểm toán quốc tế PNT</t>
        </is>
      </c>
      <c r="F37" s="278" t="inlineStr">
        <is>
          <t>'0102133859</t>
        </is>
      </c>
      <c r="G37" s="182" t="inlineStr">
        <is>
          <t>Tư vấn kiểm toán</t>
        </is>
      </c>
      <c r="H37" s="194" t="n">
        <v>67334259</v>
      </c>
      <c r="I37" s="180" t="n">
        <v>8</v>
      </c>
      <c r="J37" s="194" t="n">
        <v>5386741</v>
      </c>
      <c r="K37" s="182" t="n"/>
      <c r="L37" s="182" t="inlineStr">
        <is>
          <t>GL</t>
        </is>
      </c>
      <c r="M37" s="278" t="inlineStr">
        <is>
          <t>'3123</t>
        </is>
      </c>
      <c r="N37" s="181" t="n">
        <v>46295</v>
      </c>
      <c r="O37" s="181" t="n">
        <v>46295</v>
      </c>
      <c r="P37" s="194" t="n">
        <v>72721000</v>
      </c>
      <c r="Q37" s="180" t="inlineStr">
        <is>
          <t>ĐẦU TƯ XÂY DỰNG</t>
        </is>
      </c>
      <c r="R37" s="180" t="inlineStr">
        <is>
          <t>HIENNTK.HCM.VTA</t>
        </is>
      </c>
      <c r="S37" s="182" t="inlineStr">
        <is>
          <t>Not Reversed</t>
        </is>
      </c>
      <c r="T37" s="57">
        <f>IF(OR(LEN(F37)=11,LEN(F37)=15),"Đ","SAI")</f>
        <v/>
      </c>
      <c r="U37" s="529">
        <f>ROUND(H37*I37%,0)-J37</f>
        <v/>
      </c>
      <c r="V37" s="55">
        <f>IF(Q37=$V$12,13313,13311)</f>
        <v/>
      </c>
    </row>
    <row r="38" ht="21.65" customHeight="1" s="344">
      <c r="A38" s="180" t="n">
        <v>21</v>
      </c>
      <c r="B38" s="182" t="inlineStr">
        <is>
          <t>1C26TAX</t>
        </is>
      </c>
      <c r="C38" s="278" t="inlineStr">
        <is>
          <t>'263</t>
        </is>
      </c>
      <c r="D38" s="181" t="n">
        <v>46198</v>
      </c>
      <c r="E38" s="182" t="inlineStr">
        <is>
          <t>Công ty TNHH kiểm toán và tư vấn thuế ATAX</t>
        </is>
      </c>
      <c r="F38" s="278" t="inlineStr">
        <is>
          <t>'0400544325</t>
        </is>
      </c>
      <c r="G38" s="182" t="inlineStr">
        <is>
          <t>Tư vấn kiểm toán</t>
        </is>
      </c>
      <c r="H38" s="194" t="n">
        <v>102777778</v>
      </c>
      <c r="I38" s="180" t="n">
        <v>8</v>
      </c>
      <c r="J38" s="194" t="n">
        <v>8222222</v>
      </c>
      <c r="K38" s="182" t="n"/>
      <c r="L38" s="182" t="inlineStr">
        <is>
          <t>GL</t>
        </is>
      </c>
      <c r="M38" s="278" t="inlineStr">
        <is>
          <t>'3123</t>
        </is>
      </c>
      <c r="N38" s="181" t="n">
        <v>46295</v>
      </c>
      <c r="O38" s="181" t="n">
        <v>46295</v>
      </c>
      <c r="P38" s="194" t="n">
        <v>111000000</v>
      </c>
      <c r="Q38" s="180" t="inlineStr">
        <is>
          <t>ĐẦU TƯ XÂY DỰNG</t>
        </is>
      </c>
      <c r="R38" s="180" t="inlineStr">
        <is>
          <t>HIENNTK.HCM.VTA</t>
        </is>
      </c>
      <c r="S38" s="182" t="inlineStr">
        <is>
          <t>Not Reversed</t>
        </is>
      </c>
      <c r="T38" s="57">
        <f>IF(OR(LEN(F38)=11,LEN(F38)=15),"Đ","SAI")</f>
        <v/>
      </c>
      <c r="U38" s="529">
        <f>ROUND(H38*I38%,0)-J38</f>
        <v/>
      </c>
      <c r="V38" s="55">
        <f>IF(Q38=$V$12,13313,13311)</f>
        <v/>
      </c>
      <c r="W38" s="60" t="n"/>
      <c r="X38" s="60" t="n"/>
    </row>
    <row r="39" ht="21.65" customHeight="1" s="344">
      <c r="A39" s="180" t="n">
        <v>22</v>
      </c>
      <c r="B39" s="182" t="inlineStr">
        <is>
          <t>1K26TAA</t>
        </is>
      </c>
      <c r="C39" s="278" t="inlineStr">
        <is>
          <t>'1104</t>
        </is>
      </c>
      <c r="D39" s="181" t="n">
        <v>46240</v>
      </c>
      <c r="E39" s="182" t="inlineStr">
        <is>
          <t>TỔNG CÔNG TY ĐIỆN LỰC THÀNH PHỐ HỒ CHÍ MINH TNHH</t>
        </is>
      </c>
      <c r="F39" s="278" t="inlineStr">
        <is>
          <t>'0300951119</t>
        </is>
      </c>
      <c r="G39" s="182" t="inlineStr">
        <is>
          <t>Điện mua nội bộ Tháng 7/2026</t>
        </is>
      </c>
      <c r="H39" s="194" t="n">
        <v>-108846181798</v>
      </c>
      <c r="I39" s="180" t="n">
        <v>8</v>
      </c>
      <c r="J39" s="194" t="n">
        <v>0</v>
      </c>
      <c r="K39" s="182" t="inlineStr">
        <is>
          <t>CK</t>
        </is>
      </c>
      <c r="L39" s="182" t="inlineStr">
        <is>
          <t>GL</t>
        </is>
      </c>
      <c r="M39" s="278" t="inlineStr">
        <is>
          <t>'3124</t>
        </is>
      </c>
      <c r="N39" s="181" t="n">
        <v>46295</v>
      </c>
      <c r="O39" s="181" t="n">
        <v>46295</v>
      </c>
      <c r="P39" s="194" t="n">
        <v>-108846181798</v>
      </c>
      <c r="Q39" s="180" t="inlineStr">
        <is>
          <t>Không xác định</t>
        </is>
      </c>
      <c r="R39" s="180" t="inlineStr">
        <is>
          <t>TUAN2HM.HCM.VTA</t>
        </is>
      </c>
      <c r="S39" s="182" t="inlineStr">
        <is>
          <t>Not Reversed</t>
        </is>
      </c>
      <c r="T39" s="57">
        <f>IF(OR(LEN(F39)=11,LEN(F39)=15),"Đ","SAI")</f>
        <v/>
      </c>
      <c r="U39" s="529">
        <f>ROUND(H39*I39%,0)-J39</f>
        <v/>
      </c>
      <c r="V39" s="55">
        <f>IF(Q39=$V$12,13313,13311)</f>
        <v/>
      </c>
    </row>
    <row r="40" ht="21.65" customHeight="1" s="344">
      <c r="A40" s="180" t="n">
        <v>23</v>
      </c>
      <c r="B40" s="182" t="inlineStr">
        <is>
          <t>1K26TAA</t>
        </is>
      </c>
      <c r="C40" s="278" t="inlineStr">
        <is>
          <t>'1335</t>
        </is>
      </c>
      <c r="D40" s="181" t="n">
        <v>46271</v>
      </c>
      <c r="E40" s="182" t="inlineStr">
        <is>
          <t>TONG CONG TY DIEN LUC THANH PHO HO CHI MINH TNHH</t>
        </is>
      </c>
      <c r="F40" s="278" t="inlineStr">
        <is>
          <t>'0300951119</t>
        </is>
      </c>
      <c r="G40" s="182" t="inlineStr">
        <is>
          <t>ĐIỆN MUA NỘI BỘ THÁNG 8/2026</t>
        </is>
      </c>
      <c r="H40" s="194" t="n">
        <v>1255388267138</v>
      </c>
      <c r="I40" s="180" t="n">
        <v>8</v>
      </c>
      <c r="J40" s="194" t="n">
        <v>100431061371</v>
      </c>
      <c r="K40" s="182" t="n"/>
      <c r="L40" s="182" t="inlineStr">
        <is>
          <t>GL</t>
        </is>
      </c>
      <c r="M40" s="278" t="inlineStr">
        <is>
          <t>'3125</t>
        </is>
      </c>
      <c r="N40" s="181" t="n">
        <v>46295</v>
      </c>
      <c r="O40" s="181" t="n">
        <v>46295</v>
      </c>
      <c r="P40" s="194" t="n">
        <v>1355819328509</v>
      </c>
      <c r="Q40" s="180" t="inlineStr">
        <is>
          <t>Không xác định</t>
        </is>
      </c>
      <c r="R40" s="180" t="inlineStr">
        <is>
          <t>TUAN2HM.HCM.VTA</t>
        </is>
      </c>
      <c r="S40" s="182" t="inlineStr">
        <is>
          <t>Not Reversed</t>
        </is>
      </c>
      <c r="T40" s="57">
        <f>IF(OR(LEN(F40)=11,LEN(F40)=15),"Đ","SAI")</f>
        <v/>
      </c>
      <c r="U40" s="529">
        <f>ROUND(H40*I40%,0)-J40</f>
        <v/>
      </c>
      <c r="V40" s="55">
        <f>IF(Q40=$V$12,13313,13311)</f>
        <v/>
      </c>
    </row>
    <row r="41" ht="21.65" customHeight="1" s="344">
      <c r="A41" s="180" t="n">
        <v>24</v>
      </c>
      <c r="B41" s="182" t="inlineStr">
        <is>
          <t>1K26TAA</t>
        </is>
      </c>
      <c r="C41" s="278" t="inlineStr">
        <is>
          <t>'1335</t>
        </is>
      </c>
      <c r="D41" s="181" t="n">
        <v>46271</v>
      </c>
      <c r="E41" s="182" t="inlineStr">
        <is>
          <t>TONG CONG TY DIEN LUC THANH PHO HO CHI MINH TNHH</t>
        </is>
      </c>
      <c r="F41" s="278" t="inlineStr">
        <is>
          <t>'0300951119</t>
        </is>
      </c>
      <c r="G41" s="182" t="inlineStr">
        <is>
          <t>ĐIỆN MUA NỘI BỘ THÁNG 8/2026</t>
        </is>
      </c>
      <c r="H41" s="194" t="n">
        <v>-1355819328509</v>
      </c>
      <c r="I41" s="180" t="n">
        <v>8</v>
      </c>
      <c r="J41" s="194" t="n">
        <v>-100431061371</v>
      </c>
      <c r="K41" s="182" t="n"/>
      <c r="L41" s="182" t="inlineStr">
        <is>
          <t>GL</t>
        </is>
      </c>
      <c r="M41" s="278" t="inlineStr">
        <is>
          <t>'3126</t>
        </is>
      </c>
      <c r="N41" s="181" t="n">
        <v>46295</v>
      </c>
      <c r="O41" s="181" t="n">
        <v>46295</v>
      </c>
      <c r="P41" s="194" t="n">
        <v>1255388267138</v>
      </c>
      <c r="Q41" s="180" t="inlineStr">
        <is>
          <t>Không xác định</t>
        </is>
      </c>
      <c r="R41" s="180" t="inlineStr">
        <is>
          <t>TUAN2HM.HCM.VTA</t>
        </is>
      </c>
      <c r="S41" s="182" t="inlineStr">
        <is>
          <t>Reversed</t>
        </is>
      </c>
      <c r="T41" s="57">
        <f>IF(OR(LEN(F41)=11,LEN(F41)=15),"Đ","SAI")</f>
        <v/>
      </c>
      <c r="U41" s="529">
        <f>ROUND(H41*I41%,0)-J41</f>
        <v/>
      </c>
      <c r="V41" s="55">
        <f>IF(Q41=$V$12,13313,13311)</f>
        <v/>
      </c>
    </row>
    <row r="42" ht="21.65" customHeight="1" s="344">
      <c r="A42" s="180" t="n">
        <v>25</v>
      </c>
      <c r="B42" s="182" t="inlineStr">
        <is>
          <t>1C26TCA</t>
        </is>
      </c>
      <c r="C42" s="278" t="inlineStr">
        <is>
          <t>'2951</t>
        </is>
      </c>
      <c r="D42" s="181" t="n">
        <v>46204</v>
      </c>
      <c r="E42" s="182" t="inlineStr">
        <is>
          <t>Công Ty CP Dây Cáp Điện Việt Nam</t>
        </is>
      </c>
      <c r="F42" s="278" t="inlineStr">
        <is>
          <t>'0300381564</t>
        </is>
      </c>
      <c r="G42" s="182" t="inlineStr">
        <is>
          <t>Cáp Muller</t>
        </is>
      </c>
      <c r="H42" s="194" t="n">
        <v>717600000</v>
      </c>
      <c r="I42" s="180" t="n">
        <v>8</v>
      </c>
      <c r="J42" s="194" t="n">
        <v>57408000</v>
      </c>
      <c r="K42" s="182" t="inlineStr">
        <is>
          <t>AP0926-Y5</t>
        </is>
      </c>
      <c r="L42" s="182" t="inlineStr">
        <is>
          <t>GL</t>
        </is>
      </c>
      <c r="M42" s="278" t="inlineStr">
        <is>
          <t>'3164</t>
        </is>
      </c>
      <c r="N42" s="181" t="n">
        <v>46295</v>
      </c>
      <c r="O42" s="181" t="n">
        <v>46295</v>
      </c>
      <c r="P42" s="194" t="n">
        <v>775008000</v>
      </c>
      <c r="Q42" s="180" t="inlineStr">
        <is>
          <t>Không xác định</t>
        </is>
      </c>
      <c r="R42" s="180" t="inlineStr">
        <is>
          <t>HUENT.HCM.VTA</t>
        </is>
      </c>
      <c r="S42" s="182" t="inlineStr">
        <is>
          <t>Not Reversed</t>
        </is>
      </c>
      <c r="T42" s="57">
        <f>IF(OR(LEN(F42)=11,LEN(F42)=15),"Đ","SAI")</f>
        <v/>
      </c>
      <c r="U42" s="529">
        <f>ROUND(H42*I42%,0)-J42</f>
        <v/>
      </c>
      <c r="V42" s="55">
        <f>IF(Q42=$V$12,13313,13311)</f>
        <v/>
      </c>
    </row>
    <row r="43" ht="21.65" customHeight="1" s="344">
      <c r="A43" s="180" t="n">
        <v>26</v>
      </c>
      <c r="B43" s="182" t="inlineStr">
        <is>
          <t>1C26TTP</t>
        </is>
      </c>
      <c r="C43" s="278" t="inlineStr">
        <is>
          <t>'00000340</t>
        </is>
      </c>
      <c r="D43" s="181" t="n">
        <v>46240</v>
      </c>
      <c r="E43" s="182" t="inlineStr">
        <is>
          <t>DNTN Thương Mại &amp; Xây Dựng Diệu Hiền</t>
        </is>
      </c>
      <c r="F43" s="278" t="inlineStr">
        <is>
          <t>'3500701425</t>
        </is>
      </c>
      <c r="G43" s="182" t="inlineStr">
        <is>
          <t>bột nở foam</t>
        </is>
      </c>
      <c r="H43" s="194" t="n">
        <v>8680000</v>
      </c>
      <c r="I43" s="180" t="n">
        <v>8</v>
      </c>
      <c r="J43" s="194" t="n">
        <v>694400</v>
      </c>
      <c r="K43" s="182" t="inlineStr">
        <is>
          <t>AP0926-Y5</t>
        </is>
      </c>
      <c r="L43" s="182" t="inlineStr">
        <is>
          <t>GL</t>
        </is>
      </c>
      <c r="M43" s="278" t="inlineStr">
        <is>
          <t>'3164</t>
        </is>
      </c>
      <c r="N43" s="181" t="n">
        <v>46295</v>
      </c>
      <c r="O43" s="181" t="n">
        <v>46295</v>
      </c>
      <c r="P43" s="194" t="n">
        <v>9374400</v>
      </c>
      <c r="Q43" s="180" t="inlineStr">
        <is>
          <t>Không xác định</t>
        </is>
      </c>
      <c r="R43" s="180" t="inlineStr">
        <is>
          <t>HUENT.HCM.VTA</t>
        </is>
      </c>
      <c r="S43" s="182" t="inlineStr">
        <is>
          <t>Not Reversed</t>
        </is>
      </c>
      <c r="T43" s="57">
        <f>IF(OR(LEN(F43)=11,LEN(F43)=15),"Đ","SAI")</f>
        <v/>
      </c>
      <c r="U43" s="529">
        <f>ROUND(H43*I43%,0)-J43</f>
        <v/>
      </c>
      <c r="V43" s="55">
        <f>IF(Q43=$V$12,13313,13311)</f>
        <v/>
      </c>
    </row>
    <row r="44" ht="21.65" customHeight="1" s="344">
      <c r="A44" s="180" t="n">
        <v>27</v>
      </c>
      <c r="B44" s="182" t="inlineStr">
        <is>
          <t>1C26TCH</t>
        </is>
      </c>
      <c r="C44" s="278" t="inlineStr">
        <is>
          <t>'00000131</t>
        </is>
      </c>
      <c r="D44" s="181" t="n">
        <v>46272</v>
      </c>
      <c r="E44" s="182" t="inlineStr">
        <is>
          <t>Công Ty TNHH Thương Mại Kỹ Thuật Chấn Huỳnh</t>
        </is>
      </c>
      <c r="F44" s="278" t="inlineStr">
        <is>
          <t>'0315537849</t>
        </is>
      </c>
      <c r="G44" s="182" t="inlineStr">
        <is>
          <t>Bình Ắc quy</t>
        </is>
      </c>
      <c r="H44" s="194" t="n">
        <v>118797200</v>
      </c>
      <c r="I44" s="180" t="n">
        <v>8</v>
      </c>
      <c r="J44" s="194" t="n">
        <v>9503776</v>
      </c>
      <c r="K44" s="182" t="inlineStr">
        <is>
          <t>AP0926_Y5</t>
        </is>
      </c>
      <c r="L44" s="182" t="inlineStr">
        <is>
          <t>GL</t>
        </is>
      </c>
      <c r="M44" s="278" t="inlineStr">
        <is>
          <t>'3164</t>
        </is>
      </c>
      <c r="N44" s="181" t="n">
        <v>46295</v>
      </c>
      <c r="O44" s="181" t="n">
        <v>46295</v>
      </c>
      <c r="P44" s="194" t="n">
        <v>128300976</v>
      </c>
      <c r="Q44" s="180" t="inlineStr">
        <is>
          <t>Không xác định</t>
        </is>
      </c>
      <c r="R44" s="180" t="inlineStr">
        <is>
          <t>HUENT.HCM.VTA</t>
        </is>
      </c>
      <c r="S44" s="182" t="inlineStr">
        <is>
          <t>Not Reversed</t>
        </is>
      </c>
      <c r="T44" s="57">
        <f>IF(OR(LEN(F44)=11,LEN(F44)=15),"Đ","SAI")</f>
        <v/>
      </c>
      <c r="U44" s="529">
        <f>ROUND(H44*I44%,0)-J44</f>
        <v/>
      </c>
      <c r="V44" s="55">
        <f>IF(Q44=$V$12,13313,13311)</f>
        <v/>
      </c>
    </row>
    <row r="45" ht="21.65" customHeight="1" s="344">
      <c r="A45" s="180" t="n">
        <v>28</v>
      </c>
      <c r="B45" s="182" t="inlineStr">
        <is>
          <t>1C26TTP</t>
        </is>
      </c>
      <c r="C45" s="278" t="inlineStr">
        <is>
          <t>'00000385</t>
        </is>
      </c>
      <c r="D45" s="181" t="n">
        <v>46273</v>
      </c>
      <c r="E45" s="182" t="inlineStr">
        <is>
          <t>DNTN Thương Mại &amp; Xây Dựng Diệu Hiền</t>
        </is>
      </c>
      <c r="F45" s="278" t="inlineStr">
        <is>
          <t>'3500701425</t>
        </is>
      </c>
      <c r="G45" s="182" t="inlineStr">
        <is>
          <t>VTTB điện</t>
        </is>
      </c>
      <c r="H45" s="194" t="n">
        <v>17396000</v>
      </c>
      <c r="I45" s="180" t="n">
        <v>8</v>
      </c>
      <c r="J45" s="194" t="n">
        <v>1391680</v>
      </c>
      <c r="K45" s="182" t="inlineStr">
        <is>
          <t>AP0926-Y5</t>
        </is>
      </c>
      <c r="L45" s="182" t="inlineStr">
        <is>
          <t>GL</t>
        </is>
      </c>
      <c r="M45" s="278" t="inlineStr">
        <is>
          <t>'3164</t>
        </is>
      </c>
      <c r="N45" s="181" t="n">
        <v>46295</v>
      </c>
      <c r="O45" s="181" t="n">
        <v>46295</v>
      </c>
      <c r="P45" s="194" t="n">
        <v>18787680</v>
      </c>
      <c r="Q45" s="180" t="inlineStr">
        <is>
          <t>Không xác định</t>
        </is>
      </c>
      <c r="R45" s="180" t="inlineStr">
        <is>
          <t>HUENT.HCM.VTA</t>
        </is>
      </c>
      <c r="S45" s="182" t="inlineStr">
        <is>
          <t>Not Reversed</t>
        </is>
      </c>
      <c r="T45" s="57">
        <f>IF(OR(LEN(F45)=11,LEN(F45)=15),"Đ","SAI")</f>
        <v/>
      </c>
      <c r="U45" s="529">
        <f>ROUND(H45*I45%,0)-J45</f>
        <v/>
      </c>
      <c r="V45" s="55">
        <f>IF(Q45=$V$12,13313,13311)</f>
        <v/>
      </c>
    </row>
    <row r="46" ht="21.65" customHeight="1" s="344">
      <c r="A46" s="180" t="n">
        <v>29</v>
      </c>
      <c r="B46" s="182" t="inlineStr">
        <is>
          <t>1C26TTP</t>
        </is>
      </c>
      <c r="C46" s="278" t="inlineStr">
        <is>
          <t>'00000385</t>
        </is>
      </c>
      <c r="D46" s="181" t="n">
        <v>46273</v>
      </c>
      <c r="E46" s="182" t="inlineStr">
        <is>
          <t>DNTN Thương Mại &amp; Xây Dựng Diệu Hiền</t>
        </is>
      </c>
      <c r="F46" s="278" t="inlineStr">
        <is>
          <t>'3500701425</t>
        </is>
      </c>
      <c r="G46" s="182" t="inlineStr">
        <is>
          <t>VTTB điện</t>
        </is>
      </c>
      <c r="H46" s="194" t="n">
        <v>16900000</v>
      </c>
      <c r="I46" s="180" t="n">
        <v>10</v>
      </c>
      <c r="J46" s="194" t="n">
        <v>1690000</v>
      </c>
      <c r="K46" s="182" t="inlineStr">
        <is>
          <t>AP0926-Y5</t>
        </is>
      </c>
      <c r="L46" s="182" t="inlineStr">
        <is>
          <t>GL</t>
        </is>
      </c>
      <c r="M46" s="278" t="inlineStr">
        <is>
          <t>'3164</t>
        </is>
      </c>
      <c r="N46" s="181" t="n">
        <v>46295</v>
      </c>
      <c r="O46" s="181" t="n">
        <v>46295</v>
      </c>
      <c r="P46" s="194" t="n">
        <v>18590000</v>
      </c>
      <c r="Q46" s="180" t="inlineStr">
        <is>
          <t>Không xác định</t>
        </is>
      </c>
      <c r="R46" s="180" t="inlineStr">
        <is>
          <t>HUENT.HCM.VTA</t>
        </is>
      </c>
      <c r="S46" s="182" t="inlineStr">
        <is>
          <t>Not Reversed</t>
        </is>
      </c>
      <c r="T46" s="57">
        <f>IF(OR(LEN(F46)=11,LEN(F46)=15),"Đ","SAI")</f>
        <v/>
      </c>
      <c r="U46" s="529">
        <f>ROUND(H46*I46%,0)-J46</f>
        <v/>
      </c>
      <c r="V46" s="55">
        <f>IF(Q46=$V$12,13313,13311)</f>
        <v/>
      </c>
    </row>
    <row r="47" ht="21.65" customFormat="1" customHeight="1" s="61">
      <c r="A47" s="180" t="n">
        <v>30</v>
      </c>
      <c r="B47" s="182" t="inlineStr">
        <is>
          <t>1K26TAS</t>
        </is>
      </c>
      <c r="C47" s="278" t="inlineStr">
        <is>
          <t>'108</t>
        </is>
      </c>
      <c r="D47" s="181" t="n">
        <v>46246</v>
      </c>
      <c r="E47" s="182" t="inlineStr">
        <is>
          <t>CN TCT Điện Lực TPHCM TNHH - Công Ty Điện Lực Đất Đỏ</t>
        </is>
      </c>
      <c r="F47" s="278" t="inlineStr">
        <is>
          <t>'0300951119-020</t>
        </is>
      </c>
      <c r="G47" s="182" t="inlineStr">
        <is>
          <t>VTTB điều động (cáp Muller lõi đồng)</t>
        </is>
      </c>
      <c r="H47" s="194" t="n">
        <v>31080000</v>
      </c>
      <c r="I47" s="180" t="n">
        <v>8</v>
      </c>
      <c r="J47" s="194" t="n">
        <v>2486400</v>
      </c>
      <c r="K47" s="182" t="inlineStr">
        <is>
          <t>AP0926-Y5</t>
        </is>
      </c>
      <c r="L47" s="182" t="inlineStr">
        <is>
          <t>GL</t>
        </is>
      </c>
      <c r="M47" s="278" t="inlineStr">
        <is>
          <t>'3164</t>
        </is>
      </c>
      <c r="N47" s="181" t="n">
        <v>46295</v>
      </c>
      <c r="O47" s="181" t="n">
        <v>46295</v>
      </c>
      <c r="P47" s="194" t="n">
        <v>33566400</v>
      </c>
      <c r="Q47" s="180" t="inlineStr">
        <is>
          <t>Không xác định</t>
        </is>
      </c>
      <c r="R47" s="180" t="inlineStr">
        <is>
          <t>HUENT.HCM.VTA</t>
        </is>
      </c>
      <c r="S47" s="182" t="inlineStr">
        <is>
          <t>Not Reversed</t>
        </is>
      </c>
      <c r="T47" s="57">
        <f>IF(OR(LEN(F47)=11,LEN(F47)=15),"Đ","SAI")</f>
        <v/>
      </c>
      <c r="U47" s="529">
        <f>ROUND(H47*I47%,0)-J47</f>
        <v/>
      </c>
      <c r="V47" s="55">
        <f>IF(Q47=$V$12,13313,13311)</f>
        <v/>
      </c>
    </row>
    <row r="48" ht="21.65" customHeight="1" s="344">
      <c r="A48" s="180" t="n">
        <v>31</v>
      </c>
      <c r="B48" s="182" t="inlineStr">
        <is>
          <t>1K26TVT</t>
        </is>
      </c>
      <c r="C48" s="278" t="inlineStr">
        <is>
          <t>'435</t>
        </is>
      </c>
      <c r="D48" s="181" t="n">
        <v>46246</v>
      </c>
      <c r="E48" s="182" t="inlineStr">
        <is>
          <t>CN TCT Điện Lực TPHCM TNHH - Công Ty Dịch Vụ Điện Lực TPHCM</t>
        </is>
      </c>
      <c r="F48" s="278" t="inlineStr">
        <is>
          <t>'0300951119-017</t>
        </is>
      </c>
      <c r="G48" s="182" t="inlineStr">
        <is>
          <t>VTTB điện</t>
        </is>
      </c>
      <c r="H48" s="194" t="n">
        <v>54268256</v>
      </c>
      <c r="I48" s="180" t="n">
        <v>8</v>
      </c>
      <c r="J48" s="194" t="n">
        <v>4341460</v>
      </c>
      <c r="K48" s="182" t="inlineStr">
        <is>
          <t>AP0926-Y5</t>
        </is>
      </c>
      <c r="L48" s="182" t="inlineStr">
        <is>
          <t>GL</t>
        </is>
      </c>
      <c r="M48" s="278" t="inlineStr">
        <is>
          <t>'3164</t>
        </is>
      </c>
      <c r="N48" s="181" t="n">
        <v>46295</v>
      </c>
      <c r="O48" s="181" t="n">
        <v>46295</v>
      </c>
      <c r="P48" s="194" t="n">
        <v>58609716</v>
      </c>
      <c r="Q48" s="180" t="inlineStr">
        <is>
          <t>Không xác định</t>
        </is>
      </c>
      <c r="R48" s="180" t="inlineStr">
        <is>
          <t>HUENT.HCM.VTA</t>
        </is>
      </c>
      <c r="S48" s="182" t="inlineStr">
        <is>
          <t>Not Reversed</t>
        </is>
      </c>
      <c r="T48" s="57">
        <f>IF(OR(LEN(F48)=11,LEN(F48)=15),"Đ","SAI")</f>
        <v/>
      </c>
      <c r="U48" s="529">
        <f>ROUND(H48*I48%,0)-J48</f>
        <v/>
      </c>
      <c r="V48" s="55">
        <f>IF(Q48=$V$12,13313,13311)</f>
        <v/>
      </c>
    </row>
    <row r="49" ht="31.75" customHeight="1" s="344">
      <c r="A49" s="180" t="n">
        <v>32</v>
      </c>
      <c r="B49" s="182" t="inlineStr">
        <is>
          <t>1K26TVT</t>
        </is>
      </c>
      <c r="C49" s="278" t="inlineStr">
        <is>
          <t>'436</t>
        </is>
      </c>
      <c r="D49" s="181" t="n">
        <v>46246</v>
      </c>
      <c r="E49" s="182" t="inlineStr">
        <is>
          <t>CN TCT ĐiệnLực TPHCM TNHH - Công Ty Dịch Vụ Điện Lực TPHCM</t>
        </is>
      </c>
      <c r="F49" s="278" t="inlineStr">
        <is>
          <t>'0300951119-017</t>
        </is>
      </c>
      <c r="G49" s="182" t="inlineStr">
        <is>
          <t>VTTB điện</t>
        </is>
      </c>
      <c r="H49" s="194" t="n">
        <v>40641079</v>
      </c>
      <c r="I49" s="180" t="n">
        <v>10</v>
      </c>
      <c r="J49" s="194" t="n">
        <v>4064108</v>
      </c>
      <c r="K49" s="182" t="inlineStr">
        <is>
          <t>AP0926-Y5</t>
        </is>
      </c>
      <c r="L49" s="182" t="inlineStr">
        <is>
          <t>GL</t>
        </is>
      </c>
      <c r="M49" s="278" t="inlineStr">
        <is>
          <t>'3164</t>
        </is>
      </c>
      <c r="N49" s="181" t="n">
        <v>46295</v>
      </c>
      <c r="O49" s="181" t="n">
        <v>46295</v>
      </c>
      <c r="P49" s="194" t="n">
        <v>44705187</v>
      </c>
      <c r="Q49" s="180" t="inlineStr">
        <is>
          <t>Không xác định</t>
        </is>
      </c>
      <c r="R49" s="180" t="inlineStr">
        <is>
          <t>HUENT.HCM.VTA</t>
        </is>
      </c>
      <c r="S49" s="182" t="inlineStr">
        <is>
          <t>Not Reversed</t>
        </is>
      </c>
      <c r="T49" s="57">
        <f>IF(OR(LEN(F49)=11,LEN(F49)=15),"Đ","SAI")</f>
        <v/>
      </c>
      <c r="U49" s="529">
        <f>ROUND(H49*I49%,0)-J49</f>
        <v/>
      </c>
      <c r="V49" s="55">
        <f>IF(Q49=$V$12,13313,13311)</f>
        <v/>
      </c>
    </row>
    <row r="50" ht="31.75" customFormat="1" customHeight="1" s="62">
      <c r="A50" s="180" t="n">
        <v>33</v>
      </c>
      <c r="B50" s="182" t="inlineStr">
        <is>
          <t>1K26TAS</t>
        </is>
      </c>
      <c r="C50" s="278" t="inlineStr">
        <is>
          <t>'122</t>
        </is>
      </c>
      <c r="D50" s="181" t="n">
        <v>46279</v>
      </c>
      <c r="E50" s="182" t="inlineStr">
        <is>
          <t>CN TCT Điện Lực TPHCM TNHH - Công Ty Điện Lực Đất Đỏ</t>
        </is>
      </c>
      <c r="F50" s="278" t="inlineStr">
        <is>
          <t>'0300951119-020</t>
        </is>
      </c>
      <c r="G50" s="182" t="inlineStr">
        <is>
          <t>VTTB điều động (VTTB điện)</t>
        </is>
      </c>
      <c r="H50" s="194" t="n">
        <v>1948000</v>
      </c>
      <c r="I50" s="180" t="n">
        <v>8</v>
      </c>
      <c r="J50" s="194" t="n">
        <v>155840</v>
      </c>
      <c r="K50" s="182" t="inlineStr">
        <is>
          <t>AP0926-Y5</t>
        </is>
      </c>
      <c r="L50" s="182" t="inlineStr">
        <is>
          <t>GL</t>
        </is>
      </c>
      <c r="M50" s="278" t="inlineStr">
        <is>
          <t>'3164</t>
        </is>
      </c>
      <c r="N50" s="181" t="n">
        <v>46295</v>
      </c>
      <c r="O50" s="181" t="n">
        <v>46295</v>
      </c>
      <c r="P50" s="194" t="n">
        <v>2103840</v>
      </c>
      <c r="Q50" s="180" t="inlineStr">
        <is>
          <t>Không xác định</t>
        </is>
      </c>
      <c r="R50" s="180" t="inlineStr">
        <is>
          <t>HUENT.HCM.VTA</t>
        </is>
      </c>
      <c r="S50" s="182" t="inlineStr">
        <is>
          <t>Not Reversed</t>
        </is>
      </c>
      <c r="T50" s="57">
        <f>IF(OR(LEN(F50)=11,LEN(F50)=15),"Đ","SAI")</f>
        <v/>
      </c>
      <c r="U50" s="529">
        <f>ROUND(H50*I50%,0)-J50</f>
        <v/>
      </c>
      <c r="V50" s="55">
        <f>IF(Q50=$V$12,13313,13311)</f>
        <v/>
      </c>
    </row>
    <row r="51" ht="31.75" customFormat="1" customHeight="1" s="63">
      <c r="A51" s="180" t="n">
        <v>34</v>
      </c>
      <c r="B51" s="182" t="inlineStr">
        <is>
          <t>1K26TAS</t>
        </is>
      </c>
      <c r="C51" s="278" t="inlineStr">
        <is>
          <t>'125</t>
        </is>
      </c>
      <c r="D51" s="181" t="n">
        <v>46280</v>
      </c>
      <c r="E51" s="182" t="inlineStr">
        <is>
          <t>CN TCT Điện Lực TPHCM TNHH - Công Ty Điện Lực Đất Đỏ</t>
        </is>
      </c>
      <c r="F51" s="278" t="inlineStr">
        <is>
          <t>'0300951119-020</t>
        </is>
      </c>
      <c r="G51" s="182" t="inlineStr">
        <is>
          <t>VTTB điều động (VTTB điện)</t>
        </is>
      </c>
      <c r="H51" s="194" t="n">
        <v>36489300</v>
      </c>
      <c r="I51" s="180" t="n">
        <v>8</v>
      </c>
      <c r="J51" s="194" t="n">
        <v>2919144</v>
      </c>
      <c r="K51" s="182" t="inlineStr">
        <is>
          <t>AP0926-Y5</t>
        </is>
      </c>
      <c r="L51" s="182" t="inlineStr">
        <is>
          <t>GL</t>
        </is>
      </c>
      <c r="M51" s="278" t="inlineStr">
        <is>
          <t>'3164</t>
        </is>
      </c>
      <c r="N51" s="181" t="n">
        <v>46295</v>
      </c>
      <c r="O51" s="181" t="n">
        <v>46295</v>
      </c>
      <c r="P51" s="194" t="n">
        <v>39408444</v>
      </c>
      <c r="Q51" s="180" t="inlineStr">
        <is>
          <t>Không xác định</t>
        </is>
      </c>
      <c r="R51" s="180" t="inlineStr">
        <is>
          <t>HUENT.HCM.VTA</t>
        </is>
      </c>
      <c r="S51" s="182" t="inlineStr">
        <is>
          <t>Not Reversed</t>
        </is>
      </c>
      <c r="T51" s="57">
        <f>IF(OR(LEN(F51)=11,LEN(F51)=15),"Đ","SAI")</f>
        <v/>
      </c>
      <c r="U51" s="529">
        <f>ROUND(H51*I51%,0)-J51</f>
        <v/>
      </c>
      <c r="V51" s="55">
        <f>IF(Q51=$V$12,13313,13311)</f>
        <v/>
      </c>
      <c r="W51" s="63" t="inlineStr">
        <is>
          <t>x</t>
        </is>
      </c>
    </row>
    <row r="52" ht="31.75" customHeight="1" s="344">
      <c r="A52" s="180" t="n">
        <v>35</v>
      </c>
      <c r="B52" s="182" t="inlineStr">
        <is>
          <t>1K26TAD</t>
        </is>
      </c>
      <c r="C52" s="278" t="inlineStr">
        <is>
          <t>'343</t>
        </is>
      </c>
      <c r="D52" s="181" t="n">
        <v>46282</v>
      </c>
      <c r="E52" s="182" t="inlineStr">
        <is>
          <t>CN TCT Điện Lực TPHCM TNHH - Công Ty Điện Lực Bến Cát</t>
        </is>
      </c>
      <c r="F52" s="278" t="inlineStr">
        <is>
          <t>'0300951119-007</t>
        </is>
      </c>
      <c r="G52" s="182" t="inlineStr">
        <is>
          <t>VTTB điều động (nối IPC)</t>
        </is>
      </c>
      <c r="H52" s="194" t="n">
        <v>24073147</v>
      </c>
      <c r="I52" s="180" t="n">
        <v>8</v>
      </c>
      <c r="J52" s="194" t="n">
        <v>1925852</v>
      </c>
      <c r="K52" s="182" t="inlineStr">
        <is>
          <t>AP0926-Y5</t>
        </is>
      </c>
      <c r="L52" s="182" t="inlineStr">
        <is>
          <t>GL</t>
        </is>
      </c>
      <c r="M52" s="278" t="inlineStr">
        <is>
          <t>'3164</t>
        </is>
      </c>
      <c r="N52" s="181" t="n">
        <v>46295</v>
      </c>
      <c r="O52" s="181" t="n">
        <v>46295</v>
      </c>
      <c r="P52" s="194" t="n">
        <v>25998999</v>
      </c>
      <c r="Q52" s="180" t="inlineStr">
        <is>
          <t>Không xác định</t>
        </is>
      </c>
      <c r="R52" s="180" t="inlineStr">
        <is>
          <t>HUENT.HCM.VTA</t>
        </is>
      </c>
      <c r="S52" s="182" t="inlineStr">
        <is>
          <t>Not Reversed</t>
        </is>
      </c>
      <c r="T52" s="57">
        <f>IF(OR(LEN(F52)=11,LEN(F52)=15),"Đ","SAI")</f>
        <v/>
      </c>
      <c r="U52" s="529">
        <f>ROUND(H52*I52%,0)-J52</f>
        <v/>
      </c>
      <c r="V52" s="55">
        <f>IF(Q52=$V$12,13313,13311)</f>
        <v/>
      </c>
    </row>
    <row r="53" ht="31.75" customHeight="1" s="344">
      <c r="A53" s="180" t="n">
        <v>36</v>
      </c>
      <c r="B53" s="182" t="inlineStr">
        <is>
          <t>1C26TYY</t>
        </is>
      </c>
      <c r="C53" s="278" t="inlineStr">
        <is>
          <t>'00000043</t>
        </is>
      </c>
      <c r="D53" s="181" t="n">
        <v>46224</v>
      </c>
      <c r="E53" s="182" t="inlineStr">
        <is>
          <t>Công Ty TNHH Thương Mại Dịch Vụ Viễn Thông Hai Kết Nối</t>
        </is>
      </c>
      <c r="F53" s="278" t="inlineStr">
        <is>
          <t>'0303575871</t>
        </is>
      </c>
      <c r="G53" s="182" t="inlineStr">
        <is>
          <t>Máy tính để bàn</t>
        </is>
      </c>
      <c r="H53" s="194" t="n">
        <v>21180000</v>
      </c>
      <c r="I53" s="180" t="n">
        <v>8</v>
      </c>
      <c r="J53" s="194" t="n">
        <v>1694400</v>
      </c>
      <c r="K53" s="182" t="inlineStr">
        <is>
          <t>AP0926-Y5</t>
        </is>
      </c>
      <c r="L53" s="182" t="inlineStr">
        <is>
          <t>GL</t>
        </is>
      </c>
      <c r="M53" s="278" t="inlineStr">
        <is>
          <t>'3164</t>
        </is>
      </c>
      <c r="N53" s="181" t="n">
        <v>46295</v>
      </c>
      <c r="O53" s="181" t="n">
        <v>46295</v>
      </c>
      <c r="P53" s="194" t="n">
        <v>22874400</v>
      </c>
      <c r="Q53" s="180" t="inlineStr">
        <is>
          <t>Không xác định</t>
        </is>
      </c>
      <c r="R53" s="180" t="inlineStr">
        <is>
          <t>HUENT.HCM.VTA</t>
        </is>
      </c>
      <c r="S53" s="182" t="inlineStr">
        <is>
          <t>Not Reversed</t>
        </is>
      </c>
      <c r="T53" s="57">
        <f>IF(OR(LEN(F53)=11,LEN(F53)=15),"Đ","SAI")</f>
        <v/>
      </c>
      <c r="U53" s="529">
        <f>ROUND(H53*I53%,0)-J53</f>
        <v/>
      </c>
      <c r="V53" s="55">
        <f>IF(Q53=$V$12,13313,13311)</f>
        <v/>
      </c>
    </row>
    <row r="54" ht="31.75" customHeight="1" s="344">
      <c r="A54" s="180" t="n">
        <v>37</v>
      </c>
      <c r="B54" s="182" t="inlineStr">
        <is>
          <t>1C26MVT</t>
        </is>
      </c>
      <c r="C54" s="278" t="inlineStr">
        <is>
          <t>'53886</t>
        </is>
      </c>
      <c r="D54" s="181" t="n">
        <v>46225</v>
      </c>
      <c r="E54" s="182" t="inlineStr">
        <is>
          <t>Chi Nhánh Công Ty TNHH Cao Phong Tại Vũng Tàu - Siêu Thị Điện Máy Nội Thất Chợ Lớn</t>
        </is>
      </c>
      <c r="F54" s="278" t="inlineStr">
        <is>
          <t>'0302309845-048</t>
        </is>
      </c>
      <c r="G54" s="182" t="inlineStr">
        <is>
          <t>Tủ lạnh</t>
        </is>
      </c>
      <c r="H54" s="194" t="n">
        <v>5083333</v>
      </c>
      <c r="I54" s="180" t="n">
        <v>8</v>
      </c>
      <c r="J54" s="194" t="n">
        <v>406667</v>
      </c>
      <c r="K54" s="182" t="inlineStr">
        <is>
          <t>AP0926-Y5</t>
        </is>
      </c>
      <c r="L54" s="182" t="inlineStr">
        <is>
          <t>GL</t>
        </is>
      </c>
      <c r="M54" s="278" t="inlineStr">
        <is>
          <t>'3164</t>
        </is>
      </c>
      <c r="N54" s="181" t="n">
        <v>46295</v>
      </c>
      <c r="O54" s="181" t="n">
        <v>46295</v>
      </c>
      <c r="P54" s="194" t="n">
        <v>5490000</v>
      </c>
      <c r="Q54" s="180" t="inlineStr">
        <is>
          <t>Không xác định</t>
        </is>
      </c>
      <c r="R54" s="180" t="inlineStr">
        <is>
          <t>HUENT.HCM.VTA</t>
        </is>
      </c>
      <c r="S54" s="182" t="inlineStr">
        <is>
          <t>Not Reversed</t>
        </is>
      </c>
      <c r="T54" s="57">
        <f>IF(OR(LEN(F54)=11,LEN(F54)=15),"Đ","SAI")</f>
        <v/>
      </c>
      <c r="U54" s="529">
        <f>ROUND(H54*I54%,0)-J54</f>
        <v/>
      </c>
      <c r="V54" s="55">
        <f>IF(Q54=$V$12,13313,13311)</f>
        <v/>
      </c>
    </row>
    <row r="55" ht="31.75" customHeight="1" s="344">
      <c r="A55" s="180" t="n">
        <v>38</v>
      </c>
      <c r="B55" s="182" t="inlineStr">
        <is>
          <t>1K26TAE</t>
        </is>
      </c>
      <c r="C55" s="278" t="inlineStr">
        <is>
          <t>'1725</t>
        </is>
      </c>
      <c r="D55" s="181" t="n">
        <v>46288</v>
      </c>
      <c r="E55" s="182" t="inlineStr">
        <is>
          <t>CN TCT Điện Lực TPHCM TNHH - Công Ty Điện Lực Bình Phú</t>
        </is>
      </c>
      <c r="F55" s="278" t="inlineStr">
        <is>
          <t>'0300951119-006</t>
        </is>
      </c>
      <c r="G55" s="182" t="inlineStr">
        <is>
          <t>Máy biến dòng</t>
        </is>
      </c>
      <c r="H55" s="194" t="n">
        <v>1094640</v>
      </c>
      <c r="I55" s="180" t="n">
        <v>8</v>
      </c>
      <c r="J55" s="194" t="n">
        <v>87571</v>
      </c>
      <c r="K55" s="182" t="inlineStr">
        <is>
          <t>AP0926-Y5</t>
        </is>
      </c>
      <c r="L55" s="182" t="inlineStr">
        <is>
          <t>GL</t>
        </is>
      </c>
      <c r="M55" s="278" t="inlineStr">
        <is>
          <t>'3164</t>
        </is>
      </c>
      <c r="N55" s="181" t="n">
        <v>46295</v>
      </c>
      <c r="O55" s="181" t="n">
        <v>46295</v>
      </c>
      <c r="P55" s="194" t="n">
        <v>1182211</v>
      </c>
      <c r="Q55" s="180" t="inlineStr">
        <is>
          <t>Không xác định</t>
        </is>
      </c>
      <c r="R55" s="180" t="inlineStr">
        <is>
          <t>HUENT.HCM.VTA</t>
        </is>
      </c>
      <c r="S55" s="182" t="inlineStr">
        <is>
          <t>Not Reversed</t>
        </is>
      </c>
      <c r="T55" s="57">
        <f>IF(OR(LEN(F55)=11,LEN(F55)=15),"Đ","SAI")</f>
        <v/>
      </c>
      <c r="U55" s="529">
        <f>ROUND(H55*I55%,0)-J55</f>
        <v/>
      </c>
      <c r="V55" s="55">
        <f>IF(Q55=$V$12,13313,13311)</f>
        <v/>
      </c>
    </row>
    <row r="56" ht="31.75" customHeight="1" s="344">
      <c r="A56" s="180" t="n">
        <v>39</v>
      </c>
      <c r="B56" s="182" t="inlineStr">
        <is>
          <t>1C26TDL</t>
        </is>
      </c>
      <c r="C56" s="278" t="inlineStr">
        <is>
          <t>'1</t>
        </is>
      </c>
      <c r="D56" s="181" t="n">
        <v>46258</v>
      </c>
      <c r="E56" s="182" t="inlineStr">
        <is>
          <t>Công Ty TNHH Duy Lộc</t>
        </is>
      </c>
      <c r="F56" s="278" t="inlineStr">
        <is>
          <t>'3501598474</t>
        </is>
      </c>
      <c r="G56" s="182" t="inlineStr">
        <is>
          <t>ĐTDĐ</t>
        </is>
      </c>
      <c r="H56" s="194" t="n">
        <v>6296296</v>
      </c>
      <c r="I56" s="180" t="n">
        <v>8</v>
      </c>
      <c r="J56" s="194" t="n">
        <v>503704</v>
      </c>
      <c r="K56" s="182" t="inlineStr">
        <is>
          <t>AP0926-Y5</t>
        </is>
      </c>
      <c r="L56" s="182" t="inlineStr">
        <is>
          <t>GL</t>
        </is>
      </c>
      <c r="M56" s="278" t="inlineStr">
        <is>
          <t>'3164</t>
        </is>
      </c>
      <c r="N56" s="181" t="n">
        <v>46295</v>
      </c>
      <c r="O56" s="181" t="n">
        <v>46295</v>
      </c>
      <c r="P56" s="194" t="n">
        <v>6800000</v>
      </c>
      <c r="Q56" s="180" t="inlineStr">
        <is>
          <t>Không xác định</t>
        </is>
      </c>
      <c r="R56" s="180" t="inlineStr">
        <is>
          <t>HUENT.HCM.VTA</t>
        </is>
      </c>
      <c r="S56" s="182" t="inlineStr">
        <is>
          <t>Not Reversed</t>
        </is>
      </c>
      <c r="T56" s="57">
        <f>IF(OR(LEN(F56)=11,LEN(F56)=15),"Đ","SAI")</f>
        <v/>
      </c>
      <c r="U56" s="529">
        <f>ROUND(H56*I56%,0)-J56</f>
        <v/>
      </c>
      <c r="V56" s="55">
        <f>IF(Q56=$V$12,13313,13311)</f>
        <v/>
      </c>
    </row>
    <row r="57" ht="31.75" customHeight="1" s="344">
      <c r="A57" s="180" t="n">
        <v>40</v>
      </c>
      <c r="B57" s="182" t="inlineStr">
        <is>
          <t>1K26TAS</t>
        </is>
      </c>
      <c r="C57" s="278" t="inlineStr">
        <is>
          <t>'110</t>
        </is>
      </c>
      <c r="D57" s="181" t="n">
        <v>46258</v>
      </c>
      <c r="E57" s="182" t="inlineStr">
        <is>
          <t>CN TCT Điện Lực TPHCM TNHH - Công Ty Điện Lực Đất Đỏ</t>
        </is>
      </c>
      <c r="F57" s="278" t="inlineStr">
        <is>
          <t>'0300951119-020</t>
        </is>
      </c>
      <c r="G57" s="182" t="inlineStr">
        <is>
          <t>VTTB điều động (cáp Muller lõi đồng)</t>
        </is>
      </c>
      <c r="H57" s="194" t="n">
        <v>6925924</v>
      </c>
      <c r="I57" s="180" t="n">
        <v>8</v>
      </c>
      <c r="J57" s="194" t="n">
        <v>554074</v>
      </c>
      <c r="K57" s="182" t="inlineStr">
        <is>
          <t>AP0926-Y5</t>
        </is>
      </c>
      <c r="L57" s="182" t="inlineStr">
        <is>
          <t>GL</t>
        </is>
      </c>
      <c r="M57" s="278" t="inlineStr">
        <is>
          <t>'3164</t>
        </is>
      </c>
      <c r="N57" s="181" t="n">
        <v>46295</v>
      </c>
      <c r="O57" s="181" t="n">
        <v>46295</v>
      </c>
      <c r="P57" s="194" t="n">
        <v>7479998</v>
      </c>
      <c r="Q57" s="180" t="inlineStr">
        <is>
          <t>Không xác định</t>
        </is>
      </c>
      <c r="R57" s="180" t="inlineStr">
        <is>
          <t>HUENT.HCM.VTA</t>
        </is>
      </c>
      <c r="S57" s="182" t="inlineStr">
        <is>
          <t>Not Reversed</t>
        </is>
      </c>
      <c r="T57" s="57">
        <f>IF(OR(LEN(F57)=11,LEN(F57)=15),"Đ","SAI")</f>
        <v/>
      </c>
      <c r="U57" s="529">
        <f>ROUND(H57*I57%,0)-J57</f>
        <v/>
      </c>
      <c r="V57" s="55">
        <f>IF(Q57=$V$12,13313,13311)</f>
        <v/>
      </c>
    </row>
    <row r="58" ht="31.75" customHeight="1" s="344">
      <c r="A58" s="180" t="n">
        <v>41</v>
      </c>
      <c r="B58" s="182" t="inlineStr">
        <is>
          <t>1K26TAS</t>
        </is>
      </c>
      <c r="C58" s="278" t="inlineStr">
        <is>
          <t>'111</t>
        </is>
      </c>
      <c r="D58" s="181" t="n">
        <v>46258</v>
      </c>
      <c r="E58" s="182" t="inlineStr">
        <is>
          <t>CN TCT Điện Lực TPHCM TNHH - Công Ty Điện Lực Đất Đỏ</t>
        </is>
      </c>
      <c r="F58" s="278" t="inlineStr">
        <is>
          <t>'0300951119-020</t>
        </is>
      </c>
      <c r="G58" s="182" t="inlineStr">
        <is>
          <t>VTTB điều động (cáp Muller lõi đồng)</t>
        </is>
      </c>
      <c r="H58" s="194" t="n">
        <v>53052000</v>
      </c>
      <c r="I58" s="180" t="n">
        <v>8</v>
      </c>
      <c r="J58" s="194" t="n">
        <v>4244160</v>
      </c>
      <c r="K58" s="182" t="inlineStr">
        <is>
          <t>AP0926-Y5</t>
        </is>
      </c>
      <c r="L58" s="182" t="inlineStr">
        <is>
          <t>GL</t>
        </is>
      </c>
      <c r="M58" s="278" t="inlineStr">
        <is>
          <t>'3164</t>
        </is>
      </c>
      <c r="N58" s="181" t="n">
        <v>46295</v>
      </c>
      <c r="O58" s="181" t="n">
        <v>46295</v>
      </c>
      <c r="P58" s="194" t="n">
        <v>57296160</v>
      </c>
      <c r="Q58" s="180" t="inlineStr">
        <is>
          <t>Không xác định</t>
        </is>
      </c>
      <c r="R58" s="180" t="inlineStr">
        <is>
          <t>HUENT.HCM.VTA</t>
        </is>
      </c>
      <c r="S58" s="182" t="inlineStr">
        <is>
          <t>Not Reversed</t>
        </is>
      </c>
      <c r="T58" s="57">
        <f>IF(OR(LEN(F58)=11,LEN(F58)=15),"Đ","SAI")</f>
        <v/>
      </c>
      <c r="U58" s="529">
        <f>ROUND(H58*I58%,0)-J58</f>
        <v/>
      </c>
      <c r="V58" s="55">
        <f>IF(Q58=$V$12,13313,13311)</f>
        <v/>
      </c>
    </row>
    <row r="59" ht="31.75" customHeight="1" s="344">
      <c r="A59" s="180" t="n">
        <v>42</v>
      </c>
      <c r="B59" s="182" t="inlineStr">
        <is>
          <t>1K26TAS</t>
        </is>
      </c>
      <c r="C59" s="278" t="inlineStr">
        <is>
          <t>'223</t>
        </is>
      </c>
      <c r="D59" s="181" t="n">
        <v>46258</v>
      </c>
      <c r="E59" s="182" t="inlineStr">
        <is>
          <t>CN TCT Điện Lực TPHCM TNHH - Công Ty Điện Lực Đất Đỏ</t>
        </is>
      </c>
      <c r="F59" s="278" t="inlineStr">
        <is>
          <t>'0300951119-020</t>
        </is>
      </c>
      <c r="G59" s="182" t="inlineStr">
        <is>
          <t>VTTB điều động (cáp Muller lõi đồng)</t>
        </is>
      </c>
      <c r="H59" s="194" t="n">
        <v>36740133</v>
      </c>
      <c r="I59" s="180" t="n">
        <v>8</v>
      </c>
      <c r="J59" s="194" t="n">
        <v>2939211</v>
      </c>
      <c r="K59" s="182" t="inlineStr">
        <is>
          <t>AP0926-Y5</t>
        </is>
      </c>
      <c r="L59" s="182" t="inlineStr">
        <is>
          <t>GL</t>
        </is>
      </c>
      <c r="M59" s="278" t="inlineStr">
        <is>
          <t>'3164</t>
        </is>
      </c>
      <c r="N59" s="181" t="n">
        <v>46295</v>
      </c>
      <c r="O59" s="181" t="n">
        <v>46295</v>
      </c>
      <c r="P59" s="194" t="n">
        <v>39679344</v>
      </c>
      <c r="Q59" s="180" t="inlineStr">
        <is>
          <t>Không xác định</t>
        </is>
      </c>
      <c r="R59" s="180" t="inlineStr">
        <is>
          <t>HUENT.HCM.VTA</t>
        </is>
      </c>
      <c r="S59" s="182" t="inlineStr">
        <is>
          <t>Not Reversed</t>
        </is>
      </c>
      <c r="T59" s="57">
        <f>IF(OR(LEN(F59)=11,LEN(F59)=15),"Đ","SAI")</f>
        <v/>
      </c>
      <c r="U59" s="529">
        <f>ROUND(H59*I59%,0)-J59</f>
        <v/>
      </c>
      <c r="V59" s="55">
        <f>IF(Q59=$V$12,13313,13311)</f>
        <v/>
      </c>
    </row>
    <row r="60" ht="31.75" customHeight="1" s="344">
      <c r="A60" s="180" t="n">
        <v>43</v>
      </c>
      <c r="B60" s="182" t="inlineStr">
        <is>
          <t>1K26TAV</t>
        </is>
      </c>
      <c r="C60" s="278" t="inlineStr">
        <is>
          <t>'720</t>
        </is>
      </c>
      <c r="D60" s="181" t="n">
        <v>46259</v>
      </c>
      <c r="E60" s="182" t="inlineStr">
        <is>
          <t>CN TCT Điện Lực TPHCM TNHH - Công Ty Thí Nghiệm Điện Lực TPHCM</t>
        </is>
      </c>
      <c r="F60" s="278" t="inlineStr">
        <is>
          <t>'0300951119-018</t>
        </is>
      </c>
      <c r="G60" s="182" t="inlineStr">
        <is>
          <t>Thùng carton</t>
        </is>
      </c>
      <c r="H60" s="194" t="n">
        <v>1653250</v>
      </c>
      <c r="I60" s="180" t="n">
        <v>8</v>
      </c>
      <c r="J60" s="194" t="n">
        <v>132260</v>
      </c>
      <c r="K60" s="182" t="inlineStr">
        <is>
          <t>AP0926-Y5</t>
        </is>
      </c>
      <c r="L60" s="182" t="inlineStr">
        <is>
          <t>GL</t>
        </is>
      </c>
      <c r="M60" s="278" t="inlineStr">
        <is>
          <t>'3164</t>
        </is>
      </c>
      <c r="N60" s="181" t="n">
        <v>46295</v>
      </c>
      <c r="O60" s="181" t="n">
        <v>46295</v>
      </c>
      <c r="P60" s="194" t="n">
        <v>1785510</v>
      </c>
      <c r="Q60" s="180" t="inlineStr">
        <is>
          <t>Không xác định</t>
        </is>
      </c>
      <c r="R60" s="180" t="inlineStr">
        <is>
          <t>HUENT.HCM.VTA</t>
        </is>
      </c>
      <c r="S60" s="182" t="inlineStr">
        <is>
          <t>Not Reversed</t>
        </is>
      </c>
      <c r="T60" s="57">
        <f>IF(OR(LEN(F60)=11,LEN(F60)=15),"Đ","SAI")</f>
        <v/>
      </c>
      <c r="U60" s="529">
        <f>ROUND(H60*I60%,0)-J60</f>
        <v/>
      </c>
      <c r="V60" s="55">
        <f>IF(Q60=$V$12,13313,13311)</f>
        <v/>
      </c>
    </row>
    <row r="61" ht="31.75" customHeight="1" s="344">
      <c r="A61" s="180" t="n">
        <v>44</v>
      </c>
      <c r="B61" s="182" t="inlineStr">
        <is>
          <t>1K26TAV</t>
        </is>
      </c>
      <c r="C61" s="278" t="inlineStr">
        <is>
          <t>'849</t>
        </is>
      </c>
      <c r="D61" s="181" t="n">
        <v>46290</v>
      </c>
      <c r="E61" s="182" t="inlineStr">
        <is>
          <t>CN TCT Điện Lực TPHCM TNHH - Công Ty Thí Nghiệm Điện Lực TPHCM</t>
        </is>
      </c>
      <c r="F61" s="278" t="inlineStr">
        <is>
          <t>'0300951119-018</t>
        </is>
      </c>
      <c r="G61" s="182" t="inlineStr">
        <is>
          <t>VTTB điều động(Thùng giấy carton)</t>
        </is>
      </c>
      <c r="H61" s="194" t="n">
        <v>2842600</v>
      </c>
      <c r="I61" s="180" t="n">
        <v>8</v>
      </c>
      <c r="J61" s="194" t="n">
        <v>227408</v>
      </c>
      <c r="K61" s="182" t="inlineStr">
        <is>
          <t>AP0926-Y5</t>
        </is>
      </c>
      <c r="L61" s="182" t="inlineStr">
        <is>
          <t>GL</t>
        </is>
      </c>
      <c r="M61" s="278" t="inlineStr">
        <is>
          <t>'3164</t>
        </is>
      </c>
      <c r="N61" s="181" t="n">
        <v>46295</v>
      </c>
      <c r="O61" s="181" t="n">
        <v>46295</v>
      </c>
      <c r="P61" s="194" t="n">
        <v>3070008</v>
      </c>
      <c r="Q61" s="180" t="inlineStr">
        <is>
          <t>Không xác định</t>
        </is>
      </c>
      <c r="R61" s="180" t="inlineStr">
        <is>
          <t>HUENT.HCM.VTA</t>
        </is>
      </c>
      <c r="S61" s="182" t="inlineStr">
        <is>
          <t>Not Reversed</t>
        </is>
      </c>
      <c r="T61" s="57">
        <f>IF(OR(LEN(F61)=11,LEN(F61)=15),"Đ","SAI")</f>
        <v/>
      </c>
      <c r="U61" s="529">
        <f>ROUND(H61*I61%,0)-J61</f>
        <v/>
      </c>
      <c r="V61" s="55">
        <f>IF(Q61=$V$12,13313,13311)</f>
        <v/>
      </c>
    </row>
    <row r="62" ht="31.75" customHeight="1" s="344">
      <c r="A62" s="180" t="n">
        <v>45</v>
      </c>
      <c r="B62" s="182" t="inlineStr">
        <is>
          <t>126TBB</t>
        </is>
      </c>
      <c r="C62" s="278" t="inlineStr">
        <is>
          <t>'124</t>
        </is>
      </c>
      <c r="D62" s="181" t="n">
        <v>46260</v>
      </c>
      <c r="E62" s="182" t="inlineStr">
        <is>
          <t>CN TCT Điện Lực TPHCM TNHH - Công Ty Công NGhệ Thông Tin Điện Lực TPHCM</t>
        </is>
      </c>
      <c r="F62" s="278" t="inlineStr">
        <is>
          <t>'0300951119-023</t>
        </is>
      </c>
      <c r="G62" s="182" t="inlineStr">
        <is>
          <t>Modem</t>
        </is>
      </c>
      <c r="H62" s="194" t="n">
        <v>136137117</v>
      </c>
      <c r="I62" s="180" t="n">
        <v>8</v>
      </c>
      <c r="J62" s="194" t="n">
        <v>10890969</v>
      </c>
      <c r="K62" s="182" t="inlineStr">
        <is>
          <t>AP0926-Y5</t>
        </is>
      </c>
      <c r="L62" s="182" t="inlineStr">
        <is>
          <t>GL</t>
        </is>
      </c>
      <c r="M62" s="278" t="inlineStr">
        <is>
          <t>'3164</t>
        </is>
      </c>
      <c r="N62" s="181" t="n">
        <v>46295</v>
      </c>
      <c r="O62" s="181" t="n">
        <v>46295</v>
      </c>
      <c r="P62" s="194" t="n">
        <v>147028086</v>
      </c>
      <c r="Q62" s="180" t="inlineStr">
        <is>
          <t>Không xác định</t>
        </is>
      </c>
      <c r="R62" s="180" t="inlineStr">
        <is>
          <t>HUENT.HCM.VTA</t>
        </is>
      </c>
      <c r="S62" s="182" t="inlineStr">
        <is>
          <t>Not Reversed</t>
        </is>
      </c>
      <c r="T62" s="57">
        <f>IF(OR(LEN(F62)=11,LEN(F62)=15),"Đ","SAI")</f>
        <v/>
      </c>
      <c r="U62" s="529">
        <f>ROUND(H62*I62%,0)-J62</f>
        <v/>
      </c>
      <c r="V62" s="55">
        <f>IF(Q62=$V$12,13313,13311)</f>
        <v/>
      </c>
    </row>
    <row r="63" ht="31.75" customHeight="1" s="344">
      <c r="A63" s="180" t="n">
        <v>46</v>
      </c>
      <c r="B63" s="182" t="inlineStr">
        <is>
          <t>1C26TBD</t>
        </is>
      </c>
      <c r="C63" s="278" t="inlineStr">
        <is>
          <t>'00035902</t>
        </is>
      </c>
      <c r="D63" s="181" t="n">
        <v>46262</v>
      </c>
      <c r="E63" s="182" t="inlineStr">
        <is>
          <t>Công Ty Cổ phần Ứng Dụng Bản Đồ Việt</t>
        </is>
      </c>
      <c r="F63" s="278" t="inlineStr">
        <is>
          <t>'0304729926</t>
        </is>
      </c>
      <c r="G63" s="182" t="inlineStr">
        <is>
          <t>Thiết bị giám sát hành trình</t>
        </is>
      </c>
      <c r="H63" s="194" t="n">
        <v>31000000</v>
      </c>
      <c r="I63" s="180" t="n">
        <v>10</v>
      </c>
      <c r="J63" s="194" t="n">
        <v>3100000</v>
      </c>
      <c r="K63" s="182" t="inlineStr">
        <is>
          <t>AP0926-Y5</t>
        </is>
      </c>
      <c r="L63" s="182" t="inlineStr">
        <is>
          <t>GL</t>
        </is>
      </c>
      <c r="M63" s="278" t="inlineStr">
        <is>
          <t>'3164</t>
        </is>
      </c>
      <c r="N63" s="181" t="n">
        <v>46295</v>
      </c>
      <c r="O63" s="181" t="n">
        <v>46295</v>
      </c>
      <c r="P63" s="194" t="n">
        <v>34100000</v>
      </c>
      <c r="Q63" s="180" t="inlineStr">
        <is>
          <t>Không xác định</t>
        </is>
      </c>
      <c r="R63" s="180" t="inlineStr">
        <is>
          <t>HUENT.HCM.VTA</t>
        </is>
      </c>
      <c r="S63" s="182" t="inlineStr">
        <is>
          <t>Not Reversed</t>
        </is>
      </c>
      <c r="T63" s="57">
        <f>IF(OR(LEN(F63)=11,LEN(F63)=15),"Đ","SAI")</f>
        <v/>
      </c>
      <c r="U63" s="529">
        <f>ROUND(H63*I63%,0)-J63</f>
        <v/>
      </c>
      <c r="V63" s="55">
        <f>IF(Q63=$V$12,13313,13311)</f>
        <v/>
      </c>
    </row>
    <row r="64" ht="31.75" customHeight="1" s="344">
      <c r="A64" s="180" t="n">
        <v>47</v>
      </c>
      <c r="B64" s="182" t="inlineStr">
        <is>
          <t>1C26TBD</t>
        </is>
      </c>
      <c r="C64" s="278" t="inlineStr">
        <is>
          <t>'00035902</t>
        </is>
      </c>
      <c r="D64" s="181" t="n">
        <v>46262</v>
      </c>
      <c r="E64" s="182" t="inlineStr">
        <is>
          <t>Công Ty Cổ phần Ứng Dụng Bản Đồ Việt</t>
        </is>
      </c>
      <c r="F64" s="278" t="inlineStr">
        <is>
          <t>'0304729926</t>
        </is>
      </c>
      <c r="G64" s="182" t="inlineStr">
        <is>
          <t>Thiết bị giám sát hành trình</t>
        </is>
      </c>
      <c r="H64" s="194" t="n">
        <v>4000000</v>
      </c>
      <c r="I64" s="180" t="n">
        <v>8</v>
      </c>
      <c r="J64" s="194" t="n">
        <v>320000</v>
      </c>
      <c r="K64" s="182" t="inlineStr">
        <is>
          <t>AP0926-Y5</t>
        </is>
      </c>
      <c r="L64" s="182" t="inlineStr">
        <is>
          <t>GL</t>
        </is>
      </c>
      <c r="M64" s="278" t="inlineStr">
        <is>
          <t>'3164</t>
        </is>
      </c>
      <c r="N64" s="181" t="n">
        <v>46295</v>
      </c>
      <c r="O64" s="181" t="n">
        <v>46295</v>
      </c>
      <c r="P64" s="194" t="n">
        <v>4320000</v>
      </c>
      <c r="Q64" s="180" t="inlineStr">
        <is>
          <t>Không xác định</t>
        </is>
      </c>
      <c r="R64" s="180" t="inlineStr">
        <is>
          <t>HUENT.HCM.VTA</t>
        </is>
      </c>
      <c r="S64" s="182" t="inlineStr">
        <is>
          <t>Not Reversed</t>
        </is>
      </c>
      <c r="T64" s="57">
        <f>IF(OR(LEN(F64)=11,LEN(F64)=15),"Đ","SAI")</f>
        <v/>
      </c>
      <c r="U64" s="529">
        <f>ROUND(H64*I64%,0)-J64</f>
        <v/>
      </c>
      <c r="V64" s="55">
        <f>IF(Q64=$V$12,13313,13311)</f>
        <v/>
      </c>
    </row>
    <row r="65" ht="31.75" customHeight="1" s="344">
      <c r="A65" s="180" t="n">
        <v>48</v>
      </c>
      <c r="B65" s="182" t="inlineStr">
        <is>
          <t>1K26TAC</t>
        </is>
      </c>
      <c r="C65" s="278" t="inlineStr">
        <is>
          <t>'221</t>
        </is>
      </c>
      <c r="D65" s="181" t="n">
        <v>46233</v>
      </c>
      <c r="E65" s="182" t="inlineStr">
        <is>
          <t>CN TCT Điện Lực TPHCM TNHH - Công Ty Điện Lực Thuận An</t>
        </is>
      </c>
      <c r="F65" s="278" t="inlineStr">
        <is>
          <t>'0300951119-002</t>
        </is>
      </c>
      <c r="G65" s="182" t="inlineStr">
        <is>
          <t>VTTB điều động (máy biến dòng)</t>
        </is>
      </c>
      <c r="H65" s="194" t="n">
        <v>1639548</v>
      </c>
      <c r="I65" s="180" t="n">
        <v>8</v>
      </c>
      <c r="J65" s="194" t="n">
        <v>131164</v>
      </c>
      <c r="K65" s="182" t="inlineStr">
        <is>
          <t>AP0926-Y5</t>
        </is>
      </c>
      <c r="L65" s="182" t="inlineStr">
        <is>
          <t>GL</t>
        </is>
      </c>
      <c r="M65" s="278" t="inlineStr">
        <is>
          <t>'3164</t>
        </is>
      </c>
      <c r="N65" s="181" t="n">
        <v>46295</v>
      </c>
      <c r="O65" s="181" t="n">
        <v>46295</v>
      </c>
      <c r="P65" s="194" t="n">
        <v>1770712</v>
      </c>
      <c r="Q65" s="180" t="inlineStr">
        <is>
          <t>Không xác định</t>
        </is>
      </c>
      <c r="R65" s="180" t="inlineStr">
        <is>
          <t>HUENT.HCM.VTA</t>
        </is>
      </c>
      <c r="S65" s="182" t="inlineStr">
        <is>
          <t>Not Reversed</t>
        </is>
      </c>
      <c r="T65" s="57">
        <f>IF(OR(LEN(F65)=11,LEN(F65)=15),"Đ","SAI")</f>
        <v/>
      </c>
      <c r="U65" s="529">
        <f>ROUND(H65*I65%,0)-J65</f>
        <v/>
      </c>
      <c r="V65" s="55">
        <f>IF(Q65=$V$12,13313,13311)</f>
        <v/>
      </c>
    </row>
    <row r="66" ht="31.75" customHeight="1" s="344">
      <c r="A66" s="180" t="n">
        <v>49</v>
      </c>
      <c r="B66" s="182" t="inlineStr">
        <is>
          <t>1K26TDA</t>
        </is>
      </c>
      <c r="C66" s="278" t="inlineStr">
        <is>
          <t>'1937870</t>
        </is>
      </c>
      <c r="D66" s="181" t="n">
        <v>46267</v>
      </c>
      <c r="E66" s="182" t="inlineStr">
        <is>
          <t>CN TỔNG CÔNG TY ĐIỆN LỰC TP HỒ CHÍ MINH - CÔNG TY ĐIỆN LỰC VŨNG TÀU</t>
        </is>
      </c>
      <c r="F66" s="278" t="inlineStr">
        <is>
          <t>'0300951119-010</t>
        </is>
      </c>
      <c r="G66" s="182" t="inlineStr">
        <is>
          <t>tiền điện T08-2026</t>
        </is>
      </c>
      <c r="H66" s="194" t="n">
        <v>1526710</v>
      </c>
      <c r="I66" s="180" t="n">
        <v>8</v>
      </c>
      <c r="J66" s="194" t="n">
        <v>122137</v>
      </c>
      <c r="K66" s="182" t="inlineStr">
        <is>
          <t>CK</t>
        </is>
      </c>
      <c r="L66" s="182" t="inlineStr">
        <is>
          <t>GL</t>
        </is>
      </c>
      <c r="M66" s="278" t="inlineStr">
        <is>
          <t>'3173</t>
        </is>
      </c>
      <c r="N66" s="181" t="n">
        <v>46295</v>
      </c>
      <c r="O66" s="181" t="n">
        <v>46295</v>
      </c>
      <c r="P66" s="194" t="n">
        <v>1648847</v>
      </c>
      <c r="Q66" s="180" t="inlineStr">
        <is>
          <t>Không xác định</t>
        </is>
      </c>
      <c r="R66" s="180" t="inlineStr">
        <is>
          <t>THAOPTT.HCM.VTA</t>
        </is>
      </c>
      <c r="S66" s="182" t="inlineStr">
        <is>
          <t>Not Reversed</t>
        </is>
      </c>
      <c r="T66" s="57">
        <f>IF(OR(LEN(F66)=11,LEN(F66)=15),"Đ","SAI")</f>
        <v/>
      </c>
      <c r="U66" s="529">
        <f>ROUND(H66*I66%,0)-J66</f>
        <v/>
      </c>
      <c r="V66" s="55">
        <f>IF(Q66=$V$12,13313,13311)</f>
        <v/>
      </c>
    </row>
    <row r="67" ht="31.75" customHeight="1" s="344">
      <c r="A67" s="180" t="n">
        <v>50</v>
      </c>
      <c r="B67" s="182" t="inlineStr">
        <is>
          <t>1K26TDA</t>
        </is>
      </c>
      <c r="C67" s="278" t="inlineStr">
        <is>
          <t>'1937871</t>
        </is>
      </c>
      <c r="D67" s="181" t="n">
        <v>46267</v>
      </c>
      <c r="E67" s="182" t="inlineStr">
        <is>
          <t>CN TỔNG CÔNG TY ĐIỆN LỰC TP HỒ CHÍ MINH - CÔNG TY ĐIỆN LỰC VŨNG TÀU</t>
        </is>
      </c>
      <c r="F67" s="278" t="inlineStr">
        <is>
          <t>'0300951119-010</t>
        </is>
      </c>
      <c r="G67" s="182" t="inlineStr">
        <is>
          <t>tiền điện T08-2026</t>
        </is>
      </c>
      <c r="H67" s="194" t="n">
        <v>9148860</v>
      </c>
      <c r="I67" s="180" t="n">
        <v>8</v>
      </c>
      <c r="J67" s="194" t="n">
        <v>731909</v>
      </c>
      <c r="K67" s="182" t="inlineStr">
        <is>
          <t>CK</t>
        </is>
      </c>
      <c r="L67" s="182" t="inlineStr">
        <is>
          <t>GL</t>
        </is>
      </c>
      <c r="M67" s="278" t="inlineStr">
        <is>
          <t>'3173</t>
        </is>
      </c>
      <c r="N67" s="181" t="n">
        <v>46295</v>
      </c>
      <c r="O67" s="181" t="n">
        <v>46295</v>
      </c>
      <c r="P67" s="194" t="n">
        <v>9880769</v>
      </c>
      <c r="Q67" s="180" t="inlineStr">
        <is>
          <t>Không xác định</t>
        </is>
      </c>
      <c r="R67" s="180" t="inlineStr">
        <is>
          <t>THAOPTT.HCM.VTA</t>
        </is>
      </c>
      <c r="S67" s="182" t="inlineStr">
        <is>
          <t>Not Reversed</t>
        </is>
      </c>
      <c r="T67" s="57">
        <f>IF(OR(LEN(F67)=11,LEN(F67)=15),"Đ","SAI")</f>
        <v/>
      </c>
      <c r="U67" s="529">
        <f>ROUND(H67*I67%,0)-J67</f>
        <v/>
      </c>
      <c r="V67" s="55">
        <f>IF(Q67=$V$12,13313,13311)</f>
        <v/>
      </c>
    </row>
    <row r="68" ht="14.4" customHeight="1" s="344">
      <c r="A68" s="180" t="n">
        <v>51</v>
      </c>
      <c r="B68" s="182" t="inlineStr">
        <is>
          <t>1K26TDA</t>
        </is>
      </c>
      <c r="C68" s="278" t="inlineStr">
        <is>
          <t>'1937961</t>
        </is>
      </c>
      <c r="D68" s="181" t="n">
        <v>46267</v>
      </c>
      <c r="E68" s="182" t="inlineStr">
        <is>
          <t>CN TỔNG CÔNG TY ĐIỆN LỰC TP HỒ CHÍ MINH - CÔNG TY ĐIỆN LỰC VŨNG TÀU</t>
        </is>
      </c>
      <c r="F68" s="278" t="inlineStr">
        <is>
          <t>'0300951119-010</t>
        </is>
      </c>
      <c r="G68" s="182" t="inlineStr">
        <is>
          <t>tiền điện T08-2026</t>
        </is>
      </c>
      <c r="H68" s="194" t="n">
        <v>1857845</v>
      </c>
      <c r="I68" s="180" t="n">
        <v>8</v>
      </c>
      <c r="J68" s="194" t="n">
        <v>148628</v>
      </c>
      <c r="K68" s="182" t="inlineStr">
        <is>
          <t>CK</t>
        </is>
      </c>
      <c r="L68" s="182" t="inlineStr">
        <is>
          <t>GL</t>
        </is>
      </c>
      <c r="M68" s="278" t="inlineStr">
        <is>
          <t>'3173</t>
        </is>
      </c>
      <c r="N68" s="181" t="n">
        <v>46295</v>
      </c>
      <c r="O68" s="181" t="n">
        <v>46295</v>
      </c>
      <c r="P68" s="194" t="n">
        <v>2006473</v>
      </c>
      <c r="Q68" s="180" t="inlineStr">
        <is>
          <t>Không xác định</t>
        </is>
      </c>
      <c r="R68" s="180" t="inlineStr">
        <is>
          <t>THAOPTT.HCM.VTA</t>
        </is>
      </c>
      <c r="S68" s="182" t="inlineStr">
        <is>
          <t>Not Reversed</t>
        </is>
      </c>
      <c r="T68" s="57">
        <f>IF(OR(LEN(F68)=11,LEN(F68)=15),"Đ","SAI")</f>
        <v/>
      </c>
      <c r="U68" s="529">
        <f>ROUND(H68*I68%,0)-J68</f>
        <v/>
      </c>
      <c r="V68" s="55">
        <f>IF(Q68=$V$12,13313,13311)</f>
        <v/>
      </c>
    </row>
    <row r="69" ht="31.75" customHeight="1" s="344">
      <c r="A69" s="180" t="n">
        <v>52</v>
      </c>
      <c r="B69" s="182" t="inlineStr">
        <is>
          <t>1K26TDA</t>
        </is>
      </c>
      <c r="C69" s="278" t="inlineStr">
        <is>
          <t>'1937984</t>
        </is>
      </c>
      <c r="D69" s="181" t="n">
        <v>46267</v>
      </c>
      <c r="E69" s="182" t="inlineStr">
        <is>
          <t>CN TỔNG CÔNG TY ĐIỆN LỰC TP HỒ CHÍ MINH - CÔNG TY ĐIỆN LỰC VŨNG TÀU</t>
        </is>
      </c>
      <c r="F69" s="278" t="inlineStr">
        <is>
          <t>'0300951119-010</t>
        </is>
      </c>
      <c r="G69" s="182" t="inlineStr">
        <is>
          <t>tiền điện T08-2026</t>
        </is>
      </c>
      <c r="H69" s="194" t="n">
        <v>12897364</v>
      </c>
      <c r="I69" s="180" t="n">
        <v>8</v>
      </c>
      <c r="J69" s="194" t="n">
        <v>1031789</v>
      </c>
      <c r="K69" s="182" t="inlineStr">
        <is>
          <t>CK</t>
        </is>
      </c>
      <c r="L69" s="182" t="inlineStr">
        <is>
          <t>GL</t>
        </is>
      </c>
      <c r="M69" s="278" t="inlineStr">
        <is>
          <t>'3173</t>
        </is>
      </c>
      <c r="N69" s="181" t="n">
        <v>46295</v>
      </c>
      <c r="O69" s="181" t="n">
        <v>46295</v>
      </c>
      <c r="P69" s="194" t="n">
        <v>13929153</v>
      </c>
      <c r="Q69" s="180" t="inlineStr">
        <is>
          <t>Không xác định</t>
        </is>
      </c>
      <c r="R69" s="180" t="inlineStr">
        <is>
          <t>THAOPTT.HCM.VTA</t>
        </is>
      </c>
      <c r="S69" s="182" t="inlineStr">
        <is>
          <t>Not Reversed</t>
        </is>
      </c>
      <c r="T69" s="57">
        <f>IF(OR(LEN(F69)=11,LEN(F69)=15),"Đ","SAI")</f>
        <v/>
      </c>
      <c r="U69" s="529">
        <f>ROUND(H69*I69%,0)-J69</f>
        <v/>
      </c>
      <c r="V69" s="55">
        <f>IF(Q69=$V$12,13313,13311)</f>
        <v/>
      </c>
    </row>
    <row r="70" ht="31.75" customHeight="1" s="344">
      <c r="A70" s="180" t="n">
        <v>53</v>
      </c>
      <c r="B70" s="182" t="inlineStr">
        <is>
          <t>1K26TDA</t>
        </is>
      </c>
      <c r="C70" s="278" t="inlineStr">
        <is>
          <t>'1952868</t>
        </is>
      </c>
      <c r="D70" s="181" t="n">
        <v>46267</v>
      </c>
      <c r="E70" s="182" t="inlineStr">
        <is>
          <t>CN TỔNG CÔNG TY ĐIỆN LỰC TP HỒ CHÍ MINH - CÔNG TY ĐIỆN LỰC VŨNG TÀU</t>
        </is>
      </c>
      <c r="F70" s="278" t="inlineStr">
        <is>
          <t>'0300951119-010</t>
        </is>
      </c>
      <c r="G70" s="182" t="inlineStr">
        <is>
          <t>tiền điện T08-2026</t>
        </is>
      </c>
      <c r="H70" s="194" t="n">
        <v>51964080</v>
      </c>
      <c r="I70" s="180" t="n">
        <v>8</v>
      </c>
      <c r="J70" s="194" t="n">
        <v>4157126</v>
      </c>
      <c r="K70" s="182" t="inlineStr">
        <is>
          <t>CK</t>
        </is>
      </c>
      <c r="L70" s="182" t="inlineStr">
        <is>
          <t>GL</t>
        </is>
      </c>
      <c r="M70" s="278" t="inlineStr">
        <is>
          <t>'3173</t>
        </is>
      </c>
      <c r="N70" s="181" t="n">
        <v>46295</v>
      </c>
      <c r="O70" s="181" t="n">
        <v>46295</v>
      </c>
      <c r="P70" s="194" t="n">
        <v>56121206</v>
      </c>
      <c r="Q70" s="180" t="inlineStr">
        <is>
          <t>Không xác định</t>
        </is>
      </c>
      <c r="R70" s="180" t="inlineStr">
        <is>
          <t>THAOPTT.HCM.VTA</t>
        </is>
      </c>
      <c r="S70" s="182" t="inlineStr">
        <is>
          <t>Not Reversed</t>
        </is>
      </c>
      <c r="T70" s="57">
        <f>IF(OR(LEN(F70)=11,LEN(F70)=15),"Đ","SAI")</f>
        <v/>
      </c>
      <c r="U70" s="529">
        <f>ROUND(H70*I70%,0)-J70</f>
        <v/>
      </c>
      <c r="V70" s="55">
        <f>IF(Q70=$V$12,13313,13311)</f>
        <v/>
      </c>
    </row>
    <row r="71" ht="14.4" customHeight="1" s="344">
      <c r="A71" s="180" t="n">
        <v>54</v>
      </c>
      <c r="B71" s="182" t="inlineStr">
        <is>
          <t>1K26TDA</t>
        </is>
      </c>
      <c r="C71" s="278" t="inlineStr">
        <is>
          <t>'2030407</t>
        </is>
      </c>
      <c r="D71" s="181" t="n">
        <v>46267</v>
      </c>
      <c r="E71" s="182" t="inlineStr">
        <is>
          <t>CN TỔNG CÔNG TY ĐIỆN LỰC TP HỒ CHÍ MINH - CÔNG TY ĐIỆN LỰC VŨNG TÀU</t>
        </is>
      </c>
      <c r="F71" s="278" t="inlineStr">
        <is>
          <t>'0300951119-010</t>
        </is>
      </c>
      <c r="G71" s="182" t="inlineStr">
        <is>
          <t>tiền điện T08-2026</t>
        </is>
      </c>
      <c r="H71" s="194" t="n">
        <v>7118004</v>
      </c>
      <c r="I71" s="180" t="n">
        <v>8</v>
      </c>
      <c r="J71" s="194" t="n">
        <v>569440</v>
      </c>
      <c r="K71" s="182" t="inlineStr">
        <is>
          <t>CK</t>
        </is>
      </c>
      <c r="L71" s="182" t="inlineStr">
        <is>
          <t>GL</t>
        </is>
      </c>
      <c r="M71" s="278" t="inlineStr">
        <is>
          <t>'3173</t>
        </is>
      </c>
      <c r="N71" s="181" t="n">
        <v>46295</v>
      </c>
      <c r="O71" s="181" t="n">
        <v>46295</v>
      </c>
      <c r="P71" s="194" t="n">
        <v>7687444</v>
      </c>
      <c r="Q71" s="180" t="inlineStr">
        <is>
          <t>Không xác định</t>
        </is>
      </c>
      <c r="R71" s="180" t="inlineStr">
        <is>
          <t>THAOPTT.HCM.VTA</t>
        </is>
      </c>
      <c r="S71" s="182" t="inlineStr">
        <is>
          <t>Not Reversed</t>
        </is>
      </c>
      <c r="T71" s="57">
        <f>IF(OR(LEN(F71)=11,LEN(F71)=15),"Đ","SAI")</f>
        <v/>
      </c>
      <c r="U71" s="529">
        <f>ROUND(H71*I71%,0)-J71</f>
        <v/>
      </c>
      <c r="V71" s="55">
        <f>IF(Q71=$V$12,13313,13311)</f>
        <v/>
      </c>
    </row>
    <row r="72" ht="21.65" customHeight="1" s="344">
      <c r="A72" s="180" t="n">
        <v>55</v>
      </c>
      <c r="B72" s="182" t="inlineStr">
        <is>
          <t>1K26TDA</t>
        </is>
      </c>
      <c r="C72" s="278" t="inlineStr">
        <is>
          <t>'2081141</t>
        </is>
      </c>
      <c r="D72" s="181" t="n">
        <v>46267</v>
      </c>
      <c r="E72" s="182" t="inlineStr">
        <is>
          <t>CN TỔNG CÔNG TY ĐIỆN LỰC TP HỒ CHÍ MINH - CÔNG TY ĐIỆN LỰC VŨNG TÀU</t>
        </is>
      </c>
      <c r="F72" s="278" t="inlineStr">
        <is>
          <t>'0300951119-010</t>
        </is>
      </c>
      <c r="G72" s="182" t="inlineStr">
        <is>
          <t>tiền điện T08-2026</t>
        </is>
      </c>
      <c r="H72" s="194" t="n">
        <v>3254949</v>
      </c>
      <c r="I72" s="180" t="n">
        <v>8</v>
      </c>
      <c r="J72" s="194" t="n">
        <v>260396</v>
      </c>
      <c r="K72" s="182" t="inlineStr">
        <is>
          <t>CK</t>
        </is>
      </c>
      <c r="L72" s="182" t="inlineStr">
        <is>
          <t>GL</t>
        </is>
      </c>
      <c r="M72" s="278" t="inlineStr">
        <is>
          <t>'3173</t>
        </is>
      </c>
      <c r="N72" s="181" t="n">
        <v>46295</v>
      </c>
      <c r="O72" s="181" t="n">
        <v>46295</v>
      </c>
      <c r="P72" s="194" t="n">
        <v>3515345</v>
      </c>
      <c r="Q72" s="180" t="inlineStr">
        <is>
          <t>Không xác định</t>
        </is>
      </c>
      <c r="R72" s="180" t="inlineStr">
        <is>
          <t>THAOPTT.HCM.VTA</t>
        </is>
      </c>
      <c r="S72" s="182" t="inlineStr">
        <is>
          <t>Not Reversed</t>
        </is>
      </c>
      <c r="T72" s="57">
        <f>IF(OR(LEN(F72)=11,LEN(F72)=15),"Đ","SAI")</f>
        <v/>
      </c>
      <c r="U72" s="529">
        <f>ROUND(H72*I72%,0)-J72</f>
        <v/>
      </c>
      <c r="V72" s="55">
        <f>IF(Q72=$V$12,13313,13311)</f>
        <v/>
      </c>
    </row>
    <row r="73" ht="21.65" customHeight="1" s="344">
      <c r="A73" s="180" t="n">
        <v>56</v>
      </c>
      <c r="B73" s="182" t="inlineStr">
        <is>
          <t>1K26TDA</t>
        </is>
      </c>
      <c r="C73" s="278" t="inlineStr">
        <is>
          <t>'2132290</t>
        </is>
      </c>
      <c r="D73" s="181" t="n">
        <v>46267</v>
      </c>
      <c r="E73" s="182" t="inlineStr">
        <is>
          <t>CN TỔNG CÔNG TY ĐIỆN LỰC TP HỒ CHÍ MINH - CÔNG TY ĐIỆN LỰC VŨNG TÀU</t>
        </is>
      </c>
      <c r="F73" s="278" t="inlineStr">
        <is>
          <t>'0300951119-010</t>
        </is>
      </c>
      <c r="G73" s="182" t="inlineStr">
        <is>
          <t>tiền điện T08-2026</t>
        </is>
      </c>
      <c r="H73" s="194" t="n">
        <v>19713614</v>
      </c>
      <c r="I73" s="180" t="n">
        <v>8</v>
      </c>
      <c r="J73" s="194" t="n">
        <v>1577089</v>
      </c>
      <c r="K73" s="182" t="inlineStr">
        <is>
          <t>CK</t>
        </is>
      </c>
      <c r="L73" s="182" t="inlineStr">
        <is>
          <t>GL</t>
        </is>
      </c>
      <c r="M73" s="278" t="inlineStr">
        <is>
          <t>'3173</t>
        </is>
      </c>
      <c r="N73" s="181" t="n">
        <v>46295</v>
      </c>
      <c r="O73" s="181" t="n">
        <v>46295</v>
      </c>
      <c r="P73" s="194" t="n">
        <v>21290703</v>
      </c>
      <c r="Q73" s="180" t="inlineStr">
        <is>
          <t>Không xác định</t>
        </is>
      </c>
      <c r="R73" s="180" t="inlineStr">
        <is>
          <t>THAOPTT.HCM.VTA</t>
        </is>
      </c>
      <c r="S73" s="182" t="inlineStr">
        <is>
          <t>Not Reversed</t>
        </is>
      </c>
      <c r="T73" s="57">
        <f>IF(OR(LEN(F73)=11,LEN(F73)=15),"Đ","SAI")</f>
        <v/>
      </c>
      <c r="U73" s="529">
        <f>ROUND(H73*I73%,0)-J73</f>
        <v/>
      </c>
      <c r="V73" s="55">
        <f>IF(Q73=$V$12,13313,13311)</f>
        <v/>
      </c>
    </row>
    <row r="74" ht="14.4" customHeight="1" s="344">
      <c r="A74" s="180" t="n">
        <v>57</v>
      </c>
      <c r="B74" s="182" t="inlineStr">
        <is>
          <t>1K26TDA</t>
        </is>
      </c>
      <c r="C74" s="278" t="inlineStr">
        <is>
          <t>'2134482</t>
        </is>
      </c>
      <c r="D74" s="181" t="n">
        <v>46267</v>
      </c>
      <c r="E74" s="182" t="inlineStr">
        <is>
          <t>CN TỔNG CÔNG TY ĐIỆN LỰC TP HỒ CHÍ MINH - CÔNG TY ĐIỆN LỰC VŨNG TÀU</t>
        </is>
      </c>
      <c r="F74" s="278" t="inlineStr">
        <is>
          <t>'0300951119-010</t>
        </is>
      </c>
      <c r="G74" s="182" t="inlineStr">
        <is>
          <t>tiền điện T08-2026</t>
        </is>
      </c>
      <c r="H74" s="194" t="n">
        <v>10309028</v>
      </c>
      <c r="I74" s="180" t="n">
        <v>8</v>
      </c>
      <c r="J74" s="194" t="n">
        <v>824722</v>
      </c>
      <c r="K74" s="182" t="inlineStr">
        <is>
          <t>CK</t>
        </is>
      </c>
      <c r="L74" s="182" t="inlineStr">
        <is>
          <t>GL</t>
        </is>
      </c>
      <c r="M74" s="278" t="inlineStr">
        <is>
          <t>'3173</t>
        </is>
      </c>
      <c r="N74" s="181" t="n">
        <v>46295</v>
      </c>
      <c r="O74" s="181" t="n">
        <v>46295</v>
      </c>
      <c r="P74" s="194" t="n">
        <v>11133750</v>
      </c>
      <c r="Q74" s="180" t="inlineStr">
        <is>
          <t>Không xác định</t>
        </is>
      </c>
      <c r="R74" s="180" t="inlineStr">
        <is>
          <t>THAOPTT.HCM.VTA</t>
        </is>
      </c>
      <c r="S74" s="182" t="inlineStr">
        <is>
          <t>Not Reversed</t>
        </is>
      </c>
      <c r="T74" s="57">
        <f>IF(OR(LEN(F74)=11,LEN(F74)=15),"Đ","SAI")</f>
        <v/>
      </c>
      <c r="U74" s="529">
        <f>ROUND(H74*I74%,0)-J74</f>
        <v/>
      </c>
      <c r="V74" s="55">
        <f>IF(Q74=$V$12,13313,13311)</f>
        <v/>
      </c>
    </row>
    <row r="75" ht="14.4" customHeight="1" s="344">
      <c r="A75" s="180" t="n">
        <v>58</v>
      </c>
      <c r="B75" s="182" t="inlineStr">
        <is>
          <t>5C26MTV</t>
        </is>
      </c>
      <c r="C75" s="278" t="inlineStr">
        <is>
          <t>'2370</t>
        </is>
      </c>
      <c r="D75" s="181" t="n">
        <v>46237</v>
      </c>
      <c r="E75" s="182" t="inlineStr">
        <is>
          <t>CÔNG TY TRÁCH NHIỆM HỮU HẠN TOÀN THẮNG</t>
        </is>
      </c>
      <c r="F75" s="278" t="inlineStr">
        <is>
          <t>'3500659519</t>
        </is>
      </c>
      <c r="G75" s="182" t="inlineStr">
        <is>
          <t>vé xe</t>
        </is>
      </c>
      <c r="H75" s="194" t="n">
        <v>212963</v>
      </c>
      <c r="I75" s="180" t="n">
        <v>8</v>
      </c>
      <c r="J75" s="194" t="n">
        <v>17037</v>
      </c>
      <c r="K75" s="182" t="inlineStr">
        <is>
          <t>CK</t>
        </is>
      </c>
      <c r="L75" s="182" t="inlineStr">
        <is>
          <t>GL</t>
        </is>
      </c>
      <c r="M75" s="278" t="inlineStr">
        <is>
          <t>'3173</t>
        </is>
      </c>
      <c r="N75" s="181" t="n">
        <v>46295</v>
      </c>
      <c r="O75" s="181" t="n">
        <v>46295</v>
      </c>
      <c r="P75" s="194" t="n">
        <v>230000</v>
      </c>
      <c r="Q75" s="180" t="inlineStr">
        <is>
          <t>Không xác định</t>
        </is>
      </c>
      <c r="R75" s="180" t="inlineStr">
        <is>
          <t>THAOPTT.HCM.VTA</t>
        </is>
      </c>
      <c r="S75" s="182" t="inlineStr">
        <is>
          <t>Not Reversed</t>
        </is>
      </c>
      <c r="T75" s="57">
        <f>IF(OR(LEN(F75)=11,LEN(F75)=15),"Đ","SAI")</f>
        <v/>
      </c>
      <c r="U75" s="529">
        <f>ROUND(H75*I75%,0)-J75</f>
        <v/>
      </c>
      <c r="V75" s="55">
        <f>IF(Q75=$V$12,13313,13311)</f>
        <v/>
      </c>
    </row>
    <row r="76" ht="14.4" customHeight="1" s="344">
      <c r="A76" s="180" t="n">
        <v>59</v>
      </c>
      <c r="B76" s="182" t="inlineStr">
        <is>
          <t>1C26MUP</t>
        </is>
      </c>
      <c r="C76" s="278" t="inlineStr">
        <is>
          <t>'00014874</t>
        </is>
      </c>
      <c r="D76" s="181" t="n">
        <v>46268</v>
      </c>
      <c r="E76" s="182" t="inlineStr">
        <is>
          <t>CÔNG TY TNHH UY PHONG TÂN THÀNH</t>
        </is>
      </c>
      <c r="F76" s="278" t="inlineStr">
        <is>
          <t>'3502312248</t>
        </is>
      </c>
      <c r="G76" s="182" t="inlineStr">
        <is>
          <t>phí đăng kiểm xe 72C-098.76</t>
        </is>
      </c>
      <c r="H76" s="194" t="n">
        <v>263636</v>
      </c>
      <c r="I76" s="180" t="n">
        <v>8</v>
      </c>
      <c r="J76" s="194" t="n">
        <v>21091</v>
      </c>
      <c r="K76" s="182" t="inlineStr">
        <is>
          <t>CK</t>
        </is>
      </c>
      <c r="L76" s="182" t="inlineStr">
        <is>
          <t>GL</t>
        </is>
      </c>
      <c r="M76" s="278" t="inlineStr">
        <is>
          <t>'3173</t>
        </is>
      </c>
      <c r="N76" s="181" t="n">
        <v>46295</v>
      </c>
      <c r="O76" s="181" t="n">
        <v>46295</v>
      </c>
      <c r="P76" s="194" t="n">
        <v>284727</v>
      </c>
      <c r="Q76" s="180" t="inlineStr">
        <is>
          <t>Không xác định</t>
        </is>
      </c>
      <c r="R76" s="180" t="inlineStr">
        <is>
          <t>THAOPTT.HCM.VTA</t>
        </is>
      </c>
      <c r="S76" s="182" t="inlineStr">
        <is>
          <t>Not Reversed</t>
        </is>
      </c>
      <c r="T76" s="57">
        <f>IF(OR(LEN(F76)=11,LEN(F76)=15),"Đ","SAI")</f>
        <v/>
      </c>
      <c r="U76" s="529">
        <f>ROUND(H76*I76%,0)-J76</f>
        <v/>
      </c>
      <c r="V76" s="55">
        <f>IF(Q76=$V$12,13313,13311)</f>
        <v/>
      </c>
    </row>
    <row r="77" ht="14.4" customHeight="1" s="344">
      <c r="A77" s="180" t="n">
        <v>60</v>
      </c>
      <c r="B77" s="182" t="inlineStr">
        <is>
          <t>1C26MLN</t>
        </is>
      </c>
      <c r="C77" s="278" t="inlineStr">
        <is>
          <t>'787</t>
        </is>
      </c>
      <c r="D77" s="181" t="n">
        <v>46268</v>
      </c>
      <c r="E77" s="182" t="inlineStr">
        <is>
          <t>DNTN THƯƠNG MẠI LƯƠNG NHÂN</t>
        </is>
      </c>
      <c r="F77" s="278" t="inlineStr">
        <is>
          <t>'3502224312</t>
        </is>
      </c>
      <c r="G77" s="182" t="inlineStr">
        <is>
          <t>tea break</t>
        </is>
      </c>
      <c r="H77" s="194" t="n">
        <v>250000</v>
      </c>
      <c r="I77" s="180" t="n">
        <v>8</v>
      </c>
      <c r="J77" s="194" t="n">
        <v>20000</v>
      </c>
      <c r="K77" s="182" t="inlineStr">
        <is>
          <t>CK</t>
        </is>
      </c>
      <c r="L77" s="182" t="inlineStr">
        <is>
          <t>GL</t>
        </is>
      </c>
      <c r="M77" s="278" t="inlineStr">
        <is>
          <t>'3173</t>
        </is>
      </c>
      <c r="N77" s="181" t="n">
        <v>46295</v>
      </c>
      <c r="O77" s="181" t="n">
        <v>46295</v>
      </c>
      <c r="P77" s="194" t="n">
        <v>270000</v>
      </c>
      <c r="Q77" s="180" t="inlineStr">
        <is>
          <t>Không xác định</t>
        </is>
      </c>
      <c r="R77" s="180" t="inlineStr">
        <is>
          <t>THAOPTT.HCM.VTA</t>
        </is>
      </c>
      <c r="S77" s="182" t="inlineStr">
        <is>
          <t>Not Reversed</t>
        </is>
      </c>
      <c r="T77" s="57">
        <f>IF(OR(LEN(F77)=11,LEN(F77)=15),"Đ","SAI")</f>
        <v/>
      </c>
      <c r="U77" s="529">
        <f>ROUND(H77*I77%,0)-J77</f>
        <v/>
      </c>
      <c r="V77" s="55">
        <f>IF(Q77=$V$12,13313,13311)</f>
        <v/>
      </c>
    </row>
    <row r="78" ht="14.4" customHeight="1" s="344">
      <c r="A78" s="180" t="n">
        <v>61</v>
      </c>
      <c r="B78" s="182" t="inlineStr">
        <is>
          <t>5C26MSL</t>
        </is>
      </c>
      <c r="C78" s="278" t="inlineStr">
        <is>
          <t>'0001332</t>
        </is>
      </c>
      <c r="D78" s="181" t="n">
        <v>46239</v>
      </c>
      <c r="E78" s="182" t="inlineStr">
        <is>
          <t>CHI NHÁNH HỒ CHÍ MINH CÔNG TY TRÁCH NHIỆM HỮU HẠN TOÀN THẮNG</t>
        </is>
      </c>
      <c r="F78" s="278" t="inlineStr">
        <is>
          <t>'3500659519-006</t>
        </is>
      </c>
      <c r="G78" s="182" t="inlineStr">
        <is>
          <t>vé xe</t>
        </is>
      </c>
      <c r="H78" s="194" t="n">
        <v>212963</v>
      </c>
      <c r="I78" s="180" t="n">
        <v>8</v>
      </c>
      <c r="J78" s="194" t="n">
        <v>17037</v>
      </c>
      <c r="K78" s="182" t="inlineStr">
        <is>
          <t>CK</t>
        </is>
      </c>
      <c r="L78" s="182" t="inlineStr">
        <is>
          <t>GL</t>
        </is>
      </c>
      <c r="M78" s="278" t="inlineStr">
        <is>
          <t>'3173</t>
        </is>
      </c>
      <c r="N78" s="181" t="n">
        <v>46295</v>
      </c>
      <c r="O78" s="181" t="n">
        <v>46295</v>
      </c>
      <c r="P78" s="194" t="n">
        <v>230000</v>
      </c>
      <c r="Q78" s="180" t="inlineStr">
        <is>
          <t>Không xác định</t>
        </is>
      </c>
      <c r="R78" s="180" t="inlineStr">
        <is>
          <t>THAOPTT.HCM.VTA</t>
        </is>
      </c>
      <c r="S78" s="182" t="inlineStr">
        <is>
          <t>Not Reversed</t>
        </is>
      </c>
      <c r="T78" s="57">
        <f>IF(OR(LEN(F78)=11,LEN(F78)=15),"Đ","SAI")</f>
        <v/>
      </c>
      <c r="U78" s="529">
        <f>ROUND(H78*I78%,0)-J78</f>
        <v/>
      </c>
      <c r="V78" s="55">
        <f>IF(Q78=$V$12,13313,13311)</f>
        <v/>
      </c>
    </row>
    <row r="79" ht="14.4" customHeight="1" s="344">
      <c r="A79" s="180" t="n">
        <v>62</v>
      </c>
      <c r="B79" s="182" t="inlineStr">
        <is>
          <t>1C26TCD</t>
        </is>
      </c>
      <c r="C79" s="278" t="inlineStr">
        <is>
          <t>'14604</t>
        </is>
      </c>
      <c r="D79" s="181" t="n">
        <v>46240</v>
      </c>
      <c r="E79" s="182" t="inlineStr">
        <is>
          <t>TRẠM CUNG CẤP NƯỚC ĐẶC KHU CÔN ĐẢO</t>
        </is>
      </c>
      <c r="F79" s="278" t="inlineStr">
        <is>
          <t>'3500121590</t>
        </is>
      </c>
      <c r="G79" s="182" t="inlineStr">
        <is>
          <t>nước sinh hoạt tháng 8-2026</t>
        </is>
      </c>
      <c r="H79" s="194" t="n">
        <v>723900</v>
      </c>
      <c r="I79" s="180" t="n">
        <v>5</v>
      </c>
      <c r="J79" s="194" t="n">
        <v>36195</v>
      </c>
      <c r="K79" s="182" t="inlineStr">
        <is>
          <t>CK</t>
        </is>
      </c>
      <c r="L79" s="182" t="inlineStr">
        <is>
          <t>GL</t>
        </is>
      </c>
      <c r="M79" s="278" t="inlineStr">
        <is>
          <t>'3173</t>
        </is>
      </c>
      <c r="N79" s="181" t="n">
        <v>46295</v>
      </c>
      <c r="O79" s="181" t="n">
        <v>46295</v>
      </c>
      <c r="P79" s="194" t="n">
        <v>760095</v>
      </c>
      <c r="Q79" s="180" t="inlineStr">
        <is>
          <t>Không xác định</t>
        </is>
      </c>
      <c r="R79" s="180" t="inlineStr">
        <is>
          <t>THAOPTT.HCM.VTA</t>
        </is>
      </c>
      <c r="S79" s="182" t="inlineStr">
        <is>
          <t>Not Reversed</t>
        </is>
      </c>
      <c r="T79" s="57">
        <f>IF(OR(LEN(F79)=11,LEN(F79)=15),"Đ","SAI")</f>
        <v/>
      </c>
      <c r="U79" s="529">
        <f>ROUND(H79*I79%,0)-J79</f>
        <v/>
      </c>
      <c r="V79" s="55">
        <f>IF(Q79=$V$12,13313,13311)</f>
        <v/>
      </c>
    </row>
    <row r="80" ht="14.4" customHeight="1" s="344">
      <c r="A80" s="180" t="n">
        <v>63</v>
      </c>
      <c r="B80" s="182" t="inlineStr">
        <is>
          <t>1C26TCD</t>
        </is>
      </c>
      <c r="C80" s="278" t="inlineStr">
        <is>
          <t>'16535</t>
        </is>
      </c>
      <c r="D80" s="181" t="n">
        <v>46240</v>
      </c>
      <c r="E80" s="182" t="inlineStr">
        <is>
          <t>TRẠM CUNG CẤP NƯỚC ĐẶC KHU CÔN ĐẢO</t>
        </is>
      </c>
      <c r="F80" s="278" t="inlineStr">
        <is>
          <t>'3500121590</t>
        </is>
      </c>
      <c r="G80" s="182" t="inlineStr">
        <is>
          <t>nước sinh hoạt tháng 8-2026</t>
        </is>
      </c>
      <c r="H80" s="194" t="n">
        <v>381000</v>
      </c>
      <c r="I80" s="180" t="n">
        <v>5</v>
      </c>
      <c r="J80" s="194" t="n">
        <v>19050</v>
      </c>
      <c r="K80" s="182" t="inlineStr">
        <is>
          <t>CK</t>
        </is>
      </c>
      <c r="L80" s="182" t="inlineStr">
        <is>
          <t>GL</t>
        </is>
      </c>
      <c r="M80" s="278" t="inlineStr">
        <is>
          <t>'3173</t>
        </is>
      </c>
      <c r="N80" s="181" t="n">
        <v>46295</v>
      </c>
      <c r="O80" s="181" t="n">
        <v>46295</v>
      </c>
      <c r="P80" s="194" t="n">
        <v>400050</v>
      </c>
      <c r="Q80" s="180" t="inlineStr">
        <is>
          <t>Không xác định</t>
        </is>
      </c>
      <c r="R80" s="180" t="inlineStr">
        <is>
          <t>THAOPTT.HCM.VTA</t>
        </is>
      </c>
      <c r="S80" s="182" t="inlineStr">
        <is>
          <t>Not Reversed</t>
        </is>
      </c>
      <c r="T80" s="57">
        <f>IF(OR(LEN(F80)=11,LEN(F80)=15),"Đ","SAI")</f>
        <v/>
      </c>
      <c r="U80" s="529">
        <f>ROUND(H80*I80%,0)-J80</f>
        <v/>
      </c>
      <c r="V80" s="55">
        <f>IF(Q80=$V$12,13313,13311)</f>
        <v/>
      </c>
    </row>
    <row r="81" ht="14.4" customHeight="1" s="344">
      <c r="A81" s="180" t="n">
        <v>64</v>
      </c>
      <c r="B81" s="182" t="inlineStr">
        <is>
          <t>1C26TCD</t>
        </is>
      </c>
      <c r="C81" s="278" t="inlineStr">
        <is>
          <t>'17102</t>
        </is>
      </c>
      <c r="D81" s="181" t="n">
        <v>46240</v>
      </c>
      <c r="E81" s="182" t="inlineStr">
        <is>
          <t>TRẠM CUNG CẤP NƯỚC ĐẶC KHU CÔN ĐẢO</t>
        </is>
      </c>
      <c r="F81" s="278" t="inlineStr">
        <is>
          <t>'3500121590</t>
        </is>
      </c>
      <c r="G81" s="182" t="inlineStr">
        <is>
          <t>nước sinh hoạt tháng 8-2026</t>
        </is>
      </c>
      <c r="H81" s="194" t="n">
        <v>2691000</v>
      </c>
      <c r="I81" s="180" t="n">
        <v>5</v>
      </c>
      <c r="J81" s="194" t="n">
        <v>134550</v>
      </c>
      <c r="K81" s="182" t="inlineStr">
        <is>
          <t>CK</t>
        </is>
      </c>
      <c r="L81" s="182" t="inlineStr">
        <is>
          <t>GL</t>
        </is>
      </c>
      <c r="M81" s="278" t="inlineStr">
        <is>
          <t>'3173</t>
        </is>
      </c>
      <c r="N81" s="181" t="n">
        <v>46295</v>
      </c>
      <c r="O81" s="181" t="n">
        <v>46295</v>
      </c>
      <c r="P81" s="194" t="n">
        <v>2825550</v>
      </c>
      <c r="Q81" s="180" t="inlineStr">
        <is>
          <t>Không xác định</t>
        </is>
      </c>
      <c r="R81" s="180" t="inlineStr">
        <is>
          <t>THAOPTT.HCM.VTA</t>
        </is>
      </c>
      <c r="S81" s="182" t="inlineStr">
        <is>
          <t>Not Reversed</t>
        </is>
      </c>
      <c r="T81" s="57">
        <f>IF(OR(LEN(F81)=11,LEN(F81)=15),"Đ","SAI")</f>
        <v/>
      </c>
      <c r="U81" s="529">
        <f>ROUND(H81*I81%,0)-J81</f>
        <v/>
      </c>
      <c r="V81" s="55">
        <f>IF(Q81=$V$12,13313,13311)</f>
        <v/>
      </c>
    </row>
    <row r="82" ht="14.4" customHeight="1" s="344">
      <c r="A82" s="180" t="n">
        <v>65</v>
      </c>
      <c r="B82" s="182" t="inlineStr">
        <is>
          <t>1C26MLB</t>
        </is>
      </c>
      <c r="C82" s="278" t="inlineStr">
        <is>
          <t>'896869</t>
        </is>
      </c>
      <c r="D82" s="181" t="n">
        <v>46272</v>
      </c>
      <c r="E82" s="182" t="inlineStr">
        <is>
          <t>CÔNG TY CP TRUNG TÂM THƯƠNG MẠI LOTTE VIỆT NAM - CN BRVT</t>
        </is>
      </c>
      <c r="F82" s="278" t="inlineStr">
        <is>
          <t>'0304741634-005</t>
        </is>
      </c>
      <c r="G82" s="182" t="inlineStr">
        <is>
          <t>tea break</t>
        </is>
      </c>
      <c r="H82" s="194" t="n">
        <v>199077</v>
      </c>
      <c r="I82" s="180" t="n">
        <v>8</v>
      </c>
      <c r="J82" s="194" t="n">
        <v>15923</v>
      </c>
      <c r="K82" s="182" t="inlineStr">
        <is>
          <t>CK</t>
        </is>
      </c>
      <c r="L82" s="182" t="inlineStr">
        <is>
          <t>GL</t>
        </is>
      </c>
      <c r="M82" s="278" t="inlineStr">
        <is>
          <t>'3173</t>
        </is>
      </c>
      <c r="N82" s="181" t="n">
        <v>46295</v>
      </c>
      <c r="O82" s="181" t="n">
        <v>46295</v>
      </c>
      <c r="P82" s="194" t="n">
        <v>215000</v>
      </c>
      <c r="Q82" s="180" t="inlineStr">
        <is>
          <t>Không xác định</t>
        </is>
      </c>
      <c r="R82" s="180" t="inlineStr">
        <is>
          <t>THAOPTT.HCM.VTA</t>
        </is>
      </c>
      <c r="S82" s="182" t="inlineStr">
        <is>
          <t>Not Reversed</t>
        </is>
      </c>
      <c r="T82" s="57">
        <f>IF(OR(LEN(F82)=11,LEN(F82)=15),"Đ","SAI")</f>
        <v/>
      </c>
      <c r="U82" s="529">
        <f>ROUND(H82*I82%,0)-J82</f>
        <v/>
      </c>
      <c r="V82" s="55">
        <f>IF(Q82=$V$12,13313,13311)</f>
        <v/>
      </c>
    </row>
    <row r="83" ht="14.4" customHeight="1" s="344">
      <c r="A83" s="180" t="n">
        <v>66</v>
      </c>
      <c r="B83" s="182" t="inlineStr">
        <is>
          <t>1C26MTT</t>
        </is>
      </c>
      <c r="C83" s="278" t="inlineStr">
        <is>
          <t>'7789</t>
        </is>
      </c>
      <c r="D83" s="181" t="n">
        <v>46089</v>
      </c>
      <c r="E83" s="182" t="inlineStr">
        <is>
          <t>CÔNG TY TNHH VẬN TẢI DUY TUNG</t>
        </is>
      </c>
      <c r="F83" s="278" t="inlineStr">
        <is>
          <t>'3502545958</t>
        </is>
      </c>
      <c r="G83" s="182" t="inlineStr">
        <is>
          <t>cước vận chuyển VTTB ra Côn Đảo</t>
        </is>
      </c>
      <c r="H83" s="194" t="n">
        <v>1150000</v>
      </c>
      <c r="I83" s="180" t="n">
        <v>8</v>
      </c>
      <c r="J83" s="194" t="n">
        <v>92000</v>
      </c>
      <c r="K83" s="182" t="inlineStr">
        <is>
          <t>CK</t>
        </is>
      </c>
      <c r="L83" s="182" t="inlineStr">
        <is>
          <t>GL</t>
        </is>
      </c>
      <c r="M83" s="278" t="inlineStr">
        <is>
          <t>'3173</t>
        </is>
      </c>
      <c r="N83" s="181" t="n">
        <v>46295</v>
      </c>
      <c r="O83" s="181" t="n">
        <v>46295</v>
      </c>
      <c r="P83" s="194" t="n">
        <v>1242000</v>
      </c>
      <c r="Q83" s="180" t="inlineStr">
        <is>
          <t>Không xác định</t>
        </is>
      </c>
      <c r="R83" s="180" t="inlineStr">
        <is>
          <t>THAOPTT.HCM.VTA</t>
        </is>
      </c>
      <c r="S83" s="182" t="inlineStr">
        <is>
          <t>Not Reversed</t>
        </is>
      </c>
      <c r="T83" s="57">
        <f>IF(OR(LEN(F83)=11,LEN(F83)=15),"Đ","SAI")</f>
        <v/>
      </c>
      <c r="U83" s="529">
        <f>ROUND(H83*I83%,0)-J83</f>
        <v/>
      </c>
      <c r="V83" s="55">
        <f>IF(Q83=$V$12,13313,13311)</f>
        <v/>
      </c>
    </row>
    <row r="84" ht="14.4" customHeight="1" s="344">
      <c r="A84" s="180" t="n">
        <v>67</v>
      </c>
      <c r="B84" s="182" t="inlineStr">
        <is>
          <t>1C26TYY</t>
        </is>
      </c>
      <c r="C84" s="278" t="inlineStr">
        <is>
          <t>'68</t>
        </is>
      </c>
      <c r="D84" s="181" t="n">
        <v>46150</v>
      </c>
      <c r="E84" s="182" t="inlineStr">
        <is>
          <t>CÔNG TY TNHH MTV LƯU THÀNH CÔNG</t>
        </is>
      </c>
      <c r="F84" s="278" t="inlineStr">
        <is>
          <t>'3502492368</t>
        </is>
      </c>
      <c r="G84" s="182" t="inlineStr">
        <is>
          <t>thuê xe cuốc</t>
        </is>
      </c>
      <c r="H84" s="194" t="n">
        <v>5600000</v>
      </c>
      <c r="I84" s="180" t="n">
        <v>8</v>
      </c>
      <c r="J84" s="194" t="n">
        <v>448000</v>
      </c>
      <c r="K84" s="182" t="inlineStr">
        <is>
          <t>CK</t>
        </is>
      </c>
      <c r="L84" s="182" t="inlineStr">
        <is>
          <t>GL</t>
        </is>
      </c>
      <c r="M84" s="278" t="inlineStr">
        <is>
          <t>'3173</t>
        </is>
      </c>
      <c r="N84" s="181" t="n">
        <v>46295</v>
      </c>
      <c r="O84" s="181" t="n">
        <v>46295</v>
      </c>
      <c r="P84" s="194" t="n">
        <v>6048000</v>
      </c>
      <c r="Q84" s="180" t="inlineStr">
        <is>
          <t>Không xác định</t>
        </is>
      </c>
      <c r="R84" s="180" t="inlineStr">
        <is>
          <t>THAOPTT.HCM.VTA</t>
        </is>
      </c>
      <c r="S84" s="182" t="inlineStr">
        <is>
          <t>Not Reversed</t>
        </is>
      </c>
      <c r="T84" s="57">
        <f>IF(OR(LEN(F84)=11,LEN(F84)=15),"Đ","SAI")</f>
        <v/>
      </c>
      <c r="U84" s="529">
        <f>ROUND(H84*I84%,0)-J84</f>
        <v/>
      </c>
      <c r="V84" s="55">
        <f>IF(Q84=$V$12,13313,13311)</f>
        <v/>
      </c>
    </row>
    <row r="85" ht="14.4" customHeight="1" s="344">
      <c r="A85" s="180" t="n">
        <v>68</v>
      </c>
      <c r="B85" s="182" t="inlineStr">
        <is>
          <t>1C26TCG</t>
        </is>
      </c>
      <c r="C85" s="278" t="inlineStr">
        <is>
          <t>'17</t>
        </is>
      </c>
      <c r="D85" s="181" t="n">
        <v>46181</v>
      </c>
      <c r="E85" s="182" t="inlineStr">
        <is>
          <t>CÔNG TY TNHH CHILL GLOBAL HOSPITALITY</t>
        </is>
      </c>
      <c r="F85" s="278" t="inlineStr">
        <is>
          <t>'0319410699</t>
        </is>
      </c>
      <c r="G85" s="182" t="inlineStr">
        <is>
          <t>thuê phòng nghỉ lưu trú</t>
        </is>
      </c>
      <c r="H85" s="194" t="n">
        <v>1000000</v>
      </c>
      <c r="I85" s="180" t="n">
        <v>8</v>
      </c>
      <c r="J85" s="194" t="n">
        <v>80000</v>
      </c>
      <c r="K85" s="182" t="inlineStr">
        <is>
          <t>CK</t>
        </is>
      </c>
      <c r="L85" s="182" t="inlineStr">
        <is>
          <t>GL</t>
        </is>
      </c>
      <c r="M85" s="278" t="inlineStr">
        <is>
          <t>'3173</t>
        </is>
      </c>
      <c r="N85" s="181" t="n">
        <v>46295</v>
      </c>
      <c r="O85" s="181" t="n">
        <v>46295</v>
      </c>
      <c r="P85" s="194" t="n">
        <v>1080000</v>
      </c>
      <c r="Q85" s="180" t="inlineStr">
        <is>
          <t>Không xác định</t>
        </is>
      </c>
      <c r="R85" s="180" t="inlineStr">
        <is>
          <t>THAOPTT.HCM.VTA</t>
        </is>
      </c>
      <c r="S85" s="182" t="inlineStr">
        <is>
          <t>Not Reversed</t>
        </is>
      </c>
      <c r="T85" s="57">
        <f>IF(OR(LEN(F85)=11,LEN(F85)=15),"Đ","SAI")</f>
        <v/>
      </c>
      <c r="U85" s="529">
        <f>ROUND(H85*I85%,0)-J85</f>
        <v/>
      </c>
      <c r="V85" s="55">
        <f>IF(Q85=$V$12,13313,13311)</f>
        <v/>
      </c>
    </row>
    <row r="86" ht="14.4" customHeight="1" s="344">
      <c r="A86" s="180" t="n">
        <v>69</v>
      </c>
      <c r="B86" s="182" t="inlineStr">
        <is>
          <t>1C26TTL</t>
        </is>
      </c>
      <c r="C86" s="278" t="inlineStr">
        <is>
          <t>'299</t>
        </is>
      </c>
      <c r="D86" s="181" t="n">
        <v>46242</v>
      </c>
      <c r="E86" s="182" t="inlineStr">
        <is>
          <t>CÔNG TY TNHH THĂNG LONG</t>
        </is>
      </c>
      <c r="F86" s="278" t="inlineStr">
        <is>
          <t>'3500101851</t>
        </is>
      </c>
      <c r="G86" s="182" t="inlineStr">
        <is>
          <t>mua vật tư xây dựng</t>
        </is>
      </c>
      <c r="H86" s="194" t="n">
        <v>3805556</v>
      </c>
      <c r="I86" s="180" t="n">
        <v>8</v>
      </c>
      <c r="J86" s="194" t="n">
        <v>304444</v>
      </c>
      <c r="K86" s="182" t="inlineStr">
        <is>
          <t>CK</t>
        </is>
      </c>
      <c r="L86" s="182" t="inlineStr">
        <is>
          <t>GL</t>
        </is>
      </c>
      <c r="M86" s="278" t="inlineStr">
        <is>
          <t>'3173</t>
        </is>
      </c>
      <c r="N86" s="181" t="n">
        <v>46295</v>
      </c>
      <c r="O86" s="181" t="n">
        <v>46295</v>
      </c>
      <c r="P86" s="194" t="n">
        <v>4110000</v>
      </c>
      <c r="Q86" s="180" t="inlineStr">
        <is>
          <t>Không xác định</t>
        </is>
      </c>
      <c r="R86" s="180" t="inlineStr">
        <is>
          <t>THAOPTT.HCM.VTA</t>
        </is>
      </c>
      <c r="S86" s="182" t="inlineStr">
        <is>
          <t>Not Reversed</t>
        </is>
      </c>
      <c r="T86" s="57">
        <f>IF(OR(LEN(F86)=11,LEN(F86)=15),"Đ","SAI")</f>
        <v/>
      </c>
      <c r="U86" s="529">
        <f>ROUND(H86*I86%,0)-J86</f>
        <v/>
      </c>
      <c r="V86" s="55">
        <f>IF(Q86=$V$12,13313,13311)</f>
        <v/>
      </c>
    </row>
    <row r="87" ht="14.4" customHeight="1" s="344">
      <c r="A87" s="180" t="n">
        <v>70</v>
      </c>
      <c r="B87" s="182" t="inlineStr">
        <is>
          <t>1C26TCG</t>
        </is>
      </c>
      <c r="C87" s="278" t="inlineStr">
        <is>
          <t>'20</t>
        </is>
      </c>
      <c r="D87" s="181" t="n">
        <v>46334</v>
      </c>
      <c r="E87" s="182" t="inlineStr">
        <is>
          <t>CÔNG TY TNHH CHILL GLOBAL HOSPITALITY</t>
        </is>
      </c>
      <c r="F87" s="278" t="inlineStr">
        <is>
          <t>'0319410699</t>
        </is>
      </c>
      <c r="G87" s="182" t="inlineStr">
        <is>
          <t>thuê phòng nghỉ lưu trú</t>
        </is>
      </c>
      <c r="H87" s="194" t="n">
        <v>1000000</v>
      </c>
      <c r="I87" s="180" t="n">
        <v>8</v>
      </c>
      <c r="J87" s="194" t="n">
        <v>80000</v>
      </c>
      <c r="K87" s="182" t="inlineStr">
        <is>
          <t>CK</t>
        </is>
      </c>
      <c r="L87" s="182" t="inlineStr">
        <is>
          <t>GL</t>
        </is>
      </c>
      <c r="M87" s="278" t="inlineStr">
        <is>
          <t>'3173</t>
        </is>
      </c>
      <c r="N87" s="181" t="n">
        <v>46295</v>
      </c>
      <c r="O87" s="181" t="n">
        <v>46295</v>
      </c>
      <c r="P87" s="194" t="n">
        <v>1080000</v>
      </c>
      <c r="Q87" s="180" t="inlineStr">
        <is>
          <t>Không xác định</t>
        </is>
      </c>
      <c r="R87" s="180" t="inlineStr">
        <is>
          <t>THAOPTT.HCM.VTA</t>
        </is>
      </c>
      <c r="S87" s="182" t="inlineStr">
        <is>
          <t>Not Reversed</t>
        </is>
      </c>
      <c r="T87" s="57">
        <f>IF(OR(LEN(F87)=11,LEN(F87)=15),"Đ","SAI")</f>
        <v/>
      </c>
      <c r="U87" s="529">
        <f>ROUND(H87*I87%,0)-J87</f>
        <v/>
      </c>
      <c r="V87" s="55">
        <f>IF(Q87=$V$12,13313,13311)</f>
        <v/>
      </c>
    </row>
    <row r="88" ht="15.65" customHeight="1" s="344">
      <c r="A88" s="180" t="n">
        <v>71</v>
      </c>
      <c r="B88" s="182" t="inlineStr">
        <is>
          <t>1K26THE</t>
        </is>
      </c>
      <c r="C88" s="278" t="inlineStr">
        <is>
          <t>'1017554</t>
        </is>
      </c>
      <c r="D88" s="181" t="n">
        <v>46062</v>
      </c>
      <c r="E88" s="182" t="inlineStr">
        <is>
          <t>CN Tập đoàn bưu chính viễn thông Việt Nam ( Loại hình doanh nghiệp công ty TNHH)- Viễn Thông Thành Phố Hồ Chí Minh</t>
        </is>
      </c>
      <c r="F88" s="278" t="inlineStr">
        <is>
          <t>'0300954529</t>
        </is>
      </c>
      <c r="G88" s="182" t="inlineStr">
        <is>
          <t>cước viễn thông VNPT T8-2026</t>
        </is>
      </c>
      <c r="H88" s="194" t="n">
        <v>69091</v>
      </c>
      <c r="I88" s="180" t="n">
        <v>10</v>
      </c>
      <c r="J88" s="194" t="n">
        <v>6909</v>
      </c>
      <c r="K88" s="182" t="inlineStr">
        <is>
          <t>CK</t>
        </is>
      </c>
      <c r="L88" s="182" t="inlineStr">
        <is>
          <t>GL</t>
        </is>
      </c>
      <c r="M88" s="278" t="inlineStr">
        <is>
          <t>'3173</t>
        </is>
      </c>
      <c r="N88" s="181" t="n">
        <v>46295</v>
      </c>
      <c r="O88" s="181" t="n">
        <v>46295</v>
      </c>
      <c r="P88" s="194" t="n">
        <v>76000</v>
      </c>
      <c r="Q88" s="180" t="inlineStr">
        <is>
          <t>Không xác định</t>
        </is>
      </c>
      <c r="R88" s="180" t="inlineStr">
        <is>
          <t>THAOPTT.HCM.VTA</t>
        </is>
      </c>
      <c r="S88" s="182" t="inlineStr">
        <is>
          <t>Not Reversed</t>
        </is>
      </c>
      <c r="T88" s="57">
        <f>IF(OR(LEN(F88)=11,LEN(F88)=15),"Đ","SAI")</f>
        <v/>
      </c>
      <c r="U88" s="529">
        <f>ROUND(H88*I88%,0)-J88</f>
        <v/>
      </c>
      <c r="V88" s="55">
        <f>IF(Q88=$V$12,13313,13311)</f>
        <v/>
      </c>
    </row>
    <row r="89" ht="15.65" customHeight="1" s="344">
      <c r="A89" s="180" t="n">
        <v>72</v>
      </c>
      <c r="B89" s="182" t="inlineStr">
        <is>
          <t>1K26THE</t>
        </is>
      </c>
      <c r="C89" s="278" t="inlineStr">
        <is>
          <t>'1017664</t>
        </is>
      </c>
      <c r="D89" s="181" t="n">
        <v>46062</v>
      </c>
      <c r="E89" s="182" t="inlineStr">
        <is>
          <t>CN Tập đoàn bưu chính viễn thông Việt Nam ( Loại hình doanh nghiệp công ty TNHH)- Viễn Thông Thành Phố Hồ Chí Minh</t>
        </is>
      </c>
      <c r="F89" s="278" t="inlineStr">
        <is>
          <t>'0300954529</t>
        </is>
      </c>
      <c r="G89" s="182" t="inlineStr">
        <is>
          <t>cước viễn thông VNPT T8-2026</t>
        </is>
      </c>
      <c r="H89" s="194" t="n">
        <v>1450000</v>
      </c>
      <c r="I89" s="180" t="n">
        <v>10</v>
      </c>
      <c r="J89" s="194" t="n">
        <v>145000</v>
      </c>
      <c r="K89" s="182" t="inlineStr">
        <is>
          <t>CK</t>
        </is>
      </c>
      <c r="L89" s="182" t="inlineStr">
        <is>
          <t>GL</t>
        </is>
      </c>
      <c r="M89" s="278" t="inlineStr">
        <is>
          <t>'3173</t>
        </is>
      </c>
      <c r="N89" s="181" t="n">
        <v>46295</v>
      </c>
      <c r="O89" s="181" t="n">
        <v>46295</v>
      </c>
      <c r="P89" s="194" t="n">
        <v>1595000</v>
      </c>
      <c r="Q89" s="180" t="inlineStr">
        <is>
          <t>Không xác định</t>
        </is>
      </c>
      <c r="R89" s="180" t="inlineStr">
        <is>
          <t>THAOPTT.HCM.VTA</t>
        </is>
      </c>
      <c r="S89" s="182" t="inlineStr">
        <is>
          <t>Not Reversed</t>
        </is>
      </c>
      <c r="T89" s="57">
        <f>IF(OR(LEN(F89)=11,LEN(F89)=15),"Đ","SAI")</f>
        <v/>
      </c>
      <c r="U89" s="529">
        <f>ROUND(H89*I89%,0)-J89</f>
        <v/>
      </c>
      <c r="V89" s="55">
        <f>IF(Q89=$V$12,13313,13311)</f>
        <v/>
      </c>
    </row>
    <row r="90" ht="15.65" customHeight="1" s="344">
      <c r="A90" s="180" t="n">
        <v>73</v>
      </c>
      <c r="B90" s="182" t="inlineStr">
        <is>
          <t>1K26THE</t>
        </is>
      </c>
      <c r="C90" s="278" t="inlineStr">
        <is>
          <t>'1026202</t>
        </is>
      </c>
      <c r="D90" s="181" t="n">
        <v>46062</v>
      </c>
      <c r="E90" s="182" t="inlineStr">
        <is>
          <t>CN Tập đoàn bưu chính viễn thông Việt Nam ( Loại hình doanh nghiệp công ty TNHH)- Viễn Thông Thành Phố Hồ Chí Minh</t>
        </is>
      </c>
      <c r="F90" s="278" t="inlineStr">
        <is>
          <t>'0300954529</t>
        </is>
      </c>
      <c r="G90" s="182" t="inlineStr">
        <is>
          <t>cước viễn thông VNPT T8-2026</t>
        </is>
      </c>
      <c r="H90" s="194" t="n">
        <v>20000</v>
      </c>
      <c r="I90" s="180" t="n">
        <v>10</v>
      </c>
      <c r="J90" s="194" t="n">
        <v>2000</v>
      </c>
      <c r="K90" s="182" t="inlineStr">
        <is>
          <t>CK</t>
        </is>
      </c>
      <c r="L90" s="182" t="inlineStr">
        <is>
          <t>GL</t>
        </is>
      </c>
      <c r="M90" s="278" t="inlineStr">
        <is>
          <t>'3173</t>
        </is>
      </c>
      <c r="N90" s="181" t="n">
        <v>46295</v>
      </c>
      <c r="O90" s="181" t="n">
        <v>46295</v>
      </c>
      <c r="P90" s="194" t="n">
        <v>22000</v>
      </c>
      <c r="Q90" s="180" t="inlineStr">
        <is>
          <t>Không xác định</t>
        </is>
      </c>
      <c r="R90" s="180" t="inlineStr">
        <is>
          <t>THAOPTT.HCM.VTA</t>
        </is>
      </c>
      <c r="S90" s="182" t="inlineStr">
        <is>
          <t>Not Reversed</t>
        </is>
      </c>
      <c r="T90" s="57">
        <f>IF(OR(LEN(F90)=11,LEN(F90)=15),"Đ","SAI")</f>
        <v/>
      </c>
      <c r="U90" s="529">
        <f>ROUND(H90*I90%,0)-J90</f>
        <v/>
      </c>
      <c r="V90" s="55">
        <f>IF(Q90=$V$12,13313,13311)</f>
        <v/>
      </c>
    </row>
    <row r="91" ht="15.65" customFormat="1" customHeight="1" s="62">
      <c r="A91" s="180" t="n">
        <v>74</v>
      </c>
      <c r="B91" s="182" t="inlineStr">
        <is>
          <t>1K26THE</t>
        </is>
      </c>
      <c r="C91" s="278" t="inlineStr">
        <is>
          <t>'1034904</t>
        </is>
      </c>
      <c r="D91" s="181" t="n">
        <v>46062</v>
      </c>
      <c r="E91" s="182" t="inlineStr">
        <is>
          <t>CN Tập đoàn bưu chính viễn thông Việt Nam ( Loại hình doanh nghiệp công ty TNHH)- Viễn Thông Thành Phố Hồ Chí Minh</t>
        </is>
      </c>
      <c r="F91" s="278" t="inlineStr">
        <is>
          <t>'0300954529</t>
        </is>
      </c>
      <c r="G91" s="182" t="inlineStr">
        <is>
          <t>cước viễn thông VNPT Côn Đảo T8-2026</t>
        </is>
      </c>
      <c r="H91" s="194" t="n">
        <v>90000</v>
      </c>
      <c r="I91" s="180" t="n">
        <v>10</v>
      </c>
      <c r="J91" s="194" t="n">
        <v>9000</v>
      </c>
      <c r="K91" s="182" t="inlineStr">
        <is>
          <t>CK</t>
        </is>
      </c>
      <c r="L91" s="182" t="inlineStr">
        <is>
          <t>GL</t>
        </is>
      </c>
      <c r="M91" s="278" t="inlineStr">
        <is>
          <t>'3173</t>
        </is>
      </c>
      <c r="N91" s="181" t="n">
        <v>46295</v>
      </c>
      <c r="O91" s="181" t="n">
        <v>46295</v>
      </c>
      <c r="P91" s="194" t="n">
        <v>99000</v>
      </c>
      <c r="Q91" s="180" t="inlineStr">
        <is>
          <t>Không xác định</t>
        </is>
      </c>
      <c r="R91" s="180" t="inlineStr">
        <is>
          <t>THAOPTT.HCM.VTA</t>
        </is>
      </c>
      <c r="S91" s="182" t="inlineStr">
        <is>
          <t>Not Reversed</t>
        </is>
      </c>
      <c r="T91" s="57">
        <f>IF(OR(LEN(F91)=11,LEN(F91)=15),"Đ","SAI")</f>
        <v/>
      </c>
      <c r="U91" s="529">
        <f>ROUND(H91*I91%,0)-J91</f>
        <v/>
      </c>
      <c r="V91" s="55">
        <f>IF(Q91=$V$12,13313,13311)</f>
        <v/>
      </c>
      <c r="W91" s="64" t="n"/>
      <c r="X91" s="64" t="n"/>
    </row>
    <row r="92" ht="14.4" customHeight="1" s="344">
      <c r="A92" s="180" t="n">
        <v>75</v>
      </c>
      <c r="B92" s="182" t="inlineStr">
        <is>
          <t>1K26THE</t>
        </is>
      </c>
      <c r="C92" s="278" t="inlineStr">
        <is>
          <t>'1034905</t>
        </is>
      </c>
      <c r="D92" s="181" t="n">
        <v>46062</v>
      </c>
      <c r="E92" s="182" t="inlineStr">
        <is>
          <t>CN Tập đoàn bưu chính viễn thông Việt Nam ( Loại hình doanh nghiệp công ty TNHH)- Viễn Thông Thành Phố Hồ Chí Minh</t>
        </is>
      </c>
      <c r="F92" s="278" t="inlineStr">
        <is>
          <t>'0300954529</t>
        </is>
      </c>
      <c r="G92" s="182" t="inlineStr">
        <is>
          <t>cước viễn thông VNPT Côn Đảo T8-2026</t>
        </is>
      </c>
      <c r="H92" s="194" t="n">
        <v>92273</v>
      </c>
      <c r="I92" s="180" t="n">
        <v>10</v>
      </c>
      <c r="J92" s="194" t="n">
        <v>9227</v>
      </c>
      <c r="K92" s="182" t="inlineStr">
        <is>
          <t>CK</t>
        </is>
      </c>
      <c r="L92" s="182" t="inlineStr">
        <is>
          <t>GL</t>
        </is>
      </c>
      <c r="M92" s="278" t="inlineStr">
        <is>
          <t>'3173</t>
        </is>
      </c>
      <c r="N92" s="181" t="n">
        <v>46295</v>
      </c>
      <c r="O92" s="181" t="n">
        <v>46295</v>
      </c>
      <c r="P92" s="194" t="n">
        <v>101500</v>
      </c>
      <c r="Q92" s="180" t="inlineStr">
        <is>
          <t>Không xác định</t>
        </is>
      </c>
      <c r="R92" s="180" t="inlineStr">
        <is>
          <t>THAOPTT.HCM.VTA</t>
        </is>
      </c>
      <c r="S92" s="182" t="inlineStr">
        <is>
          <t>Not Reversed</t>
        </is>
      </c>
      <c r="T92" s="57">
        <f>IF(OR(LEN(F92)=11,LEN(F92)=15),"Đ","SAI")</f>
        <v/>
      </c>
      <c r="U92" s="529">
        <f>ROUND(H92*I92%,0)-J92</f>
        <v/>
      </c>
      <c r="V92" s="55">
        <f>IF(Q92=$V$12,13313,13311)</f>
        <v/>
      </c>
    </row>
    <row r="93" ht="14.4" customHeight="1" s="344">
      <c r="A93" s="180" t="n">
        <v>76</v>
      </c>
      <c r="B93" s="182" t="inlineStr">
        <is>
          <t>1K26THE</t>
        </is>
      </c>
      <c r="C93" s="278" t="inlineStr">
        <is>
          <t>'1034906</t>
        </is>
      </c>
      <c r="D93" s="181" t="n">
        <v>46062</v>
      </c>
      <c r="E93" s="182" t="inlineStr">
        <is>
          <t>CN Tập đoàn bưu chính viễn thông Việt Nam ( Loại hình doanh nghiệp công ty TNHH)- Viễn Thông Thành Phố Hồ Chí Minh</t>
        </is>
      </c>
      <c r="F93" s="278" t="inlineStr">
        <is>
          <t>'0300954529</t>
        </is>
      </c>
      <c r="G93" s="182" t="inlineStr">
        <is>
          <t>cước viễn thông VNPT Côn Đảo T8-2026</t>
        </is>
      </c>
      <c r="H93" s="194" t="n">
        <v>20000</v>
      </c>
      <c r="I93" s="180" t="n">
        <v>10</v>
      </c>
      <c r="J93" s="194" t="n">
        <v>2000</v>
      </c>
      <c r="K93" s="182" t="inlineStr">
        <is>
          <t>CK</t>
        </is>
      </c>
      <c r="L93" s="182" t="inlineStr">
        <is>
          <t>GL</t>
        </is>
      </c>
      <c r="M93" s="278" t="inlineStr">
        <is>
          <t>'3173</t>
        </is>
      </c>
      <c r="N93" s="181" t="n">
        <v>46295</v>
      </c>
      <c r="O93" s="181" t="n">
        <v>46295</v>
      </c>
      <c r="P93" s="194" t="n">
        <v>22000</v>
      </c>
      <c r="Q93" s="180" t="inlineStr">
        <is>
          <t>Không xác định</t>
        </is>
      </c>
      <c r="R93" s="180" t="inlineStr">
        <is>
          <t>THAOPTT.HCM.VTA</t>
        </is>
      </c>
      <c r="S93" s="182" t="inlineStr">
        <is>
          <t>Not Reversed</t>
        </is>
      </c>
      <c r="T93" s="57">
        <f>IF(OR(LEN(F93)=11,LEN(F93)=15),"Đ","SAI")</f>
        <v/>
      </c>
      <c r="U93" s="529">
        <f>ROUND(H93*I93%,0)-J93</f>
        <v/>
      </c>
      <c r="V93" s="55">
        <f>IF(Q93=$V$12,13313,13311)</f>
        <v/>
      </c>
    </row>
    <row r="94" ht="14.4" customHeight="1" s="344">
      <c r="A94" s="180" t="n">
        <v>77</v>
      </c>
      <c r="B94" s="182" t="inlineStr">
        <is>
          <t>1K26THE</t>
        </is>
      </c>
      <c r="C94" s="278" t="inlineStr">
        <is>
          <t>'1034907</t>
        </is>
      </c>
      <c r="D94" s="181" t="n">
        <v>46062</v>
      </c>
      <c r="E94" s="182" t="inlineStr">
        <is>
          <t>CN Tập đoàn bưu chính viễn thông Việt Nam ( Loại hình doanh nghiệp công ty TNHH)- Viễn Thông Thành Phố Hồ Chí Minh</t>
        </is>
      </c>
      <c r="F94" s="278" t="inlineStr">
        <is>
          <t>'0300954529</t>
        </is>
      </c>
      <c r="G94" s="182" t="inlineStr">
        <is>
          <t>cước viễn thông VNPT Côn Đảo T8-2026</t>
        </is>
      </c>
      <c r="H94" s="194" t="n">
        <v>900000</v>
      </c>
      <c r="I94" s="180" t="n">
        <v>10</v>
      </c>
      <c r="J94" s="194" t="n">
        <v>90000</v>
      </c>
      <c r="K94" s="182" t="inlineStr">
        <is>
          <t>CK</t>
        </is>
      </c>
      <c r="L94" s="182" t="inlineStr">
        <is>
          <t>GL</t>
        </is>
      </c>
      <c r="M94" s="278" t="inlineStr">
        <is>
          <t>'3173</t>
        </is>
      </c>
      <c r="N94" s="181" t="n">
        <v>46295</v>
      </c>
      <c r="O94" s="181" t="n">
        <v>46295</v>
      </c>
      <c r="P94" s="194" t="n">
        <v>990000</v>
      </c>
      <c r="Q94" s="180" t="inlineStr">
        <is>
          <t>Không xác định</t>
        </is>
      </c>
      <c r="R94" s="180" t="inlineStr">
        <is>
          <t>THAOPTT.HCM.VTA</t>
        </is>
      </c>
      <c r="S94" s="182" t="inlineStr">
        <is>
          <t>Not Reversed</t>
        </is>
      </c>
      <c r="T94" s="57">
        <f>IF(OR(LEN(F94)=11,LEN(F94)=15),"Đ","SAI")</f>
        <v/>
      </c>
      <c r="U94" s="529">
        <f>ROUND(H94*I94%,0)-J94</f>
        <v/>
      </c>
      <c r="V94" s="55">
        <f>IF(Q94=$V$12,13313,13311)</f>
        <v/>
      </c>
    </row>
    <row r="95" ht="14.4" customHeight="1" s="344">
      <c r="A95" s="180" t="n">
        <v>78</v>
      </c>
      <c r="B95" s="182" t="inlineStr">
        <is>
          <t>1K26THE</t>
        </is>
      </c>
      <c r="C95" s="278" t="inlineStr">
        <is>
          <t>'1036588</t>
        </is>
      </c>
      <c r="D95" s="181" t="n">
        <v>46062</v>
      </c>
      <c r="E95" s="182" t="inlineStr">
        <is>
          <t>CN Tập đoàn bưu chính viễn thông Việt Nam ( Loại hình doanh nghiệp công ty TNHH)- Viễn Thông Thành Phố Hồ Chí Minh</t>
        </is>
      </c>
      <c r="F95" s="278" t="inlineStr">
        <is>
          <t>'0300954529</t>
        </is>
      </c>
      <c r="G95" s="182" t="inlineStr">
        <is>
          <t>cước viễn thông VNPT T8-2026</t>
        </is>
      </c>
      <c r="H95" s="194" t="n">
        <v>531000</v>
      </c>
      <c r="I95" s="180" t="n">
        <v>10</v>
      </c>
      <c r="J95" s="194" t="n">
        <v>53100</v>
      </c>
      <c r="K95" s="182" t="inlineStr">
        <is>
          <t>CK</t>
        </is>
      </c>
      <c r="L95" s="182" t="inlineStr">
        <is>
          <t>GL</t>
        </is>
      </c>
      <c r="M95" s="278" t="inlineStr">
        <is>
          <t>'3173</t>
        </is>
      </c>
      <c r="N95" s="181" t="n">
        <v>46295</v>
      </c>
      <c r="O95" s="181" t="n">
        <v>46295</v>
      </c>
      <c r="P95" s="194" t="n">
        <v>584100</v>
      </c>
      <c r="Q95" s="180" t="inlineStr">
        <is>
          <t>Không xác định</t>
        </is>
      </c>
      <c r="R95" s="180" t="inlineStr">
        <is>
          <t>THAOPTT.HCM.VTA</t>
        </is>
      </c>
      <c r="S95" s="182" t="inlineStr">
        <is>
          <t>Not Reversed</t>
        </is>
      </c>
      <c r="T95" s="57">
        <f>IF(OR(LEN(F95)=11,LEN(F95)=15),"Đ","SAI")</f>
        <v/>
      </c>
      <c r="U95" s="529">
        <f>ROUND(H95*I95%,0)-J95</f>
        <v/>
      </c>
      <c r="V95" s="55">
        <f>IF(Q95=$V$12,13313,13311)</f>
        <v/>
      </c>
    </row>
    <row r="96" ht="14.4" customHeight="1" s="344">
      <c r="A96" s="180" t="n">
        <v>79</v>
      </c>
      <c r="B96" s="182" t="inlineStr">
        <is>
          <t>1K26THE</t>
        </is>
      </c>
      <c r="C96" s="278" t="inlineStr">
        <is>
          <t>'1039127</t>
        </is>
      </c>
      <c r="D96" s="181" t="n">
        <v>46062</v>
      </c>
      <c r="E96" s="182" t="inlineStr">
        <is>
          <t>CN Tập đoàn bưu chính viễn thông Việt Nam ( Loại hình doanh nghiệp công ty TNHH)- Viễn Thông Thành Phố Hồ Chí Minh</t>
        </is>
      </c>
      <c r="F96" s="278" t="inlineStr">
        <is>
          <t>'0300954529</t>
        </is>
      </c>
      <c r="G96" s="182" t="inlineStr">
        <is>
          <t>cước viễn thông VNPT T8-2026</t>
        </is>
      </c>
      <c r="H96" s="194" t="n">
        <v>20000</v>
      </c>
      <c r="I96" s="180" t="n">
        <v>10</v>
      </c>
      <c r="J96" s="194" t="n">
        <v>2000</v>
      </c>
      <c r="K96" s="182" t="inlineStr">
        <is>
          <t>CK</t>
        </is>
      </c>
      <c r="L96" s="182" t="inlineStr">
        <is>
          <t>GL</t>
        </is>
      </c>
      <c r="M96" s="278" t="inlineStr">
        <is>
          <t>'3173</t>
        </is>
      </c>
      <c r="N96" s="181" t="n">
        <v>46295</v>
      </c>
      <c r="O96" s="181" t="n">
        <v>46295</v>
      </c>
      <c r="P96" s="194" t="n">
        <v>22000</v>
      </c>
      <c r="Q96" s="180" t="inlineStr">
        <is>
          <t>Không xác định</t>
        </is>
      </c>
      <c r="R96" s="180" t="inlineStr">
        <is>
          <t>THAOPTT.HCM.VTA</t>
        </is>
      </c>
      <c r="S96" s="182" t="inlineStr">
        <is>
          <t>Not Reversed</t>
        </is>
      </c>
      <c r="T96" s="57">
        <f>IF(OR(LEN(F96)=11,LEN(F96)=15),"Đ","SAI")</f>
        <v/>
      </c>
      <c r="U96" s="529">
        <f>ROUND(H96*I96%,0)-J96</f>
        <v/>
      </c>
      <c r="V96" s="55">
        <f>IF(Q96=$V$12,13313,13311)</f>
        <v/>
      </c>
    </row>
    <row r="97" ht="14.4" customHeight="1" s="344">
      <c r="A97" s="180" t="n">
        <v>80</v>
      </c>
      <c r="B97" s="182" t="inlineStr">
        <is>
          <t>1K26THE</t>
        </is>
      </c>
      <c r="C97" s="278" t="inlineStr">
        <is>
          <t>'1045088</t>
        </is>
      </c>
      <c r="D97" s="181" t="n">
        <v>46062</v>
      </c>
      <c r="E97" s="182" t="inlineStr">
        <is>
          <t>CN Tập đoàn bưu chính viễn thông Việt Nam ( Loại hình doanh nghiệp công ty TNHH)- Viễn Thông Thành Phố Hồ Chí Minh</t>
        </is>
      </c>
      <c r="F97" s="278" t="inlineStr">
        <is>
          <t>'0300954529</t>
        </is>
      </c>
      <c r="G97" s="182" t="inlineStr">
        <is>
          <t>cước viễn thông VNPT T8-2026</t>
        </is>
      </c>
      <c r="H97" s="194" t="n">
        <v>354000</v>
      </c>
      <c r="I97" s="180" t="n">
        <v>10</v>
      </c>
      <c r="J97" s="194" t="n">
        <v>35400</v>
      </c>
      <c r="K97" s="182" t="inlineStr">
        <is>
          <t>CK</t>
        </is>
      </c>
      <c r="L97" s="182" t="inlineStr">
        <is>
          <t>GL</t>
        </is>
      </c>
      <c r="M97" s="278" t="inlineStr">
        <is>
          <t>'3173</t>
        </is>
      </c>
      <c r="N97" s="181" t="n">
        <v>46295</v>
      </c>
      <c r="O97" s="181" t="n">
        <v>46295</v>
      </c>
      <c r="P97" s="194" t="n">
        <v>389400</v>
      </c>
      <c r="Q97" s="180" t="inlineStr">
        <is>
          <t>Không xác định</t>
        </is>
      </c>
      <c r="R97" s="180" t="inlineStr">
        <is>
          <t>THAOPTT.HCM.VTA</t>
        </is>
      </c>
      <c r="S97" s="182" t="inlineStr">
        <is>
          <t>Not Reversed</t>
        </is>
      </c>
      <c r="T97" s="57">
        <f>IF(OR(LEN(F97)=11,LEN(F97)=15),"Đ","SAI")</f>
        <v/>
      </c>
      <c r="U97" s="529">
        <f>ROUND(H97*I97%,0)-J97</f>
        <v/>
      </c>
      <c r="V97" s="55">
        <f>IF(Q97=$V$12,13313,13311)</f>
        <v/>
      </c>
    </row>
    <row r="98" ht="14.4" customFormat="1" customHeight="1" s="62">
      <c r="A98" s="180" t="n">
        <v>81</v>
      </c>
      <c r="B98" s="182" t="inlineStr">
        <is>
          <t>1K26THE</t>
        </is>
      </c>
      <c r="C98" s="278" t="inlineStr">
        <is>
          <t>'1060319</t>
        </is>
      </c>
      <c r="D98" s="181" t="n">
        <v>46062</v>
      </c>
      <c r="E98" s="182" t="inlineStr">
        <is>
          <t>CN Tập đoàn bưu chính viễn thông Việt Nam ( Loại hình doanh nghiệp công ty TNHH)- Viễn Thông Thành Phố Hồ Chí Minh</t>
        </is>
      </c>
      <c r="F98" s="278" t="inlineStr">
        <is>
          <t>'0300954529</t>
        </is>
      </c>
      <c r="G98" s="182" t="inlineStr">
        <is>
          <t>cước viễn thông VNPT T8-2026</t>
        </is>
      </c>
      <c r="H98" s="194" t="n">
        <v>3212729</v>
      </c>
      <c r="I98" s="180" t="n">
        <v>10</v>
      </c>
      <c r="J98" s="194" t="n">
        <v>321273</v>
      </c>
      <c r="K98" s="182" t="inlineStr">
        <is>
          <t>CK</t>
        </is>
      </c>
      <c r="L98" s="182" t="inlineStr">
        <is>
          <t>GL</t>
        </is>
      </c>
      <c r="M98" s="278" t="inlineStr">
        <is>
          <t>'3173</t>
        </is>
      </c>
      <c r="N98" s="181" t="n">
        <v>46295</v>
      </c>
      <c r="O98" s="181" t="n">
        <v>46295</v>
      </c>
      <c r="P98" s="194" t="n">
        <v>3534002</v>
      </c>
      <c r="Q98" s="180" t="inlineStr">
        <is>
          <t>Không xác định</t>
        </is>
      </c>
      <c r="R98" s="180" t="inlineStr">
        <is>
          <t>THAOPTT.HCM.VTA</t>
        </is>
      </c>
      <c r="S98" s="182" t="inlineStr">
        <is>
          <t>Not Reversed</t>
        </is>
      </c>
      <c r="T98" s="57">
        <f>IF(OR(LEN(F98)=11,LEN(F98)=15),"Đ","SAI")</f>
        <v/>
      </c>
      <c r="U98" s="529">
        <f>ROUND(H98*I98%,0)-J98</f>
        <v/>
      </c>
      <c r="V98" s="55">
        <f>IF(Q98=$V$12,13313,13311)</f>
        <v/>
      </c>
    </row>
    <row r="99" ht="14.4" customHeight="1" s="344">
      <c r="A99" s="180" t="n">
        <v>82</v>
      </c>
      <c r="B99" s="182" t="inlineStr">
        <is>
          <t>1K26THE</t>
        </is>
      </c>
      <c r="C99" s="278" t="inlineStr">
        <is>
          <t>'1064089</t>
        </is>
      </c>
      <c r="D99" s="181" t="n">
        <v>46062</v>
      </c>
      <c r="E99" s="182" t="inlineStr">
        <is>
          <t>CN Tập đoàn bưu chính viễn thông Việt Nam ( Loại hình doanh nghiệp công ty TNHH)- Viễn Thông Thành Phố Hồ Chí Minh</t>
        </is>
      </c>
      <c r="F99" s="278" t="inlineStr">
        <is>
          <t>'0300954529</t>
        </is>
      </c>
      <c r="G99" s="182" t="inlineStr">
        <is>
          <t>cước viễn thông VNPT Côn Đảo T8-2026</t>
        </is>
      </c>
      <c r="H99" s="194" t="n">
        <v>790909</v>
      </c>
      <c r="I99" s="180" t="n">
        <v>10</v>
      </c>
      <c r="J99" s="194" t="n">
        <v>79091</v>
      </c>
      <c r="K99" s="182" t="inlineStr">
        <is>
          <t>CK</t>
        </is>
      </c>
      <c r="L99" s="182" t="inlineStr">
        <is>
          <t>GL</t>
        </is>
      </c>
      <c r="M99" s="278" t="inlineStr">
        <is>
          <t>'3173</t>
        </is>
      </c>
      <c r="N99" s="181" t="n">
        <v>46295</v>
      </c>
      <c r="O99" s="181" t="n">
        <v>46295</v>
      </c>
      <c r="P99" s="194" t="n">
        <v>870000</v>
      </c>
      <c r="Q99" s="180" t="inlineStr">
        <is>
          <t>Không xác định</t>
        </is>
      </c>
      <c r="R99" s="180" t="inlineStr">
        <is>
          <t>THAOPTT.HCM.VTA</t>
        </is>
      </c>
      <c r="S99" s="182" t="inlineStr">
        <is>
          <t>Not Reversed</t>
        </is>
      </c>
      <c r="T99" s="57">
        <f>IF(OR(LEN(F99)=11,LEN(F99)=15),"Đ","SAI")</f>
        <v/>
      </c>
      <c r="U99" s="529">
        <f>ROUND(H99*I99%,0)-J99</f>
        <v/>
      </c>
      <c r="V99" s="55">
        <f>IF(Q99=$V$12,13313,13311)</f>
        <v/>
      </c>
    </row>
    <row r="100" ht="14.4" customHeight="1" s="344">
      <c r="A100" s="180" t="n">
        <v>83</v>
      </c>
      <c r="B100" s="182" t="inlineStr">
        <is>
          <t>1K26THE</t>
        </is>
      </c>
      <c r="C100" s="278" t="inlineStr">
        <is>
          <t>'1064091</t>
        </is>
      </c>
      <c r="D100" s="181" t="n">
        <v>46062</v>
      </c>
      <c r="E100" s="182" t="inlineStr">
        <is>
          <t>CN Tập đoàn bưu chính viễn thông Việt Nam ( Loại hình doanh nghiệp công ty TNHH)- Viễn Thông Thành Phố Hồ Chí Minh</t>
        </is>
      </c>
      <c r="F100" s="278" t="inlineStr">
        <is>
          <t>'0300954529</t>
        </is>
      </c>
      <c r="G100" s="182" t="inlineStr">
        <is>
          <t>cước viễn thông VNPT Côn Đảo T8-2026</t>
        </is>
      </c>
      <c r="H100" s="194" t="n">
        <v>230000</v>
      </c>
      <c r="I100" s="180" t="n">
        <v>10</v>
      </c>
      <c r="J100" s="194" t="n">
        <v>23000</v>
      </c>
      <c r="K100" s="182" t="inlineStr">
        <is>
          <t>CK</t>
        </is>
      </c>
      <c r="L100" s="182" t="inlineStr">
        <is>
          <t>GL</t>
        </is>
      </c>
      <c r="M100" s="278" t="inlineStr">
        <is>
          <t>'3173</t>
        </is>
      </c>
      <c r="N100" s="181" t="n">
        <v>46295</v>
      </c>
      <c r="O100" s="181" t="n">
        <v>46295</v>
      </c>
      <c r="P100" s="194" t="n">
        <v>253000</v>
      </c>
      <c r="Q100" s="180" t="inlineStr">
        <is>
          <t>Không xác định</t>
        </is>
      </c>
      <c r="R100" s="180" t="inlineStr">
        <is>
          <t>THAOPTT.HCM.VTA</t>
        </is>
      </c>
      <c r="S100" s="182" t="inlineStr">
        <is>
          <t>Not Reversed</t>
        </is>
      </c>
      <c r="T100" s="57">
        <f>IF(OR(LEN(F100)=11,LEN(F100)=15),"Đ","SAI")</f>
        <v/>
      </c>
      <c r="U100" s="529">
        <f>ROUND(H100*I100%,0)-J100</f>
        <v/>
      </c>
      <c r="V100" s="55">
        <f>IF(Q100=$V$12,13313,13311)</f>
        <v/>
      </c>
    </row>
    <row r="101" ht="14.4" customHeight="1" s="344">
      <c r="A101" s="180" t="n">
        <v>84</v>
      </c>
      <c r="B101" s="182" t="inlineStr">
        <is>
          <t>1K26THE</t>
        </is>
      </c>
      <c r="C101" s="278" t="inlineStr">
        <is>
          <t>'1076119</t>
        </is>
      </c>
      <c r="D101" s="181" t="n">
        <v>46062</v>
      </c>
      <c r="E101" s="182" t="inlineStr">
        <is>
          <t>CN Tập đoàn bưu chính viễn thông Việt Nam ( Loại hình doanh nghiệp công ty TNHH)- Viễn Thông Thành Phố Hồ Chí Minh</t>
        </is>
      </c>
      <c r="F101" s="278" t="inlineStr">
        <is>
          <t>'0300954529</t>
        </is>
      </c>
      <c r="G101" s="182" t="inlineStr">
        <is>
          <t>cước viễn thông VNPT T8-2026</t>
        </is>
      </c>
      <c r="H101" s="194" t="n">
        <v>1122727</v>
      </c>
      <c r="I101" s="180" t="n">
        <v>10</v>
      </c>
      <c r="J101" s="194" t="n">
        <v>112273</v>
      </c>
      <c r="K101" s="182" t="inlineStr">
        <is>
          <t>CK</t>
        </is>
      </c>
      <c r="L101" s="182" t="inlineStr">
        <is>
          <t>GL</t>
        </is>
      </c>
      <c r="M101" s="278" t="inlineStr">
        <is>
          <t>'3173</t>
        </is>
      </c>
      <c r="N101" s="181" t="n">
        <v>46295</v>
      </c>
      <c r="O101" s="181" t="n">
        <v>46295</v>
      </c>
      <c r="P101" s="194" t="n">
        <v>1235000</v>
      </c>
      <c r="Q101" s="180" t="inlineStr">
        <is>
          <t>Không xác định</t>
        </is>
      </c>
      <c r="R101" s="180" t="inlineStr">
        <is>
          <t>THAOPTT.HCM.VTA</t>
        </is>
      </c>
      <c r="S101" s="182" t="inlineStr">
        <is>
          <t>Not Reversed</t>
        </is>
      </c>
      <c r="T101" s="57">
        <f>IF(OR(LEN(F101)=11,LEN(F101)=15),"Đ","SAI")</f>
        <v/>
      </c>
      <c r="U101" s="529">
        <f>ROUND(H101*I101%,0)-J101</f>
        <v/>
      </c>
      <c r="V101" s="55">
        <f>IF(Q101=$V$12,13313,13311)</f>
        <v/>
      </c>
    </row>
    <row r="102" ht="14.4" customHeight="1" s="344">
      <c r="A102" s="180" t="n">
        <v>85</v>
      </c>
      <c r="B102" s="182" t="inlineStr">
        <is>
          <t>1K26THE</t>
        </is>
      </c>
      <c r="C102" s="278" t="inlineStr">
        <is>
          <t>'1081417</t>
        </is>
      </c>
      <c r="D102" s="181" t="n">
        <v>46062</v>
      </c>
      <c r="E102" s="182" t="inlineStr">
        <is>
          <t>CN Tập đoàn bưu chính viễn thông Việt Nam ( Loại hình doanh nghiệp công ty TNHH)- Viễn Thông Thành Phố Hồ Chí Minh</t>
        </is>
      </c>
      <c r="F102" s="278" t="inlineStr">
        <is>
          <t>'0300954529</t>
        </is>
      </c>
      <c r="G102" s="182" t="inlineStr">
        <is>
          <t>cước viễn thông VNPT T8-2026</t>
        </is>
      </c>
      <c r="H102" s="194" t="n">
        <v>254550</v>
      </c>
      <c r="I102" s="180" t="n">
        <v>10</v>
      </c>
      <c r="J102" s="194" t="n">
        <v>25455</v>
      </c>
      <c r="K102" s="182" t="inlineStr">
        <is>
          <t>CK</t>
        </is>
      </c>
      <c r="L102" s="182" t="inlineStr">
        <is>
          <t>GL</t>
        </is>
      </c>
      <c r="M102" s="278" t="inlineStr">
        <is>
          <t>'3173</t>
        </is>
      </c>
      <c r="N102" s="181" t="n">
        <v>46295</v>
      </c>
      <c r="O102" s="181" t="n">
        <v>46295</v>
      </c>
      <c r="P102" s="194" t="n">
        <v>280005</v>
      </c>
      <c r="Q102" s="180" t="inlineStr">
        <is>
          <t>Không xác định</t>
        </is>
      </c>
      <c r="R102" s="180" t="inlineStr">
        <is>
          <t>THAOPTT.HCM.VTA</t>
        </is>
      </c>
      <c r="S102" s="182" t="inlineStr">
        <is>
          <t>Not Reversed</t>
        </is>
      </c>
      <c r="T102" s="57">
        <f>IF(OR(LEN(F102)=11,LEN(F102)=15),"Đ","SAI")</f>
        <v/>
      </c>
      <c r="U102" s="529">
        <f>ROUND(H102*I102%,0)-J102</f>
        <v/>
      </c>
      <c r="V102" s="55">
        <f>IF(Q102=$V$12,13313,13311)</f>
        <v/>
      </c>
    </row>
    <row r="103" ht="14.4" customHeight="1" s="344">
      <c r="A103" s="180" t="n">
        <v>86</v>
      </c>
      <c r="B103" s="182" t="inlineStr">
        <is>
          <t>1K26THE</t>
        </is>
      </c>
      <c r="C103" s="278" t="inlineStr">
        <is>
          <t>'1089870</t>
        </is>
      </c>
      <c r="D103" s="181" t="n">
        <v>46062</v>
      </c>
      <c r="E103" s="182" t="inlineStr">
        <is>
          <t>CN Tập đoàn bưu chính viễn thông Việt Nam ( Loại hình doanh nghiệp công ty TNHH)- Viễn Thông Thành Phố Hồ Chí Minh</t>
        </is>
      </c>
      <c r="F103" s="278" t="inlineStr">
        <is>
          <t>'0300954529</t>
        </is>
      </c>
      <c r="G103" s="182" t="inlineStr">
        <is>
          <t>cước viễn thông VNPT Côn Đảo T8-2026</t>
        </is>
      </c>
      <c r="H103" s="194" t="n">
        <v>47368</v>
      </c>
      <c r="I103" s="180" t="n">
        <v>10</v>
      </c>
      <c r="J103" s="194" t="n">
        <v>4737</v>
      </c>
      <c r="K103" s="182" t="inlineStr">
        <is>
          <t>CK</t>
        </is>
      </c>
      <c r="L103" s="182" t="inlineStr">
        <is>
          <t>GL</t>
        </is>
      </c>
      <c r="M103" s="278" t="inlineStr">
        <is>
          <t>'3173</t>
        </is>
      </c>
      <c r="N103" s="181" t="n">
        <v>46295</v>
      </c>
      <c r="O103" s="181" t="n">
        <v>46295</v>
      </c>
      <c r="P103" s="194" t="n">
        <v>52105</v>
      </c>
      <c r="Q103" s="180" t="inlineStr">
        <is>
          <t>Không xác định</t>
        </is>
      </c>
      <c r="R103" s="180" t="inlineStr">
        <is>
          <t>THAOPTT.HCM.VTA</t>
        </is>
      </c>
      <c r="S103" s="182" t="inlineStr">
        <is>
          <t>Not Reversed</t>
        </is>
      </c>
      <c r="T103" s="57">
        <f>IF(OR(LEN(F103)=11,LEN(F103)=15),"Đ","SAI")</f>
        <v/>
      </c>
      <c r="U103" s="529">
        <f>ROUND(H103*I103%,0)-J103</f>
        <v/>
      </c>
      <c r="V103" s="55">
        <f>IF(Q103=$V$12,13313,13311)</f>
        <v/>
      </c>
    </row>
    <row r="104" ht="14.4" customHeight="1" s="344">
      <c r="A104" s="180" t="n">
        <v>87</v>
      </c>
      <c r="B104" s="182" t="inlineStr">
        <is>
          <t>1K26THE</t>
        </is>
      </c>
      <c r="C104" s="278" t="inlineStr">
        <is>
          <t>'1101190</t>
        </is>
      </c>
      <c r="D104" s="181" t="n">
        <v>46062</v>
      </c>
      <c r="E104" s="182" t="inlineStr">
        <is>
          <t>CN Tập đoàn bưu chính viễn thông Việt Nam ( Loại hình doanh nghiệp công ty TNHH)- Viễn Thông Thành Phố Hồ Chí Minh</t>
        </is>
      </c>
      <c r="F104" s="278" t="inlineStr">
        <is>
          <t>'0300954529</t>
        </is>
      </c>
      <c r="G104" s="182" t="inlineStr">
        <is>
          <t>cước viễn thông VNPT T8-2026</t>
        </is>
      </c>
      <c r="H104" s="194" t="n">
        <v>76602</v>
      </c>
      <c r="I104" s="180" t="n">
        <v>10</v>
      </c>
      <c r="J104" s="194" t="n">
        <v>7660</v>
      </c>
      <c r="K104" s="182" t="inlineStr">
        <is>
          <t>CK</t>
        </is>
      </c>
      <c r="L104" s="182" t="inlineStr">
        <is>
          <t>GL</t>
        </is>
      </c>
      <c r="M104" s="278" t="inlineStr">
        <is>
          <t>'3173</t>
        </is>
      </c>
      <c r="N104" s="181" t="n">
        <v>46295</v>
      </c>
      <c r="O104" s="181" t="n">
        <v>46295</v>
      </c>
      <c r="P104" s="194" t="n">
        <v>84262</v>
      </c>
      <c r="Q104" s="180" t="inlineStr">
        <is>
          <t>Không xác định</t>
        </is>
      </c>
      <c r="R104" s="180" t="inlineStr">
        <is>
          <t>THAOPTT.HCM.VTA</t>
        </is>
      </c>
      <c r="S104" s="182" t="inlineStr">
        <is>
          <t>Not Reversed</t>
        </is>
      </c>
      <c r="T104" s="57">
        <f>IF(OR(LEN(F104)=11,LEN(F104)=15),"Đ","SAI")</f>
        <v/>
      </c>
      <c r="U104" s="529">
        <f>ROUND(H104*I104%,0)-J104</f>
        <v/>
      </c>
      <c r="V104" s="55">
        <f>IF(Q104=$V$12,13313,13311)</f>
        <v/>
      </c>
    </row>
    <row r="105" ht="14.4" customHeight="1" s="344">
      <c r="A105" s="180" t="n">
        <v>88</v>
      </c>
      <c r="B105" s="182" t="inlineStr">
        <is>
          <t>1K26THE</t>
        </is>
      </c>
      <c r="C105" s="278" t="inlineStr">
        <is>
          <t>'1103924</t>
        </is>
      </c>
      <c r="D105" s="181" t="n">
        <v>46062</v>
      </c>
      <c r="E105" s="182" t="inlineStr">
        <is>
          <t>CN Tập đoàn bưu chính viễn thông Việt Nam ( Loại hình doanh nghiệp công ty TNHH)- Viễn Thông Thành Phố Hồ Chí Minh</t>
        </is>
      </c>
      <c r="F105" s="278" t="inlineStr">
        <is>
          <t>'0300954529</t>
        </is>
      </c>
      <c r="G105" s="182" t="inlineStr">
        <is>
          <t>cước viễn thông VNPT T8-2026</t>
        </is>
      </c>
      <c r="H105" s="194" t="n">
        <v>20000</v>
      </c>
      <c r="I105" s="180" t="n">
        <v>10</v>
      </c>
      <c r="J105" s="194" t="n">
        <v>2000</v>
      </c>
      <c r="K105" s="182" t="inlineStr">
        <is>
          <t>CK</t>
        </is>
      </c>
      <c r="L105" s="182" t="inlineStr">
        <is>
          <t>GL</t>
        </is>
      </c>
      <c r="M105" s="278" t="inlineStr">
        <is>
          <t>'3173</t>
        </is>
      </c>
      <c r="N105" s="181" t="n">
        <v>46295</v>
      </c>
      <c r="O105" s="181" t="n">
        <v>46295</v>
      </c>
      <c r="P105" s="194" t="n">
        <v>22000</v>
      </c>
      <c r="Q105" s="180" t="inlineStr">
        <is>
          <t>Không xác định</t>
        </is>
      </c>
      <c r="R105" s="180" t="inlineStr">
        <is>
          <t>THAOPTT.HCM.VTA</t>
        </is>
      </c>
      <c r="S105" s="182" t="inlineStr">
        <is>
          <t>Not Reversed</t>
        </is>
      </c>
      <c r="T105" s="57">
        <f>IF(OR(LEN(F105)=11,LEN(F105)=15),"Đ","SAI")</f>
        <v/>
      </c>
      <c r="U105" s="529">
        <f>ROUND(H105*I105%,0)-J105</f>
        <v/>
      </c>
      <c r="V105" s="55">
        <f>IF(Q105=$V$12,13313,13311)</f>
        <v/>
      </c>
    </row>
    <row r="106" ht="14.4" customHeight="1" s="344">
      <c r="A106" s="180" t="n">
        <v>89</v>
      </c>
      <c r="B106" s="182" t="inlineStr">
        <is>
          <t>1K26THE</t>
        </is>
      </c>
      <c r="C106" s="278" t="inlineStr">
        <is>
          <t>'1118273</t>
        </is>
      </c>
      <c r="D106" s="181" t="n">
        <v>46062</v>
      </c>
      <c r="E106" s="182" t="inlineStr">
        <is>
          <t>CN Tập đoàn bưu chính viễn thông Việt Nam ( Loại hình doanh nghiệp công ty TNHH)- Viễn Thông Thành Phố Hồ Chí Minh</t>
        </is>
      </c>
      <c r="F106" s="278" t="inlineStr">
        <is>
          <t>'0300954529</t>
        </is>
      </c>
      <c r="G106" s="182" t="inlineStr">
        <is>
          <t>cước viễn thông VNPT T8-2026</t>
        </is>
      </c>
      <c r="H106" s="194" t="n">
        <v>163636</v>
      </c>
      <c r="I106" s="180" t="n">
        <v>10</v>
      </c>
      <c r="J106" s="194" t="n">
        <v>16364</v>
      </c>
      <c r="K106" s="182" t="inlineStr">
        <is>
          <t>CK</t>
        </is>
      </c>
      <c r="L106" s="182" t="inlineStr">
        <is>
          <t>GL</t>
        </is>
      </c>
      <c r="M106" s="278" t="inlineStr">
        <is>
          <t>'3173</t>
        </is>
      </c>
      <c r="N106" s="181" t="n">
        <v>46295</v>
      </c>
      <c r="O106" s="181" t="n">
        <v>46295</v>
      </c>
      <c r="P106" s="194" t="n">
        <v>180000</v>
      </c>
      <c r="Q106" s="180" t="inlineStr">
        <is>
          <t>Không xác định</t>
        </is>
      </c>
      <c r="R106" s="180" t="inlineStr">
        <is>
          <t>THAOPTT.HCM.VTA</t>
        </is>
      </c>
      <c r="S106" s="182" t="inlineStr">
        <is>
          <t>Not Reversed</t>
        </is>
      </c>
      <c r="T106" s="57">
        <f>IF(OR(LEN(F106)=11,LEN(F106)=15),"Đ","SAI")</f>
        <v/>
      </c>
      <c r="U106" s="529">
        <f>ROUND(H106*I106%,0)-J106</f>
        <v/>
      </c>
      <c r="V106" s="55">
        <f>IF(Q106=$V$12,13313,13311)</f>
        <v/>
      </c>
    </row>
    <row r="107" ht="14.4" customHeight="1" s="344">
      <c r="A107" s="180" t="n">
        <v>90</v>
      </c>
      <c r="B107" s="182" t="inlineStr">
        <is>
          <t>1K26THE</t>
        </is>
      </c>
      <c r="C107" s="278" t="inlineStr">
        <is>
          <t>'1118911</t>
        </is>
      </c>
      <c r="D107" s="181" t="n">
        <v>46062</v>
      </c>
      <c r="E107" s="182" t="inlineStr">
        <is>
          <t>CN Tập đoàn bưu chính viễn thông Việt Nam ( Loại hình doanh nghiệp công ty TNHH)- Viễn Thông Thành Phố Hồ Chí Minh</t>
        </is>
      </c>
      <c r="F107" s="278" t="inlineStr">
        <is>
          <t>'0300954529</t>
        </is>
      </c>
      <c r="G107" s="182" t="inlineStr">
        <is>
          <t>cước viễn thông VNPT T8-2026</t>
        </is>
      </c>
      <c r="H107" s="194" t="n">
        <v>144545</v>
      </c>
      <c r="I107" s="180" t="n">
        <v>10</v>
      </c>
      <c r="J107" s="194" t="n">
        <v>14455</v>
      </c>
      <c r="K107" s="182" t="inlineStr">
        <is>
          <t>CK</t>
        </is>
      </c>
      <c r="L107" s="182" t="inlineStr">
        <is>
          <t>GL</t>
        </is>
      </c>
      <c r="M107" s="278" t="inlineStr">
        <is>
          <t>'3173</t>
        </is>
      </c>
      <c r="N107" s="181" t="n">
        <v>46295</v>
      </c>
      <c r="O107" s="181" t="n">
        <v>46295</v>
      </c>
      <c r="P107" s="194" t="n">
        <v>159000</v>
      </c>
      <c r="Q107" s="180" t="inlineStr">
        <is>
          <t>Không xác định</t>
        </is>
      </c>
      <c r="R107" s="180" t="inlineStr">
        <is>
          <t>THAOPTT.HCM.VTA</t>
        </is>
      </c>
      <c r="S107" s="182" t="inlineStr">
        <is>
          <t>Not Reversed</t>
        </is>
      </c>
      <c r="T107" s="57">
        <f>IF(OR(LEN(F107)=11,LEN(F107)=15),"Đ","SAI")</f>
        <v/>
      </c>
      <c r="U107" s="529">
        <f>ROUND(H107*I107%,0)-J107</f>
        <v/>
      </c>
      <c r="V107" s="55">
        <f>IF(Q107=$V$12,13313,13311)</f>
        <v/>
      </c>
    </row>
    <row r="108" ht="14.4" customHeight="1" s="344">
      <c r="A108" s="180" t="n">
        <v>91</v>
      </c>
      <c r="B108" s="182" t="inlineStr">
        <is>
          <t>1K26THE</t>
        </is>
      </c>
      <c r="C108" s="278" t="inlineStr">
        <is>
          <t>'1126927</t>
        </is>
      </c>
      <c r="D108" s="181" t="n">
        <v>46062</v>
      </c>
      <c r="E108" s="182" t="inlineStr">
        <is>
          <t>CN Tập đoàn bưu chính viễn thông Việt Nam ( Loại hình doanh nghiệp công ty TNHH)- Viễn Thông Thành Phố Hồ Chí Minh</t>
        </is>
      </c>
      <c r="F108" s="278" t="inlineStr">
        <is>
          <t>'0300954529</t>
        </is>
      </c>
      <c r="G108" s="182" t="inlineStr">
        <is>
          <t>cước viễn thông VNPT T8-2026</t>
        </is>
      </c>
      <c r="H108" s="194" t="n">
        <v>263636</v>
      </c>
      <c r="I108" s="180" t="n">
        <v>10</v>
      </c>
      <c r="J108" s="194" t="n">
        <v>26364</v>
      </c>
      <c r="K108" s="182" t="inlineStr">
        <is>
          <t>CK</t>
        </is>
      </c>
      <c r="L108" s="182" t="inlineStr">
        <is>
          <t>GL</t>
        </is>
      </c>
      <c r="M108" s="278" t="inlineStr">
        <is>
          <t>'3173</t>
        </is>
      </c>
      <c r="N108" s="181" t="n">
        <v>46295</v>
      </c>
      <c r="O108" s="181" t="n">
        <v>46295</v>
      </c>
      <c r="P108" s="194" t="n">
        <v>290000</v>
      </c>
      <c r="Q108" s="180" t="inlineStr">
        <is>
          <t>Không xác định</t>
        </is>
      </c>
      <c r="R108" s="180" t="inlineStr">
        <is>
          <t>THAOPTT.HCM.VTA</t>
        </is>
      </c>
      <c r="S108" s="182" t="inlineStr">
        <is>
          <t>Not Reversed</t>
        </is>
      </c>
      <c r="T108" s="57">
        <f>IF(OR(LEN(F108)=11,LEN(F108)=15),"Đ","SAI")</f>
        <v/>
      </c>
      <c r="U108" s="529">
        <f>ROUND(H108*I108%,0)-J108</f>
        <v/>
      </c>
      <c r="V108" s="55">
        <f>IF(Q108=$V$12,13313,13311)</f>
        <v/>
      </c>
    </row>
    <row r="109" ht="14.4" customHeight="1" s="344">
      <c r="A109" s="180" t="n">
        <v>92</v>
      </c>
      <c r="B109" s="182" t="inlineStr">
        <is>
          <t>1K26THE</t>
        </is>
      </c>
      <c r="C109" s="278" t="inlineStr">
        <is>
          <t>'1126928</t>
        </is>
      </c>
      <c r="D109" s="181" t="n">
        <v>46062</v>
      </c>
      <c r="E109" s="182" t="inlineStr">
        <is>
          <t>CN Tập đoàn bưu chính viễn thông Việt Nam ( Loại hình doanh nghiệp công ty TNHH)- Viễn Thông Thành Phố Hồ Chí Minh</t>
        </is>
      </c>
      <c r="F109" s="278" t="inlineStr">
        <is>
          <t>'0300954529</t>
        </is>
      </c>
      <c r="G109" s="182" t="inlineStr">
        <is>
          <t>cước viễn thông VNPT T8-2026</t>
        </is>
      </c>
      <c r="H109" s="194" t="n">
        <v>263636</v>
      </c>
      <c r="I109" s="180" t="n">
        <v>10</v>
      </c>
      <c r="J109" s="194" t="n">
        <v>26364</v>
      </c>
      <c r="K109" s="182" t="inlineStr">
        <is>
          <t>CK</t>
        </is>
      </c>
      <c r="L109" s="182" t="inlineStr">
        <is>
          <t>GL</t>
        </is>
      </c>
      <c r="M109" s="278" t="inlineStr">
        <is>
          <t>'3173</t>
        </is>
      </c>
      <c r="N109" s="181" t="n">
        <v>46295</v>
      </c>
      <c r="O109" s="181" t="n">
        <v>46295</v>
      </c>
      <c r="P109" s="194" t="n">
        <v>290000</v>
      </c>
      <c r="Q109" s="180" t="inlineStr">
        <is>
          <t>Không xác định</t>
        </is>
      </c>
      <c r="R109" s="180" t="inlineStr">
        <is>
          <t>THAOPTT.HCM.VTA</t>
        </is>
      </c>
      <c r="S109" s="182" t="inlineStr">
        <is>
          <t>Not Reversed</t>
        </is>
      </c>
      <c r="T109" s="57">
        <f>IF(OR(LEN(F109)=11,LEN(F109)=15),"Đ","SAI")</f>
        <v/>
      </c>
      <c r="U109" s="529">
        <f>ROUND(H109*I109%,0)-J109</f>
        <v/>
      </c>
      <c r="V109" s="55">
        <f>IF(Q109=$V$12,13313,13311)</f>
        <v/>
      </c>
    </row>
    <row r="110" ht="21.65" customHeight="1" s="344">
      <c r="A110" s="180" t="n">
        <v>93</v>
      </c>
      <c r="B110" s="182" t="inlineStr">
        <is>
          <t>1K26THE</t>
        </is>
      </c>
      <c r="C110" s="278" t="inlineStr">
        <is>
          <t>'1127052</t>
        </is>
      </c>
      <c r="D110" s="181" t="n">
        <v>46062</v>
      </c>
      <c r="E110" s="182" t="inlineStr">
        <is>
          <t>CN Tập đoàn bưu chính viễn thông Việt Nam ( Loại hình doanh nghiệp công ty TNHH)- Viễn Thông Thành Phố Hồ Chí Minh</t>
        </is>
      </c>
      <c r="F110" s="278" t="inlineStr">
        <is>
          <t>'0300954529</t>
        </is>
      </c>
      <c r="G110" s="182" t="inlineStr">
        <is>
          <t>cước viễn thông VNPT T8-2026</t>
        </is>
      </c>
      <c r="H110" s="194" t="n">
        <v>263636</v>
      </c>
      <c r="I110" s="180" t="n">
        <v>10</v>
      </c>
      <c r="J110" s="194" t="n">
        <v>26364</v>
      </c>
      <c r="K110" s="182" t="inlineStr">
        <is>
          <t>CK</t>
        </is>
      </c>
      <c r="L110" s="182" t="inlineStr">
        <is>
          <t>GL</t>
        </is>
      </c>
      <c r="M110" s="278" t="inlineStr">
        <is>
          <t>'3173</t>
        </is>
      </c>
      <c r="N110" s="181" t="n">
        <v>46295</v>
      </c>
      <c r="O110" s="181" t="n">
        <v>46295</v>
      </c>
      <c r="P110" s="194" t="n">
        <v>290000</v>
      </c>
      <c r="Q110" s="180" t="inlineStr">
        <is>
          <t>Không xác định</t>
        </is>
      </c>
      <c r="R110" s="180" t="inlineStr">
        <is>
          <t>THAOPTT.HCM.VTA</t>
        </is>
      </c>
      <c r="S110" s="182" t="inlineStr">
        <is>
          <t>Not Reversed</t>
        </is>
      </c>
      <c r="T110" s="57">
        <f>IF(OR(LEN(F110)=11,LEN(F110)=15),"Đ","SAI")</f>
        <v/>
      </c>
      <c r="U110" s="529">
        <f>ROUND(H110*I110%,0)-J110</f>
        <v/>
      </c>
      <c r="V110" s="55">
        <f>IF(Q110=$V$12,13313,13311)</f>
        <v/>
      </c>
    </row>
    <row r="111" ht="14.4" customHeight="1" s="344">
      <c r="A111" s="180" t="n">
        <v>94</v>
      </c>
      <c r="B111" s="182" t="inlineStr">
        <is>
          <t>1K26THE</t>
        </is>
      </c>
      <c r="C111" s="278" t="inlineStr">
        <is>
          <t>'1127055</t>
        </is>
      </c>
      <c r="D111" s="181" t="n">
        <v>46062</v>
      </c>
      <c r="E111" s="182" t="inlineStr">
        <is>
          <t>CN Tập đoàn bưu chính viễn thông Việt Nam ( Loại hình doanh nghiệp công ty TNHH)- Viễn Thông Thành Phố Hồ Chí Minh</t>
        </is>
      </c>
      <c r="F111" s="278" t="inlineStr">
        <is>
          <t>'0300954529</t>
        </is>
      </c>
      <c r="G111" s="182" t="inlineStr">
        <is>
          <t>cước VNPT Côn Đảo</t>
        </is>
      </c>
      <c r="H111" s="194" t="n">
        <v>172727</v>
      </c>
      <c r="I111" s="180" t="n">
        <v>10</v>
      </c>
      <c r="J111" s="194" t="n">
        <v>17273</v>
      </c>
      <c r="K111" s="182" t="inlineStr">
        <is>
          <t>CK</t>
        </is>
      </c>
      <c r="L111" s="182" t="inlineStr">
        <is>
          <t>GL</t>
        </is>
      </c>
      <c r="M111" s="278" t="inlineStr">
        <is>
          <t>'3173</t>
        </is>
      </c>
      <c r="N111" s="181" t="n">
        <v>46295</v>
      </c>
      <c r="O111" s="181" t="n">
        <v>46295</v>
      </c>
      <c r="P111" s="194" t="n">
        <v>190000</v>
      </c>
      <c r="Q111" s="180" t="inlineStr">
        <is>
          <t>Không xác định</t>
        </is>
      </c>
      <c r="R111" s="180" t="inlineStr">
        <is>
          <t>THAOPTT.HCM.VTA</t>
        </is>
      </c>
      <c r="S111" s="182" t="inlineStr">
        <is>
          <t>Not Reversed</t>
        </is>
      </c>
      <c r="T111" s="57">
        <f>IF(OR(LEN(F111)=11,LEN(F111)=15),"Đ","SAI")</f>
        <v/>
      </c>
      <c r="U111" s="529">
        <f>ROUND(H111*I111%,0)-J111</f>
        <v/>
      </c>
      <c r="V111" s="55">
        <f>IF(Q111=$V$12,13313,13311)</f>
        <v/>
      </c>
    </row>
    <row r="112" ht="21.65" customHeight="1" s="344">
      <c r="A112" s="180" t="n">
        <v>95</v>
      </c>
      <c r="B112" s="182" t="inlineStr">
        <is>
          <t>1K26THE</t>
        </is>
      </c>
      <c r="C112" s="278" t="inlineStr">
        <is>
          <t>'1127071</t>
        </is>
      </c>
      <c r="D112" s="181" t="n">
        <v>46062</v>
      </c>
      <c r="E112" s="182" t="inlineStr">
        <is>
          <t>CN Tập đoàn bưu chính viễn thông Việt Nam ( Loại hình doanh nghiệp công ty TNHH)- Viễn Thông Thành Phố Hồ Chí Minh</t>
        </is>
      </c>
      <c r="F112" s="278" t="inlineStr">
        <is>
          <t>'0300954529</t>
        </is>
      </c>
      <c r="G112" s="182" t="inlineStr">
        <is>
          <t>cước viễn thông VNPT T8-2026</t>
        </is>
      </c>
      <c r="H112" s="194" t="n">
        <v>263636</v>
      </c>
      <c r="I112" s="180" t="n">
        <v>10</v>
      </c>
      <c r="J112" s="194" t="n">
        <v>26364</v>
      </c>
      <c r="K112" s="182" t="inlineStr">
        <is>
          <t>CK</t>
        </is>
      </c>
      <c r="L112" s="182" t="inlineStr">
        <is>
          <t>GL</t>
        </is>
      </c>
      <c r="M112" s="278" t="inlineStr">
        <is>
          <t>'3173</t>
        </is>
      </c>
      <c r="N112" s="181" t="n">
        <v>46295</v>
      </c>
      <c r="O112" s="181" t="n">
        <v>46295</v>
      </c>
      <c r="P112" s="194" t="n">
        <v>290000</v>
      </c>
      <c r="Q112" s="180" t="inlineStr">
        <is>
          <t>Không xác định</t>
        </is>
      </c>
      <c r="R112" s="180" t="inlineStr">
        <is>
          <t>THAOPTT.HCM.VTA</t>
        </is>
      </c>
      <c r="S112" s="182" t="inlineStr">
        <is>
          <t>Not Reversed</t>
        </is>
      </c>
      <c r="T112" s="57">
        <f>IF(OR(LEN(F112)=11,LEN(F112)=15),"Đ","SAI")</f>
        <v/>
      </c>
      <c r="U112" s="529">
        <f>ROUND(H112*I112%,0)-J112</f>
        <v/>
      </c>
      <c r="V112" s="55">
        <f>IF(Q112=$V$12,13313,13311)</f>
        <v/>
      </c>
    </row>
    <row r="113" ht="21.65" customHeight="1" s="344">
      <c r="A113" s="180" t="n">
        <v>96</v>
      </c>
      <c r="B113" s="182" t="inlineStr">
        <is>
          <t>1K26THE</t>
        </is>
      </c>
      <c r="C113" s="278" t="inlineStr">
        <is>
          <t>'1130741</t>
        </is>
      </c>
      <c r="D113" s="181" t="n">
        <v>46062</v>
      </c>
      <c r="E113" s="182" t="inlineStr">
        <is>
          <t>CN Tập đoàn bưu chính viễn thông Việt Nam ( Loại hình doanh nghiệp công ty TNHH)- Viễn Thông Thành Phố Hồ Chí Minh</t>
        </is>
      </c>
      <c r="F113" s="278" t="inlineStr">
        <is>
          <t>'0300954529</t>
        </is>
      </c>
      <c r="G113" s="182" t="inlineStr">
        <is>
          <t>cước viễn thông VNPT T8-2026</t>
        </is>
      </c>
      <c r="H113" s="194" t="n">
        <v>547399</v>
      </c>
      <c r="I113" s="180" t="n">
        <v>10</v>
      </c>
      <c r="J113" s="194" t="n">
        <v>54740</v>
      </c>
      <c r="K113" s="182" t="inlineStr">
        <is>
          <t>CK</t>
        </is>
      </c>
      <c r="L113" s="182" t="inlineStr">
        <is>
          <t>GL</t>
        </is>
      </c>
      <c r="M113" s="278" t="inlineStr">
        <is>
          <t>'3173</t>
        </is>
      </c>
      <c r="N113" s="181" t="n">
        <v>46295</v>
      </c>
      <c r="O113" s="181" t="n">
        <v>46295</v>
      </c>
      <c r="P113" s="194" t="n">
        <v>602139</v>
      </c>
      <c r="Q113" s="180" t="inlineStr">
        <is>
          <t>Không xác định</t>
        </is>
      </c>
      <c r="R113" s="180" t="inlineStr">
        <is>
          <t>THAOPTT.HCM.VTA</t>
        </is>
      </c>
      <c r="S113" s="182" t="inlineStr">
        <is>
          <t>Not Reversed</t>
        </is>
      </c>
      <c r="T113" s="57">
        <f>IF(OR(LEN(F113)=11,LEN(F113)=15),"Đ","SAI")</f>
        <v/>
      </c>
      <c r="U113" s="529">
        <f>ROUND(H113*I113%,0)-J113</f>
        <v/>
      </c>
      <c r="V113" s="55">
        <f>IF(Q113=$V$12,13313,13311)</f>
        <v/>
      </c>
    </row>
    <row r="114" ht="14.4" customHeight="1" s="344">
      <c r="A114" s="180" t="n">
        <v>97</v>
      </c>
      <c r="B114" s="182" t="inlineStr">
        <is>
          <t>1K26THE</t>
        </is>
      </c>
      <c r="C114" s="278" t="inlineStr">
        <is>
          <t>'1136112</t>
        </is>
      </c>
      <c r="D114" s="181" t="n">
        <v>46062</v>
      </c>
      <c r="E114" s="182" t="inlineStr">
        <is>
          <t>CN Tập đoàn bưu chính viễn thông Việt Nam ( Loại hình doanh nghiệp công ty TNHH)- Viễn Thông Thành Phố Hồ Chí Minh</t>
        </is>
      </c>
      <c r="F114" s="278" t="inlineStr">
        <is>
          <t>'0300954529</t>
        </is>
      </c>
      <c r="G114" s="182" t="inlineStr">
        <is>
          <t>cước viễn thông VNPT T8-2026</t>
        </is>
      </c>
      <c r="H114" s="194" t="n">
        <v>218182</v>
      </c>
      <c r="I114" s="180" t="n">
        <v>10</v>
      </c>
      <c r="J114" s="194" t="n">
        <v>21818</v>
      </c>
      <c r="K114" s="182" t="inlineStr">
        <is>
          <t>CK</t>
        </is>
      </c>
      <c r="L114" s="182" t="inlineStr">
        <is>
          <t>GL</t>
        </is>
      </c>
      <c r="M114" s="278" t="inlineStr">
        <is>
          <t>'3173</t>
        </is>
      </c>
      <c r="N114" s="181" t="n">
        <v>46295</v>
      </c>
      <c r="O114" s="181" t="n">
        <v>46295</v>
      </c>
      <c r="P114" s="194" t="n">
        <v>240000</v>
      </c>
      <c r="Q114" s="180" t="inlineStr">
        <is>
          <t>Không xác định</t>
        </is>
      </c>
      <c r="R114" s="180" t="inlineStr">
        <is>
          <t>THAOPTT.HCM.VTA</t>
        </is>
      </c>
      <c r="S114" s="182" t="inlineStr">
        <is>
          <t>Not Reversed</t>
        </is>
      </c>
      <c r="T114" s="57">
        <f>IF(OR(LEN(F114)=11,LEN(F114)=15),"Đ","SAI")</f>
        <v/>
      </c>
      <c r="U114" s="529">
        <f>ROUND(H114*I114%,0)-J114</f>
        <v/>
      </c>
      <c r="V114" s="55">
        <f>IF(Q114=$V$12,13313,13311)</f>
        <v/>
      </c>
    </row>
    <row r="115" ht="14.4" customHeight="1" s="344">
      <c r="A115" s="180" t="n">
        <v>98</v>
      </c>
      <c r="B115" s="182" t="inlineStr">
        <is>
          <t>1K26DAB</t>
        </is>
      </c>
      <c r="C115" s="278" t="inlineStr">
        <is>
          <t>'56415267</t>
        </is>
      </c>
      <c r="D115" s="181" t="n">
        <v>46062</v>
      </c>
      <c r="E115" s="182" t="inlineStr">
        <is>
          <t>TẬP ĐOÀN CÔNG NGHIỆP - VIỄN THÔNG QUÂN ĐỘI</t>
        </is>
      </c>
      <c r="F115" s="278" t="inlineStr">
        <is>
          <t>'0100109106</t>
        </is>
      </c>
      <c r="G115" s="182" t="inlineStr">
        <is>
          <t>cước viễn thông Viettel T8-2026</t>
        </is>
      </c>
      <c r="H115" s="194" t="n">
        <v>27273</v>
      </c>
      <c r="I115" s="180" t="n">
        <v>10</v>
      </c>
      <c r="J115" s="194" t="n">
        <v>2727</v>
      </c>
      <c r="K115" s="182" t="inlineStr">
        <is>
          <t>CK</t>
        </is>
      </c>
      <c r="L115" s="182" t="inlineStr">
        <is>
          <t>GL</t>
        </is>
      </c>
      <c r="M115" s="278" t="inlineStr">
        <is>
          <t>'3173</t>
        </is>
      </c>
      <c r="N115" s="181" t="n">
        <v>46295</v>
      </c>
      <c r="O115" s="181" t="n">
        <v>46295</v>
      </c>
      <c r="P115" s="194" t="n">
        <v>30000</v>
      </c>
      <c r="Q115" s="180" t="inlineStr">
        <is>
          <t>Không xác định</t>
        </is>
      </c>
      <c r="R115" s="180" t="inlineStr">
        <is>
          <t>THAOPTT.HCM.VTA</t>
        </is>
      </c>
      <c r="S115" s="182" t="inlineStr">
        <is>
          <t>Not Reversed</t>
        </is>
      </c>
      <c r="T115" s="57">
        <f>IF(OR(LEN(F115)=11,LEN(F115)=15),"Đ","SAI")</f>
        <v/>
      </c>
      <c r="U115" s="529">
        <f>ROUND(H115*I115%,0)-J115</f>
        <v/>
      </c>
      <c r="V115" s="55">
        <f>IF(Q115=$V$12,13313,13311)</f>
        <v/>
      </c>
    </row>
    <row r="116" ht="14.4" customHeight="1" s="344">
      <c r="A116" s="180" t="n">
        <v>99</v>
      </c>
      <c r="B116" s="182" t="inlineStr">
        <is>
          <t>1K26DAB</t>
        </is>
      </c>
      <c r="C116" s="278" t="inlineStr">
        <is>
          <t>'56417771</t>
        </is>
      </c>
      <c r="D116" s="181" t="n">
        <v>46062</v>
      </c>
      <c r="E116" s="182" t="inlineStr">
        <is>
          <t>TẬP ĐOÀN CÔNG NGHIỆP - VIỄN THÔNG QUÂN ĐỘI</t>
        </is>
      </c>
      <c r="F116" s="278" t="inlineStr">
        <is>
          <t>'0100109106</t>
        </is>
      </c>
      <c r="G116" s="182" t="inlineStr">
        <is>
          <t>cước viễn thông Viettel T8-2026</t>
        </is>
      </c>
      <c r="H116" s="194" t="n">
        <v>27273</v>
      </c>
      <c r="I116" s="180" t="n">
        <v>10</v>
      </c>
      <c r="J116" s="194" t="n">
        <v>2727</v>
      </c>
      <c r="K116" s="182" t="inlineStr">
        <is>
          <t>CK</t>
        </is>
      </c>
      <c r="L116" s="182" t="inlineStr">
        <is>
          <t>GL</t>
        </is>
      </c>
      <c r="M116" s="278" t="inlineStr">
        <is>
          <t>'3173</t>
        </is>
      </c>
      <c r="N116" s="181" t="n">
        <v>46295</v>
      </c>
      <c r="O116" s="181" t="n">
        <v>46295</v>
      </c>
      <c r="P116" s="194" t="n">
        <v>30000</v>
      </c>
      <c r="Q116" s="180" t="inlineStr">
        <is>
          <t>Không xác định</t>
        </is>
      </c>
      <c r="R116" s="180" t="inlineStr">
        <is>
          <t>THAOPTT.HCM.VTA</t>
        </is>
      </c>
      <c r="S116" s="182" t="inlineStr">
        <is>
          <t>Not Reversed</t>
        </is>
      </c>
      <c r="T116" s="57">
        <f>IF(OR(LEN(F116)=11,LEN(F116)=15),"Đ","SAI")</f>
        <v/>
      </c>
      <c r="U116" s="529">
        <f>ROUND(H116*I116%,0)-J116</f>
        <v/>
      </c>
      <c r="V116" s="55">
        <f>IF(Q116=$V$12,13313,13311)</f>
        <v/>
      </c>
    </row>
    <row r="117" ht="21.5" customHeight="1" s="344">
      <c r="A117" s="180" t="n">
        <v>100</v>
      </c>
      <c r="B117" s="182" t="inlineStr">
        <is>
          <t>1K26DAB</t>
        </is>
      </c>
      <c r="C117" s="278" t="inlineStr">
        <is>
          <t>'56420424</t>
        </is>
      </c>
      <c r="D117" s="181" t="n">
        <v>46062</v>
      </c>
      <c r="E117" s="182" t="inlineStr">
        <is>
          <t>TẬP ĐOÀN CÔNG NGHIỆP - VIỄN THÔNG QUÂN ĐỘI</t>
        </is>
      </c>
      <c r="F117" s="278" t="inlineStr">
        <is>
          <t>'0100109106</t>
        </is>
      </c>
      <c r="G117" s="182" t="inlineStr">
        <is>
          <t>cước viễn thông Viettel T8-2026</t>
        </is>
      </c>
      <c r="H117" s="194" t="n">
        <v>173798</v>
      </c>
      <c r="I117" s="180" t="n">
        <v>10</v>
      </c>
      <c r="J117" s="194" t="n">
        <v>17380</v>
      </c>
      <c r="K117" s="182" t="inlineStr">
        <is>
          <t>CK</t>
        </is>
      </c>
      <c r="L117" s="182" t="inlineStr">
        <is>
          <t>GL</t>
        </is>
      </c>
      <c r="M117" s="278" t="inlineStr">
        <is>
          <t>'3173</t>
        </is>
      </c>
      <c r="N117" s="181" t="n">
        <v>46295</v>
      </c>
      <c r="O117" s="181" t="n">
        <v>46295</v>
      </c>
      <c r="P117" s="194" t="n">
        <v>191178</v>
      </c>
      <c r="Q117" s="180" t="inlineStr">
        <is>
          <t>Không xác định</t>
        </is>
      </c>
      <c r="R117" s="180" t="inlineStr">
        <is>
          <t>THAOPTT.HCM.VTA</t>
        </is>
      </c>
      <c r="S117" s="182" t="inlineStr">
        <is>
          <t>Not Reversed</t>
        </is>
      </c>
      <c r="T117" s="57">
        <f>IF(OR(LEN(F117)=11,LEN(F117)=15),"Đ","SAI")</f>
        <v/>
      </c>
      <c r="U117" s="529">
        <f>ROUND(H117*I117%,0)-J117</f>
        <v/>
      </c>
      <c r="V117" s="55">
        <f>IF(Q117=$V$12,13313,13311)</f>
        <v/>
      </c>
    </row>
    <row r="118" ht="21.5" customHeight="1" s="344">
      <c r="A118" s="180" t="n">
        <v>101</v>
      </c>
      <c r="B118" s="182" t="inlineStr">
        <is>
          <t>1K26DAB</t>
        </is>
      </c>
      <c r="C118" s="278" t="inlineStr">
        <is>
          <t>'56420636</t>
        </is>
      </c>
      <c r="D118" s="181" t="n">
        <v>46062</v>
      </c>
      <c r="E118" s="182" t="inlineStr">
        <is>
          <t>TẬP ĐOÀN CÔNG NGHIỆP - VIỄN THÔNG QUÂN ĐỘI</t>
        </is>
      </c>
      <c r="F118" s="278" t="inlineStr">
        <is>
          <t>'0100109106</t>
        </is>
      </c>
      <c r="G118" s="182" t="inlineStr">
        <is>
          <t>cước viễn thông Viettel T8-2026</t>
        </is>
      </c>
      <c r="H118" s="194" t="n">
        <v>27273</v>
      </c>
      <c r="I118" s="180" t="n">
        <v>10</v>
      </c>
      <c r="J118" s="194" t="n">
        <v>2727</v>
      </c>
      <c r="K118" s="182" t="inlineStr">
        <is>
          <t>CK</t>
        </is>
      </c>
      <c r="L118" s="182" t="inlineStr">
        <is>
          <t>GL</t>
        </is>
      </c>
      <c r="M118" s="278" t="inlineStr">
        <is>
          <t>'3173</t>
        </is>
      </c>
      <c r="N118" s="181" t="n">
        <v>46295</v>
      </c>
      <c r="O118" s="181" t="n">
        <v>46295</v>
      </c>
      <c r="P118" s="194" t="n">
        <v>30000</v>
      </c>
      <c r="Q118" s="180" t="inlineStr">
        <is>
          <t>Không xác định</t>
        </is>
      </c>
      <c r="R118" s="180" t="inlineStr">
        <is>
          <t>THAOPTT.HCM.VTA</t>
        </is>
      </c>
      <c r="S118" s="182" t="inlineStr">
        <is>
          <t>Not Reversed</t>
        </is>
      </c>
      <c r="T118" s="57">
        <f>IF(OR(LEN(F118)=11,LEN(F118)=15),"Đ","SAI")</f>
        <v/>
      </c>
      <c r="U118" s="529">
        <f>ROUND(H118*I118%,0)-J118</f>
        <v/>
      </c>
      <c r="V118" s="55">
        <f>IF(Q118=$V$12,13313,13311)</f>
        <v/>
      </c>
    </row>
    <row r="119" ht="14.5" customHeight="1" s="344">
      <c r="A119" s="180" t="n">
        <v>102</v>
      </c>
      <c r="B119" s="182" t="inlineStr">
        <is>
          <t>1K26DAB</t>
        </is>
      </c>
      <c r="C119" s="278" t="inlineStr">
        <is>
          <t>'56421846</t>
        </is>
      </c>
      <c r="D119" s="181" t="n">
        <v>46062</v>
      </c>
      <c r="E119" s="182" t="inlineStr">
        <is>
          <t>TẬP ĐOÀN CÔNG NGHIỆP - VIỄN THÔNG QUÂN ĐỘI</t>
        </is>
      </c>
      <c r="F119" s="278" t="inlineStr">
        <is>
          <t>'0100109106</t>
        </is>
      </c>
      <c r="G119" s="182" t="inlineStr">
        <is>
          <t>cước viễn thông Viettel T8-2026</t>
        </is>
      </c>
      <c r="H119" s="194" t="n">
        <v>27273</v>
      </c>
      <c r="I119" s="180" t="n">
        <v>10</v>
      </c>
      <c r="J119" s="194" t="n">
        <v>2727</v>
      </c>
      <c r="K119" s="182" t="inlineStr">
        <is>
          <t>CK</t>
        </is>
      </c>
      <c r="L119" s="182" t="inlineStr">
        <is>
          <t>GL</t>
        </is>
      </c>
      <c r="M119" s="278" t="inlineStr">
        <is>
          <t>'3173</t>
        </is>
      </c>
      <c r="N119" s="181" t="n">
        <v>46295</v>
      </c>
      <c r="O119" s="181" t="n">
        <v>46295</v>
      </c>
      <c r="P119" s="194" t="n">
        <v>30000</v>
      </c>
      <c r="Q119" s="180" t="inlineStr">
        <is>
          <t>Không xác định</t>
        </is>
      </c>
      <c r="R119" s="180" t="inlineStr">
        <is>
          <t>THAOPTT.HCM.VTA</t>
        </is>
      </c>
      <c r="S119" s="182" t="inlineStr">
        <is>
          <t>Not Reversed</t>
        </is>
      </c>
      <c r="T119" s="57">
        <f>IF(OR(LEN(F119)=11,LEN(F119)=15),"Đ","SAI")</f>
        <v/>
      </c>
      <c r="U119" s="529">
        <f>ROUND(H119*I119%,0)-J119</f>
        <v/>
      </c>
      <c r="V119" s="55">
        <f>IF(Q119=$V$12,13313,13311)</f>
        <v/>
      </c>
    </row>
    <row r="120" ht="14.4" customHeight="1" s="344">
      <c r="A120" s="180" t="n">
        <v>103</v>
      </c>
      <c r="B120" s="182" t="inlineStr">
        <is>
          <t>1K26DAB</t>
        </is>
      </c>
      <c r="C120" s="278" t="inlineStr">
        <is>
          <t>'56422102</t>
        </is>
      </c>
      <c r="D120" s="181" t="n">
        <v>46062</v>
      </c>
      <c r="E120" s="182" t="inlineStr">
        <is>
          <t>TẬP ĐOÀN CÔNG NGHIỆP - VIỄN THÔNG QUÂN ĐỘI</t>
        </is>
      </c>
      <c r="F120" s="278" t="inlineStr">
        <is>
          <t>'0100109106</t>
        </is>
      </c>
      <c r="G120" s="182" t="inlineStr">
        <is>
          <t>cước viễn thông Viettel T8-2026</t>
        </is>
      </c>
      <c r="H120" s="194" t="n">
        <v>252939</v>
      </c>
      <c r="I120" s="180" t="n">
        <v>10</v>
      </c>
      <c r="J120" s="194" t="n">
        <v>25294</v>
      </c>
      <c r="K120" s="182" t="inlineStr">
        <is>
          <t>CK</t>
        </is>
      </c>
      <c r="L120" s="182" t="inlineStr">
        <is>
          <t>GL</t>
        </is>
      </c>
      <c r="M120" s="278" t="inlineStr">
        <is>
          <t>'3173</t>
        </is>
      </c>
      <c r="N120" s="181" t="n">
        <v>46295</v>
      </c>
      <c r="O120" s="181" t="n">
        <v>46295</v>
      </c>
      <c r="P120" s="194" t="n">
        <v>278233</v>
      </c>
      <c r="Q120" s="180" t="inlineStr">
        <is>
          <t>Không xác định</t>
        </is>
      </c>
      <c r="R120" s="180" t="inlineStr">
        <is>
          <t>THAOPTT.HCM.VTA</t>
        </is>
      </c>
      <c r="S120" s="182" t="inlineStr">
        <is>
          <t>Not Reversed</t>
        </is>
      </c>
      <c r="T120" s="57">
        <f>IF(OR(LEN(F120)=11,LEN(F120)=15),"Đ","SAI")</f>
        <v/>
      </c>
      <c r="U120" s="529">
        <f>ROUND(H120*I120%,0)-J120</f>
        <v/>
      </c>
      <c r="V120" s="55">
        <f>IF(Q120=$V$12,13313,13311)</f>
        <v/>
      </c>
    </row>
    <row r="121" ht="21.65" customHeight="1" s="344">
      <c r="A121" s="180" t="n">
        <v>104</v>
      </c>
      <c r="B121" s="182" t="inlineStr">
        <is>
          <t>1K26DAB</t>
        </is>
      </c>
      <c r="C121" s="278" t="inlineStr">
        <is>
          <t>'56422916</t>
        </is>
      </c>
      <c r="D121" s="181" t="n">
        <v>46062</v>
      </c>
      <c r="E121" s="182" t="inlineStr">
        <is>
          <t>TẬP ĐOÀN CÔNG NGHIỆP - VIỄN THÔNG QUÂN ĐỘI</t>
        </is>
      </c>
      <c r="F121" s="278" t="inlineStr">
        <is>
          <t>'0100109106</t>
        </is>
      </c>
      <c r="G121" s="182" t="inlineStr">
        <is>
          <t>cước viễn thông Viettel T8-2026</t>
        </is>
      </c>
      <c r="H121" s="194" t="n">
        <v>27273</v>
      </c>
      <c r="I121" s="180" t="n">
        <v>10</v>
      </c>
      <c r="J121" s="194" t="n">
        <v>2727</v>
      </c>
      <c r="K121" s="182" t="inlineStr">
        <is>
          <t>CK</t>
        </is>
      </c>
      <c r="L121" s="182" t="inlineStr">
        <is>
          <t>GL</t>
        </is>
      </c>
      <c r="M121" s="278" t="inlineStr">
        <is>
          <t>'3173</t>
        </is>
      </c>
      <c r="N121" s="181" t="n">
        <v>46295</v>
      </c>
      <c r="O121" s="181" t="n">
        <v>46295</v>
      </c>
      <c r="P121" s="194" t="n">
        <v>30000</v>
      </c>
      <c r="Q121" s="180" t="inlineStr">
        <is>
          <t>Không xác định</t>
        </is>
      </c>
      <c r="R121" s="180" t="inlineStr">
        <is>
          <t>THAOPTT.HCM.VTA</t>
        </is>
      </c>
      <c r="S121" s="182" t="inlineStr">
        <is>
          <t>Not Reversed</t>
        </is>
      </c>
      <c r="T121" s="57">
        <f>IF(OR(LEN(F121)=11,LEN(F121)=15),"Đ","SAI")</f>
        <v/>
      </c>
      <c r="U121" s="529">
        <f>ROUND(H121*I121%,0)-J121</f>
        <v/>
      </c>
      <c r="V121" s="55">
        <f>IF(Q121=$V$12,13313,13311)</f>
        <v/>
      </c>
    </row>
    <row r="122" ht="21.65" customHeight="1" s="344">
      <c r="A122" s="180" t="n">
        <v>105</v>
      </c>
      <c r="B122" s="182" t="inlineStr">
        <is>
          <t>1K26DAB</t>
        </is>
      </c>
      <c r="C122" s="278" t="inlineStr">
        <is>
          <t>'56423431</t>
        </is>
      </c>
      <c r="D122" s="181" t="n">
        <v>46062</v>
      </c>
      <c r="E122" s="182" t="inlineStr">
        <is>
          <t>TẬP ĐOÀN CÔNG NGHIỆP - VIỄN THÔNG QUÂN ĐỘI</t>
        </is>
      </c>
      <c r="F122" s="278" t="inlineStr">
        <is>
          <t>'0100109106</t>
        </is>
      </c>
      <c r="G122" s="182" t="inlineStr">
        <is>
          <t>cước viễn thông Viettel T8-2026</t>
        </is>
      </c>
      <c r="H122" s="194" t="n">
        <v>27273</v>
      </c>
      <c r="I122" s="180" t="n">
        <v>10</v>
      </c>
      <c r="J122" s="194" t="n">
        <v>2727</v>
      </c>
      <c r="K122" s="182" t="inlineStr">
        <is>
          <t>CK</t>
        </is>
      </c>
      <c r="L122" s="182" t="inlineStr">
        <is>
          <t>GL</t>
        </is>
      </c>
      <c r="M122" s="278" t="inlineStr">
        <is>
          <t>'3173</t>
        </is>
      </c>
      <c r="N122" s="181" t="n">
        <v>46295</v>
      </c>
      <c r="O122" s="181" t="n">
        <v>46295</v>
      </c>
      <c r="P122" s="194" t="n">
        <v>30000</v>
      </c>
      <c r="Q122" s="180" t="inlineStr">
        <is>
          <t>Không xác định</t>
        </is>
      </c>
      <c r="R122" s="180" t="inlineStr">
        <is>
          <t>THAOPTT.HCM.VTA</t>
        </is>
      </c>
      <c r="S122" s="182" t="inlineStr">
        <is>
          <t>Not Reversed</t>
        </is>
      </c>
      <c r="T122" s="57">
        <f>IF(OR(LEN(F122)=11,LEN(F122)=15),"Đ","SAI")</f>
        <v/>
      </c>
      <c r="U122" s="529">
        <f>ROUND(H122*I122%,0)-J122</f>
        <v/>
      </c>
      <c r="V122" s="55">
        <f>IF(Q122=$V$12,13313,13311)</f>
        <v/>
      </c>
    </row>
    <row r="123" ht="14.4" customHeight="1" s="344">
      <c r="A123" s="180" t="n">
        <v>106</v>
      </c>
      <c r="B123" s="182" t="inlineStr">
        <is>
          <t>1K26DAB</t>
        </is>
      </c>
      <c r="C123" s="278" t="inlineStr">
        <is>
          <t>'56423719</t>
        </is>
      </c>
      <c r="D123" s="181" t="n">
        <v>46062</v>
      </c>
      <c r="E123" s="182" t="inlineStr">
        <is>
          <t>TẬP ĐOÀN CÔNG NGHIỆP - VIỄN THÔNG QUÂN ĐỘI</t>
        </is>
      </c>
      <c r="F123" s="278" t="inlineStr">
        <is>
          <t>'0100109106</t>
        </is>
      </c>
      <c r="G123" s="182" t="inlineStr">
        <is>
          <t>cước viễn thông Viettel T8-2026</t>
        </is>
      </c>
      <c r="H123" s="194" t="n">
        <v>27273</v>
      </c>
      <c r="I123" s="180" t="n">
        <v>10</v>
      </c>
      <c r="J123" s="194" t="n">
        <v>2727</v>
      </c>
      <c r="K123" s="182" t="inlineStr">
        <is>
          <t>CK</t>
        </is>
      </c>
      <c r="L123" s="182" t="inlineStr">
        <is>
          <t>GL</t>
        </is>
      </c>
      <c r="M123" s="278" t="inlineStr">
        <is>
          <t>'3173</t>
        </is>
      </c>
      <c r="N123" s="181" t="n">
        <v>46295</v>
      </c>
      <c r="O123" s="181" t="n">
        <v>46295</v>
      </c>
      <c r="P123" s="194" t="n">
        <v>30000</v>
      </c>
      <c r="Q123" s="180" t="inlineStr">
        <is>
          <t>Không xác định</t>
        </is>
      </c>
      <c r="R123" s="180" t="inlineStr">
        <is>
          <t>THAOPTT.HCM.VTA</t>
        </is>
      </c>
      <c r="S123" s="182" t="inlineStr">
        <is>
          <t>Not Reversed</t>
        </is>
      </c>
      <c r="T123" s="57">
        <f>IF(OR(LEN(F123)=11,LEN(F123)=15),"Đ","SAI")</f>
        <v/>
      </c>
      <c r="U123" s="529">
        <f>ROUND(H123*I123%,0)-J123</f>
        <v/>
      </c>
      <c r="V123" s="55">
        <f>IF(Q123=$V$12,13313,13311)</f>
        <v/>
      </c>
    </row>
    <row r="124" ht="21.65" customHeight="1" s="344">
      <c r="A124" s="180" t="n">
        <v>107</v>
      </c>
      <c r="B124" s="182" t="inlineStr">
        <is>
          <t>1K26DAB</t>
        </is>
      </c>
      <c r="C124" s="278" t="inlineStr">
        <is>
          <t>'56423761</t>
        </is>
      </c>
      <c r="D124" s="181" t="n">
        <v>46062</v>
      </c>
      <c r="E124" s="182" t="inlineStr">
        <is>
          <t>TẬP ĐOÀN CÔNG NGHIỆP - VIỄN THÔNG QUÂN ĐỘI</t>
        </is>
      </c>
      <c r="F124" s="278" t="inlineStr">
        <is>
          <t>'0100109106</t>
        </is>
      </c>
      <c r="G124" s="182" t="inlineStr">
        <is>
          <t>cước viễn thông Viettel T8-2026</t>
        </is>
      </c>
      <c r="H124" s="194" t="n">
        <v>27273</v>
      </c>
      <c r="I124" s="180" t="n">
        <v>10</v>
      </c>
      <c r="J124" s="194" t="n">
        <v>2727</v>
      </c>
      <c r="K124" s="182" t="inlineStr">
        <is>
          <t>CK</t>
        </is>
      </c>
      <c r="L124" s="182" t="inlineStr">
        <is>
          <t>GL</t>
        </is>
      </c>
      <c r="M124" s="278" t="inlineStr">
        <is>
          <t>'3173</t>
        </is>
      </c>
      <c r="N124" s="181" t="n">
        <v>46295</v>
      </c>
      <c r="O124" s="181" t="n">
        <v>46295</v>
      </c>
      <c r="P124" s="194" t="n">
        <v>30000</v>
      </c>
      <c r="Q124" s="180" t="inlineStr">
        <is>
          <t>Không xác định</t>
        </is>
      </c>
      <c r="R124" s="180" t="inlineStr">
        <is>
          <t>THAOPTT.HCM.VTA</t>
        </is>
      </c>
      <c r="S124" s="182" t="inlineStr">
        <is>
          <t>Not Reversed</t>
        </is>
      </c>
      <c r="T124" s="57">
        <f>IF(OR(LEN(F124)=11,LEN(F124)=15),"Đ","SAI")</f>
        <v/>
      </c>
      <c r="U124" s="529">
        <f>ROUND(H124*I124%,0)-J124</f>
        <v/>
      </c>
      <c r="V124" s="55">
        <f>IF(Q124=$V$12,13313,13311)</f>
        <v/>
      </c>
    </row>
    <row r="125" ht="14.4" customHeight="1" s="344">
      <c r="A125" s="180" t="n">
        <v>108</v>
      </c>
      <c r="B125" s="182" t="inlineStr">
        <is>
          <t>1K26DAB</t>
        </is>
      </c>
      <c r="C125" s="278" t="inlineStr">
        <is>
          <t>'56427640</t>
        </is>
      </c>
      <c r="D125" s="181" t="n">
        <v>46062</v>
      </c>
      <c r="E125" s="182" t="inlineStr">
        <is>
          <t>TẬP ĐOÀN CÔNG NGHIỆP - VIỄN THÔNG QUÂN ĐỘI</t>
        </is>
      </c>
      <c r="F125" s="278" t="inlineStr">
        <is>
          <t>'0100109106</t>
        </is>
      </c>
      <c r="G125" s="182" t="inlineStr">
        <is>
          <t>cước viễn thông Viettel T8-2026</t>
        </is>
      </c>
      <c r="H125" s="194" t="n">
        <v>27273</v>
      </c>
      <c r="I125" s="180" t="n">
        <v>10</v>
      </c>
      <c r="J125" s="194" t="n">
        <v>2727</v>
      </c>
      <c r="K125" s="182" t="inlineStr">
        <is>
          <t>CK</t>
        </is>
      </c>
      <c r="L125" s="182" t="inlineStr">
        <is>
          <t>GL</t>
        </is>
      </c>
      <c r="M125" s="278" t="inlineStr">
        <is>
          <t>'3173</t>
        </is>
      </c>
      <c r="N125" s="181" t="n">
        <v>46295</v>
      </c>
      <c r="O125" s="181" t="n">
        <v>46295</v>
      </c>
      <c r="P125" s="194" t="n">
        <v>30000</v>
      </c>
      <c r="Q125" s="180" t="inlineStr">
        <is>
          <t>Không xác định</t>
        </is>
      </c>
      <c r="R125" s="180" t="inlineStr">
        <is>
          <t>THAOPTT.HCM.VTA</t>
        </is>
      </c>
      <c r="S125" s="182" t="inlineStr">
        <is>
          <t>Not Reversed</t>
        </is>
      </c>
      <c r="T125" s="57">
        <f>IF(OR(LEN(F125)=11,LEN(F125)=15),"Đ","SAI")</f>
        <v/>
      </c>
      <c r="U125" s="529">
        <f>ROUND(H125*I125%,0)-J125</f>
        <v/>
      </c>
      <c r="V125" s="55">
        <f>IF(Q125=$V$12,13313,13311)</f>
        <v/>
      </c>
    </row>
    <row r="126" ht="21.65" customHeight="1" s="344">
      <c r="A126" s="180" t="n">
        <v>109</v>
      </c>
      <c r="B126" s="182" t="inlineStr">
        <is>
          <t>1K26DAB</t>
        </is>
      </c>
      <c r="C126" s="278" t="inlineStr">
        <is>
          <t>'56428339</t>
        </is>
      </c>
      <c r="D126" s="181" t="n">
        <v>46062</v>
      </c>
      <c r="E126" s="182" t="inlineStr">
        <is>
          <t>TẬP ĐOÀN CÔNG NGHIỆP - VIỄN THÔNG QUÂN ĐỘI</t>
        </is>
      </c>
      <c r="F126" s="278" t="inlineStr">
        <is>
          <t>'0100109106</t>
        </is>
      </c>
      <c r="G126" s="182" t="inlineStr">
        <is>
          <t>cước viễn thông Viettel T8-2026</t>
        </is>
      </c>
      <c r="H126" s="194" t="n">
        <v>27273</v>
      </c>
      <c r="I126" s="180" t="n">
        <v>10</v>
      </c>
      <c r="J126" s="194" t="n">
        <v>2727</v>
      </c>
      <c r="K126" s="182" t="inlineStr">
        <is>
          <t>CK</t>
        </is>
      </c>
      <c r="L126" s="182" t="inlineStr">
        <is>
          <t>GL</t>
        </is>
      </c>
      <c r="M126" s="278" t="inlineStr">
        <is>
          <t>'3173</t>
        </is>
      </c>
      <c r="N126" s="181" t="n">
        <v>46295</v>
      </c>
      <c r="O126" s="181" t="n">
        <v>46295</v>
      </c>
      <c r="P126" s="194" t="n">
        <v>30000</v>
      </c>
      <c r="Q126" s="180" t="inlineStr">
        <is>
          <t>Không xác định</t>
        </is>
      </c>
      <c r="R126" s="180" t="inlineStr">
        <is>
          <t>THAOPTT.HCM.VTA</t>
        </is>
      </c>
      <c r="S126" s="182" t="inlineStr">
        <is>
          <t>Not Reversed</t>
        </is>
      </c>
      <c r="T126" s="57">
        <f>IF(OR(LEN(F126)=11,LEN(F126)=15),"Đ","SAI")</f>
        <v/>
      </c>
      <c r="U126" s="529">
        <f>ROUND(H126*I126%,0)-J126</f>
        <v/>
      </c>
      <c r="V126" s="55">
        <f>IF(Q126=$V$12,13313,13311)</f>
        <v/>
      </c>
    </row>
    <row r="127" ht="14.4" customHeight="1" s="344">
      <c r="A127" s="180" t="n">
        <v>110</v>
      </c>
      <c r="B127" s="182" t="inlineStr">
        <is>
          <t>1K26DAB</t>
        </is>
      </c>
      <c r="C127" s="278" t="inlineStr">
        <is>
          <t>'56431558</t>
        </is>
      </c>
      <c r="D127" s="181" t="n">
        <v>46062</v>
      </c>
      <c r="E127" s="182" t="inlineStr">
        <is>
          <t>TẬP ĐOÀN CÔNG NGHIỆP - VIỄN THÔNG QUÂN ĐỘI</t>
        </is>
      </c>
      <c r="F127" s="278" t="inlineStr">
        <is>
          <t>'0100109106</t>
        </is>
      </c>
      <c r="G127" s="182" t="inlineStr">
        <is>
          <t>cước viễn thông Viettel T8-2026</t>
        </is>
      </c>
      <c r="H127" s="194" t="n">
        <v>20000</v>
      </c>
      <c r="I127" s="180" t="n">
        <v>10</v>
      </c>
      <c r="J127" s="194" t="n">
        <v>2000</v>
      </c>
      <c r="K127" s="182" t="inlineStr">
        <is>
          <t>CK</t>
        </is>
      </c>
      <c r="L127" s="182" t="inlineStr">
        <is>
          <t>GL</t>
        </is>
      </c>
      <c r="M127" s="278" t="inlineStr">
        <is>
          <t>'3173</t>
        </is>
      </c>
      <c r="N127" s="181" t="n">
        <v>46295</v>
      </c>
      <c r="O127" s="181" t="n">
        <v>46295</v>
      </c>
      <c r="P127" s="194" t="n">
        <v>22000</v>
      </c>
      <c r="Q127" s="180" t="inlineStr">
        <is>
          <t>Không xác định</t>
        </is>
      </c>
      <c r="R127" s="180" t="inlineStr">
        <is>
          <t>THAOPTT.HCM.VTA</t>
        </is>
      </c>
      <c r="S127" s="182" t="inlineStr">
        <is>
          <t>Not Reversed</t>
        </is>
      </c>
      <c r="T127" s="57">
        <f>IF(OR(LEN(F127)=11,LEN(F127)=15),"Đ","SAI")</f>
        <v/>
      </c>
      <c r="U127" s="529">
        <f>ROUND(H127*I127%,0)-J127</f>
        <v/>
      </c>
      <c r="V127" s="55">
        <f>IF(Q127=$V$12,13313,13311)</f>
        <v/>
      </c>
    </row>
    <row r="128" ht="14.4" customHeight="1" s="344">
      <c r="A128" s="180" t="n">
        <v>111</v>
      </c>
      <c r="B128" s="182" t="inlineStr">
        <is>
          <t>1K26DAB</t>
        </is>
      </c>
      <c r="C128" s="278" t="inlineStr">
        <is>
          <t>'56433199</t>
        </is>
      </c>
      <c r="D128" s="181" t="n">
        <v>46062</v>
      </c>
      <c r="E128" s="182" t="inlineStr">
        <is>
          <t>TẬP ĐOÀN CÔNG NGHIỆP - VIỄN THÔNG QUÂN ĐỘI</t>
        </is>
      </c>
      <c r="F128" s="278" t="inlineStr">
        <is>
          <t>'0100109106</t>
        </is>
      </c>
      <c r="G128" s="182" t="inlineStr">
        <is>
          <t>cước viễn thông Viettel T8-2026</t>
        </is>
      </c>
      <c r="H128" s="194" t="n">
        <v>20000</v>
      </c>
      <c r="I128" s="180" t="n">
        <v>10</v>
      </c>
      <c r="J128" s="194" t="n">
        <v>2000</v>
      </c>
      <c r="K128" s="182" t="inlineStr">
        <is>
          <t>CK</t>
        </is>
      </c>
      <c r="L128" s="182" t="inlineStr">
        <is>
          <t>GL</t>
        </is>
      </c>
      <c r="M128" s="278" t="inlineStr">
        <is>
          <t>'3173</t>
        </is>
      </c>
      <c r="N128" s="181" t="n">
        <v>46295</v>
      </c>
      <c r="O128" s="181" t="n">
        <v>46295</v>
      </c>
      <c r="P128" s="194" t="n">
        <v>22000</v>
      </c>
      <c r="Q128" s="180" t="inlineStr">
        <is>
          <t>Không xác định</t>
        </is>
      </c>
      <c r="R128" s="180" t="inlineStr">
        <is>
          <t>THAOPTT.HCM.VTA</t>
        </is>
      </c>
      <c r="S128" s="182" t="inlineStr">
        <is>
          <t>Not Reversed</t>
        </is>
      </c>
      <c r="T128" s="57">
        <f>IF(OR(LEN(F128)=11,LEN(F128)=15),"Đ","SAI")</f>
        <v/>
      </c>
      <c r="U128" s="529">
        <f>ROUND(H128*I128%,0)-J128</f>
        <v/>
      </c>
      <c r="V128" s="55">
        <f>IF(Q128=$V$12,13313,13311)</f>
        <v/>
      </c>
    </row>
    <row r="129" ht="14.4" customHeight="1" s="344">
      <c r="A129" s="180" t="n">
        <v>112</v>
      </c>
      <c r="B129" s="182" t="inlineStr">
        <is>
          <t>1K26DAB</t>
        </is>
      </c>
      <c r="C129" s="278" t="inlineStr">
        <is>
          <t>'56436499</t>
        </is>
      </c>
      <c r="D129" s="181" t="n">
        <v>46062</v>
      </c>
      <c r="E129" s="182" t="inlineStr">
        <is>
          <t>TẬP ĐOÀN CÔNG NGHIỆP - VIỄN THÔNG QUÂN ĐỘI</t>
        </is>
      </c>
      <c r="F129" s="278" t="inlineStr">
        <is>
          <t>'0100109106</t>
        </is>
      </c>
      <c r="G129" s="182" t="inlineStr">
        <is>
          <t>cước viễn thông Viettel T8-2026</t>
        </is>
      </c>
      <c r="H129" s="194" t="n">
        <v>71186</v>
      </c>
      <c r="I129" s="180" t="n">
        <v>10</v>
      </c>
      <c r="J129" s="194" t="n">
        <v>7119</v>
      </c>
      <c r="K129" s="182" t="inlineStr">
        <is>
          <t>CK</t>
        </is>
      </c>
      <c r="L129" s="182" t="inlineStr">
        <is>
          <t>GL</t>
        </is>
      </c>
      <c r="M129" s="278" t="inlineStr">
        <is>
          <t>'3173</t>
        </is>
      </c>
      <c r="N129" s="181" t="n">
        <v>46295</v>
      </c>
      <c r="O129" s="181" t="n">
        <v>46295</v>
      </c>
      <c r="P129" s="194" t="n">
        <v>78305</v>
      </c>
      <c r="Q129" s="180" t="inlineStr">
        <is>
          <t>Không xác định</t>
        </is>
      </c>
      <c r="R129" s="180" t="inlineStr">
        <is>
          <t>THAOPTT.HCM.VTA</t>
        </is>
      </c>
      <c r="S129" s="182" t="inlineStr">
        <is>
          <t>Not Reversed</t>
        </is>
      </c>
      <c r="T129" s="57">
        <f>IF(OR(LEN(F129)=11,LEN(F129)=15),"Đ","SAI")</f>
        <v/>
      </c>
      <c r="U129" s="529">
        <f>ROUND(H129*I129%,0)-J129</f>
        <v/>
      </c>
      <c r="V129" s="55">
        <f>IF(Q129=$V$12,13313,13311)</f>
        <v/>
      </c>
    </row>
    <row r="130" ht="14.4" customHeight="1" s="344">
      <c r="A130" s="180" t="n">
        <v>113</v>
      </c>
      <c r="B130" s="182" t="inlineStr">
        <is>
          <t>1K26DAB</t>
        </is>
      </c>
      <c r="C130" s="278" t="inlineStr">
        <is>
          <t>'56436599</t>
        </is>
      </c>
      <c r="D130" s="181" t="n">
        <v>46062</v>
      </c>
      <c r="E130" s="182" t="inlineStr">
        <is>
          <t>TẬP ĐOÀN CÔNG NGHIỆP - VIỄN THÔNG QUÂN ĐỘI</t>
        </is>
      </c>
      <c r="F130" s="278" t="inlineStr">
        <is>
          <t>'0100109106</t>
        </is>
      </c>
      <c r="G130" s="182" t="inlineStr">
        <is>
          <t>cước viễn thông Viettel T8-2026</t>
        </is>
      </c>
      <c r="H130" s="194" t="n">
        <v>27273</v>
      </c>
      <c r="I130" s="180" t="n">
        <v>10</v>
      </c>
      <c r="J130" s="194" t="n">
        <v>2727</v>
      </c>
      <c r="K130" s="182" t="inlineStr">
        <is>
          <t>CK</t>
        </is>
      </c>
      <c r="L130" s="182" t="inlineStr">
        <is>
          <t>GL</t>
        </is>
      </c>
      <c r="M130" s="278" t="inlineStr">
        <is>
          <t>'3173</t>
        </is>
      </c>
      <c r="N130" s="181" t="n">
        <v>46295</v>
      </c>
      <c r="O130" s="181" t="n">
        <v>46295</v>
      </c>
      <c r="P130" s="194" t="n">
        <v>30000</v>
      </c>
      <c r="Q130" s="180" t="inlineStr">
        <is>
          <t>Không xác định</t>
        </is>
      </c>
      <c r="R130" s="180" t="inlineStr">
        <is>
          <t>THAOPTT.HCM.VTA</t>
        </is>
      </c>
      <c r="S130" s="182" t="inlineStr">
        <is>
          <t>Not Reversed</t>
        </is>
      </c>
      <c r="T130" s="57">
        <f>IF(OR(LEN(F130)=11,LEN(F130)=15),"Đ","SAI")</f>
        <v/>
      </c>
      <c r="U130" s="529">
        <f>ROUND(H130*I130%,0)-J130</f>
        <v/>
      </c>
      <c r="V130" s="55">
        <f>IF(Q130=$V$12,13313,13311)</f>
        <v/>
      </c>
    </row>
    <row r="131" ht="14.4" customHeight="1" s="344">
      <c r="A131" s="180" t="n">
        <v>114</v>
      </c>
      <c r="B131" s="182" t="inlineStr">
        <is>
          <t>1K26DAB</t>
        </is>
      </c>
      <c r="C131" s="278" t="inlineStr">
        <is>
          <t>'56439435</t>
        </is>
      </c>
      <c r="D131" s="181" t="n">
        <v>46062</v>
      </c>
      <c r="E131" s="182" t="inlineStr">
        <is>
          <t>TẬP ĐOÀN CÔNG NGHIỆP - VIỄN THÔNG QUÂN ĐỘI</t>
        </is>
      </c>
      <c r="F131" s="278" t="inlineStr">
        <is>
          <t>'0100109106</t>
        </is>
      </c>
      <c r="G131" s="182" t="inlineStr">
        <is>
          <t>cước viễn thông Viettel T8-2026</t>
        </is>
      </c>
      <c r="H131" s="194" t="n">
        <v>20069</v>
      </c>
      <c r="I131" s="180" t="n">
        <v>10</v>
      </c>
      <c r="J131" s="194" t="n">
        <v>2007</v>
      </c>
      <c r="K131" s="182" t="inlineStr">
        <is>
          <t>CK</t>
        </is>
      </c>
      <c r="L131" s="182" t="inlineStr">
        <is>
          <t>GL</t>
        </is>
      </c>
      <c r="M131" s="278" t="inlineStr">
        <is>
          <t>'3173</t>
        </is>
      </c>
      <c r="N131" s="181" t="n">
        <v>46295</v>
      </c>
      <c r="O131" s="181" t="n">
        <v>46295</v>
      </c>
      <c r="P131" s="194" t="n">
        <v>22076</v>
      </c>
      <c r="Q131" s="180" t="inlineStr">
        <is>
          <t>Không xác định</t>
        </is>
      </c>
      <c r="R131" s="180" t="inlineStr">
        <is>
          <t>THAOPTT.HCM.VTA</t>
        </is>
      </c>
      <c r="S131" s="182" t="inlineStr">
        <is>
          <t>Not Reversed</t>
        </is>
      </c>
      <c r="T131" s="57">
        <f>IF(OR(LEN(F131)=11,LEN(F131)=15),"Đ","SAI")</f>
        <v/>
      </c>
      <c r="U131" s="529">
        <f>ROUND(H131*I131%,0)-J131</f>
        <v/>
      </c>
      <c r="V131" s="55">
        <f>IF(Q131=$V$12,13313,13311)</f>
        <v/>
      </c>
    </row>
    <row r="132" ht="21.65" customHeight="1" s="344">
      <c r="A132" s="180" t="n">
        <v>115</v>
      </c>
      <c r="B132" s="182" t="inlineStr">
        <is>
          <t>1K26DAB</t>
        </is>
      </c>
      <c r="C132" s="278" t="inlineStr">
        <is>
          <t>'56440775</t>
        </is>
      </c>
      <c r="D132" s="181" t="n">
        <v>46062</v>
      </c>
      <c r="E132" s="182" t="inlineStr">
        <is>
          <t>TẬP ĐOÀN CÔNG NGHIỆP - VIỄN THÔNG QUÂN ĐỘI</t>
        </is>
      </c>
      <c r="F132" s="278" t="inlineStr">
        <is>
          <t>'0100109106</t>
        </is>
      </c>
      <c r="G132" s="182" t="inlineStr">
        <is>
          <t>cước viễn thông Viettel T8-2026</t>
        </is>
      </c>
      <c r="H132" s="194" t="n">
        <v>109091</v>
      </c>
      <c r="I132" s="180" t="n">
        <v>10</v>
      </c>
      <c r="J132" s="194" t="n">
        <v>10909</v>
      </c>
      <c r="K132" s="182" t="inlineStr">
        <is>
          <t>CK</t>
        </is>
      </c>
      <c r="L132" s="182" t="inlineStr">
        <is>
          <t>GL</t>
        </is>
      </c>
      <c r="M132" s="278" t="inlineStr">
        <is>
          <t>'3173</t>
        </is>
      </c>
      <c r="N132" s="181" t="n">
        <v>46295</v>
      </c>
      <c r="O132" s="181" t="n">
        <v>46295</v>
      </c>
      <c r="P132" s="194" t="n">
        <v>120000</v>
      </c>
      <c r="Q132" s="180" t="inlineStr">
        <is>
          <t>Không xác định</t>
        </is>
      </c>
      <c r="R132" s="180" t="inlineStr">
        <is>
          <t>THAOPTT.HCM.VTA</t>
        </is>
      </c>
      <c r="S132" s="182" t="inlineStr">
        <is>
          <t>Not Reversed</t>
        </is>
      </c>
      <c r="T132" s="57">
        <f>IF(OR(LEN(F132)=11,LEN(F132)=15),"Đ","SAI")</f>
        <v/>
      </c>
      <c r="U132" s="529">
        <f>ROUND(H132*I132%,0)-J132</f>
        <v/>
      </c>
      <c r="V132" s="55">
        <f>IF(Q132=$V$12,13313,13311)</f>
        <v/>
      </c>
    </row>
    <row r="133" ht="21.65" customHeight="1" s="344">
      <c r="A133" s="180" t="n">
        <v>116</v>
      </c>
      <c r="B133" s="182" t="inlineStr">
        <is>
          <t>1K26DAB</t>
        </is>
      </c>
      <c r="C133" s="278" t="inlineStr">
        <is>
          <t>'56447275</t>
        </is>
      </c>
      <c r="D133" s="181" t="n">
        <v>46062</v>
      </c>
      <c r="E133" s="182" t="inlineStr">
        <is>
          <t>TẬP ĐOÀN CÔNG NGHIỆP - VIỄN THÔNG QUÂN ĐỘI</t>
        </is>
      </c>
      <c r="F133" s="278" t="inlineStr">
        <is>
          <t>'0100109106</t>
        </is>
      </c>
      <c r="G133" s="182" t="inlineStr">
        <is>
          <t>cước viễn thông Viettel T8-2026</t>
        </is>
      </c>
      <c r="H133" s="194" t="n">
        <v>27273</v>
      </c>
      <c r="I133" s="180" t="n">
        <v>10</v>
      </c>
      <c r="J133" s="194" t="n">
        <v>2727</v>
      </c>
      <c r="K133" s="182" t="inlineStr">
        <is>
          <t>CK</t>
        </is>
      </c>
      <c r="L133" s="182" t="inlineStr">
        <is>
          <t>GL</t>
        </is>
      </c>
      <c r="M133" s="278" t="inlineStr">
        <is>
          <t>'3173</t>
        </is>
      </c>
      <c r="N133" s="181" t="n">
        <v>46295</v>
      </c>
      <c r="O133" s="181" t="n">
        <v>46295</v>
      </c>
      <c r="P133" s="194" t="n">
        <v>30000</v>
      </c>
      <c r="Q133" s="180" t="inlineStr">
        <is>
          <t>Không xác định</t>
        </is>
      </c>
      <c r="R133" s="180" t="inlineStr">
        <is>
          <t>THAOPTT.HCM.VTA</t>
        </is>
      </c>
      <c r="S133" s="182" t="inlineStr">
        <is>
          <t>Not Reversed</t>
        </is>
      </c>
      <c r="T133" s="57">
        <f>IF(OR(LEN(F133)=11,LEN(F133)=15),"Đ","SAI")</f>
        <v/>
      </c>
      <c r="U133" s="529">
        <f>ROUND(H133*I133%,0)-J133</f>
        <v/>
      </c>
      <c r="V133" s="55">
        <f>IF(Q133=$V$12,13313,13311)</f>
        <v/>
      </c>
    </row>
    <row r="134" ht="21.5" customHeight="1" s="344">
      <c r="A134" s="180" t="n">
        <v>117</v>
      </c>
      <c r="B134" s="182" t="inlineStr">
        <is>
          <t>1K26DAB</t>
        </is>
      </c>
      <c r="C134" s="278" t="inlineStr">
        <is>
          <t>'56448514</t>
        </is>
      </c>
      <c r="D134" s="181" t="n">
        <v>46062</v>
      </c>
      <c r="E134" s="182" t="inlineStr">
        <is>
          <t>TẬP ĐOÀN CÔNG NGHIỆP - VIỄN THÔNG QUÂN ĐỘI</t>
        </is>
      </c>
      <c r="F134" s="278" t="inlineStr">
        <is>
          <t>'0100109106</t>
        </is>
      </c>
      <c r="G134" s="182" t="inlineStr">
        <is>
          <t>cước viễn thông Viettel T8-2026</t>
        </is>
      </c>
      <c r="H134" s="194" t="n">
        <v>20000</v>
      </c>
      <c r="I134" s="180" t="n">
        <v>10</v>
      </c>
      <c r="J134" s="194" t="n">
        <v>2000</v>
      </c>
      <c r="K134" s="182" t="inlineStr">
        <is>
          <t>CK</t>
        </is>
      </c>
      <c r="L134" s="182" t="inlineStr">
        <is>
          <t>GL</t>
        </is>
      </c>
      <c r="M134" s="278" t="inlineStr">
        <is>
          <t>'3173</t>
        </is>
      </c>
      <c r="N134" s="181" t="n">
        <v>46295</v>
      </c>
      <c r="O134" s="181" t="n">
        <v>46295</v>
      </c>
      <c r="P134" s="194" t="n">
        <v>22000</v>
      </c>
      <c r="Q134" s="180" t="inlineStr">
        <is>
          <t>Không xác định</t>
        </is>
      </c>
      <c r="R134" s="180" t="inlineStr">
        <is>
          <t>THAOPTT.HCM.VTA</t>
        </is>
      </c>
      <c r="S134" s="182" t="inlineStr">
        <is>
          <t>Not Reversed</t>
        </is>
      </c>
      <c r="T134" s="57">
        <f>IF(OR(LEN(F134)=11,LEN(F134)=15),"Đ","SAI")</f>
        <v/>
      </c>
      <c r="U134" s="529">
        <f>ROUND(H134*I134%,0)-J134</f>
        <v/>
      </c>
      <c r="V134" s="55">
        <f>IF(Q134=$V$12,13313,13311)</f>
        <v/>
      </c>
    </row>
    <row r="135" ht="14.4" customHeight="1" s="344">
      <c r="A135" s="180" t="n">
        <v>118</v>
      </c>
      <c r="B135" s="182" t="inlineStr">
        <is>
          <t>1K26DAB</t>
        </is>
      </c>
      <c r="C135" s="278" t="inlineStr">
        <is>
          <t>'56451057</t>
        </is>
      </c>
      <c r="D135" s="181" t="n">
        <v>46062</v>
      </c>
      <c r="E135" s="182" t="inlineStr">
        <is>
          <t>TẬP ĐOÀN CÔNG NGHIỆP - VIỄN THÔNG QUÂN ĐỘI</t>
        </is>
      </c>
      <c r="F135" s="278" t="inlineStr">
        <is>
          <t>'0100109106</t>
        </is>
      </c>
      <c r="G135" s="182" t="inlineStr">
        <is>
          <t>cước viễn thông Viettel T8-2026</t>
        </is>
      </c>
      <c r="H135" s="194" t="n">
        <v>27273</v>
      </c>
      <c r="I135" s="180" t="n">
        <v>10</v>
      </c>
      <c r="J135" s="194" t="n">
        <v>2727</v>
      </c>
      <c r="K135" s="182" t="inlineStr">
        <is>
          <t>CK</t>
        </is>
      </c>
      <c r="L135" s="182" t="inlineStr">
        <is>
          <t>GL</t>
        </is>
      </c>
      <c r="M135" s="278" t="inlineStr">
        <is>
          <t>'3173</t>
        </is>
      </c>
      <c r="N135" s="181" t="n">
        <v>46295</v>
      </c>
      <c r="O135" s="181" t="n">
        <v>46295</v>
      </c>
      <c r="P135" s="194" t="n">
        <v>30000</v>
      </c>
      <c r="Q135" s="180" t="inlineStr">
        <is>
          <t>Không xác định</t>
        </is>
      </c>
      <c r="R135" s="180" t="inlineStr">
        <is>
          <t>THAOPTT.HCM.VTA</t>
        </is>
      </c>
      <c r="S135" s="182" t="inlineStr">
        <is>
          <t>Not Reversed</t>
        </is>
      </c>
      <c r="T135" s="57">
        <f>IF(OR(LEN(F135)=11,LEN(F135)=15),"Đ","SAI")</f>
        <v/>
      </c>
      <c r="U135" s="529">
        <f>ROUND(H135*I135%,0)-J135</f>
        <v/>
      </c>
      <c r="V135" s="55">
        <f>IF(Q135=$V$12,13313,13311)</f>
        <v/>
      </c>
    </row>
    <row r="136" ht="21.5" customHeight="1" s="344">
      <c r="A136" s="180" t="n">
        <v>119</v>
      </c>
      <c r="B136" s="182" t="inlineStr">
        <is>
          <t>1K26DAB</t>
        </is>
      </c>
      <c r="C136" s="278" t="inlineStr">
        <is>
          <t>'56451137</t>
        </is>
      </c>
      <c r="D136" s="181" t="n">
        <v>46062</v>
      </c>
      <c r="E136" s="182" t="inlineStr">
        <is>
          <t>TẬP ĐOÀN CÔNG NGHIỆP - VIỄN THÔNG QUÂN ĐỘI</t>
        </is>
      </c>
      <c r="F136" s="278" t="inlineStr">
        <is>
          <t>'0100109106</t>
        </is>
      </c>
      <c r="G136" s="182" t="inlineStr">
        <is>
          <t>cước viễn thông Viettel T8-2026</t>
        </is>
      </c>
      <c r="H136" s="194" t="n">
        <v>28182</v>
      </c>
      <c r="I136" s="180" t="n">
        <v>10</v>
      </c>
      <c r="J136" s="194" t="n">
        <v>2818</v>
      </c>
      <c r="K136" s="182" t="inlineStr">
        <is>
          <t>CK</t>
        </is>
      </c>
      <c r="L136" s="182" t="inlineStr">
        <is>
          <t>GL</t>
        </is>
      </c>
      <c r="M136" s="278" t="inlineStr">
        <is>
          <t>'3173</t>
        </is>
      </c>
      <c r="N136" s="181" t="n">
        <v>46295</v>
      </c>
      <c r="O136" s="181" t="n">
        <v>46295</v>
      </c>
      <c r="P136" s="194" t="n">
        <v>31000</v>
      </c>
      <c r="Q136" s="180" t="inlineStr">
        <is>
          <t>Không xác định</t>
        </is>
      </c>
      <c r="R136" s="180" t="inlineStr">
        <is>
          <t>THAOPTT.HCM.VTA</t>
        </is>
      </c>
      <c r="S136" s="182" t="inlineStr">
        <is>
          <t>Not Reversed</t>
        </is>
      </c>
      <c r="T136" s="57">
        <f>IF(OR(LEN(F136)=11,LEN(F136)=15),"Đ","SAI")</f>
        <v/>
      </c>
      <c r="U136" s="529">
        <f>ROUND(H136*I136%,0)-J136</f>
        <v/>
      </c>
      <c r="V136" s="55">
        <f>IF(Q136=$V$12,13313,13311)</f>
        <v/>
      </c>
    </row>
    <row r="137" ht="14.4" customHeight="1" s="344">
      <c r="A137" s="180" t="n">
        <v>120</v>
      </c>
      <c r="B137" s="182" t="inlineStr">
        <is>
          <t>1K26DAB</t>
        </is>
      </c>
      <c r="C137" s="278" t="inlineStr">
        <is>
          <t>'56452507</t>
        </is>
      </c>
      <c r="D137" s="181" t="n">
        <v>46062</v>
      </c>
      <c r="E137" s="182" t="inlineStr">
        <is>
          <t>TẬP ĐOÀN CÔNG NGHIỆP - VIỄN THÔNG QUÂN ĐỘI</t>
        </is>
      </c>
      <c r="F137" s="278" t="inlineStr">
        <is>
          <t>'0100109106</t>
        </is>
      </c>
      <c r="G137" s="182" t="inlineStr">
        <is>
          <t>cước viễn thông Viettel T8-2026</t>
        </is>
      </c>
      <c r="H137" s="194" t="n">
        <v>28182</v>
      </c>
      <c r="I137" s="180" t="n">
        <v>10</v>
      </c>
      <c r="J137" s="194" t="n">
        <v>2818</v>
      </c>
      <c r="K137" s="182" t="inlineStr">
        <is>
          <t>CK</t>
        </is>
      </c>
      <c r="L137" s="182" t="inlineStr">
        <is>
          <t>GL</t>
        </is>
      </c>
      <c r="M137" s="278" t="inlineStr">
        <is>
          <t>'3173</t>
        </is>
      </c>
      <c r="N137" s="181" t="n">
        <v>46295</v>
      </c>
      <c r="O137" s="181" t="n">
        <v>46295</v>
      </c>
      <c r="P137" s="194" t="n">
        <v>31000</v>
      </c>
      <c r="Q137" s="180" t="inlineStr">
        <is>
          <t>Không xác định</t>
        </is>
      </c>
      <c r="R137" s="180" t="inlineStr">
        <is>
          <t>THAOPTT.HCM.VTA</t>
        </is>
      </c>
      <c r="S137" s="182" t="inlineStr">
        <is>
          <t>Not Reversed</t>
        </is>
      </c>
      <c r="T137" s="57">
        <f>IF(OR(LEN(F137)=11,LEN(F137)=15),"Đ","SAI")</f>
        <v/>
      </c>
      <c r="U137" s="529">
        <f>ROUND(H137*I137%,0)-J137</f>
        <v/>
      </c>
      <c r="V137" s="55">
        <f>IF(Q137=$V$12,13313,13311)</f>
        <v/>
      </c>
    </row>
    <row r="138" ht="14.4" customHeight="1" s="344">
      <c r="A138" s="180" t="n">
        <v>121</v>
      </c>
      <c r="B138" s="182" t="inlineStr">
        <is>
          <t>1K26DAB</t>
        </is>
      </c>
      <c r="C138" s="278" t="inlineStr">
        <is>
          <t>'56454185</t>
        </is>
      </c>
      <c r="D138" s="181" t="n">
        <v>46062</v>
      </c>
      <c r="E138" s="182" t="inlineStr">
        <is>
          <t>TẬP ĐOÀN CÔNG NGHIỆP - VIỄN THÔNG QUÂN ĐỘI</t>
        </is>
      </c>
      <c r="F138" s="278" t="inlineStr">
        <is>
          <t>'0100109106</t>
        </is>
      </c>
      <c r="G138" s="182" t="inlineStr">
        <is>
          <t>cước viễn thông Viettel T8-2026</t>
        </is>
      </c>
      <c r="H138" s="194" t="n">
        <v>27273</v>
      </c>
      <c r="I138" s="180" t="n">
        <v>10</v>
      </c>
      <c r="J138" s="194" t="n">
        <v>2727</v>
      </c>
      <c r="K138" s="182" t="inlineStr">
        <is>
          <t>CK</t>
        </is>
      </c>
      <c r="L138" s="182" t="inlineStr">
        <is>
          <t>GL</t>
        </is>
      </c>
      <c r="M138" s="278" t="inlineStr">
        <is>
          <t>'3173</t>
        </is>
      </c>
      <c r="N138" s="181" t="n">
        <v>46295</v>
      </c>
      <c r="O138" s="181" t="n">
        <v>46295</v>
      </c>
      <c r="P138" s="194" t="n">
        <v>30000</v>
      </c>
      <c r="Q138" s="180" t="inlineStr">
        <is>
          <t>Không xác định</t>
        </is>
      </c>
      <c r="R138" s="180" t="inlineStr">
        <is>
          <t>THAOPTT.HCM.VTA</t>
        </is>
      </c>
      <c r="S138" s="182" t="inlineStr">
        <is>
          <t>Not Reversed</t>
        </is>
      </c>
      <c r="T138" s="57">
        <f>IF(OR(LEN(F138)=11,LEN(F138)=15),"Đ","SAI")</f>
        <v/>
      </c>
      <c r="U138" s="529">
        <f>ROUND(H138*I138%,0)-J138</f>
        <v/>
      </c>
      <c r="V138" s="55">
        <f>IF(Q138=$V$12,13313,13311)</f>
        <v/>
      </c>
    </row>
    <row r="139" ht="14.4" customHeight="1" s="344">
      <c r="A139" s="180" t="n">
        <v>122</v>
      </c>
      <c r="B139" s="182" t="inlineStr">
        <is>
          <t>1K26DAB</t>
        </is>
      </c>
      <c r="C139" s="278" t="inlineStr">
        <is>
          <t>'56454417</t>
        </is>
      </c>
      <c r="D139" s="181" t="n">
        <v>46062</v>
      </c>
      <c r="E139" s="182" t="inlineStr">
        <is>
          <t>TẬP ĐOÀN CÔNG NGHIỆP - VIỄN THÔNG QUÂN ĐỘI</t>
        </is>
      </c>
      <c r="F139" s="278" t="inlineStr">
        <is>
          <t>'0100109106</t>
        </is>
      </c>
      <c r="G139" s="182" t="inlineStr">
        <is>
          <t>cước viễn thông Viettel T8-2026</t>
        </is>
      </c>
      <c r="H139" s="194" t="n">
        <v>27273</v>
      </c>
      <c r="I139" s="180" t="n">
        <v>10</v>
      </c>
      <c r="J139" s="194" t="n">
        <v>2727</v>
      </c>
      <c r="K139" s="182" t="inlineStr">
        <is>
          <t>CK</t>
        </is>
      </c>
      <c r="L139" s="182" t="inlineStr">
        <is>
          <t>GL</t>
        </is>
      </c>
      <c r="M139" s="278" t="inlineStr">
        <is>
          <t>'3173</t>
        </is>
      </c>
      <c r="N139" s="181" t="n">
        <v>46295</v>
      </c>
      <c r="O139" s="181" t="n">
        <v>46295</v>
      </c>
      <c r="P139" s="194" t="n">
        <v>30000</v>
      </c>
      <c r="Q139" s="180" t="inlineStr">
        <is>
          <t>Không xác định</t>
        </is>
      </c>
      <c r="R139" s="180" t="inlineStr">
        <is>
          <t>THAOPTT.HCM.VTA</t>
        </is>
      </c>
      <c r="S139" s="182" t="inlineStr">
        <is>
          <t>Not Reversed</t>
        </is>
      </c>
      <c r="T139" s="57">
        <f>IF(OR(LEN(F139)=11,LEN(F139)=15),"Đ","SAI")</f>
        <v/>
      </c>
      <c r="U139" s="529">
        <f>ROUND(H139*I139%,0)-J139</f>
        <v/>
      </c>
      <c r="V139" s="55">
        <f>IF(Q139=$V$12,13313,13311)</f>
        <v/>
      </c>
    </row>
    <row r="140" ht="14.4" customHeight="1" s="344">
      <c r="A140" s="180" t="n">
        <v>123</v>
      </c>
      <c r="B140" s="182" t="inlineStr">
        <is>
          <t>1K26DAB</t>
        </is>
      </c>
      <c r="C140" s="278" t="inlineStr">
        <is>
          <t>'56455362</t>
        </is>
      </c>
      <c r="D140" s="181" t="n">
        <v>46062</v>
      </c>
      <c r="E140" s="182" t="inlineStr">
        <is>
          <t>TẬP ĐOÀN CÔNG NGHIỆP - VIỄN THÔNG QUÂN ĐỘI</t>
        </is>
      </c>
      <c r="F140" s="278" t="inlineStr">
        <is>
          <t>'0100109106</t>
        </is>
      </c>
      <c r="G140" s="182" t="inlineStr">
        <is>
          <t>cước viễn thông Viettel T8-2026</t>
        </is>
      </c>
      <c r="H140" s="194" t="n">
        <v>27273</v>
      </c>
      <c r="I140" s="180" t="n">
        <v>10</v>
      </c>
      <c r="J140" s="194" t="n">
        <v>2727</v>
      </c>
      <c r="K140" s="182" t="inlineStr">
        <is>
          <t>CK</t>
        </is>
      </c>
      <c r="L140" s="182" t="inlineStr">
        <is>
          <t>GL</t>
        </is>
      </c>
      <c r="M140" s="278" t="inlineStr">
        <is>
          <t>'3173</t>
        </is>
      </c>
      <c r="N140" s="181" t="n">
        <v>46295</v>
      </c>
      <c r="O140" s="181" t="n">
        <v>46295</v>
      </c>
      <c r="P140" s="194" t="n">
        <v>30000</v>
      </c>
      <c r="Q140" s="180" t="inlineStr">
        <is>
          <t>Không xác định</t>
        </is>
      </c>
      <c r="R140" s="180" t="inlineStr">
        <is>
          <t>THAOPTT.HCM.VTA</t>
        </is>
      </c>
      <c r="S140" s="182" t="inlineStr">
        <is>
          <t>Not Reversed</t>
        </is>
      </c>
      <c r="T140" s="57">
        <f>IF(OR(LEN(F140)=11,LEN(F140)=15),"Đ","SAI")</f>
        <v/>
      </c>
      <c r="U140" s="529">
        <f>ROUND(H140*I140%,0)-J140</f>
        <v/>
      </c>
      <c r="V140" s="55">
        <f>IF(Q140=$V$12,13313,13311)</f>
        <v/>
      </c>
    </row>
    <row r="141" ht="21.65" customHeight="1" s="344">
      <c r="A141" s="180" t="n">
        <v>124</v>
      </c>
      <c r="B141" s="182" t="inlineStr">
        <is>
          <t>1K26DAB</t>
        </is>
      </c>
      <c r="C141" s="278" t="inlineStr">
        <is>
          <t>'56455396</t>
        </is>
      </c>
      <c r="D141" s="181" t="n">
        <v>46062</v>
      </c>
      <c r="E141" s="182" t="inlineStr">
        <is>
          <t>TẬP ĐOÀN CÔNG NGHIỆP - VIỄN THÔNG QUÂN ĐỘI</t>
        </is>
      </c>
      <c r="F141" s="278" t="inlineStr">
        <is>
          <t>'0100109106</t>
        </is>
      </c>
      <c r="G141" s="182" t="inlineStr">
        <is>
          <t>cước viễn thông Viettel T8-2026</t>
        </is>
      </c>
      <c r="H141" s="194" t="n">
        <v>27273</v>
      </c>
      <c r="I141" s="180" t="n">
        <v>10</v>
      </c>
      <c r="J141" s="194" t="n">
        <v>2727</v>
      </c>
      <c r="K141" s="182" t="inlineStr">
        <is>
          <t>CK</t>
        </is>
      </c>
      <c r="L141" s="182" t="inlineStr">
        <is>
          <t>GL</t>
        </is>
      </c>
      <c r="M141" s="278" t="inlineStr">
        <is>
          <t>'3173</t>
        </is>
      </c>
      <c r="N141" s="181" t="n">
        <v>46295</v>
      </c>
      <c r="O141" s="181" t="n">
        <v>46295</v>
      </c>
      <c r="P141" s="194" t="n">
        <v>30000</v>
      </c>
      <c r="Q141" s="180" t="inlineStr">
        <is>
          <t>Không xác định</t>
        </is>
      </c>
      <c r="R141" s="180" t="inlineStr">
        <is>
          <t>THAOPTT.HCM.VTA</t>
        </is>
      </c>
      <c r="S141" s="182" t="inlineStr">
        <is>
          <t>Not Reversed</t>
        </is>
      </c>
      <c r="T141" s="57">
        <f>IF(OR(LEN(F141)=11,LEN(F141)=15),"Đ","SAI")</f>
        <v/>
      </c>
      <c r="U141" s="529">
        <f>ROUND(H141*I141%,0)-J141</f>
        <v/>
      </c>
      <c r="V141" s="55">
        <f>IF(Q141=$V$12,13313,13311)</f>
        <v/>
      </c>
    </row>
    <row r="142" ht="21.65" customHeight="1" s="344">
      <c r="A142" s="180" t="n">
        <v>125</v>
      </c>
      <c r="B142" s="182" t="inlineStr">
        <is>
          <t>1K26DAB</t>
        </is>
      </c>
      <c r="C142" s="278" t="inlineStr">
        <is>
          <t>'56460247</t>
        </is>
      </c>
      <c r="D142" s="181" t="n">
        <v>46062</v>
      </c>
      <c r="E142" s="182" t="inlineStr">
        <is>
          <t>TẬP ĐOÀN CÔNG NGHIỆP - VIỄN THÔNG QUÂN ĐỘI</t>
        </is>
      </c>
      <c r="F142" s="278" t="inlineStr">
        <is>
          <t>'0100109106</t>
        </is>
      </c>
      <c r="G142" s="182" t="inlineStr">
        <is>
          <t>cước viễn thông Viettel T8-2026</t>
        </is>
      </c>
      <c r="H142" s="194" t="n">
        <v>285418</v>
      </c>
      <c r="I142" s="180" t="n">
        <v>10</v>
      </c>
      <c r="J142" s="194" t="n">
        <v>28542</v>
      </c>
      <c r="K142" s="182" t="inlineStr">
        <is>
          <t>CK</t>
        </is>
      </c>
      <c r="L142" s="182" t="inlineStr">
        <is>
          <t>GL</t>
        </is>
      </c>
      <c r="M142" s="278" t="inlineStr">
        <is>
          <t>'3173</t>
        </is>
      </c>
      <c r="N142" s="181" t="n">
        <v>46295</v>
      </c>
      <c r="O142" s="181" t="n">
        <v>46295</v>
      </c>
      <c r="P142" s="194" t="n">
        <v>313960</v>
      </c>
      <c r="Q142" s="180" t="inlineStr">
        <is>
          <t>Không xác định</t>
        </is>
      </c>
      <c r="R142" s="180" t="inlineStr">
        <is>
          <t>THAOPTT.HCM.VTA</t>
        </is>
      </c>
      <c r="S142" s="182" t="inlineStr">
        <is>
          <t>Not Reversed</t>
        </is>
      </c>
      <c r="T142" s="57">
        <f>IF(OR(LEN(F142)=11,LEN(F142)=15),"Đ","SAI")</f>
        <v/>
      </c>
      <c r="U142" s="529">
        <f>ROUND(H142*I142%,0)-J142</f>
        <v/>
      </c>
      <c r="V142" s="55">
        <f>IF(Q142=$V$12,13313,13311)</f>
        <v/>
      </c>
    </row>
    <row r="143" ht="14.4" customHeight="1" s="344">
      <c r="A143" s="180" t="n">
        <v>126</v>
      </c>
      <c r="B143" s="182" t="inlineStr">
        <is>
          <t>1K26DAB</t>
        </is>
      </c>
      <c r="C143" s="278" t="inlineStr">
        <is>
          <t>'56460890</t>
        </is>
      </c>
      <c r="D143" s="181" t="n">
        <v>46062</v>
      </c>
      <c r="E143" s="182" t="inlineStr">
        <is>
          <t>TẬP ĐOÀN CÔNG NGHIỆP - VIỄN THÔNG QUÂN ĐỘI</t>
        </is>
      </c>
      <c r="F143" s="278" t="inlineStr">
        <is>
          <t>'0100109106</t>
        </is>
      </c>
      <c r="G143" s="182" t="inlineStr">
        <is>
          <t>cước viễn thông Viettel T8-2026</t>
        </is>
      </c>
      <c r="H143" s="194" t="n">
        <v>900000</v>
      </c>
      <c r="I143" s="180" t="n">
        <v>10</v>
      </c>
      <c r="J143" s="194" t="n">
        <v>90000</v>
      </c>
      <c r="K143" s="182" t="inlineStr">
        <is>
          <t>CK</t>
        </is>
      </c>
      <c r="L143" s="182" t="inlineStr">
        <is>
          <t>GL</t>
        </is>
      </c>
      <c r="M143" s="278" t="inlineStr">
        <is>
          <t>'3173</t>
        </is>
      </c>
      <c r="N143" s="181" t="n">
        <v>46295</v>
      </c>
      <c r="O143" s="181" t="n">
        <v>46295</v>
      </c>
      <c r="P143" s="194" t="n">
        <v>990000</v>
      </c>
      <c r="Q143" s="180" t="inlineStr">
        <is>
          <t>Không xác định</t>
        </is>
      </c>
      <c r="R143" s="180" t="inlineStr">
        <is>
          <t>THAOPTT.HCM.VTA</t>
        </is>
      </c>
      <c r="S143" s="182" t="inlineStr">
        <is>
          <t>Not Reversed</t>
        </is>
      </c>
      <c r="T143" s="57">
        <f>IF(OR(LEN(F143)=11,LEN(F143)=15),"Đ","SAI")</f>
        <v/>
      </c>
      <c r="U143" s="529">
        <f>ROUND(H143*I143%,0)-J143</f>
        <v/>
      </c>
      <c r="V143" s="55">
        <f>IF(Q143=$V$12,13313,13311)</f>
        <v/>
      </c>
    </row>
    <row r="144" ht="21.65" customHeight="1" s="344">
      <c r="A144" s="180" t="n">
        <v>127</v>
      </c>
      <c r="B144" s="182" t="inlineStr">
        <is>
          <t>1K26DAB</t>
        </is>
      </c>
      <c r="C144" s="278" t="inlineStr">
        <is>
          <t>'56460989</t>
        </is>
      </c>
      <c r="D144" s="181" t="n">
        <v>46062</v>
      </c>
      <c r="E144" s="182" t="inlineStr">
        <is>
          <t>TẬP ĐOÀN CÔNG NGHIỆP - VIỄN THÔNG QUÂN ĐỘI</t>
        </is>
      </c>
      <c r="F144" s="278" t="inlineStr">
        <is>
          <t>'0100109106</t>
        </is>
      </c>
      <c r="G144" s="182" t="inlineStr">
        <is>
          <t>cước viễn thông Viettel T8-2026</t>
        </is>
      </c>
      <c r="H144" s="194" t="n">
        <v>181818</v>
      </c>
      <c r="I144" s="180" t="n">
        <v>10</v>
      </c>
      <c r="J144" s="194" t="n">
        <v>18182</v>
      </c>
      <c r="K144" s="182" t="inlineStr">
        <is>
          <t>CK</t>
        </is>
      </c>
      <c r="L144" s="182" t="inlineStr">
        <is>
          <t>GL</t>
        </is>
      </c>
      <c r="M144" s="278" t="inlineStr">
        <is>
          <t>'3173</t>
        </is>
      </c>
      <c r="N144" s="181" t="n">
        <v>46295</v>
      </c>
      <c r="O144" s="181" t="n">
        <v>46295</v>
      </c>
      <c r="P144" s="194" t="n">
        <v>200000</v>
      </c>
      <c r="Q144" s="180" t="inlineStr">
        <is>
          <t>Không xác định</t>
        </is>
      </c>
      <c r="R144" s="180" t="inlineStr">
        <is>
          <t>THAOPTT.HCM.VTA</t>
        </is>
      </c>
      <c r="S144" s="182" t="inlineStr">
        <is>
          <t>Not Reversed</t>
        </is>
      </c>
      <c r="T144" s="57">
        <f>IF(OR(LEN(F144)=11,LEN(F144)=15),"Đ","SAI")</f>
        <v/>
      </c>
      <c r="U144" s="529">
        <f>ROUND(H144*I144%,0)-J144</f>
        <v/>
      </c>
      <c r="V144" s="55">
        <f>IF(Q144=$V$12,13313,13311)</f>
        <v/>
      </c>
    </row>
    <row r="145" ht="21.65" customHeight="1" s="344">
      <c r="A145" s="180" t="n">
        <v>128</v>
      </c>
      <c r="B145" s="182" t="inlineStr">
        <is>
          <t>1K26DAB</t>
        </is>
      </c>
      <c r="C145" s="278" t="inlineStr">
        <is>
          <t>'56461056</t>
        </is>
      </c>
      <c r="D145" s="181" t="n">
        <v>46062</v>
      </c>
      <c r="E145" s="182" t="inlineStr">
        <is>
          <t>TẬP ĐOÀN CÔNG NGHIỆP - VIỄN THÔNG QUÂN ĐỘI</t>
        </is>
      </c>
      <c r="F145" s="278" t="inlineStr">
        <is>
          <t>'0100109106</t>
        </is>
      </c>
      <c r="G145" s="182" t="inlineStr">
        <is>
          <t>cước viễn thông Viettel T8-2026</t>
        </is>
      </c>
      <c r="H145" s="194" t="n">
        <v>150000</v>
      </c>
      <c r="I145" s="180" t="n">
        <v>10</v>
      </c>
      <c r="J145" s="194" t="n">
        <v>15000</v>
      </c>
      <c r="K145" s="182" t="inlineStr">
        <is>
          <t>CK</t>
        </is>
      </c>
      <c r="L145" s="182" t="inlineStr">
        <is>
          <t>GL</t>
        </is>
      </c>
      <c r="M145" s="278" t="inlineStr">
        <is>
          <t>'3173</t>
        </is>
      </c>
      <c r="N145" s="181" t="n">
        <v>46295</v>
      </c>
      <c r="O145" s="181" t="n">
        <v>46295</v>
      </c>
      <c r="P145" s="194" t="n">
        <v>165000</v>
      </c>
      <c r="Q145" s="180" t="inlineStr">
        <is>
          <t>Không xác định</t>
        </is>
      </c>
      <c r="R145" s="180" t="inlineStr">
        <is>
          <t>THAOPTT.HCM.VTA</t>
        </is>
      </c>
      <c r="S145" s="182" t="inlineStr">
        <is>
          <t>Not Reversed</t>
        </is>
      </c>
      <c r="T145" s="57">
        <f>IF(OR(LEN(F145)=11,LEN(F145)=15),"Đ","SAI")</f>
        <v/>
      </c>
      <c r="U145" s="529">
        <f>ROUND(H145*I145%,0)-J145</f>
        <v/>
      </c>
      <c r="V145" s="55">
        <f>IF(Q145=$V$12,13313,13311)</f>
        <v/>
      </c>
    </row>
    <row r="146" ht="14.4" customHeight="1" s="344">
      <c r="A146" s="180" t="n">
        <v>129</v>
      </c>
      <c r="B146" s="182" t="inlineStr">
        <is>
          <t>1K26DAB</t>
        </is>
      </c>
      <c r="C146" s="278" t="inlineStr">
        <is>
          <t>'56461074</t>
        </is>
      </c>
      <c r="D146" s="181" t="n">
        <v>46062</v>
      </c>
      <c r="E146" s="182" t="inlineStr">
        <is>
          <t>TẬP ĐOÀN CÔNG NGHIỆP - VIỄN THÔNG QUÂN ĐỘI</t>
        </is>
      </c>
      <c r="F146" s="278" t="inlineStr">
        <is>
          <t>'0100109106</t>
        </is>
      </c>
      <c r="G146" s="182" t="inlineStr">
        <is>
          <t>cước viễn thông Viettel T8-2026</t>
        </is>
      </c>
      <c r="H146" s="194" t="n">
        <v>800000</v>
      </c>
      <c r="I146" s="180" t="n">
        <v>10</v>
      </c>
      <c r="J146" s="194" t="n">
        <v>80000</v>
      </c>
      <c r="K146" s="182" t="inlineStr">
        <is>
          <t>CK</t>
        </is>
      </c>
      <c r="L146" s="182" t="inlineStr">
        <is>
          <t>GL</t>
        </is>
      </c>
      <c r="M146" s="278" t="inlineStr">
        <is>
          <t>'3173</t>
        </is>
      </c>
      <c r="N146" s="181" t="n">
        <v>46295</v>
      </c>
      <c r="O146" s="181" t="n">
        <v>46295</v>
      </c>
      <c r="P146" s="194" t="n">
        <v>880000</v>
      </c>
      <c r="Q146" s="180" t="inlineStr">
        <is>
          <t>Không xác định</t>
        </is>
      </c>
      <c r="R146" s="180" t="inlineStr">
        <is>
          <t>THAOPTT.HCM.VTA</t>
        </is>
      </c>
      <c r="S146" s="182" t="inlineStr">
        <is>
          <t>Not Reversed</t>
        </is>
      </c>
      <c r="T146" s="57">
        <f>IF(OR(LEN(F146)=11,LEN(F146)=15),"Đ","SAI")</f>
        <v/>
      </c>
      <c r="U146" s="529">
        <f>ROUND(H146*I146%,0)-J146</f>
        <v/>
      </c>
      <c r="V146" s="55">
        <f>IF(Q146=$V$12,13313,13311)</f>
        <v/>
      </c>
    </row>
    <row r="147" ht="21.65" customHeight="1" s="344">
      <c r="A147" s="180" t="n">
        <v>130</v>
      </c>
      <c r="B147" s="182" t="inlineStr">
        <is>
          <t>1K26DAB</t>
        </is>
      </c>
      <c r="C147" s="278" t="inlineStr">
        <is>
          <t>'56461084</t>
        </is>
      </c>
      <c r="D147" s="181" t="n">
        <v>46062</v>
      </c>
      <c r="E147" s="182" t="inlineStr">
        <is>
          <t>TẬP ĐOÀN CÔNG NGHIỆP - VIỄN THÔNG QUÂN ĐỘI</t>
        </is>
      </c>
      <c r="F147" s="278" t="inlineStr">
        <is>
          <t>'0100109106</t>
        </is>
      </c>
      <c r="G147" s="182" t="inlineStr">
        <is>
          <t>cước viễn thông Viettel T8-2026</t>
        </is>
      </c>
      <c r="H147" s="194" t="n">
        <v>27273</v>
      </c>
      <c r="I147" s="180" t="n">
        <v>10</v>
      </c>
      <c r="J147" s="194" t="n">
        <v>2727</v>
      </c>
      <c r="K147" s="182" t="inlineStr">
        <is>
          <t>CK</t>
        </is>
      </c>
      <c r="L147" s="182" t="inlineStr">
        <is>
          <t>GL</t>
        </is>
      </c>
      <c r="M147" s="278" t="inlineStr">
        <is>
          <t>'3173</t>
        </is>
      </c>
      <c r="N147" s="181" t="n">
        <v>46295</v>
      </c>
      <c r="O147" s="181" t="n">
        <v>46295</v>
      </c>
      <c r="P147" s="194" t="n">
        <v>30000</v>
      </c>
      <c r="Q147" s="180" t="inlineStr">
        <is>
          <t>Không xác định</t>
        </is>
      </c>
      <c r="R147" s="180" t="inlineStr">
        <is>
          <t>THAOPTT.HCM.VTA</t>
        </is>
      </c>
      <c r="S147" s="182" t="inlineStr">
        <is>
          <t>Not Reversed</t>
        </is>
      </c>
      <c r="T147" s="57">
        <f>IF(OR(LEN(F147)=11,LEN(F147)=15),"Đ","SAI")</f>
        <v/>
      </c>
      <c r="U147" s="529">
        <f>ROUND(H147*I147%,0)-J147</f>
        <v/>
      </c>
      <c r="V147" s="55">
        <f>IF(Q147=$V$12,13313,13311)</f>
        <v/>
      </c>
    </row>
    <row r="148" ht="21.65" customHeight="1" s="344">
      <c r="A148" s="180" t="n">
        <v>131</v>
      </c>
      <c r="B148" s="182" t="inlineStr">
        <is>
          <t>1K26DAB</t>
        </is>
      </c>
      <c r="C148" s="278" t="inlineStr">
        <is>
          <t>'56491680</t>
        </is>
      </c>
      <c r="D148" s="181" t="n">
        <v>46062</v>
      </c>
      <c r="E148" s="182" t="inlineStr">
        <is>
          <t>TẬP ĐOÀN CÔNG NGHIỆP - VIỄN THÔNG QUÂN ĐỘI</t>
        </is>
      </c>
      <c r="F148" s="278" t="inlineStr">
        <is>
          <t>'0100109106</t>
        </is>
      </c>
      <c r="G148" s="182" t="inlineStr">
        <is>
          <t>cước viễn thông Viettel T8-2026</t>
        </is>
      </c>
      <c r="H148" s="194" t="n">
        <v>265905</v>
      </c>
      <c r="I148" s="180" t="n">
        <v>10</v>
      </c>
      <c r="J148" s="194" t="n">
        <v>26591</v>
      </c>
      <c r="K148" s="182" t="inlineStr">
        <is>
          <t>CK</t>
        </is>
      </c>
      <c r="L148" s="182" t="inlineStr">
        <is>
          <t>GL</t>
        </is>
      </c>
      <c r="M148" s="278" t="inlineStr">
        <is>
          <t>'3173</t>
        </is>
      </c>
      <c r="N148" s="181" t="n">
        <v>46295</v>
      </c>
      <c r="O148" s="181" t="n">
        <v>46295</v>
      </c>
      <c r="P148" s="194" t="n">
        <v>292496</v>
      </c>
      <c r="Q148" s="180" t="inlineStr">
        <is>
          <t>Không xác định</t>
        </is>
      </c>
      <c r="R148" s="180" t="inlineStr">
        <is>
          <t>THAOPTT.HCM.VTA</t>
        </is>
      </c>
      <c r="S148" s="182" t="inlineStr">
        <is>
          <t>Not Reversed</t>
        </is>
      </c>
      <c r="T148" s="57">
        <f>IF(OR(LEN(F148)=11,LEN(F148)=15),"Đ","SAI")</f>
        <v/>
      </c>
      <c r="U148" s="529">
        <f>ROUND(H148*I148%,0)-J148</f>
        <v/>
      </c>
      <c r="V148" s="55">
        <f>IF(Q148=$V$12,13313,13311)</f>
        <v/>
      </c>
    </row>
    <row r="149" ht="21.65" customHeight="1" s="344">
      <c r="A149" s="180" t="n">
        <v>132</v>
      </c>
      <c r="B149" s="182" t="inlineStr">
        <is>
          <t>1C26TDT</t>
        </is>
      </c>
      <c r="C149" s="278" t="inlineStr">
        <is>
          <t>'134</t>
        </is>
      </c>
      <c r="D149" s="181" t="n">
        <v>46090</v>
      </c>
      <c r="E149" s="182" t="inlineStr">
        <is>
          <t>CÔNG TY TNHH THƯƠNG MẠI VÀ DỊCH VỤ KỸ THUẬT ĐỨC TOÀN</t>
        </is>
      </c>
      <c r="F149" s="278" t="inlineStr">
        <is>
          <t>'3502397026</t>
        </is>
      </c>
      <c r="G149" s="182" t="inlineStr">
        <is>
          <t>thuê máy photo</t>
        </is>
      </c>
      <c r="H149" s="194" t="n">
        <v>4629630</v>
      </c>
      <c r="I149" s="180" t="n">
        <v>8</v>
      </c>
      <c r="J149" s="194" t="n">
        <v>370370</v>
      </c>
      <c r="K149" s="182" t="inlineStr">
        <is>
          <t>CK</t>
        </is>
      </c>
      <c r="L149" s="182" t="inlineStr">
        <is>
          <t>GL</t>
        </is>
      </c>
      <c r="M149" s="278" t="inlineStr">
        <is>
          <t>'3173</t>
        </is>
      </c>
      <c r="N149" s="181" t="n">
        <v>46295</v>
      </c>
      <c r="O149" s="181" t="n">
        <v>46295</v>
      </c>
      <c r="P149" s="194" t="n">
        <v>5000000</v>
      </c>
      <c r="Q149" s="180" t="inlineStr">
        <is>
          <t>Không xác định</t>
        </is>
      </c>
      <c r="R149" s="180" t="inlineStr">
        <is>
          <t>THAOPTT.HCM.VTA</t>
        </is>
      </c>
      <c r="S149" s="182" t="inlineStr">
        <is>
          <t>Not Reversed</t>
        </is>
      </c>
      <c r="T149" s="57">
        <f>IF(OR(LEN(F149)=11,LEN(F149)=15),"Đ","SAI")</f>
        <v/>
      </c>
      <c r="U149" s="529">
        <f>ROUND(H149*I149%,0)-J149</f>
        <v/>
      </c>
      <c r="V149" s="55">
        <f>IF(Q149=$V$12,13313,13311)</f>
        <v/>
      </c>
    </row>
    <row r="150" ht="21.65" customHeight="1" s="344">
      <c r="A150" s="180" t="n">
        <v>133</v>
      </c>
      <c r="B150" s="182" t="inlineStr">
        <is>
          <t>1C26THM</t>
        </is>
      </c>
      <c r="C150" s="278" t="inlineStr">
        <is>
          <t>'207</t>
        </is>
      </c>
      <c r="D150" s="181" t="n">
        <v>46151</v>
      </c>
      <c r="E150" s="182" t="inlineStr">
        <is>
          <t>CÔNG TY CP DỊCH VỤ VỆ SINH CÔNG NGHIỆP HOÀN MỸ SÀI GÒN</t>
        </is>
      </c>
      <c r="F150" s="278" t="inlineStr">
        <is>
          <t>'0315759922</t>
        </is>
      </c>
      <c r="G150" s="182" t="inlineStr">
        <is>
          <t>thuê nhân công T09-26</t>
        </is>
      </c>
      <c r="H150" s="194" t="n">
        <v>26950000</v>
      </c>
      <c r="I150" s="180" t="n">
        <v>8</v>
      </c>
      <c r="J150" s="194" t="n">
        <v>2156000</v>
      </c>
      <c r="K150" s="182" t="inlineStr">
        <is>
          <t>CK</t>
        </is>
      </c>
      <c r="L150" s="182" t="inlineStr">
        <is>
          <t>GL</t>
        </is>
      </c>
      <c r="M150" s="278" t="inlineStr">
        <is>
          <t>'3173</t>
        </is>
      </c>
      <c r="N150" s="181" t="n">
        <v>46295</v>
      </c>
      <c r="O150" s="181" t="n">
        <v>46295</v>
      </c>
      <c r="P150" s="194" t="n">
        <v>29106000</v>
      </c>
      <c r="Q150" s="180" t="inlineStr">
        <is>
          <t>Không xác định</t>
        </is>
      </c>
      <c r="R150" s="180" t="inlineStr">
        <is>
          <t>THAOPTT.HCM.VTA</t>
        </is>
      </c>
      <c r="S150" s="182" t="inlineStr">
        <is>
          <t>Not Reversed</t>
        </is>
      </c>
      <c r="T150" s="57">
        <f>IF(OR(LEN(F150)=11,LEN(F150)=15),"Đ","SAI")</f>
        <v/>
      </c>
      <c r="U150" s="529">
        <f>ROUND(H150*I150%,0)-J150</f>
        <v/>
      </c>
      <c r="V150" s="55">
        <f>IF(Q150=$V$12,13313,13311)</f>
        <v/>
      </c>
    </row>
    <row r="151" ht="21.65" customHeight="1" s="344">
      <c r="A151" s="180" t="n">
        <v>134</v>
      </c>
      <c r="B151" s="182" t="inlineStr">
        <is>
          <t>1K26TKA</t>
        </is>
      </c>
      <c r="C151" s="278" t="inlineStr">
        <is>
          <t>'101144</t>
        </is>
      </c>
      <c r="D151" s="181" t="n">
        <v>46212</v>
      </c>
      <c r="E151" s="182" t="inlineStr">
        <is>
          <t>TỔNG CÔNG TY HÀNG KHÔNG VIỆT NAM - CTCP</t>
        </is>
      </c>
      <c r="F151" s="278" t="inlineStr">
        <is>
          <t>'0100107518</t>
        </is>
      </c>
      <c r="G151" s="182" t="inlineStr">
        <is>
          <t>vé máy bay</t>
        </is>
      </c>
      <c r="H151" s="194" t="n">
        <v>1183296</v>
      </c>
      <c r="I151" s="180" t="n">
        <v>8</v>
      </c>
      <c r="J151" s="194" t="n">
        <v>94704</v>
      </c>
      <c r="K151" s="182" t="inlineStr">
        <is>
          <t>CK</t>
        </is>
      </c>
      <c r="L151" s="182" t="inlineStr">
        <is>
          <t>GL</t>
        </is>
      </c>
      <c r="M151" s="278" t="inlineStr">
        <is>
          <t>'3173</t>
        </is>
      </c>
      <c r="N151" s="181" t="n">
        <v>46295</v>
      </c>
      <c r="O151" s="181" t="n">
        <v>46295</v>
      </c>
      <c r="P151" s="194" t="n">
        <v>1278000</v>
      </c>
      <c r="Q151" s="180" t="inlineStr">
        <is>
          <t>Không xác định</t>
        </is>
      </c>
      <c r="R151" s="180" t="inlineStr">
        <is>
          <t>THAOPTT.HCM.VTA</t>
        </is>
      </c>
      <c r="S151" s="182" t="inlineStr">
        <is>
          <t>Not Reversed</t>
        </is>
      </c>
      <c r="T151" s="57">
        <f>IF(OR(LEN(F151)=11,LEN(F151)=15),"Đ","SAI")</f>
        <v/>
      </c>
      <c r="U151" s="529">
        <f>ROUND(H151*I151%,0)-J151</f>
        <v/>
      </c>
      <c r="V151" s="55">
        <f>IF(Q151=$V$12,13313,13311)</f>
        <v/>
      </c>
    </row>
    <row r="152" ht="21.65" customHeight="1" s="344">
      <c r="A152" s="180" t="n">
        <v>135</v>
      </c>
      <c r="B152" s="182" t="inlineStr">
        <is>
          <t>1C26MHH</t>
        </is>
      </c>
      <c r="C152" s="278" t="inlineStr">
        <is>
          <t>'28462</t>
        </is>
      </c>
      <c r="D152" s="181" t="n">
        <v>46243</v>
      </c>
      <c r="E152" s="182" t="inlineStr">
        <is>
          <t>CÔNG TY TNHH ĐẦU TƯ THƯƠNG MẠI VÀ DỊCH VỤ HUY HOÀNG</t>
        </is>
      </c>
      <c r="F152" s="278" t="inlineStr">
        <is>
          <t>'3501711521</t>
        </is>
      </c>
      <c r="G152" s="182" t="inlineStr">
        <is>
          <t>vé xe</t>
        </is>
      </c>
      <c r="H152" s="194" t="n">
        <v>212963</v>
      </c>
      <c r="I152" s="180" t="n">
        <v>8</v>
      </c>
      <c r="J152" s="194" t="n">
        <v>17037</v>
      </c>
      <c r="K152" s="182" t="inlineStr">
        <is>
          <t>CK</t>
        </is>
      </c>
      <c r="L152" s="182" t="inlineStr">
        <is>
          <t>GL</t>
        </is>
      </c>
      <c r="M152" s="278" t="inlineStr">
        <is>
          <t>'3173</t>
        </is>
      </c>
      <c r="N152" s="181" t="n">
        <v>46295</v>
      </c>
      <c r="O152" s="181" t="n">
        <v>46295</v>
      </c>
      <c r="P152" s="194" t="n">
        <v>230000</v>
      </c>
      <c r="Q152" s="180" t="inlineStr">
        <is>
          <t>Không xác định</t>
        </is>
      </c>
      <c r="R152" s="180" t="inlineStr">
        <is>
          <t>THAOPTT.HCM.VTA</t>
        </is>
      </c>
      <c r="S152" s="182" t="inlineStr">
        <is>
          <t>Not Reversed</t>
        </is>
      </c>
      <c r="T152" s="57">
        <f>IF(OR(LEN(F152)=11,LEN(F152)=15),"Đ","SAI")</f>
        <v/>
      </c>
      <c r="U152" s="529">
        <f>ROUND(H152*I152%,0)-J152</f>
        <v/>
      </c>
      <c r="V152" s="55">
        <f>IF(Q152=$V$12,13313,13311)</f>
        <v/>
      </c>
    </row>
    <row r="153" ht="21.65" customHeight="1" s="344">
      <c r="A153" s="180" t="n">
        <v>136</v>
      </c>
      <c r="B153" s="182" t="inlineStr">
        <is>
          <t>1C26TAQ</t>
        </is>
      </c>
      <c r="C153" s="278" t="inlineStr">
        <is>
          <t>'8506</t>
        </is>
      </c>
      <c r="D153" s="181" t="n">
        <v>46243</v>
      </c>
      <c r="E153" s="182" t="inlineStr">
        <is>
          <t>TRUNG TÂM KỸ THUẬT TIÊU CHUẨN ĐO LƯỜNG CHẤT LƯỢNG 3</t>
        </is>
      </c>
      <c r="F153" s="278" t="inlineStr">
        <is>
          <t>'0301281040</t>
        </is>
      </c>
      <c r="G153" s="182" t="inlineStr">
        <is>
          <t>hóa đơn hiệu chuẩn công tơ</t>
        </is>
      </c>
      <c r="H153" s="194" t="n">
        <v>23250000</v>
      </c>
      <c r="I153" s="180" t="n">
        <v>5</v>
      </c>
      <c r="J153" s="194" t="n">
        <v>1162500</v>
      </c>
      <c r="K153" s="182" t="inlineStr">
        <is>
          <t>CK</t>
        </is>
      </c>
      <c r="L153" s="182" t="inlineStr">
        <is>
          <t>GL</t>
        </is>
      </c>
      <c r="M153" s="278" t="inlineStr">
        <is>
          <t>'3173</t>
        </is>
      </c>
      <c r="N153" s="181" t="n">
        <v>46295</v>
      </c>
      <c r="O153" s="181" t="n">
        <v>46295</v>
      </c>
      <c r="P153" s="194" t="n">
        <v>24412500</v>
      </c>
      <c r="Q153" s="180" t="inlineStr">
        <is>
          <t>Không xác định</t>
        </is>
      </c>
      <c r="R153" s="180" t="inlineStr">
        <is>
          <t>THAOPTT.HCM.VTA</t>
        </is>
      </c>
      <c r="S153" s="182" t="inlineStr">
        <is>
          <t>Not Reversed</t>
        </is>
      </c>
      <c r="T153" s="57">
        <f>IF(OR(LEN(F153)=11,LEN(F153)=15),"Đ","SAI")</f>
        <v/>
      </c>
      <c r="U153" s="529">
        <f>ROUND(H153*I153%,0)-J153</f>
        <v/>
      </c>
      <c r="V153" s="55">
        <f>IF(Q153=$V$12,13313,13311)</f>
        <v/>
      </c>
    </row>
    <row r="154" ht="14.4" customHeight="1" s="344">
      <c r="A154" s="180" t="n">
        <v>137</v>
      </c>
      <c r="B154" s="182" t="inlineStr">
        <is>
          <t>1C26MNL</t>
        </is>
      </c>
      <c r="C154" s="278" t="inlineStr">
        <is>
          <t>'00000489</t>
        </is>
      </c>
      <c r="D154" s="181" t="n">
        <v>46274</v>
      </c>
      <c r="E154" s="182" t="inlineStr">
        <is>
          <t>CÔNG TY TNHH KỲ DUYÊN QUÁN</t>
        </is>
      </c>
      <c r="F154" s="278" t="inlineStr">
        <is>
          <t>'3502490716</t>
        </is>
      </c>
      <c r="G154" s="182" t="inlineStr">
        <is>
          <t>đặt ăn</t>
        </is>
      </c>
      <c r="H154" s="194" t="n">
        <v>5464817</v>
      </c>
      <c r="I154" s="180" t="n">
        <v>8</v>
      </c>
      <c r="J154" s="194" t="n">
        <v>437183</v>
      </c>
      <c r="K154" s="182" t="inlineStr">
        <is>
          <t>CK</t>
        </is>
      </c>
      <c r="L154" s="182" t="inlineStr">
        <is>
          <t>GL</t>
        </is>
      </c>
      <c r="M154" s="278" t="inlineStr">
        <is>
          <t>'3173</t>
        </is>
      </c>
      <c r="N154" s="181" t="n">
        <v>46295</v>
      </c>
      <c r="O154" s="181" t="n">
        <v>46295</v>
      </c>
      <c r="P154" s="194" t="n">
        <v>5902000</v>
      </c>
      <c r="Q154" s="180" t="inlineStr">
        <is>
          <t>Không xác định</t>
        </is>
      </c>
      <c r="R154" s="180" t="inlineStr">
        <is>
          <t>THAOPTT.HCM.VTA</t>
        </is>
      </c>
      <c r="S154" s="182" t="inlineStr">
        <is>
          <t>Not Reversed</t>
        </is>
      </c>
      <c r="T154" s="57">
        <f>IF(OR(LEN(F154)=11,LEN(F154)=15),"Đ","SAI")</f>
        <v/>
      </c>
      <c r="U154" s="529">
        <f>ROUND(H154*I154%,0)-J154</f>
        <v/>
      </c>
      <c r="V154" s="55">
        <f>IF(Q154=$V$12,13313,13311)</f>
        <v/>
      </c>
    </row>
    <row r="155" ht="14.4" customHeight="1" s="344">
      <c r="A155" s="180" t="n">
        <v>138</v>
      </c>
      <c r="B155" s="182" t="inlineStr">
        <is>
          <t>1C26MNL</t>
        </is>
      </c>
      <c r="C155" s="278" t="inlineStr">
        <is>
          <t>'00000489</t>
        </is>
      </c>
      <c r="D155" s="181" t="n">
        <v>46274</v>
      </c>
      <c r="E155" s="182" t="inlineStr">
        <is>
          <t>CÔNG TY TNHH KỲ DUYÊN QUÁN</t>
        </is>
      </c>
      <c r="F155" s="278" t="inlineStr">
        <is>
          <t>'3502490716</t>
        </is>
      </c>
      <c r="G155" s="182" t="inlineStr">
        <is>
          <t>đặt ăn</t>
        </is>
      </c>
      <c r="H155" s="194" t="n">
        <v>95455</v>
      </c>
      <c r="I155" s="180" t="n">
        <v>10</v>
      </c>
      <c r="J155" s="194" t="n">
        <v>9545</v>
      </c>
      <c r="K155" s="182" t="inlineStr">
        <is>
          <t>CK</t>
        </is>
      </c>
      <c r="L155" s="182" t="inlineStr">
        <is>
          <t>GL</t>
        </is>
      </c>
      <c r="M155" s="278" t="inlineStr">
        <is>
          <t>'3173</t>
        </is>
      </c>
      <c r="N155" s="181" t="n">
        <v>46295</v>
      </c>
      <c r="O155" s="181" t="n">
        <v>46295</v>
      </c>
      <c r="P155" s="194" t="n">
        <v>105000</v>
      </c>
      <c r="Q155" s="180" t="inlineStr">
        <is>
          <t>Không xác định</t>
        </is>
      </c>
      <c r="R155" s="180" t="inlineStr">
        <is>
          <t>THAOPTT.HCM.VTA</t>
        </is>
      </c>
      <c r="S155" s="182" t="inlineStr">
        <is>
          <t>Not Reversed</t>
        </is>
      </c>
      <c r="T155" s="57">
        <f>IF(OR(LEN(F155)=11,LEN(F155)=15),"Đ","SAI")</f>
        <v/>
      </c>
      <c r="U155" s="529">
        <f>ROUND(H155*I155%,0)-J155</f>
        <v/>
      </c>
      <c r="V155" s="55">
        <f>IF(Q155=$V$12,13313,13311)</f>
        <v/>
      </c>
    </row>
    <row r="156" ht="14.4" customHeight="1" s="344">
      <c r="A156" s="180" t="n">
        <v>139</v>
      </c>
      <c r="B156" s="182" t="inlineStr">
        <is>
          <t>1C26TYY</t>
        </is>
      </c>
      <c r="C156" s="278" t="inlineStr">
        <is>
          <t>'00002233</t>
        </is>
      </c>
      <c r="D156" s="181" t="n">
        <v>46274</v>
      </c>
      <c r="E156" s="182" t="inlineStr">
        <is>
          <t>CÔNG TY TNHH THƯƠNG MẠI - DỊCH VỤ KỸ THUẬT THÀNH VIỄN</t>
        </is>
      </c>
      <c r="F156" s="278" t="inlineStr">
        <is>
          <t>'0303253680</t>
        </is>
      </c>
      <c r="G156" s="182" t="inlineStr">
        <is>
          <t>thẻ cào điện thoại</t>
        </is>
      </c>
      <c r="H156" s="194" t="n">
        <v>16727273</v>
      </c>
      <c r="I156" s="180" t="n">
        <v>10</v>
      </c>
      <c r="J156" s="194" t="n">
        <v>1672727</v>
      </c>
      <c r="K156" s="182" t="inlineStr">
        <is>
          <t>CK</t>
        </is>
      </c>
      <c r="L156" s="182" t="inlineStr">
        <is>
          <t>GL</t>
        </is>
      </c>
      <c r="M156" s="278" t="inlineStr">
        <is>
          <t>'3173</t>
        </is>
      </c>
      <c r="N156" s="181" t="n">
        <v>46295</v>
      </c>
      <c r="O156" s="181" t="n">
        <v>46295</v>
      </c>
      <c r="P156" s="194" t="n">
        <v>18400000</v>
      </c>
      <c r="Q156" s="180" t="inlineStr">
        <is>
          <t>Không xác định</t>
        </is>
      </c>
      <c r="R156" s="180" t="inlineStr">
        <is>
          <t>THAOPTT.HCM.VTA</t>
        </is>
      </c>
      <c r="S156" s="182" t="inlineStr">
        <is>
          <t>Not Reversed</t>
        </is>
      </c>
      <c r="T156" s="57">
        <f>IF(OR(LEN(F156)=11,LEN(F156)=15),"Đ","SAI")</f>
        <v/>
      </c>
      <c r="U156" s="529">
        <f>ROUND(H156*I156%,0)-J156</f>
        <v/>
      </c>
      <c r="V156" s="55">
        <f>IF(Q156=$V$12,13313,13311)</f>
        <v/>
      </c>
    </row>
    <row r="157" ht="14.4" customHeight="1" s="344">
      <c r="A157" s="180" t="n">
        <v>140</v>
      </c>
      <c r="B157" s="182" t="inlineStr">
        <is>
          <t>1C26MBT</t>
        </is>
      </c>
      <c r="C157" s="278" t="inlineStr">
        <is>
          <t>'00002405</t>
        </is>
      </c>
      <c r="D157" s="181" t="n">
        <v>46274</v>
      </c>
      <c r="E157" s="182" t="inlineStr">
        <is>
          <t>CÔNG TY TNHH TMDV DU LỊCH BÁ THẮNG</t>
        </is>
      </c>
      <c r="F157" s="278" t="inlineStr">
        <is>
          <t>'3502512800</t>
        </is>
      </c>
      <c r="G157" s="182" t="inlineStr">
        <is>
          <t>đặt ăn</t>
        </is>
      </c>
      <c r="H157" s="194" t="n">
        <v>3707000</v>
      </c>
      <c r="I157" s="180" t="n">
        <v>8</v>
      </c>
      <c r="J157" s="194" t="n">
        <v>296560</v>
      </c>
      <c r="K157" s="182" t="inlineStr">
        <is>
          <t>CK</t>
        </is>
      </c>
      <c r="L157" s="182" t="inlineStr">
        <is>
          <t>GL</t>
        </is>
      </c>
      <c r="M157" s="278" t="inlineStr">
        <is>
          <t>'3173</t>
        </is>
      </c>
      <c r="N157" s="181" t="n">
        <v>46295</v>
      </c>
      <c r="O157" s="181" t="n">
        <v>46295</v>
      </c>
      <c r="P157" s="194" t="n">
        <v>4003560</v>
      </c>
      <c r="Q157" s="180" t="inlineStr">
        <is>
          <t>Không xác định</t>
        </is>
      </c>
      <c r="R157" s="180" t="inlineStr">
        <is>
          <t>THAOPTT.HCM.VTA</t>
        </is>
      </c>
      <c r="S157" s="182" t="inlineStr">
        <is>
          <t>Not Reversed</t>
        </is>
      </c>
      <c r="T157" s="57">
        <f>IF(OR(LEN(F157)=11,LEN(F157)=15),"Đ","SAI")</f>
        <v/>
      </c>
      <c r="U157" s="529">
        <f>ROUND(H157*I157%,0)-J157</f>
        <v/>
      </c>
      <c r="V157" s="55">
        <f>IF(Q157=$V$12,13313,13311)</f>
        <v/>
      </c>
    </row>
    <row r="158" ht="21.5" customHeight="1" s="344">
      <c r="A158" s="180" t="n">
        <v>141</v>
      </c>
      <c r="B158" s="182" t="inlineStr">
        <is>
          <t>1C26MAT</t>
        </is>
      </c>
      <c r="C158" s="278" t="inlineStr">
        <is>
          <t>'00002880</t>
        </is>
      </c>
      <c r="D158" s="181" t="n">
        <v>46274</v>
      </c>
      <c r="E158" s="182" t="inlineStr">
        <is>
          <t>CÔNG TY TNHH ĐẦU TƯ VÀ PHÁT TRIỂN ẨM THỰC THIÊN HƯƠNG</t>
        </is>
      </c>
      <c r="F158" s="278" t="inlineStr">
        <is>
          <t>'3502547056</t>
        </is>
      </c>
      <c r="G158" s="182" t="inlineStr">
        <is>
          <t>đặt ăn</t>
        </is>
      </c>
      <c r="H158" s="194" t="n">
        <v>3662222</v>
      </c>
      <c r="I158" s="180" t="n">
        <v>8</v>
      </c>
      <c r="J158" s="194" t="n">
        <v>292978</v>
      </c>
      <c r="K158" s="182" t="inlineStr">
        <is>
          <t>CK</t>
        </is>
      </c>
      <c r="L158" s="182" t="inlineStr">
        <is>
          <t>GL</t>
        </is>
      </c>
      <c r="M158" s="278" t="inlineStr">
        <is>
          <t>'3173</t>
        </is>
      </c>
      <c r="N158" s="181" t="n">
        <v>46295</v>
      </c>
      <c r="O158" s="181" t="n">
        <v>46295</v>
      </c>
      <c r="P158" s="194" t="n">
        <v>3955200</v>
      </c>
      <c r="Q158" s="180" t="inlineStr">
        <is>
          <t>Không xác định</t>
        </is>
      </c>
      <c r="R158" s="180" t="inlineStr">
        <is>
          <t>THAOPTT.HCM.VTA</t>
        </is>
      </c>
      <c r="S158" s="182" t="inlineStr">
        <is>
          <t>Not Reversed</t>
        </is>
      </c>
      <c r="T158" s="57">
        <f>IF(OR(LEN(F158)=11,LEN(F158)=15),"Đ","SAI")</f>
        <v/>
      </c>
      <c r="U158" s="529">
        <f>ROUND(H158*I158%,0)-J158</f>
        <v/>
      </c>
      <c r="V158" s="55">
        <f>IF(Q158=$V$12,13313,13311)</f>
        <v/>
      </c>
    </row>
    <row r="159" ht="14.4" customHeight="1" s="344">
      <c r="A159" s="180" t="n">
        <v>142</v>
      </c>
      <c r="B159" s="182" t="inlineStr">
        <is>
          <t>1C26TDD</t>
        </is>
      </c>
      <c r="C159" s="278" t="inlineStr">
        <is>
          <t>'0000039</t>
        </is>
      </c>
      <c r="D159" s="181" t="n">
        <v>46304</v>
      </c>
      <c r="E159" s="182" t="inlineStr">
        <is>
          <t>CÔNG TY TNHH CƠ ĐIỆN LẠNH HỒNG DUY</t>
        </is>
      </c>
      <c r="F159" s="278" t="inlineStr">
        <is>
          <t>'3502574677</t>
        </is>
      </c>
      <c r="G159" s="182" t="inlineStr">
        <is>
          <t>hóa đơn bảo trì  máy lạnh NKCĐ</t>
        </is>
      </c>
      <c r="H159" s="194" t="n">
        <v>10972222</v>
      </c>
      <c r="I159" s="180" t="n">
        <v>8</v>
      </c>
      <c r="J159" s="194" t="n">
        <v>877778</v>
      </c>
      <c r="K159" s="182" t="inlineStr">
        <is>
          <t>CK</t>
        </is>
      </c>
      <c r="L159" s="182" t="inlineStr">
        <is>
          <t>GL</t>
        </is>
      </c>
      <c r="M159" s="278" t="inlineStr">
        <is>
          <t>'3173</t>
        </is>
      </c>
      <c r="N159" s="181" t="n">
        <v>46295</v>
      </c>
      <c r="O159" s="181" t="n">
        <v>46295</v>
      </c>
      <c r="P159" s="194" t="n">
        <v>11850000</v>
      </c>
      <c r="Q159" s="180" t="inlineStr">
        <is>
          <t>Không xác định</t>
        </is>
      </c>
      <c r="R159" s="180" t="inlineStr">
        <is>
          <t>THAOPTT.HCM.VTA</t>
        </is>
      </c>
      <c r="S159" s="182" t="inlineStr">
        <is>
          <t>Not Reversed</t>
        </is>
      </c>
      <c r="T159" s="57">
        <f>IF(OR(LEN(F159)=11,LEN(F159)=15),"Đ","SAI")</f>
        <v/>
      </c>
      <c r="U159" s="529">
        <f>ROUND(H159*I159%,0)-J159</f>
        <v/>
      </c>
      <c r="V159" s="55">
        <f>IF(Q159=$V$12,13313,13311)</f>
        <v/>
      </c>
    </row>
    <row r="160" ht="21.65" customHeight="1" s="344">
      <c r="A160" s="180" t="n">
        <v>143</v>
      </c>
      <c r="B160" s="182" t="inlineStr">
        <is>
          <t>1C26TDT</t>
        </is>
      </c>
      <c r="C160" s="278" t="inlineStr">
        <is>
          <t>'139</t>
        </is>
      </c>
      <c r="D160" s="181" t="n">
        <v>46335</v>
      </c>
      <c r="E160" s="182" t="inlineStr">
        <is>
          <t>CÔNG TY TNHH THƯƠNG MẠI VÀ DỊCH VỤ KỸ THUẬT ĐỨC TOÀN</t>
        </is>
      </c>
      <c r="F160" s="278" t="inlineStr">
        <is>
          <t>'3502397026</t>
        </is>
      </c>
      <c r="G160" s="182" t="inlineStr">
        <is>
          <t>thuê máy photo T09-202</t>
        </is>
      </c>
      <c r="H160" s="194" t="n">
        <v>1850000</v>
      </c>
      <c r="I160" s="180" t="n">
        <v>8</v>
      </c>
      <c r="J160" s="194" t="n">
        <v>148000</v>
      </c>
      <c r="K160" s="182" t="inlineStr">
        <is>
          <t>CK</t>
        </is>
      </c>
      <c r="L160" s="182" t="inlineStr">
        <is>
          <t>GL</t>
        </is>
      </c>
      <c r="M160" s="278" t="inlineStr">
        <is>
          <t>'3173</t>
        </is>
      </c>
      <c r="N160" s="181" t="n">
        <v>46295</v>
      </c>
      <c r="O160" s="181" t="n">
        <v>46295</v>
      </c>
      <c r="P160" s="194" t="n">
        <v>1998000</v>
      </c>
      <c r="Q160" s="180" t="inlineStr">
        <is>
          <t>Không xác định</t>
        </is>
      </c>
      <c r="R160" s="180" t="inlineStr">
        <is>
          <t>THAOPTT.HCM.VTA</t>
        </is>
      </c>
      <c r="S160" s="182" t="inlineStr">
        <is>
          <t>Not Reversed</t>
        </is>
      </c>
      <c r="T160" s="57">
        <f>IF(OR(LEN(F160)=11,LEN(F160)=15),"Đ","SAI")</f>
        <v/>
      </c>
      <c r="U160" s="529">
        <f>ROUND(H160*I160%,0)-J160</f>
        <v/>
      </c>
      <c r="V160" s="55">
        <f>IF(Q160=$V$12,13313,13311)</f>
        <v/>
      </c>
    </row>
    <row r="161" ht="21.65" customHeight="1" s="344">
      <c r="A161" s="180" t="n">
        <v>144</v>
      </c>
      <c r="B161" s="182" t="inlineStr">
        <is>
          <t>1C26TDT</t>
        </is>
      </c>
      <c r="C161" s="278" t="inlineStr">
        <is>
          <t>'140</t>
        </is>
      </c>
      <c r="D161" s="181" t="n">
        <v>46335</v>
      </c>
      <c r="E161" s="182" t="inlineStr">
        <is>
          <t>CÔNG TY TNHH THƯƠNG MẠI VÀ DỊCH VỤ KỸ THUẬT ĐỨC TOÀN</t>
        </is>
      </c>
      <c r="F161" s="278" t="inlineStr">
        <is>
          <t>'3502397026</t>
        </is>
      </c>
      <c r="G161" s="182" t="inlineStr">
        <is>
          <t>thuê máy photo T09-202</t>
        </is>
      </c>
      <c r="H161" s="194" t="n">
        <v>1850000</v>
      </c>
      <c r="I161" s="180" t="n">
        <v>8</v>
      </c>
      <c r="J161" s="194" t="n">
        <v>148000</v>
      </c>
      <c r="K161" s="182" t="inlineStr">
        <is>
          <t>CK</t>
        </is>
      </c>
      <c r="L161" s="182" t="inlineStr">
        <is>
          <t>GL</t>
        </is>
      </c>
      <c r="M161" s="278" t="inlineStr">
        <is>
          <t>'3173</t>
        </is>
      </c>
      <c r="N161" s="181" t="n">
        <v>46295</v>
      </c>
      <c r="O161" s="181" t="n">
        <v>46295</v>
      </c>
      <c r="P161" s="194" t="n">
        <v>1998000</v>
      </c>
      <c r="Q161" s="180" t="inlineStr">
        <is>
          <t>Không xác định</t>
        </is>
      </c>
      <c r="R161" s="180" t="inlineStr">
        <is>
          <t>THAOPTT.HCM.VTA</t>
        </is>
      </c>
      <c r="S161" s="182" t="inlineStr">
        <is>
          <t>Not Reversed</t>
        </is>
      </c>
      <c r="T161" s="57">
        <f>IF(OR(LEN(F161)=11,LEN(F161)=15),"Đ","SAI")</f>
        <v/>
      </c>
      <c r="U161" s="529">
        <f>ROUND(H161*I161%,0)-J161</f>
        <v/>
      </c>
      <c r="V161" s="55">
        <f>IF(Q161=$V$12,13313,13311)</f>
        <v/>
      </c>
    </row>
    <row r="162" ht="21.65" customHeight="1" s="344">
      <c r="A162" s="180" t="n">
        <v>145</v>
      </c>
      <c r="B162" s="182" t="inlineStr">
        <is>
          <t>1C26TDT</t>
        </is>
      </c>
      <c r="C162" s="278" t="inlineStr">
        <is>
          <t>'141</t>
        </is>
      </c>
      <c r="D162" s="181" t="n">
        <v>46335</v>
      </c>
      <c r="E162" s="182" t="inlineStr">
        <is>
          <t>CÔNG TY TNHH THƯƠNG MẠI VÀ DỊCH VỤ KỸ THUẬT ĐỨC TOÀN</t>
        </is>
      </c>
      <c r="F162" s="278" t="inlineStr">
        <is>
          <t>'3502397026</t>
        </is>
      </c>
      <c r="G162" s="182" t="inlineStr">
        <is>
          <t>thuê máy photo T09-202</t>
        </is>
      </c>
      <c r="H162" s="194" t="n">
        <v>1850000</v>
      </c>
      <c r="I162" s="180" t="n">
        <v>8</v>
      </c>
      <c r="J162" s="194" t="n">
        <v>148000</v>
      </c>
      <c r="K162" s="182" t="inlineStr">
        <is>
          <t>CK</t>
        </is>
      </c>
      <c r="L162" s="182" t="inlineStr">
        <is>
          <t>GL</t>
        </is>
      </c>
      <c r="M162" s="278" t="inlineStr">
        <is>
          <t>'3173</t>
        </is>
      </c>
      <c r="N162" s="181" t="n">
        <v>46295</v>
      </c>
      <c r="O162" s="181" t="n">
        <v>46295</v>
      </c>
      <c r="P162" s="194" t="n">
        <v>1998000</v>
      </c>
      <c r="Q162" s="180" t="inlineStr">
        <is>
          <t>Không xác định</t>
        </is>
      </c>
      <c r="R162" s="180" t="inlineStr">
        <is>
          <t>THAOPTT.HCM.VTA</t>
        </is>
      </c>
      <c r="S162" s="182" t="inlineStr">
        <is>
          <t>Not Reversed</t>
        </is>
      </c>
      <c r="T162" s="57">
        <f>IF(OR(LEN(F162)=11,LEN(F162)=15),"Đ","SAI")</f>
        <v/>
      </c>
      <c r="U162" s="529">
        <f>ROUND(H162*I162%,0)-J162</f>
        <v/>
      </c>
      <c r="V162" s="55">
        <f>IF(Q162=$V$12,13313,13311)</f>
        <v/>
      </c>
    </row>
    <row r="163" ht="21.65" customHeight="1" s="344">
      <c r="A163" s="180" t="n">
        <v>146</v>
      </c>
      <c r="B163" s="182" t="inlineStr">
        <is>
          <t>1C26TDT</t>
        </is>
      </c>
      <c r="C163" s="278" t="inlineStr">
        <is>
          <t>'142</t>
        </is>
      </c>
      <c r="D163" s="181" t="n">
        <v>46335</v>
      </c>
      <c r="E163" s="182" t="inlineStr">
        <is>
          <t>CÔNG TY TNHH THƯƠNG MẠI VÀ DỊCH VỤ KỸ THUẬT ĐỨC TOÀN</t>
        </is>
      </c>
      <c r="F163" s="278" t="inlineStr">
        <is>
          <t>'3502397026</t>
        </is>
      </c>
      <c r="G163" s="182" t="inlineStr">
        <is>
          <t>thuê máy photo T09-202</t>
        </is>
      </c>
      <c r="H163" s="194" t="n">
        <v>1850000</v>
      </c>
      <c r="I163" s="180" t="n">
        <v>8</v>
      </c>
      <c r="J163" s="194" t="n">
        <v>148000</v>
      </c>
      <c r="K163" s="182" t="inlineStr">
        <is>
          <t>CK</t>
        </is>
      </c>
      <c r="L163" s="182" t="inlineStr">
        <is>
          <t>GL</t>
        </is>
      </c>
      <c r="M163" s="278" t="inlineStr">
        <is>
          <t>'3173</t>
        </is>
      </c>
      <c r="N163" s="181" t="n">
        <v>46295</v>
      </c>
      <c r="O163" s="181" t="n">
        <v>46295</v>
      </c>
      <c r="P163" s="194" t="n">
        <v>1998000</v>
      </c>
      <c r="Q163" s="180" t="inlineStr">
        <is>
          <t>Không xác định</t>
        </is>
      </c>
      <c r="R163" s="180" t="inlineStr">
        <is>
          <t>THAOPTT.HCM.VTA</t>
        </is>
      </c>
      <c r="S163" s="182" t="inlineStr">
        <is>
          <t>Not Reversed</t>
        </is>
      </c>
      <c r="T163" s="57">
        <f>IF(OR(LEN(F163)=11,LEN(F163)=15),"Đ","SAI")</f>
        <v/>
      </c>
      <c r="U163" s="529">
        <f>ROUND(H163*I163%,0)-J163</f>
        <v/>
      </c>
      <c r="V163" s="55">
        <f>IF(Q163=$V$12,13313,13311)</f>
        <v/>
      </c>
    </row>
    <row r="164" ht="21.65" customHeight="1" s="344">
      <c r="A164" s="180" t="n">
        <v>147</v>
      </c>
      <c r="B164" s="182" t="inlineStr">
        <is>
          <t>1C26TDT</t>
        </is>
      </c>
      <c r="C164" s="278" t="inlineStr">
        <is>
          <t>'143</t>
        </is>
      </c>
      <c r="D164" s="181" t="n">
        <v>46335</v>
      </c>
      <c r="E164" s="182" t="inlineStr">
        <is>
          <t>CÔNG TY TNHH THƯƠNG MẠI VÀ DỊCH VỤ KỸ THUẬT ĐỨC TOÀN</t>
        </is>
      </c>
      <c r="F164" s="278" t="inlineStr">
        <is>
          <t>'3502397026</t>
        </is>
      </c>
      <c r="G164" s="182" t="inlineStr">
        <is>
          <t>thuê máy photo T09-202</t>
        </is>
      </c>
      <c r="H164" s="194" t="n">
        <v>1850000</v>
      </c>
      <c r="I164" s="180" t="n">
        <v>8</v>
      </c>
      <c r="J164" s="194" t="n">
        <v>148000</v>
      </c>
      <c r="K164" s="182" t="inlineStr">
        <is>
          <t>CK</t>
        </is>
      </c>
      <c r="L164" s="182" t="inlineStr">
        <is>
          <t>GL</t>
        </is>
      </c>
      <c r="M164" s="278" t="inlineStr">
        <is>
          <t>'3173</t>
        </is>
      </c>
      <c r="N164" s="181" t="n">
        <v>46295</v>
      </c>
      <c r="O164" s="181" t="n">
        <v>46295</v>
      </c>
      <c r="P164" s="194" t="n">
        <v>1998000</v>
      </c>
      <c r="Q164" s="180" t="inlineStr">
        <is>
          <t>Không xác định</t>
        </is>
      </c>
      <c r="R164" s="180" t="inlineStr">
        <is>
          <t>THAOPTT.HCM.VTA</t>
        </is>
      </c>
      <c r="S164" s="182" t="inlineStr">
        <is>
          <t>Not Reversed</t>
        </is>
      </c>
      <c r="T164" s="57">
        <f>IF(OR(LEN(F164)=11,LEN(F164)=15),"Đ","SAI")</f>
        <v/>
      </c>
      <c r="U164" s="529">
        <f>ROUND(H164*I164%,0)-J164</f>
        <v/>
      </c>
      <c r="V164" s="55">
        <f>IF(Q164=$V$12,13313,13311)</f>
        <v/>
      </c>
    </row>
    <row r="165" ht="21.65" customHeight="1" s="344">
      <c r="A165" s="180" t="n">
        <v>148</v>
      </c>
      <c r="B165" s="182" t="inlineStr">
        <is>
          <t>1C26TDT</t>
        </is>
      </c>
      <c r="C165" s="278" t="inlineStr">
        <is>
          <t>'144</t>
        </is>
      </c>
      <c r="D165" s="181" t="n">
        <v>46335</v>
      </c>
      <c r="E165" s="182" t="inlineStr">
        <is>
          <t>CÔNG TY TNHH THƯƠNG MẠI VÀ DỊCH VỤ KỸ THUẬT ĐỨC TOÀN</t>
        </is>
      </c>
      <c r="F165" s="278" t="inlineStr">
        <is>
          <t>'3502397026</t>
        </is>
      </c>
      <c r="G165" s="182" t="inlineStr">
        <is>
          <t>thuê máy photo T09-202</t>
        </is>
      </c>
      <c r="H165" s="194" t="n">
        <v>1850000</v>
      </c>
      <c r="I165" s="180" t="n">
        <v>8</v>
      </c>
      <c r="J165" s="194" t="n">
        <v>148000</v>
      </c>
      <c r="K165" s="182" t="inlineStr">
        <is>
          <t>CK</t>
        </is>
      </c>
      <c r="L165" s="182" t="inlineStr">
        <is>
          <t>GL</t>
        </is>
      </c>
      <c r="M165" s="278" t="inlineStr">
        <is>
          <t>'3173</t>
        </is>
      </c>
      <c r="N165" s="181" t="n">
        <v>46295</v>
      </c>
      <c r="O165" s="181" t="n">
        <v>46295</v>
      </c>
      <c r="P165" s="194" t="n">
        <v>1998000</v>
      </c>
      <c r="Q165" s="180" t="inlineStr">
        <is>
          <t>Không xác định</t>
        </is>
      </c>
      <c r="R165" s="180" t="inlineStr">
        <is>
          <t>THAOPTT.HCM.VTA</t>
        </is>
      </c>
      <c r="S165" s="182" t="inlineStr">
        <is>
          <t>Not Reversed</t>
        </is>
      </c>
      <c r="T165" s="57">
        <f>IF(OR(LEN(F165)=11,LEN(F165)=15),"Đ","SAI")</f>
        <v/>
      </c>
      <c r="U165" s="529">
        <f>ROUND(H165*I165%,0)-J165</f>
        <v/>
      </c>
      <c r="V165" s="55">
        <f>IF(Q165=$V$12,13313,13311)</f>
        <v/>
      </c>
    </row>
    <row r="166" ht="21.65" customHeight="1" s="344">
      <c r="A166" s="180" t="n">
        <v>149</v>
      </c>
      <c r="B166" s="182" t="inlineStr">
        <is>
          <t>1C26TDT</t>
        </is>
      </c>
      <c r="C166" s="278" t="inlineStr">
        <is>
          <t>'145</t>
        </is>
      </c>
      <c r="D166" s="181" t="n">
        <v>46335</v>
      </c>
      <c r="E166" s="182" t="inlineStr">
        <is>
          <t>CÔNG TY TNHH THƯƠNG MẠI VÀ DỊCH VỤ KỸ THUẬT ĐỨC TOÀN</t>
        </is>
      </c>
      <c r="F166" s="278" t="inlineStr">
        <is>
          <t>'3502397026</t>
        </is>
      </c>
      <c r="G166" s="182" t="inlineStr">
        <is>
          <t>thuê máy photo T09-202</t>
        </is>
      </c>
      <c r="H166" s="194" t="n">
        <v>1850000</v>
      </c>
      <c r="I166" s="180" t="n">
        <v>8</v>
      </c>
      <c r="J166" s="194" t="n">
        <v>148000</v>
      </c>
      <c r="K166" s="182" t="inlineStr">
        <is>
          <t>CK</t>
        </is>
      </c>
      <c r="L166" s="182" t="inlineStr">
        <is>
          <t>GL</t>
        </is>
      </c>
      <c r="M166" s="278" t="inlineStr">
        <is>
          <t>'3173</t>
        </is>
      </c>
      <c r="N166" s="181" t="n">
        <v>46295</v>
      </c>
      <c r="O166" s="181" t="n">
        <v>46295</v>
      </c>
      <c r="P166" s="194" t="n">
        <v>1998000</v>
      </c>
      <c r="Q166" s="180" t="inlineStr">
        <is>
          <t>Không xác định</t>
        </is>
      </c>
      <c r="R166" s="180" t="inlineStr">
        <is>
          <t>THAOPTT.HCM.VTA</t>
        </is>
      </c>
      <c r="S166" s="182" t="inlineStr">
        <is>
          <t>Not Reversed</t>
        </is>
      </c>
      <c r="T166" s="57">
        <f>IF(OR(LEN(F166)=11,LEN(F166)=15),"Đ","SAI")</f>
        <v/>
      </c>
      <c r="U166" s="529">
        <f>ROUND(H166*I166%,0)-J166</f>
        <v/>
      </c>
      <c r="V166" s="55">
        <f>IF(Q166=$V$12,13313,13311)</f>
        <v/>
      </c>
    </row>
    <row r="167" ht="21.5" customHeight="1" s="344">
      <c r="A167" s="180" t="n">
        <v>150</v>
      </c>
      <c r="B167" s="182" t="inlineStr">
        <is>
          <t>1C26TDT</t>
        </is>
      </c>
      <c r="C167" s="278" t="inlineStr">
        <is>
          <t>'146</t>
        </is>
      </c>
      <c r="D167" s="181" t="n">
        <v>46335</v>
      </c>
      <c r="E167" s="182" t="inlineStr">
        <is>
          <t>CÔNG TY TNHH THƯƠNG MẠI VÀ DỊCH VỤ KỸ THUẬT ĐỨC TOÀN</t>
        </is>
      </c>
      <c r="F167" s="278" t="inlineStr">
        <is>
          <t>'3502397026</t>
        </is>
      </c>
      <c r="G167" s="182" t="inlineStr">
        <is>
          <t>thuê máy photo T09-202</t>
        </is>
      </c>
      <c r="H167" s="194" t="n">
        <v>1850000</v>
      </c>
      <c r="I167" s="180" t="n">
        <v>8</v>
      </c>
      <c r="J167" s="194" t="n">
        <v>148000</v>
      </c>
      <c r="K167" s="182" t="inlineStr">
        <is>
          <t>CK</t>
        </is>
      </c>
      <c r="L167" s="182" t="inlineStr">
        <is>
          <t>GL</t>
        </is>
      </c>
      <c r="M167" s="278" t="inlineStr">
        <is>
          <t>'3173</t>
        </is>
      </c>
      <c r="N167" s="181" t="n">
        <v>46295</v>
      </c>
      <c r="O167" s="181" t="n">
        <v>46295</v>
      </c>
      <c r="P167" s="194" t="n">
        <v>1998000</v>
      </c>
      <c r="Q167" s="180" t="inlineStr">
        <is>
          <t>Không xác định</t>
        </is>
      </c>
      <c r="R167" s="180" t="inlineStr">
        <is>
          <t>THAOPTT.HCM.VTA</t>
        </is>
      </c>
      <c r="S167" s="182" t="inlineStr">
        <is>
          <t>Not Reversed</t>
        </is>
      </c>
      <c r="T167" s="57">
        <f>IF(OR(LEN(F167)=11,LEN(F167)=15),"Đ","SAI")</f>
        <v/>
      </c>
      <c r="U167" s="529">
        <f>ROUND(H167*I167%,0)-J167</f>
        <v/>
      </c>
      <c r="V167" s="55">
        <f>IF(Q167=$V$12,13313,13311)</f>
        <v/>
      </c>
    </row>
    <row r="168" ht="14.4" customHeight="1" s="344">
      <c r="A168" s="180" t="n">
        <v>151</v>
      </c>
      <c r="B168" s="182" t="inlineStr">
        <is>
          <t>1C26MAA</t>
        </is>
      </c>
      <c r="C168" s="278" t="inlineStr">
        <is>
          <t>'19865</t>
        </is>
      </c>
      <c r="D168" s="181" t="n">
        <v>46335</v>
      </c>
      <c r="E168" s="182" t="inlineStr">
        <is>
          <t>CÔNG TY CỔ PHẦN DU LỊCH CÁP TREO VŨNG TÀU</t>
        </is>
      </c>
      <c r="F168" s="278" t="inlineStr">
        <is>
          <t>'3500550800</t>
        </is>
      </c>
      <c r="G168" s="182" t="inlineStr">
        <is>
          <t>đặt ăn</t>
        </is>
      </c>
      <c r="H168" s="194" t="n">
        <v>9165741</v>
      </c>
      <c r="I168" s="180" t="n">
        <v>8</v>
      </c>
      <c r="J168" s="194" t="n">
        <v>733259</v>
      </c>
      <c r="K168" s="182" t="inlineStr">
        <is>
          <t>CK</t>
        </is>
      </c>
      <c r="L168" s="182" t="inlineStr">
        <is>
          <t>GL</t>
        </is>
      </c>
      <c r="M168" s="278" t="inlineStr">
        <is>
          <t>'3173</t>
        </is>
      </c>
      <c r="N168" s="181" t="n">
        <v>46295</v>
      </c>
      <c r="O168" s="181" t="n">
        <v>46295</v>
      </c>
      <c r="P168" s="194" t="n">
        <v>9899000</v>
      </c>
      <c r="Q168" s="180" t="inlineStr">
        <is>
          <t>Không xác định</t>
        </is>
      </c>
      <c r="R168" s="180" t="inlineStr">
        <is>
          <t>THAOPTT.HCM.VTA</t>
        </is>
      </c>
      <c r="S168" s="182" t="inlineStr">
        <is>
          <t>Not Reversed</t>
        </is>
      </c>
      <c r="T168" s="57">
        <f>IF(OR(LEN(F168)=11,LEN(F168)=15),"Đ","SAI")</f>
        <v/>
      </c>
      <c r="U168" s="529">
        <f>ROUND(H168*I168%,0)-J168</f>
        <v/>
      </c>
      <c r="V168" s="55">
        <f>IF(Q168=$V$12,13313,13311)</f>
        <v/>
      </c>
    </row>
    <row r="169" ht="21.65" customHeight="1" s="344">
      <c r="A169" s="180" t="n">
        <v>152</v>
      </c>
      <c r="B169" s="182" t="inlineStr">
        <is>
          <t>1C26TCD</t>
        </is>
      </c>
      <c r="C169" s="278" t="inlineStr">
        <is>
          <t>'854</t>
        </is>
      </c>
      <c r="D169" s="181" t="n">
        <v>46335</v>
      </c>
      <c r="E169" s="182" t="inlineStr">
        <is>
          <t>CÔNG TY CP NƯỚC TINH KHIẾT CÔN ĐẢO XANH</t>
        </is>
      </c>
      <c r="F169" s="278" t="inlineStr">
        <is>
          <t>'3502519919</t>
        </is>
      </c>
      <c r="G169" s="182" t="inlineStr">
        <is>
          <t>hóa đơn nước uống</t>
        </is>
      </c>
      <c r="H169" s="194" t="n">
        <v>210000</v>
      </c>
      <c r="I169" s="180" t="n">
        <v>8</v>
      </c>
      <c r="J169" s="194" t="n">
        <v>16800</v>
      </c>
      <c r="K169" s="182" t="inlineStr">
        <is>
          <t>CK</t>
        </is>
      </c>
      <c r="L169" s="182" t="inlineStr">
        <is>
          <t>GL</t>
        </is>
      </c>
      <c r="M169" s="278" t="inlineStr">
        <is>
          <t>'3173</t>
        </is>
      </c>
      <c r="N169" s="181" t="n">
        <v>46295</v>
      </c>
      <c r="O169" s="181" t="n">
        <v>46295</v>
      </c>
      <c r="P169" s="194" t="n">
        <v>226800</v>
      </c>
      <c r="Q169" s="180" t="inlineStr">
        <is>
          <t>Không xác định</t>
        </is>
      </c>
      <c r="R169" s="180" t="inlineStr">
        <is>
          <t>THAOPTT.HCM.VTA</t>
        </is>
      </c>
      <c r="S169" s="182" t="inlineStr">
        <is>
          <t>Not Reversed</t>
        </is>
      </c>
      <c r="T169" s="57">
        <f>IF(OR(LEN(F169)=11,LEN(F169)=15),"Đ","SAI")</f>
        <v/>
      </c>
      <c r="U169" s="529">
        <f>ROUND(H169*I169%,0)-J169</f>
        <v/>
      </c>
      <c r="V169" s="55">
        <f>IF(Q169=$V$12,13313,13311)</f>
        <v/>
      </c>
    </row>
    <row r="170" ht="14.4" customHeight="1" s="344">
      <c r="A170" s="180" t="n">
        <v>153</v>
      </c>
      <c r="B170" s="182" t="inlineStr">
        <is>
          <t>1C26MNL</t>
        </is>
      </c>
      <c r="C170" s="278" t="inlineStr">
        <is>
          <t>'00000526</t>
        </is>
      </c>
      <c r="D170" s="181" t="n">
        <v>46276</v>
      </c>
      <c r="E170" s="182" t="inlineStr">
        <is>
          <t>CÔNG TY TNHH KỲ DUYÊN QUÁN</t>
        </is>
      </c>
      <c r="F170" s="278" t="inlineStr">
        <is>
          <t>'3502490716</t>
        </is>
      </c>
      <c r="G170" s="182" t="inlineStr">
        <is>
          <t>đặt ăn</t>
        </is>
      </c>
      <c r="H170" s="194" t="n">
        <v>3715740</v>
      </c>
      <c r="I170" s="180" t="n">
        <v>8</v>
      </c>
      <c r="J170" s="194" t="n">
        <v>297259</v>
      </c>
      <c r="K170" s="182" t="inlineStr">
        <is>
          <t>CK</t>
        </is>
      </c>
      <c r="L170" s="182" t="inlineStr">
        <is>
          <t>GL</t>
        </is>
      </c>
      <c r="M170" s="278" t="inlineStr">
        <is>
          <t>'3173</t>
        </is>
      </c>
      <c r="N170" s="181" t="n">
        <v>46295</v>
      </c>
      <c r="O170" s="181" t="n">
        <v>46295</v>
      </c>
      <c r="P170" s="194" t="n">
        <v>4012999</v>
      </c>
      <c r="Q170" s="180" t="inlineStr">
        <is>
          <t>Không xác định</t>
        </is>
      </c>
      <c r="R170" s="180" t="inlineStr">
        <is>
          <t>THAOPTT.HCM.VTA</t>
        </is>
      </c>
      <c r="S170" s="182" t="inlineStr">
        <is>
          <t>Not Reversed</t>
        </is>
      </c>
      <c r="T170" s="57">
        <f>IF(OR(LEN(F170)=11,LEN(F170)=15),"Đ","SAI")</f>
        <v/>
      </c>
      <c r="U170" s="529">
        <f>ROUND(H170*I170%,0)-J170</f>
        <v/>
      </c>
      <c r="V170" s="55">
        <f>IF(Q170=$V$12,13313,13311)</f>
        <v/>
      </c>
    </row>
    <row r="171" ht="14.4" customHeight="1" s="344">
      <c r="A171" s="180" t="n">
        <v>154</v>
      </c>
      <c r="B171" s="182" t="inlineStr">
        <is>
          <t>1C26MDT</t>
        </is>
      </c>
      <c r="C171" s="278" t="inlineStr">
        <is>
          <t>'00002603</t>
        </is>
      </c>
      <c r="D171" s="181" t="n">
        <v>46276</v>
      </c>
      <c r="E171" s="182" t="inlineStr">
        <is>
          <t>CÔNG TY TNHH - TMDV DU LỊCH NHÀ HÀNG ĐỒNG TÂM</t>
        </is>
      </c>
      <c r="F171" s="278" t="inlineStr">
        <is>
          <t>'3502508674</t>
        </is>
      </c>
      <c r="G171" s="182" t="inlineStr">
        <is>
          <t>đặt ăn</t>
        </is>
      </c>
      <c r="H171" s="194" t="n">
        <v>130909</v>
      </c>
      <c r="I171" s="180" t="n">
        <v>10</v>
      </c>
      <c r="J171" s="194" t="n">
        <v>13091</v>
      </c>
      <c r="K171" s="182" t="inlineStr">
        <is>
          <t>CK</t>
        </is>
      </c>
      <c r="L171" s="182" t="inlineStr">
        <is>
          <t>GL</t>
        </is>
      </c>
      <c r="M171" s="278" t="inlineStr">
        <is>
          <t>'3173</t>
        </is>
      </c>
      <c r="N171" s="181" t="n">
        <v>46295</v>
      </c>
      <c r="O171" s="181" t="n">
        <v>46295</v>
      </c>
      <c r="P171" s="194" t="n">
        <v>144000</v>
      </c>
      <c r="Q171" s="180" t="inlineStr">
        <is>
          <t>Không xác định</t>
        </is>
      </c>
      <c r="R171" s="180" t="inlineStr">
        <is>
          <t>THAOPTT.HCM.VTA</t>
        </is>
      </c>
      <c r="S171" s="182" t="inlineStr">
        <is>
          <t>Not Reversed</t>
        </is>
      </c>
      <c r="T171" s="57">
        <f>IF(OR(LEN(F171)=11,LEN(F171)=15),"Đ","SAI")</f>
        <v/>
      </c>
      <c r="U171" s="529">
        <f>ROUND(H171*I171%,0)-J171</f>
        <v/>
      </c>
      <c r="V171" s="55">
        <f>IF(Q171=$V$12,13313,13311)</f>
        <v/>
      </c>
    </row>
    <row r="172" ht="14.4" customHeight="1" s="344">
      <c r="A172" s="180" t="n">
        <v>155</v>
      </c>
      <c r="B172" s="182" t="inlineStr">
        <is>
          <t>1C26MDT</t>
        </is>
      </c>
      <c r="C172" s="278" t="inlineStr">
        <is>
          <t>'00002603</t>
        </is>
      </c>
      <c r="D172" s="181" t="n">
        <v>46276</v>
      </c>
      <c r="E172" s="182" t="inlineStr">
        <is>
          <t>CÔNG TY TNHH - TMDV DU LỊCH NHÀ HÀNG ĐỒNG TÂM</t>
        </is>
      </c>
      <c r="F172" s="278" t="inlineStr">
        <is>
          <t>'3502508674</t>
        </is>
      </c>
      <c r="G172" s="182" t="inlineStr">
        <is>
          <t>đặt ăn</t>
        </is>
      </c>
      <c r="H172" s="194" t="n">
        <v>3648148</v>
      </c>
      <c r="I172" s="180" t="n">
        <v>8</v>
      </c>
      <c r="J172" s="194" t="n">
        <v>291852</v>
      </c>
      <c r="K172" s="182" t="inlineStr">
        <is>
          <t>CK</t>
        </is>
      </c>
      <c r="L172" s="182" t="inlineStr">
        <is>
          <t>GL</t>
        </is>
      </c>
      <c r="M172" s="278" t="inlineStr">
        <is>
          <t>'3173</t>
        </is>
      </c>
      <c r="N172" s="181" t="n">
        <v>46295</v>
      </c>
      <c r="O172" s="181" t="n">
        <v>46295</v>
      </c>
      <c r="P172" s="194" t="n">
        <v>3940000</v>
      </c>
      <c r="Q172" s="180" t="inlineStr">
        <is>
          <t>Không xác định</t>
        </is>
      </c>
      <c r="R172" s="180" t="inlineStr">
        <is>
          <t>THAOPTT.HCM.VTA</t>
        </is>
      </c>
      <c r="S172" s="182" t="inlineStr">
        <is>
          <t>Not Reversed</t>
        </is>
      </c>
      <c r="T172" s="57">
        <f>IF(OR(LEN(F172)=11,LEN(F172)=15),"Đ","SAI")</f>
        <v/>
      </c>
      <c r="U172" s="529">
        <f>ROUND(H172*I172%,0)-J172</f>
        <v/>
      </c>
      <c r="V172" s="55">
        <f>IF(Q172=$V$12,13313,13311)</f>
        <v/>
      </c>
    </row>
    <row r="173" ht="21.65" customHeight="1" s="344">
      <c r="A173" s="180" t="n">
        <v>156</v>
      </c>
      <c r="B173" s="182" t="inlineStr">
        <is>
          <t>1C26MBT</t>
        </is>
      </c>
      <c r="C173" s="278" t="inlineStr">
        <is>
          <t>'00002444</t>
        </is>
      </c>
      <c r="D173" s="181" t="n">
        <v>46277</v>
      </c>
      <c r="E173" s="182" t="inlineStr">
        <is>
          <t>CÔNG TY TNHH TMDV DU LỊCH BÁ THẮNG</t>
        </is>
      </c>
      <c r="F173" s="278" t="inlineStr">
        <is>
          <t>'3502512800</t>
        </is>
      </c>
      <c r="G173" s="182" t="inlineStr">
        <is>
          <t>đặt ăn</t>
        </is>
      </c>
      <c r="H173" s="194" t="n">
        <v>3698000</v>
      </c>
      <c r="I173" s="180" t="n">
        <v>8</v>
      </c>
      <c r="J173" s="194" t="n">
        <v>295840</v>
      </c>
      <c r="K173" s="182" t="inlineStr">
        <is>
          <t>CK</t>
        </is>
      </c>
      <c r="L173" s="182" t="inlineStr">
        <is>
          <t>GL</t>
        </is>
      </c>
      <c r="M173" s="278" t="inlineStr">
        <is>
          <t>'3173</t>
        </is>
      </c>
      <c r="N173" s="181" t="n">
        <v>46295</v>
      </c>
      <c r="O173" s="181" t="n">
        <v>46295</v>
      </c>
      <c r="P173" s="194" t="n">
        <v>3993840</v>
      </c>
      <c r="Q173" s="180" t="inlineStr">
        <is>
          <t>Không xác định</t>
        </is>
      </c>
      <c r="R173" s="180" t="inlineStr">
        <is>
          <t>THAOPTT.HCM.VTA</t>
        </is>
      </c>
      <c r="S173" s="182" t="inlineStr">
        <is>
          <t>Not Reversed</t>
        </is>
      </c>
      <c r="T173" s="57">
        <f>IF(OR(LEN(F173)=11,LEN(F173)=15),"Đ","SAI")</f>
        <v/>
      </c>
      <c r="U173" s="529">
        <f>ROUND(H173*I173%,0)-J173</f>
        <v/>
      </c>
      <c r="V173" s="55">
        <f>IF(Q173=$V$12,13313,13311)</f>
        <v/>
      </c>
    </row>
    <row r="174" ht="21.65" customFormat="1" customHeight="1" s="62">
      <c r="A174" s="180" t="n">
        <v>157</v>
      </c>
      <c r="B174" s="182" t="inlineStr">
        <is>
          <t>1C26MDT</t>
        </is>
      </c>
      <c r="C174" s="278" t="inlineStr">
        <is>
          <t>'2604</t>
        </is>
      </c>
      <c r="D174" s="181" t="n">
        <v>46277</v>
      </c>
      <c r="E174" s="182" t="inlineStr">
        <is>
          <t>CÔNG TY TNHH TMDV DU LỊCH NHÀ HÀNG ĐỒNG TÂM</t>
        </is>
      </c>
      <c r="F174" s="278" t="inlineStr">
        <is>
          <t>'3502508674</t>
        </is>
      </c>
      <c r="G174" s="182" t="inlineStr">
        <is>
          <t>ăn uống</t>
        </is>
      </c>
      <c r="H174" s="194" t="n">
        <v>3725000</v>
      </c>
      <c r="I174" s="180" t="n">
        <v>8</v>
      </c>
      <c r="J174" s="194" t="n">
        <v>298000</v>
      </c>
      <c r="K174" s="182" t="inlineStr">
        <is>
          <t>CK</t>
        </is>
      </c>
      <c r="L174" s="182" t="inlineStr">
        <is>
          <t>GL</t>
        </is>
      </c>
      <c r="M174" s="278" t="inlineStr">
        <is>
          <t>'3173</t>
        </is>
      </c>
      <c r="N174" s="181" t="n">
        <v>46295</v>
      </c>
      <c r="O174" s="181" t="n">
        <v>46295</v>
      </c>
      <c r="P174" s="194" t="n">
        <v>4023000</v>
      </c>
      <c r="Q174" s="180" t="inlineStr">
        <is>
          <t>Không xác định</t>
        </is>
      </c>
      <c r="R174" s="180" t="inlineStr">
        <is>
          <t>THAOPTT.HCM.VTA</t>
        </is>
      </c>
      <c r="S174" s="182" t="inlineStr">
        <is>
          <t>Not Reversed</t>
        </is>
      </c>
      <c r="T174" s="57">
        <f>IF(OR(LEN(F174)=11,LEN(F174)=15),"Đ","SAI")</f>
        <v/>
      </c>
      <c r="U174" s="529">
        <f>ROUND(H174*I174%,0)-J174</f>
        <v/>
      </c>
      <c r="V174" s="55">
        <f>IF(Q174=$V$12,13313,13311)</f>
        <v/>
      </c>
      <c r="W174" s="65" t="n"/>
      <c r="X174" s="65" t="n"/>
    </row>
    <row r="175" ht="21.65" customHeight="1" s="344">
      <c r="A175" s="180" t="n">
        <v>158</v>
      </c>
      <c r="B175" s="182" t="inlineStr">
        <is>
          <t>1K26TKA</t>
        </is>
      </c>
      <c r="C175" s="278" t="inlineStr">
        <is>
          <t>'91692</t>
        </is>
      </c>
      <c r="D175" s="181" t="n">
        <v>46247</v>
      </c>
      <c r="E175" s="182" t="inlineStr">
        <is>
          <t>TỔNG CÔNG TY HÀNG KHÔNG VIỆT NAM - CTCP</t>
        </is>
      </c>
      <c r="F175" s="278" t="inlineStr">
        <is>
          <t>'0100107518</t>
        </is>
      </c>
      <c r="G175" s="182" t="inlineStr">
        <is>
          <t>vé máy bay</t>
        </is>
      </c>
      <c r="H175" s="194" t="n">
        <v>1366593</v>
      </c>
      <c r="I175" s="180" t="n">
        <v>8</v>
      </c>
      <c r="J175" s="194" t="n">
        <v>109407</v>
      </c>
      <c r="K175" s="182" t="inlineStr">
        <is>
          <t>CK</t>
        </is>
      </c>
      <c r="L175" s="182" t="inlineStr">
        <is>
          <t>GL</t>
        </is>
      </c>
      <c r="M175" s="278" t="inlineStr">
        <is>
          <t>'3173</t>
        </is>
      </c>
      <c r="N175" s="181" t="n">
        <v>46295</v>
      </c>
      <c r="O175" s="181" t="n">
        <v>46295</v>
      </c>
      <c r="P175" s="194" t="n">
        <v>1476000</v>
      </c>
      <c r="Q175" s="180" t="inlineStr">
        <is>
          <t>Không xác định</t>
        </is>
      </c>
      <c r="R175" s="180" t="inlineStr">
        <is>
          <t>THAOPTT.HCM.VTA</t>
        </is>
      </c>
      <c r="S175" s="182" t="inlineStr">
        <is>
          <t>Not Reversed</t>
        </is>
      </c>
      <c r="T175" s="57">
        <f>IF(OR(LEN(F175)=11,LEN(F175)=15),"Đ","SAI")</f>
        <v/>
      </c>
      <c r="U175" s="529">
        <f>ROUND(H175*I175%,0)-J175</f>
        <v/>
      </c>
      <c r="V175" s="55">
        <f>IF(Q175=$V$12,13313,13311)</f>
        <v/>
      </c>
    </row>
    <row r="176" ht="14.4" customHeight="1" s="344">
      <c r="A176" s="180" t="n">
        <v>159</v>
      </c>
      <c r="B176" s="182" t="inlineStr">
        <is>
          <t>1K26TKA</t>
        </is>
      </c>
      <c r="C176" s="278" t="inlineStr">
        <is>
          <t>'91708</t>
        </is>
      </c>
      <c r="D176" s="181" t="n">
        <v>46247</v>
      </c>
      <c r="E176" s="182" t="inlineStr">
        <is>
          <t>TỔNG CÔNG TY HÀNG KHÔNG VIỆT NAM - CTCP</t>
        </is>
      </c>
      <c r="F176" s="278" t="inlineStr">
        <is>
          <t>'0100107518</t>
        </is>
      </c>
      <c r="G176" s="182" t="inlineStr">
        <is>
          <t>vé máy bay</t>
        </is>
      </c>
      <c r="H176" s="194" t="n">
        <v>1366593</v>
      </c>
      <c r="I176" s="180" t="n">
        <v>8</v>
      </c>
      <c r="J176" s="194" t="n">
        <v>109407</v>
      </c>
      <c r="K176" s="182" t="inlineStr">
        <is>
          <t>CK</t>
        </is>
      </c>
      <c r="L176" s="182" t="inlineStr">
        <is>
          <t>GL</t>
        </is>
      </c>
      <c r="M176" s="278" t="inlineStr">
        <is>
          <t>'3173</t>
        </is>
      </c>
      <c r="N176" s="181" t="n">
        <v>46295</v>
      </c>
      <c r="O176" s="181" t="n">
        <v>46295</v>
      </c>
      <c r="P176" s="194" t="n">
        <v>1476000</v>
      </c>
      <c r="Q176" s="180" t="inlineStr">
        <is>
          <t>Không xác định</t>
        </is>
      </c>
      <c r="R176" s="180" t="inlineStr">
        <is>
          <t>THAOPTT.HCM.VTA</t>
        </is>
      </c>
      <c r="S176" s="182" t="inlineStr">
        <is>
          <t>Not Reversed</t>
        </is>
      </c>
      <c r="T176" s="57">
        <f>IF(OR(LEN(F176)=11,LEN(F176)=15),"Đ","SAI")</f>
        <v/>
      </c>
      <c r="U176" s="529">
        <f>ROUND(H176*I176%,0)-J176</f>
        <v/>
      </c>
      <c r="V176" s="55">
        <f>IF(Q176=$V$12,13313,13311)</f>
        <v/>
      </c>
    </row>
    <row r="177" ht="14.4" customHeight="1" s="344">
      <c r="A177" s="180" t="n">
        <v>160</v>
      </c>
      <c r="B177" s="182" t="inlineStr">
        <is>
          <t>1C26TAT</t>
        </is>
      </c>
      <c r="C177" s="278" t="inlineStr">
        <is>
          <t>'1349</t>
        </is>
      </c>
      <c r="D177" s="181" t="n">
        <v>46278</v>
      </c>
      <c r="E177" s="182" t="inlineStr">
        <is>
          <t>CÔNG TY TNHH VÉ MÁY BAY AN TOÀN VŨNG TÀU</t>
        </is>
      </c>
      <c r="F177" s="278" t="inlineStr">
        <is>
          <t>'3502350959</t>
        </is>
      </c>
      <c r="G177" s="182" t="inlineStr">
        <is>
          <t>vé máy bay</t>
        </is>
      </c>
      <c r="H177" s="194" t="n">
        <v>2314815</v>
      </c>
      <c r="I177" s="180" t="n">
        <v>8</v>
      </c>
      <c r="J177" s="194" t="n">
        <v>185185</v>
      </c>
      <c r="K177" s="182" t="inlineStr">
        <is>
          <t>CK</t>
        </is>
      </c>
      <c r="L177" s="182" t="inlineStr">
        <is>
          <t>GL</t>
        </is>
      </c>
      <c r="M177" s="278" t="inlineStr">
        <is>
          <t>'3173</t>
        </is>
      </c>
      <c r="N177" s="181" t="n">
        <v>46295</v>
      </c>
      <c r="O177" s="181" t="n">
        <v>46295</v>
      </c>
      <c r="P177" s="194" t="n">
        <v>2500000</v>
      </c>
      <c r="Q177" s="180" t="inlineStr">
        <is>
          <t>Không xác định</t>
        </is>
      </c>
      <c r="R177" s="180" t="inlineStr">
        <is>
          <t>THAOPTT.HCM.VTA</t>
        </is>
      </c>
      <c r="S177" s="182" t="inlineStr">
        <is>
          <t>Not Reversed</t>
        </is>
      </c>
      <c r="T177" s="57">
        <f>IF(OR(LEN(F177)=11,LEN(F177)=15),"Đ","SAI")</f>
        <v/>
      </c>
      <c r="U177" s="529">
        <f>ROUND(H177*I177%,0)-J177</f>
        <v/>
      </c>
      <c r="V177" s="55">
        <f>IF(Q177=$V$12,13313,13311)</f>
        <v/>
      </c>
    </row>
    <row r="178" ht="21.65" customHeight="1" s="344">
      <c r="A178" s="180" t="n">
        <v>161</v>
      </c>
      <c r="B178" s="182" t="inlineStr">
        <is>
          <t>1C26TVH</t>
        </is>
      </c>
      <c r="C178" s="278" t="inlineStr">
        <is>
          <t>'00000085</t>
        </is>
      </c>
      <c r="D178" s="181" t="n">
        <v>46248</v>
      </c>
      <c r="E178" s="182" t="inlineStr">
        <is>
          <t>CÔNG TY TNHH ĐT PT THƯƠNG MẠI DỊCH VỤ HOÀNG GIA</t>
        </is>
      </c>
      <c r="F178" s="278" t="inlineStr">
        <is>
          <t>'0318191596</t>
        </is>
      </c>
      <c r="G178" s="182" t="inlineStr">
        <is>
          <t>thuê phòng lưu trú</t>
        </is>
      </c>
      <c r="H178" s="194" t="n">
        <v>2592596</v>
      </c>
      <c r="I178" s="180" t="n">
        <v>8</v>
      </c>
      <c r="J178" s="194" t="n">
        <v>207408</v>
      </c>
      <c r="K178" s="182" t="inlineStr">
        <is>
          <t>CK</t>
        </is>
      </c>
      <c r="L178" s="182" t="inlineStr">
        <is>
          <t>GL</t>
        </is>
      </c>
      <c r="M178" s="278" t="inlineStr">
        <is>
          <t>'3173</t>
        </is>
      </c>
      <c r="N178" s="181" t="n">
        <v>46295</v>
      </c>
      <c r="O178" s="181" t="n">
        <v>46295</v>
      </c>
      <c r="P178" s="194" t="n">
        <v>2800004</v>
      </c>
      <c r="Q178" s="180" t="inlineStr">
        <is>
          <t>Không xác định</t>
        </is>
      </c>
      <c r="R178" s="180" t="inlineStr">
        <is>
          <t>THAOPTT.HCM.VTA</t>
        </is>
      </c>
      <c r="S178" s="182" t="inlineStr">
        <is>
          <t>Not Reversed</t>
        </is>
      </c>
      <c r="T178" s="57">
        <f>IF(OR(LEN(F178)=11,LEN(F178)=15),"Đ","SAI")</f>
        <v/>
      </c>
      <c r="U178" s="529">
        <f>ROUND(H178*I178%,0)-J178</f>
        <v/>
      </c>
      <c r="V178" s="55">
        <f>IF(Q178=$V$12,13313,13311)</f>
        <v/>
      </c>
    </row>
    <row r="179" ht="14.4" customHeight="1" s="344">
      <c r="A179" s="180" t="n">
        <v>162</v>
      </c>
      <c r="B179" s="182" t="inlineStr">
        <is>
          <t>1C26MTT</t>
        </is>
      </c>
      <c r="C179" s="278" t="inlineStr">
        <is>
          <t>'3578</t>
        </is>
      </c>
      <c r="D179" s="181" t="n">
        <v>46248</v>
      </c>
      <c r="E179" s="182" t="inlineStr">
        <is>
          <t>CÔNG TY CỔ PHẦN VƯỜN PHỐ</t>
        </is>
      </c>
      <c r="F179" s="278" t="inlineStr">
        <is>
          <t>'0305269862</t>
        </is>
      </c>
      <c r="G179" s="182" t="inlineStr">
        <is>
          <t>ăn uống</t>
        </is>
      </c>
      <c r="H179" s="194" t="n">
        <v>4568100</v>
      </c>
      <c r="I179" s="180" t="n">
        <v>8</v>
      </c>
      <c r="J179" s="194" t="n">
        <v>365448</v>
      </c>
      <c r="K179" s="182" t="inlineStr">
        <is>
          <t>CK</t>
        </is>
      </c>
      <c r="L179" s="182" t="inlineStr">
        <is>
          <t>GL</t>
        </is>
      </c>
      <c r="M179" s="278" t="inlineStr">
        <is>
          <t>'3173</t>
        </is>
      </c>
      <c r="N179" s="181" t="n">
        <v>46295</v>
      </c>
      <c r="O179" s="181" t="n">
        <v>46295</v>
      </c>
      <c r="P179" s="194" t="n">
        <v>4933548</v>
      </c>
      <c r="Q179" s="180" t="inlineStr">
        <is>
          <t>Không xác định</t>
        </is>
      </c>
      <c r="R179" s="180" t="inlineStr">
        <is>
          <t>THAOPTT.HCM.VTA</t>
        </is>
      </c>
      <c r="S179" s="182" t="inlineStr">
        <is>
          <t>Not Reversed</t>
        </is>
      </c>
      <c r="T179" s="57">
        <f>IF(OR(LEN(F179)=11,LEN(F179)=15),"Đ","SAI")</f>
        <v/>
      </c>
      <c r="U179" s="529">
        <f>ROUND(H179*I179%,0)-J179</f>
        <v/>
      </c>
      <c r="V179" s="55">
        <f>IF(Q179=$V$12,13313,13311)</f>
        <v/>
      </c>
    </row>
    <row r="180" ht="21.65" customHeight="1" s="344">
      <c r="A180" s="180" t="n">
        <v>163</v>
      </c>
      <c r="B180" s="182" t="inlineStr">
        <is>
          <t>1K26TAA</t>
        </is>
      </c>
      <c r="C180" s="278" t="inlineStr">
        <is>
          <t>'1566823</t>
        </is>
      </c>
      <c r="D180" s="181" t="n">
        <v>46279</v>
      </c>
      <c r="E180" s="182" t="inlineStr">
        <is>
          <t>CÔNG TY CỔ PHẦN CẤP NƯỚC BRVT</t>
        </is>
      </c>
      <c r="F180" s="278" t="inlineStr">
        <is>
          <t>'3500101386</t>
        </is>
      </c>
      <c r="G180" s="182" t="inlineStr">
        <is>
          <t>tiền nước T09-26</t>
        </is>
      </c>
      <c r="H180" s="194" t="n">
        <v>26800</v>
      </c>
      <c r="I180" s="180" t="n">
        <v>5</v>
      </c>
      <c r="J180" s="194" t="n">
        <v>1340</v>
      </c>
      <c r="K180" s="182" t="inlineStr">
        <is>
          <t>CK</t>
        </is>
      </c>
      <c r="L180" s="182" t="inlineStr">
        <is>
          <t>GL</t>
        </is>
      </c>
      <c r="M180" s="278" t="inlineStr">
        <is>
          <t>'3173</t>
        </is>
      </c>
      <c r="N180" s="181" t="n">
        <v>46295</v>
      </c>
      <c r="O180" s="181" t="n">
        <v>46295</v>
      </c>
      <c r="P180" s="194" t="n">
        <v>28140</v>
      </c>
      <c r="Q180" s="180" t="inlineStr">
        <is>
          <t>Không xác định</t>
        </is>
      </c>
      <c r="R180" s="180" t="inlineStr">
        <is>
          <t>THAOPTT.HCM.VTA</t>
        </is>
      </c>
      <c r="S180" s="182" t="inlineStr">
        <is>
          <t>Not Reversed</t>
        </is>
      </c>
      <c r="T180" s="57">
        <f>IF(OR(LEN(F180)=11,LEN(F180)=15),"Đ","SAI")</f>
        <v/>
      </c>
      <c r="U180" s="529">
        <f>ROUND(H180*I180%,0)-J180</f>
        <v/>
      </c>
      <c r="V180" s="55">
        <f>IF(Q180=$V$12,13313,13311)</f>
        <v/>
      </c>
    </row>
    <row r="181" ht="21.65" customHeight="1" s="344">
      <c r="A181" s="180" t="n">
        <v>164</v>
      </c>
      <c r="B181" s="182" t="inlineStr">
        <is>
          <t>1K26TAA</t>
        </is>
      </c>
      <c r="C181" s="278" t="inlineStr">
        <is>
          <t>'1566823</t>
        </is>
      </c>
      <c r="D181" s="181" t="n">
        <v>46279</v>
      </c>
      <c r="E181" s="182" t="inlineStr">
        <is>
          <t>CÔNG TY CỔ PHẦN CẤP NƯỚC BRVT</t>
        </is>
      </c>
      <c r="F181" s="278" t="inlineStr">
        <is>
          <t>'3500101386</t>
        </is>
      </c>
      <c r="G181" s="182" t="inlineStr">
        <is>
          <t>tiền nước T09-26</t>
        </is>
      </c>
      <c r="H181" s="194" t="n">
        <v>15424</v>
      </c>
      <c r="I181" s="180" t="n">
        <v>8</v>
      </c>
      <c r="J181" s="194" t="n">
        <v>1234</v>
      </c>
      <c r="K181" s="182" t="inlineStr">
        <is>
          <t>CK</t>
        </is>
      </c>
      <c r="L181" s="182" t="inlineStr">
        <is>
          <t>GL</t>
        </is>
      </c>
      <c r="M181" s="278" t="inlineStr">
        <is>
          <t>'3173</t>
        </is>
      </c>
      <c r="N181" s="181" t="n">
        <v>46295</v>
      </c>
      <c r="O181" s="181" t="n">
        <v>46295</v>
      </c>
      <c r="P181" s="194" t="n">
        <v>16658</v>
      </c>
      <c r="Q181" s="180" t="inlineStr">
        <is>
          <t>Không xác định</t>
        </is>
      </c>
      <c r="R181" s="180" t="inlineStr">
        <is>
          <t>THAOPTT.HCM.VTA</t>
        </is>
      </c>
      <c r="S181" s="182" t="inlineStr">
        <is>
          <t>Not Reversed</t>
        </is>
      </c>
      <c r="T181" s="57">
        <f>IF(OR(LEN(F181)=11,LEN(F181)=15),"Đ","SAI")</f>
        <v/>
      </c>
      <c r="U181" s="529">
        <f>ROUND(H181*I181%,0)-J181</f>
        <v/>
      </c>
      <c r="V181" s="55">
        <f>IF(Q181=$V$12,13313,13311)</f>
        <v/>
      </c>
    </row>
    <row r="182" ht="21.65" customHeight="1" s="344">
      <c r="A182" s="180" t="n">
        <v>165</v>
      </c>
      <c r="B182" s="182" t="inlineStr">
        <is>
          <t>1C26MAA</t>
        </is>
      </c>
      <c r="C182" s="278" t="inlineStr">
        <is>
          <t>'20002</t>
        </is>
      </c>
      <c r="D182" s="181" t="n">
        <v>46279</v>
      </c>
      <c r="E182" s="182" t="inlineStr">
        <is>
          <t>CÔNG TY CỔ PHẦN DU LỊCH CÁP TREO VŨNG TÀU</t>
        </is>
      </c>
      <c r="F182" s="278" t="inlineStr">
        <is>
          <t>'3500550800</t>
        </is>
      </c>
      <c r="G182" s="182" t="inlineStr">
        <is>
          <t>đặt ăn</t>
        </is>
      </c>
      <c r="H182" s="194" t="n">
        <v>8527778</v>
      </c>
      <c r="I182" s="180" t="n">
        <v>8</v>
      </c>
      <c r="J182" s="194" t="n">
        <v>682222</v>
      </c>
      <c r="K182" s="182" t="inlineStr">
        <is>
          <t>CK</t>
        </is>
      </c>
      <c r="L182" s="182" t="inlineStr">
        <is>
          <t>GL</t>
        </is>
      </c>
      <c r="M182" s="278" t="inlineStr">
        <is>
          <t>'3173</t>
        </is>
      </c>
      <c r="N182" s="181" t="n">
        <v>46295</v>
      </c>
      <c r="O182" s="181" t="n">
        <v>46295</v>
      </c>
      <c r="P182" s="194" t="n">
        <v>9210000</v>
      </c>
      <c r="Q182" s="180" t="inlineStr">
        <is>
          <t>Không xác định</t>
        </is>
      </c>
      <c r="R182" s="180" t="inlineStr">
        <is>
          <t>THAOPTT.HCM.VTA</t>
        </is>
      </c>
      <c r="S182" s="182" t="inlineStr">
        <is>
          <t>Not Reversed</t>
        </is>
      </c>
      <c r="T182" s="57">
        <f>IF(OR(LEN(F182)=11,LEN(F182)=15),"Đ","SAI")</f>
        <v/>
      </c>
      <c r="U182" s="529">
        <f>ROUND(H182*I182%,0)-J182</f>
        <v/>
      </c>
      <c r="V182" s="55">
        <f>IF(Q182=$V$12,13313,13311)</f>
        <v/>
      </c>
    </row>
    <row r="183" ht="21.65" customHeight="1" s="344">
      <c r="A183" s="180" t="n">
        <v>166</v>
      </c>
      <c r="B183" s="182" t="inlineStr">
        <is>
          <t>1C26TCD</t>
        </is>
      </c>
      <c r="C183" s="278" t="inlineStr">
        <is>
          <t>'761</t>
        </is>
      </c>
      <c r="D183" s="181" t="n">
        <v>46249</v>
      </c>
      <c r="E183" s="182" t="inlineStr">
        <is>
          <t>CÔNG TY CP NƯỚC TINH KHIẾT CÔN ĐẢO XANH</t>
        </is>
      </c>
      <c r="F183" s="278" t="inlineStr">
        <is>
          <t>'3502519919</t>
        </is>
      </c>
      <c r="G183" s="182" t="inlineStr">
        <is>
          <t>nước uống CBNV</t>
        </is>
      </c>
      <c r="H183" s="194" t="n">
        <v>210000</v>
      </c>
      <c r="I183" s="180" t="n">
        <v>8</v>
      </c>
      <c r="J183" s="194" t="n">
        <v>16800</v>
      </c>
      <c r="K183" s="182" t="inlineStr">
        <is>
          <t>CK</t>
        </is>
      </c>
      <c r="L183" s="182" t="inlineStr">
        <is>
          <t>GL</t>
        </is>
      </c>
      <c r="M183" s="278" t="inlineStr">
        <is>
          <t>'3173</t>
        </is>
      </c>
      <c r="N183" s="181" t="n">
        <v>46295</v>
      </c>
      <c r="O183" s="181" t="n">
        <v>46295</v>
      </c>
      <c r="P183" s="194" t="n">
        <v>226800</v>
      </c>
      <c r="Q183" s="180" t="inlineStr">
        <is>
          <t>Không xác định</t>
        </is>
      </c>
      <c r="R183" s="180" t="inlineStr">
        <is>
          <t>THAOPTT.HCM.VTA</t>
        </is>
      </c>
      <c r="S183" s="182" t="inlineStr">
        <is>
          <t>Not Reversed</t>
        </is>
      </c>
      <c r="T183" s="57">
        <f>IF(OR(LEN(F183)=11,LEN(F183)=15),"Đ","SAI")</f>
        <v/>
      </c>
      <c r="U183" s="529">
        <f>ROUND(H183*I183%,0)-J183</f>
        <v/>
      </c>
      <c r="V183" s="55">
        <f>IF(Q183=$V$12,13313,13311)</f>
        <v/>
      </c>
    </row>
    <row r="184" ht="21.65" customHeight="1" s="344">
      <c r="A184" s="180" t="n">
        <v>167</v>
      </c>
      <c r="B184" s="182" t="inlineStr">
        <is>
          <t>1C26MYY</t>
        </is>
      </c>
      <c r="C184" s="278" t="inlineStr">
        <is>
          <t>'00000296</t>
        </is>
      </c>
      <c r="D184" s="181" t="n">
        <v>46280</v>
      </c>
      <c r="E184" s="182" t="inlineStr">
        <is>
          <t>CÔNG TY TNHH TM DV PHÚC ĐẠT PHÚ MỸ</t>
        </is>
      </c>
      <c r="F184" s="278" t="inlineStr">
        <is>
          <t>'3052493435</t>
        </is>
      </c>
      <c r="G184" s="182" t="inlineStr">
        <is>
          <t>hóa đơn mua ăcquy oto</t>
        </is>
      </c>
      <c r="H184" s="194" t="n">
        <v>3768518</v>
      </c>
      <c r="I184" s="180" t="n">
        <v>8</v>
      </c>
      <c r="J184" s="194" t="n">
        <v>301481</v>
      </c>
      <c r="K184" s="182" t="inlineStr">
        <is>
          <t>CK</t>
        </is>
      </c>
      <c r="L184" s="182" t="inlineStr">
        <is>
          <t>GL</t>
        </is>
      </c>
      <c r="M184" s="278" t="inlineStr">
        <is>
          <t>'3173</t>
        </is>
      </c>
      <c r="N184" s="181" t="n">
        <v>46295</v>
      </c>
      <c r="O184" s="181" t="n">
        <v>46295</v>
      </c>
      <c r="P184" s="194" t="n">
        <v>4069999</v>
      </c>
      <c r="Q184" s="180" t="inlineStr">
        <is>
          <t>Không xác định</t>
        </is>
      </c>
      <c r="R184" s="180" t="inlineStr">
        <is>
          <t>THAOPTT.HCM.VTA</t>
        </is>
      </c>
      <c r="S184" s="182" t="inlineStr">
        <is>
          <t>Not Reversed</t>
        </is>
      </c>
      <c r="T184" s="57">
        <f>IF(OR(LEN(F184)=11,LEN(F184)=15),"Đ","SAI")</f>
        <v/>
      </c>
      <c r="U184" s="529">
        <f>ROUND(H184*I184%,0)-J184</f>
        <v/>
      </c>
      <c r="V184" s="55">
        <f>IF(Q184=$V$12,13313,13311)</f>
        <v/>
      </c>
    </row>
    <row r="185" ht="21.65" customHeight="1" s="344">
      <c r="A185" s="180" t="n">
        <v>168</v>
      </c>
      <c r="B185" s="182" t="inlineStr">
        <is>
          <t>1C26MYY</t>
        </is>
      </c>
      <c r="C185" s="278" t="inlineStr">
        <is>
          <t>'00000297</t>
        </is>
      </c>
      <c r="D185" s="181" t="n">
        <v>46280</v>
      </c>
      <c r="E185" s="182" t="inlineStr">
        <is>
          <t>CÔNG TY TNHH TM DV PHÚC ĐẠT PHÚ MỸ</t>
        </is>
      </c>
      <c r="F185" s="278" t="inlineStr">
        <is>
          <t>'3052493435</t>
        </is>
      </c>
      <c r="G185" s="182" t="inlineStr">
        <is>
          <t>hóa đơn mua ăcquy oto</t>
        </is>
      </c>
      <c r="H185" s="194" t="n">
        <v>7333334</v>
      </c>
      <c r="I185" s="180" t="n">
        <v>8</v>
      </c>
      <c r="J185" s="194" t="n">
        <v>586667</v>
      </c>
      <c r="K185" s="182" t="inlineStr">
        <is>
          <t>CK</t>
        </is>
      </c>
      <c r="L185" s="182" t="inlineStr">
        <is>
          <t>GL</t>
        </is>
      </c>
      <c r="M185" s="278" t="inlineStr">
        <is>
          <t>'3173</t>
        </is>
      </c>
      <c r="N185" s="181" t="n">
        <v>46295</v>
      </c>
      <c r="O185" s="181" t="n">
        <v>46295</v>
      </c>
      <c r="P185" s="194" t="n">
        <v>7920001</v>
      </c>
      <c r="Q185" s="180" t="inlineStr">
        <is>
          <t>Không xác định</t>
        </is>
      </c>
      <c r="R185" s="180" t="inlineStr">
        <is>
          <t>THAOPTT.HCM.VTA</t>
        </is>
      </c>
      <c r="S185" s="182" t="inlineStr">
        <is>
          <t>Not Reversed</t>
        </is>
      </c>
      <c r="T185" s="57">
        <f>IF(OR(LEN(F185)=11,LEN(F185)=15),"Đ","SAI")</f>
        <v/>
      </c>
      <c r="U185" s="529">
        <f>ROUND(H185*I185%,0)-J185</f>
        <v/>
      </c>
      <c r="V185" s="55">
        <f>IF(Q185=$V$12,13313,13311)</f>
        <v/>
      </c>
    </row>
    <row r="186" ht="21.65" customHeight="1" s="344">
      <c r="A186" s="180" t="n">
        <v>169</v>
      </c>
      <c r="B186" s="182" t="inlineStr">
        <is>
          <t>1C26TAT</t>
        </is>
      </c>
      <c r="C186" s="278" t="inlineStr">
        <is>
          <t>'1358</t>
        </is>
      </c>
      <c r="D186" s="181" t="n">
        <v>46280</v>
      </c>
      <c r="E186" s="182" t="inlineStr">
        <is>
          <t>CÔNG TY TNHH VÉ MÁY BAY AN TOÀN VŨNG TÀU</t>
        </is>
      </c>
      <c r="F186" s="278" t="inlineStr">
        <is>
          <t>'3502350959</t>
        </is>
      </c>
      <c r="G186" s="182" t="inlineStr">
        <is>
          <t>vé máy bay</t>
        </is>
      </c>
      <c r="H186" s="194" t="n">
        <v>12101336</v>
      </c>
      <c r="I186" s="180" t="n">
        <v>8</v>
      </c>
      <c r="J186" s="194" t="n">
        <v>968664</v>
      </c>
      <c r="K186" s="182" t="inlineStr">
        <is>
          <t>CK</t>
        </is>
      </c>
      <c r="L186" s="182" t="inlineStr">
        <is>
          <t>GL</t>
        </is>
      </c>
      <c r="M186" s="278" t="inlineStr">
        <is>
          <t>'3173</t>
        </is>
      </c>
      <c r="N186" s="181" t="n">
        <v>46295</v>
      </c>
      <c r="O186" s="181" t="n">
        <v>46295</v>
      </c>
      <c r="P186" s="194" t="n">
        <v>13070000</v>
      </c>
      <c r="Q186" s="180" t="inlineStr">
        <is>
          <t>Không xác định</t>
        </is>
      </c>
      <c r="R186" s="180" t="inlineStr">
        <is>
          <t>THAOPTT.HCM.VTA</t>
        </is>
      </c>
      <c r="S186" s="182" t="inlineStr">
        <is>
          <t>Not Reversed</t>
        </is>
      </c>
      <c r="T186" s="57">
        <f>IF(OR(LEN(F186)=11,LEN(F186)=15),"Đ","SAI")</f>
        <v/>
      </c>
      <c r="U186" s="529">
        <f>ROUND(H186*I186%,0)-J186</f>
        <v/>
      </c>
      <c r="V186" s="55">
        <f>IF(Q186=$V$12,13313,13311)</f>
        <v/>
      </c>
    </row>
    <row r="187" ht="14.4" customHeight="1" s="344">
      <c r="A187" s="180" t="n">
        <v>170</v>
      </c>
      <c r="B187" s="182" t="inlineStr">
        <is>
          <t>1C26MGA</t>
        </is>
      </c>
      <c r="C187" s="278" t="inlineStr">
        <is>
          <t>'16110</t>
        </is>
      </c>
      <c r="D187" s="181" t="n">
        <v>46280</v>
      </c>
      <c r="E187" s="182" t="inlineStr">
        <is>
          <t>DOANH NGHIỆP TƯ NHÂN XĂNG DẦU LONG PHƯỚC</t>
        </is>
      </c>
      <c r="F187" s="278" t="inlineStr">
        <is>
          <t>'3500354108</t>
        </is>
      </c>
      <c r="G187" s="182" t="inlineStr">
        <is>
          <t>ăn uống</t>
        </is>
      </c>
      <c r="H187" s="194" t="n">
        <v>8520065</v>
      </c>
      <c r="I187" s="180" t="n">
        <v>8</v>
      </c>
      <c r="J187" s="194" t="n">
        <v>681605</v>
      </c>
      <c r="K187" s="182" t="inlineStr">
        <is>
          <t>CK</t>
        </is>
      </c>
      <c r="L187" s="182" t="inlineStr">
        <is>
          <t>GL</t>
        </is>
      </c>
      <c r="M187" s="278" t="inlineStr">
        <is>
          <t>'3173</t>
        </is>
      </c>
      <c r="N187" s="181" t="n">
        <v>46295</v>
      </c>
      <c r="O187" s="181" t="n">
        <v>46295</v>
      </c>
      <c r="P187" s="194" t="n">
        <v>9201670</v>
      </c>
      <c r="Q187" s="180" t="inlineStr">
        <is>
          <t>Không xác định</t>
        </is>
      </c>
      <c r="R187" s="180" t="inlineStr">
        <is>
          <t>THAOPTT.HCM.VTA</t>
        </is>
      </c>
      <c r="S187" s="182" t="inlineStr">
        <is>
          <t>Not Reversed</t>
        </is>
      </c>
      <c r="T187" s="57">
        <f>IF(OR(LEN(F187)=11,LEN(F187)=15),"Đ","SAI")</f>
        <v/>
      </c>
      <c r="U187" s="529">
        <f>ROUND(H187*I187%,0)-J187</f>
        <v/>
      </c>
      <c r="V187" s="55">
        <f>IF(Q187=$V$12,13313,13311)</f>
        <v/>
      </c>
    </row>
    <row r="188" ht="14.4" customHeight="1" s="344">
      <c r="A188" s="180" t="n">
        <v>171</v>
      </c>
      <c r="B188" s="182" t="inlineStr">
        <is>
          <t>1C26MAA</t>
        </is>
      </c>
      <c r="C188" s="278" t="inlineStr">
        <is>
          <t>'20005</t>
        </is>
      </c>
      <c r="D188" s="181" t="n">
        <v>46280</v>
      </c>
      <c r="E188" s="182" t="inlineStr">
        <is>
          <t>CÔNG TY CỔ PHẦN DU LỊCH CÁP TREO VŨNG TÀU</t>
        </is>
      </c>
      <c r="F188" s="278" t="inlineStr">
        <is>
          <t>'3500550800</t>
        </is>
      </c>
      <c r="G188" s="182" t="inlineStr">
        <is>
          <t>đặt ăn</t>
        </is>
      </c>
      <c r="H188" s="194" t="n">
        <v>6460185</v>
      </c>
      <c r="I188" s="180" t="n">
        <v>8</v>
      </c>
      <c r="J188" s="194" t="n">
        <v>516815</v>
      </c>
      <c r="K188" s="182" t="inlineStr">
        <is>
          <t>CK</t>
        </is>
      </c>
      <c r="L188" s="182" t="inlineStr">
        <is>
          <t>GL</t>
        </is>
      </c>
      <c r="M188" s="278" t="inlineStr">
        <is>
          <t>'3173</t>
        </is>
      </c>
      <c r="N188" s="181" t="n">
        <v>46295</v>
      </c>
      <c r="O188" s="181" t="n">
        <v>46295</v>
      </c>
      <c r="P188" s="194" t="n">
        <v>6977000</v>
      </c>
      <c r="Q188" s="180" t="inlineStr">
        <is>
          <t>Không xác định</t>
        </is>
      </c>
      <c r="R188" s="180" t="inlineStr">
        <is>
          <t>THAOPTT.HCM.VTA</t>
        </is>
      </c>
      <c r="S188" s="182" t="inlineStr">
        <is>
          <t>Not Reversed</t>
        </is>
      </c>
      <c r="T188" s="57">
        <f>IF(OR(LEN(F188)=11,LEN(F188)=15),"Đ","SAI")</f>
        <v/>
      </c>
      <c r="U188" s="529">
        <f>ROUND(H188*I188%,0)-J188</f>
        <v/>
      </c>
      <c r="V188" s="55">
        <f>IF(Q188=$V$12,13313,13311)</f>
        <v/>
      </c>
    </row>
    <row r="189" ht="14.4" customHeight="1" s="344">
      <c r="A189" s="180" t="n">
        <v>172</v>
      </c>
      <c r="B189" s="182" t="inlineStr">
        <is>
          <t>1C26MAT</t>
        </is>
      </c>
      <c r="C189" s="278" t="inlineStr">
        <is>
          <t>'2960</t>
        </is>
      </c>
      <c r="D189" s="181" t="n">
        <v>46280</v>
      </c>
      <c r="E189" s="182" t="inlineStr">
        <is>
          <t>CÔNG TY TNHH ĐẦU TƯ VÀ PHÁT TRIỂN ẨM THỰC THIÊN HƯƠNG</t>
        </is>
      </c>
      <c r="F189" s="278" t="inlineStr">
        <is>
          <t>'3502547056</t>
        </is>
      </c>
      <c r="G189" s="182" t="inlineStr">
        <is>
          <t>ăn uống</t>
        </is>
      </c>
      <c r="H189" s="194" t="n">
        <v>6020371</v>
      </c>
      <c r="I189" s="180" t="n">
        <v>8</v>
      </c>
      <c r="J189" s="194" t="n">
        <v>481630</v>
      </c>
      <c r="K189" s="182" t="inlineStr">
        <is>
          <t>CK</t>
        </is>
      </c>
      <c r="L189" s="182" t="inlineStr">
        <is>
          <t>GL</t>
        </is>
      </c>
      <c r="M189" s="278" t="inlineStr">
        <is>
          <t>'3173</t>
        </is>
      </c>
      <c r="N189" s="181" t="n">
        <v>46295</v>
      </c>
      <c r="O189" s="181" t="n">
        <v>46295</v>
      </c>
      <c r="P189" s="194" t="n">
        <v>6502001</v>
      </c>
      <c r="Q189" s="180" t="inlineStr">
        <is>
          <t>Không xác định</t>
        </is>
      </c>
      <c r="R189" s="180" t="inlineStr">
        <is>
          <t>THAOPTT.HCM.VTA</t>
        </is>
      </c>
      <c r="S189" s="182" t="inlineStr">
        <is>
          <t>Not Reversed</t>
        </is>
      </c>
      <c r="T189" s="57">
        <f>IF(OR(LEN(F189)=11,LEN(F189)=15),"Đ","SAI")</f>
        <v/>
      </c>
      <c r="U189" s="529">
        <f>ROUND(H189*I189%,0)-J189</f>
        <v/>
      </c>
      <c r="V189" s="55">
        <f>IF(Q189=$V$12,13313,13311)</f>
        <v/>
      </c>
    </row>
    <row r="190" ht="14.4" customHeight="1" s="344">
      <c r="A190" s="180" t="n">
        <v>173</v>
      </c>
      <c r="B190" s="182" t="inlineStr">
        <is>
          <t>1C26MGA</t>
        </is>
      </c>
      <c r="C190" s="278" t="inlineStr">
        <is>
          <t>'16148</t>
        </is>
      </c>
      <c r="D190" s="181" t="n">
        <v>46281</v>
      </c>
      <c r="E190" s="182" t="inlineStr">
        <is>
          <t>DOANH NGHIỆP TƯ NHÂN XĂNG DẦU LONG PHƯỚC</t>
        </is>
      </c>
      <c r="F190" s="278" t="inlineStr">
        <is>
          <t>'3500354108</t>
        </is>
      </c>
      <c r="G190" s="182" t="inlineStr">
        <is>
          <t>ăn uống</t>
        </is>
      </c>
      <c r="H190" s="194" t="n">
        <v>3894111</v>
      </c>
      <c r="I190" s="180" t="n">
        <v>8</v>
      </c>
      <c r="J190" s="194" t="n">
        <v>311529</v>
      </c>
      <c r="K190" s="182" t="inlineStr">
        <is>
          <t>CK</t>
        </is>
      </c>
      <c r="L190" s="182" t="inlineStr">
        <is>
          <t>GL</t>
        </is>
      </c>
      <c r="M190" s="278" t="inlineStr">
        <is>
          <t>'3173</t>
        </is>
      </c>
      <c r="N190" s="181" t="n">
        <v>46295</v>
      </c>
      <c r="O190" s="181" t="n">
        <v>46295</v>
      </c>
      <c r="P190" s="194" t="n">
        <v>4205640</v>
      </c>
      <c r="Q190" s="180" t="inlineStr">
        <is>
          <t>Không xác định</t>
        </is>
      </c>
      <c r="R190" s="180" t="inlineStr">
        <is>
          <t>THAOPTT.HCM.VTA</t>
        </is>
      </c>
      <c r="S190" s="182" t="inlineStr">
        <is>
          <t>Not Reversed</t>
        </is>
      </c>
      <c r="T190" s="57">
        <f>IF(OR(LEN(F190)=11,LEN(F190)=15),"Đ","SAI")</f>
        <v/>
      </c>
      <c r="U190" s="529">
        <f>ROUND(H190*I190%,0)-J190</f>
        <v/>
      </c>
      <c r="V190" s="55">
        <f>IF(Q190=$V$12,13313,13311)</f>
        <v/>
      </c>
    </row>
    <row r="191" ht="14.4" customHeight="1" s="344">
      <c r="A191" s="180" t="n">
        <v>174</v>
      </c>
      <c r="B191" s="182" t="inlineStr">
        <is>
          <t>1C26MGA</t>
        </is>
      </c>
      <c r="C191" s="278" t="inlineStr">
        <is>
          <t>'16148</t>
        </is>
      </c>
      <c r="D191" s="181" t="n">
        <v>46281</v>
      </c>
      <c r="E191" s="182" t="inlineStr">
        <is>
          <t>DOANH NGHIỆP TƯ NHÂN XĂNG DẦU LONG PHƯỚC</t>
        </is>
      </c>
      <c r="F191" s="278" t="inlineStr">
        <is>
          <t>'3500354108</t>
        </is>
      </c>
      <c r="G191" s="182" t="inlineStr">
        <is>
          <t>ăn uống</t>
        </is>
      </c>
      <c r="H191" s="194" t="n">
        <v>48000</v>
      </c>
      <c r="I191" s="180" t="n">
        <v>10</v>
      </c>
      <c r="J191" s="194" t="n">
        <v>4800</v>
      </c>
      <c r="K191" s="182" t="inlineStr">
        <is>
          <t>CK</t>
        </is>
      </c>
      <c r="L191" s="182" t="inlineStr">
        <is>
          <t>GL</t>
        </is>
      </c>
      <c r="M191" s="278" t="inlineStr">
        <is>
          <t>'3173</t>
        </is>
      </c>
      <c r="N191" s="181" t="n">
        <v>46295</v>
      </c>
      <c r="O191" s="181" t="n">
        <v>46295</v>
      </c>
      <c r="P191" s="194" t="n">
        <v>52800</v>
      </c>
      <c r="Q191" s="180" t="inlineStr">
        <is>
          <t>Không xác định</t>
        </is>
      </c>
      <c r="R191" s="180" t="inlineStr">
        <is>
          <t>THAOPTT.HCM.VTA</t>
        </is>
      </c>
      <c r="S191" s="182" t="inlineStr">
        <is>
          <t>Not Reversed</t>
        </is>
      </c>
      <c r="T191" s="57">
        <f>IF(OR(LEN(F191)=11,LEN(F191)=15),"Đ","SAI")</f>
        <v/>
      </c>
      <c r="U191" s="529">
        <f>ROUND(H191*I191%,0)-J191</f>
        <v/>
      </c>
      <c r="V191" s="55">
        <f>IF(Q191=$V$12,13313,13311)</f>
        <v/>
      </c>
    </row>
    <row r="192" ht="14.4" customHeight="1" s="344">
      <c r="A192" s="180" t="n">
        <v>175</v>
      </c>
      <c r="B192" s="182" t="inlineStr">
        <is>
          <t>1K26TPM</t>
        </is>
      </c>
      <c r="C192" s="278" t="inlineStr">
        <is>
          <t>'254145</t>
        </is>
      </c>
      <c r="D192" s="181" t="n">
        <v>46281</v>
      </c>
      <c r="E192" s="182" t="inlineStr">
        <is>
          <t>CÔNG TY CỔ PHẦN CẤP NƯỚC PHÚ MỸ</t>
        </is>
      </c>
      <c r="F192" s="278" t="inlineStr">
        <is>
          <t>'3500677525</t>
        </is>
      </c>
      <c r="G192" s="182" t="inlineStr">
        <is>
          <t>tiền nước sinh hoạt tháng 09-2026</t>
        </is>
      </c>
      <c r="H192" s="194" t="n">
        <v>536000</v>
      </c>
      <c r="I192" s="180" t="n">
        <v>5</v>
      </c>
      <c r="J192" s="194" t="n">
        <v>26800</v>
      </c>
      <c r="K192" s="182" t="inlineStr">
        <is>
          <t>CK</t>
        </is>
      </c>
      <c r="L192" s="182" t="inlineStr">
        <is>
          <t>GL</t>
        </is>
      </c>
      <c r="M192" s="278" t="inlineStr">
        <is>
          <t>'3173</t>
        </is>
      </c>
      <c r="N192" s="181" t="n">
        <v>46295</v>
      </c>
      <c r="O192" s="181" t="n">
        <v>46295</v>
      </c>
      <c r="P192" s="194" t="n">
        <v>562800</v>
      </c>
      <c r="Q192" s="180" t="inlineStr">
        <is>
          <t>Không xác định</t>
        </is>
      </c>
      <c r="R192" s="180" t="inlineStr">
        <is>
          <t>THAOPTT.HCM.VTA</t>
        </is>
      </c>
      <c r="S192" s="182" t="inlineStr">
        <is>
          <t>Not Reversed</t>
        </is>
      </c>
      <c r="T192" s="57">
        <f>IF(OR(LEN(F192)=11,LEN(F192)=15),"Đ","SAI")</f>
        <v/>
      </c>
      <c r="U192" s="529">
        <f>ROUND(H192*I192%,0)-J192</f>
        <v/>
      </c>
      <c r="V192" s="55">
        <f>IF(Q192=$V$12,13313,13311)</f>
        <v/>
      </c>
    </row>
    <row r="193" ht="14.4" customHeight="1" s="344">
      <c r="A193" s="180" t="n">
        <v>176</v>
      </c>
      <c r="B193" s="182" t="inlineStr">
        <is>
          <t>1C26MST</t>
        </is>
      </c>
      <c r="C193" s="278" t="inlineStr">
        <is>
          <t>'3913</t>
        </is>
      </c>
      <c r="D193" s="181" t="n">
        <v>46281</v>
      </c>
      <c r="E193" s="182" t="inlineStr">
        <is>
          <t>CÔNG TY TRÁCH NHIỆM HỮU HẠN HỒNG THANH</t>
        </is>
      </c>
      <c r="F193" s="278" t="inlineStr">
        <is>
          <t>'3500405761</t>
        </is>
      </c>
      <c r="G193" s="182" t="inlineStr">
        <is>
          <t>đồ dùng vệ sinh T09-2026</t>
        </is>
      </c>
      <c r="H193" s="194" t="n">
        <v>95238</v>
      </c>
      <c r="I193" s="180" t="n">
        <v>5</v>
      </c>
      <c r="J193" s="194" t="n">
        <v>4762</v>
      </c>
      <c r="K193" s="182" t="inlineStr">
        <is>
          <t>CK</t>
        </is>
      </c>
      <c r="L193" s="182" t="inlineStr">
        <is>
          <t>GL</t>
        </is>
      </c>
      <c r="M193" s="278" t="inlineStr">
        <is>
          <t>'3173</t>
        </is>
      </c>
      <c r="N193" s="181" t="n">
        <v>46295</v>
      </c>
      <c r="O193" s="181" t="n">
        <v>46295</v>
      </c>
      <c r="P193" s="194" t="n">
        <v>100000</v>
      </c>
      <c r="Q193" s="180" t="inlineStr">
        <is>
          <t>Không xác định</t>
        </is>
      </c>
      <c r="R193" s="180" t="inlineStr">
        <is>
          <t>THAOPTT.HCM.VTA</t>
        </is>
      </c>
      <c r="S193" s="182" t="inlineStr">
        <is>
          <t>Not Reversed</t>
        </is>
      </c>
      <c r="T193" s="57">
        <f>IF(OR(LEN(F193)=11,LEN(F193)=15),"Đ","SAI")</f>
        <v/>
      </c>
      <c r="U193" s="529">
        <f>ROUND(H193*I193%,0)-J193</f>
        <v/>
      </c>
      <c r="V193" s="55">
        <f>IF(Q193=$V$12,13313,13311)</f>
        <v/>
      </c>
    </row>
    <row r="194" ht="14.4" customHeight="1" s="344">
      <c r="A194" s="180" t="n">
        <v>177</v>
      </c>
      <c r="B194" s="182" t="inlineStr">
        <is>
          <t>1C26MST</t>
        </is>
      </c>
      <c r="C194" s="278" t="inlineStr">
        <is>
          <t>'3913</t>
        </is>
      </c>
      <c r="D194" s="181" t="n">
        <v>46281</v>
      </c>
      <c r="E194" s="182" t="inlineStr">
        <is>
          <t>CÔNG TY TRÁCH NHIỆM HỮU HẠN HỒNG THANH</t>
        </is>
      </c>
      <c r="F194" s="278" t="inlineStr">
        <is>
          <t>'3500405761</t>
        </is>
      </c>
      <c r="G194" s="182" t="inlineStr">
        <is>
          <t>đồ dùng vệ sinh T09-2026</t>
        </is>
      </c>
      <c r="H194" s="194" t="n">
        <v>15074117</v>
      </c>
      <c r="I194" s="180" t="n">
        <v>8</v>
      </c>
      <c r="J194" s="194" t="n">
        <v>1205931</v>
      </c>
      <c r="K194" s="182" t="inlineStr">
        <is>
          <t>CK</t>
        </is>
      </c>
      <c r="L194" s="182" t="inlineStr">
        <is>
          <t>GL</t>
        </is>
      </c>
      <c r="M194" s="278" t="inlineStr">
        <is>
          <t>'3173</t>
        </is>
      </c>
      <c r="N194" s="181" t="n">
        <v>46295</v>
      </c>
      <c r="O194" s="181" t="n">
        <v>46295</v>
      </c>
      <c r="P194" s="194" t="n">
        <v>16280048</v>
      </c>
      <c r="Q194" s="180" t="inlineStr">
        <is>
          <t>Không xác định</t>
        </is>
      </c>
      <c r="R194" s="180" t="inlineStr">
        <is>
          <t>THAOPTT.HCM.VTA</t>
        </is>
      </c>
      <c r="S194" s="182" t="inlineStr">
        <is>
          <t>Not Reversed</t>
        </is>
      </c>
      <c r="T194" s="57">
        <f>IF(OR(LEN(F194)=11,LEN(F194)=15),"Đ","SAI")</f>
        <v/>
      </c>
      <c r="U194" s="529">
        <f>ROUND(H194*I194%,0)-J194</f>
        <v/>
      </c>
      <c r="V194" s="55">
        <f>IF(Q194=$V$12,13313,13311)</f>
        <v/>
      </c>
    </row>
    <row r="195" ht="14.4" customHeight="1" s="344">
      <c r="A195" s="180" t="n">
        <v>178</v>
      </c>
      <c r="B195" s="182" t="inlineStr">
        <is>
          <t>1C26MGB</t>
        </is>
      </c>
      <c r="C195" s="278" t="inlineStr">
        <is>
          <t>'00016194</t>
        </is>
      </c>
      <c r="D195" s="181" t="n">
        <v>46282</v>
      </c>
      <c r="E195" s="182" t="inlineStr">
        <is>
          <t>DOANH NGHIỆP TƯ NHÂN XĂNG DẦU LONG PHƯỚC</t>
        </is>
      </c>
      <c r="F195" s="278" t="inlineStr">
        <is>
          <t>'3500354108</t>
        </is>
      </c>
      <c r="G195" s="182" t="inlineStr">
        <is>
          <t>đặt ăn</t>
        </is>
      </c>
      <c r="H195" s="194" t="n">
        <v>112000</v>
      </c>
      <c r="I195" s="180" t="n">
        <v>10</v>
      </c>
      <c r="J195" s="194" t="n">
        <v>11200</v>
      </c>
      <c r="K195" s="182" t="inlineStr">
        <is>
          <t>CK</t>
        </is>
      </c>
      <c r="L195" s="182" t="inlineStr">
        <is>
          <t>GL</t>
        </is>
      </c>
      <c r="M195" s="278" t="inlineStr">
        <is>
          <t>'3173</t>
        </is>
      </c>
      <c r="N195" s="181" t="n">
        <v>46295</v>
      </c>
      <c r="O195" s="181" t="n">
        <v>46295</v>
      </c>
      <c r="P195" s="194" t="n">
        <v>123200</v>
      </c>
      <c r="Q195" s="180" t="inlineStr">
        <is>
          <t>Không xác định</t>
        </is>
      </c>
      <c r="R195" s="180" t="inlineStr">
        <is>
          <t>THAOPTT.HCM.VTA</t>
        </is>
      </c>
      <c r="S195" s="182" t="inlineStr">
        <is>
          <t>Not Reversed</t>
        </is>
      </c>
      <c r="T195" s="57">
        <f>IF(OR(LEN(F195)=11,LEN(F195)=15),"Đ","SAI")</f>
        <v/>
      </c>
      <c r="U195" s="529">
        <f>ROUND(H195*I195%,0)-J195</f>
        <v/>
      </c>
      <c r="V195" s="55">
        <f>IF(Q195=$V$12,13313,13311)</f>
        <v/>
      </c>
    </row>
    <row r="196" ht="14.4" customHeight="1" s="344">
      <c r="A196" s="180" t="n">
        <v>179</v>
      </c>
      <c r="B196" s="182" t="inlineStr">
        <is>
          <t>1C26MGB</t>
        </is>
      </c>
      <c r="C196" s="278" t="inlineStr">
        <is>
          <t>'00016194</t>
        </is>
      </c>
      <c r="D196" s="181" t="n">
        <v>46282</v>
      </c>
      <c r="E196" s="182" t="inlineStr">
        <is>
          <t>DOANH NGHIỆP TƯ NHÂN XĂNG DẦU LONG PHƯỚC</t>
        </is>
      </c>
      <c r="F196" s="278" t="inlineStr">
        <is>
          <t>'3500354108</t>
        </is>
      </c>
      <c r="G196" s="182" t="inlineStr">
        <is>
          <t>đặt ăn</t>
        </is>
      </c>
      <c r="H196" s="194" t="n">
        <v>8851685</v>
      </c>
      <c r="I196" s="180" t="n">
        <v>8</v>
      </c>
      <c r="J196" s="194" t="n">
        <v>708135</v>
      </c>
      <c r="K196" s="182" t="inlineStr">
        <is>
          <t>CK</t>
        </is>
      </c>
      <c r="L196" s="182" t="inlineStr">
        <is>
          <t>GL</t>
        </is>
      </c>
      <c r="M196" s="278" t="inlineStr">
        <is>
          <t>'3173</t>
        </is>
      </c>
      <c r="N196" s="181" t="n">
        <v>46295</v>
      </c>
      <c r="O196" s="181" t="n">
        <v>46295</v>
      </c>
      <c r="P196" s="194" t="n">
        <v>9559820</v>
      </c>
      <c r="Q196" s="180" t="inlineStr">
        <is>
          <t>Không xác định</t>
        </is>
      </c>
      <c r="R196" s="180" t="inlineStr">
        <is>
          <t>THAOPTT.HCM.VTA</t>
        </is>
      </c>
      <c r="S196" s="182" t="inlineStr">
        <is>
          <t>Not Reversed</t>
        </is>
      </c>
      <c r="T196" s="57">
        <f>IF(OR(LEN(F196)=11,LEN(F196)=15),"Đ","SAI")</f>
        <v/>
      </c>
      <c r="U196" s="529">
        <f>ROUND(H196*I196%,0)-J196</f>
        <v/>
      </c>
      <c r="V196" s="55">
        <f>IF(Q196=$V$12,13313,13311)</f>
        <v/>
      </c>
    </row>
    <row r="197" ht="21.65" customHeight="1" s="344">
      <c r="A197" s="180" t="n">
        <v>180</v>
      </c>
      <c r="B197" s="182" t="inlineStr">
        <is>
          <t>1K26TAA</t>
        </is>
      </c>
      <c r="C197" s="278" t="inlineStr">
        <is>
          <t>'1595636</t>
        </is>
      </c>
      <c r="D197" s="181" t="n">
        <v>46282</v>
      </c>
      <c r="E197" s="182" t="inlineStr">
        <is>
          <t>CÔNG TY CỔ PHẦN CẤP NƯỚC BRVT</t>
        </is>
      </c>
      <c r="F197" s="278" t="inlineStr">
        <is>
          <t>'3500101386</t>
        </is>
      </c>
      <c r="G197" s="182" t="inlineStr">
        <is>
          <t>tiền nước T09-26</t>
        </is>
      </c>
      <c r="H197" s="194" t="n">
        <v>6217600</v>
      </c>
      <c r="I197" s="180" t="n">
        <v>5</v>
      </c>
      <c r="J197" s="194" t="n">
        <v>310880</v>
      </c>
      <c r="K197" s="182" t="inlineStr">
        <is>
          <t>CK</t>
        </is>
      </c>
      <c r="L197" s="182" t="inlineStr">
        <is>
          <t>GL</t>
        </is>
      </c>
      <c r="M197" s="278" t="inlineStr">
        <is>
          <t>'3173</t>
        </is>
      </c>
      <c r="N197" s="181" t="n">
        <v>46295</v>
      </c>
      <c r="O197" s="181" t="n">
        <v>46295</v>
      </c>
      <c r="P197" s="194" t="n">
        <v>6528480</v>
      </c>
      <c r="Q197" s="180" t="inlineStr">
        <is>
          <t>Không xác định</t>
        </is>
      </c>
      <c r="R197" s="180" t="inlineStr">
        <is>
          <t>THAOPTT.HCM.VTA</t>
        </is>
      </c>
      <c r="S197" s="182" t="inlineStr">
        <is>
          <t>Not Reversed</t>
        </is>
      </c>
      <c r="T197" s="57">
        <f>IF(OR(LEN(F197)=11,LEN(F197)=15),"Đ","SAI")</f>
        <v/>
      </c>
      <c r="U197" s="529">
        <f>ROUND(H197*I197%,0)-J197</f>
        <v/>
      </c>
      <c r="V197" s="55">
        <f>IF(Q197=$V$12,13313,13311)</f>
        <v/>
      </c>
    </row>
    <row r="198" ht="21.65" customHeight="1" s="344">
      <c r="A198" s="180" t="n">
        <v>181</v>
      </c>
      <c r="B198" s="182" t="inlineStr">
        <is>
          <t>1K26TAA</t>
        </is>
      </c>
      <c r="C198" s="278" t="inlineStr">
        <is>
          <t>'1595636</t>
        </is>
      </c>
      <c r="D198" s="181" t="n">
        <v>46282</v>
      </c>
      <c r="E198" s="182" t="inlineStr">
        <is>
          <t>CÔNG TY CỔ PHẦN CẤP NƯỚC BRVT</t>
        </is>
      </c>
      <c r="F198" s="278" t="inlineStr">
        <is>
          <t>'3500101386</t>
        </is>
      </c>
      <c r="G198" s="182" t="inlineStr">
        <is>
          <t>tiền nước T09-26</t>
        </is>
      </c>
      <c r="H198" s="194" t="n">
        <v>2861152</v>
      </c>
      <c r="I198" s="180" t="n">
        <v>8</v>
      </c>
      <c r="J198" s="194" t="n">
        <v>228892</v>
      </c>
      <c r="K198" s="182" t="inlineStr">
        <is>
          <t>CK</t>
        </is>
      </c>
      <c r="L198" s="182" t="inlineStr">
        <is>
          <t>GL</t>
        </is>
      </c>
      <c r="M198" s="278" t="inlineStr">
        <is>
          <t>'3173</t>
        </is>
      </c>
      <c r="N198" s="181" t="n">
        <v>46295</v>
      </c>
      <c r="O198" s="181" t="n">
        <v>46295</v>
      </c>
      <c r="P198" s="194" t="n">
        <v>3090044</v>
      </c>
      <c r="Q198" s="180" t="inlineStr">
        <is>
          <t>Không xác định</t>
        </is>
      </c>
      <c r="R198" s="180" t="inlineStr">
        <is>
          <t>THAOPTT.HCM.VTA</t>
        </is>
      </c>
      <c r="S198" s="182" t="inlineStr">
        <is>
          <t>Not Reversed</t>
        </is>
      </c>
      <c r="T198" s="57">
        <f>IF(OR(LEN(F198)=11,LEN(F198)=15),"Đ","SAI")</f>
        <v/>
      </c>
      <c r="U198" s="529">
        <f>ROUND(H198*I198%,0)-J198</f>
        <v/>
      </c>
      <c r="V198" s="55">
        <f>IF(Q198=$V$12,13313,13311)</f>
        <v/>
      </c>
    </row>
    <row r="199" ht="14.4" customHeight="1" s="344">
      <c r="A199" s="180" t="n">
        <v>182</v>
      </c>
      <c r="B199" s="182" t="inlineStr">
        <is>
          <t>1C26MLN</t>
        </is>
      </c>
      <c r="C199" s="278" t="inlineStr">
        <is>
          <t>'734</t>
        </is>
      </c>
      <c r="D199" s="181" t="n">
        <v>46253</v>
      </c>
      <c r="E199" s="182" t="inlineStr">
        <is>
          <t>DNTN THƯƠNG MẠI LƯƠNG NHÂN</t>
        </is>
      </c>
      <c r="F199" s="278" t="inlineStr">
        <is>
          <t>'3502224312</t>
        </is>
      </c>
      <c r="G199" s="182" t="inlineStr">
        <is>
          <t>tea break</t>
        </is>
      </c>
      <c r="H199" s="194" t="n">
        <v>250000</v>
      </c>
      <c r="I199" s="180" t="n">
        <v>8</v>
      </c>
      <c r="J199" s="194" t="n">
        <v>20000</v>
      </c>
      <c r="K199" s="182" t="inlineStr">
        <is>
          <t>CK</t>
        </is>
      </c>
      <c r="L199" s="182" t="inlineStr">
        <is>
          <t>GL</t>
        </is>
      </c>
      <c r="M199" s="278" t="inlineStr">
        <is>
          <t>'3173</t>
        </is>
      </c>
      <c r="N199" s="181" t="n">
        <v>46295</v>
      </c>
      <c r="O199" s="181" t="n">
        <v>46295</v>
      </c>
      <c r="P199" s="194" t="n">
        <v>270000</v>
      </c>
      <c r="Q199" s="180" t="inlineStr">
        <is>
          <t>Không xác định</t>
        </is>
      </c>
      <c r="R199" s="180" t="inlineStr">
        <is>
          <t>THAOPTT.HCM.VTA</t>
        </is>
      </c>
      <c r="S199" s="182" t="inlineStr">
        <is>
          <t>Not Reversed</t>
        </is>
      </c>
      <c r="T199" s="57">
        <f>IF(OR(LEN(F199)=11,LEN(F199)=15),"Đ","SAI")</f>
        <v/>
      </c>
      <c r="U199" s="529">
        <f>ROUND(H199*I199%,0)-J199</f>
        <v/>
      </c>
      <c r="V199" s="55">
        <f>IF(Q199=$V$12,13313,13311)</f>
        <v/>
      </c>
    </row>
    <row r="200" ht="21.65" customHeight="1" s="344">
      <c r="A200" s="180" t="n">
        <v>183</v>
      </c>
      <c r="B200" s="182" t="inlineStr">
        <is>
          <t>1C26MQC</t>
        </is>
      </c>
      <c r="C200" s="278" t="inlineStr">
        <is>
          <t>'00000330</t>
        </is>
      </c>
      <c r="D200" s="181" t="n">
        <v>46254</v>
      </c>
      <c r="E200" s="182" t="inlineStr">
        <is>
          <t>TỔNG CÔNG TY HÀNG KHÔNG VIỆT NAM - CTCP</t>
        </is>
      </c>
      <c r="F200" s="278" t="inlineStr">
        <is>
          <t>'3502519309</t>
        </is>
      </c>
      <c r="G200" s="182" t="inlineStr">
        <is>
          <t>vé máy bay</t>
        </is>
      </c>
      <c r="H200" s="194" t="n">
        <v>462963</v>
      </c>
      <c r="I200" s="180" t="n">
        <v>8</v>
      </c>
      <c r="J200" s="194" t="n">
        <v>37037</v>
      </c>
      <c r="K200" s="182" t="inlineStr">
        <is>
          <t>CK</t>
        </is>
      </c>
      <c r="L200" s="182" t="inlineStr">
        <is>
          <t>GL</t>
        </is>
      </c>
      <c r="M200" s="278" t="inlineStr">
        <is>
          <t>'3173</t>
        </is>
      </c>
      <c r="N200" s="181" t="n">
        <v>46295</v>
      </c>
      <c r="O200" s="181" t="n">
        <v>46295</v>
      </c>
      <c r="P200" s="194" t="n">
        <v>500000</v>
      </c>
      <c r="Q200" s="180" t="inlineStr">
        <is>
          <t>Không xác định</t>
        </is>
      </c>
      <c r="R200" s="180" t="inlineStr">
        <is>
          <t>THAOPTT.HCM.VTA</t>
        </is>
      </c>
      <c r="S200" s="182" t="inlineStr">
        <is>
          <t>Not Reversed</t>
        </is>
      </c>
      <c r="T200" s="57">
        <f>IF(OR(LEN(F200)=11,LEN(F200)=15),"Đ","SAI")</f>
        <v/>
      </c>
      <c r="U200" s="529">
        <f>ROUND(H200*I200%,0)-J200</f>
        <v/>
      </c>
      <c r="V200" s="55">
        <f>IF(Q200=$V$12,13313,13311)</f>
        <v/>
      </c>
    </row>
    <row r="201" ht="21.65" customHeight="1" s="344">
      <c r="A201" s="180" t="n">
        <v>184</v>
      </c>
      <c r="B201" s="182" t="inlineStr">
        <is>
          <t>1C26MVM</t>
        </is>
      </c>
      <c r="C201" s="278" t="inlineStr">
        <is>
          <t>'3672814</t>
        </is>
      </c>
      <c r="D201" s="181" t="n">
        <v>46254</v>
      </c>
      <c r="E201" s="182" t="inlineStr">
        <is>
          <t>CÔNG TY CỔ PHẦN SỮA VIỆT NAM</t>
        </is>
      </c>
      <c r="F201" s="278" t="inlineStr">
        <is>
          <t>'0300588569</t>
        </is>
      </c>
      <c r="G201" s="182" t="inlineStr">
        <is>
          <t>tea break</t>
        </is>
      </c>
      <c r="H201" s="194" t="n">
        <v>472500</v>
      </c>
      <c r="I201" s="180" t="n">
        <v>8</v>
      </c>
      <c r="J201" s="194" t="n">
        <v>37800</v>
      </c>
      <c r="K201" s="182" t="inlineStr">
        <is>
          <t>CK</t>
        </is>
      </c>
      <c r="L201" s="182" t="inlineStr">
        <is>
          <t>GL</t>
        </is>
      </c>
      <c r="M201" s="278" t="inlineStr">
        <is>
          <t>'3173</t>
        </is>
      </c>
      <c r="N201" s="181" t="n">
        <v>46295</v>
      </c>
      <c r="O201" s="181" t="n">
        <v>46295</v>
      </c>
      <c r="P201" s="194" t="n">
        <v>510300</v>
      </c>
      <c r="Q201" s="180" t="inlineStr">
        <is>
          <t>Không xác định</t>
        </is>
      </c>
      <c r="R201" s="180" t="inlineStr">
        <is>
          <t>THAOPTT.HCM.VTA</t>
        </is>
      </c>
      <c r="S201" s="182" t="inlineStr">
        <is>
          <t>Not Reversed</t>
        </is>
      </c>
      <c r="T201" s="57">
        <f>IF(OR(LEN(F201)=11,LEN(F201)=15),"Đ","SAI")</f>
        <v/>
      </c>
      <c r="U201" s="529">
        <f>ROUND(H201*I201%,0)-J201</f>
        <v/>
      </c>
      <c r="V201" s="55">
        <f>IF(Q201=$V$12,13313,13311)</f>
        <v/>
      </c>
    </row>
    <row r="202" ht="14.4" customHeight="1" s="344">
      <c r="A202" s="180" t="n">
        <v>185</v>
      </c>
      <c r="B202" s="182" t="inlineStr">
        <is>
          <t>1C26TDT</t>
        </is>
      </c>
      <c r="C202" s="278" t="inlineStr">
        <is>
          <t>'125</t>
        </is>
      </c>
      <c r="D202" s="181" t="n">
        <v>46255</v>
      </c>
      <c r="E202" s="182" t="inlineStr">
        <is>
          <t>CÔNG TY TNHH THƯƠNG MẠI VÀ DỊCH VỤ KỸ THUẬT ĐỨC TOÀN</t>
        </is>
      </c>
      <c r="F202" s="278" t="inlineStr">
        <is>
          <t>'3502397026</t>
        </is>
      </c>
      <c r="G202" s="182" t="inlineStr">
        <is>
          <t>thuê máy photo tháng 08-2026</t>
        </is>
      </c>
      <c r="H202" s="194" t="n">
        <v>6104118</v>
      </c>
      <c r="I202" s="180" t="n">
        <v>8</v>
      </c>
      <c r="J202" s="194" t="n">
        <v>488330</v>
      </c>
      <c r="K202" s="182" t="inlineStr">
        <is>
          <t>CK</t>
        </is>
      </c>
      <c r="L202" s="182" t="inlineStr">
        <is>
          <t>GL</t>
        </is>
      </c>
      <c r="M202" s="278" t="inlineStr">
        <is>
          <t>'3173</t>
        </is>
      </c>
      <c r="N202" s="181" t="n">
        <v>46295</v>
      </c>
      <c r="O202" s="181" t="n">
        <v>46295</v>
      </c>
      <c r="P202" s="194" t="n">
        <v>6592448</v>
      </c>
      <c r="Q202" s="180" t="inlineStr">
        <is>
          <t>Không xác định</t>
        </is>
      </c>
      <c r="R202" s="180" t="inlineStr">
        <is>
          <t>THAOPTT.HCM.VTA</t>
        </is>
      </c>
      <c r="S202" s="182" t="inlineStr">
        <is>
          <t>Not Reversed</t>
        </is>
      </c>
      <c r="T202" s="57">
        <f>IF(OR(LEN(F202)=11,LEN(F202)=15),"Đ","SAI")</f>
        <v/>
      </c>
      <c r="U202" s="529">
        <f>ROUND(H202*I202%,0)-J202</f>
        <v/>
      </c>
      <c r="V202" s="55">
        <f>IF(Q202=$V$12,13313,13311)</f>
        <v/>
      </c>
    </row>
    <row r="203" ht="14.4" customHeight="1" s="344">
      <c r="A203" s="180" t="n">
        <v>186</v>
      </c>
      <c r="B203" s="182" t="inlineStr">
        <is>
          <t>1C26TDT</t>
        </is>
      </c>
      <c r="C203" s="278" t="inlineStr">
        <is>
          <t>'126</t>
        </is>
      </c>
      <c r="D203" s="181" t="n">
        <v>46255</v>
      </c>
      <c r="E203" s="182" t="inlineStr">
        <is>
          <t>CÔNG TY TNHH THƯƠNG MẠI VÀ DỊCH VỤ KỸ THUẬT ĐỨC TOÀN</t>
        </is>
      </c>
      <c r="F203" s="278" t="inlineStr">
        <is>
          <t>'3502397026</t>
        </is>
      </c>
      <c r="G203" s="182" t="inlineStr">
        <is>
          <t>thuê máy photo tháng 08-2026</t>
        </is>
      </c>
      <c r="H203" s="194" t="n">
        <v>5906607</v>
      </c>
      <c r="I203" s="180" t="n">
        <v>8</v>
      </c>
      <c r="J203" s="194" t="n">
        <v>472529</v>
      </c>
      <c r="K203" s="182" t="inlineStr">
        <is>
          <t>CK</t>
        </is>
      </c>
      <c r="L203" s="182" t="inlineStr">
        <is>
          <t>GL</t>
        </is>
      </c>
      <c r="M203" s="278" t="inlineStr">
        <is>
          <t>'3173</t>
        </is>
      </c>
      <c r="N203" s="181" t="n">
        <v>46295</v>
      </c>
      <c r="O203" s="181" t="n">
        <v>46295</v>
      </c>
      <c r="P203" s="194" t="n">
        <v>6379136</v>
      </c>
      <c r="Q203" s="180" t="inlineStr">
        <is>
          <t>Không xác định</t>
        </is>
      </c>
      <c r="R203" s="180" t="inlineStr">
        <is>
          <t>THAOPTT.HCM.VTA</t>
        </is>
      </c>
      <c r="S203" s="182" t="inlineStr">
        <is>
          <t>Not Reversed</t>
        </is>
      </c>
      <c r="T203" s="57">
        <f>IF(OR(LEN(F203)=11,LEN(F203)=15),"Đ","SAI")</f>
        <v/>
      </c>
      <c r="U203" s="529">
        <f>ROUND(H203*I203%,0)-J203</f>
        <v/>
      </c>
      <c r="V203" s="55">
        <f>IF(Q203=$V$12,13313,13311)</f>
        <v/>
      </c>
    </row>
    <row r="204" ht="21.65" customHeight="1" s="344">
      <c r="A204" s="180" t="n">
        <v>187</v>
      </c>
      <c r="B204" s="182" t="inlineStr">
        <is>
          <t>1C26TDT</t>
        </is>
      </c>
      <c r="C204" s="278" t="inlineStr">
        <is>
          <t>'127</t>
        </is>
      </c>
      <c r="D204" s="181" t="n">
        <v>46255</v>
      </c>
      <c r="E204" s="182" t="inlineStr">
        <is>
          <t>CÔNG TY TNHH THƯƠNG MẠI VÀ DỊCH VỤ KỸ THUẬT ĐỨC TOÀN</t>
        </is>
      </c>
      <c r="F204" s="278" t="inlineStr">
        <is>
          <t>'3502397026</t>
        </is>
      </c>
      <c r="G204" s="182" t="inlineStr">
        <is>
          <t>thuê máy photo tháng 08-2026</t>
        </is>
      </c>
      <c r="H204" s="194" t="n">
        <v>4633663</v>
      </c>
      <c r="I204" s="180" t="n">
        <v>8</v>
      </c>
      <c r="J204" s="194" t="n">
        <v>370693</v>
      </c>
      <c r="K204" s="182" t="inlineStr">
        <is>
          <t>CK</t>
        </is>
      </c>
      <c r="L204" s="182" t="inlineStr">
        <is>
          <t>GL</t>
        </is>
      </c>
      <c r="M204" s="278" t="inlineStr">
        <is>
          <t>'3173</t>
        </is>
      </c>
      <c r="N204" s="181" t="n">
        <v>46295</v>
      </c>
      <c r="O204" s="181" t="n">
        <v>46295</v>
      </c>
      <c r="P204" s="194" t="n">
        <v>5004356</v>
      </c>
      <c r="Q204" s="180" t="inlineStr">
        <is>
          <t>Không xác định</t>
        </is>
      </c>
      <c r="R204" s="180" t="inlineStr">
        <is>
          <t>THAOPTT.HCM.VTA</t>
        </is>
      </c>
      <c r="S204" s="182" t="inlineStr">
        <is>
          <t>Not Reversed</t>
        </is>
      </c>
      <c r="T204" s="57">
        <f>IF(OR(LEN(F204)=11,LEN(F204)=15),"Đ","SAI")</f>
        <v/>
      </c>
      <c r="U204" s="529">
        <f>ROUND(H204*I204%,0)-J204</f>
        <v/>
      </c>
      <c r="V204" s="55">
        <f>IF(Q204=$V$12,13313,13311)</f>
        <v/>
      </c>
    </row>
    <row r="205" ht="14.4" customHeight="1" s="344">
      <c r="A205" s="180" t="n">
        <v>188</v>
      </c>
      <c r="B205" s="182" t="inlineStr">
        <is>
          <t>1C26TDT</t>
        </is>
      </c>
      <c r="C205" s="278" t="inlineStr">
        <is>
          <t>'128</t>
        </is>
      </c>
      <c r="D205" s="181" t="n">
        <v>46255</v>
      </c>
      <c r="E205" s="182" t="inlineStr">
        <is>
          <t>CÔNG TY TNHH THƯƠNG MẠI VÀ DỊCH VỤ KỸ THUẬT ĐỨC TOÀN</t>
        </is>
      </c>
      <c r="F205" s="278" t="inlineStr">
        <is>
          <t>'3502397026</t>
        </is>
      </c>
      <c r="G205" s="182" t="inlineStr">
        <is>
          <t>thuê máy photo tháng 08-2026</t>
        </is>
      </c>
      <c r="H205" s="194" t="n">
        <v>4894241</v>
      </c>
      <c r="I205" s="180" t="n">
        <v>8</v>
      </c>
      <c r="J205" s="194" t="n">
        <v>391539</v>
      </c>
      <c r="K205" s="182" t="inlineStr">
        <is>
          <t>CK</t>
        </is>
      </c>
      <c r="L205" s="182" t="inlineStr">
        <is>
          <t>GL</t>
        </is>
      </c>
      <c r="M205" s="278" t="inlineStr">
        <is>
          <t>'3173</t>
        </is>
      </c>
      <c r="N205" s="181" t="n">
        <v>46295</v>
      </c>
      <c r="O205" s="181" t="n">
        <v>46295</v>
      </c>
      <c r="P205" s="194" t="n">
        <v>5285780</v>
      </c>
      <c r="Q205" s="180" t="inlineStr">
        <is>
          <t>Không xác định</t>
        </is>
      </c>
      <c r="R205" s="180" t="inlineStr">
        <is>
          <t>THAOPTT.HCM.VTA</t>
        </is>
      </c>
      <c r="S205" s="182" t="inlineStr">
        <is>
          <t>Not Reversed</t>
        </is>
      </c>
      <c r="T205" s="57">
        <f>IF(OR(LEN(F205)=11,LEN(F205)=15),"Đ","SAI")</f>
        <v/>
      </c>
      <c r="U205" s="529">
        <f>ROUND(H205*I205%,0)-J205</f>
        <v/>
      </c>
      <c r="V205" s="55">
        <f>IF(Q205=$V$12,13313,13311)</f>
        <v/>
      </c>
    </row>
    <row r="206" ht="14.4" customHeight="1" s="344">
      <c r="A206" s="180" t="n">
        <v>189</v>
      </c>
      <c r="B206" s="182" t="inlineStr">
        <is>
          <t>1C26TDT</t>
        </is>
      </c>
      <c r="C206" s="278" t="inlineStr">
        <is>
          <t>'129</t>
        </is>
      </c>
      <c r="D206" s="181" t="n">
        <v>46255</v>
      </c>
      <c r="E206" s="182" t="inlineStr">
        <is>
          <t>CÔNG TY TNHH THƯƠNG MẠI VÀ DỊCH VỤ KỸ THUẬT ĐỨC TOÀN</t>
        </is>
      </c>
      <c r="F206" s="278" t="inlineStr">
        <is>
          <t>'3502397026</t>
        </is>
      </c>
      <c r="G206" s="182" t="inlineStr">
        <is>
          <t>thuê máy photo tháng 08-2026</t>
        </is>
      </c>
      <c r="H206" s="194" t="n">
        <v>4629630</v>
      </c>
      <c r="I206" s="180" t="n">
        <v>8</v>
      </c>
      <c r="J206" s="194" t="n">
        <v>370370</v>
      </c>
      <c r="K206" s="182" t="inlineStr">
        <is>
          <t>CK</t>
        </is>
      </c>
      <c r="L206" s="182" t="inlineStr">
        <is>
          <t>GL</t>
        </is>
      </c>
      <c r="M206" s="278" t="inlineStr">
        <is>
          <t>'3173</t>
        </is>
      </c>
      <c r="N206" s="181" t="n">
        <v>46295</v>
      </c>
      <c r="O206" s="181" t="n">
        <v>46295</v>
      </c>
      <c r="P206" s="194" t="n">
        <v>5000000</v>
      </c>
      <c r="Q206" s="180" t="inlineStr">
        <is>
          <t>Không xác định</t>
        </is>
      </c>
      <c r="R206" s="180" t="inlineStr">
        <is>
          <t>THAOPTT.HCM.VTA</t>
        </is>
      </c>
      <c r="S206" s="182" t="inlineStr">
        <is>
          <t>Not Reversed</t>
        </is>
      </c>
      <c r="T206" s="57">
        <f>IF(OR(LEN(F206)=11,LEN(F206)=15),"Đ","SAI")</f>
        <v/>
      </c>
      <c r="U206" s="529">
        <f>ROUND(H206*I206%,0)-J206</f>
        <v/>
      </c>
      <c r="V206" s="55">
        <f>IF(Q206=$V$12,13313,13311)</f>
        <v/>
      </c>
    </row>
    <row r="207" ht="21.65" customHeight="1" s="344">
      <c r="A207" s="180" t="n">
        <v>190</v>
      </c>
      <c r="B207" s="182" t="inlineStr">
        <is>
          <t>1K26TAH</t>
        </is>
      </c>
      <c r="C207" s="278" t="inlineStr">
        <is>
          <t>'1643</t>
        </is>
      </c>
      <c r="D207" s="181" t="n">
        <v>46255</v>
      </c>
      <c r="E207" s="182" t="inlineStr">
        <is>
          <t>TRƯỜNG CAO ĐẲNG ĐIỆN LỰC THÀNH PHỐ HỒ CHÍ MINH</t>
        </is>
      </c>
      <c r="F207" s="278" t="inlineStr">
        <is>
          <t>'0300942001-043</t>
        </is>
      </c>
      <c r="G207" s="182" t="inlineStr">
        <is>
          <t>hóa đơn ký túc xá</t>
        </is>
      </c>
      <c r="H207" s="194" t="n">
        <v>2981481</v>
      </c>
      <c r="I207" s="180" t="n">
        <v>8</v>
      </c>
      <c r="J207" s="194" t="n">
        <v>238519</v>
      </c>
      <c r="K207" s="182" t="inlineStr">
        <is>
          <t>CK</t>
        </is>
      </c>
      <c r="L207" s="182" t="inlineStr">
        <is>
          <t>GL</t>
        </is>
      </c>
      <c r="M207" s="278" t="inlineStr">
        <is>
          <t>'3173</t>
        </is>
      </c>
      <c r="N207" s="181" t="n">
        <v>46295</v>
      </c>
      <c r="O207" s="181" t="n">
        <v>46295</v>
      </c>
      <c r="P207" s="194" t="n">
        <v>3220000</v>
      </c>
      <c r="Q207" s="180" t="inlineStr">
        <is>
          <t>Không xác định</t>
        </is>
      </c>
      <c r="R207" s="180" t="inlineStr">
        <is>
          <t>THAOPTT.HCM.VTA</t>
        </is>
      </c>
      <c r="S207" s="182" t="inlineStr">
        <is>
          <t>Not Reversed</t>
        </is>
      </c>
      <c r="T207" s="57">
        <f>IF(OR(LEN(F207)=11,LEN(F207)=15),"Đ","SAI")</f>
        <v/>
      </c>
      <c r="U207" s="529">
        <f>ROUND(H207*I207%,0)-J207</f>
        <v/>
      </c>
      <c r="V207" s="55">
        <f>IF(Q207=$V$12,13313,13311)</f>
        <v/>
      </c>
    </row>
    <row r="208" ht="14.4" customHeight="1" s="344">
      <c r="A208" s="180" t="n">
        <v>191</v>
      </c>
      <c r="B208" s="182" t="inlineStr">
        <is>
          <t>1C26MGH</t>
        </is>
      </c>
      <c r="C208" s="278" t="inlineStr">
        <is>
          <t>'291221</t>
        </is>
      </c>
      <c r="D208" s="181" t="n">
        <v>46255</v>
      </c>
      <c r="E208" s="182" t="inlineStr">
        <is>
          <t>CÔNG TY TNHH SX TM DV THỰC PHẨM GIA HÂN</t>
        </is>
      </c>
      <c r="F208" s="278" t="inlineStr">
        <is>
          <t>'3502285629</t>
        </is>
      </c>
      <c r="G208" s="182" t="inlineStr">
        <is>
          <t>tea break</t>
        </is>
      </c>
      <c r="H208" s="194" t="n">
        <v>310185</v>
      </c>
      <c r="I208" s="180" t="n">
        <v>8</v>
      </c>
      <c r="J208" s="194" t="n">
        <v>24815</v>
      </c>
      <c r="K208" s="182" t="inlineStr">
        <is>
          <t>CK</t>
        </is>
      </c>
      <c r="L208" s="182" t="inlineStr">
        <is>
          <t>GL</t>
        </is>
      </c>
      <c r="M208" s="278" t="inlineStr">
        <is>
          <t>'3173</t>
        </is>
      </c>
      <c r="N208" s="181" t="n">
        <v>46295</v>
      </c>
      <c r="O208" s="181" t="n">
        <v>46295</v>
      </c>
      <c r="P208" s="194" t="n">
        <v>335000</v>
      </c>
      <c r="Q208" s="180" t="inlineStr">
        <is>
          <t>Không xác định</t>
        </is>
      </c>
      <c r="R208" s="180" t="inlineStr">
        <is>
          <t>THAOPTT.HCM.VTA</t>
        </is>
      </c>
      <c r="S208" s="182" t="inlineStr">
        <is>
          <t>Not Reversed</t>
        </is>
      </c>
      <c r="T208" s="57">
        <f>IF(OR(LEN(F208)=11,LEN(F208)=15),"Đ","SAI")</f>
        <v/>
      </c>
      <c r="U208" s="529">
        <f>ROUND(H208*I208%,0)-J208</f>
        <v/>
      </c>
      <c r="V208" s="55">
        <f>IF(Q208=$V$12,13313,13311)</f>
        <v/>
      </c>
    </row>
    <row r="209" ht="21.65" customHeight="1" s="344">
      <c r="A209" s="180" t="n">
        <v>192</v>
      </c>
      <c r="B209" s="182" t="inlineStr">
        <is>
          <t>1C26MVM</t>
        </is>
      </c>
      <c r="C209" s="278" t="inlineStr">
        <is>
          <t>'3717378</t>
        </is>
      </c>
      <c r="D209" s="181" t="n">
        <v>46255</v>
      </c>
      <c r="E209" s="182" t="inlineStr">
        <is>
          <t>CÔNG TY CỔ PHẦN SỮA VIỆT NAM</t>
        </is>
      </c>
      <c r="F209" s="278" t="inlineStr">
        <is>
          <t>'0300588569</t>
        </is>
      </c>
      <c r="G209" s="182" t="inlineStr">
        <is>
          <t>tea break</t>
        </is>
      </c>
      <c r="H209" s="194" t="n">
        <v>128000</v>
      </c>
      <c r="I209" s="180" t="n">
        <v>8</v>
      </c>
      <c r="J209" s="194" t="n">
        <v>10240</v>
      </c>
      <c r="K209" s="182" t="inlineStr">
        <is>
          <t>CK</t>
        </is>
      </c>
      <c r="L209" s="182" t="inlineStr">
        <is>
          <t>GL</t>
        </is>
      </c>
      <c r="M209" s="278" t="inlineStr">
        <is>
          <t>'3173</t>
        </is>
      </c>
      <c r="N209" s="181" t="n">
        <v>46295</v>
      </c>
      <c r="O209" s="181" t="n">
        <v>46295</v>
      </c>
      <c r="P209" s="194" t="n">
        <v>138240</v>
      </c>
      <c r="Q209" s="180" t="inlineStr">
        <is>
          <t>Không xác định</t>
        </is>
      </c>
      <c r="R209" s="180" t="inlineStr">
        <is>
          <t>THAOPTT.HCM.VTA</t>
        </is>
      </c>
      <c r="S209" s="182" t="inlineStr">
        <is>
          <t>Not Reversed</t>
        </is>
      </c>
      <c r="T209" s="57">
        <f>IF(OR(LEN(F209)=11,LEN(F209)=15),"Đ","SAI")</f>
        <v/>
      </c>
      <c r="U209" s="529">
        <f>ROUND(H209*I209%,0)-J209</f>
        <v/>
      </c>
      <c r="V209" s="55">
        <f>IF(Q209=$V$12,13313,13311)</f>
        <v/>
      </c>
    </row>
    <row r="210" ht="14.4" customHeight="1" s="344">
      <c r="A210" s="180" t="n">
        <v>193</v>
      </c>
      <c r="B210" s="182" t="inlineStr">
        <is>
          <t>1C26TCD</t>
        </is>
      </c>
      <c r="C210" s="278" t="inlineStr">
        <is>
          <t>'776</t>
        </is>
      </c>
      <c r="D210" s="181" t="n">
        <v>46255</v>
      </c>
      <c r="E210" s="182" t="inlineStr">
        <is>
          <t>CÔNG TY CP NƯỚC TINH KHIẾT CÔN ĐẢO XANH</t>
        </is>
      </c>
      <c r="F210" s="278" t="inlineStr">
        <is>
          <t>'3502519919</t>
        </is>
      </c>
      <c r="G210" s="182" t="inlineStr">
        <is>
          <t>nước uống CBNV</t>
        </is>
      </c>
      <c r="H210" s="194" t="n">
        <v>150000</v>
      </c>
      <c r="I210" s="180" t="n">
        <v>8</v>
      </c>
      <c r="J210" s="194" t="n">
        <v>12000</v>
      </c>
      <c r="K210" s="182" t="inlineStr">
        <is>
          <t>CK</t>
        </is>
      </c>
      <c r="L210" s="182" t="inlineStr">
        <is>
          <t>GL</t>
        </is>
      </c>
      <c r="M210" s="278" t="inlineStr">
        <is>
          <t>'3173</t>
        </is>
      </c>
      <c r="N210" s="181" t="n">
        <v>46295</v>
      </c>
      <c r="O210" s="181" t="n">
        <v>46295</v>
      </c>
      <c r="P210" s="194" t="n">
        <v>162000</v>
      </c>
      <c r="Q210" s="180" t="inlineStr">
        <is>
          <t>Không xác định</t>
        </is>
      </c>
      <c r="R210" s="180" t="inlineStr">
        <is>
          <t>THAOPTT.HCM.VTA</t>
        </is>
      </c>
      <c r="S210" s="182" t="inlineStr">
        <is>
          <t>Not Reversed</t>
        </is>
      </c>
      <c r="T210" s="57">
        <f>IF(OR(LEN(F210)=11,LEN(F210)=15),"Đ","SAI")</f>
        <v/>
      </c>
      <c r="U210" s="529">
        <f>ROUND(H210*I210%,0)-J210</f>
        <v/>
      </c>
      <c r="V210" s="55">
        <f>IF(Q210=$V$12,13313,13311)</f>
        <v/>
      </c>
    </row>
    <row r="211" ht="15.65" customHeight="1" s="344">
      <c r="A211" s="180" t="n">
        <v>194</v>
      </c>
      <c r="B211" s="182" t="inlineStr">
        <is>
          <t>1C26MDT</t>
        </is>
      </c>
      <c r="C211" s="278" t="inlineStr">
        <is>
          <t>'00002713</t>
        </is>
      </c>
      <c r="D211" s="181" t="n">
        <v>46286</v>
      </c>
      <c r="E211" s="182" t="inlineStr">
        <is>
          <t>CÔNG TY TNHH TMDV DU LỊCH NHÀ HÀNG ĐỒNG TÂM</t>
        </is>
      </c>
      <c r="F211" s="278" t="inlineStr">
        <is>
          <t>'3502508674</t>
        </is>
      </c>
      <c r="G211" s="182" t="inlineStr">
        <is>
          <t>đặt ăn</t>
        </is>
      </c>
      <c r="H211" s="194" t="n">
        <v>4580000</v>
      </c>
      <c r="I211" s="180" t="n">
        <v>8</v>
      </c>
      <c r="J211" s="194" t="n">
        <v>366400</v>
      </c>
      <c r="K211" s="182" t="inlineStr">
        <is>
          <t>CK</t>
        </is>
      </c>
      <c r="L211" s="182" t="inlineStr">
        <is>
          <t>GL</t>
        </is>
      </c>
      <c r="M211" s="278" t="inlineStr">
        <is>
          <t>'3173</t>
        </is>
      </c>
      <c r="N211" s="181" t="n">
        <v>46295</v>
      </c>
      <c r="O211" s="181" t="n">
        <v>46295</v>
      </c>
      <c r="P211" s="194" t="n">
        <v>4946400</v>
      </c>
      <c r="Q211" s="180" t="inlineStr">
        <is>
          <t>Không xác định</t>
        </is>
      </c>
      <c r="R211" s="180" t="inlineStr">
        <is>
          <t>THAOPTT.HCM.VTA</t>
        </is>
      </c>
      <c r="S211" s="182" t="inlineStr">
        <is>
          <t>Not Reversed</t>
        </is>
      </c>
      <c r="T211" s="57">
        <f>IF(OR(LEN(F211)=11,LEN(F211)=15),"Đ","SAI")</f>
        <v/>
      </c>
      <c r="U211" s="529">
        <f>ROUND(H211*I211%,0)-J211</f>
        <v/>
      </c>
      <c r="V211" s="55">
        <f>IF(Q211=$V$12,13313,13311)</f>
        <v/>
      </c>
    </row>
    <row r="212" ht="15.65" customHeight="1" s="344">
      <c r="A212" s="180" t="n">
        <v>195</v>
      </c>
      <c r="B212" s="182" t="inlineStr">
        <is>
          <t>1K26TAA</t>
        </is>
      </c>
      <c r="C212" s="278" t="inlineStr">
        <is>
          <t>'1630053</t>
        </is>
      </c>
      <c r="D212" s="181" t="n">
        <v>46286</v>
      </c>
      <c r="E212" s="182" t="inlineStr">
        <is>
          <t>CÔNG TY CỔ PHẦN CẤP NƯỚC BRVT</t>
        </is>
      </c>
      <c r="F212" s="278" t="inlineStr">
        <is>
          <t>'3500101386</t>
        </is>
      </c>
      <c r="G212" s="182" t="inlineStr">
        <is>
          <t>tiền nước T09-26</t>
        </is>
      </c>
      <c r="H212" s="194" t="n">
        <v>3926200</v>
      </c>
      <c r="I212" s="180" t="n">
        <v>5</v>
      </c>
      <c r="J212" s="194" t="n">
        <v>196310</v>
      </c>
      <c r="K212" s="182" t="inlineStr">
        <is>
          <t>CK</t>
        </is>
      </c>
      <c r="L212" s="182" t="inlineStr">
        <is>
          <t>GL</t>
        </is>
      </c>
      <c r="M212" s="278" t="inlineStr">
        <is>
          <t>'3173</t>
        </is>
      </c>
      <c r="N212" s="181" t="n">
        <v>46295</v>
      </c>
      <c r="O212" s="181" t="n">
        <v>46295</v>
      </c>
      <c r="P212" s="194" t="n">
        <v>4122510</v>
      </c>
      <c r="Q212" s="180" t="inlineStr">
        <is>
          <t>Không xác định</t>
        </is>
      </c>
      <c r="R212" s="180" t="inlineStr">
        <is>
          <t>THAOPTT.HCM.VTA</t>
        </is>
      </c>
      <c r="S212" s="182" t="inlineStr">
        <is>
          <t>Not Reversed</t>
        </is>
      </c>
      <c r="T212" s="57">
        <f>IF(OR(LEN(F212)=11,LEN(F212)=15),"Đ","SAI")</f>
        <v/>
      </c>
      <c r="U212" s="529">
        <f>ROUND(H212*I212%,0)-J212</f>
        <v/>
      </c>
      <c r="V212" s="55">
        <f>IF(Q212=$V$12,13313,13311)</f>
        <v/>
      </c>
    </row>
    <row r="213" ht="15.65" customHeight="1" s="344">
      <c r="A213" s="180" t="n">
        <v>196</v>
      </c>
      <c r="B213" s="182" t="inlineStr">
        <is>
          <t>1K26TAA</t>
        </is>
      </c>
      <c r="C213" s="278" t="inlineStr">
        <is>
          <t>'1630053</t>
        </is>
      </c>
      <c r="D213" s="181" t="n">
        <v>46286</v>
      </c>
      <c r="E213" s="182" t="inlineStr">
        <is>
          <t>CÔNG TY CỔ PHẦN CẤP NƯỚC BRVT</t>
        </is>
      </c>
      <c r="F213" s="278" t="inlineStr">
        <is>
          <t>'3500101386</t>
        </is>
      </c>
      <c r="G213" s="182" t="inlineStr">
        <is>
          <t>tiền nước T09-26</t>
        </is>
      </c>
      <c r="H213" s="194" t="n">
        <v>1804608</v>
      </c>
      <c r="I213" s="180" t="n">
        <v>8</v>
      </c>
      <c r="J213" s="194" t="n">
        <v>144369</v>
      </c>
      <c r="K213" s="182" t="inlineStr">
        <is>
          <t>CK</t>
        </is>
      </c>
      <c r="L213" s="182" t="inlineStr">
        <is>
          <t>GL</t>
        </is>
      </c>
      <c r="M213" s="278" t="inlineStr">
        <is>
          <t>'3173</t>
        </is>
      </c>
      <c r="N213" s="181" t="n">
        <v>46295</v>
      </c>
      <c r="O213" s="181" t="n">
        <v>46295</v>
      </c>
      <c r="P213" s="194" t="n">
        <v>1948977</v>
      </c>
      <c r="Q213" s="180" t="inlineStr">
        <is>
          <t>Không xác định</t>
        </is>
      </c>
      <c r="R213" s="180" t="inlineStr">
        <is>
          <t>THAOPTT.HCM.VTA</t>
        </is>
      </c>
      <c r="S213" s="182" t="inlineStr">
        <is>
          <t>Not Reversed</t>
        </is>
      </c>
      <c r="T213" s="57">
        <f>IF(OR(LEN(F213)=11,LEN(F213)=15),"Đ","SAI")</f>
        <v/>
      </c>
      <c r="U213" s="529">
        <f>ROUND(H213*I213%,0)-J213</f>
        <v/>
      </c>
      <c r="V213" s="55">
        <f>IF(Q213=$V$12,13313,13311)</f>
        <v/>
      </c>
    </row>
    <row r="214" ht="15.65" customHeight="1" s="344">
      <c r="A214" s="180" t="n">
        <v>197</v>
      </c>
      <c r="B214" s="182" t="inlineStr">
        <is>
          <t>1K26TVA</t>
        </is>
      </c>
      <c r="C214" s="278" t="inlineStr">
        <is>
          <t>'2465684</t>
        </is>
      </c>
      <c r="D214" s="181" t="n">
        <v>46256</v>
      </c>
      <c r="E214" s="182" t="inlineStr">
        <is>
          <t>VIETTEL THÀNH PHỐ HỒ CHI MINH - CHI NHÁNH TẬP ĐOÀN CÔNG NGHIỆP - VIỄN THÔNG QUÂN ĐỘI</t>
        </is>
      </c>
      <c r="F214" s="278" t="inlineStr">
        <is>
          <t>'0100109106-122</t>
        </is>
      </c>
      <c r="G214" s="182" t="inlineStr">
        <is>
          <t>sim CA ký số Epayment</t>
        </is>
      </c>
      <c r="H214" s="194" t="n">
        <v>90000</v>
      </c>
      <c r="I214" s="180" t="n">
        <v>10</v>
      </c>
      <c r="J214" s="194" t="n">
        <v>9000</v>
      </c>
      <c r="K214" s="182" t="inlineStr">
        <is>
          <t>CK</t>
        </is>
      </c>
      <c r="L214" s="182" t="inlineStr">
        <is>
          <t>GL</t>
        </is>
      </c>
      <c r="M214" s="278" t="inlineStr">
        <is>
          <t>'3173</t>
        </is>
      </c>
      <c r="N214" s="181" t="n">
        <v>46295</v>
      </c>
      <c r="O214" s="181" t="n">
        <v>46295</v>
      </c>
      <c r="P214" s="194" t="n">
        <v>99000</v>
      </c>
      <c r="Q214" s="180" t="inlineStr">
        <is>
          <t>Không xác định</t>
        </is>
      </c>
      <c r="R214" s="180" t="inlineStr">
        <is>
          <t>THAOPTT.HCM.VTA</t>
        </is>
      </c>
      <c r="S214" s="182" t="inlineStr">
        <is>
          <t>Not Reversed</t>
        </is>
      </c>
      <c r="T214" s="57">
        <f>IF(OR(LEN(F214)=11,LEN(F214)=15),"Đ","SAI")</f>
        <v/>
      </c>
      <c r="U214" s="529">
        <f>ROUND(H214*I214%,0)-J214</f>
        <v/>
      </c>
      <c r="V214" s="55">
        <f>IF(Q214=$V$12,13313,13311)</f>
        <v/>
      </c>
    </row>
    <row r="215" ht="21.65" customHeight="1" s="344">
      <c r="A215" s="180" t="n">
        <v>198</v>
      </c>
      <c r="B215" s="182" t="inlineStr">
        <is>
          <t>1K26TVA</t>
        </is>
      </c>
      <c r="C215" s="278" t="inlineStr">
        <is>
          <t>'2765454</t>
        </is>
      </c>
      <c r="D215" s="181" t="n">
        <v>46256</v>
      </c>
      <c r="E215" s="182" t="inlineStr">
        <is>
          <t>VIETTEL THÀNH PHỐ HỒ CHI MINH - CHI NHÁNH TẬP ĐOÀN CÔNG NGHIỆP - VIỄN THÔNG QUÂN ĐỘI</t>
        </is>
      </c>
      <c r="F215" s="278" t="inlineStr">
        <is>
          <t>'0100109106-122</t>
        </is>
      </c>
      <c r="G215" s="182" t="inlineStr">
        <is>
          <t>sim CA ký số Epayment</t>
        </is>
      </c>
      <c r="H215" s="194" t="n">
        <v>90000</v>
      </c>
      <c r="I215" s="180" t="n">
        <v>10</v>
      </c>
      <c r="J215" s="194" t="n">
        <v>9000</v>
      </c>
      <c r="K215" s="182" t="inlineStr">
        <is>
          <t>CK</t>
        </is>
      </c>
      <c r="L215" s="182" t="inlineStr">
        <is>
          <t>GL</t>
        </is>
      </c>
      <c r="M215" s="278" t="inlineStr">
        <is>
          <t>'3173</t>
        </is>
      </c>
      <c r="N215" s="181" t="n">
        <v>46295</v>
      </c>
      <c r="O215" s="181" t="n">
        <v>46295</v>
      </c>
      <c r="P215" s="194" t="n">
        <v>99000</v>
      </c>
      <c r="Q215" s="180" t="inlineStr">
        <is>
          <t>Không xác định</t>
        </is>
      </c>
      <c r="R215" s="180" t="inlineStr">
        <is>
          <t>THAOPTT.HCM.VTA</t>
        </is>
      </c>
      <c r="S215" s="182" t="inlineStr">
        <is>
          <t>Not Reversed</t>
        </is>
      </c>
      <c r="T215" s="57">
        <f>IF(OR(LEN(F215)=11,LEN(F215)=15),"Đ","SAI")</f>
        <v/>
      </c>
      <c r="U215" s="529">
        <f>ROUND(H215*I215%,0)-J215</f>
        <v/>
      </c>
      <c r="V215" s="55">
        <f>IF(Q215=$V$12,13313,13311)</f>
        <v/>
      </c>
    </row>
    <row r="216" ht="15.65" customHeight="1" s="344">
      <c r="A216" s="180" t="n">
        <v>199</v>
      </c>
      <c r="B216" s="182" t="inlineStr">
        <is>
          <t>1K26TVA</t>
        </is>
      </c>
      <c r="C216" s="278" t="inlineStr">
        <is>
          <t>'2765711</t>
        </is>
      </c>
      <c r="D216" s="181" t="n">
        <v>46256</v>
      </c>
      <c r="E216" s="182" t="inlineStr">
        <is>
          <t>VIETTEL THÀNH PHỐ HỒ CHI MINH - CHI NHÁNH TẬP ĐOÀN CÔNG NGHIỆP - VIỄN THÔNG QUÂN ĐỘI</t>
        </is>
      </c>
      <c r="F216" s="278" t="inlineStr">
        <is>
          <t>'0100109106-122</t>
        </is>
      </c>
      <c r="G216" s="182" t="inlineStr">
        <is>
          <t>sim CA ký số Epayment</t>
        </is>
      </c>
      <c r="H216" s="194" t="n">
        <v>68181</v>
      </c>
      <c r="I216" s="180" t="n">
        <v>10</v>
      </c>
      <c r="J216" s="194" t="n">
        <v>6819</v>
      </c>
      <c r="K216" s="182" t="inlineStr">
        <is>
          <t>CK</t>
        </is>
      </c>
      <c r="L216" s="182" t="inlineStr">
        <is>
          <t>GL</t>
        </is>
      </c>
      <c r="M216" s="278" t="inlineStr">
        <is>
          <t>'3173</t>
        </is>
      </c>
      <c r="N216" s="181" t="n">
        <v>46295</v>
      </c>
      <c r="O216" s="181" t="n">
        <v>46295</v>
      </c>
      <c r="P216" s="194" t="n">
        <v>75000</v>
      </c>
      <c r="Q216" s="180" t="inlineStr">
        <is>
          <t>Không xác định</t>
        </is>
      </c>
      <c r="R216" s="180" t="inlineStr">
        <is>
          <t>THAOPTT.HCM.VTA</t>
        </is>
      </c>
      <c r="S216" s="182" t="inlineStr">
        <is>
          <t>Not Reversed</t>
        </is>
      </c>
      <c r="T216" s="57">
        <f>IF(OR(LEN(F216)=11,LEN(F216)=15),"Đ","SAI")</f>
        <v/>
      </c>
      <c r="U216" s="529">
        <f>ROUND(H216*I216%,0)-J216</f>
        <v/>
      </c>
      <c r="V216" s="55">
        <f>IF(Q216=$V$12,13313,13311)</f>
        <v/>
      </c>
    </row>
    <row r="217" ht="15.65" customHeight="1" s="344">
      <c r="A217" s="180" t="n">
        <v>200</v>
      </c>
      <c r="B217" s="182" t="inlineStr">
        <is>
          <t>1C26MVM</t>
        </is>
      </c>
      <c r="C217" s="278" t="inlineStr">
        <is>
          <t>'3744159</t>
        </is>
      </c>
      <c r="D217" s="181" t="n">
        <v>46256</v>
      </c>
      <c r="E217" s="182" t="inlineStr">
        <is>
          <t>CÔNG TY CỔ PHẦN SỮA VIỆT NAM</t>
        </is>
      </c>
      <c r="F217" s="278" t="inlineStr">
        <is>
          <t>'0300588569</t>
        </is>
      </c>
      <c r="G217" s="182" t="inlineStr">
        <is>
          <t>tea break</t>
        </is>
      </c>
      <c r="H217" s="194" t="n">
        <v>40000</v>
      </c>
      <c r="I217" s="180" t="n">
        <v>8</v>
      </c>
      <c r="J217" s="194" t="n">
        <v>3200</v>
      </c>
      <c r="K217" s="182" t="inlineStr">
        <is>
          <t>CK</t>
        </is>
      </c>
      <c r="L217" s="182" t="inlineStr">
        <is>
          <t>GL</t>
        </is>
      </c>
      <c r="M217" s="278" t="inlineStr">
        <is>
          <t>'3173</t>
        </is>
      </c>
      <c r="N217" s="181" t="n">
        <v>46295</v>
      </c>
      <c r="O217" s="181" t="n">
        <v>46295</v>
      </c>
      <c r="P217" s="194" t="n">
        <v>43200</v>
      </c>
      <c r="Q217" s="180" t="inlineStr">
        <is>
          <t>Không xác định</t>
        </is>
      </c>
      <c r="R217" s="180" t="inlineStr">
        <is>
          <t>THAOPTT.HCM.VTA</t>
        </is>
      </c>
      <c r="S217" s="182" t="inlineStr">
        <is>
          <t>Not Reversed</t>
        </is>
      </c>
      <c r="T217" s="57">
        <f>IF(OR(LEN(F217)=11,LEN(F217)=15),"Đ","SAI")</f>
        <v/>
      </c>
      <c r="U217" s="529">
        <f>ROUND(H217*I217%,0)-J217</f>
        <v/>
      </c>
      <c r="V217" s="55">
        <f>IF(Q217=$V$12,13313,13311)</f>
        <v/>
      </c>
    </row>
    <row r="218" ht="15.65" customHeight="1" s="344">
      <c r="A218" s="180" t="n">
        <v>201</v>
      </c>
      <c r="B218" s="182" t="inlineStr">
        <is>
          <t>1C26MAA</t>
        </is>
      </c>
      <c r="C218" s="278" t="inlineStr">
        <is>
          <t>'1461</t>
        </is>
      </c>
      <c r="D218" s="181" t="n">
        <v>46287</v>
      </c>
      <c r="E218" s="182" t="inlineStr">
        <is>
          <t>CÔNG TY TNHH DỊCH VỤ NHÀ HÀNG PHỐ XINH</t>
        </is>
      </c>
      <c r="F218" s="278" t="inlineStr">
        <is>
          <t>'3502474601</t>
        </is>
      </c>
      <c r="G218" s="182" t="inlineStr">
        <is>
          <t>ăn uống</t>
        </is>
      </c>
      <c r="H218" s="194" t="n">
        <v>120000</v>
      </c>
      <c r="I218" s="180" t="n">
        <v>10</v>
      </c>
      <c r="J218" s="194" t="n">
        <v>12000</v>
      </c>
      <c r="K218" s="182" t="inlineStr">
        <is>
          <t>CK</t>
        </is>
      </c>
      <c r="L218" s="182" t="inlineStr">
        <is>
          <t>GL</t>
        </is>
      </c>
      <c r="M218" s="278" t="inlineStr">
        <is>
          <t>'3173</t>
        </is>
      </c>
      <c r="N218" s="181" t="n">
        <v>46295</v>
      </c>
      <c r="O218" s="181" t="n">
        <v>46295</v>
      </c>
      <c r="P218" s="194" t="n">
        <v>132000</v>
      </c>
      <c r="Q218" s="180" t="inlineStr">
        <is>
          <t>Không xác định</t>
        </is>
      </c>
      <c r="R218" s="180" t="inlineStr">
        <is>
          <t>THAOPTT.HCM.VTA</t>
        </is>
      </c>
      <c r="S218" s="182" t="inlineStr">
        <is>
          <t>Not Reversed</t>
        </is>
      </c>
      <c r="T218" s="57">
        <f>IF(OR(LEN(F218)=11,LEN(F218)=15),"Đ","SAI")</f>
        <v/>
      </c>
      <c r="U218" s="529">
        <f>ROUND(H218*I218%,0)-J218</f>
        <v/>
      </c>
      <c r="V218" s="55">
        <f>IF(Q218=$V$12,13313,13311)</f>
        <v/>
      </c>
    </row>
    <row r="219" ht="15.65" customHeight="1" s="344">
      <c r="A219" s="180" t="n">
        <v>202</v>
      </c>
      <c r="B219" s="182" t="inlineStr">
        <is>
          <t>1C26MAA</t>
        </is>
      </c>
      <c r="C219" s="278" t="inlineStr">
        <is>
          <t>'1461</t>
        </is>
      </c>
      <c r="D219" s="181" t="n">
        <v>46287</v>
      </c>
      <c r="E219" s="182" t="inlineStr">
        <is>
          <t>CÔNG TY TNHH DỊCH VỤ NHÀ HÀNG PHỐ XINH</t>
        </is>
      </c>
      <c r="F219" s="278" t="inlineStr">
        <is>
          <t>'3502474601</t>
        </is>
      </c>
      <c r="G219" s="182" t="inlineStr">
        <is>
          <t>ăn uống</t>
        </is>
      </c>
      <c r="H219" s="194" t="n">
        <v>4211000</v>
      </c>
      <c r="I219" s="180" t="n">
        <v>8</v>
      </c>
      <c r="J219" s="194" t="n">
        <v>336880</v>
      </c>
      <c r="K219" s="182" t="inlineStr">
        <is>
          <t>CK</t>
        </is>
      </c>
      <c r="L219" s="182" t="inlineStr">
        <is>
          <t>GL</t>
        </is>
      </c>
      <c r="M219" s="278" t="inlineStr">
        <is>
          <t>'3173</t>
        </is>
      </c>
      <c r="N219" s="181" t="n">
        <v>46295</v>
      </c>
      <c r="O219" s="181" t="n">
        <v>46295</v>
      </c>
      <c r="P219" s="194" t="n">
        <v>4547880</v>
      </c>
      <c r="Q219" s="180" t="inlineStr">
        <is>
          <t>Không xác định</t>
        </is>
      </c>
      <c r="R219" s="180" t="inlineStr">
        <is>
          <t>THAOPTT.HCM.VTA</t>
        </is>
      </c>
      <c r="S219" s="182" t="inlineStr">
        <is>
          <t>Not Reversed</t>
        </is>
      </c>
      <c r="T219" s="57">
        <f>IF(OR(LEN(F219)=11,LEN(F219)=15),"Đ","SAI")</f>
        <v/>
      </c>
      <c r="U219" s="529">
        <f>ROUND(H219*I219%,0)-J219</f>
        <v/>
      </c>
      <c r="V219" s="55">
        <f>IF(Q219=$V$12,13313,13311)</f>
        <v/>
      </c>
    </row>
    <row r="220" ht="14.4" customHeight="1" s="344">
      <c r="A220" s="180" t="n">
        <v>203</v>
      </c>
      <c r="B220" s="182" t="inlineStr">
        <is>
          <t>1C26TDT</t>
        </is>
      </c>
      <c r="C220" s="278" t="inlineStr">
        <is>
          <t>'148</t>
        </is>
      </c>
      <c r="D220" s="181" t="n">
        <v>46287</v>
      </c>
      <c r="E220" s="182" t="inlineStr">
        <is>
          <t>CÔNG TY TNHH THƯƠNG MẠI VÀ DỊCH VỤ KỸ THUẬT ĐỨC TOÀN</t>
        </is>
      </c>
      <c r="F220" s="278" t="inlineStr">
        <is>
          <t>'3502397026</t>
        </is>
      </c>
      <c r="G220" s="182" t="inlineStr">
        <is>
          <t>thuê máy photo T09-26</t>
        </is>
      </c>
      <c r="H220" s="194" t="n">
        <v>4660552</v>
      </c>
      <c r="I220" s="180" t="n">
        <v>8</v>
      </c>
      <c r="J220" s="194" t="n">
        <v>372844</v>
      </c>
      <c r="K220" s="182" t="inlineStr">
        <is>
          <t>CK</t>
        </is>
      </c>
      <c r="L220" s="182" t="inlineStr">
        <is>
          <t>GL</t>
        </is>
      </c>
      <c r="M220" s="278" t="inlineStr">
        <is>
          <t>'3173</t>
        </is>
      </c>
      <c r="N220" s="181" t="n">
        <v>46295</v>
      </c>
      <c r="O220" s="181" t="n">
        <v>46295</v>
      </c>
      <c r="P220" s="194" t="n">
        <v>5033396</v>
      </c>
      <c r="Q220" s="180" t="inlineStr">
        <is>
          <t>Không xác định</t>
        </is>
      </c>
      <c r="R220" s="180" t="inlineStr">
        <is>
          <t>THAOPTT.HCM.VTA</t>
        </is>
      </c>
      <c r="S220" s="182" t="inlineStr">
        <is>
          <t>Not Reversed</t>
        </is>
      </c>
      <c r="T220" s="57">
        <f>IF(OR(LEN(F220)=11,LEN(F220)=15),"Đ","SAI")</f>
        <v/>
      </c>
      <c r="U220" s="529">
        <f>ROUND(H220*I220%,0)-J220</f>
        <v/>
      </c>
      <c r="V220" s="55">
        <f>IF(Q220=$V$12,13313,13311)</f>
        <v/>
      </c>
    </row>
    <row r="221" ht="14.4" customHeight="1" s="344">
      <c r="A221" s="180" t="n">
        <v>204</v>
      </c>
      <c r="B221" s="182" t="inlineStr">
        <is>
          <t>1C26TDT</t>
        </is>
      </c>
      <c r="C221" s="278" t="inlineStr">
        <is>
          <t>'149</t>
        </is>
      </c>
      <c r="D221" s="181" t="n">
        <v>46287</v>
      </c>
      <c r="E221" s="182" t="inlineStr">
        <is>
          <t>CÔNG TY TNHH THƯƠNG MẠI VÀ DỊCH VỤ KỸ THUẬT ĐỨC TOÀN</t>
        </is>
      </c>
      <c r="F221" s="278" t="inlineStr">
        <is>
          <t>'3502397026</t>
        </is>
      </c>
      <c r="G221" s="182" t="inlineStr">
        <is>
          <t>thuê máy photo T09-26</t>
        </is>
      </c>
      <c r="H221" s="194" t="n">
        <v>4629630</v>
      </c>
      <c r="I221" s="180" t="n">
        <v>8</v>
      </c>
      <c r="J221" s="194" t="n">
        <v>370370</v>
      </c>
      <c r="K221" s="182" t="inlineStr">
        <is>
          <t>CK</t>
        </is>
      </c>
      <c r="L221" s="182" t="inlineStr">
        <is>
          <t>GL</t>
        </is>
      </c>
      <c r="M221" s="278" t="inlineStr">
        <is>
          <t>'3173</t>
        </is>
      </c>
      <c r="N221" s="181" t="n">
        <v>46295</v>
      </c>
      <c r="O221" s="181" t="n">
        <v>46295</v>
      </c>
      <c r="P221" s="194" t="n">
        <v>5000000</v>
      </c>
      <c r="Q221" s="180" t="inlineStr">
        <is>
          <t>Không xác định</t>
        </is>
      </c>
      <c r="R221" s="180" t="inlineStr">
        <is>
          <t>THAOPTT.HCM.VTA</t>
        </is>
      </c>
      <c r="S221" s="182" t="inlineStr">
        <is>
          <t>Not Reversed</t>
        </is>
      </c>
      <c r="T221" s="57">
        <f>IF(OR(LEN(F221)=11,LEN(F221)=15),"Đ","SAI")</f>
        <v/>
      </c>
      <c r="U221" s="529">
        <f>ROUND(H221*I221%,0)-J221</f>
        <v/>
      </c>
      <c r="V221" s="55">
        <f>IF(Q221=$V$12,13313,13311)</f>
        <v/>
      </c>
    </row>
    <row r="222" ht="14.4" customHeight="1" s="344">
      <c r="A222" s="180" t="n">
        <v>205</v>
      </c>
      <c r="B222" s="182" t="inlineStr">
        <is>
          <t>1C26TDT</t>
        </is>
      </c>
      <c r="C222" s="278" t="inlineStr">
        <is>
          <t>'150</t>
        </is>
      </c>
      <c r="D222" s="181" t="n">
        <v>46287</v>
      </c>
      <c r="E222" s="182" t="inlineStr">
        <is>
          <t>CÔNG TY TNHH THƯƠNG MẠI VÀ DỊCH VỤ KỸ THUẬT ĐỨC TOÀN</t>
        </is>
      </c>
      <c r="F222" s="278" t="inlineStr">
        <is>
          <t>'3502397026</t>
        </is>
      </c>
      <c r="G222" s="182" t="inlineStr">
        <is>
          <t>thuê máy photo T09-26</t>
        </is>
      </c>
      <c r="H222" s="194" t="n">
        <v>5449741</v>
      </c>
      <c r="I222" s="180" t="n">
        <v>8</v>
      </c>
      <c r="J222" s="194" t="n">
        <v>435979</v>
      </c>
      <c r="K222" s="182" t="inlineStr">
        <is>
          <t>CK</t>
        </is>
      </c>
      <c r="L222" s="182" t="inlineStr">
        <is>
          <t>GL</t>
        </is>
      </c>
      <c r="M222" s="278" t="inlineStr">
        <is>
          <t>'3173</t>
        </is>
      </c>
      <c r="N222" s="181" t="n">
        <v>46295</v>
      </c>
      <c r="O222" s="181" t="n">
        <v>46295</v>
      </c>
      <c r="P222" s="194" t="n">
        <v>5885720</v>
      </c>
      <c r="Q222" s="180" t="inlineStr">
        <is>
          <t>Không xác định</t>
        </is>
      </c>
      <c r="R222" s="180" t="inlineStr">
        <is>
          <t>THAOPTT.HCM.VTA</t>
        </is>
      </c>
      <c r="S222" s="182" t="inlineStr">
        <is>
          <t>Not Reversed</t>
        </is>
      </c>
      <c r="T222" s="57">
        <f>IF(OR(LEN(F222)=11,LEN(F222)=15),"Đ","SAI")</f>
        <v/>
      </c>
      <c r="U222" s="529">
        <f>ROUND(H222*I222%,0)-J222</f>
        <v/>
      </c>
      <c r="V222" s="55">
        <f>IF(Q222=$V$12,13313,13311)</f>
        <v/>
      </c>
    </row>
    <row r="223" ht="14.4" customHeight="1" s="344">
      <c r="A223" s="180" t="n">
        <v>206</v>
      </c>
      <c r="B223" s="182" t="inlineStr">
        <is>
          <t>1C26TDT</t>
        </is>
      </c>
      <c r="C223" s="278" t="inlineStr">
        <is>
          <t>'151</t>
        </is>
      </c>
      <c r="D223" s="181" t="n">
        <v>46287</v>
      </c>
      <c r="E223" s="182" t="inlineStr">
        <is>
          <t>CÔNG TY TNHH THƯƠNG MẠI VÀ DỊCH VỤ KỸ THUẬT ĐỨC TOÀN</t>
        </is>
      </c>
      <c r="F223" s="278" t="inlineStr">
        <is>
          <t>'3502397026</t>
        </is>
      </c>
      <c r="G223" s="182" t="inlineStr">
        <is>
          <t>thuê máy photo T09-26</t>
        </is>
      </c>
      <c r="H223" s="194" t="n">
        <v>5437885</v>
      </c>
      <c r="I223" s="180" t="n">
        <v>8</v>
      </c>
      <c r="J223" s="194" t="n">
        <v>435031</v>
      </c>
      <c r="K223" s="182" t="inlineStr">
        <is>
          <t>CK</t>
        </is>
      </c>
      <c r="L223" s="182" t="inlineStr">
        <is>
          <t>GL</t>
        </is>
      </c>
      <c r="M223" s="278" t="inlineStr">
        <is>
          <t>'3173</t>
        </is>
      </c>
      <c r="N223" s="181" t="n">
        <v>46295</v>
      </c>
      <c r="O223" s="181" t="n">
        <v>46295</v>
      </c>
      <c r="P223" s="194" t="n">
        <v>5872916</v>
      </c>
      <c r="Q223" s="180" t="inlineStr">
        <is>
          <t>Không xác định</t>
        </is>
      </c>
      <c r="R223" s="180" t="inlineStr">
        <is>
          <t>THAOPTT.HCM.VTA</t>
        </is>
      </c>
      <c r="S223" s="182" t="inlineStr">
        <is>
          <t>Not Reversed</t>
        </is>
      </c>
      <c r="T223" s="57">
        <f>IF(OR(LEN(F223)=11,LEN(F223)=15),"Đ","SAI")</f>
        <v/>
      </c>
      <c r="U223" s="529">
        <f>ROUND(H223*I223%,0)-J223</f>
        <v/>
      </c>
      <c r="V223" s="55">
        <f>IF(Q223=$V$12,13313,13311)</f>
        <v/>
      </c>
    </row>
    <row r="224" ht="14.4" customHeight="1" s="344">
      <c r="A224" s="180" t="n">
        <v>207</v>
      </c>
      <c r="B224" s="182" t="inlineStr">
        <is>
          <t>1C26TDT</t>
        </is>
      </c>
      <c r="C224" s="278" t="inlineStr">
        <is>
          <t>'152</t>
        </is>
      </c>
      <c r="D224" s="181" t="n">
        <v>46287</v>
      </c>
      <c r="E224" s="182" t="inlineStr">
        <is>
          <t>CÔNG TY TNHH THƯƠNG MẠI VÀ DỊCH VỤ KỸ THUẬT ĐỨC TOÀN</t>
        </is>
      </c>
      <c r="F224" s="278" t="inlineStr">
        <is>
          <t>'3502397026</t>
        </is>
      </c>
      <c r="G224" s="182" t="inlineStr">
        <is>
          <t>thuê máy photo T09-26</t>
        </is>
      </c>
      <c r="H224" s="194" t="n">
        <v>4701741</v>
      </c>
      <c r="I224" s="180" t="n">
        <v>8</v>
      </c>
      <c r="J224" s="194" t="n">
        <v>376139</v>
      </c>
      <c r="K224" s="182" t="inlineStr">
        <is>
          <t>CK</t>
        </is>
      </c>
      <c r="L224" s="182" t="inlineStr">
        <is>
          <t>GL</t>
        </is>
      </c>
      <c r="M224" s="278" t="inlineStr">
        <is>
          <t>'3173</t>
        </is>
      </c>
      <c r="N224" s="181" t="n">
        <v>46295</v>
      </c>
      <c r="O224" s="181" t="n">
        <v>46295</v>
      </c>
      <c r="P224" s="194" t="n">
        <v>5077880</v>
      </c>
      <c r="Q224" s="180" t="inlineStr">
        <is>
          <t>Không xác định</t>
        </is>
      </c>
      <c r="R224" s="180" t="inlineStr">
        <is>
          <t>THAOPTT.HCM.VTA</t>
        </is>
      </c>
      <c r="S224" s="182" t="inlineStr">
        <is>
          <t>Not Reversed</t>
        </is>
      </c>
      <c r="T224" s="57">
        <f>IF(OR(LEN(F224)=11,LEN(F224)=15),"Đ","SAI")</f>
        <v/>
      </c>
      <c r="U224" s="529">
        <f>ROUND(H224*I224%,0)-J224</f>
        <v/>
      </c>
      <c r="V224" s="55">
        <f>IF(Q224=$V$12,13313,13311)</f>
        <v/>
      </c>
    </row>
    <row r="225" ht="21.65" customHeight="1" s="344">
      <c r="A225" s="180" t="n">
        <v>208</v>
      </c>
      <c r="B225" s="182" t="inlineStr">
        <is>
          <t>1C26MAT</t>
        </is>
      </c>
      <c r="C225" s="278" t="inlineStr">
        <is>
          <t>'3072</t>
        </is>
      </c>
      <c r="D225" s="181" t="n">
        <v>46287</v>
      </c>
      <c r="E225" s="182" t="inlineStr">
        <is>
          <t>CÔNG TY TNHH ĐẦU TƯ VÀ PHÁT TRIỂN ẨM THỰC THIÊN HƯƠNG</t>
        </is>
      </c>
      <c r="F225" s="278" t="inlineStr">
        <is>
          <t>'3502547056</t>
        </is>
      </c>
      <c r="G225" s="182" t="inlineStr">
        <is>
          <t>ăn uống</t>
        </is>
      </c>
      <c r="H225" s="194" t="n">
        <v>3716668</v>
      </c>
      <c r="I225" s="180" t="n">
        <v>8</v>
      </c>
      <c r="J225" s="194" t="n">
        <v>297333</v>
      </c>
      <c r="K225" s="182" t="inlineStr">
        <is>
          <t>CK</t>
        </is>
      </c>
      <c r="L225" s="182" t="inlineStr">
        <is>
          <t>GL</t>
        </is>
      </c>
      <c r="M225" s="278" t="inlineStr">
        <is>
          <t>'3173</t>
        </is>
      </c>
      <c r="N225" s="181" t="n">
        <v>46295</v>
      </c>
      <c r="O225" s="181" t="n">
        <v>46295</v>
      </c>
      <c r="P225" s="194" t="n">
        <v>4014001</v>
      </c>
      <c r="Q225" s="180" t="inlineStr">
        <is>
          <t>Không xác định</t>
        </is>
      </c>
      <c r="R225" s="180" t="inlineStr">
        <is>
          <t>THAOPTT.HCM.VTA</t>
        </is>
      </c>
      <c r="S225" s="182" t="inlineStr">
        <is>
          <t>Not Reversed</t>
        </is>
      </c>
      <c r="T225" s="57">
        <f>IF(OR(LEN(F225)=11,LEN(F225)=15),"Đ","SAI")</f>
        <v/>
      </c>
      <c r="U225" s="529">
        <f>ROUND(H225*I225%,0)-J225</f>
        <v/>
      </c>
      <c r="V225" s="55">
        <f>IF(Q225=$V$12,13313,13311)</f>
        <v/>
      </c>
    </row>
    <row r="226" ht="21.65" customHeight="1" s="344">
      <c r="A226" s="180" t="n">
        <v>209</v>
      </c>
      <c r="B226" s="182" t="inlineStr">
        <is>
          <t>1C26TAT</t>
        </is>
      </c>
      <c r="C226" s="278" t="inlineStr">
        <is>
          <t>'1239</t>
        </is>
      </c>
      <c r="D226" s="181" t="n">
        <v>46257</v>
      </c>
      <c r="E226" s="182" t="inlineStr">
        <is>
          <t>CÔNG TY TNHH VÉ MÁY BAY AN TOÀN VŨNG TÀU</t>
        </is>
      </c>
      <c r="F226" s="278" t="inlineStr">
        <is>
          <t>'3502350959</t>
        </is>
      </c>
      <c r="G226" s="182" t="inlineStr">
        <is>
          <t>vé máy bay</t>
        </is>
      </c>
      <c r="H226" s="194" t="n">
        <v>1653667</v>
      </c>
      <c r="I226" s="180" t="n">
        <v>8</v>
      </c>
      <c r="J226" s="194" t="n">
        <v>132333</v>
      </c>
      <c r="K226" s="182" t="inlineStr">
        <is>
          <t>CK</t>
        </is>
      </c>
      <c r="L226" s="182" t="inlineStr">
        <is>
          <t>GL</t>
        </is>
      </c>
      <c r="M226" s="278" t="inlineStr">
        <is>
          <t>'3173</t>
        </is>
      </c>
      <c r="N226" s="181" t="n">
        <v>46295</v>
      </c>
      <c r="O226" s="181" t="n">
        <v>46295</v>
      </c>
      <c r="P226" s="194" t="n">
        <v>1786000</v>
      </c>
      <c r="Q226" s="180" t="inlineStr">
        <is>
          <t>Không xác định</t>
        </is>
      </c>
      <c r="R226" s="180" t="inlineStr">
        <is>
          <t>THAOPTT.HCM.VTA</t>
        </is>
      </c>
      <c r="S226" s="182" t="inlineStr">
        <is>
          <t>Not Reversed</t>
        </is>
      </c>
      <c r="T226" s="57">
        <f>IF(OR(LEN(F226)=11,LEN(F226)=15),"Đ","SAI")</f>
        <v/>
      </c>
      <c r="U226" s="529">
        <f>ROUND(H226*I226%,0)-J226</f>
        <v/>
      </c>
      <c r="V226" s="55">
        <f>IF(Q226=$V$12,13313,13311)</f>
        <v/>
      </c>
    </row>
    <row r="227" ht="14.4" customHeight="1" s="344">
      <c r="A227" s="180" t="n">
        <v>210</v>
      </c>
      <c r="B227" s="182" t="inlineStr">
        <is>
          <t>1K26TVA</t>
        </is>
      </c>
      <c r="C227" s="278" t="inlineStr">
        <is>
          <t>'2775711</t>
        </is>
      </c>
      <c r="D227" s="181" t="n">
        <v>46257</v>
      </c>
      <c r="E227" s="182" t="inlineStr">
        <is>
          <t>VIETTEL THÀNH PHỐ HỒ CHI MINH - CHI NHÁNH TẬP ĐOÀN CÔNG NGHIỆP - VIỄN THÔNG QUÂN ĐỘI</t>
        </is>
      </c>
      <c r="F227" s="278" t="inlineStr">
        <is>
          <t>'0100109106-122</t>
        </is>
      </c>
      <c r="G227" s="182" t="inlineStr">
        <is>
          <t>sim CA ký số Epayment</t>
        </is>
      </c>
      <c r="H227" s="194" t="n">
        <v>90909</v>
      </c>
      <c r="I227" s="180" t="n">
        <v>10</v>
      </c>
      <c r="J227" s="194" t="n">
        <v>9091</v>
      </c>
      <c r="K227" s="182" t="inlineStr">
        <is>
          <t>CK</t>
        </is>
      </c>
      <c r="L227" s="182" t="inlineStr">
        <is>
          <t>GL</t>
        </is>
      </c>
      <c r="M227" s="278" t="inlineStr">
        <is>
          <t>'3173</t>
        </is>
      </c>
      <c r="N227" s="181" t="n">
        <v>46295</v>
      </c>
      <c r="O227" s="181" t="n">
        <v>46295</v>
      </c>
      <c r="P227" s="194" t="n">
        <v>100000</v>
      </c>
      <c r="Q227" s="180" t="inlineStr">
        <is>
          <t>Không xác định</t>
        </is>
      </c>
      <c r="R227" s="180" t="inlineStr">
        <is>
          <t>THAOPTT.HCM.VTA</t>
        </is>
      </c>
      <c r="S227" s="182" t="inlineStr">
        <is>
          <t>Not Reversed</t>
        </is>
      </c>
      <c r="T227" s="57">
        <f>IF(OR(LEN(F227)=11,LEN(F227)=15),"Đ","SAI")</f>
        <v/>
      </c>
      <c r="U227" s="529">
        <f>ROUND(H227*I227%,0)-J227</f>
        <v/>
      </c>
      <c r="V227" s="55">
        <f>IF(Q227=$V$12,13313,13311)</f>
        <v/>
      </c>
    </row>
    <row r="228" ht="14.4" customHeight="1" s="344">
      <c r="A228" s="180" t="n">
        <v>211</v>
      </c>
      <c r="B228" s="182" t="inlineStr">
        <is>
          <t>1C26MGH</t>
        </is>
      </c>
      <c r="C228" s="278" t="inlineStr">
        <is>
          <t>'293147</t>
        </is>
      </c>
      <c r="D228" s="181" t="n">
        <v>46257</v>
      </c>
      <c r="E228" s="182" t="inlineStr">
        <is>
          <t>CÔNG TY TNHH SX TM DV THỰC PHẨM GIA HÂN</t>
        </is>
      </c>
      <c r="F228" s="278" t="inlineStr">
        <is>
          <t>'3502285629</t>
        </is>
      </c>
      <c r="G228" s="182" t="inlineStr">
        <is>
          <t>tea break</t>
        </is>
      </c>
      <c r="H228" s="194" t="n">
        <v>181481</v>
      </c>
      <c r="I228" s="180" t="n">
        <v>8</v>
      </c>
      <c r="J228" s="194" t="n">
        <v>14519</v>
      </c>
      <c r="K228" s="182" t="inlineStr">
        <is>
          <t>CK</t>
        </is>
      </c>
      <c r="L228" s="182" t="inlineStr">
        <is>
          <t>GL</t>
        </is>
      </c>
      <c r="M228" s="278" t="inlineStr">
        <is>
          <t>'3173</t>
        </is>
      </c>
      <c r="N228" s="181" t="n">
        <v>46295</v>
      </c>
      <c r="O228" s="181" t="n">
        <v>46295</v>
      </c>
      <c r="P228" s="194" t="n">
        <v>196000</v>
      </c>
      <c r="Q228" s="180" t="inlineStr">
        <is>
          <t>Không xác định</t>
        </is>
      </c>
      <c r="R228" s="180" t="inlineStr">
        <is>
          <t>THAOPTT.HCM.VTA</t>
        </is>
      </c>
      <c r="S228" s="182" t="inlineStr">
        <is>
          <t>Not Reversed</t>
        </is>
      </c>
      <c r="T228" s="57">
        <f>IF(OR(LEN(F228)=11,LEN(F228)=15),"Đ","SAI")</f>
        <v/>
      </c>
      <c r="U228" s="529">
        <f>ROUND(H228*I228%,0)-J228</f>
        <v/>
      </c>
      <c r="V228" s="55">
        <f>IF(Q228=$V$12,13313,13311)</f>
        <v/>
      </c>
    </row>
    <row r="229" ht="21.65" customHeight="1" s="344">
      <c r="A229" s="180" t="n">
        <v>212</v>
      </c>
      <c r="B229" s="182" t="inlineStr">
        <is>
          <t>1K26TAA</t>
        </is>
      </c>
      <c r="C229" s="278" t="inlineStr">
        <is>
          <t>'1648470</t>
        </is>
      </c>
      <c r="D229" s="181" t="n">
        <v>46288</v>
      </c>
      <c r="E229" s="182" t="inlineStr">
        <is>
          <t>CÔNG TY CỔ PHẦN CẤP NƯỚC BRVT</t>
        </is>
      </c>
      <c r="F229" s="278" t="inlineStr">
        <is>
          <t>'3500101386</t>
        </is>
      </c>
      <c r="G229" s="182" t="inlineStr">
        <is>
          <t>tiền nước T09-26</t>
        </is>
      </c>
      <c r="H229" s="194" t="n">
        <v>522600</v>
      </c>
      <c r="I229" s="180" t="n">
        <v>5</v>
      </c>
      <c r="J229" s="194" t="n">
        <v>26130</v>
      </c>
      <c r="K229" s="182" t="inlineStr">
        <is>
          <t>CK</t>
        </is>
      </c>
      <c r="L229" s="182" t="inlineStr">
        <is>
          <t>GL</t>
        </is>
      </c>
      <c r="M229" s="278" t="inlineStr">
        <is>
          <t>'3173</t>
        </is>
      </c>
      <c r="N229" s="181" t="n">
        <v>46295</v>
      </c>
      <c r="O229" s="181" t="n">
        <v>46295</v>
      </c>
      <c r="P229" s="194" t="n">
        <v>548730</v>
      </c>
      <c r="Q229" s="180" t="inlineStr">
        <is>
          <t>Không xác định</t>
        </is>
      </c>
      <c r="R229" s="180" t="inlineStr">
        <is>
          <t>THAOPTT.HCM.VTA</t>
        </is>
      </c>
      <c r="S229" s="182" t="inlineStr">
        <is>
          <t>Not Reversed</t>
        </is>
      </c>
      <c r="T229" s="57">
        <f>IF(OR(LEN(F229)=11,LEN(F229)=15),"Đ","SAI")</f>
        <v/>
      </c>
      <c r="U229" s="529">
        <f>ROUND(H229*I229%,0)-J229</f>
        <v/>
      </c>
      <c r="V229" s="55">
        <f>IF(Q229=$V$12,13313,13311)</f>
        <v/>
      </c>
    </row>
    <row r="230" ht="21.65" customHeight="1" s="344">
      <c r="A230" s="180" t="n">
        <v>213</v>
      </c>
      <c r="B230" s="182" t="inlineStr">
        <is>
          <t>1C26TCD</t>
        </is>
      </c>
      <c r="C230" s="278" t="inlineStr">
        <is>
          <t>'902</t>
        </is>
      </c>
      <c r="D230" s="181" t="n">
        <v>46288</v>
      </c>
      <c r="E230" s="182" t="inlineStr">
        <is>
          <t>CÔNG TY CP NƯỚC TINH KHIẾT CÔN ĐẢO XANH</t>
        </is>
      </c>
      <c r="F230" s="278" t="inlineStr">
        <is>
          <t>'3502519919</t>
        </is>
      </c>
      <c r="G230" s="182" t="inlineStr">
        <is>
          <t>hóa đơn nước uống</t>
        </is>
      </c>
      <c r="H230" s="194" t="n">
        <v>180000</v>
      </c>
      <c r="I230" s="180" t="n">
        <v>8</v>
      </c>
      <c r="J230" s="194" t="n">
        <v>14400</v>
      </c>
      <c r="K230" s="182" t="inlineStr">
        <is>
          <t>CK</t>
        </is>
      </c>
      <c r="L230" s="182" t="inlineStr">
        <is>
          <t>GL</t>
        </is>
      </c>
      <c r="M230" s="278" t="inlineStr">
        <is>
          <t>'3173</t>
        </is>
      </c>
      <c r="N230" s="181" t="n">
        <v>46295</v>
      </c>
      <c r="O230" s="181" t="n">
        <v>46295</v>
      </c>
      <c r="P230" s="194" t="n">
        <v>194400</v>
      </c>
      <c r="Q230" s="180" t="inlineStr">
        <is>
          <t>Không xác định</t>
        </is>
      </c>
      <c r="R230" s="180" t="inlineStr">
        <is>
          <t>THAOPTT.HCM.VTA</t>
        </is>
      </c>
      <c r="S230" s="182" t="inlineStr">
        <is>
          <t>Not Reversed</t>
        </is>
      </c>
      <c r="T230" s="57">
        <f>IF(OR(LEN(F230)=11,LEN(F230)=15),"Đ","SAI")</f>
        <v/>
      </c>
      <c r="U230" s="529">
        <f>ROUND(H230*I230%,0)-J230</f>
        <v/>
      </c>
      <c r="V230" s="55">
        <f>IF(Q230=$V$12,13313,13311)</f>
        <v/>
      </c>
    </row>
    <row r="231" ht="14.4" customHeight="1" s="344">
      <c r="A231" s="180" t="n">
        <v>214</v>
      </c>
      <c r="B231" s="182" t="inlineStr">
        <is>
          <t>1C26TLK</t>
        </is>
      </c>
      <c r="C231" s="278" t="inlineStr">
        <is>
          <t>'00000016</t>
        </is>
      </c>
      <c r="D231" s="181" t="n">
        <v>46258</v>
      </c>
      <c r="E231" s="182" t="inlineStr">
        <is>
          <t>CÔNG TY TNHH THƯƠNG MẠI DỊCH VỤ NHẤT LONG KHANG</t>
        </is>
      </c>
      <c r="F231" s="278" t="inlineStr">
        <is>
          <t>'3502446273</t>
        </is>
      </c>
      <c r="G231" s="182" t="inlineStr">
        <is>
          <t>thuê kho bãi bảo quản VTTB</t>
        </is>
      </c>
      <c r="H231" s="194" t="n">
        <v>7000000</v>
      </c>
      <c r="I231" s="180" t="n">
        <v>8</v>
      </c>
      <c r="J231" s="194" t="n">
        <v>560000</v>
      </c>
      <c r="K231" s="182" t="inlineStr">
        <is>
          <t>CK</t>
        </is>
      </c>
      <c r="L231" s="182" t="inlineStr">
        <is>
          <t>GL</t>
        </is>
      </c>
      <c r="M231" s="278" t="inlineStr">
        <is>
          <t>'3173</t>
        </is>
      </c>
      <c r="N231" s="181" t="n">
        <v>46295</v>
      </c>
      <c r="O231" s="181" t="n">
        <v>46295</v>
      </c>
      <c r="P231" s="194" t="n">
        <v>7560000</v>
      </c>
      <c r="Q231" s="180" t="inlineStr">
        <is>
          <t>Không xác định</t>
        </is>
      </c>
      <c r="R231" s="180" t="inlineStr">
        <is>
          <t>THAOPTT.HCM.VTA</t>
        </is>
      </c>
      <c r="S231" s="182" t="inlineStr">
        <is>
          <t>Not Reversed</t>
        </is>
      </c>
      <c r="T231" s="57">
        <f>IF(OR(LEN(F231)=11,LEN(F231)=15),"Đ","SAI")</f>
        <v/>
      </c>
      <c r="U231" s="529">
        <f>ROUND(H231*I231%,0)-J231</f>
        <v/>
      </c>
      <c r="V231" s="55">
        <f>IF(Q231=$V$12,13313,13311)</f>
        <v/>
      </c>
    </row>
    <row r="232" ht="14.4" customHeight="1" s="344">
      <c r="A232" s="180" t="n">
        <v>215</v>
      </c>
      <c r="B232" s="182" t="inlineStr">
        <is>
          <t>1C26TVH</t>
        </is>
      </c>
      <c r="C232" s="278" t="inlineStr">
        <is>
          <t>'18</t>
        </is>
      </c>
      <c r="D232" s="181" t="n">
        <v>46258</v>
      </c>
      <c r="E232" s="182" t="inlineStr">
        <is>
          <t>CÔNG TY TNHH XÂY DỰNG CẦU ĐƯỜNG VĂN HÙNG</t>
        </is>
      </c>
      <c r="F232" s="278" t="inlineStr">
        <is>
          <t>'3502237590</t>
        </is>
      </c>
      <c r="G232" s="182" t="inlineStr">
        <is>
          <t>hoàn trả, tái lập mặt đường</t>
        </is>
      </c>
      <c r="H232" s="194" t="n">
        <v>21111111</v>
      </c>
      <c r="I232" s="180" t="n">
        <v>8</v>
      </c>
      <c r="J232" s="194" t="n">
        <v>1688889</v>
      </c>
      <c r="K232" s="182" t="inlineStr">
        <is>
          <t>CK</t>
        </is>
      </c>
      <c r="L232" s="182" t="inlineStr">
        <is>
          <t>GL</t>
        </is>
      </c>
      <c r="M232" s="278" t="inlineStr">
        <is>
          <t>'3173</t>
        </is>
      </c>
      <c r="N232" s="181" t="n">
        <v>46295</v>
      </c>
      <c r="O232" s="181" t="n">
        <v>46295</v>
      </c>
      <c r="P232" s="194" t="n">
        <v>22800000</v>
      </c>
      <c r="Q232" s="180" t="inlineStr">
        <is>
          <t>Không xác định</t>
        </is>
      </c>
      <c r="R232" s="180" t="inlineStr">
        <is>
          <t>THAOPTT.HCM.VTA</t>
        </is>
      </c>
      <c r="S232" s="182" t="inlineStr">
        <is>
          <t>Not Reversed</t>
        </is>
      </c>
      <c r="T232" s="57">
        <f>IF(OR(LEN(F232)=11,LEN(F232)=15),"Đ","SAI")</f>
        <v/>
      </c>
      <c r="U232" s="529">
        <f>ROUND(H232*I232%,0)-J232</f>
        <v/>
      </c>
      <c r="V232" s="55">
        <f>IF(Q232=$V$12,13313,13311)</f>
        <v/>
      </c>
    </row>
    <row r="233" ht="14.4" customHeight="1" s="344">
      <c r="A233" s="180" t="n">
        <v>216</v>
      </c>
      <c r="B233" s="182" t="inlineStr">
        <is>
          <t>1K26TVA</t>
        </is>
      </c>
      <c r="C233" s="278" t="inlineStr">
        <is>
          <t>'2783565</t>
        </is>
      </c>
      <c r="D233" s="181" t="n">
        <v>46258</v>
      </c>
      <c r="E233" s="182" t="inlineStr">
        <is>
          <t>VIETTEL THÀNH PHỐ HỒ CHI MINH - CHI NHÁNH TẬP ĐOÀN CÔNG NGHIỆP - VIỄN THÔNG QUÂN ĐỘI</t>
        </is>
      </c>
      <c r="F233" s="278" t="inlineStr">
        <is>
          <t>'0100109106-122</t>
        </is>
      </c>
      <c r="G233" s="182" t="inlineStr">
        <is>
          <t>sim CA ký số Epayment</t>
        </is>
      </c>
      <c r="H233" s="194" t="n">
        <v>907407</v>
      </c>
      <c r="I233" s="180" t="n">
        <v>8</v>
      </c>
      <c r="J233" s="194" t="n">
        <v>72593</v>
      </c>
      <c r="K233" s="182" t="inlineStr">
        <is>
          <t>CK</t>
        </is>
      </c>
      <c r="L233" s="182" t="inlineStr">
        <is>
          <t>GL</t>
        </is>
      </c>
      <c r="M233" s="278" t="inlineStr">
        <is>
          <t>'3173</t>
        </is>
      </c>
      <c r="N233" s="181" t="n">
        <v>46295</v>
      </c>
      <c r="O233" s="181" t="n">
        <v>46295</v>
      </c>
      <c r="P233" s="194" t="n">
        <v>980000</v>
      </c>
      <c r="Q233" s="180" t="inlineStr">
        <is>
          <t>Không xác định</t>
        </is>
      </c>
      <c r="R233" s="180" t="inlineStr">
        <is>
          <t>THAOPTT.HCM.VTA</t>
        </is>
      </c>
      <c r="S233" s="182" t="inlineStr">
        <is>
          <t>Not Reversed</t>
        </is>
      </c>
      <c r="T233" s="57">
        <f>IF(OR(LEN(F233)=11,LEN(F233)=15),"Đ","SAI")</f>
        <v/>
      </c>
      <c r="U233" s="529">
        <f>ROUND(H233*I233%,0)-J233</f>
        <v/>
      </c>
      <c r="V233" s="55">
        <f>IF(Q233=$V$12,13313,13311)</f>
        <v/>
      </c>
    </row>
    <row r="234" ht="14.4" customHeight="1" s="344">
      <c r="A234" s="180" t="n">
        <v>217</v>
      </c>
      <c r="B234" s="182" t="inlineStr">
        <is>
          <t>1C26MTT</t>
        </is>
      </c>
      <c r="C234" s="278" t="inlineStr">
        <is>
          <t>'8391</t>
        </is>
      </c>
      <c r="D234" s="181" t="n">
        <v>46258</v>
      </c>
      <c r="E234" s="182" t="inlineStr">
        <is>
          <t>CÔNG TY TNHH VẬN TẢI DUY TUNG</t>
        </is>
      </c>
      <c r="F234" s="278" t="inlineStr">
        <is>
          <t>'3502545958</t>
        </is>
      </c>
      <c r="G234" s="182" t="inlineStr">
        <is>
          <t>cước vận chuyển VTTB ra Côn Đảo</t>
        </is>
      </c>
      <c r="H234" s="194" t="n">
        <v>4750000</v>
      </c>
      <c r="I234" s="180" t="n">
        <v>8</v>
      </c>
      <c r="J234" s="194" t="n">
        <v>380000</v>
      </c>
      <c r="K234" s="182" t="inlineStr">
        <is>
          <t>CK</t>
        </is>
      </c>
      <c r="L234" s="182" t="inlineStr">
        <is>
          <t>GL</t>
        </is>
      </c>
      <c r="M234" s="278" t="inlineStr">
        <is>
          <t>'3173</t>
        </is>
      </c>
      <c r="N234" s="181" t="n">
        <v>46295</v>
      </c>
      <c r="O234" s="181" t="n">
        <v>46295</v>
      </c>
      <c r="P234" s="194" t="n">
        <v>5130000</v>
      </c>
      <c r="Q234" s="180" t="inlineStr">
        <is>
          <t>Không xác định</t>
        </is>
      </c>
      <c r="R234" s="180" t="inlineStr">
        <is>
          <t>THAOPTT.HCM.VTA</t>
        </is>
      </c>
      <c r="S234" s="182" t="inlineStr">
        <is>
          <t>Not Reversed</t>
        </is>
      </c>
      <c r="T234" s="57">
        <f>IF(OR(LEN(F234)=11,LEN(F234)=15),"Đ","SAI")</f>
        <v/>
      </c>
      <c r="U234" s="529">
        <f>ROUND(H234*I234%,0)-J234</f>
        <v/>
      </c>
      <c r="V234" s="55">
        <f>IF(Q234=$V$12,13313,13311)</f>
        <v/>
      </c>
    </row>
    <row r="235" ht="21.65" customHeight="1" s="344">
      <c r="A235" s="180" t="n">
        <v>218</v>
      </c>
      <c r="B235" s="182" t="inlineStr">
        <is>
          <t>1C26TAT</t>
        </is>
      </c>
      <c r="C235" s="278" t="inlineStr">
        <is>
          <t>'1405</t>
        </is>
      </c>
      <c r="D235" s="181" t="n">
        <v>46289</v>
      </c>
      <c r="E235" s="182" t="inlineStr">
        <is>
          <t>CÔNG TY TNHH VÉ MÁY BAY AN TOÀN VŨNG TÀU</t>
        </is>
      </c>
      <c r="F235" s="278" t="inlineStr">
        <is>
          <t>'3502350959</t>
        </is>
      </c>
      <c r="G235" s="182" t="inlineStr">
        <is>
          <t>vé máy bay</t>
        </is>
      </c>
      <c r="H235" s="194" t="n">
        <v>1653667</v>
      </c>
      <c r="I235" s="180" t="n">
        <v>8</v>
      </c>
      <c r="J235" s="194" t="n">
        <v>132333</v>
      </c>
      <c r="K235" s="182" t="inlineStr">
        <is>
          <t>CK</t>
        </is>
      </c>
      <c r="L235" s="182" t="inlineStr">
        <is>
          <t>GL</t>
        </is>
      </c>
      <c r="M235" s="278" t="inlineStr">
        <is>
          <t>'3173</t>
        </is>
      </c>
      <c r="N235" s="181" t="n">
        <v>46295</v>
      </c>
      <c r="O235" s="181" t="n">
        <v>46295</v>
      </c>
      <c r="P235" s="194" t="n">
        <v>1786000</v>
      </c>
      <c r="Q235" s="180" t="inlineStr">
        <is>
          <t>Không xác định</t>
        </is>
      </c>
      <c r="R235" s="180" t="inlineStr">
        <is>
          <t>THAOPTT.HCM.VTA</t>
        </is>
      </c>
      <c r="S235" s="182" t="inlineStr">
        <is>
          <t>Not Reversed</t>
        </is>
      </c>
      <c r="T235" s="57">
        <f>IF(OR(LEN(F235)=11,LEN(F235)=15),"Đ","SAI")</f>
        <v/>
      </c>
      <c r="U235" s="529">
        <f>ROUND(H235*I235%,0)-J235</f>
        <v/>
      </c>
      <c r="V235" s="55">
        <f>IF(Q235=$V$12,13313,13311)</f>
        <v/>
      </c>
    </row>
    <row r="236" ht="21.65" customHeight="1" s="344">
      <c r="A236" s="180" t="n">
        <v>219</v>
      </c>
      <c r="B236" s="182" t="inlineStr">
        <is>
          <t>1C26MAT</t>
        </is>
      </c>
      <c r="C236" s="278" t="inlineStr">
        <is>
          <t>'3102</t>
        </is>
      </c>
      <c r="D236" s="181" t="n">
        <v>46289</v>
      </c>
      <c r="E236" s="182" t="inlineStr">
        <is>
          <t>CÔNG TY TNHH ĐẦU TƯ VÀ PHÁT TRIỂN ẨM THỰC THIÊN HƯƠNG</t>
        </is>
      </c>
      <c r="F236" s="278" t="inlineStr">
        <is>
          <t>'3502547056</t>
        </is>
      </c>
      <c r="G236" s="182" t="inlineStr">
        <is>
          <t>ăn uống</t>
        </is>
      </c>
      <c r="H236" s="194" t="n">
        <v>4575556</v>
      </c>
      <c r="I236" s="180" t="n">
        <v>8</v>
      </c>
      <c r="J236" s="194" t="n">
        <v>366044</v>
      </c>
      <c r="K236" s="182" t="inlineStr">
        <is>
          <t>CK</t>
        </is>
      </c>
      <c r="L236" s="182" t="inlineStr">
        <is>
          <t>GL</t>
        </is>
      </c>
      <c r="M236" s="278" t="inlineStr">
        <is>
          <t>'3173</t>
        </is>
      </c>
      <c r="N236" s="181" t="n">
        <v>46295</v>
      </c>
      <c r="O236" s="181" t="n">
        <v>46295</v>
      </c>
      <c r="P236" s="194" t="n">
        <v>4941600</v>
      </c>
      <c r="Q236" s="180" t="inlineStr">
        <is>
          <t>Không xác định</t>
        </is>
      </c>
      <c r="R236" s="180" t="inlineStr">
        <is>
          <t>THAOPTT.HCM.VTA</t>
        </is>
      </c>
      <c r="S236" s="182" t="inlineStr">
        <is>
          <t>Not Reversed</t>
        </is>
      </c>
      <c r="T236" s="57">
        <f>IF(OR(LEN(F236)=11,LEN(F236)=15),"Đ","SAI")</f>
        <v/>
      </c>
      <c r="U236" s="529">
        <f>ROUND(H236*I236%,0)-J236</f>
        <v/>
      </c>
      <c r="V236" s="55">
        <f>IF(Q236=$V$12,13313,13311)</f>
        <v/>
      </c>
    </row>
    <row r="237" ht="14.4" customHeight="1" s="344">
      <c r="A237" s="180" t="n">
        <v>220</v>
      </c>
      <c r="B237" s="182" t="inlineStr">
        <is>
          <t>1C26TCD</t>
        </is>
      </c>
      <c r="C237" s="278" t="inlineStr">
        <is>
          <t>'910</t>
        </is>
      </c>
      <c r="D237" s="181" t="n">
        <v>46289</v>
      </c>
      <c r="E237" s="182" t="inlineStr">
        <is>
          <t>CÔNG TY CP NƯỚC TINH KHIẾT CÔN ĐẢO XANH</t>
        </is>
      </c>
      <c r="F237" s="278" t="inlineStr">
        <is>
          <t>'3502519919</t>
        </is>
      </c>
      <c r="G237" s="182" t="inlineStr">
        <is>
          <t>hóa đơn nước uống</t>
        </is>
      </c>
      <c r="H237" s="194" t="n">
        <v>180000</v>
      </c>
      <c r="I237" s="180" t="n">
        <v>8</v>
      </c>
      <c r="J237" s="194" t="n">
        <v>14400</v>
      </c>
      <c r="K237" s="182" t="inlineStr">
        <is>
          <t>CK</t>
        </is>
      </c>
      <c r="L237" s="182" t="inlineStr">
        <is>
          <t>GL</t>
        </is>
      </c>
      <c r="M237" s="278" t="inlineStr">
        <is>
          <t>'3173</t>
        </is>
      </c>
      <c r="N237" s="181" t="n">
        <v>46295</v>
      </c>
      <c r="O237" s="181" t="n">
        <v>46295</v>
      </c>
      <c r="P237" s="194" t="n">
        <v>194400</v>
      </c>
      <c r="Q237" s="180" t="inlineStr">
        <is>
          <t>Không xác định</t>
        </is>
      </c>
      <c r="R237" s="180" t="inlineStr">
        <is>
          <t>THAOPTT.HCM.VTA</t>
        </is>
      </c>
      <c r="S237" s="182" t="inlineStr">
        <is>
          <t>Not Reversed</t>
        </is>
      </c>
      <c r="T237" s="57">
        <f>IF(OR(LEN(F237)=11,LEN(F237)=15),"Đ","SAI")</f>
        <v/>
      </c>
      <c r="U237" s="529">
        <f>ROUND(H237*I237%,0)-J237</f>
        <v/>
      </c>
      <c r="V237" s="55">
        <f>IF(Q237=$V$12,13313,13311)</f>
        <v/>
      </c>
    </row>
    <row r="238" ht="14.4" customHeight="1" s="344">
      <c r="A238" s="180" t="n">
        <v>221</v>
      </c>
      <c r="B238" s="182" t="inlineStr">
        <is>
          <t>1C26MGB</t>
        </is>
      </c>
      <c r="C238" s="278" t="inlineStr">
        <is>
          <t>'00016725</t>
        </is>
      </c>
      <c r="D238" s="181" t="n">
        <v>46290</v>
      </c>
      <c r="E238" s="182" t="inlineStr">
        <is>
          <t>DOANH NGHIỆP TƯ NHÂN XĂNG DẦU LONG PHƯỚC</t>
        </is>
      </c>
      <c r="F238" s="278" t="inlineStr">
        <is>
          <t>'3500354108</t>
        </is>
      </c>
      <c r="G238" s="182" t="inlineStr">
        <is>
          <t>đặt ăn</t>
        </is>
      </c>
      <c r="H238" s="194" t="n">
        <v>3367648</v>
      </c>
      <c r="I238" s="180" t="n">
        <v>8</v>
      </c>
      <c r="J238" s="194" t="n">
        <v>269412</v>
      </c>
      <c r="K238" s="182" t="inlineStr">
        <is>
          <t>CK</t>
        </is>
      </c>
      <c r="L238" s="182" t="inlineStr">
        <is>
          <t>GL</t>
        </is>
      </c>
      <c r="M238" s="278" t="inlineStr">
        <is>
          <t>'3173</t>
        </is>
      </c>
      <c r="N238" s="181" t="n">
        <v>46295</v>
      </c>
      <c r="O238" s="181" t="n">
        <v>46295</v>
      </c>
      <c r="P238" s="194" t="n">
        <v>3637060</v>
      </c>
      <c r="Q238" s="180" t="inlineStr">
        <is>
          <t>Không xác định</t>
        </is>
      </c>
      <c r="R238" s="180" t="inlineStr">
        <is>
          <t>THAOPTT.HCM.VTA</t>
        </is>
      </c>
      <c r="S238" s="182" t="inlineStr">
        <is>
          <t>Not Reversed</t>
        </is>
      </c>
      <c r="T238" s="57">
        <f>IF(OR(LEN(F238)=11,LEN(F238)=15),"Đ","SAI")</f>
        <v/>
      </c>
      <c r="U238" s="529">
        <f>ROUND(H238*I238%,0)-J238</f>
        <v/>
      </c>
      <c r="V238" s="55">
        <f>IF(Q238=$V$12,13313,13311)</f>
        <v/>
      </c>
    </row>
    <row r="239" ht="21.65" customHeight="1" s="344">
      <c r="A239" s="180" t="n">
        <v>222</v>
      </c>
      <c r="B239" s="182" t="inlineStr">
        <is>
          <t>1C26MGB</t>
        </is>
      </c>
      <c r="C239" s="278" t="inlineStr">
        <is>
          <t>'0016725</t>
        </is>
      </c>
      <c r="D239" s="181" t="n">
        <v>46290</v>
      </c>
      <c r="E239" s="182" t="inlineStr">
        <is>
          <t>DOANH NGHIỆP TƯ NHÂN XĂNG DẦU LONG PHƯỚC</t>
        </is>
      </c>
      <c r="F239" s="278" t="inlineStr">
        <is>
          <t>'3500354108</t>
        </is>
      </c>
      <c r="G239" s="182" t="inlineStr">
        <is>
          <t>đặt ăn</t>
        </is>
      </c>
      <c r="H239" s="194" t="n">
        <v>16000</v>
      </c>
      <c r="I239" s="180" t="n">
        <v>10</v>
      </c>
      <c r="J239" s="194" t="n">
        <v>1600</v>
      </c>
      <c r="K239" s="182" t="inlineStr">
        <is>
          <t>CK</t>
        </is>
      </c>
      <c r="L239" s="182" t="inlineStr">
        <is>
          <t>GL</t>
        </is>
      </c>
      <c r="M239" s="278" t="inlineStr">
        <is>
          <t>'3173</t>
        </is>
      </c>
      <c r="N239" s="181" t="n">
        <v>46295</v>
      </c>
      <c r="O239" s="181" t="n">
        <v>46295</v>
      </c>
      <c r="P239" s="194" t="n">
        <v>17600</v>
      </c>
      <c r="Q239" s="180" t="inlineStr">
        <is>
          <t>Không xác định</t>
        </is>
      </c>
      <c r="R239" s="180" t="inlineStr">
        <is>
          <t>THAOPTT.HCM.VTA</t>
        </is>
      </c>
      <c r="S239" s="182" t="inlineStr">
        <is>
          <t>Not Reversed</t>
        </is>
      </c>
      <c r="T239" s="57">
        <f>IF(OR(LEN(F239)=11,LEN(F239)=15),"Đ","SAI")</f>
        <v/>
      </c>
      <c r="U239" s="529">
        <f>ROUND(H239*I239%,0)-J239</f>
        <v/>
      </c>
      <c r="V239" s="55">
        <f>IF(Q239=$V$12,13313,13311)</f>
        <v/>
      </c>
    </row>
    <row r="240" ht="14.4" customHeight="1" s="344">
      <c r="A240" s="180" t="n">
        <v>223</v>
      </c>
      <c r="B240" s="182" t="inlineStr">
        <is>
          <t>1C26TVH</t>
        </is>
      </c>
      <c r="C240" s="278" t="inlineStr">
        <is>
          <t>'19</t>
        </is>
      </c>
      <c r="D240" s="181" t="n">
        <v>46260</v>
      </c>
      <c r="E240" s="182" t="inlineStr">
        <is>
          <t>CÔNG TY TNHH XÂY DỰNG CẦU ĐƯỜNG VĂN HÙNG</t>
        </is>
      </c>
      <c r="F240" s="278" t="inlineStr">
        <is>
          <t>'3502237590</t>
        </is>
      </c>
      <c r="G240" s="182" t="inlineStr">
        <is>
          <t>hoàn trả, tái lập mặt đường</t>
        </is>
      </c>
      <c r="H240" s="194" t="n">
        <v>21111111</v>
      </c>
      <c r="I240" s="180" t="n">
        <v>8</v>
      </c>
      <c r="J240" s="194" t="n">
        <v>1688889</v>
      </c>
      <c r="K240" s="182" t="inlineStr">
        <is>
          <t>CK</t>
        </is>
      </c>
      <c r="L240" s="182" t="inlineStr">
        <is>
          <t>GL</t>
        </is>
      </c>
      <c r="M240" s="278" t="inlineStr">
        <is>
          <t>'3173</t>
        </is>
      </c>
      <c r="N240" s="181" t="n">
        <v>46295</v>
      </c>
      <c r="O240" s="181" t="n">
        <v>46295</v>
      </c>
      <c r="P240" s="194" t="n">
        <v>22800000</v>
      </c>
      <c r="Q240" s="180" t="inlineStr">
        <is>
          <t>Không xác định</t>
        </is>
      </c>
      <c r="R240" s="180" t="inlineStr">
        <is>
          <t>THAOPTT.HCM.VTA</t>
        </is>
      </c>
      <c r="S240" s="182" t="inlineStr">
        <is>
          <t>Not Reversed</t>
        </is>
      </c>
      <c r="T240" s="57">
        <f>IF(OR(LEN(F240)=11,LEN(F240)=15),"Đ","SAI")</f>
        <v/>
      </c>
      <c r="U240" s="529">
        <f>ROUND(H240*I240%,0)-J240</f>
        <v/>
      </c>
      <c r="V240" s="55">
        <f>IF(Q240=$V$12,13313,13311)</f>
        <v/>
      </c>
    </row>
    <row r="241" ht="14.4" customHeight="1" s="344">
      <c r="A241" s="180" t="n">
        <v>224</v>
      </c>
      <c r="B241" s="182" t="inlineStr">
        <is>
          <t>1C26MGH</t>
        </is>
      </c>
      <c r="C241" s="278" t="inlineStr">
        <is>
          <t>'297396</t>
        </is>
      </c>
      <c r="D241" s="181" t="n">
        <v>46260</v>
      </c>
      <c r="E241" s="182" t="inlineStr">
        <is>
          <t>CÔNG TY TNHH SX TM DV THỰC PHẨM GIA HÂN</t>
        </is>
      </c>
      <c r="F241" s="278" t="inlineStr">
        <is>
          <t>'3502285629</t>
        </is>
      </c>
      <c r="G241" s="182" t="inlineStr">
        <is>
          <t>tea break</t>
        </is>
      </c>
      <c r="H241" s="194" t="n">
        <v>577778</v>
      </c>
      <c r="I241" s="180" t="n">
        <v>8</v>
      </c>
      <c r="J241" s="194" t="n">
        <v>46222</v>
      </c>
      <c r="K241" s="182" t="inlineStr">
        <is>
          <t>CK</t>
        </is>
      </c>
      <c r="L241" s="182" t="inlineStr">
        <is>
          <t>GL</t>
        </is>
      </c>
      <c r="M241" s="278" t="inlineStr">
        <is>
          <t>'3173</t>
        </is>
      </c>
      <c r="N241" s="181" t="n">
        <v>46295</v>
      </c>
      <c r="O241" s="181" t="n">
        <v>46295</v>
      </c>
      <c r="P241" s="194" t="n">
        <v>624000</v>
      </c>
      <c r="Q241" s="180" t="inlineStr">
        <is>
          <t>Không xác định</t>
        </is>
      </c>
      <c r="R241" s="180" t="inlineStr">
        <is>
          <t>THAOPTT.HCM.VTA</t>
        </is>
      </c>
      <c r="S241" s="182" t="inlineStr">
        <is>
          <t>Not Reversed</t>
        </is>
      </c>
      <c r="T241" s="57">
        <f>IF(OR(LEN(F241)=11,LEN(F241)=15),"Đ","SAI")</f>
        <v/>
      </c>
      <c r="U241" s="529">
        <f>ROUND(H241*I241%,0)-J241</f>
        <v/>
      </c>
      <c r="V241" s="55">
        <f>IF(Q241=$V$12,13313,13311)</f>
        <v/>
      </c>
    </row>
    <row r="242" ht="14.4" customHeight="1" s="344">
      <c r="A242" s="180" t="n">
        <v>225</v>
      </c>
      <c r="B242" s="182" t="inlineStr">
        <is>
          <t>1C26TAA</t>
        </is>
      </c>
      <c r="C242" s="278" t="inlineStr">
        <is>
          <t>'00000315</t>
        </is>
      </c>
      <c r="D242" s="181" t="n">
        <v>46261</v>
      </c>
      <c r="E242" s="182" t="inlineStr">
        <is>
          <t>CÔNG TY CỔ PHẦN CHUYỂN PHÁT NHANH TÍN TÂM EXPRESS</t>
        </is>
      </c>
      <c r="F242" s="278" t="inlineStr">
        <is>
          <t>'0317524179</t>
        </is>
      </c>
      <c r="G242" s="182" t="inlineStr">
        <is>
          <t>hóa đơn chuyển phát nhanh</t>
        </is>
      </c>
      <c r="H242" s="194" t="n">
        <v>3500606</v>
      </c>
      <c r="I242" s="180" t="n">
        <v>8</v>
      </c>
      <c r="J242" s="194" t="n">
        <v>280048</v>
      </c>
      <c r="K242" s="182" t="inlineStr">
        <is>
          <t>CK</t>
        </is>
      </c>
      <c r="L242" s="182" t="inlineStr">
        <is>
          <t>GL</t>
        </is>
      </c>
      <c r="M242" s="278" t="inlineStr">
        <is>
          <t>'3173</t>
        </is>
      </c>
      <c r="N242" s="181" t="n">
        <v>46295</v>
      </c>
      <c r="O242" s="181" t="n">
        <v>46295</v>
      </c>
      <c r="P242" s="194" t="n">
        <v>3780654</v>
      </c>
      <c r="Q242" s="180" t="inlineStr">
        <is>
          <t>Không xác định</t>
        </is>
      </c>
      <c r="R242" s="180" t="inlineStr">
        <is>
          <t>THAOPTT.HCM.VTA</t>
        </is>
      </c>
      <c r="S242" s="182" t="inlineStr">
        <is>
          <t>Not Reversed</t>
        </is>
      </c>
      <c r="T242" s="57">
        <f>IF(OR(LEN(F242)=11,LEN(F242)=15),"Đ","SAI")</f>
        <v/>
      </c>
      <c r="U242" s="529">
        <f>ROUND(H242*I242%,0)-J242</f>
        <v/>
      </c>
      <c r="V242" s="55">
        <f>IF(Q242=$V$12,13313,13311)</f>
        <v/>
      </c>
    </row>
    <row r="243" ht="14.4" customHeight="1" s="344">
      <c r="A243" s="180" t="n">
        <v>226</v>
      </c>
      <c r="B243" s="182" t="inlineStr">
        <is>
          <t>1K26TAN</t>
        </is>
      </c>
      <c r="C243" s="278" t="inlineStr">
        <is>
          <t>'50991</t>
        </is>
      </c>
      <c r="D243" s="181" t="n">
        <v>46261</v>
      </c>
      <c r="E243" s="182" t="inlineStr">
        <is>
          <t>CÔNG TY CỔ PHẦN ÁNH DƯƠNG VIỆT NAM</t>
        </is>
      </c>
      <c r="F243" s="278" t="inlineStr">
        <is>
          <t>'0302035520</t>
        </is>
      </c>
      <c r="G243" s="182" t="inlineStr">
        <is>
          <t>cước taxi</t>
        </is>
      </c>
      <c r="H243" s="194" t="n">
        <v>132407</v>
      </c>
      <c r="I243" s="180" t="n">
        <v>8</v>
      </c>
      <c r="J243" s="194" t="n">
        <v>10593</v>
      </c>
      <c r="K243" s="182" t="inlineStr">
        <is>
          <t>CK</t>
        </is>
      </c>
      <c r="L243" s="182" t="inlineStr">
        <is>
          <t>GL</t>
        </is>
      </c>
      <c r="M243" s="278" t="inlineStr">
        <is>
          <t>'3173</t>
        </is>
      </c>
      <c r="N243" s="181" t="n">
        <v>46295</v>
      </c>
      <c r="O243" s="181" t="n">
        <v>46295</v>
      </c>
      <c r="P243" s="194" t="n">
        <v>143000</v>
      </c>
      <c r="Q243" s="180" t="inlineStr">
        <is>
          <t>Không xác định</t>
        </is>
      </c>
      <c r="R243" s="180" t="inlineStr">
        <is>
          <t>THAOPTT.HCM.VTA</t>
        </is>
      </c>
      <c r="S243" s="182" t="inlineStr">
        <is>
          <t>Not Reversed</t>
        </is>
      </c>
      <c r="T243" s="57">
        <f>IF(OR(LEN(F243)=11,LEN(F243)=15),"Đ","SAI")</f>
        <v/>
      </c>
      <c r="U243" s="529">
        <f>ROUND(H243*I243%,0)-J243</f>
        <v/>
      </c>
      <c r="V243" s="55">
        <f>IF(Q243=$V$12,13313,13311)</f>
        <v/>
      </c>
    </row>
    <row r="244" ht="14.4" customHeight="1" s="344">
      <c r="A244" s="180" t="n">
        <v>227</v>
      </c>
      <c r="B244" s="182" t="inlineStr">
        <is>
          <t>1C25TKC</t>
        </is>
      </c>
      <c r="C244" s="278" t="inlineStr">
        <is>
          <t>'19</t>
        </is>
      </c>
      <c r="D244" s="181" t="n">
        <v>45988</v>
      </c>
      <c r="E244" s="182" t="inlineStr">
        <is>
          <t>CÔNG TY TNHH MỘT THÀNH VIÊN CƯỜNG KHÁNH CƯỜNG</t>
        </is>
      </c>
      <c r="F244" s="278" t="inlineStr">
        <is>
          <t>'3603267947</t>
        </is>
      </c>
      <c r="G244" s="182" t="inlineStr">
        <is>
          <t>thuê xe cuốc</t>
        </is>
      </c>
      <c r="H244" s="194" t="n">
        <v>4537038</v>
      </c>
      <c r="I244" s="180" t="n">
        <v>8</v>
      </c>
      <c r="J244" s="194" t="n">
        <v>362963</v>
      </c>
      <c r="K244" s="182" t="inlineStr">
        <is>
          <t>CK</t>
        </is>
      </c>
      <c r="L244" s="182" t="inlineStr">
        <is>
          <t>GL</t>
        </is>
      </c>
      <c r="M244" s="278" t="inlineStr">
        <is>
          <t>'3173</t>
        </is>
      </c>
      <c r="N244" s="181" t="n">
        <v>46295</v>
      </c>
      <c r="O244" s="181" t="n">
        <v>46295</v>
      </c>
      <c r="P244" s="194" t="n">
        <v>4900001</v>
      </c>
      <c r="Q244" s="180" t="inlineStr">
        <is>
          <t>Không xác định</t>
        </is>
      </c>
      <c r="R244" s="180" t="inlineStr">
        <is>
          <t>THAOPTT.HCM.VTA</t>
        </is>
      </c>
      <c r="S244" s="182" t="inlineStr">
        <is>
          <t>Not Reversed</t>
        </is>
      </c>
      <c r="T244" s="57">
        <f>IF(OR(LEN(F244)=11,LEN(F244)=15),"Đ","SAI")</f>
        <v/>
      </c>
      <c r="U244" s="529">
        <f>ROUND(H244*I244%,0)-J244</f>
        <v/>
      </c>
      <c r="V244" s="55">
        <f>IF(Q244=$V$12,13313,13311)</f>
        <v/>
      </c>
    </row>
    <row r="245" ht="21.65" customHeight="1" s="344">
      <c r="A245" s="180" t="n">
        <v>228</v>
      </c>
      <c r="B245" s="182" t="inlineStr">
        <is>
          <t>1C26TAA</t>
        </is>
      </c>
      <c r="C245" s="278" t="inlineStr">
        <is>
          <t>'00000276</t>
        </is>
      </c>
      <c r="D245" s="181" t="n">
        <v>46231</v>
      </c>
      <c r="E245" s="182" t="inlineStr">
        <is>
          <t>CÔNG TY CỔ PHẦN CHUYỂN PHÁT NHANH TÍN TÂM EXPRESS</t>
        </is>
      </c>
      <c r="F245" s="278" t="inlineStr">
        <is>
          <t>'0317524179</t>
        </is>
      </c>
      <c r="G245" s="182" t="inlineStr">
        <is>
          <t>hóa đơn  chuyển phát nhanh</t>
        </is>
      </c>
      <c r="H245" s="194" t="n">
        <v>252175</v>
      </c>
      <c r="I245" s="180" t="n">
        <v>8</v>
      </c>
      <c r="J245" s="194" t="n">
        <v>20174</v>
      </c>
      <c r="K245" s="182" t="inlineStr">
        <is>
          <t>CK</t>
        </is>
      </c>
      <c r="L245" s="182" t="inlineStr">
        <is>
          <t>GL</t>
        </is>
      </c>
      <c r="M245" s="278" t="inlineStr">
        <is>
          <t>'3173</t>
        </is>
      </c>
      <c r="N245" s="181" t="n">
        <v>46295</v>
      </c>
      <c r="O245" s="181" t="n">
        <v>46295</v>
      </c>
      <c r="P245" s="194" t="n">
        <v>272349</v>
      </c>
      <c r="Q245" s="180" t="inlineStr">
        <is>
          <t>Không xác định</t>
        </is>
      </c>
      <c r="R245" s="180" t="inlineStr">
        <is>
          <t>THAOPTT.HCM.VTA</t>
        </is>
      </c>
      <c r="S245" s="182" t="inlineStr">
        <is>
          <t>Not Reversed</t>
        </is>
      </c>
      <c r="T245" s="57">
        <f>IF(OR(LEN(F245)=11,LEN(F245)=15),"Đ","SAI")</f>
        <v/>
      </c>
      <c r="U245" s="529">
        <f>ROUND(H245*I245%,0)-J245</f>
        <v/>
      </c>
      <c r="V245" s="55">
        <f>IF(Q245=$V$12,13313,13311)</f>
        <v/>
      </c>
    </row>
    <row r="246" ht="21.65" customHeight="1" s="344">
      <c r="A246" s="180" t="n">
        <v>229</v>
      </c>
      <c r="B246" s="182" t="inlineStr">
        <is>
          <t>1C26MDT</t>
        </is>
      </c>
      <c r="C246" s="278" t="inlineStr">
        <is>
          <t>'00002468</t>
        </is>
      </c>
      <c r="D246" s="181" t="n">
        <v>46262</v>
      </c>
      <c r="E246" s="182" t="inlineStr">
        <is>
          <t>CÔNG TY TNHH TMDV DU LỊCH NHÀ HÀNG ĐỒNG TÂM</t>
        </is>
      </c>
      <c r="F246" s="278" t="inlineStr">
        <is>
          <t>'3502508674</t>
        </is>
      </c>
      <c r="G246" s="182" t="inlineStr">
        <is>
          <t>đặt ăn</t>
        </is>
      </c>
      <c r="H246" s="194" t="n">
        <v>6482000</v>
      </c>
      <c r="I246" s="180" t="n">
        <v>8</v>
      </c>
      <c r="J246" s="194" t="n">
        <v>518560</v>
      </c>
      <c r="K246" s="182" t="inlineStr">
        <is>
          <t>CK</t>
        </is>
      </c>
      <c r="L246" s="182" t="inlineStr">
        <is>
          <t>GL</t>
        </is>
      </c>
      <c r="M246" s="278" t="inlineStr">
        <is>
          <t>'3173</t>
        </is>
      </c>
      <c r="N246" s="181" t="n">
        <v>46295</v>
      </c>
      <c r="O246" s="181" t="n">
        <v>46295</v>
      </c>
      <c r="P246" s="194" t="n">
        <v>7000560</v>
      </c>
      <c r="Q246" s="180" t="inlineStr">
        <is>
          <t>Không xác định</t>
        </is>
      </c>
      <c r="R246" s="180" t="inlineStr">
        <is>
          <t>THAOPTT.HCM.VTA</t>
        </is>
      </c>
      <c r="S246" s="182" t="inlineStr">
        <is>
          <t>Not Reversed</t>
        </is>
      </c>
      <c r="T246" s="57">
        <f>IF(OR(LEN(F246)=11,LEN(F246)=15),"Đ","SAI")</f>
        <v/>
      </c>
      <c r="U246" s="529">
        <f>ROUND(H246*I246%,0)-J246</f>
        <v/>
      </c>
      <c r="V246" s="55">
        <f>IF(Q246=$V$12,13313,13311)</f>
        <v/>
      </c>
    </row>
    <row r="247" ht="21.65" customHeight="1" s="344">
      <c r="A247" s="180" t="n">
        <v>230</v>
      </c>
      <c r="B247" s="182" t="inlineStr">
        <is>
          <t>1C26TAT</t>
        </is>
      </c>
      <c r="C247" s="278" t="inlineStr">
        <is>
          <t>'1263</t>
        </is>
      </c>
      <c r="D247" s="181" t="n">
        <v>46262</v>
      </c>
      <c r="E247" s="182" t="inlineStr">
        <is>
          <t>CÔNG TY TNHH VÉ MÁY BAY AN TOÀN VŨNG TÀU</t>
        </is>
      </c>
      <c r="F247" s="278" t="inlineStr">
        <is>
          <t>'3502350959</t>
        </is>
      </c>
      <c r="G247" s="182" t="inlineStr">
        <is>
          <t>vé máy bay</t>
        </is>
      </c>
      <c r="H247" s="194" t="n">
        <v>4629630</v>
      </c>
      <c r="I247" s="180" t="n">
        <v>8</v>
      </c>
      <c r="J247" s="194" t="n">
        <v>370370</v>
      </c>
      <c r="K247" s="182" t="inlineStr">
        <is>
          <t>CK</t>
        </is>
      </c>
      <c r="L247" s="182" t="inlineStr">
        <is>
          <t>GL</t>
        </is>
      </c>
      <c r="M247" s="278" t="inlineStr">
        <is>
          <t>'3173</t>
        </is>
      </c>
      <c r="N247" s="181" t="n">
        <v>46295</v>
      </c>
      <c r="O247" s="181" t="n">
        <v>46295</v>
      </c>
      <c r="P247" s="194" t="n">
        <v>5000000</v>
      </c>
      <c r="Q247" s="180" t="inlineStr">
        <is>
          <t>Không xác định</t>
        </is>
      </c>
      <c r="R247" s="180" t="inlineStr">
        <is>
          <t>THAOPTT.HCM.VTA</t>
        </is>
      </c>
      <c r="S247" s="182" t="inlineStr">
        <is>
          <t>Not Reversed</t>
        </is>
      </c>
      <c r="T247" s="57">
        <f>IF(OR(LEN(F247)=11,LEN(F247)=15),"Đ","SAI")</f>
        <v/>
      </c>
      <c r="U247" s="529">
        <f>ROUND(H247*I247%,0)-J247</f>
        <v/>
      </c>
      <c r="V247" s="55">
        <f>IF(Q247=$V$12,13313,13311)</f>
        <v/>
      </c>
    </row>
    <row r="248" ht="21.65" customHeight="1" s="344">
      <c r="A248" s="180" t="n">
        <v>231</v>
      </c>
      <c r="B248" s="182" t="inlineStr">
        <is>
          <t>1C26TAT</t>
        </is>
      </c>
      <c r="C248" s="278" t="inlineStr">
        <is>
          <t>'1265</t>
        </is>
      </c>
      <c r="D248" s="181" t="n">
        <v>46262</v>
      </c>
      <c r="E248" s="182" t="inlineStr">
        <is>
          <t>CÔNG TY TRÁCH NHIỆM HỮU HẠN VÉ MÁY BAY AN TOÀN VŨNG TÀU</t>
        </is>
      </c>
      <c r="F248" s="278" t="inlineStr">
        <is>
          <t>'3502350959</t>
        </is>
      </c>
      <c r="G248" s="182" t="inlineStr">
        <is>
          <t>vé máy bay</t>
        </is>
      </c>
      <c r="H248" s="194" t="n">
        <v>2314815</v>
      </c>
      <c r="I248" s="180" t="n">
        <v>8</v>
      </c>
      <c r="J248" s="194" t="n">
        <v>185185</v>
      </c>
      <c r="K248" s="182" t="inlineStr">
        <is>
          <t>CK</t>
        </is>
      </c>
      <c r="L248" s="182" t="inlineStr">
        <is>
          <t>GL</t>
        </is>
      </c>
      <c r="M248" s="278" t="inlineStr">
        <is>
          <t>'3173</t>
        </is>
      </c>
      <c r="N248" s="181" t="n">
        <v>46295</v>
      </c>
      <c r="O248" s="181" t="n">
        <v>46295</v>
      </c>
      <c r="P248" s="194" t="n">
        <v>2500000</v>
      </c>
      <c r="Q248" s="180" t="inlineStr">
        <is>
          <t>Không xác định</t>
        </is>
      </c>
      <c r="R248" s="180" t="inlineStr">
        <is>
          <t>THAOPTT.HCM.VTA</t>
        </is>
      </c>
      <c r="S248" s="182" t="inlineStr">
        <is>
          <t>Not Reversed</t>
        </is>
      </c>
      <c r="T248" s="57">
        <f>IF(OR(LEN(F248)=11,LEN(F248)=15),"Đ","SAI")</f>
        <v/>
      </c>
      <c r="U248" s="529">
        <f>ROUND(H248*I248%,0)-J248</f>
        <v/>
      </c>
      <c r="V248" s="55">
        <f>IF(Q248=$V$12,13313,13311)</f>
        <v/>
      </c>
    </row>
    <row r="249" ht="21.65" customHeight="1" s="344">
      <c r="A249" s="180" t="n">
        <v>232</v>
      </c>
      <c r="B249" s="182" t="inlineStr">
        <is>
          <t>1C26TAT</t>
        </is>
      </c>
      <c r="C249" s="278" t="inlineStr">
        <is>
          <t>'1273</t>
        </is>
      </c>
      <c r="D249" s="181" t="n">
        <v>46262</v>
      </c>
      <c r="E249" s="182" t="inlineStr">
        <is>
          <t>CÔNG TY TNHH VÉ MÁY BAY AN TOÀN VŨNG TÀU</t>
        </is>
      </c>
      <c r="F249" s="278" t="inlineStr">
        <is>
          <t>'3502350959</t>
        </is>
      </c>
      <c r="G249" s="182" t="inlineStr">
        <is>
          <t>vé máy bay</t>
        </is>
      </c>
      <c r="H249" s="194" t="n">
        <v>2314815</v>
      </c>
      <c r="I249" s="180" t="n">
        <v>8</v>
      </c>
      <c r="J249" s="194" t="n">
        <v>185185</v>
      </c>
      <c r="K249" s="182" t="inlineStr">
        <is>
          <t>CK</t>
        </is>
      </c>
      <c r="L249" s="182" t="inlineStr">
        <is>
          <t>GL</t>
        </is>
      </c>
      <c r="M249" s="278" t="inlineStr">
        <is>
          <t>'3173</t>
        </is>
      </c>
      <c r="N249" s="181" t="n">
        <v>46295</v>
      </c>
      <c r="O249" s="181" t="n">
        <v>46295</v>
      </c>
      <c r="P249" s="194" t="n">
        <v>2500000</v>
      </c>
      <c r="Q249" s="180" t="inlineStr">
        <is>
          <t>Không xác định</t>
        </is>
      </c>
      <c r="R249" s="180" t="inlineStr">
        <is>
          <t>THAOPTT.HCM.VTA</t>
        </is>
      </c>
      <c r="S249" s="182" t="inlineStr">
        <is>
          <t>Not Reversed</t>
        </is>
      </c>
      <c r="T249" s="57">
        <f>IF(OR(LEN(F249)=11,LEN(F249)=15),"Đ","SAI")</f>
        <v/>
      </c>
      <c r="U249" s="529">
        <f>ROUND(H249*I249%,0)-J249</f>
        <v/>
      </c>
      <c r="V249" s="55">
        <f>IF(Q249=$V$12,13313,13311)</f>
        <v/>
      </c>
    </row>
    <row r="250" ht="21.65" customHeight="1" s="344">
      <c r="A250" s="180" t="n">
        <v>233</v>
      </c>
      <c r="B250" s="182" t="inlineStr">
        <is>
          <t>1K26TAH</t>
        </is>
      </c>
      <c r="C250" s="278" t="inlineStr">
        <is>
          <t>'1696</t>
        </is>
      </c>
      <c r="D250" s="181" t="n">
        <v>46262</v>
      </c>
      <c r="E250" s="182" t="inlineStr">
        <is>
          <t>TRƯỜNG CAO ĐẲNG ĐIỆN LỰC THÀNH PHỐ HỒ CHÍ MINH</t>
        </is>
      </c>
      <c r="F250" s="278" t="inlineStr">
        <is>
          <t>'0300942001-043</t>
        </is>
      </c>
      <c r="G250" s="182" t="inlineStr">
        <is>
          <t>hóa đơn ký túc xá</t>
        </is>
      </c>
      <c r="H250" s="194" t="n">
        <v>4166667</v>
      </c>
      <c r="I250" s="180" t="n">
        <v>8</v>
      </c>
      <c r="J250" s="194" t="n">
        <v>333333</v>
      </c>
      <c r="K250" s="182" t="inlineStr">
        <is>
          <t>CK</t>
        </is>
      </c>
      <c r="L250" s="182" t="inlineStr">
        <is>
          <t>GL</t>
        </is>
      </c>
      <c r="M250" s="278" t="inlineStr">
        <is>
          <t>'3173</t>
        </is>
      </c>
      <c r="N250" s="181" t="n">
        <v>46295</v>
      </c>
      <c r="O250" s="181" t="n">
        <v>46295</v>
      </c>
      <c r="P250" s="194" t="n">
        <v>4500000</v>
      </c>
      <c r="Q250" s="180" t="inlineStr">
        <is>
          <t>Không xác định</t>
        </is>
      </c>
      <c r="R250" s="180" t="inlineStr">
        <is>
          <t>THAOPTT.HCM.VTA</t>
        </is>
      </c>
      <c r="S250" s="182" t="inlineStr">
        <is>
          <t>Not Reversed</t>
        </is>
      </c>
      <c r="T250" s="57">
        <f>IF(OR(LEN(F250)=11,LEN(F250)=15),"Đ","SAI")</f>
        <v/>
      </c>
      <c r="U250" s="529">
        <f>ROUND(H250*I250%,0)-J250</f>
        <v/>
      </c>
      <c r="V250" s="55">
        <f>IF(Q250=$V$12,13313,13311)</f>
        <v/>
      </c>
    </row>
    <row r="251" ht="14.4" customHeight="1" s="344">
      <c r="A251" s="180" t="n">
        <v>234</v>
      </c>
      <c r="B251" s="182" t="inlineStr">
        <is>
          <t>1C26TBB</t>
        </is>
      </c>
      <c r="C251" s="278" t="inlineStr">
        <is>
          <t>'00057690</t>
        </is>
      </c>
      <c r="D251" s="181" t="n">
        <v>46263</v>
      </c>
      <c r="E251" s="182" t="inlineStr">
        <is>
          <t>CÔNG TY CỔ PHẦN DI CHUYỂN XANH VÀ THÔNG MINH GSM</t>
        </is>
      </c>
      <c r="F251" s="278" t="inlineStr">
        <is>
          <t>'0110269067</t>
        </is>
      </c>
      <c r="G251" s="182" t="inlineStr">
        <is>
          <t>cước taxi xanh SM</t>
        </is>
      </c>
      <c r="H251" s="194" t="n">
        <v>3317079</v>
      </c>
      <c r="I251" s="180" t="n">
        <v>8</v>
      </c>
      <c r="J251" s="194" t="n">
        <v>265366</v>
      </c>
      <c r="K251" s="182" t="inlineStr">
        <is>
          <t>CK</t>
        </is>
      </c>
      <c r="L251" s="182" t="inlineStr">
        <is>
          <t>GL</t>
        </is>
      </c>
      <c r="M251" s="278" t="inlineStr">
        <is>
          <t>'3173</t>
        </is>
      </c>
      <c r="N251" s="181" t="n">
        <v>46295</v>
      </c>
      <c r="O251" s="181" t="n">
        <v>46295</v>
      </c>
      <c r="P251" s="194" t="n">
        <v>3582445</v>
      </c>
      <c r="Q251" s="180" t="inlineStr">
        <is>
          <t>Không xác định</t>
        </is>
      </c>
      <c r="R251" s="180" t="inlineStr">
        <is>
          <t>THAOPTT.HCM.VTA</t>
        </is>
      </c>
      <c r="S251" s="182" t="inlineStr">
        <is>
          <t>Not Reversed</t>
        </is>
      </c>
      <c r="T251" s="57">
        <f>IF(OR(LEN(F251)=11,LEN(F251)=15),"Đ","SAI")</f>
        <v/>
      </c>
      <c r="U251" s="529">
        <f>ROUND(H251*I251%,0)-J251</f>
        <v/>
      </c>
      <c r="V251" s="55">
        <f>IF(Q251=$V$12,13313,13311)</f>
        <v/>
      </c>
    </row>
    <row r="252" ht="14.4" customHeight="1" s="344">
      <c r="A252" s="180" t="n">
        <v>235</v>
      </c>
      <c r="B252" s="182" t="inlineStr">
        <is>
          <t>1C26TLK</t>
        </is>
      </c>
      <c r="C252" s="278" t="inlineStr">
        <is>
          <t>'00000012</t>
        </is>
      </c>
      <c r="D252" s="181" t="n">
        <v>46233</v>
      </c>
      <c r="E252" s="182" t="inlineStr">
        <is>
          <t>CÔNG TY TNHH THƯƠNG MẠI DỊCH VỤ NHẤT LONG KHANG</t>
        </is>
      </c>
      <c r="F252" s="278" t="inlineStr">
        <is>
          <t>'3502446273</t>
        </is>
      </c>
      <c r="G252" s="182" t="inlineStr">
        <is>
          <t>thuê kho bãi bảo quản VTTB</t>
        </is>
      </c>
      <c r="H252" s="194" t="n">
        <v>30000000</v>
      </c>
      <c r="I252" s="180" t="n">
        <v>8</v>
      </c>
      <c r="J252" s="194" t="n">
        <v>2400000</v>
      </c>
      <c r="K252" s="182" t="inlineStr">
        <is>
          <t>CK</t>
        </is>
      </c>
      <c r="L252" s="182" t="inlineStr">
        <is>
          <t>GL</t>
        </is>
      </c>
      <c r="M252" s="278" t="inlineStr">
        <is>
          <t>'3173</t>
        </is>
      </c>
      <c r="N252" s="181" t="n">
        <v>46295</v>
      </c>
      <c r="O252" s="181" t="n">
        <v>46295</v>
      </c>
      <c r="P252" s="194" t="n">
        <v>32400000</v>
      </c>
      <c r="Q252" s="180" t="inlineStr">
        <is>
          <t>Không xác định</t>
        </is>
      </c>
      <c r="R252" s="180" t="inlineStr">
        <is>
          <t>THAOPTT.HCM.VTA</t>
        </is>
      </c>
      <c r="S252" s="182" t="inlineStr">
        <is>
          <t>Not Reversed</t>
        </is>
      </c>
      <c r="T252" s="57">
        <f>IF(OR(LEN(F252)=11,LEN(F252)=15),"Đ","SAI")</f>
        <v/>
      </c>
      <c r="U252" s="529">
        <f>ROUND(H252*I252%,0)-J252</f>
        <v/>
      </c>
      <c r="V252" s="55">
        <f>IF(Q252=$V$12,13313,13311)</f>
        <v/>
      </c>
    </row>
    <row r="253" ht="14.4" customHeight="1" s="344">
      <c r="A253" s="180" t="n">
        <v>236</v>
      </c>
      <c r="B253" s="182" t="inlineStr">
        <is>
          <t>1C26MTT</t>
        </is>
      </c>
      <c r="C253" s="278" t="inlineStr">
        <is>
          <t>'7672</t>
        </is>
      </c>
      <c r="D253" s="181" t="n">
        <v>46233</v>
      </c>
      <c r="E253" s="182" t="inlineStr">
        <is>
          <t>CÔNG TY TNHH VẬN TẢI DUY TUNG</t>
        </is>
      </c>
      <c r="F253" s="278" t="inlineStr">
        <is>
          <t>'3502545958</t>
        </is>
      </c>
      <c r="G253" s="182" t="inlineStr">
        <is>
          <t>cước vận chuyển VTTB ra Côn Đảo</t>
        </is>
      </c>
      <c r="H253" s="194" t="n">
        <v>6200000</v>
      </c>
      <c r="I253" s="180" t="n">
        <v>8</v>
      </c>
      <c r="J253" s="194" t="n">
        <v>496000</v>
      </c>
      <c r="K253" s="182" t="inlineStr">
        <is>
          <t>CK</t>
        </is>
      </c>
      <c r="L253" s="182" t="inlineStr">
        <is>
          <t>GL</t>
        </is>
      </c>
      <c r="M253" s="278" t="inlineStr">
        <is>
          <t>'3173</t>
        </is>
      </c>
      <c r="N253" s="181" t="n">
        <v>46295</v>
      </c>
      <c r="O253" s="181" t="n">
        <v>46295</v>
      </c>
      <c r="P253" s="194" t="n">
        <v>6696000</v>
      </c>
      <c r="Q253" s="180" t="inlineStr">
        <is>
          <t>Không xác định</t>
        </is>
      </c>
      <c r="R253" s="180" t="inlineStr">
        <is>
          <t>THAOPTT.HCM.VTA</t>
        </is>
      </c>
      <c r="S253" s="182" t="inlineStr">
        <is>
          <t>Not Reversed</t>
        </is>
      </c>
      <c r="T253" s="57">
        <f>IF(OR(LEN(F253)=11,LEN(F253)=15),"Đ","SAI")</f>
        <v/>
      </c>
      <c r="U253" s="529">
        <f>ROUND(H253*I253%,0)-J253</f>
        <v/>
      </c>
      <c r="V253" s="55">
        <f>IF(Q253=$V$12,13313,13311)</f>
        <v/>
      </c>
    </row>
    <row r="254" ht="31.75" customHeight="1" s="344">
      <c r="A254" s="180" t="n">
        <v>237</v>
      </c>
      <c r="B254" s="182" t="inlineStr">
        <is>
          <t>1C26MCC</t>
        </is>
      </c>
      <c r="C254" s="278" t="inlineStr">
        <is>
          <t>'00192030</t>
        </is>
      </c>
      <c r="D254" s="181" t="n">
        <v>46234</v>
      </c>
      <c r="E254" s="182" t="inlineStr">
        <is>
          <t>CÔNG TY CỔ PHẦN DỊCH VỤ PHÁT TRIỂN GIAO THÔNG VẬN TẢI VŨNG TÀU</t>
        </is>
      </c>
      <c r="F254" s="278" t="inlineStr">
        <is>
          <t>'3502280613</t>
        </is>
      </c>
      <c r="G254" s="182" t="inlineStr">
        <is>
          <t>nhớt T08-2026_VPCT</t>
        </is>
      </c>
      <c r="H254" s="194" t="n">
        <v>2031944</v>
      </c>
      <c r="I254" s="180" t="n">
        <v>8</v>
      </c>
      <c r="J254" s="194" t="n">
        <v>162556</v>
      </c>
      <c r="K254" s="182" t="inlineStr">
        <is>
          <t>CK</t>
        </is>
      </c>
      <c r="L254" s="182" t="inlineStr">
        <is>
          <t>GL</t>
        </is>
      </c>
      <c r="M254" s="278" t="inlineStr">
        <is>
          <t>'3173</t>
        </is>
      </c>
      <c r="N254" s="181" t="n">
        <v>46295</v>
      </c>
      <c r="O254" s="181" t="n">
        <v>46295</v>
      </c>
      <c r="P254" s="194" t="n">
        <v>2194500</v>
      </c>
      <c r="Q254" s="180" t="inlineStr">
        <is>
          <t>Không xác định</t>
        </is>
      </c>
      <c r="R254" s="180" t="inlineStr">
        <is>
          <t>THAOPTT.HCM.VTA</t>
        </is>
      </c>
      <c r="S254" s="182" t="inlineStr">
        <is>
          <t>Not Reversed</t>
        </is>
      </c>
      <c r="T254" s="57">
        <f>IF(OR(LEN(F254)=11,LEN(F254)=15),"Đ","SAI")</f>
        <v/>
      </c>
      <c r="U254" s="529">
        <f>ROUND(H254*I254%,0)-J254</f>
        <v/>
      </c>
      <c r="V254" s="55">
        <f>IF(Q254=$V$12,13313,13311)</f>
        <v/>
      </c>
    </row>
    <row r="255" ht="14.4" customHeight="1" s="344">
      <c r="A255" s="180" t="n">
        <v>238</v>
      </c>
      <c r="B255" s="182" t="inlineStr">
        <is>
          <t>1C26THC</t>
        </is>
      </c>
      <c r="C255" s="278" t="inlineStr">
        <is>
          <t>'00094860</t>
        </is>
      </c>
      <c r="D255" s="181" t="n">
        <v>46265</v>
      </c>
      <c r="E255" s="182" t="inlineStr">
        <is>
          <t>CÔNG TY TNHH LA VIE</t>
        </is>
      </c>
      <c r="F255" s="278" t="inlineStr">
        <is>
          <t>'1100101187</t>
        </is>
      </c>
      <c r="G255" s="182" t="inlineStr">
        <is>
          <t>nước uống CBNV</t>
        </is>
      </c>
      <c r="H255" s="194" t="n">
        <v>1617000</v>
      </c>
      <c r="I255" s="180" t="n">
        <v>8</v>
      </c>
      <c r="J255" s="194" t="n">
        <v>129360</v>
      </c>
      <c r="K255" s="182" t="inlineStr">
        <is>
          <t>CK</t>
        </is>
      </c>
      <c r="L255" s="182" t="inlineStr">
        <is>
          <t>GL</t>
        </is>
      </c>
      <c r="M255" s="278" t="inlineStr">
        <is>
          <t>'3173</t>
        </is>
      </c>
      <c r="N255" s="181" t="n">
        <v>46295</v>
      </c>
      <c r="O255" s="181" t="n">
        <v>46295</v>
      </c>
      <c r="P255" s="194" t="n">
        <v>1746360</v>
      </c>
      <c r="Q255" s="180" t="inlineStr">
        <is>
          <t>Không xác định</t>
        </is>
      </c>
      <c r="R255" s="180" t="inlineStr">
        <is>
          <t>THAOPTT.HCM.VTA</t>
        </is>
      </c>
      <c r="S255" s="182" t="inlineStr">
        <is>
          <t>Not Reversed</t>
        </is>
      </c>
      <c r="T255" s="57">
        <f>IF(OR(LEN(F255)=11,LEN(F255)=15),"Đ","SAI")</f>
        <v/>
      </c>
      <c r="U255" s="529">
        <f>ROUND(H255*I255%,0)-J255</f>
        <v/>
      </c>
      <c r="V255" s="55">
        <f>IF(Q255=$V$12,13313,13311)</f>
        <v/>
      </c>
    </row>
    <row r="256" ht="21.65" customHeight="1" s="344">
      <c r="A256" s="180" t="n">
        <v>239</v>
      </c>
      <c r="B256" s="182" t="inlineStr">
        <is>
          <t>1C26THC</t>
        </is>
      </c>
      <c r="C256" s="278" t="inlineStr">
        <is>
          <t>'00097095</t>
        </is>
      </c>
      <c r="D256" s="181" t="n">
        <v>46265</v>
      </c>
      <c r="E256" s="182" t="inlineStr">
        <is>
          <t>CÔNG TY TNHH LA VIE</t>
        </is>
      </c>
      <c r="F256" s="278" t="inlineStr">
        <is>
          <t>'1100101187</t>
        </is>
      </c>
      <c r="G256" s="182" t="inlineStr">
        <is>
          <t>nước uống CBNV</t>
        </is>
      </c>
      <c r="H256" s="194" t="n">
        <v>500500</v>
      </c>
      <c r="I256" s="180" t="n">
        <v>8</v>
      </c>
      <c r="J256" s="194" t="n">
        <v>40040</v>
      </c>
      <c r="K256" s="182" t="inlineStr">
        <is>
          <t>CK</t>
        </is>
      </c>
      <c r="L256" s="182" t="inlineStr">
        <is>
          <t>GL</t>
        </is>
      </c>
      <c r="M256" s="278" t="inlineStr">
        <is>
          <t>'3173</t>
        </is>
      </c>
      <c r="N256" s="181" t="n">
        <v>46295</v>
      </c>
      <c r="O256" s="181" t="n">
        <v>46295</v>
      </c>
      <c r="P256" s="194" t="n">
        <v>540540</v>
      </c>
      <c r="Q256" s="180" t="inlineStr">
        <is>
          <t>Không xác định</t>
        </is>
      </c>
      <c r="R256" s="180" t="inlineStr">
        <is>
          <t>THAOPTT.HCM.VTA</t>
        </is>
      </c>
      <c r="S256" s="182" t="inlineStr">
        <is>
          <t>Not Reversed</t>
        </is>
      </c>
      <c r="T256" s="57">
        <f>IF(OR(LEN(F256)=11,LEN(F256)=15),"Đ","SAI")</f>
        <v/>
      </c>
      <c r="U256" s="529">
        <f>ROUND(H256*I256%,0)-J256</f>
        <v/>
      </c>
      <c r="V256" s="55">
        <f>IF(Q256=$V$12,13313,13311)</f>
        <v/>
      </c>
    </row>
    <row r="257" ht="14.4" customHeight="1" s="344">
      <c r="A257" s="180" t="n">
        <v>240</v>
      </c>
      <c r="B257" s="182" t="inlineStr">
        <is>
          <t>1C26TPN</t>
        </is>
      </c>
      <c r="C257" s="278" t="inlineStr">
        <is>
          <t>'1003</t>
        </is>
      </c>
      <c r="D257" s="181" t="n">
        <v>46265</v>
      </c>
      <c r="E257" s="182" t="inlineStr">
        <is>
          <t>CÔNG TY CỔ PHẦN DỊCH VỤ BẢO VỆ PHƯƠNG NAM</t>
        </is>
      </c>
      <c r="F257" s="278" t="inlineStr">
        <is>
          <t>'3501012749</t>
        </is>
      </c>
      <c r="G257" s="182" t="inlineStr">
        <is>
          <t>dịch vụ vệ sinh T08-2026</t>
        </is>
      </c>
      <c r="H257" s="194" t="n">
        <v>6944444</v>
      </c>
      <c r="I257" s="180" t="n">
        <v>8</v>
      </c>
      <c r="J257" s="194" t="n">
        <v>555556</v>
      </c>
      <c r="K257" s="182" t="inlineStr">
        <is>
          <t>CK</t>
        </is>
      </c>
      <c r="L257" s="182" t="inlineStr">
        <is>
          <t>GL</t>
        </is>
      </c>
      <c r="M257" s="278" t="inlineStr">
        <is>
          <t>'3173</t>
        </is>
      </c>
      <c r="N257" s="181" t="n">
        <v>46295</v>
      </c>
      <c r="O257" s="181" t="n">
        <v>46295</v>
      </c>
      <c r="P257" s="194" t="n">
        <v>7500000</v>
      </c>
      <c r="Q257" s="180" t="inlineStr">
        <is>
          <t>Không xác định</t>
        </is>
      </c>
      <c r="R257" s="180" t="inlineStr">
        <is>
          <t>THAOPTT.HCM.VTA</t>
        </is>
      </c>
      <c r="S257" s="182" t="inlineStr">
        <is>
          <t>Not Reversed</t>
        </is>
      </c>
      <c r="T257" s="57">
        <f>IF(OR(LEN(F257)=11,LEN(F257)=15),"Đ","SAI")</f>
        <v/>
      </c>
      <c r="U257" s="529">
        <f>ROUND(H257*I257%,0)-J257</f>
        <v/>
      </c>
      <c r="V257" s="55">
        <f>IF(Q257=$V$12,13313,13311)</f>
        <v/>
      </c>
    </row>
    <row r="258" ht="21.65" customHeight="1" s="344">
      <c r="A258" s="180" t="n">
        <v>241</v>
      </c>
      <c r="B258" s="182" t="inlineStr">
        <is>
          <t>1C26TPN</t>
        </is>
      </c>
      <c r="C258" s="278" t="inlineStr">
        <is>
          <t>'1004</t>
        </is>
      </c>
      <c r="D258" s="181" t="n">
        <v>46265</v>
      </c>
      <c r="E258" s="182" t="inlineStr">
        <is>
          <t>CÔNG TY CỔ PHẦN DỊCH VỤ BẢO VỆ PHƯƠNG NAM</t>
        </is>
      </c>
      <c r="F258" s="278" t="inlineStr">
        <is>
          <t>'3501012749</t>
        </is>
      </c>
      <c r="G258" s="182" t="inlineStr">
        <is>
          <t>dịch vụ vệ sinh T08-2026</t>
        </is>
      </c>
      <c r="H258" s="194" t="n">
        <v>6944444</v>
      </c>
      <c r="I258" s="180" t="n">
        <v>8</v>
      </c>
      <c r="J258" s="194" t="n">
        <v>555556</v>
      </c>
      <c r="K258" s="182" t="inlineStr">
        <is>
          <t>CK</t>
        </is>
      </c>
      <c r="L258" s="182" t="inlineStr">
        <is>
          <t>GL</t>
        </is>
      </c>
      <c r="M258" s="278" t="inlineStr">
        <is>
          <t>'3173</t>
        </is>
      </c>
      <c r="N258" s="181" t="n">
        <v>46295</v>
      </c>
      <c r="O258" s="181" t="n">
        <v>46295</v>
      </c>
      <c r="P258" s="194" t="n">
        <v>7500000</v>
      </c>
      <c r="Q258" s="180" t="inlineStr">
        <is>
          <t>Không xác định</t>
        </is>
      </c>
      <c r="R258" s="180" t="inlineStr">
        <is>
          <t>THAOPTT.HCM.VTA</t>
        </is>
      </c>
      <c r="S258" s="182" t="inlineStr">
        <is>
          <t>Not Reversed</t>
        </is>
      </c>
      <c r="T258" s="57">
        <f>IF(OR(LEN(F258)=11,LEN(F258)=15),"Đ","SAI")</f>
        <v/>
      </c>
      <c r="U258" s="529">
        <f>ROUND(H258*I258%,0)-J258</f>
        <v/>
      </c>
      <c r="V258" s="55">
        <f>IF(Q258=$V$12,13313,13311)</f>
        <v/>
      </c>
    </row>
    <row r="259" ht="21.65" customHeight="1" s="344">
      <c r="A259" s="180" t="n">
        <v>242</v>
      </c>
      <c r="B259" s="182" t="inlineStr">
        <is>
          <t>1C26TTT</t>
        </is>
      </c>
      <c r="C259" s="278" t="inlineStr">
        <is>
          <t>'12</t>
        </is>
      </c>
      <c r="D259" s="181" t="n">
        <v>46237</v>
      </c>
      <c r="E259" s="182" t="inlineStr">
        <is>
          <t>CTY TNHH DỊCH VỤ DU LỊCH TOÀN THỊNH</t>
        </is>
      </c>
      <c r="F259" s="278" t="inlineStr">
        <is>
          <t>'3502280116</t>
        </is>
      </c>
      <c r="G259" s="182" t="inlineStr">
        <is>
          <t>ĐIỆN MTMN T06-2026</t>
        </is>
      </c>
      <c r="H259" s="194" t="n">
        <v>660970</v>
      </c>
      <c r="I259" s="180" t="n">
        <v>8</v>
      </c>
      <c r="J259" s="194" t="n">
        <v>52878</v>
      </c>
      <c r="K259" s="182" t="inlineStr">
        <is>
          <t>CK</t>
        </is>
      </c>
      <c r="L259" s="182" t="inlineStr">
        <is>
          <t>GL</t>
        </is>
      </c>
      <c r="M259" s="278" t="inlineStr">
        <is>
          <t>'3175</t>
        </is>
      </c>
      <c r="N259" s="181" t="n">
        <v>46295</v>
      </c>
      <c r="O259" s="181" t="n">
        <v>46295</v>
      </c>
      <c r="P259" s="194" t="n">
        <v>713848</v>
      </c>
      <c r="Q259" s="180" t="inlineStr">
        <is>
          <t>Năng lượng mặt trời</t>
        </is>
      </c>
      <c r="R259" s="180" t="inlineStr">
        <is>
          <t>THAOPTT.HCM.VTA</t>
        </is>
      </c>
      <c r="S259" s="182" t="inlineStr">
        <is>
          <t>Not Reversed</t>
        </is>
      </c>
      <c r="T259" s="57">
        <f>IF(OR(LEN(F259)=11,LEN(F259)=15),"Đ","SAI")</f>
        <v/>
      </c>
      <c r="U259" s="529">
        <f>ROUND(H259*I259%,0)-J259</f>
        <v/>
      </c>
      <c r="V259" s="55">
        <f>IF(Q259=$V$12,13313,13311)</f>
        <v/>
      </c>
    </row>
    <row r="260" ht="21.65" customHeight="1" s="344">
      <c r="A260" s="180" t="n">
        <v>243</v>
      </c>
      <c r="B260" s="182" t="inlineStr">
        <is>
          <t>1C26TNP</t>
        </is>
      </c>
      <c r="C260" s="278" t="inlineStr">
        <is>
          <t>'15</t>
        </is>
      </c>
      <c r="D260" s="181" t="n">
        <v>46268</v>
      </c>
      <c r="E260" s="182" t="inlineStr">
        <is>
          <t>Doanh nghiệp tư nhân Nguyễn Phước</t>
        </is>
      </c>
      <c r="F260" s="278" t="inlineStr">
        <is>
          <t>'3500435011</t>
        </is>
      </c>
      <c r="G260" s="182" t="inlineStr">
        <is>
          <t>ĐIỆN MTMN T08-2026</t>
        </is>
      </c>
      <c r="H260" s="194" t="n">
        <v>4073175</v>
      </c>
      <c r="I260" s="180" t="n">
        <v>8</v>
      </c>
      <c r="J260" s="194" t="n">
        <v>325854</v>
      </c>
      <c r="K260" s="182" t="inlineStr">
        <is>
          <t>CK</t>
        </is>
      </c>
      <c r="L260" s="182" t="inlineStr">
        <is>
          <t>GL</t>
        </is>
      </c>
      <c r="M260" s="278" t="inlineStr">
        <is>
          <t>'3175</t>
        </is>
      </c>
      <c r="N260" s="181" t="n">
        <v>46295</v>
      </c>
      <c r="O260" s="181" t="n">
        <v>46295</v>
      </c>
      <c r="P260" s="194" t="n">
        <v>4399029</v>
      </c>
      <c r="Q260" s="180" t="inlineStr">
        <is>
          <t>Năng lượng mặt trời</t>
        </is>
      </c>
      <c r="R260" s="180" t="inlineStr">
        <is>
          <t>THAOPTT.HCM.VTA</t>
        </is>
      </c>
      <c r="S260" s="182" t="inlineStr">
        <is>
          <t>Not Reversed</t>
        </is>
      </c>
      <c r="T260" s="57">
        <f>IF(OR(LEN(F260)=11,LEN(F260)=15),"Đ","SAI")</f>
        <v/>
      </c>
      <c r="U260" s="529">
        <f>ROUND(H260*I260%,0)-J260</f>
        <v/>
      </c>
      <c r="V260" s="55">
        <f>IF(Q260=$V$12,13313,13311)</f>
        <v/>
      </c>
    </row>
    <row r="261" ht="21.65" customHeight="1" s="344">
      <c r="A261" s="180" t="n">
        <v>244</v>
      </c>
      <c r="B261" s="182" t="inlineStr">
        <is>
          <t>1C26TYY</t>
        </is>
      </c>
      <c r="C261" s="278" t="inlineStr">
        <is>
          <t>'16</t>
        </is>
      </c>
      <c r="D261" s="181" t="n">
        <v>46268</v>
      </c>
      <c r="E261" s="182" t="inlineStr">
        <is>
          <t>Công ty Cổ Phần Năng Lượng Tái Tạo Sông Thao</t>
        </is>
      </c>
      <c r="F261" s="278" t="inlineStr">
        <is>
          <t>'0109325038</t>
        </is>
      </c>
      <c r="G261" s="182" t="inlineStr">
        <is>
          <t>ĐIỆN MTMN T08-2026</t>
        </is>
      </c>
      <c r="H261" s="194" t="n">
        <v>206757310</v>
      </c>
      <c r="I261" s="180" t="n">
        <v>8</v>
      </c>
      <c r="J261" s="194" t="n">
        <v>16540585</v>
      </c>
      <c r="K261" s="182" t="inlineStr">
        <is>
          <t>CK</t>
        </is>
      </c>
      <c r="L261" s="182" t="inlineStr">
        <is>
          <t>GL</t>
        </is>
      </c>
      <c r="M261" s="278" t="inlineStr">
        <is>
          <t>'3175</t>
        </is>
      </c>
      <c r="N261" s="181" t="n">
        <v>46295</v>
      </c>
      <c r="O261" s="181" t="n">
        <v>46295</v>
      </c>
      <c r="P261" s="194" t="n">
        <v>223297895</v>
      </c>
      <c r="Q261" s="180" t="inlineStr">
        <is>
          <t>Năng lượng mặt trời</t>
        </is>
      </c>
      <c r="R261" s="180" t="inlineStr">
        <is>
          <t>THAOPTT.HCM.VTA</t>
        </is>
      </c>
      <c r="S261" s="182" t="inlineStr">
        <is>
          <t>Not Reversed</t>
        </is>
      </c>
      <c r="T261" s="57">
        <f>IF(OR(LEN(F261)=11,LEN(F261)=15),"Đ","SAI")</f>
        <v/>
      </c>
      <c r="U261" s="529">
        <f>ROUND(H261*I261%,0)-J261</f>
        <v/>
      </c>
      <c r="V261" s="55">
        <f>IF(Q261=$V$12,13313,13311)</f>
        <v/>
      </c>
    </row>
    <row r="262" ht="21.65" customHeight="1" s="344">
      <c r="A262" s="180" t="n">
        <v>245</v>
      </c>
      <c r="B262" s="182" t="inlineStr">
        <is>
          <t>1C26TPY</t>
        </is>
      </c>
      <c r="C262" s="278" t="inlineStr">
        <is>
          <t>'17</t>
        </is>
      </c>
      <c r="D262" s="181" t="n">
        <v>46268</v>
      </c>
      <c r="E262" s="182" t="inlineStr">
        <is>
          <t>Công ty Cổ Phần Năng Lượng Phúc Ý</t>
        </is>
      </c>
      <c r="F262" s="278" t="inlineStr">
        <is>
          <t>'0901082015</t>
        </is>
      </c>
      <c r="G262" s="182" t="inlineStr">
        <is>
          <t>ĐIỆN MTMN T08-2026</t>
        </is>
      </c>
      <c r="H262" s="194" t="n">
        <v>268640100</v>
      </c>
      <c r="I262" s="180" t="n">
        <v>8</v>
      </c>
      <c r="J262" s="194" t="n">
        <v>21491208</v>
      </c>
      <c r="K262" s="182" t="inlineStr">
        <is>
          <t>CK</t>
        </is>
      </c>
      <c r="L262" s="182" t="inlineStr">
        <is>
          <t>GL</t>
        </is>
      </c>
      <c r="M262" s="278" t="inlineStr">
        <is>
          <t>'3175</t>
        </is>
      </c>
      <c r="N262" s="181" t="n">
        <v>46295</v>
      </c>
      <c r="O262" s="181" t="n">
        <v>46295</v>
      </c>
      <c r="P262" s="194" t="n">
        <v>290131308</v>
      </c>
      <c r="Q262" s="180" t="inlineStr">
        <is>
          <t>Năng lượng mặt trời</t>
        </is>
      </c>
      <c r="R262" s="180" t="inlineStr">
        <is>
          <t>THAOPTT.HCM.VTA</t>
        </is>
      </c>
      <c r="S262" s="182" t="inlineStr">
        <is>
          <t>Not Reversed</t>
        </is>
      </c>
      <c r="T262" s="57">
        <f>IF(OR(LEN(F262)=11,LEN(F262)=15),"Đ","SAI")</f>
        <v/>
      </c>
      <c r="U262" s="529">
        <f>ROUND(H262*I262%,0)-J262</f>
        <v/>
      </c>
      <c r="V262" s="55">
        <f>IF(Q262=$V$12,13313,13311)</f>
        <v/>
      </c>
    </row>
    <row r="263" ht="21.65" customHeight="1" s="344">
      <c r="A263" s="180" t="n">
        <v>246</v>
      </c>
      <c r="B263" s="182" t="inlineStr">
        <is>
          <t>1C26TPY</t>
        </is>
      </c>
      <c r="C263" s="278" t="inlineStr">
        <is>
          <t>'18</t>
        </is>
      </c>
      <c r="D263" s="181" t="n">
        <v>46268</v>
      </c>
      <c r="E263" s="182" t="inlineStr">
        <is>
          <t>Công ty Cổ Phần Năng Lượng Phúc Ý</t>
        </is>
      </c>
      <c r="F263" s="278" t="inlineStr">
        <is>
          <t>'0901082015</t>
        </is>
      </c>
      <c r="G263" s="182" t="inlineStr">
        <is>
          <t>ĐIỆN MTMN T08-2026</t>
        </is>
      </c>
      <c r="H263" s="194" t="n">
        <v>215183625</v>
      </c>
      <c r="I263" s="180" t="n">
        <v>8</v>
      </c>
      <c r="J263" s="194" t="n">
        <v>17214690</v>
      </c>
      <c r="K263" s="182" t="inlineStr">
        <is>
          <t>CK</t>
        </is>
      </c>
      <c r="L263" s="182" t="inlineStr">
        <is>
          <t>GL</t>
        </is>
      </c>
      <c r="M263" s="278" t="inlineStr">
        <is>
          <t>'3175</t>
        </is>
      </c>
      <c r="N263" s="181" t="n">
        <v>46295</v>
      </c>
      <c r="O263" s="181" t="n">
        <v>46295</v>
      </c>
      <c r="P263" s="194" t="n">
        <v>232398315</v>
      </c>
      <c r="Q263" s="180" t="inlineStr">
        <is>
          <t>Năng lượng mặt trời</t>
        </is>
      </c>
      <c r="R263" s="180" t="inlineStr">
        <is>
          <t>THAOPTT.HCM.VTA</t>
        </is>
      </c>
      <c r="S263" s="182" t="inlineStr">
        <is>
          <t>Not Reversed</t>
        </is>
      </c>
      <c r="T263" s="57">
        <f>IF(OR(LEN(F263)=11,LEN(F263)=15),"Đ","SAI")</f>
        <v/>
      </c>
      <c r="U263" s="529">
        <f>ROUND(H263*I263%,0)-J263</f>
        <v/>
      </c>
      <c r="V263" s="55">
        <f>IF(Q263=$V$12,13313,13311)</f>
        <v/>
      </c>
    </row>
    <row r="264" ht="21.65" customHeight="1" s="344">
      <c r="A264" s="180" t="n">
        <v>247</v>
      </c>
      <c r="B264" s="182" t="inlineStr">
        <is>
          <t>1C26MTV</t>
        </is>
      </c>
      <c r="C264" s="278" t="inlineStr">
        <is>
          <t>'182</t>
        </is>
      </c>
      <c r="D264" s="181" t="n">
        <v>46268</v>
      </c>
      <c r="E264" s="182" t="inlineStr">
        <is>
          <t>CÔNG TY CỔ PHẦN CÔNG NGHỆ TÁO VÀNG</t>
        </is>
      </c>
      <c r="F264" s="278" t="inlineStr">
        <is>
          <t>'3502275892</t>
        </is>
      </c>
      <c r="G264" s="182" t="inlineStr">
        <is>
          <t>ĐIỆN MTMN T08-2026</t>
        </is>
      </c>
      <c r="H264" s="194" t="n">
        <v>136825</v>
      </c>
      <c r="I264" s="180" t="n">
        <v>8</v>
      </c>
      <c r="J264" s="194" t="n">
        <v>10946</v>
      </c>
      <c r="K264" s="182" t="inlineStr">
        <is>
          <t>CK</t>
        </is>
      </c>
      <c r="L264" s="182" t="inlineStr">
        <is>
          <t>GL</t>
        </is>
      </c>
      <c r="M264" s="278" t="inlineStr">
        <is>
          <t>'3175</t>
        </is>
      </c>
      <c r="N264" s="181" t="n">
        <v>46295</v>
      </c>
      <c r="O264" s="181" t="n">
        <v>46295</v>
      </c>
      <c r="P264" s="194" t="n">
        <v>147771</v>
      </c>
      <c r="Q264" s="180" t="inlineStr">
        <is>
          <t>Năng lượng mặt trời</t>
        </is>
      </c>
      <c r="R264" s="180" t="inlineStr">
        <is>
          <t>THAOPTT.HCM.VTA</t>
        </is>
      </c>
      <c r="S264" s="182" t="inlineStr">
        <is>
          <t>Not Reversed</t>
        </is>
      </c>
      <c r="T264" s="57">
        <f>IF(OR(LEN(F264)=11,LEN(F264)=15),"Đ","SAI")</f>
        <v/>
      </c>
      <c r="U264" s="529">
        <f>ROUND(H264*I264%,0)-J264</f>
        <v/>
      </c>
      <c r="V264" s="55">
        <f>IF(Q264=$V$12,13313,13311)</f>
        <v/>
      </c>
    </row>
    <row r="265" ht="21.65" customHeight="1" s="344">
      <c r="A265" s="180" t="n">
        <v>248</v>
      </c>
      <c r="B265" s="182" t="inlineStr">
        <is>
          <t>1C26MTV</t>
        </is>
      </c>
      <c r="C265" s="278" t="inlineStr">
        <is>
          <t>'183</t>
        </is>
      </c>
      <c r="D265" s="181" t="n">
        <v>46268</v>
      </c>
      <c r="E265" s="182" t="inlineStr">
        <is>
          <t>Công Ty Cổ Phần Công Nghệ Táo Vàng</t>
        </is>
      </c>
      <c r="F265" s="278" t="inlineStr">
        <is>
          <t>'3502275892</t>
        </is>
      </c>
      <c r="G265" s="182" t="inlineStr">
        <is>
          <t>ĐIỆN MTMN T08-2026</t>
        </is>
      </c>
      <c r="H265" s="194" t="n">
        <v>18566100</v>
      </c>
      <c r="I265" s="180" t="n">
        <v>8</v>
      </c>
      <c r="J265" s="194" t="n">
        <v>1485288</v>
      </c>
      <c r="K265" s="182" t="inlineStr">
        <is>
          <t>CK</t>
        </is>
      </c>
      <c r="L265" s="182" t="inlineStr">
        <is>
          <t>GL</t>
        </is>
      </c>
      <c r="M265" s="278" t="inlineStr">
        <is>
          <t>'3175</t>
        </is>
      </c>
      <c r="N265" s="181" t="n">
        <v>46295</v>
      </c>
      <c r="O265" s="181" t="n">
        <v>46295</v>
      </c>
      <c r="P265" s="194" t="n">
        <v>20051388</v>
      </c>
      <c r="Q265" s="180" t="inlineStr">
        <is>
          <t>Năng lượng mặt trời</t>
        </is>
      </c>
      <c r="R265" s="180" t="inlineStr">
        <is>
          <t>THAOPTT.HCM.VTA</t>
        </is>
      </c>
      <c r="S265" s="182" t="inlineStr">
        <is>
          <t>Not Reversed</t>
        </is>
      </c>
      <c r="T265" s="57">
        <f>IF(OR(LEN(F265)=11,LEN(F265)=15),"Đ","SAI")</f>
        <v/>
      </c>
      <c r="U265" s="529">
        <f>ROUND(H265*I265%,0)-J265</f>
        <v/>
      </c>
      <c r="V265" s="55">
        <f>IF(Q265=$V$12,13313,13311)</f>
        <v/>
      </c>
    </row>
    <row r="266" ht="21.65" customHeight="1" s="344">
      <c r="A266" s="180" t="n">
        <v>249</v>
      </c>
      <c r="B266" s="182" t="inlineStr">
        <is>
          <t>1C26MTV</t>
        </is>
      </c>
      <c r="C266" s="278" t="inlineStr">
        <is>
          <t>'184</t>
        </is>
      </c>
      <c r="D266" s="181" t="n">
        <v>46268</v>
      </c>
      <c r="E266" s="182" t="inlineStr">
        <is>
          <t>Công Ty Cổ Phần Công Nghệ Táo Vàng</t>
        </is>
      </c>
      <c r="F266" s="278" t="inlineStr">
        <is>
          <t>'3502275892</t>
        </is>
      </c>
      <c r="G266" s="182" t="inlineStr">
        <is>
          <t>ĐIỆN MTMN T08-2026</t>
        </is>
      </c>
      <c r="H266" s="194" t="n">
        <v>21239450</v>
      </c>
      <c r="I266" s="180" t="n">
        <v>8</v>
      </c>
      <c r="J266" s="194" t="n">
        <v>1699156</v>
      </c>
      <c r="K266" s="182" t="inlineStr">
        <is>
          <t>CK</t>
        </is>
      </c>
      <c r="L266" s="182" t="inlineStr">
        <is>
          <t>GL</t>
        </is>
      </c>
      <c r="M266" s="278" t="inlineStr">
        <is>
          <t>'3175</t>
        </is>
      </c>
      <c r="N266" s="181" t="n">
        <v>46295</v>
      </c>
      <c r="O266" s="181" t="n">
        <v>46295</v>
      </c>
      <c r="P266" s="194" t="n">
        <v>22938606</v>
      </c>
      <c r="Q266" s="180" t="inlineStr">
        <is>
          <t>Năng lượng mặt trời</t>
        </is>
      </c>
      <c r="R266" s="180" t="inlineStr">
        <is>
          <t>THAOPTT.HCM.VTA</t>
        </is>
      </c>
      <c r="S266" s="182" t="inlineStr">
        <is>
          <t>Not Reversed</t>
        </is>
      </c>
      <c r="T266" s="57">
        <f>IF(OR(LEN(F266)=11,LEN(F266)=15),"Đ","SAI")</f>
        <v/>
      </c>
      <c r="U266" s="529">
        <f>ROUND(H266*I266%,0)-J266</f>
        <v/>
      </c>
      <c r="V266" s="55">
        <f>IF(Q266=$V$12,13313,13311)</f>
        <v/>
      </c>
    </row>
    <row r="267" ht="21.65" customHeight="1" s="344">
      <c r="A267" s="180" t="n">
        <v>250</v>
      </c>
      <c r="B267" s="182" t="inlineStr">
        <is>
          <t>1C26MTV</t>
        </is>
      </c>
      <c r="C267" s="278" t="inlineStr">
        <is>
          <t>'185</t>
        </is>
      </c>
      <c r="D267" s="181" t="n">
        <v>46268</v>
      </c>
      <c r="E267" s="182" t="inlineStr">
        <is>
          <t>Công ty cổ phần công nghệ Táo vàng</t>
        </is>
      </c>
      <c r="F267" s="278" t="inlineStr">
        <is>
          <t>'3502275892</t>
        </is>
      </c>
      <c r="G267" s="182" t="inlineStr">
        <is>
          <t>ĐIỆN MTMN T08-2026</t>
        </is>
      </c>
      <c r="H267" s="194" t="n">
        <v>49187535</v>
      </c>
      <c r="I267" s="180" t="n">
        <v>8</v>
      </c>
      <c r="J267" s="194" t="n">
        <v>3935003</v>
      </c>
      <c r="K267" s="182" t="inlineStr">
        <is>
          <t>CK</t>
        </is>
      </c>
      <c r="L267" s="182" t="inlineStr">
        <is>
          <t>GL</t>
        </is>
      </c>
      <c r="M267" s="278" t="inlineStr">
        <is>
          <t>'3175</t>
        </is>
      </c>
      <c r="N267" s="181" t="n">
        <v>46295</v>
      </c>
      <c r="O267" s="181" t="n">
        <v>46295</v>
      </c>
      <c r="P267" s="194" t="n">
        <v>53122538</v>
      </c>
      <c r="Q267" s="180" t="inlineStr">
        <is>
          <t>Năng lượng mặt trời</t>
        </is>
      </c>
      <c r="R267" s="180" t="inlineStr">
        <is>
          <t>THAOPTT.HCM.VTA</t>
        </is>
      </c>
      <c r="S267" s="182" t="inlineStr">
        <is>
          <t>Not Reversed</t>
        </is>
      </c>
      <c r="T267" s="57">
        <f>IF(OR(LEN(F267)=11,LEN(F267)=15),"Đ","SAI")</f>
        <v/>
      </c>
      <c r="U267" s="529">
        <f>ROUND(H267*I267%,0)-J267</f>
        <v/>
      </c>
      <c r="V267" s="55">
        <f>IF(Q267=$V$12,13313,13311)</f>
        <v/>
      </c>
    </row>
    <row r="268" ht="21.65" customHeight="1" s="344">
      <c r="A268" s="180" t="n">
        <v>251</v>
      </c>
      <c r="B268" s="182" t="inlineStr">
        <is>
          <t>1C26TYY</t>
        </is>
      </c>
      <c r="C268" s="278" t="inlineStr">
        <is>
          <t>'24</t>
        </is>
      </c>
      <c r="D268" s="181" t="n">
        <v>46268</v>
      </c>
      <c r="E268" s="182" t="inlineStr">
        <is>
          <t>Công ty Cổ Phần Năng Lượng Tái Tạo Sông Gianh</t>
        </is>
      </c>
      <c r="F268" s="278" t="inlineStr">
        <is>
          <t>'0109325045</t>
        </is>
      </c>
      <c r="G268" s="182" t="inlineStr">
        <is>
          <t>ĐIỆN MTMN T08-2026</t>
        </is>
      </c>
      <c r="H268" s="194" t="n">
        <v>143657830</v>
      </c>
      <c r="I268" s="180" t="n">
        <v>8</v>
      </c>
      <c r="J268" s="194" t="n">
        <v>11492626</v>
      </c>
      <c r="K268" s="182" t="inlineStr">
        <is>
          <t>CK</t>
        </is>
      </c>
      <c r="L268" s="182" t="inlineStr">
        <is>
          <t>GL</t>
        </is>
      </c>
      <c r="M268" s="278" t="inlineStr">
        <is>
          <t>'3175</t>
        </is>
      </c>
      <c r="N268" s="181" t="n">
        <v>46295</v>
      </c>
      <c r="O268" s="181" t="n">
        <v>46295</v>
      </c>
      <c r="P268" s="194" t="n">
        <v>155150456</v>
      </c>
      <c r="Q268" s="180" t="inlineStr">
        <is>
          <t>Năng lượng mặt trời</t>
        </is>
      </c>
      <c r="R268" s="180" t="inlineStr">
        <is>
          <t>THAOPTT.HCM.VTA</t>
        </is>
      </c>
      <c r="S268" s="182" t="inlineStr">
        <is>
          <t>Not Reversed</t>
        </is>
      </c>
      <c r="T268" s="57">
        <f>IF(OR(LEN(F268)=11,LEN(F268)=15),"Đ","SAI")</f>
        <v/>
      </c>
      <c r="U268" s="529">
        <f>ROUND(H268*I268%,0)-J268</f>
        <v/>
      </c>
      <c r="V268" s="55">
        <f>IF(Q268=$V$12,13313,13311)</f>
        <v/>
      </c>
    </row>
    <row r="269" ht="21.65" customHeight="1" s="344">
      <c r="A269" s="180" t="n">
        <v>252</v>
      </c>
      <c r="B269" s="182" t="inlineStr">
        <is>
          <t>1C26TYY</t>
        </is>
      </c>
      <c r="C269" s="278" t="inlineStr">
        <is>
          <t>'24</t>
        </is>
      </c>
      <c r="D269" s="181" t="n">
        <v>46268</v>
      </c>
      <c r="E269" s="182" t="inlineStr">
        <is>
          <t>Công ty Cổ Phần Năng Lượng Tái Tạo Sông Mã</t>
        </is>
      </c>
      <c r="F269" s="278" t="inlineStr">
        <is>
          <t>'0109295986</t>
        </is>
      </c>
      <c r="G269" s="182" t="inlineStr">
        <is>
          <t>ĐIỆN MTMN T08-2026</t>
        </is>
      </c>
      <c r="H269" s="194" t="n">
        <v>255978525</v>
      </c>
      <c r="I269" s="180" t="n">
        <v>8</v>
      </c>
      <c r="J269" s="194" t="n">
        <v>20478282</v>
      </c>
      <c r="K269" s="182" t="inlineStr">
        <is>
          <t>CK</t>
        </is>
      </c>
      <c r="L269" s="182" t="inlineStr">
        <is>
          <t>GL</t>
        </is>
      </c>
      <c r="M269" s="278" t="inlineStr">
        <is>
          <t>'3175</t>
        </is>
      </c>
      <c r="N269" s="181" t="n">
        <v>46295</v>
      </c>
      <c r="O269" s="181" t="n">
        <v>46295</v>
      </c>
      <c r="P269" s="194" t="n">
        <v>276456807</v>
      </c>
      <c r="Q269" s="180" t="inlineStr">
        <is>
          <t>Năng lượng mặt trời</t>
        </is>
      </c>
      <c r="R269" s="180" t="inlineStr">
        <is>
          <t>THAOPTT.HCM.VTA</t>
        </is>
      </c>
      <c r="S269" s="182" t="inlineStr">
        <is>
          <t>Not Reversed</t>
        </is>
      </c>
      <c r="T269" s="57">
        <f>IF(OR(LEN(F269)=11,LEN(F269)=15),"Đ","SAI")</f>
        <v/>
      </c>
      <c r="U269" s="529">
        <f>ROUND(H269*I269%,0)-J269</f>
        <v/>
      </c>
      <c r="V269" s="55">
        <f>IF(Q269=$V$12,13313,13311)</f>
        <v/>
      </c>
    </row>
    <row r="270" ht="21.65" customHeight="1" s="344">
      <c r="A270" s="180" t="n">
        <v>253</v>
      </c>
      <c r="B270" s="182" t="inlineStr">
        <is>
          <t>1C26TYY</t>
        </is>
      </c>
      <c r="C270" s="278" t="inlineStr">
        <is>
          <t>'293</t>
        </is>
      </c>
      <c r="D270" s="181" t="n">
        <v>46268</v>
      </c>
      <c r="E270" s="182" t="inlineStr">
        <is>
          <t>Công Ty TNHH Kỹ Thuật Phú Vĩnh An</t>
        </is>
      </c>
      <c r="F270" s="278" t="inlineStr">
        <is>
          <t>'3501503962</t>
        </is>
      </c>
      <c r="G270" s="182" t="inlineStr">
        <is>
          <t>ĐIỆN MTMN T08-2026</t>
        </is>
      </c>
      <c r="H270" s="194" t="n">
        <v>610480</v>
      </c>
      <c r="I270" s="180" t="n">
        <v>8</v>
      </c>
      <c r="J270" s="194" t="n">
        <v>48838</v>
      </c>
      <c r="K270" s="182" t="inlineStr">
        <is>
          <t>CK</t>
        </is>
      </c>
      <c r="L270" s="182" t="inlineStr">
        <is>
          <t>GL</t>
        </is>
      </c>
      <c r="M270" s="278" t="inlineStr">
        <is>
          <t>'3175</t>
        </is>
      </c>
      <c r="N270" s="181" t="n">
        <v>46295</v>
      </c>
      <c r="O270" s="181" t="n">
        <v>46295</v>
      </c>
      <c r="P270" s="194" t="n">
        <v>659318</v>
      </c>
      <c r="Q270" s="180" t="inlineStr">
        <is>
          <t>Năng lượng mặt trời</t>
        </is>
      </c>
      <c r="R270" s="180" t="inlineStr">
        <is>
          <t>THAOPTT.HCM.VTA</t>
        </is>
      </c>
      <c r="S270" s="182" t="inlineStr">
        <is>
          <t>Not Reversed</t>
        </is>
      </c>
      <c r="T270" s="57">
        <f>IF(OR(LEN(F270)=11,LEN(F270)=15),"Đ","SAI")</f>
        <v/>
      </c>
      <c r="U270" s="529">
        <f>ROUND(H270*I270%,0)-J270</f>
        <v/>
      </c>
      <c r="V270" s="55">
        <f>IF(Q270=$V$12,13313,13311)</f>
        <v/>
      </c>
    </row>
    <row r="271" ht="21.65" customHeight="1" s="344">
      <c r="A271" s="180" t="n">
        <v>254</v>
      </c>
      <c r="B271" s="182" t="inlineStr">
        <is>
          <t>1C26TYY</t>
        </is>
      </c>
      <c r="C271" s="278" t="inlineStr">
        <is>
          <t>'31</t>
        </is>
      </c>
      <c r="D271" s="181" t="n">
        <v>46268</v>
      </c>
      <c r="E271" s="182" t="inlineStr">
        <is>
          <t>Công ty Cổ Phần Năng Lượng Tái Tạo Sông Đà</t>
        </is>
      </c>
      <c r="F271" s="278" t="inlineStr">
        <is>
          <t>'0109295961</t>
        </is>
      </c>
      <c r="G271" s="182" t="inlineStr">
        <is>
          <t>ĐIỆN MTMN T08-2026</t>
        </is>
      </c>
      <c r="H271" s="194" t="n">
        <v>138273240</v>
      </c>
      <c r="I271" s="180" t="n">
        <v>8</v>
      </c>
      <c r="J271" s="194" t="n">
        <v>11061859</v>
      </c>
      <c r="K271" s="182" t="inlineStr">
        <is>
          <t>CK</t>
        </is>
      </c>
      <c r="L271" s="182" t="inlineStr">
        <is>
          <t>GL</t>
        </is>
      </c>
      <c r="M271" s="278" t="inlineStr">
        <is>
          <t>'3175</t>
        </is>
      </c>
      <c r="N271" s="181" t="n">
        <v>46295</v>
      </c>
      <c r="O271" s="181" t="n">
        <v>46295</v>
      </c>
      <c r="P271" s="194" t="n">
        <v>149335099</v>
      </c>
      <c r="Q271" s="180" t="inlineStr">
        <is>
          <t>Năng lượng mặt trời</t>
        </is>
      </c>
      <c r="R271" s="180" t="inlineStr">
        <is>
          <t>THAOPTT.HCM.VTA</t>
        </is>
      </c>
      <c r="S271" s="182" t="inlineStr">
        <is>
          <t>Not Reversed</t>
        </is>
      </c>
      <c r="T271" s="57">
        <f>IF(OR(LEN(F271)=11,LEN(F271)=15),"Đ","SAI")</f>
        <v/>
      </c>
      <c r="U271" s="529">
        <f>ROUND(H271*I271%,0)-J271</f>
        <v/>
      </c>
      <c r="V271" s="55">
        <f>IF(Q271=$V$12,13313,13311)</f>
        <v/>
      </c>
    </row>
    <row r="272" ht="21.65" customHeight="1" s="344">
      <c r="A272" s="180" t="n">
        <v>255</v>
      </c>
      <c r="B272" s="182" t="inlineStr">
        <is>
          <t>1C26TPE</t>
        </is>
      </c>
      <c r="C272" s="278" t="inlineStr">
        <is>
          <t>'3891</t>
        </is>
      </c>
      <c r="D272" s="181" t="n">
        <v>46268</v>
      </c>
      <c r="E272" s="182" t="inlineStr">
        <is>
          <t>Cty cổ phần dịch vụ tổng hợp dầu khí Vũng Tàu</t>
        </is>
      </c>
      <c r="F272" s="278" t="inlineStr">
        <is>
          <t>'3500835690</t>
        </is>
      </c>
      <c r="G272" s="182" t="inlineStr">
        <is>
          <t>ĐIỆN MTMN T08-2026</t>
        </is>
      </c>
      <c r="H272" s="194" t="n">
        <v>23222360</v>
      </c>
      <c r="I272" s="180" t="n">
        <v>8</v>
      </c>
      <c r="J272" s="194" t="n">
        <v>1857789</v>
      </c>
      <c r="K272" s="182" t="inlineStr">
        <is>
          <t>CK</t>
        </is>
      </c>
      <c r="L272" s="182" t="inlineStr">
        <is>
          <t>GL</t>
        </is>
      </c>
      <c r="M272" s="278" t="inlineStr">
        <is>
          <t>'3175</t>
        </is>
      </c>
      <c r="N272" s="181" t="n">
        <v>46295</v>
      </c>
      <c r="O272" s="181" t="n">
        <v>46295</v>
      </c>
      <c r="P272" s="194" t="n">
        <v>25080149</v>
      </c>
      <c r="Q272" s="180" t="inlineStr">
        <is>
          <t>Năng lượng mặt trời</t>
        </is>
      </c>
      <c r="R272" s="180" t="inlineStr">
        <is>
          <t>THAOPTT.HCM.VTA</t>
        </is>
      </c>
      <c r="S272" s="182" t="inlineStr">
        <is>
          <t>Not Reversed</t>
        </is>
      </c>
      <c r="T272" s="57">
        <f>IF(OR(LEN(F272)=11,LEN(F272)=15),"Đ","SAI")</f>
        <v/>
      </c>
      <c r="U272" s="529">
        <f>ROUND(H272*I272%,0)-J272</f>
        <v/>
      </c>
      <c r="V272" s="55">
        <f>IF(Q272=$V$12,13313,13311)</f>
        <v/>
      </c>
    </row>
    <row r="273" ht="21.65" customHeight="1" s="344">
      <c r="A273" s="180" t="n">
        <v>256</v>
      </c>
      <c r="B273" s="182" t="inlineStr">
        <is>
          <t>1C26THA</t>
        </is>
      </c>
      <c r="C273" s="278" t="inlineStr">
        <is>
          <t>'4762</t>
        </is>
      </c>
      <c r="D273" s="181" t="n">
        <v>46268</v>
      </c>
      <c r="E273" s="182" t="inlineStr">
        <is>
          <t>Công ty Cổ Phần HANACANS</t>
        </is>
      </c>
      <c r="F273" s="278" t="inlineStr">
        <is>
          <t>'2300372796</t>
        </is>
      </c>
      <c r="G273" s="182" t="inlineStr">
        <is>
          <t>ĐIỆN MTMN T08-2026</t>
        </is>
      </c>
      <c r="H273" s="194" t="n">
        <v>17149435</v>
      </c>
      <c r="I273" s="180" t="n">
        <v>8</v>
      </c>
      <c r="J273" s="194" t="n">
        <v>1371955</v>
      </c>
      <c r="K273" s="182" t="inlineStr">
        <is>
          <t>CK</t>
        </is>
      </c>
      <c r="L273" s="182" t="inlineStr">
        <is>
          <t>GL</t>
        </is>
      </c>
      <c r="M273" s="278" t="inlineStr">
        <is>
          <t>'3175</t>
        </is>
      </c>
      <c r="N273" s="181" t="n">
        <v>46295</v>
      </c>
      <c r="O273" s="181" t="n">
        <v>46295</v>
      </c>
      <c r="P273" s="194" t="n">
        <v>18521390</v>
      </c>
      <c r="Q273" s="180" t="inlineStr">
        <is>
          <t>Năng lượng mặt trời</t>
        </is>
      </c>
      <c r="R273" s="180" t="inlineStr">
        <is>
          <t>THAOPTT.HCM.VTA</t>
        </is>
      </c>
      <c r="S273" s="182" t="inlineStr">
        <is>
          <t>Not Reversed</t>
        </is>
      </c>
      <c r="T273" s="57">
        <f>IF(OR(LEN(F273)=11,LEN(F273)=15),"Đ","SAI")</f>
        <v/>
      </c>
      <c r="U273" s="529">
        <f>ROUND(H273*I273%,0)-J273</f>
        <v/>
      </c>
      <c r="V273" s="55">
        <f>IF(Q273=$V$12,13313,13311)</f>
        <v/>
      </c>
    </row>
    <row r="274" ht="21.65" customHeight="1" s="344">
      <c r="A274" s="180" t="n">
        <v>257</v>
      </c>
      <c r="B274" s="182" t="inlineStr">
        <is>
          <t>1C26TYY</t>
        </is>
      </c>
      <c r="C274" s="278" t="inlineStr">
        <is>
          <t>'60</t>
        </is>
      </c>
      <c r="D274" s="181" t="n">
        <v>46268</v>
      </c>
      <c r="E274" s="182" t="inlineStr">
        <is>
          <t>Công Ty Cổ Phần Năng Lượng Tái Tạo Sông Hồng</t>
        </is>
      </c>
      <c r="F274" s="278" t="inlineStr">
        <is>
          <t>'0109295954</t>
        </is>
      </c>
      <c r="G274" s="182" t="inlineStr">
        <is>
          <t>ĐIỆN MTMN T08-2026</t>
        </is>
      </c>
      <c r="H274" s="194" t="n">
        <v>64764535</v>
      </c>
      <c r="I274" s="180" t="n">
        <v>8</v>
      </c>
      <c r="J274" s="194" t="n">
        <v>5181163</v>
      </c>
      <c r="K274" s="182" t="inlineStr">
        <is>
          <t>CK</t>
        </is>
      </c>
      <c r="L274" s="182" t="inlineStr">
        <is>
          <t>GL</t>
        </is>
      </c>
      <c r="M274" s="278" t="inlineStr">
        <is>
          <t>'3175</t>
        </is>
      </c>
      <c r="N274" s="181" t="n">
        <v>46295</v>
      </c>
      <c r="O274" s="181" t="n">
        <v>46295</v>
      </c>
      <c r="P274" s="194" t="n">
        <v>69945698</v>
      </c>
      <c r="Q274" s="180" t="inlineStr">
        <is>
          <t>Năng lượng mặt trời</t>
        </is>
      </c>
      <c r="R274" s="180" t="inlineStr">
        <is>
          <t>THAOPTT.HCM.VTA</t>
        </is>
      </c>
      <c r="S274" s="182" t="inlineStr">
        <is>
          <t>Not Reversed</t>
        </is>
      </c>
      <c r="T274" s="57">
        <f>IF(OR(LEN(F274)=11,LEN(F274)=15),"Đ","SAI")</f>
        <v/>
      </c>
      <c r="U274" s="529">
        <f>ROUND(H274*I274%,0)-J274</f>
        <v/>
      </c>
      <c r="V274" s="55">
        <f>IF(Q274=$V$12,13313,13311)</f>
        <v/>
      </c>
    </row>
    <row r="275" ht="21.65" customHeight="1" s="344">
      <c r="A275" s="180" t="n">
        <v>258</v>
      </c>
      <c r="B275" s="182" t="inlineStr">
        <is>
          <t>1C26TYY</t>
        </is>
      </c>
      <c r="C275" s="278" t="inlineStr">
        <is>
          <t>'64</t>
        </is>
      </c>
      <c r="D275" s="181" t="n">
        <v>46268</v>
      </c>
      <c r="E275" s="182" t="inlineStr">
        <is>
          <t>Công Ty Cổ Phần Năng Lượng Tái Tạo Sông Hồng</t>
        </is>
      </c>
      <c r="F275" s="278" t="inlineStr">
        <is>
          <t>'0109295954</t>
        </is>
      </c>
      <c r="G275" s="182" t="inlineStr">
        <is>
          <t>ĐIỆN MTMN T08-2026</t>
        </is>
      </c>
      <c r="H275" s="194" t="n">
        <v>230017560</v>
      </c>
      <c r="I275" s="180" t="n">
        <v>8</v>
      </c>
      <c r="J275" s="194" t="n">
        <v>18401405</v>
      </c>
      <c r="K275" s="182" t="inlineStr">
        <is>
          <t>CK</t>
        </is>
      </c>
      <c r="L275" s="182" t="inlineStr">
        <is>
          <t>GL</t>
        </is>
      </c>
      <c r="M275" s="278" t="inlineStr">
        <is>
          <t>'3175</t>
        </is>
      </c>
      <c r="N275" s="181" t="n">
        <v>46295</v>
      </c>
      <c r="O275" s="181" t="n">
        <v>46295</v>
      </c>
      <c r="P275" s="194" t="n">
        <v>248418965</v>
      </c>
      <c r="Q275" s="180" t="inlineStr">
        <is>
          <t>Năng lượng mặt trời</t>
        </is>
      </c>
      <c r="R275" s="180" t="inlineStr">
        <is>
          <t>THAOPTT.HCM.VTA</t>
        </is>
      </c>
      <c r="S275" s="182" t="inlineStr">
        <is>
          <t>Not Reversed</t>
        </is>
      </c>
      <c r="T275" s="57">
        <f>IF(OR(LEN(F275)=11,LEN(F275)=15),"Đ","SAI")</f>
        <v/>
      </c>
      <c r="U275" s="529">
        <f>ROUND(H275*I275%,0)-J275</f>
        <v/>
      </c>
      <c r="V275" s="55">
        <f>IF(Q275=$V$12,13313,13311)</f>
        <v/>
      </c>
    </row>
    <row r="276" ht="21.65" customHeight="1" s="344">
      <c r="A276" s="180" t="n">
        <v>259</v>
      </c>
      <c r="B276" s="182" t="inlineStr">
        <is>
          <t>1C26MYY</t>
        </is>
      </c>
      <c r="C276" s="278" t="inlineStr">
        <is>
          <t>'804</t>
        </is>
      </c>
      <c r="D276" s="181" t="n">
        <v>46268</v>
      </c>
      <c r="E276" s="182" t="inlineStr">
        <is>
          <t>BQL Vườn Quốc Gia Côn Đảo</t>
        </is>
      </c>
      <c r="F276" s="278" t="inlineStr">
        <is>
          <t>'3500122442</t>
        </is>
      </c>
      <c r="G276" s="182" t="inlineStr">
        <is>
          <t>ĐIỆN MTMN T08-2026</t>
        </is>
      </c>
      <c r="H276" s="194" t="n">
        <v>460995</v>
      </c>
      <c r="I276" s="180" t="n">
        <v>8</v>
      </c>
      <c r="J276" s="194" t="n">
        <v>36880</v>
      </c>
      <c r="K276" s="182" t="inlineStr">
        <is>
          <t>CK</t>
        </is>
      </c>
      <c r="L276" s="182" t="inlineStr">
        <is>
          <t>GL</t>
        </is>
      </c>
      <c r="M276" s="278" t="inlineStr">
        <is>
          <t>'3175</t>
        </is>
      </c>
      <c r="N276" s="181" t="n">
        <v>46295</v>
      </c>
      <c r="O276" s="181" t="n">
        <v>46295</v>
      </c>
      <c r="P276" s="194" t="n">
        <v>497875</v>
      </c>
      <c r="Q276" s="180" t="inlineStr">
        <is>
          <t>Năng lượng mặt trời</t>
        </is>
      </c>
      <c r="R276" s="180" t="inlineStr">
        <is>
          <t>THAOPTT.HCM.VTA</t>
        </is>
      </c>
      <c r="S276" s="182" t="inlineStr">
        <is>
          <t>Not Reversed</t>
        </is>
      </c>
      <c r="T276" s="57">
        <f>IF(OR(LEN(F276)=11,LEN(F276)=15),"Đ","SAI")</f>
        <v/>
      </c>
      <c r="U276" s="529">
        <f>ROUND(H276*I276%,0)-J276</f>
        <v/>
      </c>
      <c r="V276" s="55">
        <f>IF(Q276=$V$12,13313,13311)</f>
        <v/>
      </c>
    </row>
    <row r="277" ht="21.65" customHeight="1" s="344">
      <c r="A277" s="180" t="n">
        <v>260</v>
      </c>
      <c r="B277" s="182" t="inlineStr">
        <is>
          <t>1C26MYY</t>
        </is>
      </c>
      <c r="C277" s="278" t="inlineStr">
        <is>
          <t>'805</t>
        </is>
      </c>
      <c r="D277" s="181" t="n">
        <v>46268</v>
      </c>
      <c r="E277" s="182" t="inlineStr">
        <is>
          <t>BQL Vườn Quốc Gia Côn Đảo</t>
        </is>
      </c>
      <c r="F277" s="278" t="inlineStr">
        <is>
          <t>'3500122442</t>
        </is>
      </c>
      <c r="G277" s="182" t="inlineStr">
        <is>
          <t>ĐIỆN MTMN T08-2026</t>
        </is>
      </c>
      <c r="H277" s="194" t="n">
        <v>865155</v>
      </c>
      <c r="I277" s="180" t="n">
        <v>8</v>
      </c>
      <c r="J277" s="194" t="n">
        <v>69212</v>
      </c>
      <c r="K277" s="182" t="inlineStr">
        <is>
          <t>CK</t>
        </is>
      </c>
      <c r="L277" s="182" t="inlineStr">
        <is>
          <t>GL</t>
        </is>
      </c>
      <c r="M277" s="278" t="inlineStr">
        <is>
          <t>'3175</t>
        </is>
      </c>
      <c r="N277" s="181" t="n">
        <v>46295</v>
      </c>
      <c r="O277" s="181" t="n">
        <v>46295</v>
      </c>
      <c r="P277" s="194" t="n">
        <v>934367</v>
      </c>
      <c r="Q277" s="180" t="inlineStr">
        <is>
          <t>Năng lượng mặt trời</t>
        </is>
      </c>
      <c r="R277" s="180" t="inlineStr">
        <is>
          <t>THAOPTT.HCM.VTA</t>
        </is>
      </c>
      <c r="S277" s="182" t="inlineStr">
        <is>
          <t>Not Reversed</t>
        </is>
      </c>
      <c r="T277" s="57">
        <f>IF(OR(LEN(F277)=11,LEN(F277)=15),"Đ","SAI")</f>
        <v/>
      </c>
      <c r="U277" s="529">
        <f>ROUND(H277*I277%,0)-J277</f>
        <v/>
      </c>
      <c r="V277" s="55">
        <f>IF(Q277=$V$12,13313,13311)</f>
        <v/>
      </c>
    </row>
    <row r="278" ht="21.65" customHeight="1" s="344">
      <c r="A278" s="180" t="n">
        <v>261</v>
      </c>
      <c r="B278" s="182" t="inlineStr">
        <is>
          <t>1C26MYY</t>
        </is>
      </c>
      <c r="C278" s="278" t="inlineStr">
        <is>
          <t>'880</t>
        </is>
      </c>
      <c r="D278" s="181" t="n">
        <v>46268</v>
      </c>
      <c r="E278" s="182" t="inlineStr">
        <is>
          <t>Công Ty TNHH Hoàng Minh HOTEL</t>
        </is>
      </c>
      <c r="F278" s="278" t="inlineStr">
        <is>
          <t>'3502526923</t>
        </is>
      </c>
      <c r="G278" s="182" t="inlineStr">
        <is>
          <t>ĐIỆN MTMN T08-2026</t>
        </is>
      </c>
      <c r="H278" s="194" t="n">
        <v>378900</v>
      </c>
      <c r="I278" s="180" t="n">
        <v>8</v>
      </c>
      <c r="J278" s="194" t="n">
        <v>30312</v>
      </c>
      <c r="K278" s="182" t="inlineStr">
        <is>
          <t>CK</t>
        </is>
      </c>
      <c r="L278" s="182" t="inlineStr">
        <is>
          <t>GL</t>
        </is>
      </c>
      <c r="M278" s="278" t="inlineStr">
        <is>
          <t>'3175</t>
        </is>
      </c>
      <c r="N278" s="181" t="n">
        <v>46295</v>
      </c>
      <c r="O278" s="181" t="n">
        <v>46295</v>
      </c>
      <c r="P278" s="194" t="n">
        <v>409212</v>
      </c>
      <c r="Q278" s="180" t="inlineStr">
        <is>
          <t>Năng lượng mặt trời</t>
        </is>
      </c>
      <c r="R278" s="180" t="inlineStr">
        <is>
          <t>THAOPTT.HCM.VTA</t>
        </is>
      </c>
      <c r="S278" s="182" t="inlineStr">
        <is>
          <t>Not Reversed</t>
        </is>
      </c>
      <c r="T278" s="57">
        <f>IF(OR(LEN(F278)=11,LEN(F278)=15),"Đ","SAI")</f>
        <v/>
      </c>
      <c r="U278" s="529">
        <f>ROUND(H278*I278%,0)-J278</f>
        <v/>
      </c>
      <c r="V278" s="55">
        <f>IF(Q278=$V$12,13313,13311)</f>
        <v/>
      </c>
    </row>
    <row r="279" ht="21.65" customHeight="1" s="344">
      <c r="A279" s="180" t="n">
        <v>262</v>
      </c>
      <c r="B279" s="182" t="inlineStr">
        <is>
          <t>1C26TPC</t>
        </is>
      </c>
      <c r="C279" s="278" t="inlineStr">
        <is>
          <t>'9</t>
        </is>
      </c>
      <c r="D279" s="181" t="n">
        <v>46268</v>
      </c>
      <c r="E279" s="182" t="inlineStr">
        <is>
          <t>CÔNG TY TNHH THỦY SẢN PHÚC CHÂU</t>
        </is>
      </c>
      <c r="F279" s="278" t="inlineStr">
        <is>
          <t>'3502301045</t>
        </is>
      </c>
      <c r="G279" s="182" t="inlineStr">
        <is>
          <t>ĐIỆN MTMN T08-2026</t>
        </is>
      </c>
      <c r="H279" s="194" t="n">
        <v>797795</v>
      </c>
      <c r="I279" s="180" t="n">
        <v>8</v>
      </c>
      <c r="J279" s="194" t="n">
        <v>63824</v>
      </c>
      <c r="K279" s="182" t="inlineStr">
        <is>
          <t>CK</t>
        </is>
      </c>
      <c r="L279" s="182" t="inlineStr">
        <is>
          <t>GL</t>
        </is>
      </c>
      <c r="M279" s="278" t="inlineStr">
        <is>
          <t>'3175</t>
        </is>
      </c>
      <c r="N279" s="181" t="n">
        <v>46295</v>
      </c>
      <c r="O279" s="181" t="n">
        <v>46295</v>
      </c>
      <c r="P279" s="194" t="n">
        <v>861619</v>
      </c>
      <c r="Q279" s="180" t="inlineStr">
        <is>
          <t>Năng lượng mặt trời</t>
        </is>
      </c>
      <c r="R279" s="180" t="inlineStr">
        <is>
          <t>THAOPTT.HCM.VTA</t>
        </is>
      </c>
      <c r="S279" s="182" t="inlineStr">
        <is>
          <t>Not Reversed</t>
        </is>
      </c>
      <c r="T279" s="57">
        <f>IF(OR(LEN(F279)=11,LEN(F279)=15),"Đ","SAI")</f>
        <v/>
      </c>
      <c r="U279" s="529">
        <f>ROUND(H279*I279%,0)-J279</f>
        <v/>
      </c>
      <c r="V279" s="55">
        <f>IF(Q279=$V$12,13313,13311)</f>
        <v/>
      </c>
    </row>
    <row r="280" ht="21.65" customHeight="1" s="344">
      <c r="A280" s="180" t="n">
        <v>263</v>
      </c>
      <c r="B280" s="182" t="inlineStr">
        <is>
          <t>1C26TPT</t>
        </is>
      </c>
      <c r="C280" s="278" t="inlineStr">
        <is>
          <t>'9</t>
        </is>
      </c>
      <c r="D280" s="181" t="n">
        <v>46268</v>
      </c>
      <c r="E280" s="182" t="inlineStr">
        <is>
          <t>Công ty TNHH Năng Lượng Gia Phúc Thịnh</t>
        </is>
      </c>
      <c r="F280" s="278" t="inlineStr">
        <is>
          <t>'3502436606</t>
        </is>
      </c>
      <c r="G280" s="182" t="inlineStr">
        <is>
          <t>ĐIỆN MTMN T08-2026</t>
        </is>
      </c>
      <c r="H280" s="194" t="n">
        <v>191016120</v>
      </c>
      <c r="I280" s="180" t="n">
        <v>8</v>
      </c>
      <c r="J280" s="194" t="n">
        <v>15281290</v>
      </c>
      <c r="K280" s="182" t="inlineStr">
        <is>
          <t>CK</t>
        </is>
      </c>
      <c r="L280" s="182" t="inlineStr">
        <is>
          <t>GL</t>
        </is>
      </c>
      <c r="M280" s="278" t="inlineStr">
        <is>
          <t>'3175</t>
        </is>
      </c>
      <c r="N280" s="181" t="n">
        <v>46295</v>
      </c>
      <c r="O280" s="181" t="n">
        <v>46295</v>
      </c>
      <c r="P280" s="194" t="n">
        <v>206297410</v>
      </c>
      <c r="Q280" s="180" t="inlineStr">
        <is>
          <t>Năng lượng mặt trời</t>
        </is>
      </c>
      <c r="R280" s="180" t="inlineStr">
        <is>
          <t>THAOPTT.HCM.VTA</t>
        </is>
      </c>
      <c r="S280" s="182" t="inlineStr">
        <is>
          <t>Not Reversed</t>
        </is>
      </c>
      <c r="T280" s="57">
        <f>IF(OR(LEN(F280)=11,LEN(F280)=15),"Đ","SAI")</f>
        <v/>
      </c>
      <c r="U280" s="529">
        <f>ROUND(H280*I280%,0)-J280</f>
        <v/>
      </c>
      <c r="V280" s="55">
        <f>IF(Q280=$V$12,13313,13311)</f>
        <v/>
      </c>
    </row>
    <row r="281" ht="21.65" customHeight="1" s="344">
      <c r="A281" s="180" t="n">
        <v>264</v>
      </c>
      <c r="B281" s="182" t="inlineStr">
        <is>
          <t>1C26TDV</t>
        </is>
      </c>
      <c r="C281" s="278" t="inlineStr">
        <is>
          <t>'9</t>
        </is>
      </c>
      <c r="D281" s="181" t="n">
        <v>46268</v>
      </c>
      <c r="E281" s="182" t="inlineStr">
        <is>
          <t>CÔNG TY TNHH PHÁT TRIỂN NĂNG LƯỢNG DVG VIỆT NAM</t>
        </is>
      </c>
      <c r="F281" s="278" t="inlineStr">
        <is>
          <t>'0315978794</t>
        </is>
      </c>
      <c r="G281" s="182" t="inlineStr">
        <is>
          <t>ĐIỆN MTMN T08-2026</t>
        </is>
      </c>
      <c r="H281" s="194" t="n">
        <v>227857830</v>
      </c>
      <c r="I281" s="180" t="n">
        <v>8</v>
      </c>
      <c r="J281" s="194" t="n">
        <v>18228626</v>
      </c>
      <c r="K281" s="182" t="inlineStr">
        <is>
          <t>CK</t>
        </is>
      </c>
      <c r="L281" s="182" t="inlineStr">
        <is>
          <t>GL</t>
        </is>
      </c>
      <c r="M281" s="278" t="inlineStr">
        <is>
          <t>'3175</t>
        </is>
      </c>
      <c r="N281" s="181" t="n">
        <v>46295</v>
      </c>
      <c r="O281" s="181" t="n">
        <v>46295</v>
      </c>
      <c r="P281" s="194" t="n">
        <v>246086456</v>
      </c>
      <c r="Q281" s="180" t="inlineStr">
        <is>
          <t>Năng lượng mặt trời</t>
        </is>
      </c>
      <c r="R281" s="180" t="inlineStr">
        <is>
          <t>THAOPTT.HCM.VTA</t>
        </is>
      </c>
      <c r="S281" s="182" t="inlineStr">
        <is>
          <t>Not Reversed</t>
        </is>
      </c>
      <c r="T281" s="57">
        <f>IF(OR(LEN(F281)=11,LEN(F281)=15),"Đ","SAI")</f>
        <v/>
      </c>
      <c r="U281" s="529">
        <f>ROUND(H281*I281%,0)-J281</f>
        <v/>
      </c>
      <c r="V281" s="55">
        <f>IF(Q281=$V$12,13313,13311)</f>
        <v/>
      </c>
    </row>
    <row r="282" ht="21.65" customHeight="1" s="344">
      <c r="A282" s="180" t="n">
        <v>265</v>
      </c>
      <c r="B282" s="182" t="inlineStr">
        <is>
          <t>1C26TYY</t>
        </is>
      </c>
      <c r="C282" s="278" t="inlineStr">
        <is>
          <t>'339</t>
        </is>
      </c>
      <c r="D282" s="181" t="n">
        <v>46146</v>
      </c>
      <c r="E282" s="182" t="inlineStr">
        <is>
          <t>Công ty Trách Nhiệm Hữu Hạn Lê Chính</t>
        </is>
      </c>
      <c r="F282" s="278" t="inlineStr">
        <is>
          <t>'3501495711</t>
        </is>
      </c>
      <c r="G282" s="182" t="inlineStr">
        <is>
          <t>ĐIỆN MTMN T04-2026</t>
        </is>
      </c>
      <c r="H282" s="194" t="n">
        <v>6315</v>
      </c>
      <c r="I282" s="180" t="n">
        <v>8</v>
      </c>
      <c r="J282" s="194" t="n">
        <v>505</v>
      </c>
      <c r="K282" s="182" t="inlineStr">
        <is>
          <t>CK</t>
        </is>
      </c>
      <c r="L282" s="182" t="inlineStr">
        <is>
          <t>GL</t>
        </is>
      </c>
      <c r="M282" s="278" t="inlineStr">
        <is>
          <t>'3175</t>
        </is>
      </c>
      <c r="N282" s="181" t="n">
        <v>46295</v>
      </c>
      <c r="O282" s="181" t="n">
        <v>46295</v>
      </c>
      <c r="P282" s="194" t="n">
        <v>6820</v>
      </c>
      <c r="Q282" s="180" t="inlineStr">
        <is>
          <t>Năng lượng mặt trời</t>
        </is>
      </c>
      <c r="R282" s="180" t="inlineStr">
        <is>
          <t>THAOPTT.HCM.VTA</t>
        </is>
      </c>
      <c r="S282" s="182" t="inlineStr">
        <is>
          <t>Not Reversed</t>
        </is>
      </c>
      <c r="T282" s="57">
        <f>IF(OR(LEN(F282)=11,LEN(F282)=15),"Đ","SAI")</f>
        <v/>
      </c>
      <c r="U282" s="529">
        <f>ROUND(H282*I282%,0)-J282</f>
        <v/>
      </c>
      <c r="V282" s="55">
        <f>IF(Q282=$V$12,13313,13311)</f>
        <v/>
      </c>
    </row>
    <row r="283" ht="21.65" customHeight="1" s="344">
      <c r="A283" s="180" t="n">
        <v>266</v>
      </c>
      <c r="B283" s="182" t="inlineStr">
        <is>
          <t>1C26TQS</t>
        </is>
      </c>
      <c r="C283" s="278" t="inlineStr">
        <is>
          <t>'131</t>
        </is>
      </c>
      <c r="D283" s="181" t="n">
        <v>46238</v>
      </c>
      <c r="E283" s="182" t="inlineStr">
        <is>
          <t>CÔNG TY TNHH QUANG SÁNG</t>
        </is>
      </c>
      <c r="F283" s="278" t="inlineStr">
        <is>
          <t>'3500385868</t>
        </is>
      </c>
      <c r="G283" s="182" t="inlineStr">
        <is>
          <t>ĐIỆN MTMN T07-2026</t>
        </is>
      </c>
      <c r="H283" s="194" t="n">
        <v>1252475</v>
      </c>
      <c r="I283" s="180" t="n">
        <v>8</v>
      </c>
      <c r="J283" s="194" t="n">
        <v>100198</v>
      </c>
      <c r="K283" s="182" t="inlineStr">
        <is>
          <t>CK</t>
        </is>
      </c>
      <c r="L283" s="182" t="inlineStr">
        <is>
          <t>GL</t>
        </is>
      </c>
      <c r="M283" s="278" t="inlineStr">
        <is>
          <t>'3175</t>
        </is>
      </c>
      <c r="N283" s="181" t="n">
        <v>46295</v>
      </c>
      <c r="O283" s="181" t="n">
        <v>46295</v>
      </c>
      <c r="P283" s="194" t="n">
        <v>1352673</v>
      </c>
      <c r="Q283" s="180" t="inlineStr">
        <is>
          <t>Năng lượng mặt trời</t>
        </is>
      </c>
      <c r="R283" s="180" t="inlineStr">
        <is>
          <t>THAOPTT.HCM.VTA</t>
        </is>
      </c>
      <c r="S283" s="182" t="inlineStr">
        <is>
          <t>Not Reversed</t>
        </is>
      </c>
      <c r="T283" s="57">
        <f>IF(OR(LEN(F283)=11,LEN(F283)=15),"Đ","SAI")</f>
        <v/>
      </c>
      <c r="U283" s="529">
        <f>ROUND(H283*I283%,0)-J283</f>
        <v/>
      </c>
      <c r="V283" s="55">
        <f>IF(Q283=$V$12,13313,13311)</f>
        <v/>
      </c>
    </row>
    <row r="284" ht="21.65" customHeight="1" s="344">
      <c r="A284" s="180" t="n">
        <v>267</v>
      </c>
      <c r="B284" s="182" t="inlineStr">
        <is>
          <t>1C26TQS</t>
        </is>
      </c>
      <c r="C284" s="278" t="inlineStr">
        <is>
          <t>'132</t>
        </is>
      </c>
      <c r="D284" s="181" t="n">
        <v>46238</v>
      </c>
      <c r="E284" s="182" t="inlineStr">
        <is>
          <t>CÔNG TY TNHH QUANG SÁNG</t>
        </is>
      </c>
      <c r="F284" s="278" t="inlineStr">
        <is>
          <t>'3500385868</t>
        </is>
      </c>
      <c r="G284" s="182" t="inlineStr">
        <is>
          <t>ĐIỆN MTMN T07-2026</t>
        </is>
      </c>
      <c r="H284" s="194" t="n">
        <v>1090390</v>
      </c>
      <c r="I284" s="180" t="n">
        <v>8</v>
      </c>
      <c r="J284" s="194" t="n">
        <v>87231</v>
      </c>
      <c r="K284" s="182" t="inlineStr">
        <is>
          <t>CK</t>
        </is>
      </c>
      <c r="L284" s="182" t="inlineStr">
        <is>
          <t>GL</t>
        </is>
      </c>
      <c r="M284" s="278" t="inlineStr">
        <is>
          <t>'3175</t>
        </is>
      </c>
      <c r="N284" s="181" t="n">
        <v>46295</v>
      </c>
      <c r="O284" s="181" t="n">
        <v>46295</v>
      </c>
      <c r="P284" s="194" t="n">
        <v>1177621</v>
      </c>
      <c r="Q284" s="180" t="inlineStr">
        <is>
          <t>Năng lượng mặt trời</t>
        </is>
      </c>
      <c r="R284" s="180" t="inlineStr">
        <is>
          <t>THAOPTT.HCM.VTA</t>
        </is>
      </c>
      <c r="S284" s="182" t="inlineStr">
        <is>
          <t>Not Reversed</t>
        </is>
      </c>
      <c r="T284" s="57">
        <f>IF(OR(LEN(F284)=11,LEN(F284)=15),"Đ","SAI")</f>
        <v/>
      </c>
      <c r="U284" s="529">
        <f>ROUND(H284*I284%,0)-J284</f>
        <v/>
      </c>
      <c r="V284" s="55">
        <f>IF(Q284=$V$12,13313,13311)</f>
        <v/>
      </c>
    </row>
    <row r="285" ht="21.65" customHeight="1" s="344">
      <c r="A285" s="180" t="n">
        <v>268</v>
      </c>
      <c r="B285" s="182" t="inlineStr">
        <is>
          <t>1C26THL</t>
        </is>
      </c>
      <c r="C285" s="278" t="inlineStr">
        <is>
          <t>'40</t>
        </is>
      </c>
      <c r="D285" s="181" t="n">
        <v>46238</v>
      </c>
      <c r="E285" s="182" t="inlineStr">
        <is>
          <t>Công Ty TNHH Nuôi Trồng Nấm Hòa Long</t>
        </is>
      </c>
      <c r="F285" s="278" t="inlineStr">
        <is>
          <t>'3502321651</t>
        </is>
      </c>
      <c r="G285" s="182" t="inlineStr">
        <is>
          <t>ĐIỆN MTMN T07-2026</t>
        </is>
      </c>
      <c r="H285" s="194" t="n">
        <v>2315500</v>
      </c>
      <c r="I285" s="180" t="n">
        <v>8</v>
      </c>
      <c r="J285" s="194" t="n">
        <v>185240</v>
      </c>
      <c r="K285" s="182" t="inlineStr">
        <is>
          <t>CK</t>
        </is>
      </c>
      <c r="L285" s="182" t="inlineStr">
        <is>
          <t>GL</t>
        </is>
      </c>
      <c r="M285" s="278" t="inlineStr">
        <is>
          <t>'3175</t>
        </is>
      </c>
      <c r="N285" s="181" t="n">
        <v>46295</v>
      </c>
      <c r="O285" s="181" t="n">
        <v>46295</v>
      </c>
      <c r="P285" s="194" t="n">
        <v>2500740</v>
      </c>
      <c r="Q285" s="180" t="inlineStr">
        <is>
          <t>Năng lượng mặt trời</t>
        </is>
      </c>
      <c r="R285" s="180" t="inlineStr">
        <is>
          <t>THAOPTT.HCM.VTA</t>
        </is>
      </c>
      <c r="S285" s="182" t="inlineStr">
        <is>
          <t>Not Reversed</t>
        </is>
      </c>
      <c r="T285" s="57">
        <f>IF(OR(LEN(F285)=11,LEN(F285)=15),"Đ","SAI")</f>
        <v/>
      </c>
      <c r="U285" s="529">
        <f>ROUND(H285*I285%,0)-J285</f>
        <v/>
      </c>
      <c r="V285" s="55">
        <f>IF(Q285=$V$12,13313,13311)</f>
        <v/>
      </c>
    </row>
    <row r="286" ht="21.65" customHeight="1" s="344">
      <c r="A286" s="180" t="n">
        <v>269</v>
      </c>
      <c r="B286" s="182" t="inlineStr">
        <is>
          <t>1C26MTS</t>
        </is>
      </c>
      <c r="C286" s="278" t="inlineStr">
        <is>
          <t>'81</t>
        </is>
      </c>
      <c r="D286" s="181" t="n">
        <v>46238</v>
      </c>
      <c r="E286" s="182" t="inlineStr">
        <is>
          <t>Công ty TNHH Dịch Vụ Ăn Uống TISO</t>
        </is>
      </c>
      <c r="F286" s="278" t="inlineStr">
        <is>
          <t>'3502473326</t>
        </is>
      </c>
      <c r="G286" s="182" t="inlineStr">
        <is>
          <t>ĐIỆN MTMN T05-2026</t>
        </is>
      </c>
      <c r="H286" s="194" t="n">
        <v>178925</v>
      </c>
      <c r="I286" s="180" t="n">
        <v>8</v>
      </c>
      <c r="J286" s="194" t="n">
        <v>14314</v>
      </c>
      <c r="K286" s="182" t="inlineStr">
        <is>
          <t>CK</t>
        </is>
      </c>
      <c r="L286" s="182" t="inlineStr">
        <is>
          <t>GL</t>
        </is>
      </c>
      <c r="M286" s="278" t="inlineStr">
        <is>
          <t>'3175</t>
        </is>
      </c>
      <c r="N286" s="181" t="n">
        <v>46295</v>
      </c>
      <c r="O286" s="181" t="n">
        <v>46295</v>
      </c>
      <c r="P286" s="194" t="n">
        <v>193239</v>
      </c>
      <c r="Q286" s="180" t="inlineStr">
        <is>
          <t>Năng lượng mặt trời</t>
        </is>
      </c>
      <c r="R286" s="180" t="inlineStr">
        <is>
          <t>THAOPTT.HCM.VTA</t>
        </is>
      </c>
      <c r="S286" s="182" t="inlineStr">
        <is>
          <t>Not Reversed</t>
        </is>
      </c>
      <c r="T286" s="57">
        <f>IF(OR(LEN(F286)=11,LEN(F286)=15),"Đ","SAI")</f>
        <v/>
      </c>
      <c r="U286" s="529">
        <f>ROUND(H286*I286%,0)-J286</f>
        <v/>
      </c>
      <c r="V286" s="55">
        <f>IF(Q286=$V$12,13313,13311)</f>
        <v/>
      </c>
    </row>
    <row r="287" ht="21.65" customHeight="1" s="344">
      <c r="A287" s="180" t="n">
        <v>270</v>
      </c>
      <c r="B287" s="182" t="inlineStr">
        <is>
          <t>1C26MTS</t>
        </is>
      </c>
      <c r="C287" s="278" t="inlineStr">
        <is>
          <t>'82</t>
        </is>
      </c>
      <c r="D287" s="181" t="n">
        <v>46238</v>
      </c>
      <c r="E287" s="182" t="inlineStr">
        <is>
          <t>Công ty TNHH Dịch Vụ Ăn Uống TISO</t>
        </is>
      </c>
      <c r="F287" s="278" t="inlineStr">
        <is>
          <t>'3502473326</t>
        </is>
      </c>
      <c r="G287" s="182" t="inlineStr">
        <is>
          <t>ĐIỆN MTMN T06-2026</t>
        </is>
      </c>
      <c r="H287" s="194" t="n">
        <v>159980</v>
      </c>
      <c r="I287" s="180" t="n">
        <v>8</v>
      </c>
      <c r="J287" s="194" t="n">
        <v>12798</v>
      </c>
      <c r="K287" s="182" t="inlineStr">
        <is>
          <t>CK</t>
        </is>
      </c>
      <c r="L287" s="182" t="inlineStr">
        <is>
          <t>GL</t>
        </is>
      </c>
      <c r="M287" s="278" t="inlineStr">
        <is>
          <t>'3175</t>
        </is>
      </c>
      <c r="N287" s="181" t="n">
        <v>46295</v>
      </c>
      <c r="O287" s="181" t="n">
        <v>46295</v>
      </c>
      <c r="P287" s="194" t="n">
        <v>172778</v>
      </c>
      <c r="Q287" s="180" t="inlineStr">
        <is>
          <t>Năng lượng mặt trời</t>
        </is>
      </c>
      <c r="R287" s="180" t="inlineStr">
        <is>
          <t>THAOPTT.HCM.VTA</t>
        </is>
      </c>
      <c r="S287" s="182" t="inlineStr">
        <is>
          <t>Not Reversed</t>
        </is>
      </c>
      <c r="T287" s="57">
        <f>IF(OR(LEN(F287)=11,LEN(F287)=15),"Đ","SAI")</f>
        <v/>
      </c>
      <c r="U287" s="529">
        <f>ROUND(H287*I287%,0)-J287</f>
        <v/>
      </c>
      <c r="V287" s="55">
        <f>IF(Q287=$V$12,13313,13311)</f>
        <v/>
      </c>
    </row>
    <row r="288" ht="21.65" customHeight="1" s="344">
      <c r="A288" s="180" t="n">
        <v>271</v>
      </c>
      <c r="B288" s="182" t="inlineStr">
        <is>
          <t>1C26MTS</t>
        </is>
      </c>
      <c r="C288" s="278" t="inlineStr">
        <is>
          <t>'83</t>
        </is>
      </c>
      <c r="D288" s="181" t="n">
        <v>46238</v>
      </c>
      <c r="E288" s="182" t="inlineStr">
        <is>
          <t>Công ty TNHH Dịch Vụ Ăn Uống TISO</t>
        </is>
      </c>
      <c r="F288" s="278" t="inlineStr">
        <is>
          <t>'3502473326</t>
        </is>
      </c>
      <c r="G288" s="182" t="inlineStr">
        <is>
          <t>ĐIỆN MTMN T04-2026</t>
        </is>
      </c>
      <c r="H288" s="194" t="n">
        <v>275755</v>
      </c>
      <c r="I288" s="180" t="n">
        <v>8</v>
      </c>
      <c r="J288" s="194" t="n">
        <v>22060</v>
      </c>
      <c r="K288" s="182" t="inlineStr">
        <is>
          <t>CK</t>
        </is>
      </c>
      <c r="L288" s="182" t="inlineStr">
        <is>
          <t>GL</t>
        </is>
      </c>
      <c r="M288" s="278" t="inlineStr">
        <is>
          <t>'3175</t>
        </is>
      </c>
      <c r="N288" s="181" t="n">
        <v>46295</v>
      </c>
      <c r="O288" s="181" t="n">
        <v>46295</v>
      </c>
      <c r="P288" s="194" t="n">
        <v>297815</v>
      </c>
      <c r="Q288" s="180" t="inlineStr">
        <is>
          <t>Năng lượng mặt trời</t>
        </is>
      </c>
      <c r="R288" s="180" t="inlineStr">
        <is>
          <t>THAOPTT.HCM.VTA</t>
        </is>
      </c>
      <c r="S288" s="182" t="inlineStr">
        <is>
          <t>Not Reversed</t>
        </is>
      </c>
      <c r="T288" s="57">
        <f>IF(OR(LEN(F288)=11,LEN(F288)=15),"Đ","SAI")</f>
        <v/>
      </c>
      <c r="U288" s="529">
        <f>ROUND(H288*I288%,0)-J288</f>
        <v/>
      </c>
      <c r="V288" s="55">
        <f>IF(Q288=$V$12,13313,13311)</f>
        <v/>
      </c>
    </row>
    <row r="289" ht="21.65" customHeight="1" s="344">
      <c r="A289" s="180" t="n">
        <v>272</v>
      </c>
      <c r="B289" s="182" t="inlineStr">
        <is>
          <t>1C26TAA</t>
        </is>
      </c>
      <c r="C289" s="278" t="inlineStr">
        <is>
          <t>'10</t>
        </is>
      </c>
      <c r="D289" s="181" t="n">
        <v>46269</v>
      </c>
      <c r="E289" s="182" t="inlineStr">
        <is>
          <t>Công ty TNHH MTV Bình An Thảo Nguyên</t>
        </is>
      </c>
      <c r="F289" s="278" t="inlineStr">
        <is>
          <t>'3502440384</t>
        </is>
      </c>
      <c r="G289" s="182" t="inlineStr">
        <is>
          <t>ĐIỆN MTMN T08-2026</t>
        </is>
      </c>
      <c r="H289" s="194" t="n">
        <v>219206280</v>
      </c>
      <c r="I289" s="180" t="n">
        <v>8</v>
      </c>
      <c r="J289" s="194" t="n">
        <v>17536502</v>
      </c>
      <c r="K289" s="182" t="inlineStr">
        <is>
          <t>CK</t>
        </is>
      </c>
      <c r="L289" s="182" t="inlineStr">
        <is>
          <t>GL</t>
        </is>
      </c>
      <c r="M289" s="278" t="inlineStr">
        <is>
          <t>'3175</t>
        </is>
      </c>
      <c r="N289" s="181" t="n">
        <v>46295</v>
      </c>
      <c r="O289" s="181" t="n">
        <v>46295</v>
      </c>
      <c r="P289" s="194" t="n">
        <v>236742782</v>
      </c>
      <c r="Q289" s="180" t="inlineStr">
        <is>
          <t>Năng lượng mặt trời</t>
        </is>
      </c>
      <c r="R289" s="180" t="inlineStr">
        <is>
          <t>THAOPTT.HCM.VTA</t>
        </is>
      </c>
      <c r="S289" s="182" t="inlineStr">
        <is>
          <t>Not Reversed</t>
        </is>
      </c>
      <c r="T289" s="57">
        <f>IF(OR(LEN(F289)=11,LEN(F289)=15),"Đ","SAI")</f>
        <v/>
      </c>
      <c r="U289" s="529">
        <f>ROUND(H289*I289%,0)-J289</f>
        <v/>
      </c>
      <c r="V289" s="55">
        <f>IF(Q289=$V$12,13313,13311)</f>
        <v/>
      </c>
    </row>
    <row r="290" ht="21.65" customHeight="1" s="344">
      <c r="A290" s="180" t="n">
        <v>273</v>
      </c>
      <c r="B290" s="182" t="inlineStr">
        <is>
          <t>1C26TTC</t>
        </is>
      </c>
      <c r="C290" s="278" t="inlineStr">
        <is>
          <t>'1055</t>
        </is>
      </c>
      <c r="D290" s="181" t="n">
        <v>46269</v>
      </c>
      <c r="E290" s="182" t="inlineStr">
        <is>
          <t>Công Ty TNHH Dịch Vụ Vận Tải Trung Việt</t>
        </is>
      </c>
      <c r="F290" s="278" t="inlineStr">
        <is>
          <t>'3500441720</t>
        </is>
      </c>
      <c r="G290" s="182" t="inlineStr">
        <is>
          <t>ĐIỆN MTMN T08-2026</t>
        </is>
      </c>
      <c r="H290" s="194" t="n">
        <v>3203810</v>
      </c>
      <c r="I290" s="180" t="n">
        <v>8</v>
      </c>
      <c r="J290" s="194" t="n">
        <v>256305</v>
      </c>
      <c r="K290" s="182" t="inlineStr">
        <is>
          <t>CK</t>
        </is>
      </c>
      <c r="L290" s="182" t="inlineStr">
        <is>
          <t>GL</t>
        </is>
      </c>
      <c r="M290" s="278" t="inlineStr">
        <is>
          <t>'3175</t>
        </is>
      </c>
      <c r="N290" s="181" t="n">
        <v>46295</v>
      </c>
      <c r="O290" s="181" t="n">
        <v>46295</v>
      </c>
      <c r="P290" s="194" t="n">
        <v>3460115</v>
      </c>
      <c r="Q290" s="180" t="inlineStr">
        <is>
          <t>Năng lượng mặt trời</t>
        </is>
      </c>
      <c r="R290" s="180" t="inlineStr">
        <is>
          <t>THAOPTT.HCM.VTA</t>
        </is>
      </c>
      <c r="S290" s="182" t="inlineStr">
        <is>
          <t>Not Reversed</t>
        </is>
      </c>
      <c r="T290" s="57">
        <f>IF(OR(LEN(F290)=11,LEN(F290)=15),"Đ","SAI")</f>
        <v/>
      </c>
      <c r="U290" s="529">
        <f>ROUND(H290*I290%,0)-J290</f>
        <v/>
      </c>
      <c r="V290" s="55">
        <f>IF(Q290=$V$12,13313,13311)</f>
        <v/>
      </c>
    </row>
    <row r="291" ht="21.65" customHeight="1" s="344">
      <c r="A291" s="180" t="n">
        <v>274</v>
      </c>
      <c r="B291" s="182" t="inlineStr">
        <is>
          <t>1C26TTC</t>
        </is>
      </c>
      <c r="C291" s="278" t="inlineStr">
        <is>
          <t>'1056</t>
        </is>
      </c>
      <c r="D291" s="181" t="n">
        <v>46269</v>
      </c>
      <c r="E291" s="182" t="inlineStr">
        <is>
          <t>Công Ty TNHH Dịch Vụ Vận Tải Trung Việt</t>
        </is>
      </c>
      <c r="F291" s="278" t="inlineStr">
        <is>
          <t>'3500441720</t>
        </is>
      </c>
      <c r="G291" s="182" t="inlineStr">
        <is>
          <t>ĐIỆN MTMN T08-2026</t>
        </is>
      </c>
      <c r="H291" s="194" t="n">
        <v>1593485</v>
      </c>
      <c r="I291" s="180" t="n">
        <v>8</v>
      </c>
      <c r="J291" s="194" t="n">
        <v>127479</v>
      </c>
      <c r="K291" s="182" t="inlineStr">
        <is>
          <t>CK</t>
        </is>
      </c>
      <c r="L291" s="182" t="inlineStr">
        <is>
          <t>GL</t>
        </is>
      </c>
      <c r="M291" s="278" t="inlineStr">
        <is>
          <t>'3175</t>
        </is>
      </c>
      <c r="N291" s="181" t="n">
        <v>46295</v>
      </c>
      <c r="O291" s="181" t="n">
        <v>46295</v>
      </c>
      <c r="P291" s="194" t="n">
        <v>1720964</v>
      </c>
      <c r="Q291" s="180" t="inlineStr">
        <is>
          <t>Năng lượng mặt trời</t>
        </is>
      </c>
      <c r="R291" s="180" t="inlineStr">
        <is>
          <t>THAOPTT.HCM.VTA</t>
        </is>
      </c>
      <c r="S291" s="182" t="inlineStr">
        <is>
          <t>Not Reversed</t>
        </is>
      </c>
      <c r="T291" s="57">
        <f>IF(OR(LEN(F291)=11,LEN(F291)=15),"Đ","SAI")</f>
        <v/>
      </c>
      <c r="U291" s="529">
        <f>ROUND(H291*I291%,0)-J291</f>
        <v/>
      </c>
      <c r="V291" s="55">
        <f>IF(Q291=$V$12,13313,13311)</f>
        <v/>
      </c>
    </row>
    <row r="292" ht="21.65" customHeight="1" s="344">
      <c r="A292" s="180" t="n">
        <v>275</v>
      </c>
      <c r="B292" s="182" t="inlineStr">
        <is>
          <t>1C26TSS</t>
        </is>
      </c>
      <c r="C292" s="278" t="inlineStr">
        <is>
          <t>'107</t>
        </is>
      </c>
      <c r="D292" s="181" t="n">
        <v>46269</v>
      </c>
      <c r="E292" s="182" t="inlineStr">
        <is>
          <t>Công ty Cổ Phần Năng Lượng Mặt Trời REE</t>
        </is>
      </c>
      <c r="F292" s="278" t="inlineStr">
        <is>
          <t>'0300970376</t>
        </is>
      </c>
      <c r="G292" s="182" t="inlineStr">
        <is>
          <t>ĐIỆN MTMN T08-2026</t>
        </is>
      </c>
      <c r="H292" s="194" t="n">
        <v>13747755</v>
      </c>
      <c r="I292" s="180" t="n">
        <v>8</v>
      </c>
      <c r="J292" s="194" t="n">
        <v>1099820</v>
      </c>
      <c r="K292" s="182" t="inlineStr">
        <is>
          <t>CK</t>
        </is>
      </c>
      <c r="L292" s="182" t="inlineStr">
        <is>
          <t>GL</t>
        </is>
      </c>
      <c r="M292" s="278" t="inlineStr">
        <is>
          <t>'3175</t>
        </is>
      </c>
      <c r="N292" s="181" t="n">
        <v>46295</v>
      </c>
      <c r="O292" s="181" t="n">
        <v>46295</v>
      </c>
      <c r="P292" s="194" t="n">
        <v>14847575</v>
      </c>
      <c r="Q292" s="180" t="inlineStr">
        <is>
          <t>Năng lượng mặt trời</t>
        </is>
      </c>
      <c r="R292" s="180" t="inlineStr">
        <is>
          <t>THAOPTT.HCM.VTA</t>
        </is>
      </c>
      <c r="S292" s="182" t="inlineStr">
        <is>
          <t>Not Reversed</t>
        </is>
      </c>
      <c r="T292" s="57">
        <f>IF(OR(LEN(F292)=11,LEN(F292)=15),"Đ","SAI")</f>
        <v/>
      </c>
      <c r="U292" s="529">
        <f>ROUND(H292*I292%,0)-J292</f>
        <v/>
      </c>
      <c r="V292" s="55">
        <f>IF(Q292=$V$12,13313,13311)</f>
        <v/>
      </c>
    </row>
    <row r="293" ht="21.65" customHeight="1" s="344">
      <c r="A293" s="180" t="n">
        <v>276</v>
      </c>
      <c r="B293" s="182" t="inlineStr">
        <is>
          <t>1C26TSS</t>
        </is>
      </c>
      <c r="C293" s="278" t="inlineStr">
        <is>
          <t>'108</t>
        </is>
      </c>
      <c r="D293" s="181" t="n">
        <v>46269</v>
      </c>
      <c r="E293" s="182" t="inlineStr">
        <is>
          <t>Công ty Cổ phần Năng Lượng Mặt Trời REE</t>
        </is>
      </c>
      <c r="F293" s="278" t="inlineStr">
        <is>
          <t>'0300970376</t>
        </is>
      </c>
      <c r="G293" s="182" t="inlineStr">
        <is>
          <t>ĐIỆN MTMN T08-2026</t>
        </is>
      </c>
      <c r="H293" s="194" t="n">
        <v>89715100</v>
      </c>
      <c r="I293" s="180" t="n">
        <v>8</v>
      </c>
      <c r="J293" s="194" t="n">
        <v>7177208</v>
      </c>
      <c r="K293" s="182" t="inlineStr">
        <is>
          <t>CK</t>
        </is>
      </c>
      <c r="L293" s="182" t="inlineStr">
        <is>
          <t>GL</t>
        </is>
      </c>
      <c r="M293" s="278" t="inlineStr">
        <is>
          <t>'3175</t>
        </is>
      </c>
      <c r="N293" s="181" t="n">
        <v>46295</v>
      </c>
      <c r="O293" s="181" t="n">
        <v>46295</v>
      </c>
      <c r="P293" s="194" t="n">
        <v>96892308</v>
      </c>
      <c r="Q293" s="180" t="inlineStr">
        <is>
          <t>Năng lượng mặt trời</t>
        </is>
      </c>
      <c r="R293" s="180" t="inlineStr">
        <is>
          <t>THAOPTT.HCM.VTA</t>
        </is>
      </c>
      <c r="S293" s="182" t="inlineStr">
        <is>
          <t>Not Reversed</t>
        </is>
      </c>
      <c r="T293" s="57">
        <f>IF(OR(LEN(F293)=11,LEN(F293)=15),"Đ","SAI")</f>
        <v/>
      </c>
      <c r="U293" s="529">
        <f>ROUND(H293*I293%,0)-J293</f>
        <v/>
      </c>
      <c r="V293" s="55">
        <f>IF(Q293=$V$12,13313,13311)</f>
        <v/>
      </c>
    </row>
    <row r="294" ht="21.65" customHeight="1" s="344">
      <c r="A294" s="180" t="n">
        <v>277</v>
      </c>
      <c r="B294" s="182" t="inlineStr">
        <is>
          <t>1C26TAP</t>
        </is>
      </c>
      <c r="C294" s="278" t="inlineStr">
        <is>
          <t>'11</t>
        </is>
      </c>
      <c r="D294" s="181" t="n">
        <v>46269</v>
      </c>
      <c r="E294" s="182" t="inlineStr">
        <is>
          <t>Công ty TNHH Xây Dựng và Thương Mại Anh Phúc</t>
        </is>
      </c>
      <c r="F294" s="278" t="inlineStr">
        <is>
          <t>'0301417164</t>
        </is>
      </c>
      <c r="G294" s="182" t="inlineStr">
        <is>
          <t>ĐIỆN MTMN T08-2026</t>
        </is>
      </c>
      <c r="H294" s="194" t="n">
        <v>220227205</v>
      </c>
      <c r="I294" s="180" t="n">
        <v>8</v>
      </c>
      <c r="J294" s="194" t="n">
        <v>17618176</v>
      </c>
      <c r="K294" s="182" t="inlineStr">
        <is>
          <t>CK</t>
        </is>
      </c>
      <c r="L294" s="182" t="inlineStr">
        <is>
          <t>GL</t>
        </is>
      </c>
      <c r="M294" s="278" t="inlineStr">
        <is>
          <t>'3175</t>
        </is>
      </c>
      <c r="N294" s="181" t="n">
        <v>46295</v>
      </c>
      <c r="O294" s="181" t="n">
        <v>46295</v>
      </c>
      <c r="P294" s="194" t="n">
        <v>237845381</v>
      </c>
      <c r="Q294" s="180" t="inlineStr">
        <is>
          <t>Năng lượng mặt trời</t>
        </is>
      </c>
      <c r="R294" s="180" t="inlineStr">
        <is>
          <t>THAOPTT.HCM.VTA</t>
        </is>
      </c>
      <c r="S294" s="182" t="inlineStr">
        <is>
          <t>Not Reversed</t>
        </is>
      </c>
      <c r="T294" s="57">
        <f>IF(OR(LEN(F294)=11,LEN(F294)=15),"Đ","SAI")</f>
        <v/>
      </c>
      <c r="U294" s="529">
        <f>ROUND(H294*I294%,0)-J294</f>
        <v/>
      </c>
      <c r="V294" s="55">
        <f>IF(Q294=$V$12,13313,13311)</f>
        <v/>
      </c>
    </row>
    <row r="295" ht="21.65" customHeight="1" s="344">
      <c r="A295" s="180" t="n">
        <v>278</v>
      </c>
      <c r="B295" s="182" t="inlineStr">
        <is>
          <t>1C26TDV</t>
        </is>
      </c>
      <c r="C295" s="278" t="inlineStr">
        <is>
          <t>'11</t>
        </is>
      </c>
      <c r="D295" s="181" t="n">
        <v>46269</v>
      </c>
      <c r="E295" s="182" t="inlineStr">
        <is>
          <t>Công Ty TNHH Truyền Thông Quảng Cáo Da Vàng</t>
        </is>
      </c>
      <c r="F295" s="278" t="inlineStr">
        <is>
          <t>'3502434278</t>
        </is>
      </c>
      <c r="G295" s="182" t="inlineStr">
        <is>
          <t>ĐIỆN MTMN T08-2026</t>
        </is>
      </c>
      <c r="H295" s="194" t="n">
        <v>17214690</v>
      </c>
      <c r="I295" s="180" t="n">
        <v>8</v>
      </c>
      <c r="J295" s="194" t="n">
        <v>1377175</v>
      </c>
      <c r="K295" s="182" t="inlineStr">
        <is>
          <t>CK</t>
        </is>
      </c>
      <c r="L295" s="182" t="inlineStr">
        <is>
          <t>GL</t>
        </is>
      </c>
      <c r="M295" s="278" t="inlineStr">
        <is>
          <t>'3175</t>
        </is>
      </c>
      <c r="N295" s="181" t="n">
        <v>46295</v>
      </c>
      <c r="O295" s="181" t="n">
        <v>46295</v>
      </c>
      <c r="P295" s="194" t="n">
        <v>18591865</v>
      </c>
      <c r="Q295" s="180" t="inlineStr">
        <is>
          <t>Năng lượng mặt trời</t>
        </is>
      </c>
      <c r="R295" s="180" t="inlineStr">
        <is>
          <t>THAOPTT.HCM.VTA</t>
        </is>
      </c>
      <c r="S295" s="182" t="inlineStr">
        <is>
          <t>Not Reversed</t>
        </is>
      </c>
      <c r="T295" s="57">
        <f>IF(OR(LEN(F295)=11,LEN(F295)=15),"Đ","SAI")</f>
        <v/>
      </c>
      <c r="U295" s="529">
        <f>ROUND(H295*I295%,0)-J295</f>
        <v/>
      </c>
      <c r="V295" s="55">
        <f>IF(Q295=$V$12,13313,13311)</f>
        <v/>
      </c>
    </row>
    <row r="296" ht="21.65" customHeight="1" s="344">
      <c r="A296" s="180" t="n">
        <v>279</v>
      </c>
      <c r="B296" s="182" t="inlineStr">
        <is>
          <t>1C26TSS</t>
        </is>
      </c>
      <c r="C296" s="278" t="inlineStr">
        <is>
          <t>'110</t>
        </is>
      </c>
      <c r="D296" s="181" t="n">
        <v>46269</v>
      </c>
      <c r="E296" s="182" t="inlineStr">
        <is>
          <t>Công ty Cổ phần Năng Lượng Mặt Trời REE</t>
        </is>
      </c>
      <c r="F296" s="278" t="inlineStr">
        <is>
          <t>'0300970376</t>
        </is>
      </c>
      <c r="G296" s="182" t="inlineStr">
        <is>
          <t>ĐIỆN MTMN T08-2026</t>
        </is>
      </c>
      <c r="H296" s="194" t="n">
        <v>13903525</v>
      </c>
      <c r="I296" s="180" t="n">
        <v>8</v>
      </c>
      <c r="J296" s="194" t="n">
        <v>1112282</v>
      </c>
      <c r="K296" s="182" t="inlineStr">
        <is>
          <t>CK</t>
        </is>
      </c>
      <c r="L296" s="182" t="inlineStr">
        <is>
          <t>GL</t>
        </is>
      </c>
      <c r="M296" s="278" t="inlineStr">
        <is>
          <t>'3175</t>
        </is>
      </c>
      <c r="N296" s="181" t="n">
        <v>46295</v>
      </c>
      <c r="O296" s="181" t="n">
        <v>46295</v>
      </c>
      <c r="P296" s="194" t="n">
        <v>15015807</v>
      </c>
      <c r="Q296" s="180" t="inlineStr">
        <is>
          <t>Năng lượng mặt trời</t>
        </is>
      </c>
      <c r="R296" s="180" t="inlineStr">
        <is>
          <t>THAOPTT.HCM.VTA</t>
        </is>
      </c>
      <c r="S296" s="182" t="inlineStr">
        <is>
          <t>Not Reversed</t>
        </is>
      </c>
      <c r="T296" s="57">
        <f>IF(OR(LEN(F296)=11,LEN(F296)=15),"Đ","SAI")</f>
        <v/>
      </c>
      <c r="U296" s="529">
        <f>ROUND(H296*I296%,0)-J296</f>
        <v/>
      </c>
      <c r="V296" s="55">
        <f>IF(Q296=$V$12,13313,13311)</f>
        <v/>
      </c>
    </row>
    <row r="297" ht="21.65" customHeight="1" s="344">
      <c r="A297" s="180" t="n">
        <v>280</v>
      </c>
      <c r="B297" s="182" t="inlineStr">
        <is>
          <t>1C26TSS</t>
        </is>
      </c>
      <c r="C297" s="278" t="inlineStr">
        <is>
          <t>'111</t>
        </is>
      </c>
      <c r="D297" s="181" t="n">
        <v>46269</v>
      </c>
      <c r="E297" s="182" t="inlineStr">
        <is>
          <t>Công ty Cổ phần Năng Lượng Mặt Trời REE</t>
        </is>
      </c>
      <c r="F297" s="278" t="inlineStr">
        <is>
          <t>'0300970376</t>
        </is>
      </c>
      <c r="G297" s="182" t="inlineStr">
        <is>
          <t>ĐIỆN MTMN T08-2026</t>
        </is>
      </c>
      <c r="H297" s="194" t="n">
        <v>17660950</v>
      </c>
      <c r="I297" s="180" t="n">
        <v>8</v>
      </c>
      <c r="J297" s="194" t="n">
        <v>1412876</v>
      </c>
      <c r="K297" s="182" t="inlineStr">
        <is>
          <t>CK</t>
        </is>
      </c>
      <c r="L297" s="182" t="inlineStr">
        <is>
          <t>GL</t>
        </is>
      </c>
      <c r="M297" s="278" t="inlineStr">
        <is>
          <t>'3175</t>
        </is>
      </c>
      <c r="N297" s="181" t="n">
        <v>46295</v>
      </c>
      <c r="O297" s="181" t="n">
        <v>46295</v>
      </c>
      <c r="P297" s="194" t="n">
        <v>19073826</v>
      </c>
      <c r="Q297" s="180" t="inlineStr">
        <is>
          <t>Năng lượng mặt trời</t>
        </is>
      </c>
      <c r="R297" s="180" t="inlineStr">
        <is>
          <t>THAOPTT.HCM.VTA</t>
        </is>
      </c>
      <c r="S297" s="182" t="inlineStr">
        <is>
          <t>Not Reversed</t>
        </is>
      </c>
      <c r="T297" s="57">
        <f>IF(OR(LEN(F297)=11,LEN(F297)=15),"Đ","SAI")</f>
        <v/>
      </c>
      <c r="U297" s="529">
        <f>ROUND(H297*I297%,0)-J297</f>
        <v/>
      </c>
      <c r="V297" s="55">
        <f>IF(Q297=$V$12,13313,13311)</f>
        <v/>
      </c>
    </row>
    <row r="298" ht="21.65" customHeight="1" s="344">
      <c r="A298" s="180" t="n">
        <v>281</v>
      </c>
      <c r="B298" s="182" t="inlineStr">
        <is>
          <t>1C26TVL</t>
        </is>
      </c>
      <c r="C298" s="278" t="inlineStr">
        <is>
          <t>'1129</t>
        </is>
      </c>
      <c r="D298" s="181" t="n">
        <v>46269</v>
      </c>
      <c r="E298" s="182" t="inlineStr">
        <is>
          <t>Công ty TNHH Kho Vận Việt Thăng Long</t>
        </is>
      </c>
      <c r="F298" s="278" t="inlineStr">
        <is>
          <t>'0303019560</t>
        </is>
      </c>
      <c r="G298" s="182" t="inlineStr">
        <is>
          <t>ĐIỆN MTMN T08-2026</t>
        </is>
      </c>
      <c r="H298" s="194" t="n">
        <v>243359050</v>
      </c>
      <c r="I298" s="180" t="n">
        <v>8</v>
      </c>
      <c r="J298" s="194" t="n">
        <v>19468724</v>
      </c>
      <c r="K298" s="182" t="inlineStr">
        <is>
          <t>CK</t>
        </is>
      </c>
      <c r="L298" s="182" t="inlineStr">
        <is>
          <t>GL</t>
        </is>
      </c>
      <c r="M298" s="278" t="inlineStr">
        <is>
          <t>'3175</t>
        </is>
      </c>
      <c r="N298" s="181" t="n">
        <v>46295</v>
      </c>
      <c r="O298" s="181" t="n">
        <v>46295</v>
      </c>
      <c r="P298" s="194" t="n">
        <v>262827774</v>
      </c>
      <c r="Q298" s="180" t="inlineStr">
        <is>
          <t>Năng lượng mặt trời</t>
        </is>
      </c>
      <c r="R298" s="180" t="inlineStr">
        <is>
          <t>THAOPTT.HCM.VTA</t>
        </is>
      </c>
      <c r="S298" s="182" t="inlineStr">
        <is>
          <t>Not Reversed</t>
        </is>
      </c>
      <c r="T298" s="57">
        <f>IF(OR(LEN(F298)=11,LEN(F298)=15),"Đ","SAI")</f>
        <v/>
      </c>
      <c r="U298" s="529">
        <f>ROUND(H298*I298%,0)-J298</f>
        <v/>
      </c>
      <c r="V298" s="55">
        <f>IF(Q298=$V$12,13313,13311)</f>
        <v/>
      </c>
    </row>
    <row r="299" ht="21.65" customHeight="1" s="344">
      <c r="A299" s="180" t="n">
        <v>282</v>
      </c>
      <c r="B299" s="182" t="inlineStr">
        <is>
          <t>1C26TQK</t>
        </is>
      </c>
      <c r="C299" s="278" t="inlineStr">
        <is>
          <t>'116</t>
        </is>
      </c>
      <c r="D299" s="181" t="n">
        <v>46269</v>
      </c>
      <c r="E299" s="182" t="inlineStr">
        <is>
          <t>Cty TNHH dịch vụ kỹ thuật Quang Khánh</t>
        </is>
      </c>
      <c r="F299" s="278" t="inlineStr">
        <is>
          <t>'3501816958</t>
        </is>
      </c>
      <c r="G299" s="182" t="inlineStr">
        <is>
          <t>ĐIỆN MTMN T08-2026</t>
        </is>
      </c>
      <c r="H299" s="194" t="n">
        <v>4932015</v>
      </c>
      <c r="I299" s="180" t="n">
        <v>8</v>
      </c>
      <c r="J299" s="194" t="n">
        <v>394561</v>
      </c>
      <c r="K299" s="182" t="inlineStr">
        <is>
          <t>CK</t>
        </is>
      </c>
      <c r="L299" s="182" t="inlineStr">
        <is>
          <t>GL</t>
        </is>
      </c>
      <c r="M299" s="278" t="inlineStr">
        <is>
          <t>'3175</t>
        </is>
      </c>
      <c r="N299" s="181" t="n">
        <v>46295</v>
      </c>
      <c r="O299" s="181" t="n">
        <v>46295</v>
      </c>
      <c r="P299" s="194" t="n">
        <v>5326576</v>
      </c>
      <c r="Q299" s="180" t="inlineStr">
        <is>
          <t>Năng lượng mặt trời</t>
        </is>
      </c>
      <c r="R299" s="180" t="inlineStr">
        <is>
          <t>THAOPTT.HCM.VTA</t>
        </is>
      </c>
      <c r="S299" s="182" t="inlineStr">
        <is>
          <t>Not Reversed</t>
        </is>
      </c>
      <c r="T299" s="57">
        <f>IF(OR(LEN(F299)=11,LEN(F299)=15),"Đ","SAI")</f>
        <v/>
      </c>
      <c r="U299" s="529">
        <f>ROUND(H299*I299%,0)-J299</f>
        <v/>
      </c>
      <c r="V299" s="55">
        <f>IF(Q299=$V$12,13313,13311)</f>
        <v/>
      </c>
    </row>
    <row r="300" ht="21.65" customHeight="1" s="344">
      <c r="A300" s="180" t="n">
        <v>283</v>
      </c>
      <c r="B300" s="182" t="inlineStr">
        <is>
          <t>1C26TXX</t>
        </is>
      </c>
      <c r="C300" s="278" t="inlineStr">
        <is>
          <t>'116</t>
        </is>
      </c>
      <c r="D300" s="181" t="n">
        <v>46269</v>
      </c>
      <c r="E300" s="182" t="inlineStr">
        <is>
          <t>Công ty TNHH SKYX SOLAR SOUTH</t>
        </is>
      </c>
      <c r="F300" s="278" t="inlineStr">
        <is>
          <t>'0316379264</t>
        </is>
      </c>
      <c r="G300" s="182" t="inlineStr">
        <is>
          <t>ĐIỆN MTMN T08-2026</t>
        </is>
      </c>
      <c r="H300" s="194" t="n">
        <v>209653790</v>
      </c>
      <c r="I300" s="180" t="n">
        <v>8</v>
      </c>
      <c r="J300" s="194" t="n">
        <v>16772303</v>
      </c>
      <c r="K300" s="182" t="inlineStr">
        <is>
          <t>CK</t>
        </is>
      </c>
      <c r="L300" s="182" t="inlineStr">
        <is>
          <t>GL</t>
        </is>
      </c>
      <c r="M300" s="278" t="inlineStr">
        <is>
          <t>'3175</t>
        </is>
      </c>
      <c r="N300" s="181" t="n">
        <v>46295</v>
      </c>
      <c r="O300" s="181" t="n">
        <v>46295</v>
      </c>
      <c r="P300" s="194" t="n">
        <v>226426093</v>
      </c>
      <c r="Q300" s="180" t="inlineStr">
        <is>
          <t>Năng lượng mặt trời</t>
        </is>
      </c>
      <c r="R300" s="180" t="inlineStr">
        <is>
          <t>THAOPTT.HCM.VTA</t>
        </is>
      </c>
      <c r="S300" s="182" t="inlineStr">
        <is>
          <t>Not Reversed</t>
        </is>
      </c>
      <c r="T300" s="57">
        <f>IF(OR(LEN(F300)=11,LEN(F300)=15),"Đ","SAI")</f>
        <v/>
      </c>
      <c r="U300" s="529">
        <f>ROUND(H300*I300%,0)-J300</f>
        <v/>
      </c>
      <c r="V300" s="55">
        <f>IF(Q300=$V$12,13313,13311)</f>
        <v/>
      </c>
    </row>
    <row r="301" ht="21.65" customHeight="1" s="344">
      <c r="A301" s="180" t="n">
        <v>284</v>
      </c>
      <c r="B301" s="182" t="inlineStr">
        <is>
          <t>1C26TTT</t>
        </is>
      </c>
      <c r="C301" s="278" t="inlineStr">
        <is>
          <t>'1224</t>
        </is>
      </c>
      <c r="D301" s="181" t="n">
        <v>46269</v>
      </c>
      <c r="E301" s="182" t="inlineStr">
        <is>
          <t>Chi nhánh Công ty CP Đầu tư Phan Huỳnh Gia Phát tại Tân Thành</t>
        </is>
      </c>
      <c r="F301" s="278" t="inlineStr">
        <is>
          <t>'0312765212</t>
        </is>
      </c>
      <c r="G301" s="182" t="inlineStr">
        <is>
          <t>ĐIỆN MTMN T08-2026</t>
        </is>
      </c>
      <c r="H301" s="194" t="n">
        <v>198101550</v>
      </c>
      <c r="I301" s="180" t="n">
        <v>8</v>
      </c>
      <c r="J301" s="194" t="n">
        <v>15848124</v>
      </c>
      <c r="K301" s="182" t="inlineStr">
        <is>
          <t>CK</t>
        </is>
      </c>
      <c r="L301" s="182" t="inlineStr">
        <is>
          <t>GL</t>
        </is>
      </c>
      <c r="M301" s="278" t="inlineStr">
        <is>
          <t>'3175</t>
        </is>
      </c>
      <c r="N301" s="181" t="n">
        <v>46295</v>
      </c>
      <c r="O301" s="181" t="n">
        <v>46295</v>
      </c>
      <c r="P301" s="194" t="n">
        <v>213949674</v>
      </c>
      <c r="Q301" s="180" t="inlineStr">
        <is>
          <t>Năng lượng mặt trời</t>
        </is>
      </c>
      <c r="R301" s="180" t="inlineStr">
        <is>
          <t>THAOPTT.HCM.VTA</t>
        </is>
      </c>
      <c r="S301" s="182" t="inlineStr">
        <is>
          <t>Not Reversed</t>
        </is>
      </c>
      <c r="T301" s="57">
        <f>IF(OR(LEN(F301)=11,LEN(F301)=15),"Đ","SAI")</f>
        <v/>
      </c>
      <c r="U301" s="529">
        <f>ROUND(H301*I301%,0)-J301</f>
        <v/>
      </c>
      <c r="V301" s="55">
        <f>IF(Q301=$V$12,13313,13311)</f>
        <v/>
      </c>
    </row>
    <row r="302" ht="21.65" customHeight="1" s="344">
      <c r="A302" s="180" t="n">
        <v>285</v>
      </c>
      <c r="B302" s="182" t="inlineStr">
        <is>
          <t>1C26THP</t>
        </is>
      </c>
      <c r="C302" s="278" t="inlineStr">
        <is>
          <t>'1375</t>
        </is>
      </c>
      <c r="D302" s="181" t="n">
        <v>46269</v>
      </c>
      <c r="E302" s="182" t="inlineStr">
        <is>
          <t>Công Ty TNHH Đầu Tư Minh Hùng Phát</t>
        </is>
      </c>
      <c r="F302" s="278" t="inlineStr">
        <is>
          <t>'3502352522</t>
        </is>
      </c>
      <c r="G302" s="182" t="inlineStr">
        <is>
          <t>ĐIỆN MTMN T08-2026</t>
        </is>
      </c>
      <c r="H302" s="194" t="n">
        <v>402055</v>
      </c>
      <c r="I302" s="180" t="n">
        <v>8</v>
      </c>
      <c r="J302" s="194" t="n">
        <v>32164</v>
      </c>
      <c r="K302" s="182" t="inlineStr">
        <is>
          <t>CK</t>
        </is>
      </c>
      <c r="L302" s="182" t="inlineStr">
        <is>
          <t>GL</t>
        </is>
      </c>
      <c r="M302" s="278" t="inlineStr">
        <is>
          <t>'3175</t>
        </is>
      </c>
      <c r="N302" s="181" t="n">
        <v>46295</v>
      </c>
      <c r="O302" s="181" t="n">
        <v>46295</v>
      </c>
      <c r="P302" s="194" t="n">
        <v>434219</v>
      </c>
      <c r="Q302" s="180" t="inlineStr">
        <is>
          <t>Năng lượng mặt trời</t>
        </is>
      </c>
      <c r="R302" s="180" t="inlineStr">
        <is>
          <t>THAOPTT.HCM.VTA</t>
        </is>
      </c>
      <c r="S302" s="182" t="inlineStr">
        <is>
          <t>Not Reversed</t>
        </is>
      </c>
      <c r="T302" s="57">
        <f>IF(OR(LEN(F302)=11,LEN(F302)=15),"Đ","SAI")</f>
        <v/>
      </c>
      <c r="U302" s="529">
        <f>ROUND(H302*I302%,0)-J302</f>
        <v/>
      </c>
      <c r="V302" s="55">
        <f>IF(Q302=$V$12,13313,13311)</f>
        <v/>
      </c>
    </row>
    <row r="303" ht="21.65" customHeight="1" s="344">
      <c r="A303" s="180" t="n">
        <v>286</v>
      </c>
      <c r="B303" s="182" t="inlineStr">
        <is>
          <t>1C26TSP</t>
        </is>
      </c>
      <c r="C303" s="278" t="inlineStr">
        <is>
          <t>'153</t>
        </is>
      </c>
      <c r="D303" s="181" t="n">
        <v>46269</v>
      </c>
      <c r="E303" s="182" t="inlineStr">
        <is>
          <t>Công ty TNHH Chất Lượng Toàn Cầu SUPERIOR</t>
        </is>
      </c>
      <c r="F303" s="278" t="inlineStr">
        <is>
          <t>'3502398943</t>
        </is>
      </c>
      <c r="G303" s="182" t="inlineStr">
        <is>
          <t>ĐIỆN MTMN T08-2026</t>
        </is>
      </c>
      <c r="H303" s="194" t="n">
        <v>1153540</v>
      </c>
      <c r="I303" s="180" t="n">
        <v>8</v>
      </c>
      <c r="J303" s="194" t="n">
        <v>92283</v>
      </c>
      <c r="K303" s="182" t="inlineStr">
        <is>
          <t>CK</t>
        </is>
      </c>
      <c r="L303" s="182" t="inlineStr">
        <is>
          <t>GL</t>
        </is>
      </c>
      <c r="M303" s="278" t="inlineStr">
        <is>
          <t>'3175</t>
        </is>
      </c>
      <c r="N303" s="181" t="n">
        <v>46295</v>
      </c>
      <c r="O303" s="181" t="n">
        <v>46295</v>
      </c>
      <c r="P303" s="194" t="n">
        <v>1245823</v>
      </c>
      <c r="Q303" s="180" t="inlineStr">
        <is>
          <t>Năng lượng mặt trời</t>
        </is>
      </c>
      <c r="R303" s="180" t="inlineStr">
        <is>
          <t>THAOPTT.HCM.VTA</t>
        </is>
      </c>
      <c r="S303" s="182" t="inlineStr">
        <is>
          <t>Not Reversed</t>
        </is>
      </c>
      <c r="T303" s="57">
        <f>IF(OR(LEN(F303)=11,LEN(F303)=15),"Đ","SAI")</f>
        <v/>
      </c>
      <c r="U303" s="529">
        <f>ROUND(H303*I303%,0)-J303</f>
        <v/>
      </c>
      <c r="V303" s="55">
        <f>IF(Q303=$V$12,13313,13311)</f>
        <v/>
      </c>
    </row>
    <row r="304" ht="21.65" customHeight="1" s="344">
      <c r="A304" s="180" t="n">
        <v>287</v>
      </c>
      <c r="B304" s="182" t="inlineStr">
        <is>
          <t>1C26TPT</t>
        </is>
      </c>
      <c r="C304" s="278" t="inlineStr">
        <is>
          <t>'17</t>
        </is>
      </c>
      <c r="D304" s="181" t="n">
        <v>46269</v>
      </c>
      <c r="E304" s="182" t="inlineStr">
        <is>
          <t>Công ty Cổ Phần CHPT GROUP</t>
        </is>
      </c>
      <c r="F304" s="278" t="inlineStr">
        <is>
          <t>'0109003922</t>
        </is>
      </c>
      <c r="G304" s="182" t="inlineStr">
        <is>
          <t>ĐIỆN MTMN T08-2026</t>
        </is>
      </c>
      <c r="H304" s="194" t="n">
        <v>161264050</v>
      </c>
      <c r="I304" s="180" t="n">
        <v>8</v>
      </c>
      <c r="J304" s="194" t="n">
        <v>12901124</v>
      </c>
      <c r="K304" s="182" t="inlineStr">
        <is>
          <t>CK</t>
        </is>
      </c>
      <c r="L304" s="182" t="inlineStr">
        <is>
          <t>GL</t>
        </is>
      </c>
      <c r="M304" s="278" t="inlineStr">
        <is>
          <t>'3175</t>
        </is>
      </c>
      <c r="N304" s="181" t="n">
        <v>46295</v>
      </c>
      <c r="O304" s="181" t="n">
        <v>46295</v>
      </c>
      <c r="P304" s="194" t="n">
        <v>174165174</v>
      </c>
      <c r="Q304" s="180" t="inlineStr">
        <is>
          <t>Năng lượng mặt trời</t>
        </is>
      </c>
      <c r="R304" s="180" t="inlineStr">
        <is>
          <t>THAOPTT.HCM.VTA</t>
        </is>
      </c>
      <c r="S304" s="182" t="inlineStr">
        <is>
          <t>Not Reversed</t>
        </is>
      </c>
      <c r="T304" s="57">
        <f>IF(OR(LEN(F304)=11,LEN(F304)=15),"Đ","SAI")</f>
        <v/>
      </c>
      <c r="U304" s="529">
        <f>ROUND(H304*I304%,0)-J304</f>
        <v/>
      </c>
      <c r="V304" s="55">
        <f>IF(Q304=$V$12,13313,13311)</f>
        <v/>
      </c>
    </row>
    <row r="305" ht="21.65" customHeight="1" s="344">
      <c r="A305" s="180" t="n">
        <v>288</v>
      </c>
      <c r="B305" s="182" t="inlineStr">
        <is>
          <t>1C26TVA</t>
        </is>
      </c>
      <c r="C305" s="278" t="inlineStr">
        <is>
          <t>'170</t>
        </is>
      </c>
      <c r="D305" s="181" t="n">
        <v>46269</v>
      </c>
      <c r="E305" s="182" t="inlineStr">
        <is>
          <t>Công ty Cổ Phần Hợp Tác Phát Triển Năng Lượng Tái Tạo VI-JA</t>
        </is>
      </c>
      <c r="F305" s="278" t="inlineStr">
        <is>
          <t>'0316274631</t>
        </is>
      </c>
      <c r="G305" s="182" t="inlineStr">
        <is>
          <t>ĐIỆN MTMN T08-2026</t>
        </is>
      </c>
      <c r="H305" s="194" t="n">
        <v>197760540</v>
      </c>
      <c r="I305" s="180" t="n">
        <v>8</v>
      </c>
      <c r="J305" s="194" t="n">
        <v>15820843</v>
      </c>
      <c r="K305" s="182" t="inlineStr">
        <is>
          <t>CK</t>
        </is>
      </c>
      <c r="L305" s="182" t="inlineStr">
        <is>
          <t>GL</t>
        </is>
      </c>
      <c r="M305" s="278" t="inlineStr">
        <is>
          <t>'3175</t>
        </is>
      </c>
      <c r="N305" s="181" t="n">
        <v>46295</v>
      </c>
      <c r="O305" s="181" t="n">
        <v>46295</v>
      </c>
      <c r="P305" s="194" t="n">
        <v>213581383</v>
      </c>
      <c r="Q305" s="180" t="inlineStr">
        <is>
          <t>Năng lượng mặt trời</t>
        </is>
      </c>
      <c r="R305" s="180" t="inlineStr">
        <is>
          <t>THAOPTT.HCM.VTA</t>
        </is>
      </c>
      <c r="S305" s="182" t="inlineStr">
        <is>
          <t>Not Reversed</t>
        </is>
      </c>
      <c r="T305" s="57">
        <f>IF(OR(LEN(F305)=11,LEN(F305)=15),"Đ","SAI")</f>
        <v/>
      </c>
      <c r="U305" s="529">
        <f>ROUND(H305*I305%,0)-J305</f>
        <v/>
      </c>
      <c r="V305" s="55">
        <f>IF(Q305=$V$12,13313,13311)</f>
        <v/>
      </c>
    </row>
    <row r="306" ht="21.65" customHeight="1" s="344">
      <c r="A306" s="180" t="n">
        <v>289</v>
      </c>
      <c r="B306" s="182" t="inlineStr">
        <is>
          <t>1C26TEV</t>
        </is>
      </c>
      <c r="C306" s="278" t="inlineStr">
        <is>
          <t>'175</t>
        </is>
      </c>
      <c r="D306" s="181" t="n">
        <v>46269</v>
      </c>
      <c r="E306" s="182" t="inlineStr">
        <is>
          <t>Công ty Cổ Phần Đầu Tư EVERSOLAR</t>
        </is>
      </c>
      <c r="F306" s="278" t="inlineStr">
        <is>
          <t>'0108762162</t>
        </is>
      </c>
      <c r="G306" s="182" t="inlineStr">
        <is>
          <t>ĐIỆN MTMN T08-2026</t>
        </is>
      </c>
      <c r="H306" s="194" t="n">
        <v>210274765</v>
      </c>
      <c r="I306" s="180" t="n">
        <v>8</v>
      </c>
      <c r="J306" s="194" t="n">
        <v>16821981</v>
      </c>
      <c r="K306" s="182" t="inlineStr">
        <is>
          <t>CK</t>
        </is>
      </c>
      <c r="L306" s="182" t="inlineStr">
        <is>
          <t>GL</t>
        </is>
      </c>
      <c r="M306" s="278" t="inlineStr">
        <is>
          <t>'3175</t>
        </is>
      </c>
      <c r="N306" s="181" t="n">
        <v>46295</v>
      </c>
      <c r="O306" s="181" t="n">
        <v>46295</v>
      </c>
      <c r="P306" s="194" t="n">
        <v>227096746</v>
      </c>
      <c r="Q306" s="180" t="inlineStr">
        <is>
          <t>Năng lượng mặt trời</t>
        </is>
      </c>
      <c r="R306" s="180" t="inlineStr">
        <is>
          <t>THAOPTT.HCM.VTA</t>
        </is>
      </c>
      <c r="S306" s="182" t="inlineStr">
        <is>
          <t>Not Reversed</t>
        </is>
      </c>
      <c r="T306" s="57">
        <f>IF(OR(LEN(F306)=11,LEN(F306)=15),"Đ","SAI")</f>
        <v/>
      </c>
      <c r="U306" s="529">
        <f>ROUND(H306*I306%,0)-J306</f>
        <v/>
      </c>
      <c r="V306" s="55">
        <f>IF(Q306=$V$12,13313,13311)</f>
        <v/>
      </c>
    </row>
    <row r="307" ht="21.65" customHeight="1" s="344">
      <c r="A307" s="180" t="n">
        <v>290</v>
      </c>
      <c r="B307" s="182" t="inlineStr">
        <is>
          <t>1C26TYY</t>
        </is>
      </c>
      <c r="C307" s="278" t="inlineStr">
        <is>
          <t>'18</t>
        </is>
      </c>
      <c r="D307" s="181" t="n">
        <v>46269</v>
      </c>
      <c r="E307" s="182" t="inlineStr">
        <is>
          <t>Công ty TNHH Thương Mại Dịch Vụ Nam Trường An</t>
        </is>
      </c>
      <c r="F307" s="278" t="inlineStr">
        <is>
          <t>'0313553235</t>
        </is>
      </c>
      <c r="G307" s="182" t="inlineStr">
        <is>
          <t>ĐIỆN MTMN T08-2026</t>
        </is>
      </c>
      <c r="H307" s="194" t="n">
        <v>200296140</v>
      </c>
      <c r="I307" s="180" t="n">
        <v>8</v>
      </c>
      <c r="J307" s="194" t="n">
        <v>16023691</v>
      </c>
      <c r="K307" s="182" t="inlineStr">
        <is>
          <t>CK</t>
        </is>
      </c>
      <c r="L307" s="182" t="inlineStr">
        <is>
          <t>GL</t>
        </is>
      </c>
      <c r="M307" s="278" t="inlineStr">
        <is>
          <t>'3175</t>
        </is>
      </c>
      <c r="N307" s="181" t="n">
        <v>46295</v>
      </c>
      <c r="O307" s="181" t="n">
        <v>46295</v>
      </c>
      <c r="P307" s="194" t="n">
        <v>216319831</v>
      </c>
      <c r="Q307" s="180" t="inlineStr">
        <is>
          <t>Năng lượng mặt trời</t>
        </is>
      </c>
      <c r="R307" s="180" t="inlineStr">
        <is>
          <t>THAOPTT.HCM.VTA</t>
        </is>
      </c>
      <c r="S307" s="182" t="inlineStr">
        <is>
          <t>Not Reversed</t>
        </is>
      </c>
      <c r="T307" s="57">
        <f>IF(OR(LEN(F307)=11,LEN(F307)=15),"Đ","SAI")</f>
        <v/>
      </c>
      <c r="U307" s="529">
        <f>ROUND(H307*I307%,0)-J307</f>
        <v/>
      </c>
      <c r="V307" s="55">
        <f>IF(Q307=$V$12,13313,13311)</f>
        <v/>
      </c>
    </row>
    <row r="308" ht="21.65" customHeight="1" s="344">
      <c r="A308" s="180" t="n">
        <v>291</v>
      </c>
      <c r="B308" s="182" t="inlineStr">
        <is>
          <t>1C26TAP</t>
        </is>
      </c>
      <c r="C308" s="278" t="inlineStr">
        <is>
          <t>'18</t>
        </is>
      </c>
      <c r="D308" s="181" t="n">
        <v>46269</v>
      </c>
      <c r="E308" s="182" t="inlineStr">
        <is>
          <t>Công ty TNHH ATLAS POWER 1</t>
        </is>
      </c>
      <c r="F308" s="278" t="inlineStr">
        <is>
          <t>'0109255729</t>
        </is>
      </c>
      <c r="G308" s="182" t="inlineStr">
        <is>
          <t>ĐIỆN MTMN T08-2026</t>
        </is>
      </c>
      <c r="H308" s="194" t="n">
        <v>117604245</v>
      </c>
      <c r="I308" s="180" t="n">
        <v>8</v>
      </c>
      <c r="J308" s="194" t="n">
        <v>9408340</v>
      </c>
      <c r="K308" s="182" t="inlineStr">
        <is>
          <t>CK</t>
        </is>
      </c>
      <c r="L308" s="182" t="inlineStr">
        <is>
          <t>GL</t>
        </is>
      </c>
      <c r="M308" s="278" t="inlineStr">
        <is>
          <t>'3175</t>
        </is>
      </c>
      <c r="N308" s="181" t="n">
        <v>46295</v>
      </c>
      <c r="O308" s="181" t="n">
        <v>46295</v>
      </c>
      <c r="P308" s="194" t="n">
        <v>127012585</v>
      </c>
      <c r="Q308" s="180" t="inlineStr">
        <is>
          <t>Năng lượng mặt trời</t>
        </is>
      </c>
      <c r="R308" s="180" t="inlineStr">
        <is>
          <t>THAOPTT.HCM.VTA</t>
        </is>
      </c>
      <c r="S308" s="182" t="inlineStr">
        <is>
          <t>Not Reversed</t>
        </is>
      </c>
      <c r="T308" s="57">
        <f>IF(OR(LEN(F308)=11,LEN(F308)=15),"Đ","SAI")</f>
        <v/>
      </c>
      <c r="U308" s="529">
        <f>ROUND(H308*I308%,0)-J308</f>
        <v/>
      </c>
      <c r="V308" s="55">
        <f>IF(Q308=$V$12,13313,13311)</f>
        <v/>
      </c>
    </row>
    <row r="309" ht="21.65" customHeight="1" s="344">
      <c r="A309" s="180" t="n">
        <v>292</v>
      </c>
      <c r="B309" s="182" t="inlineStr">
        <is>
          <t>1C26TDS</t>
        </is>
      </c>
      <c r="C309" s="278" t="inlineStr">
        <is>
          <t>'18</t>
        </is>
      </c>
      <c r="D309" s="181" t="n">
        <v>46269</v>
      </c>
      <c r="E309" s="182" t="inlineStr">
        <is>
          <t>Công Ty TNHH Điện Mặt Trời Đông Á</t>
        </is>
      </c>
      <c r="F309" s="278" t="inlineStr">
        <is>
          <t>'3502402318</t>
        </is>
      </c>
      <c r="G309" s="182" t="inlineStr">
        <is>
          <t>ĐIỆN MTMN T08-2026</t>
        </is>
      </c>
      <c r="H309" s="194" t="n">
        <v>25681000</v>
      </c>
      <c r="I309" s="180" t="n">
        <v>8</v>
      </c>
      <c r="J309" s="194" t="n">
        <v>2054480</v>
      </c>
      <c r="K309" s="182" t="inlineStr">
        <is>
          <t>CK</t>
        </is>
      </c>
      <c r="L309" s="182" t="inlineStr">
        <is>
          <t>GL</t>
        </is>
      </c>
      <c r="M309" s="278" t="inlineStr">
        <is>
          <t>'3175</t>
        </is>
      </c>
      <c r="N309" s="181" t="n">
        <v>46295</v>
      </c>
      <c r="O309" s="181" t="n">
        <v>46295</v>
      </c>
      <c r="P309" s="194" t="n">
        <v>27735480</v>
      </c>
      <c r="Q309" s="180" t="inlineStr">
        <is>
          <t>Năng lượng mặt trời</t>
        </is>
      </c>
      <c r="R309" s="180" t="inlineStr">
        <is>
          <t>THAOPTT.HCM.VTA</t>
        </is>
      </c>
      <c r="S309" s="182" t="inlineStr">
        <is>
          <t>Not Reversed</t>
        </is>
      </c>
      <c r="T309" s="57">
        <f>IF(OR(LEN(F309)=11,LEN(F309)=15),"Đ","SAI")</f>
        <v/>
      </c>
      <c r="U309" s="529">
        <f>ROUND(H309*I309%,0)-J309</f>
        <v/>
      </c>
      <c r="V309" s="55">
        <f>IF(Q309=$V$12,13313,13311)</f>
        <v/>
      </c>
    </row>
    <row r="310" ht="21.65" customHeight="1" s="344">
      <c r="A310" s="180" t="n">
        <v>293</v>
      </c>
      <c r="B310" s="182" t="inlineStr">
        <is>
          <t>1C26TPT</t>
        </is>
      </c>
      <c r="C310" s="278" t="inlineStr">
        <is>
          <t>'18</t>
        </is>
      </c>
      <c r="D310" s="181" t="n">
        <v>46269</v>
      </c>
      <c r="E310" s="182" t="inlineStr">
        <is>
          <t>Công ty Cổ Phần CHPT GROUP</t>
        </is>
      </c>
      <c r="F310" s="278" t="inlineStr">
        <is>
          <t>'0109003922</t>
        </is>
      </c>
      <c r="G310" s="182" t="inlineStr">
        <is>
          <t>ĐIỆN MTMN T08-2026</t>
        </is>
      </c>
      <c r="H310" s="194" t="n">
        <v>40879100</v>
      </c>
      <c r="I310" s="180" t="n">
        <v>8</v>
      </c>
      <c r="J310" s="194" t="n">
        <v>3270328</v>
      </c>
      <c r="K310" s="182" t="inlineStr">
        <is>
          <t>CK</t>
        </is>
      </c>
      <c r="L310" s="182" t="inlineStr">
        <is>
          <t>GL</t>
        </is>
      </c>
      <c r="M310" s="278" t="inlineStr">
        <is>
          <t>'3175</t>
        </is>
      </c>
      <c r="N310" s="181" t="n">
        <v>46295</v>
      </c>
      <c r="O310" s="181" t="n">
        <v>46295</v>
      </c>
      <c r="P310" s="194" t="n">
        <v>44149428</v>
      </c>
      <c r="Q310" s="180" t="inlineStr">
        <is>
          <t>Năng lượng mặt trời</t>
        </is>
      </c>
      <c r="R310" s="180" t="inlineStr">
        <is>
          <t>THAOPTT.HCM.VTA</t>
        </is>
      </c>
      <c r="S310" s="182" t="inlineStr">
        <is>
          <t>Not Reversed</t>
        </is>
      </c>
      <c r="T310" s="57">
        <f>IF(OR(LEN(F310)=11,LEN(F310)=15),"Đ","SAI")</f>
        <v/>
      </c>
      <c r="U310" s="529">
        <f>ROUND(H310*I310%,0)-J310</f>
        <v/>
      </c>
      <c r="V310" s="55">
        <f>IF(Q310=$V$12,13313,13311)</f>
        <v/>
      </c>
    </row>
    <row r="311" ht="21.65" customHeight="1" s="344">
      <c r="A311" s="180" t="n">
        <v>294</v>
      </c>
      <c r="B311" s="182" t="inlineStr">
        <is>
          <t>1C26TXX</t>
        </is>
      </c>
      <c r="C311" s="278" t="inlineStr">
        <is>
          <t>'182</t>
        </is>
      </c>
      <c r="D311" s="181" t="n">
        <v>46269</v>
      </c>
      <c r="E311" s="182" t="inlineStr">
        <is>
          <t>Công ty Cổ Phần SKYX SOLAR</t>
        </is>
      </c>
      <c r="F311" s="278" t="inlineStr">
        <is>
          <t>'0315895611</t>
        </is>
      </c>
      <c r="G311" s="182" t="inlineStr">
        <is>
          <t>ĐIỆN MTMN T08-2026</t>
        </is>
      </c>
      <c r="H311" s="194" t="n">
        <v>229386060</v>
      </c>
      <c r="I311" s="180" t="n">
        <v>8</v>
      </c>
      <c r="J311" s="194" t="n">
        <v>18350885</v>
      </c>
      <c r="K311" s="182" t="inlineStr">
        <is>
          <t>CK</t>
        </is>
      </c>
      <c r="L311" s="182" t="inlineStr">
        <is>
          <t>GL</t>
        </is>
      </c>
      <c r="M311" s="278" t="inlineStr">
        <is>
          <t>'3175</t>
        </is>
      </c>
      <c r="N311" s="181" t="n">
        <v>46295</v>
      </c>
      <c r="O311" s="181" t="n">
        <v>46295</v>
      </c>
      <c r="P311" s="194" t="n">
        <v>247736945</v>
      </c>
      <c r="Q311" s="180" t="inlineStr">
        <is>
          <t>Năng lượng mặt trời</t>
        </is>
      </c>
      <c r="R311" s="180" t="inlineStr">
        <is>
          <t>THAOPTT.HCM.VTA</t>
        </is>
      </c>
      <c r="S311" s="182" t="inlineStr">
        <is>
          <t>Not Reversed</t>
        </is>
      </c>
      <c r="T311" s="57">
        <f>IF(OR(LEN(F311)=11,LEN(F311)=15),"Đ","SAI")</f>
        <v/>
      </c>
      <c r="U311" s="529">
        <f>ROUND(H311*I311%,0)-J311</f>
        <v/>
      </c>
      <c r="V311" s="55">
        <f>IF(Q311=$V$12,13313,13311)</f>
        <v/>
      </c>
    </row>
    <row r="312" ht="21.65" customHeight="1" s="344">
      <c r="A312" s="180" t="n">
        <v>295</v>
      </c>
      <c r="B312" s="182" t="inlineStr">
        <is>
          <t>1C26TDS</t>
        </is>
      </c>
      <c r="C312" s="278" t="inlineStr">
        <is>
          <t>'19</t>
        </is>
      </c>
      <c r="D312" s="181" t="n">
        <v>46269</v>
      </c>
      <c r="E312" s="182" t="inlineStr">
        <is>
          <t>Công ty TNHH điện mặt trời Đông Á</t>
        </is>
      </c>
      <c r="F312" s="278" t="inlineStr">
        <is>
          <t>'3502402318</t>
        </is>
      </c>
      <c r="G312" s="182" t="inlineStr">
        <is>
          <t>ĐIỆN MTMN T08-2026</t>
        </is>
      </c>
      <c r="H312" s="194" t="n">
        <v>3254330</v>
      </c>
      <c r="I312" s="180" t="n">
        <v>8</v>
      </c>
      <c r="J312" s="194" t="n">
        <v>260346</v>
      </c>
      <c r="K312" s="182" t="inlineStr">
        <is>
          <t>CK</t>
        </is>
      </c>
      <c r="L312" s="182" t="inlineStr">
        <is>
          <t>GL</t>
        </is>
      </c>
      <c r="M312" s="278" t="inlineStr">
        <is>
          <t>'3175</t>
        </is>
      </c>
      <c r="N312" s="181" t="n">
        <v>46295</v>
      </c>
      <c r="O312" s="181" t="n">
        <v>46295</v>
      </c>
      <c r="P312" s="194" t="n">
        <v>3514676</v>
      </c>
      <c r="Q312" s="180" t="inlineStr">
        <is>
          <t>Năng lượng mặt trời</t>
        </is>
      </c>
      <c r="R312" s="180" t="inlineStr">
        <is>
          <t>THAOPTT.HCM.VTA</t>
        </is>
      </c>
      <c r="S312" s="182" t="inlineStr">
        <is>
          <t>Not Reversed</t>
        </is>
      </c>
      <c r="T312" s="57">
        <f>IF(OR(LEN(F312)=11,LEN(F312)=15),"Đ","SAI")</f>
        <v/>
      </c>
      <c r="U312" s="529">
        <f>ROUND(H312*I312%,0)-J312</f>
        <v/>
      </c>
      <c r="V312" s="55">
        <f>IF(Q312=$V$12,13313,13311)</f>
        <v/>
      </c>
    </row>
    <row r="313" ht="21.65" customHeight="1" s="344">
      <c r="A313" s="180" t="n">
        <v>296</v>
      </c>
      <c r="B313" s="182" t="inlineStr">
        <is>
          <t>1C26TVH</t>
        </is>
      </c>
      <c r="C313" s="278" t="inlineStr">
        <is>
          <t>'19</t>
        </is>
      </c>
      <c r="D313" s="181" t="n">
        <v>46269</v>
      </c>
      <c r="E313" s="182" t="inlineStr">
        <is>
          <t>Công ty TNHH Tư Vấn Đầu Tư Và Xây Dựng Điện Việt Hưng</t>
        </is>
      </c>
      <c r="F313" s="278" t="inlineStr">
        <is>
          <t>'3502250175</t>
        </is>
      </c>
      <c r="G313" s="182" t="inlineStr">
        <is>
          <t>ĐIỆN MTMN T08-2026</t>
        </is>
      </c>
      <c r="H313" s="194" t="n">
        <v>5854005</v>
      </c>
      <c r="I313" s="180" t="n">
        <v>8</v>
      </c>
      <c r="J313" s="194" t="n">
        <v>468320</v>
      </c>
      <c r="K313" s="182" t="inlineStr">
        <is>
          <t>CK</t>
        </is>
      </c>
      <c r="L313" s="182" t="inlineStr">
        <is>
          <t>GL</t>
        </is>
      </c>
      <c r="M313" s="278" t="inlineStr">
        <is>
          <t>'3175</t>
        </is>
      </c>
      <c r="N313" s="181" t="n">
        <v>46295</v>
      </c>
      <c r="O313" s="181" t="n">
        <v>46295</v>
      </c>
      <c r="P313" s="194" t="n">
        <v>6322325</v>
      </c>
      <c r="Q313" s="180" t="inlineStr">
        <is>
          <t>Năng lượng mặt trời</t>
        </is>
      </c>
      <c r="R313" s="180" t="inlineStr">
        <is>
          <t>THAOPTT.HCM.VTA</t>
        </is>
      </c>
      <c r="S313" s="182" t="inlineStr">
        <is>
          <t>Not Reversed</t>
        </is>
      </c>
      <c r="T313" s="57">
        <f>IF(OR(LEN(F313)=11,LEN(F313)=15),"Đ","SAI")</f>
        <v/>
      </c>
      <c r="U313" s="529">
        <f>ROUND(H313*I313%,0)-J313</f>
        <v/>
      </c>
      <c r="V313" s="55">
        <f>IF(Q313=$V$12,13313,13311)</f>
        <v/>
      </c>
    </row>
    <row r="314" ht="21.65" customHeight="1" s="344">
      <c r="A314" s="180" t="n">
        <v>297</v>
      </c>
      <c r="B314" s="182" t="inlineStr">
        <is>
          <t>1C26TAS</t>
        </is>
      </c>
      <c r="C314" s="278" t="inlineStr">
        <is>
          <t>'19</t>
        </is>
      </c>
      <c r="D314" s="181" t="n">
        <v>46269</v>
      </c>
      <c r="E314" s="182" t="inlineStr">
        <is>
          <t>Công ty TNHH ALPHA SOLAR 2</t>
        </is>
      </c>
      <c r="F314" s="278" t="inlineStr">
        <is>
          <t>'0109204788</t>
        </is>
      </c>
      <c r="G314" s="182" t="inlineStr">
        <is>
          <t>ĐIỆN MTMN T08-2026</t>
        </is>
      </c>
      <c r="H314" s="194" t="n">
        <v>192264385</v>
      </c>
      <c r="I314" s="180" t="n">
        <v>8</v>
      </c>
      <c r="J314" s="194" t="n">
        <v>15381151</v>
      </c>
      <c r="K314" s="182" t="inlineStr">
        <is>
          <t>CK</t>
        </is>
      </c>
      <c r="L314" s="182" t="inlineStr">
        <is>
          <t>GL</t>
        </is>
      </c>
      <c r="M314" s="278" t="inlineStr">
        <is>
          <t>'3175</t>
        </is>
      </c>
      <c r="N314" s="181" t="n">
        <v>46295</v>
      </c>
      <c r="O314" s="181" t="n">
        <v>46295</v>
      </c>
      <c r="P314" s="194" t="n">
        <v>207645536</v>
      </c>
      <c r="Q314" s="180" t="inlineStr">
        <is>
          <t>Năng lượng mặt trời</t>
        </is>
      </c>
      <c r="R314" s="180" t="inlineStr">
        <is>
          <t>THAOPTT.HCM.VTA</t>
        </is>
      </c>
      <c r="S314" s="182" t="inlineStr">
        <is>
          <t>Not Reversed</t>
        </is>
      </c>
      <c r="T314" s="57">
        <f>IF(OR(LEN(F314)=11,LEN(F314)=15),"Đ","SAI")</f>
        <v/>
      </c>
      <c r="U314" s="529">
        <f>ROUND(H314*I314%,0)-J314</f>
        <v/>
      </c>
      <c r="V314" s="55">
        <f>IF(Q314=$V$12,13313,13311)</f>
        <v/>
      </c>
    </row>
    <row r="315" ht="21.65" customHeight="1" s="344">
      <c r="A315" s="180" t="n">
        <v>298</v>
      </c>
      <c r="B315" s="182" t="inlineStr">
        <is>
          <t>1C26TVH</t>
        </is>
      </c>
      <c r="C315" s="278" t="inlineStr">
        <is>
          <t>'20</t>
        </is>
      </c>
      <c r="D315" s="181" t="n">
        <v>46269</v>
      </c>
      <c r="E315" s="182" t="inlineStr">
        <is>
          <t>Công ty TNHH Tư Vấn Đầu Tư Và Xây Dựng Điện Việt Hưng</t>
        </is>
      </c>
      <c r="F315" s="278" t="inlineStr">
        <is>
          <t>'3502250175</t>
        </is>
      </c>
      <c r="G315" s="182" t="inlineStr">
        <is>
          <t>ĐIỆN MTMN T08-2026</t>
        </is>
      </c>
      <c r="H315" s="194" t="n">
        <v>11390155</v>
      </c>
      <c r="I315" s="180" t="n">
        <v>8</v>
      </c>
      <c r="J315" s="194" t="n">
        <v>911212</v>
      </c>
      <c r="K315" s="182" t="inlineStr">
        <is>
          <t>CK</t>
        </is>
      </c>
      <c r="L315" s="182" t="inlineStr">
        <is>
          <t>GL</t>
        </is>
      </c>
      <c r="M315" s="278" t="inlineStr">
        <is>
          <t>'3175</t>
        </is>
      </c>
      <c r="N315" s="181" t="n">
        <v>46295</v>
      </c>
      <c r="O315" s="181" t="n">
        <v>46295</v>
      </c>
      <c r="P315" s="194" t="n">
        <v>12301367</v>
      </c>
      <c r="Q315" s="180" t="inlineStr">
        <is>
          <t>Năng lượng mặt trời</t>
        </is>
      </c>
      <c r="R315" s="180" t="inlineStr">
        <is>
          <t>THAOPTT.HCM.VTA</t>
        </is>
      </c>
      <c r="S315" s="182" t="inlineStr">
        <is>
          <t>Not Reversed</t>
        </is>
      </c>
      <c r="T315" s="57">
        <f>IF(OR(LEN(F315)=11,LEN(F315)=15),"Đ","SAI")</f>
        <v/>
      </c>
      <c r="U315" s="529">
        <f>ROUND(H315*I315%,0)-J315</f>
        <v/>
      </c>
      <c r="V315" s="55">
        <f>IF(Q315=$V$12,13313,13311)</f>
        <v/>
      </c>
    </row>
    <row r="316" ht="21.65" customHeight="1" s="344">
      <c r="A316" s="180" t="n">
        <v>299</v>
      </c>
      <c r="B316" s="182" t="inlineStr">
        <is>
          <t>1C26TDS</t>
        </is>
      </c>
      <c r="C316" s="278" t="inlineStr">
        <is>
          <t>'20</t>
        </is>
      </c>
      <c r="D316" s="181" t="n">
        <v>46269</v>
      </c>
      <c r="E316" s="182" t="inlineStr">
        <is>
          <t>Công Ty TNHH Điện Mặt Trời Đông Á</t>
        </is>
      </c>
      <c r="F316" s="278" t="inlineStr">
        <is>
          <t>'3502402318</t>
        </is>
      </c>
      <c r="G316" s="182" t="inlineStr">
        <is>
          <t>ĐIỆN MTMN T08-2026</t>
        </is>
      </c>
      <c r="H316" s="194" t="n">
        <v>13787750</v>
      </c>
      <c r="I316" s="180" t="n">
        <v>8</v>
      </c>
      <c r="J316" s="194" t="n">
        <v>1103020</v>
      </c>
      <c r="K316" s="182" t="inlineStr">
        <is>
          <t>CK</t>
        </is>
      </c>
      <c r="L316" s="182" t="inlineStr">
        <is>
          <t>GL</t>
        </is>
      </c>
      <c r="M316" s="278" t="inlineStr">
        <is>
          <t>'3175</t>
        </is>
      </c>
      <c r="N316" s="181" t="n">
        <v>46295</v>
      </c>
      <c r="O316" s="181" t="n">
        <v>46295</v>
      </c>
      <c r="P316" s="194" t="n">
        <v>14890770</v>
      </c>
      <c r="Q316" s="180" t="inlineStr">
        <is>
          <t>Năng lượng mặt trời</t>
        </is>
      </c>
      <c r="R316" s="180" t="inlineStr">
        <is>
          <t>THAOPTT.HCM.VTA</t>
        </is>
      </c>
      <c r="S316" s="182" t="inlineStr">
        <is>
          <t>Not Reversed</t>
        </is>
      </c>
      <c r="T316" s="57">
        <f>IF(OR(LEN(F316)=11,LEN(F316)=15),"Đ","SAI")</f>
        <v/>
      </c>
      <c r="U316" s="529">
        <f>ROUND(H316*I316%,0)-J316</f>
        <v/>
      </c>
      <c r="V316" s="55">
        <f>IF(Q316=$V$12,13313,13311)</f>
        <v/>
      </c>
    </row>
    <row r="317" ht="21.65" customHeight="1" s="344">
      <c r="A317" s="180" t="n">
        <v>300</v>
      </c>
      <c r="B317" s="182" t="inlineStr">
        <is>
          <t>1C26TSO</t>
        </is>
      </c>
      <c r="C317" s="278" t="inlineStr">
        <is>
          <t>'206</t>
        </is>
      </c>
      <c r="D317" s="181" t="n">
        <v>46269</v>
      </c>
      <c r="E317" s="182" t="inlineStr">
        <is>
          <t>Công ty Cổ Phần Nhà Máy Điện Mặt Trời Trúc Sơn</t>
        </is>
      </c>
      <c r="F317" s="278" t="inlineStr">
        <is>
          <t>'6400396685</t>
        </is>
      </c>
      <c r="G317" s="182" t="inlineStr">
        <is>
          <t>ĐIỆN MTMN T08-2026</t>
        </is>
      </c>
      <c r="H317" s="194" t="n">
        <v>15602260</v>
      </c>
      <c r="I317" s="180" t="n">
        <v>8</v>
      </c>
      <c r="J317" s="194" t="n">
        <v>1248181</v>
      </c>
      <c r="K317" s="182" t="inlineStr">
        <is>
          <t>CK</t>
        </is>
      </c>
      <c r="L317" s="182" t="inlineStr">
        <is>
          <t>GL</t>
        </is>
      </c>
      <c r="M317" s="278" t="inlineStr">
        <is>
          <t>'3175</t>
        </is>
      </c>
      <c r="N317" s="181" t="n">
        <v>46295</v>
      </c>
      <c r="O317" s="181" t="n">
        <v>46295</v>
      </c>
      <c r="P317" s="194" t="n">
        <v>16850441</v>
      </c>
      <c r="Q317" s="180" t="inlineStr">
        <is>
          <t>Năng lượng mặt trời</t>
        </is>
      </c>
      <c r="R317" s="180" t="inlineStr">
        <is>
          <t>THAOPTT.HCM.VTA</t>
        </is>
      </c>
      <c r="S317" s="182" t="inlineStr">
        <is>
          <t>Not Reversed</t>
        </is>
      </c>
      <c r="T317" s="57">
        <f>IF(OR(LEN(F317)=11,LEN(F317)=15),"Đ","SAI")</f>
        <v/>
      </c>
      <c r="U317" s="529">
        <f>ROUND(H317*I317%,0)-J317</f>
        <v/>
      </c>
      <c r="V317" s="55">
        <f>IF(Q317=$V$12,13313,13311)</f>
        <v/>
      </c>
    </row>
    <row r="318" ht="21.65" customHeight="1" s="344">
      <c r="A318" s="180" t="n">
        <v>301</v>
      </c>
      <c r="B318" s="182" t="inlineStr">
        <is>
          <t>1C26TSO</t>
        </is>
      </c>
      <c r="C318" s="278" t="inlineStr">
        <is>
          <t>'207</t>
        </is>
      </c>
      <c r="D318" s="181" t="n">
        <v>46269</v>
      </c>
      <c r="E318" s="182" t="inlineStr">
        <is>
          <t>Công ty Cổ Phần Nhà Máy Điện Mặt Trời Trúc Sơn</t>
        </is>
      </c>
      <c r="F318" s="278" t="inlineStr">
        <is>
          <t>'6400396685</t>
        </is>
      </c>
      <c r="G318" s="182" t="inlineStr">
        <is>
          <t>ĐIỆN MTMN T08-2026</t>
        </is>
      </c>
      <c r="H318" s="194" t="n">
        <v>62899505</v>
      </c>
      <c r="I318" s="180" t="n">
        <v>8</v>
      </c>
      <c r="J318" s="194" t="n">
        <v>5031960</v>
      </c>
      <c r="K318" s="182" t="inlineStr">
        <is>
          <t>CK</t>
        </is>
      </c>
      <c r="L318" s="182" t="inlineStr">
        <is>
          <t>GL</t>
        </is>
      </c>
      <c r="M318" s="278" t="inlineStr">
        <is>
          <t>'3175</t>
        </is>
      </c>
      <c r="N318" s="181" t="n">
        <v>46295</v>
      </c>
      <c r="O318" s="181" t="n">
        <v>46295</v>
      </c>
      <c r="P318" s="194" t="n">
        <v>67931465</v>
      </c>
      <c r="Q318" s="180" t="inlineStr">
        <is>
          <t>Năng lượng mặt trời</t>
        </is>
      </c>
      <c r="R318" s="180" t="inlineStr">
        <is>
          <t>THAOPTT.HCM.VTA</t>
        </is>
      </c>
      <c r="S318" s="182" t="inlineStr">
        <is>
          <t>Not Reversed</t>
        </is>
      </c>
      <c r="T318" s="57">
        <f>IF(OR(LEN(F318)=11,LEN(F318)=15),"Đ","SAI")</f>
        <v/>
      </c>
      <c r="U318" s="529">
        <f>ROUND(H318*I318%,0)-J318</f>
        <v/>
      </c>
      <c r="V318" s="55">
        <f>IF(Q318=$V$12,13313,13311)</f>
        <v/>
      </c>
    </row>
    <row r="319" ht="21.65" customHeight="1" s="344">
      <c r="A319" s="180" t="n">
        <v>302</v>
      </c>
      <c r="B319" s="182" t="inlineStr">
        <is>
          <t>1C26TAS</t>
        </is>
      </c>
      <c r="C319" s="278" t="inlineStr">
        <is>
          <t>'21</t>
        </is>
      </c>
      <c r="D319" s="181" t="n">
        <v>46269</v>
      </c>
      <c r="E319" s="182" t="inlineStr">
        <is>
          <t>Công ty TNHH ALPHA SOLAR 3</t>
        </is>
      </c>
      <c r="F319" s="278" t="inlineStr">
        <is>
          <t>'0109204749</t>
        </is>
      </c>
      <c r="G319" s="182" t="inlineStr">
        <is>
          <t>ĐIỆN MTMN T08-2026</t>
        </is>
      </c>
      <c r="H319" s="194" t="n">
        <v>183671775</v>
      </c>
      <c r="I319" s="180" t="n">
        <v>8</v>
      </c>
      <c r="J319" s="194" t="n">
        <v>14693742</v>
      </c>
      <c r="K319" s="182" t="inlineStr">
        <is>
          <t>CK</t>
        </is>
      </c>
      <c r="L319" s="182" t="inlineStr">
        <is>
          <t>GL</t>
        </is>
      </c>
      <c r="M319" s="278" t="inlineStr">
        <is>
          <t>'3175</t>
        </is>
      </c>
      <c r="N319" s="181" t="n">
        <v>46295</v>
      </c>
      <c r="O319" s="181" t="n">
        <v>46295</v>
      </c>
      <c r="P319" s="194" t="n">
        <v>198365517</v>
      </c>
      <c r="Q319" s="180" t="inlineStr">
        <is>
          <t>Năng lượng mặt trời</t>
        </is>
      </c>
      <c r="R319" s="180" t="inlineStr">
        <is>
          <t>THAOPTT.HCM.VTA</t>
        </is>
      </c>
      <c r="S319" s="182" t="inlineStr">
        <is>
          <t>Not Reversed</t>
        </is>
      </c>
      <c r="T319" s="57">
        <f>IF(OR(LEN(F319)=11,LEN(F319)=15),"Đ","SAI")</f>
        <v/>
      </c>
      <c r="U319" s="529">
        <f>ROUND(H319*I319%,0)-J319</f>
        <v/>
      </c>
      <c r="V319" s="55">
        <f>IF(Q319=$V$12,13313,13311)</f>
        <v/>
      </c>
    </row>
    <row r="320" ht="21.65" customHeight="1" s="344">
      <c r="A320" s="180" t="n">
        <v>303</v>
      </c>
      <c r="B320" s="182" t="inlineStr">
        <is>
          <t>1C26TAS</t>
        </is>
      </c>
      <c r="C320" s="278" t="inlineStr">
        <is>
          <t>'23</t>
        </is>
      </c>
      <c r="D320" s="181" t="n">
        <v>46269</v>
      </c>
      <c r="E320" s="182" t="inlineStr">
        <is>
          <t>Công ty TNHH ALPHA SOLAR 4</t>
        </is>
      </c>
      <c r="F320" s="278" t="inlineStr">
        <is>
          <t>'0109204770</t>
        </is>
      </c>
      <c r="G320" s="182" t="inlineStr">
        <is>
          <t>ĐIỆN MTMN T08-2026</t>
        </is>
      </c>
      <c r="H320" s="194" t="n">
        <v>189315280</v>
      </c>
      <c r="I320" s="180" t="n">
        <v>8</v>
      </c>
      <c r="J320" s="194" t="n">
        <v>15145222</v>
      </c>
      <c r="K320" s="182" t="inlineStr">
        <is>
          <t>CK</t>
        </is>
      </c>
      <c r="L320" s="182" t="inlineStr">
        <is>
          <t>GL</t>
        </is>
      </c>
      <c r="M320" s="278" t="inlineStr">
        <is>
          <t>'3175</t>
        </is>
      </c>
      <c r="N320" s="181" t="n">
        <v>46295</v>
      </c>
      <c r="O320" s="181" t="n">
        <v>46295</v>
      </c>
      <c r="P320" s="194" t="n">
        <v>204460502</v>
      </c>
      <c r="Q320" s="180" t="inlineStr">
        <is>
          <t>Năng lượng mặt trời</t>
        </is>
      </c>
      <c r="R320" s="180" t="inlineStr">
        <is>
          <t>THAOPTT.HCM.VTA</t>
        </is>
      </c>
      <c r="S320" s="182" t="inlineStr">
        <is>
          <t>Not Reversed</t>
        </is>
      </c>
      <c r="T320" s="57">
        <f>IF(OR(LEN(F320)=11,LEN(F320)=15),"Đ","SAI")</f>
        <v/>
      </c>
      <c r="U320" s="529">
        <f>ROUND(H320*I320%,0)-J320</f>
        <v/>
      </c>
      <c r="V320" s="55">
        <f>IF(Q320=$V$12,13313,13311)</f>
        <v/>
      </c>
    </row>
    <row r="321" ht="21.65" customHeight="1" s="344">
      <c r="A321" s="180" t="n">
        <v>304</v>
      </c>
      <c r="B321" s="182" t="inlineStr">
        <is>
          <t>1C26TBD</t>
        </is>
      </c>
      <c r="C321" s="278" t="inlineStr">
        <is>
          <t>'26</t>
        </is>
      </c>
      <c r="D321" s="181" t="n">
        <v>46269</v>
      </c>
      <c r="E321" s="182" t="inlineStr">
        <is>
          <t>CTY CỔ PHẦN DỊCH VỤ KỸ THUẬT DẦU KHÍ BIỂN ĐÔNG</t>
        </is>
      </c>
      <c r="F321" s="278" t="inlineStr">
        <is>
          <t>'3501977874</t>
        </is>
      </c>
      <c r="G321" s="182" t="inlineStr">
        <is>
          <t>ĐIỆN MTMN T08-2026</t>
        </is>
      </c>
      <c r="H321" s="194" t="n">
        <v>75666330</v>
      </c>
      <c r="I321" s="180" t="n">
        <v>8</v>
      </c>
      <c r="J321" s="194" t="n">
        <v>6053306</v>
      </c>
      <c r="K321" s="182" t="inlineStr">
        <is>
          <t>CK</t>
        </is>
      </c>
      <c r="L321" s="182" t="inlineStr">
        <is>
          <t>GL</t>
        </is>
      </c>
      <c r="M321" s="278" t="inlineStr">
        <is>
          <t>'3175</t>
        </is>
      </c>
      <c r="N321" s="181" t="n">
        <v>46295</v>
      </c>
      <c r="O321" s="181" t="n">
        <v>46295</v>
      </c>
      <c r="P321" s="194" t="n">
        <v>81719636</v>
      </c>
      <c r="Q321" s="180" t="inlineStr">
        <is>
          <t>Năng lượng mặt trời</t>
        </is>
      </c>
      <c r="R321" s="180" t="inlineStr">
        <is>
          <t>THAOPTT.HCM.VTA</t>
        </is>
      </c>
      <c r="S321" s="182" t="inlineStr">
        <is>
          <t>Not Reversed</t>
        </is>
      </c>
      <c r="T321" s="57">
        <f>IF(OR(LEN(F321)=11,LEN(F321)=15),"Đ","SAI")</f>
        <v/>
      </c>
      <c r="U321" s="529">
        <f>ROUND(H321*I321%,0)-J321</f>
        <v/>
      </c>
      <c r="V321" s="55">
        <f>IF(Q321=$V$12,13313,13311)</f>
        <v/>
      </c>
    </row>
    <row r="322" ht="21.65" customHeight="1" s="344">
      <c r="A322" s="180" t="n">
        <v>305</v>
      </c>
      <c r="B322" s="182" t="inlineStr">
        <is>
          <t>1C26TCA</t>
        </is>
      </c>
      <c r="C322" s="278" t="inlineStr">
        <is>
          <t>'268</t>
        </is>
      </c>
      <c r="D322" s="181" t="n">
        <v>46269</v>
      </c>
      <c r="E322" s="182" t="inlineStr">
        <is>
          <t>Công ty Cổ Phần Đầu Tư CME SOLAR</t>
        </is>
      </c>
      <c r="F322" s="278" t="inlineStr">
        <is>
          <t>'0108830052</t>
        </is>
      </c>
      <c r="G322" s="182" t="inlineStr">
        <is>
          <t>ĐIỆN MTMN T08-2026</t>
        </is>
      </c>
      <c r="H322" s="194" t="n">
        <v>218983150</v>
      </c>
      <c r="I322" s="180" t="n">
        <v>8</v>
      </c>
      <c r="J322" s="194" t="n">
        <v>17518652</v>
      </c>
      <c r="K322" s="182" t="inlineStr">
        <is>
          <t>CK</t>
        </is>
      </c>
      <c r="L322" s="182" t="inlineStr">
        <is>
          <t>GL</t>
        </is>
      </c>
      <c r="M322" s="278" t="inlineStr">
        <is>
          <t>'3175</t>
        </is>
      </c>
      <c r="N322" s="181" t="n">
        <v>46295</v>
      </c>
      <c r="O322" s="181" t="n">
        <v>46295</v>
      </c>
      <c r="P322" s="194" t="n">
        <v>236501802</v>
      </c>
      <c r="Q322" s="180" t="inlineStr">
        <is>
          <t>Năng lượng mặt trời</t>
        </is>
      </c>
      <c r="R322" s="180" t="inlineStr">
        <is>
          <t>THAOPTT.HCM.VTA</t>
        </is>
      </c>
      <c r="S322" s="182" t="inlineStr">
        <is>
          <t>Not Reversed</t>
        </is>
      </c>
      <c r="T322" s="57">
        <f>IF(OR(LEN(F322)=11,LEN(F322)=15),"Đ","SAI")</f>
        <v/>
      </c>
      <c r="U322" s="529">
        <f>ROUND(H322*I322%,0)-J322</f>
        <v/>
      </c>
      <c r="V322" s="55">
        <f>IF(Q322=$V$12,13313,13311)</f>
        <v/>
      </c>
    </row>
    <row r="323" ht="21.65" customHeight="1" s="344">
      <c r="A323" s="180" t="n">
        <v>306</v>
      </c>
      <c r="B323" s="182" t="inlineStr">
        <is>
          <t>1C26TCA</t>
        </is>
      </c>
      <c r="C323" s="278" t="inlineStr">
        <is>
          <t>'269</t>
        </is>
      </c>
      <c r="D323" s="181" t="n">
        <v>46269</v>
      </c>
      <c r="E323" s="182" t="inlineStr">
        <is>
          <t>Công ty Cổ Phần Đầu Tư CME SOLAR</t>
        </is>
      </c>
      <c r="F323" s="278" t="inlineStr">
        <is>
          <t>'0108830052</t>
        </is>
      </c>
      <c r="G323" s="182" t="inlineStr">
        <is>
          <t>ĐIỆN MTMN T08-2026</t>
        </is>
      </c>
      <c r="H323" s="194" t="n">
        <v>212929170</v>
      </c>
      <c r="I323" s="180" t="n">
        <v>8</v>
      </c>
      <c r="J323" s="194" t="n">
        <v>17034334</v>
      </c>
      <c r="K323" s="182" t="inlineStr">
        <is>
          <t>CK</t>
        </is>
      </c>
      <c r="L323" s="182" t="inlineStr">
        <is>
          <t>GL</t>
        </is>
      </c>
      <c r="M323" s="278" t="inlineStr">
        <is>
          <t>'3175</t>
        </is>
      </c>
      <c r="N323" s="181" t="n">
        <v>46295</v>
      </c>
      <c r="O323" s="181" t="n">
        <v>46295</v>
      </c>
      <c r="P323" s="194" t="n">
        <v>229963504</v>
      </c>
      <c r="Q323" s="180" t="inlineStr">
        <is>
          <t>Năng lượng mặt trời</t>
        </is>
      </c>
      <c r="R323" s="180" t="inlineStr">
        <is>
          <t>THAOPTT.HCM.VTA</t>
        </is>
      </c>
      <c r="S323" s="182" t="inlineStr">
        <is>
          <t>Not Reversed</t>
        </is>
      </c>
      <c r="T323" s="57">
        <f>IF(OR(LEN(F323)=11,LEN(F323)=15),"Đ","SAI")</f>
        <v/>
      </c>
      <c r="U323" s="529">
        <f>ROUND(H323*I323%,0)-J323</f>
        <v/>
      </c>
      <c r="V323" s="55">
        <f>IF(Q323=$V$12,13313,13311)</f>
        <v/>
      </c>
    </row>
    <row r="324" ht="21.65" customHeight="1" s="344">
      <c r="A324" s="180" t="n">
        <v>307</v>
      </c>
      <c r="B324" s="182" t="inlineStr">
        <is>
          <t>1C26TNT</t>
        </is>
      </c>
      <c r="C324" s="278" t="inlineStr">
        <is>
          <t>'27</t>
        </is>
      </c>
      <c r="D324" s="181" t="n">
        <v>46269</v>
      </c>
      <c r="E324" s="182" t="inlineStr">
        <is>
          <t>Công ty TNHH MTV NEPTUNE</t>
        </is>
      </c>
      <c r="F324" s="278" t="inlineStr">
        <is>
          <t>'2100656134</t>
        </is>
      </c>
      <c r="G324" s="182" t="inlineStr">
        <is>
          <t>ĐIỆN MTMN T08-2026</t>
        </is>
      </c>
      <c r="H324" s="194" t="n">
        <v>212011390</v>
      </c>
      <c r="I324" s="180" t="n">
        <v>8</v>
      </c>
      <c r="J324" s="194" t="n">
        <v>16960911</v>
      </c>
      <c r="K324" s="182" t="inlineStr">
        <is>
          <t>CK</t>
        </is>
      </c>
      <c r="L324" s="182" t="inlineStr">
        <is>
          <t>GL</t>
        </is>
      </c>
      <c r="M324" s="278" t="inlineStr">
        <is>
          <t>'3175</t>
        </is>
      </c>
      <c r="N324" s="181" t="n">
        <v>46295</v>
      </c>
      <c r="O324" s="181" t="n">
        <v>46295</v>
      </c>
      <c r="P324" s="194" t="n">
        <v>228972301</v>
      </c>
      <c r="Q324" s="180" t="inlineStr">
        <is>
          <t>Năng lượng mặt trời</t>
        </is>
      </c>
      <c r="R324" s="180" t="inlineStr">
        <is>
          <t>THAOPTT.HCM.VTA</t>
        </is>
      </c>
      <c r="S324" s="182" t="inlineStr">
        <is>
          <t>Not Reversed</t>
        </is>
      </c>
      <c r="T324" s="57">
        <f>IF(OR(LEN(F324)=11,LEN(F324)=15),"Đ","SAI")</f>
        <v/>
      </c>
      <c r="U324" s="529">
        <f>ROUND(H324*I324%,0)-J324</f>
        <v/>
      </c>
      <c r="V324" s="55">
        <f>IF(Q324=$V$12,13313,13311)</f>
        <v/>
      </c>
    </row>
    <row r="325" ht="21.65" customHeight="1" s="344">
      <c r="A325" s="180" t="n">
        <v>308</v>
      </c>
      <c r="B325" s="182" t="inlineStr">
        <is>
          <t>1C26TEP</t>
        </is>
      </c>
      <c r="C325" s="278" t="inlineStr">
        <is>
          <t>'27</t>
        </is>
      </c>
      <c r="D325" s="181" t="n">
        <v>46269</v>
      </c>
      <c r="E325" s="182" t="inlineStr">
        <is>
          <t>Công ty TNHH Kỹ Thuật ECOPOWER</t>
        </is>
      </c>
      <c r="F325" s="278" t="inlineStr">
        <is>
          <t>'0312112291</t>
        </is>
      </c>
      <c r="G325" s="182" t="inlineStr">
        <is>
          <t>ĐIỆN MTMN T08-2026</t>
        </is>
      </c>
      <c r="H325" s="194" t="n">
        <v>132560270</v>
      </c>
      <c r="I325" s="180" t="n">
        <v>8</v>
      </c>
      <c r="J325" s="194" t="n">
        <v>10604822</v>
      </c>
      <c r="K325" s="182" t="inlineStr">
        <is>
          <t>CK</t>
        </is>
      </c>
      <c r="L325" s="182" t="inlineStr">
        <is>
          <t>GL</t>
        </is>
      </c>
      <c r="M325" s="278" t="inlineStr">
        <is>
          <t>'3175</t>
        </is>
      </c>
      <c r="N325" s="181" t="n">
        <v>46295</v>
      </c>
      <c r="O325" s="181" t="n">
        <v>46295</v>
      </c>
      <c r="P325" s="194" t="n">
        <v>143165092</v>
      </c>
      <c r="Q325" s="180" t="inlineStr">
        <is>
          <t>Năng lượng mặt trời</t>
        </is>
      </c>
      <c r="R325" s="180" t="inlineStr">
        <is>
          <t>THAOPTT.HCM.VTA</t>
        </is>
      </c>
      <c r="S325" s="182" t="inlineStr">
        <is>
          <t>Not Reversed</t>
        </is>
      </c>
      <c r="T325" s="57">
        <f>IF(OR(LEN(F325)=11,LEN(F325)=15),"Đ","SAI")</f>
        <v/>
      </c>
      <c r="U325" s="529">
        <f>ROUND(H325*I325%,0)-J325</f>
        <v/>
      </c>
      <c r="V325" s="55">
        <f>IF(Q325=$V$12,13313,13311)</f>
        <v/>
      </c>
    </row>
    <row r="326" ht="21.65" customHeight="1" s="344">
      <c r="A326" s="180" t="n">
        <v>309</v>
      </c>
      <c r="B326" s="182" t="inlineStr">
        <is>
          <t>1C26TMN</t>
        </is>
      </c>
      <c r="C326" s="278" t="inlineStr">
        <is>
          <t>'27</t>
        </is>
      </c>
      <c r="D326" s="181" t="n">
        <v>46269</v>
      </c>
      <c r="E326" s="182" t="inlineStr">
        <is>
          <t>Công Ty Cổ Phần Tư Vấn Xây Dựng Miền Nam</t>
        </is>
      </c>
      <c r="F326" s="278" t="inlineStr">
        <is>
          <t>'0302362510</t>
        </is>
      </c>
      <c r="G326" s="182" t="inlineStr">
        <is>
          <t>ĐIỆN MTMN T08-2026</t>
        </is>
      </c>
      <c r="H326" s="194" t="n">
        <v>47667725</v>
      </c>
      <c r="I326" s="180" t="n">
        <v>8</v>
      </c>
      <c r="J326" s="194" t="n">
        <v>3813418</v>
      </c>
      <c r="K326" s="182" t="inlineStr">
        <is>
          <t>CK</t>
        </is>
      </c>
      <c r="L326" s="182" t="inlineStr">
        <is>
          <t>GL</t>
        </is>
      </c>
      <c r="M326" s="278" t="inlineStr">
        <is>
          <t>'3175</t>
        </is>
      </c>
      <c r="N326" s="181" t="n">
        <v>46295</v>
      </c>
      <c r="O326" s="181" t="n">
        <v>46295</v>
      </c>
      <c r="P326" s="194" t="n">
        <v>51481143</v>
      </c>
      <c r="Q326" s="180" t="inlineStr">
        <is>
          <t>Năng lượng mặt trời</t>
        </is>
      </c>
      <c r="R326" s="180" t="inlineStr">
        <is>
          <t>THAOPTT.HCM.VTA</t>
        </is>
      </c>
      <c r="S326" s="182" t="inlineStr">
        <is>
          <t>Not Reversed</t>
        </is>
      </c>
      <c r="T326" s="57">
        <f>IF(OR(LEN(F326)=11,LEN(F326)=15),"Đ","SAI")</f>
        <v/>
      </c>
      <c r="U326" s="529">
        <f>ROUND(H326*I326%,0)-J326</f>
        <v/>
      </c>
      <c r="V326" s="55">
        <f>IF(Q326=$V$12,13313,13311)</f>
        <v/>
      </c>
    </row>
    <row r="327" ht="21.65" customHeight="1" s="344">
      <c r="A327" s="180" t="n">
        <v>310</v>
      </c>
      <c r="B327" s="182" t="inlineStr">
        <is>
          <t>1C26TDD</t>
        </is>
      </c>
      <c r="C327" s="278" t="inlineStr">
        <is>
          <t>'27</t>
        </is>
      </c>
      <c r="D327" s="181" t="n">
        <v>46269</v>
      </c>
      <c r="E327" s="182" t="inlineStr">
        <is>
          <t>Công ty Cổ Phần Xuất Nhập Khẩu Duy Sơn</t>
        </is>
      </c>
      <c r="F327" s="278" t="inlineStr">
        <is>
          <t>'0105283228</t>
        </is>
      </c>
      <c r="G327" s="182" t="inlineStr">
        <is>
          <t>ĐIỆN MTMN T08-2026</t>
        </is>
      </c>
      <c r="H327" s="194" t="n">
        <v>177262050</v>
      </c>
      <c r="I327" s="180" t="n">
        <v>8</v>
      </c>
      <c r="J327" s="194" t="n">
        <v>14180964</v>
      </c>
      <c r="K327" s="182" t="inlineStr">
        <is>
          <t>CK</t>
        </is>
      </c>
      <c r="L327" s="182" t="inlineStr">
        <is>
          <t>GL</t>
        </is>
      </c>
      <c r="M327" s="278" t="inlineStr">
        <is>
          <t>'3175</t>
        </is>
      </c>
      <c r="N327" s="181" t="n">
        <v>46295</v>
      </c>
      <c r="O327" s="181" t="n">
        <v>46295</v>
      </c>
      <c r="P327" s="194" t="n">
        <v>191443014</v>
      </c>
      <c r="Q327" s="180" t="inlineStr">
        <is>
          <t>Năng lượng mặt trời</t>
        </is>
      </c>
      <c r="R327" s="180" t="inlineStr">
        <is>
          <t>THAOPTT.HCM.VTA</t>
        </is>
      </c>
      <c r="S327" s="182" t="inlineStr">
        <is>
          <t>Not Reversed</t>
        </is>
      </c>
      <c r="T327" s="57">
        <f>IF(OR(LEN(F327)=11,LEN(F327)=15),"Đ","SAI")</f>
        <v/>
      </c>
      <c r="U327" s="529">
        <f>ROUND(H327*I327%,0)-J327</f>
        <v/>
      </c>
      <c r="V327" s="55">
        <f>IF(Q327=$V$12,13313,13311)</f>
        <v/>
      </c>
    </row>
    <row r="328" ht="21.65" customHeight="1" s="344">
      <c r="A328" s="180" t="n">
        <v>311</v>
      </c>
      <c r="B328" s="182" t="inlineStr">
        <is>
          <t>1C26TCA</t>
        </is>
      </c>
      <c r="C328" s="278" t="inlineStr">
        <is>
          <t>'270</t>
        </is>
      </c>
      <c r="D328" s="181" t="n">
        <v>46269</v>
      </c>
      <c r="E328" s="182" t="inlineStr">
        <is>
          <t>Công ty Cổ Phần Đầu Tư CME SOLAR</t>
        </is>
      </c>
      <c r="F328" s="278" t="inlineStr">
        <is>
          <t>'0108830052</t>
        </is>
      </c>
      <c r="G328" s="182" t="inlineStr">
        <is>
          <t>ĐIỆN MTMN T08-2026</t>
        </is>
      </c>
      <c r="H328" s="194" t="n">
        <v>233808665</v>
      </c>
      <c r="I328" s="180" t="n">
        <v>8</v>
      </c>
      <c r="J328" s="194" t="n">
        <v>18704693</v>
      </c>
      <c r="K328" s="182" t="inlineStr">
        <is>
          <t>CK</t>
        </is>
      </c>
      <c r="L328" s="182" t="inlineStr">
        <is>
          <t>GL</t>
        </is>
      </c>
      <c r="M328" s="278" t="inlineStr">
        <is>
          <t>'3175</t>
        </is>
      </c>
      <c r="N328" s="181" t="n">
        <v>46295</v>
      </c>
      <c r="O328" s="181" t="n">
        <v>46295</v>
      </c>
      <c r="P328" s="194" t="n">
        <v>252513358</v>
      </c>
      <c r="Q328" s="180" t="inlineStr">
        <is>
          <t>Năng lượng mặt trời</t>
        </is>
      </c>
      <c r="R328" s="180" t="inlineStr">
        <is>
          <t>THAOPTT.HCM.VTA</t>
        </is>
      </c>
      <c r="S328" s="182" t="inlineStr">
        <is>
          <t>Not Reversed</t>
        </is>
      </c>
      <c r="T328" s="57">
        <f>IF(OR(LEN(F328)=11,LEN(F328)=15),"Đ","SAI")</f>
        <v/>
      </c>
      <c r="U328" s="529">
        <f>ROUND(H328*I328%,0)-J328</f>
        <v/>
      </c>
      <c r="V328" s="55">
        <f>IF(Q328=$V$12,13313,13311)</f>
        <v/>
      </c>
    </row>
    <row r="329" ht="21.65" customHeight="1" s="344">
      <c r="A329" s="180" t="n">
        <v>312</v>
      </c>
      <c r="B329" s="182" t="inlineStr">
        <is>
          <t>1C26TAA</t>
        </is>
      </c>
      <c r="C329" s="278" t="inlineStr">
        <is>
          <t>'275</t>
        </is>
      </c>
      <c r="D329" s="181" t="n">
        <v>46269</v>
      </c>
      <c r="E329" s="182" t="inlineStr">
        <is>
          <t>Công ty TNHH Đông Nam Phú Mỹ</t>
        </is>
      </c>
      <c r="F329" s="278" t="inlineStr">
        <is>
          <t>'3502326642</t>
        </is>
      </c>
      <c r="G329" s="182" t="inlineStr">
        <is>
          <t>ĐIỆN MTMN T08-2026</t>
        </is>
      </c>
      <c r="H329" s="194" t="n">
        <v>231211095</v>
      </c>
      <c r="I329" s="180" t="n">
        <v>8</v>
      </c>
      <c r="J329" s="194" t="n">
        <v>18496888</v>
      </c>
      <c r="K329" s="182" t="inlineStr">
        <is>
          <t>CK</t>
        </is>
      </c>
      <c r="L329" s="182" t="inlineStr">
        <is>
          <t>GL</t>
        </is>
      </c>
      <c r="M329" s="278" t="inlineStr">
        <is>
          <t>'3175</t>
        </is>
      </c>
      <c r="N329" s="181" t="n">
        <v>46295</v>
      </c>
      <c r="O329" s="181" t="n">
        <v>46295</v>
      </c>
      <c r="P329" s="194" t="n">
        <v>249707983</v>
      </c>
      <c r="Q329" s="180" t="inlineStr">
        <is>
          <t>Năng lượng mặt trời</t>
        </is>
      </c>
      <c r="R329" s="180" t="inlineStr">
        <is>
          <t>THAOPTT.HCM.VTA</t>
        </is>
      </c>
      <c r="S329" s="182" t="inlineStr">
        <is>
          <t>Not Reversed</t>
        </is>
      </c>
      <c r="T329" s="57">
        <f>IF(OR(LEN(F329)=11,LEN(F329)=15),"Đ","SAI")</f>
        <v/>
      </c>
      <c r="U329" s="529">
        <f>ROUND(H329*I329%,0)-J329</f>
        <v/>
      </c>
      <c r="V329" s="55">
        <f>IF(Q329=$V$12,13313,13311)</f>
        <v/>
      </c>
    </row>
    <row r="330" ht="21.65" customHeight="1" s="344">
      <c r="A330" s="180" t="n">
        <v>313</v>
      </c>
      <c r="B330" s="182" t="inlineStr">
        <is>
          <t>1C26TYY</t>
        </is>
      </c>
      <c r="C330" s="278" t="inlineStr">
        <is>
          <t>'28</t>
        </is>
      </c>
      <c r="D330" s="181" t="n">
        <v>46269</v>
      </c>
      <c r="E330" s="182" t="inlineStr">
        <is>
          <t>Công Ty Cổ Phần HELIO ENERGY</t>
        </is>
      </c>
      <c r="F330" s="278" t="inlineStr">
        <is>
          <t>'0109204756</t>
        </is>
      </c>
      <c r="G330" s="182" t="inlineStr">
        <is>
          <t>ĐIỆN MTMN T08-2026</t>
        </is>
      </c>
      <c r="H330" s="194" t="n">
        <v>179941715</v>
      </c>
      <c r="I330" s="180" t="n">
        <v>8</v>
      </c>
      <c r="J330" s="194" t="n">
        <v>14395337</v>
      </c>
      <c r="K330" s="182" t="inlineStr">
        <is>
          <t>CK</t>
        </is>
      </c>
      <c r="L330" s="182" t="inlineStr">
        <is>
          <t>GL</t>
        </is>
      </c>
      <c r="M330" s="278" t="inlineStr">
        <is>
          <t>'3175</t>
        </is>
      </c>
      <c r="N330" s="181" t="n">
        <v>46295</v>
      </c>
      <c r="O330" s="181" t="n">
        <v>46295</v>
      </c>
      <c r="P330" s="194" t="n">
        <v>194337052</v>
      </c>
      <c r="Q330" s="180" t="inlineStr">
        <is>
          <t>Năng lượng mặt trời</t>
        </is>
      </c>
      <c r="R330" s="180" t="inlineStr">
        <is>
          <t>THAOPTT.HCM.VTA</t>
        </is>
      </c>
      <c r="S330" s="182" t="inlineStr">
        <is>
          <t>Not Reversed</t>
        </is>
      </c>
      <c r="T330" s="57">
        <f>IF(OR(LEN(F330)=11,LEN(F330)=15),"Đ","SAI")</f>
        <v/>
      </c>
      <c r="U330" s="529">
        <f>ROUND(H330*I330%,0)-J330</f>
        <v/>
      </c>
      <c r="V330" s="55">
        <f>IF(Q330=$V$12,13313,13311)</f>
        <v/>
      </c>
    </row>
    <row r="331" ht="21.65" customHeight="1" s="344">
      <c r="A331" s="180" t="n">
        <v>314</v>
      </c>
      <c r="B331" s="182" t="inlineStr">
        <is>
          <t>1C26TLP</t>
        </is>
      </c>
      <c r="C331" s="278" t="inlineStr">
        <is>
          <t>'301</t>
        </is>
      </c>
      <c r="D331" s="181" t="n">
        <v>46269</v>
      </c>
      <c r="E331" s="182" t="inlineStr">
        <is>
          <t>Công ty TNHH XD TM Lập Phương</t>
        </is>
      </c>
      <c r="F331" s="278" t="inlineStr">
        <is>
          <t>'3502260127</t>
        </is>
      </c>
      <c r="G331" s="182" t="inlineStr">
        <is>
          <t>ĐIỆN MTMN T08-2026</t>
        </is>
      </c>
      <c r="H331" s="194" t="n">
        <v>534670</v>
      </c>
      <c r="I331" s="180" t="n">
        <v>8</v>
      </c>
      <c r="J331" s="194" t="n">
        <v>42774</v>
      </c>
      <c r="K331" s="182" t="inlineStr">
        <is>
          <t>CK</t>
        </is>
      </c>
      <c r="L331" s="182" t="inlineStr">
        <is>
          <t>GL</t>
        </is>
      </c>
      <c r="M331" s="278" t="inlineStr">
        <is>
          <t>'3175</t>
        </is>
      </c>
      <c r="N331" s="181" t="n">
        <v>46295</v>
      </c>
      <c r="O331" s="181" t="n">
        <v>46295</v>
      </c>
      <c r="P331" s="194" t="n">
        <v>577444</v>
      </c>
      <c r="Q331" s="180" t="inlineStr">
        <is>
          <t>Năng lượng mặt trời</t>
        </is>
      </c>
      <c r="R331" s="180" t="inlineStr">
        <is>
          <t>THAOPTT.HCM.VTA</t>
        </is>
      </c>
      <c r="S331" s="182" t="inlineStr">
        <is>
          <t>Not Reversed</t>
        </is>
      </c>
      <c r="T331" s="57">
        <f>IF(OR(LEN(F331)=11,LEN(F331)=15),"Đ","SAI")</f>
        <v/>
      </c>
      <c r="U331" s="529">
        <f>ROUND(H331*I331%,0)-J331</f>
        <v/>
      </c>
      <c r="V331" s="55">
        <f>IF(Q331=$V$12,13313,13311)</f>
        <v/>
      </c>
    </row>
    <row r="332" ht="21.65" customHeight="1" s="344">
      <c r="A332" s="180" t="n">
        <v>315</v>
      </c>
      <c r="B332" s="182" t="inlineStr">
        <is>
          <t>1C26TGX</t>
        </is>
      </c>
      <c r="C332" s="278" t="inlineStr">
        <is>
          <t>'34</t>
        </is>
      </c>
      <c r="D332" s="181" t="n">
        <v>46269</v>
      </c>
      <c r="E332" s="182" t="inlineStr">
        <is>
          <t>Công ty TNHH Đầu Tư Thương Mại Thế Giới Xanh</t>
        </is>
      </c>
      <c r="F332" s="278" t="inlineStr">
        <is>
          <t>'3502436081</t>
        </is>
      </c>
      <c r="G332" s="182" t="inlineStr">
        <is>
          <t>ĐIỆN MTMN T08-2026</t>
        </is>
      </c>
      <c r="H332" s="194" t="n">
        <v>78181805</v>
      </c>
      <c r="I332" s="180" t="n">
        <v>8</v>
      </c>
      <c r="J332" s="194" t="n">
        <v>6254544</v>
      </c>
      <c r="K332" s="182" t="inlineStr">
        <is>
          <t>CK</t>
        </is>
      </c>
      <c r="L332" s="182" t="inlineStr">
        <is>
          <t>GL</t>
        </is>
      </c>
      <c r="M332" s="278" t="inlineStr">
        <is>
          <t>'3175</t>
        </is>
      </c>
      <c r="N332" s="181" t="n">
        <v>46295</v>
      </c>
      <c r="O332" s="181" t="n">
        <v>46295</v>
      </c>
      <c r="P332" s="194" t="n">
        <v>84436349</v>
      </c>
      <c r="Q332" s="180" t="inlineStr">
        <is>
          <t>Năng lượng mặt trời</t>
        </is>
      </c>
      <c r="R332" s="180" t="inlineStr">
        <is>
          <t>THAOPTT.HCM.VTA</t>
        </is>
      </c>
      <c r="S332" s="182" t="inlineStr">
        <is>
          <t>Not Reversed</t>
        </is>
      </c>
      <c r="T332" s="57">
        <f>IF(OR(LEN(F332)=11,LEN(F332)=15),"Đ","SAI")</f>
        <v/>
      </c>
      <c r="U332" s="529">
        <f>ROUND(H332*I332%,0)-J332</f>
        <v/>
      </c>
      <c r="V332" s="55">
        <f>IF(Q332=$V$12,13313,13311)</f>
        <v/>
      </c>
    </row>
    <row r="333" ht="21.65" customHeight="1" s="344">
      <c r="A333" s="180" t="n">
        <v>316</v>
      </c>
      <c r="B333" s="182" t="inlineStr">
        <is>
          <t>1C26TSS</t>
        </is>
      </c>
      <c r="C333" s="278" t="inlineStr">
        <is>
          <t>'34</t>
        </is>
      </c>
      <c r="D333" s="181" t="n">
        <v>46269</v>
      </c>
      <c r="E333" s="182" t="inlineStr">
        <is>
          <t>Công ty TNHH REE SE Thái Dương</t>
        </is>
      </c>
      <c r="F333" s="278" t="inlineStr">
        <is>
          <t>'0316387339</t>
        </is>
      </c>
      <c r="G333" s="182" t="inlineStr">
        <is>
          <t>ĐIỆN MTMN T08-2026</t>
        </is>
      </c>
      <c r="H333" s="194" t="n">
        <v>57980120</v>
      </c>
      <c r="I333" s="180" t="n">
        <v>8</v>
      </c>
      <c r="J333" s="194" t="n">
        <v>4638410</v>
      </c>
      <c r="K333" s="182" t="inlineStr">
        <is>
          <t>CK</t>
        </is>
      </c>
      <c r="L333" s="182" t="inlineStr">
        <is>
          <t>GL</t>
        </is>
      </c>
      <c r="M333" s="278" t="inlineStr">
        <is>
          <t>'3175</t>
        </is>
      </c>
      <c r="N333" s="181" t="n">
        <v>46295</v>
      </c>
      <c r="O333" s="181" t="n">
        <v>46295</v>
      </c>
      <c r="P333" s="194" t="n">
        <v>62618530</v>
      </c>
      <c r="Q333" s="180" t="inlineStr">
        <is>
          <t>Năng lượng mặt trời</t>
        </is>
      </c>
      <c r="R333" s="180" t="inlineStr">
        <is>
          <t>THAOPTT.HCM.VTA</t>
        </is>
      </c>
      <c r="S333" s="182" t="inlineStr">
        <is>
          <t>Not Reversed</t>
        </is>
      </c>
      <c r="T333" s="57">
        <f>IF(OR(LEN(F333)=11,LEN(F333)=15),"Đ","SAI")</f>
        <v/>
      </c>
      <c r="U333" s="529">
        <f>ROUND(H333*I333%,0)-J333</f>
        <v/>
      </c>
      <c r="V333" s="55">
        <f>IF(Q333=$V$12,13313,13311)</f>
        <v/>
      </c>
    </row>
    <row r="334" ht="21.65" customHeight="1" s="344">
      <c r="A334" s="180" t="n">
        <v>317</v>
      </c>
      <c r="B334" s="182" t="inlineStr">
        <is>
          <t>1C26TSS</t>
        </is>
      </c>
      <c r="C334" s="278" t="inlineStr">
        <is>
          <t>'35</t>
        </is>
      </c>
      <c r="D334" s="181" t="n">
        <v>46269</v>
      </c>
      <c r="E334" s="182" t="inlineStr">
        <is>
          <t>Công ty TNHH REE SE Thái Dương</t>
        </is>
      </c>
      <c r="F334" s="278" t="inlineStr">
        <is>
          <t>'0316387339</t>
        </is>
      </c>
      <c r="G334" s="182" t="inlineStr">
        <is>
          <t>ĐIỆN MTMN T08-2026</t>
        </is>
      </c>
      <c r="H334" s="194" t="n">
        <v>255561735</v>
      </c>
      <c r="I334" s="180" t="n">
        <v>8</v>
      </c>
      <c r="J334" s="194" t="n">
        <v>20444939</v>
      </c>
      <c r="K334" s="182" t="inlineStr">
        <is>
          <t>CK</t>
        </is>
      </c>
      <c r="L334" s="182" t="inlineStr">
        <is>
          <t>GL</t>
        </is>
      </c>
      <c r="M334" s="278" t="inlineStr">
        <is>
          <t>'3175</t>
        </is>
      </c>
      <c r="N334" s="181" t="n">
        <v>46295</v>
      </c>
      <c r="O334" s="181" t="n">
        <v>46295</v>
      </c>
      <c r="P334" s="194" t="n">
        <v>276006674</v>
      </c>
      <c r="Q334" s="180" t="inlineStr">
        <is>
          <t>Năng lượng mặt trời</t>
        </is>
      </c>
      <c r="R334" s="180" t="inlineStr">
        <is>
          <t>THAOPTT.HCM.VTA</t>
        </is>
      </c>
      <c r="S334" s="182" t="inlineStr">
        <is>
          <t>Not Reversed</t>
        </is>
      </c>
      <c r="T334" s="57">
        <f>IF(OR(LEN(F334)=11,LEN(F334)=15),"Đ","SAI")</f>
        <v/>
      </c>
      <c r="U334" s="529">
        <f>ROUND(H334*I334%,0)-J334</f>
        <v/>
      </c>
      <c r="V334" s="55">
        <f>IF(Q334=$V$12,13313,13311)</f>
        <v/>
      </c>
    </row>
    <row r="335" ht="21.65" customHeight="1" s="344">
      <c r="A335" s="180" t="n">
        <v>318</v>
      </c>
      <c r="B335" s="182" t="inlineStr">
        <is>
          <t>1C26TSS</t>
        </is>
      </c>
      <c r="C335" s="278" t="inlineStr">
        <is>
          <t>'36</t>
        </is>
      </c>
      <c r="D335" s="181" t="n">
        <v>46269</v>
      </c>
      <c r="E335" s="182" t="inlineStr">
        <is>
          <t>Công ty TNHH REE SE Thái Dương</t>
        </is>
      </c>
      <c r="F335" s="278" t="inlineStr">
        <is>
          <t>'0316387339</t>
        </is>
      </c>
      <c r="G335" s="182" t="inlineStr">
        <is>
          <t>ĐIỆN MTMN T08-2026</t>
        </is>
      </c>
      <c r="H335" s="194" t="n">
        <v>263579680</v>
      </c>
      <c r="I335" s="180" t="n">
        <v>8</v>
      </c>
      <c r="J335" s="194" t="n">
        <v>21086374</v>
      </c>
      <c r="K335" s="182" t="inlineStr">
        <is>
          <t>CK</t>
        </is>
      </c>
      <c r="L335" s="182" t="inlineStr">
        <is>
          <t>GL</t>
        </is>
      </c>
      <c r="M335" s="278" t="inlineStr">
        <is>
          <t>'3175</t>
        </is>
      </c>
      <c r="N335" s="181" t="n">
        <v>46295</v>
      </c>
      <c r="O335" s="181" t="n">
        <v>46295</v>
      </c>
      <c r="P335" s="194" t="n">
        <v>284666054</v>
      </c>
      <c r="Q335" s="180" t="inlineStr">
        <is>
          <t>Năng lượng mặt trời</t>
        </is>
      </c>
      <c r="R335" s="180" t="inlineStr">
        <is>
          <t>THAOPTT.HCM.VTA</t>
        </is>
      </c>
      <c r="S335" s="182" t="inlineStr">
        <is>
          <t>Not Reversed</t>
        </is>
      </c>
      <c r="T335" s="57">
        <f>IF(OR(LEN(F335)=11,LEN(F335)=15),"Đ","SAI")</f>
        <v/>
      </c>
      <c r="U335" s="529">
        <f>ROUND(H335*I335%,0)-J335</f>
        <v/>
      </c>
      <c r="V335" s="55">
        <f>IF(Q335=$V$12,13313,13311)</f>
        <v/>
      </c>
    </row>
    <row r="336" ht="21.65" customHeight="1" s="344">
      <c r="A336" s="180" t="n">
        <v>319</v>
      </c>
      <c r="B336" s="182" t="inlineStr">
        <is>
          <t>1C26TMT</t>
        </is>
      </c>
      <c r="C336" s="278" t="inlineStr">
        <is>
          <t>'36</t>
        </is>
      </c>
      <c r="D336" s="181" t="n">
        <v>46269</v>
      </c>
      <c r="E336" s="182" t="inlineStr">
        <is>
          <t>CÔNG TY TNHH CƠ KHÍ VÀ XÂY DỰNG MẠNH THẮNG</t>
        </is>
      </c>
      <c r="F336" s="278" t="inlineStr">
        <is>
          <t>'3502309894</t>
        </is>
      </c>
      <c r="G336" s="182" t="inlineStr">
        <is>
          <t>ĐIỆN MTMN T08-2026</t>
        </is>
      </c>
      <c r="H336" s="194" t="n">
        <v>183135</v>
      </c>
      <c r="I336" s="180" t="n">
        <v>8</v>
      </c>
      <c r="J336" s="194" t="n">
        <v>14651</v>
      </c>
      <c r="K336" s="182" t="inlineStr">
        <is>
          <t>CK</t>
        </is>
      </c>
      <c r="L336" s="182" t="inlineStr">
        <is>
          <t>GL</t>
        </is>
      </c>
      <c r="M336" s="278" t="inlineStr">
        <is>
          <t>'3175</t>
        </is>
      </c>
      <c r="N336" s="181" t="n">
        <v>46295</v>
      </c>
      <c r="O336" s="181" t="n">
        <v>46295</v>
      </c>
      <c r="P336" s="194" t="n">
        <v>197786</v>
      </c>
      <c r="Q336" s="180" t="inlineStr">
        <is>
          <t>Năng lượng mặt trời</t>
        </is>
      </c>
      <c r="R336" s="180" t="inlineStr">
        <is>
          <t>THAOPTT.HCM.VTA</t>
        </is>
      </c>
      <c r="S336" s="182" t="inlineStr">
        <is>
          <t>Not Reversed</t>
        </is>
      </c>
      <c r="T336" s="57">
        <f>IF(OR(LEN(F336)=11,LEN(F336)=15),"Đ","SAI")</f>
        <v/>
      </c>
      <c r="U336" s="529">
        <f>ROUND(H336*I336%,0)-J336</f>
        <v/>
      </c>
      <c r="V336" s="55">
        <f>IF(Q336=$V$12,13313,13311)</f>
        <v/>
      </c>
    </row>
    <row r="337" ht="21.65" customHeight="1" s="344">
      <c r="A337" s="180" t="n">
        <v>320</v>
      </c>
      <c r="B337" s="182" t="inlineStr">
        <is>
          <t>1K26TSC</t>
        </is>
      </c>
      <c r="C337" s="278" t="inlineStr">
        <is>
          <t>'364</t>
        </is>
      </c>
      <c r="D337" s="181" t="n">
        <v>46269</v>
      </c>
      <c r="E337" s="182" t="inlineStr">
        <is>
          <t>Công ty dịch vụ sửa chữa các nhà máy điện EVNGENCO 3</t>
        </is>
      </c>
      <c r="F337" s="278" t="inlineStr">
        <is>
          <t>'3502208399-009</t>
        </is>
      </c>
      <c r="G337" s="182" t="inlineStr">
        <is>
          <t>ĐIỆN MTMN T08-2026</t>
        </is>
      </c>
      <c r="H337" s="194" t="n">
        <v>41916865</v>
      </c>
      <c r="I337" s="180" t="n">
        <v>8</v>
      </c>
      <c r="J337" s="194" t="n">
        <v>3353349</v>
      </c>
      <c r="K337" s="182" t="inlineStr">
        <is>
          <t>CK</t>
        </is>
      </c>
      <c r="L337" s="182" t="inlineStr">
        <is>
          <t>GL</t>
        </is>
      </c>
      <c r="M337" s="278" t="inlineStr">
        <is>
          <t>'3175</t>
        </is>
      </c>
      <c r="N337" s="181" t="n">
        <v>46295</v>
      </c>
      <c r="O337" s="181" t="n">
        <v>46295</v>
      </c>
      <c r="P337" s="194" t="n">
        <v>45270214</v>
      </c>
      <c r="Q337" s="180" t="inlineStr">
        <is>
          <t>Năng lượng mặt trời</t>
        </is>
      </c>
      <c r="R337" s="180" t="inlineStr">
        <is>
          <t>THAOPTT.HCM.VTA</t>
        </is>
      </c>
      <c r="S337" s="182" t="inlineStr">
        <is>
          <t>Not Reversed</t>
        </is>
      </c>
      <c r="T337" s="57">
        <f>IF(OR(LEN(F337)=11,LEN(F337)=15),"Đ","SAI")</f>
        <v/>
      </c>
      <c r="U337" s="529">
        <f>ROUND(H337*I337%,0)-J337</f>
        <v/>
      </c>
      <c r="V337" s="55">
        <f>IF(Q337=$V$12,13313,13311)</f>
        <v/>
      </c>
    </row>
    <row r="338" ht="21.65" customHeight="1" s="344">
      <c r="A338" s="180" t="n">
        <v>321</v>
      </c>
      <c r="B338" s="182" t="inlineStr">
        <is>
          <t>1C26TUP</t>
        </is>
      </c>
      <c r="C338" s="278" t="inlineStr">
        <is>
          <t>'37</t>
        </is>
      </c>
      <c r="D338" s="181" t="n">
        <v>46269</v>
      </c>
      <c r="E338" s="182" t="inlineStr">
        <is>
          <t>Công ty TNHH Uy Phong Tân Thành</t>
        </is>
      </c>
      <c r="F338" s="278" t="inlineStr">
        <is>
          <t>'3502312248</t>
        </is>
      </c>
      <c r="G338" s="182" t="inlineStr">
        <is>
          <t>ĐIỆN MTMN T08-2026</t>
        </is>
      </c>
      <c r="H338" s="194" t="n">
        <v>980930</v>
      </c>
      <c r="I338" s="180" t="n">
        <v>8</v>
      </c>
      <c r="J338" s="194" t="n">
        <v>78474</v>
      </c>
      <c r="K338" s="182" t="inlineStr">
        <is>
          <t>CK</t>
        </is>
      </c>
      <c r="L338" s="182" t="inlineStr">
        <is>
          <t>GL</t>
        </is>
      </c>
      <c r="M338" s="278" t="inlineStr">
        <is>
          <t>'3175</t>
        </is>
      </c>
      <c r="N338" s="181" t="n">
        <v>46295</v>
      </c>
      <c r="O338" s="181" t="n">
        <v>46295</v>
      </c>
      <c r="P338" s="194" t="n">
        <v>1059404</v>
      </c>
      <c r="Q338" s="180" t="inlineStr">
        <is>
          <t>Năng lượng mặt trời</t>
        </is>
      </c>
      <c r="R338" s="180" t="inlineStr">
        <is>
          <t>THAOPTT.HCM.VTA</t>
        </is>
      </c>
      <c r="S338" s="182" t="inlineStr">
        <is>
          <t>Not Reversed</t>
        </is>
      </c>
      <c r="T338" s="57">
        <f>IF(OR(LEN(F338)=11,LEN(F338)=15),"Đ","SAI")</f>
        <v/>
      </c>
      <c r="U338" s="529">
        <f>ROUND(H338*I338%,0)-J338</f>
        <v/>
      </c>
      <c r="V338" s="55">
        <f>IF(Q338=$V$12,13313,13311)</f>
        <v/>
      </c>
    </row>
    <row r="339" ht="21.65" customHeight="1" s="344">
      <c r="A339" s="180" t="n">
        <v>322</v>
      </c>
      <c r="B339" s="182" t="inlineStr">
        <is>
          <t>1C26TTC</t>
        </is>
      </c>
      <c r="C339" s="278" t="inlineStr">
        <is>
          <t>'37</t>
        </is>
      </c>
      <c r="D339" s="181" t="n">
        <v>46269</v>
      </c>
      <c r="E339" s="182" t="inlineStr">
        <is>
          <t>Công ty TNHH Sản Xuất Thương Mại Dịch Vụ Nam Thành Công</t>
        </is>
      </c>
      <c r="F339" s="278" t="inlineStr">
        <is>
          <t>'0312564675</t>
        </is>
      </c>
      <c r="G339" s="182" t="inlineStr">
        <is>
          <t>ĐIỆN MTMN T08-2026</t>
        </is>
      </c>
      <c r="H339" s="194" t="n">
        <v>196342108</v>
      </c>
      <c r="I339" s="180" t="n">
        <v>8</v>
      </c>
      <c r="J339" s="194" t="n">
        <v>15707369</v>
      </c>
      <c r="K339" s="182" t="inlineStr">
        <is>
          <t>CK</t>
        </is>
      </c>
      <c r="L339" s="182" t="inlineStr">
        <is>
          <t>GL</t>
        </is>
      </c>
      <c r="M339" s="278" t="inlineStr">
        <is>
          <t>'3175</t>
        </is>
      </c>
      <c r="N339" s="181" t="n">
        <v>46295</v>
      </c>
      <c r="O339" s="181" t="n">
        <v>46295</v>
      </c>
      <c r="P339" s="194" t="n">
        <v>212049477</v>
      </c>
      <c r="Q339" s="180" t="inlineStr">
        <is>
          <t>Năng lượng mặt trời</t>
        </is>
      </c>
      <c r="R339" s="180" t="inlineStr">
        <is>
          <t>THAOPTT.HCM.VTA</t>
        </is>
      </c>
      <c r="S339" s="182" t="inlineStr">
        <is>
          <t>Not Reversed</t>
        </is>
      </c>
      <c r="T339" s="57">
        <f>IF(OR(LEN(F339)=11,LEN(F339)=15),"Đ","SAI")</f>
        <v/>
      </c>
      <c r="U339" s="529">
        <f>ROUND(H339*I339%,0)-J339</f>
        <v/>
      </c>
      <c r="V339" s="55">
        <f>IF(Q339=$V$12,13313,13311)</f>
        <v/>
      </c>
    </row>
    <row r="340" ht="21.65" customHeight="1" s="344">
      <c r="A340" s="180" t="n">
        <v>323</v>
      </c>
      <c r="B340" s="182" t="inlineStr">
        <is>
          <t>1C26TSM</t>
        </is>
      </c>
      <c r="C340" s="278" t="inlineStr">
        <is>
          <t>'3731</t>
        </is>
      </c>
      <c r="D340" s="181" t="n">
        <v>46269</v>
      </c>
      <c r="E340" s="182" t="inlineStr">
        <is>
          <t>CÔNG TY TNHH SMARTLOG LONG PHÚ</t>
        </is>
      </c>
      <c r="F340" s="278" t="inlineStr">
        <is>
          <t>'0309985835</t>
        </is>
      </c>
      <c r="G340" s="182" t="inlineStr">
        <is>
          <t>ĐIỆN MTMN T08-2026</t>
        </is>
      </c>
      <c r="H340" s="194" t="n">
        <v>21793065</v>
      </c>
      <c r="I340" s="180" t="n">
        <v>8</v>
      </c>
      <c r="J340" s="194" t="n">
        <v>1743445</v>
      </c>
      <c r="K340" s="182" t="inlineStr">
        <is>
          <t>CK</t>
        </is>
      </c>
      <c r="L340" s="182" t="inlineStr">
        <is>
          <t>GL</t>
        </is>
      </c>
      <c r="M340" s="278" t="inlineStr">
        <is>
          <t>'3175</t>
        </is>
      </c>
      <c r="N340" s="181" t="n">
        <v>46295</v>
      </c>
      <c r="O340" s="181" t="n">
        <v>46295</v>
      </c>
      <c r="P340" s="194" t="n">
        <v>23536510</v>
      </c>
      <c r="Q340" s="180" t="inlineStr">
        <is>
          <t>Năng lượng mặt trời</t>
        </is>
      </c>
      <c r="R340" s="180" t="inlineStr">
        <is>
          <t>THAOPTT.HCM.VTA</t>
        </is>
      </c>
      <c r="S340" s="182" t="inlineStr">
        <is>
          <t>Not Reversed</t>
        </is>
      </c>
      <c r="T340" s="57">
        <f>IF(OR(LEN(F340)=11,LEN(F340)=15),"Đ","SAI")</f>
        <v/>
      </c>
      <c r="U340" s="529">
        <f>ROUND(H340*I340%,0)-J340</f>
        <v/>
      </c>
      <c r="V340" s="55">
        <f>IF(Q340=$V$12,13313,13311)</f>
        <v/>
      </c>
    </row>
    <row r="341" ht="21.65" customHeight="1" s="344">
      <c r="A341" s="180" t="n">
        <v>324</v>
      </c>
      <c r="B341" s="182" t="inlineStr">
        <is>
          <t>1C26TNT</t>
        </is>
      </c>
      <c r="C341" s="278" t="inlineStr">
        <is>
          <t>'39</t>
        </is>
      </c>
      <c r="D341" s="181" t="n">
        <v>46269</v>
      </c>
      <c r="E341" s="182" t="inlineStr">
        <is>
          <t>Công ty Cổ phần Tư vấn Thiết kế &amp; Xây dựng Nam Trung</t>
        </is>
      </c>
      <c r="F341" s="278" t="inlineStr">
        <is>
          <t>'3500867519</t>
        </is>
      </c>
      <c r="G341" s="182" t="inlineStr">
        <is>
          <t>ĐIỆN MTMN T08-2026</t>
        </is>
      </c>
      <c r="H341" s="194" t="n">
        <v>507305</v>
      </c>
      <c r="I341" s="180" t="n">
        <v>8</v>
      </c>
      <c r="J341" s="194" t="n">
        <v>40584</v>
      </c>
      <c r="K341" s="182" t="inlineStr">
        <is>
          <t>CK</t>
        </is>
      </c>
      <c r="L341" s="182" t="inlineStr">
        <is>
          <t>GL</t>
        </is>
      </c>
      <c r="M341" s="278" t="inlineStr">
        <is>
          <t>'3175</t>
        </is>
      </c>
      <c r="N341" s="181" t="n">
        <v>46295</v>
      </c>
      <c r="O341" s="181" t="n">
        <v>46295</v>
      </c>
      <c r="P341" s="194" t="n">
        <v>547889</v>
      </c>
      <c r="Q341" s="180" t="inlineStr">
        <is>
          <t>Năng lượng mặt trời</t>
        </is>
      </c>
      <c r="R341" s="180" t="inlineStr">
        <is>
          <t>THAOPTT.HCM.VTA</t>
        </is>
      </c>
      <c r="S341" s="182" t="inlineStr">
        <is>
          <t>Not Reversed</t>
        </is>
      </c>
      <c r="T341" s="57">
        <f>IF(OR(LEN(F341)=11,LEN(F341)=15),"Đ","SAI")</f>
        <v/>
      </c>
      <c r="U341" s="529">
        <f>ROUND(H341*I341%,0)-J341</f>
        <v/>
      </c>
      <c r="V341" s="55">
        <f>IF(Q341=$V$12,13313,13311)</f>
        <v/>
      </c>
    </row>
    <row r="342" ht="21.65" customHeight="1" s="344">
      <c r="A342" s="180" t="n">
        <v>325</v>
      </c>
      <c r="B342" s="182" t="inlineStr">
        <is>
          <t>1C26TAA</t>
        </is>
      </c>
      <c r="C342" s="278" t="inlineStr">
        <is>
          <t>'4</t>
        </is>
      </c>
      <c r="D342" s="181" t="n">
        <v>46269</v>
      </c>
      <c r="E342" s="182" t="inlineStr">
        <is>
          <t>Công ty TNHH Vận Tải Thương Mại Dịch Vụ Trường An Phát</t>
        </is>
      </c>
      <c r="F342" s="278" t="inlineStr">
        <is>
          <t>'3502212035</t>
        </is>
      </c>
      <c r="G342" s="182" t="inlineStr">
        <is>
          <t>ĐIỆN MTMN T08-2026</t>
        </is>
      </c>
      <c r="H342" s="194" t="n">
        <v>1816615</v>
      </c>
      <c r="I342" s="180" t="n">
        <v>8</v>
      </c>
      <c r="J342" s="194" t="n">
        <v>145329</v>
      </c>
      <c r="K342" s="182" t="inlineStr">
        <is>
          <t>CK</t>
        </is>
      </c>
      <c r="L342" s="182" t="inlineStr">
        <is>
          <t>GL</t>
        </is>
      </c>
      <c r="M342" s="278" t="inlineStr">
        <is>
          <t>'3175</t>
        </is>
      </c>
      <c r="N342" s="181" t="n">
        <v>46295</v>
      </c>
      <c r="O342" s="181" t="n">
        <v>46295</v>
      </c>
      <c r="P342" s="194" t="n">
        <v>1961944</v>
      </c>
      <c r="Q342" s="180" t="inlineStr">
        <is>
          <t>Năng lượng mặt trời</t>
        </is>
      </c>
      <c r="R342" s="180" t="inlineStr">
        <is>
          <t>THAOPTT.HCM.VTA</t>
        </is>
      </c>
      <c r="S342" s="182" t="inlineStr">
        <is>
          <t>Not Reversed</t>
        </is>
      </c>
      <c r="T342" s="57">
        <f>IF(OR(LEN(F342)=11,LEN(F342)=15),"Đ","SAI")</f>
        <v/>
      </c>
      <c r="U342" s="529">
        <f>ROUND(H342*I342%,0)-J342</f>
        <v/>
      </c>
      <c r="V342" s="55">
        <f>IF(Q342=$V$12,13313,13311)</f>
        <v/>
      </c>
    </row>
    <row r="343" ht="21.65" customHeight="1" s="344">
      <c r="A343" s="180" t="n">
        <v>326</v>
      </c>
      <c r="B343" s="182" t="inlineStr">
        <is>
          <t>1C26TVT</t>
        </is>
      </c>
      <c r="C343" s="278" t="inlineStr">
        <is>
          <t>'43</t>
        </is>
      </c>
      <c r="D343" s="181" t="n">
        <v>46269</v>
      </c>
      <c r="E343" s="182" t="inlineStr">
        <is>
          <t>Công Ty Cổ Phần Năng Lượng Xanh Vũng Tàu( Chiếu Sáng Công Cộng )</t>
        </is>
      </c>
      <c r="F343" s="278" t="inlineStr">
        <is>
          <t>'3502349671</t>
        </is>
      </c>
      <c r="G343" s="182" t="inlineStr">
        <is>
          <t>ĐIỆN MTMN T08-2026</t>
        </is>
      </c>
      <c r="H343" s="194" t="n">
        <v>35397680</v>
      </c>
      <c r="I343" s="180" t="n">
        <v>8</v>
      </c>
      <c r="J343" s="194" t="n">
        <v>2831814</v>
      </c>
      <c r="K343" s="182" t="inlineStr">
        <is>
          <t>CK</t>
        </is>
      </c>
      <c r="L343" s="182" t="inlineStr">
        <is>
          <t>GL</t>
        </is>
      </c>
      <c r="M343" s="278" t="inlineStr">
        <is>
          <t>'3175</t>
        </is>
      </c>
      <c r="N343" s="181" t="n">
        <v>46295</v>
      </c>
      <c r="O343" s="181" t="n">
        <v>46295</v>
      </c>
      <c r="P343" s="194" t="n">
        <v>38229494</v>
      </c>
      <c r="Q343" s="180" t="inlineStr">
        <is>
          <t>Năng lượng mặt trời</t>
        </is>
      </c>
      <c r="R343" s="180" t="inlineStr">
        <is>
          <t>THAOPTT.HCM.VTA</t>
        </is>
      </c>
      <c r="S343" s="182" t="inlineStr">
        <is>
          <t>Not Reversed</t>
        </is>
      </c>
      <c r="T343" s="57">
        <f>IF(OR(LEN(F343)=11,LEN(F343)=15),"Đ","SAI")</f>
        <v/>
      </c>
      <c r="U343" s="529">
        <f>ROUND(H343*I343%,0)-J343</f>
        <v/>
      </c>
      <c r="V343" s="55">
        <f>IF(Q343=$V$12,13313,13311)</f>
        <v/>
      </c>
    </row>
    <row r="344" ht="21.65" customHeight="1" s="344">
      <c r="A344" s="180" t="n">
        <v>327</v>
      </c>
      <c r="B344" s="182" t="inlineStr">
        <is>
          <t>1C26TTM</t>
        </is>
      </c>
      <c r="C344" s="278" t="inlineStr">
        <is>
          <t>'431</t>
        </is>
      </c>
      <c r="D344" s="181" t="n">
        <v>46269</v>
      </c>
      <c r="E344" s="182" t="inlineStr">
        <is>
          <t>Công ty TNHH May Thạnh Mỹ</t>
        </is>
      </c>
      <c r="F344" s="278" t="inlineStr">
        <is>
          <t>'3500885701</t>
        </is>
      </c>
      <c r="G344" s="182" t="inlineStr">
        <is>
          <t>ĐIỆN MTMN T08-2026</t>
        </is>
      </c>
      <c r="H344" s="194" t="n">
        <v>779536</v>
      </c>
      <c r="I344" s="180" t="n">
        <v>8</v>
      </c>
      <c r="J344" s="194" t="n">
        <v>62363</v>
      </c>
      <c r="K344" s="182" t="inlineStr">
        <is>
          <t>CK</t>
        </is>
      </c>
      <c r="L344" s="182" t="inlineStr">
        <is>
          <t>GL</t>
        </is>
      </c>
      <c r="M344" s="278" t="inlineStr">
        <is>
          <t>'3175</t>
        </is>
      </c>
      <c r="N344" s="181" t="n">
        <v>46295</v>
      </c>
      <c r="O344" s="181" t="n">
        <v>46295</v>
      </c>
      <c r="P344" s="194" t="n">
        <v>841899</v>
      </c>
      <c r="Q344" s="180" t="inlineStr">
        <is>
          <t>Năng lượng mặt trời</t>
        </is>
      </c>
      <c r="R344" s="180" t="inlineStr">
        <is>
          <t>THAOPTT.HCM.VTA</t>
        </is>
      </c>
      <c r="S344" s="182" t="inlineStr">
        <is>
          <t>Not Reversed</t>
        </is>
      </c>
      <c r="T344" s="57">
        <f>IF(OR(LEN(F344)=11,LEN(F344)=15),"Đ","SAI")</f>
        <v/>
      </c>
      <c r="U344" s="529">
        <f>ROUND(H344*I344%,0)-J344</f>
        <v/>
      </c>
      <c r="V344" s="55">
        <f>IF(Q344=$V$12,13313,13311)</f>
        <v/>
      </c>
    </row>
    <row r="345" ht="21.65" customHeight="1" s="344">
      <c r="A345" s="180" t="n">
        <v>328</v>
      </c>
      <c r="B345" s="182" t="inlineStr">
        <is>
          <t>1C26TSS</t>
        </is>
      </c>
      <c r="C345" s="278" t="inlineStr">
        <is>
          <t>'44</t>
        </is>
      </c>
      <c r="D345" s="181" t="n">
        <v>46269</v>
      </c>
      <c r="E345" s="182" t="inlineStr">
        <is>
          <t>Công ty TNHH REE SE Ánh Dương</t>
        </is>
      </c>
      <c r="F345" s="278" t="inlineStr">
        <is>
          <t>'0316389713</t>
        </is>
      </c>
      <c r="G345" s="182" t="inlineStr">
        <is>
          <t>ĐIỆN MTMN T08-2026</t>
        </is>
      </c>
      <c r="H345" s="194" t="n">
        <v>227731530</v>
      </c>
      <c r="I345" s="180" t="n">
        <v>8</v>
      </c>
      <c r="J345" s="194" t="n">
        <v>18218522</v>
      </c>
      <c r="K345" s="182" t="inlineStr">
        <is>
          <t>CK</t>
        </is>
      </c>
      <c r="L345" s="182" t="inlineStr">
        <is>
          <t>GL</t>
        </is>
      </c>
      <c r="M345" s="278" t="inlineStr">
        <is>
          <t>'3175</t>
        </is>
      </c>
      <c r="N345" s="181" t="n">
        <v>46295</v>
      </c>
      <c r="O345" s="181" t="n">
        <v>46295</v>
      </c>
      <c r="P345" s="194" t="n">
        <v>245950052</v>
      </c>
      <c r="Q345" s="180" t="inlineStr">
        <is>
          <t>Năng lượng mặt trời</t>
        </is>
      </c>
      <c r="R345" s="180" t="inlineStr">
        <is>
          <t>THAOPTT.HCM.VTA</t>
        </is>
      </c>
      <c r="S345" s="182" t="inlineStr">
        <is>
          <t>Not Reversed</t>
        </is>
      </c>
      <c r="T345" s="57">
        <f>IF(OR(LEN(F345)=11,LEN(F345)=15),"Đ","SAI")</f>
        <v/>
      </c>
      <c r="U345" s="529">
        <f>ROUND(H345*I345%,0)-J345</f>
        <v/>
      </c>
      <c r="V345" s="55">
        <f>IF(Q345=$V$12,13313,13311)</f>
        <v/>
      </c>
    </row>
    <row r="346" ht="21.65" customHeight="1" s="344">
      <c r="A346" s="180" t="n">
        <v>329</v>
      </c>
      <c r="B346" s="182" t="inlineStr">
        <is>
          <t>1C26TTM</t>
        </is>
      </c>
      <c r="C346" s="278" t="inlineStr">
        <is>
          <t>'44</t>
        </is>
      </c>
      <c r="D346" s="181" t="n">
        <v>46269</v>
      </c>
      <c r="E346" s="182" t="inlineStr">
        <is>
          <t>Công ty TNHH Cơ khí - Xây dựng - Thương mại Thành Mỹ</t>
        </is>
      </c>
      <c r="F346" s="278" t="inlineStr">
        <is>
          <t>'3501658797</t>
        </is>
      </c>
      <c r="G346" s="182" t="inlineStr">
        <is>
          <t>ĐIỆN MTMN T08-2026</t>
        </is>
      </c>
      <c r="H346" s="194" t="n">
        <v>584652</v>
      </c>
      <c r="I346" s="180" t="n">
        <v>8</v>
      </c>
      <c r="J346" s="194" t="n">
        <v>46772</v>
      </c>
      <c r="K346" s="182" t="inlineStr">
        <is>
          <t>CK</t>
        </is>
      </c>
      <c r="L346" s="182" t="inlineStr">
        <is>
          <t>GL</t>
        </is>
      </c>
      <c r="M346" s="278" t="inlineStr">
        <is>
          <t>'3175</t>
        </is>
      </c>
      <c r="N346" s="181" t="n">
        <v>46295</v>
      </c>
      <c r="O346" s="181" t="n">
        <v>46295</v>
      </c>
      <c r="P346" s="194" t="n">
        <v>631424</v>
      </c>
      <c r="Q346" s="180" t="inlineStr">
        <is>
          <t>Năng lượng mặt trời</t>
        </is>
      </c>
      <c r="R346" s="180" t="inlineStr">
        <is>
          <t>THAOPTT.HCM.VTA</t>
        </is>
      </c>
      <c r="S346" s="182" t="inlineStr">
        <is>
          <t>Not Reversed</t>
        </is>
      </c>
      <c r="T346" s="57">
        <f>IF(OR(LEN(F346)=11,LEN(F346)=15),"Đ","SAI")</f>
        <v/>
      </c>
      <c r="U346" s="529">
        <f>ROUND(H346*I346%,0)-J346</f>
        <v/>
      </c>
      <c r="V346" s="55">
        <f>IF(Q346=$V$12,13313,13311)</f>
        <v/>
      </c>
    </row>
    <row r="347" ht="21.65" customHeight="1" s="344">
      <c r="A347" s="180" t="n">
        <v>330</v>
      </c>
      <c r="B347" s="182" t="inlineStr">
        <is>
          <t>1C26TUN</t>
        </is>
      </c>
      <c r="C347" s="278" t="inlineStr">
        <is>
          <t>'45</t>
        </is>
      </c>
      <c r="D347" s="181" t="n">
        <v>46269</v>
      </c>
      <c r="E347" s="182" t="inlineStr">
        <is>
          <t>Công ty TNHH MTV URANUS</t>
        </is>
      </c>
      <c r="F347" s="278" t="inlineStr">
        <is>
          <t>'3502423734</t>
        </is>
      </c>
      <c r="G347" s="182" t="inlineStr">
        <is>
          <t>ĐIỆN MTMN T08-2026</t>
        </is>
      </c>
      <c r="H347" s="194" t="n">
        <v>214440560</v>
      </c>
      <c r="I347" s="180" t="n">
        <v>8</v>
      </c>
      <c r="J347" s="194" t="n">
        <v>17155245</v>
      </c>
      <c r="K347" s="182" t="inlineStr">
        <is>
          <t>CK</t>
        </is>
      </c>
      <c r="L347" s="182" t="inlineStr">
        <is>
          <t>GL</t>
        </is>
      </c>
      <c r="M347" s="278" t="inlineStr">
        <is>
          <t>'3175</t>
        </is>
      </c>
      <c r="N347" s="181" t="n">
        <v>46295</v>
      </c>
      <c r="O347" s="181" t="n">
        <v>46295</v>
      </c>
      <c r="P347" s="194" t="n">
        <v>231595805</v>
      </c>
      <c r="Q347" s="180" t="inlineStr">
        <is>
          <t>Năng lượng mặt trời</t>
        </is>
      </c>
      <c r="R347" s="180" t="inlineStr">
        <is>
          <t>THAOPTT.HCM.VTA</t>
        </is>
      </c>
      <c r="S347" s="182" t="inlineStr">
        <is>
          <t>Not Reversed</t>
        </is>
      </c>
      <c r="T347" s="57">
        <f>IF(OR(LEN(F347)=11,LEN(F347)=15),"Đ","SAI")</f>
        <v/>
      </c>
      <c r="U347" s="529">
        <f>ROUND(H347*I347%,0)-J347</f>
        <v/>
      </c>
      <c r="V347" s="55">
        <f>IF(Q347=$V$12,13313,13311)</f>
        <v/>
      </c>
    </row>
    <row r="348" ht="21.65" customHeight="1" s="344">
      <c r="A348" s="180" t="n">
        <v>331</v>
      </c>
      <c r="B348" s="182" t="inlineStr">
        <is>
          <t>1C26TSS</t>
        </is>
      </c>
      <c r="C348" s="278" t="inlineStr">
        <is>
          <t>'45</t>
        </is>
      </c>
      <c r="D348" s="181" t="n">
        <v>46269</v>
      </c>
      <c r="E348" s="182" t="inlineStr">
        <is>
          <t>Công ty TNHH REE SE Ánh Dương</t>
        </is>
      </c>
      <c r="F348" s="278" t="inlineStr">
        <is>
          <t>'0316389713</t>
        </is>
      </c>
      <c r="G348" s="182" t="inlineStr">
        <is>
          <t>ĐIỆN MTMN T08-2026</t>
        </is>
      </c>
      <c r="H348" s="194" t="n">
        <v>133776960</v>
      </c>
      <c r="I348" s="180" t="n">
        <v>8</v>
      </c>
      <c r="J348" s="194" t="n">
        <v>10702157</v>
      </c>
      <c r="K348" s="182" t="inlineStr">
        <is>
          <t>CK</t>
        </is>
      </c>
      <c r="L348" s="182" t="inlineStr">
        <is>
          <t>GL</t>
        </is>
      </c>
      <c r="M348" s="278" t="inlineStr">
        <is>
          <t>'3175</t>
        </is>
      </c>
      <c r="N348" s="181" t="n">
        <v>46295</v>
      </c>
      <c r="O348" s="181" t="n">
        <v>46295</v>
      </c>
      <c r="P348" s="194" t="n">
        <v>144479117</v>
      </c>
      <c r="Q348" s="180" t="inlineStr">
        <is>
          <t>Năng lượng mặt trời</t>
        </is>
      </c>
      <c r="R348" s="180" t="inlineStr">
        <is>
          <t>THAOPTT.HCM.VTA</t>
        </is>
      </c>
      <c r="S348" s="182" t="inlineStr">
        <is>
          <t>Not Reversed</t>
        </is>
      </c>
      <c r="T348" s="57">
        <f>IF(OR(LEN(F348)=11,LEN(F348)=15),"Đ","SAI")</f>
        <v/>
      </c>
      <c r="U348" s="529">
        <f>ROUND(H348*I348%,0)-J348</f>
        <v/>
      </c>
      <c r="V348" s="55">
        <f>IF(Q348=$V$12,13313,13311)</f>
        <v/>
      </c>
    </row>
    <row r="349" ht="21.65" customHeight="1" s="344">
      <c r="A349" s="180" t="n">
        <v>332</v>
      </c>
      <c r="B349" s="182" t="inlineStr">
        <is>
          <t>1C26TDA</t>
        </is>
      </c>
      <c r="C349" s="278" t="inlineStr">
        <is>
          <t>'45</t>
        </is>
      </c>
      <c r="D349" s="181" t="n">
        <v>46269</v>
      </c>
      <c r="E349" s="182" t="inlineStr">
        <is>
          <t>Công ty Cổ Phần Xây Lắp Dầu Khí Đông Á</t>
        </is>
      </c>
      <c r="F349" s="278" t="inlineStr">
        <is>
          <t>'3500732889</t>
        </is>
      </c>
      <c r="G349" s="182" t="inlineStr">
        <is>
          <t>ĐIỆN MTMN T08-2026</t>
        </is>
      </c>
      <c r="H349" s="194" t="n">
        <v>27615495</v>
      </c>
      <c r="I349" s="180" t="n">
        <v>8</v>
      </c>
      <c r="J349" s="194" t="n">
        <v>2209240</v>
      </c>
      <c r="K349" s="182" t="inlineStr">
        <is>
          <t>CK</t>
        </is>
      </c>
      <c r="L349" s="182" t="inlineStr">
        <is>
          <t>GL</t>
        </is>
      </c>
      <c r="M349" s="278" t="inlineStr">
        <is>
          <t>'3175</t>
        </is>
      </c>
      <c r="N349" s="181" t="n">
        <v>46295</v>
      </c>
      <c r="O349" s="181" t="n">
        <v>46295</v>
      </c>
      <c r="P349" s="194" t="n">
        <v>29824735</v>
      </c>
      <c r="Q349" s="180" t="inlineStr">
        <is>
          <t>Năng lượng mặt trời</t>
        </is>
      </c>
      <c r="R349" s="180" t="inlineStr">
        <is>
          <t>THAOPTT.HCM.VTA</t>
        </is>
      </c>
      <c r="S349" s="182" t="inlineStr">
        <is>
          <t>Not Reversed</t>
        </is>
      </c>
      <c r="T349" s="57">
        <f>IF(OR(LEN(F349)=11,LEN(F349)=15),"Đ","SAI")</f>
        <v/>
      </c>
      <c r="U349" s="529">
        <f>ROUND(H349*I349%,0)-J349</f>
        <v/>
      </c>
      <c r="V349" s="55">
        <f>IF(Q349=$V$12,13313,13311)</f>
        <v/>
      </c>
    </row>
    <row r="350" ht="21.65" customHeight="1" s="344">
      <c r="A350" s="180" t="n">
        <v>333</v>
      </c>
      <c r="B350" s="182" t="inlineStr">
        <is>
          <t>1C26TTM</t>
        </is>
      </c>
      <c r="C350" s="278" t="inlineStr">
        <is>
          <t>'45</t>
        </is>
      </c>
      <c r="D350" s="181" t="n">
        <v>46269</v>
      </c>
      <c r="E350" s="182" t="inlineStr">
        <is>
          <t>Công ty TNHH Cơ khí - Xây dựng - Thương mại Thành Mỹ</t>
        </is>
      </c>
      <c r="F350" s="278" t="inlineStr">
        <is>
          <t>'3501658797</t>
        </is>
      </c>
      <c r="G350" s="182" t="inlineStr">
        <is>
          <t>ĐIỆN MTMN T08-2026</t>
        </is>
      </c>
      <c r="H350" s="194" t="n">
        <v>35980765</v>
      </c>
      <c r="I350" s="180" t="n">
        <v>8</v>
      </c>
      <c r="J350" s="194" t="n">
        <v>2878461</v>
      </c>
      <c r="K350" s="182" t="inlineStr">
        <is>
          <t>CK</t>
        </is>
      </c>
      <c r="L350" s="182" t="inlineStr">
        <is>
          <t>GL</t>
        </is>
      </c>
      <c r="M350" s="278" t="inlineStr">
        <is>
          <t>'3175</t>
        </is>
      </c>
      <c r="N350" s="181" t="n">
        <v>46295</v>
      </c>
      <c r="O350" s="181" t="n">
        <v>46295</v>
      </c>
      <c r="P350" s="194" t="n">
        <v>38859226</v>
      </c>
      <c r="Q350" s="180" t="inlineStr">
        <is>
          <t>Năng lượng mặt trời</t>
        </is>
      </c>
      <c r="R350" s="180" t="inlineStr">
        <is>
          <t>THAOPTT.HCM.VTA</t>
        </is>
      </c>
      <c r="S350" s="182" t="inlineStr">
        <is>
          <t>Not Reversed</t>
        </is>
      </c>
      <c r="T350" s="57">
        <f>IF(OR(LEN(F350)=11,LEN(F350)=15),"Đ","SAI")</f>
        <v/>
      </c>
      <c r="U350" s="529">
        <f>ROUND(H350*I350%,0)-J350</f>
        <v/>
      </c>
      <c r="V350" s="55">
        <f>IF(Q350=$V$12,13313,13311)</f>
        <v/>
      </c>
    </row>
    <row r="351" ht="21.65" customHeight="1" s="344">
      <c r="A351" s="180" t="n">
        <v>334</v>
      </c>
      <c r="B351" s="182" t="inlineStr">
        <is>
          <t>1C26TDA</t>
        </is>
      </c>
      <c r="C351" s="278" t="inlineStr">
        <is>
          <t>'46</t>
        </is>
      </c>
      <c r="D351" s="181" t="n">
        <v>46269</v>
      </c>
      <c r="E351" s="182" t="inlineStr">
        <is>
          <t>Công ty Cổ phần Xây lắp Dầu khí Đông Á</t>
        </is>
      </c>
      <c r="F351" s="278" t="inlineStr">
        <is>
          <t>'3500732889</t>
        </is>
      </c>
      <c r="G351" s="182" t="inlineStr">
        <is>
          <t>ĐIỆN MTMN T08-2026</t>
        </is>
      </c>
      <c r="H351" s="194" t="n">
        <v>6093975</v>
      </c>
      <c r="I351" s="180" t="n">
        <v>8</v>
      </c>
      <c r="J351" s="194" t="n">
        <v>487518</v>
      </c>
      <c r="K351" s="182" t="inlineStr">
        <is>
          <t>CK</t>
        </is>
      </c>
      <c r="L351" s="182" t="inlineStr">
        <is>
          <t>GL</t>
        </is>
      </c>
      <c r="M351" s="278" t="inlineStr">
        <is>
          <t>'3175</t>
        </is>
      </c>
      <c r="N351" s="181" t="n">
        <v>46295</v>
      </c>
      <c r="O351" s="181" t="n">
        <v>46295</v>
      </c>
      <c r="P351" s="194" t="n">
        <v>6581493</v>
      </c>
      <c r="Q351" s="180" t="inlineStr">
        <is>
          <t>Năng lượng mặt trời</t>
        </is>
      </c>
      <c r="R351" s="180" t="inlineStr">
        <is>
          <t>THAOPTT.HCM.VTA</t>
        </is>
      </c>
      <c r="S351" s="182" t="inlineStr">
        <is>
          <t>Not Reversed</t>
        </is>
      </c>
      <c r="T351" s="57">
        <f>IF(OR(LEN(F351)=11,LEN(F351)=15),"Đ","SAI")</f>
        <v/>
      </c>
      <c r="U351" s="529">
        <f>ROUND(H351*I351%,0)-J351</f>
        <v/>
      </c>
      <c r="V351" s="55">
        <f>IF(Q351=$V$12,13313,13311)</f>
        <v/>
      </c>
    </row>
    <row r="352" ht="21.65" customHeight="1" s="344">
      <c r="A352" s="180" t="n">
        <v>335</v>
      </c>
      <c r="B352" s="182" t="inlineStr">
        <is>
          <t>1C26TNT</t>
        </is>
      </c>
      <c r="C352" s="278" t="inlineStr">
        <is>
          <t>'46</t>
        </is>
      </c>
      <c r="D352" s="181" t="n">
        <v>46269</v>
      </c>
      <c r="E352" s="182" t="inlineStr">
        <is>
          <t>Công ty TNHH MTV Uranus</t>
        </is>
      </c>
      <c r="F352" s="278" t="inlineStr">
        <is>
          <t>'3502423734</t>
        </is>
      </c>
      <c r="G352" s="182" t="inlineStr">
        <is>
          <t>ĐIỆN MTMN T08-2026</t>
        </is>
      </c>
      <c r="H352" s="194" t="n">
        <v>205037525</v>
      </c>
      <c r="I352" s="180" t="n">
        <v>8</v>
      </c>
      <c r="J352" s="194" t="n">
        <v>16403002</v>
      </c>
      <c r="K352" s="182" t="inlineStr">
        <is>
          <t>CK</t>
        </is>
      </c>
      <c r="L352" s="182" t="inlineStr">
        <is>
          <t>GL</t>
        </is>
      </c>
      <c r="M352" s="278" t="inlineStr">
        <is>
          <t>'3175</t>
        </is>
      </c>
      <c r="N352" s="181" t="n">
        <v>46295</v>
      </c>
      <c r="O352" s="181" t="n">
        <v>46295</v>
      </c>
      <c r="P352" s="194" t="n">
        <v>221440527</v>
      </c>
      <c r="Q352" s="180" t="inlineStr">
        <is>
          <t>Năng lượng mặt trời</t>
        </is>
      </c>
      <c r="R352" s="180" t="inlineStr">
        <is>
          <t>THAOPTT.HCM.VTA</t>
        </is>
      </c>
      <c r="S352" s="182" t="inlineStr">
        <is>
          <t>Not Reversed</t>
        </is>
      </c>
      <c r="T352" s="57">
        <f>IF(OR(LEN(F352)=11,LEN(F352)=15),"Đ","SAI")</f>
        <v/>
      </c>
      <c r="U352" s="529">
        <f>ROUND(H352*I352%,0)-J352</f>
        <v/>
      </c>
      <c r="V352" s="55">
        <f>IF(Q352=$V$12,13313,13311)</f>
        <v/>
      </c>
    </row>
    <row r="353" ht="21.65" customHeight="1" s="344">
      <c r="A353" s="180" t="n">
        <v>336</v>
      </c>
      <c r="B353" s="182" t="inlineStr">
        <is>
          <t>1C26TUN</t>
        </is>
      </c>
      <c r="C353" s="278" t="inlineStr">
        <is>
          <t>'47</t>
        </is>
      </c>
      <c r="D353" s="181" t="n">
        <v>46269</v>
      </c>
      <c r="E353" s="182" t="inlineStr">
        <is>
          <t>Công ty TNHH MTV URANUS</t>
        </is>
      </c>
      <c r="F353" s="278" t="inlineStr">
        <is>
          <t>'3502423734</t>
        </is>
      </c>
      <c r="G353" s="182" t="inlineStr">
        <is>
          <t>ĐIỆN MTMN T08-2026</t>
        </is>
      </c>
      <c r="H353" s="194" t="n">
        <v>231390020</v>
      </c>
      <c r="I353" s="180" t="n">
        <v>8</v>
      </c>
      <c r="J353" s="194" t="n">
        <v>18511202</v>
      </c>
      <c r="K353" s="182" t="inlineStr">
        <is>
          <t>CK</t>
        </is>
      </c>
      <c r="L353" s="182" t="inlineStr">
        <is>
          <t>GL</t>
        </is>
      </c>
      <c r="M353" s="278" t="inlineStr">
        <is>
          <t>'3175</t>
        </is>
      </c>
      <c r="N353" s="181" t="n">
        <v>46295</v>
      </c>
      <c r="O353" s="181" t="n">
        <v>46295</v>
      </c>
      <c r="P353" s="194" t="n">
        <v>249901222</v>
      </c>
      <c r="Q353" s="180" t="inlineStr">
        <is>
          <t>Năng lượng mặt trời</t>
        </is>
      </c>
      <c r="R353" s="180" t="inlineStr">
        <is>
          <t>THAOPTT.HCM.VTA</t>
        </is>
      </c>
      <c r="S353" s="182" t="inlineStr">
        <is>
          <t>Not Reversed</t>
        </is>
      </c>
      <c r="T353" s="57">
        <f>IF(OR(LEN(F353)=11,LEN(F353)=15),"Đ","SAI")</f>
        <v/>
      </c>
      <c r="U353" s="529">
        <f>ROUND(H353*I353%,0)-J353</f>
        <v/>
      </c>
      <c r="V353" s="55">
        <f>IF(Q353=$V$12,13313,13311)</f>
        <v/>
      </c>
    </row>
    <row r="354" ht="21.65" customHeight="1" s="344">
      <c r="A354" s="180" t="n">
        <v>337</v>
      </c>
      <c r="B354" s="182" t="inlineStr">
        <is>
          <t>1C26TCS</t>
        </is>
      </c>
      <c r="C354" s="278" t="inlineStr">
        <is>
          <t>'47</t>
        </is>
      </c>
      <c r="D354" s="181" t="n">
        <v>46269</v>
      </c>
      <c r="E354" s="182" t="inlineStr">
        <is>
          <t>Công Ty TNHH Can Sports Năng Lượng Xanh</t>
        </is>
      </c>
      <c r="F354" s="278" t="inlineStr">
        <is>
          <t>'0316473820</t>
        </is>
      </c>
      <c r="G354" s="182" t="inlineStr">
        <is>
          <t>ĐIỆN MTMN T08-2026</t>
        </is>
      </c>
      <c r="H354" s="194" t="n">
        <v>37890000</v>
      </c>
      <c r="I354" s="180" t="n">
        <v>8</v>
      </c>
      <c r="J354" s="194" t="n">
        <v>3031200</v>
      </c>
      <c r="K354" s="182" t="inlineStr">
        <is>
          <t>CK</t>
        </is>
      </c>
      <c r="L354" s="182" t="inlineStr">
        <is>
          <t>GL</t>
        </is>
      </c>
      <c r="M354" s="278" t="inlineStr">
        <is>
          <t>'3175</t>
        </is>
      </c>
      <c r="N354" s="181" t="n">
        <v>46295</v>
      </c>
      <c r="O354" s="181" t="n">
        <v>46295</v>
      </c>
      <c r="P354" s="194" t="n">
        <v>40921200</v>
      </c>
      <c r="Q354" s="180" t="inlineStr">
        <is>
          <t>Năng lượng mặt trời</t>
        </is>
      </c>
      <c r="R354" s="180" t="inlineStr">
        <is>
          <t>THAOPTT.HCM.VTA</t>
        </is>
      </c>
      <c r="S354" s="182" t="inlineStr">
        <is>
          <t>Not Reversed</t>
        </is>
      </c>
      <c r="T354" s="57">
        <f>IF(OR(LEN(F354)=11,LEN(F354)=15),"Đ","SAI")</f>
        <v/>
      </c>
      <c r="U354" s="529">
        <f>ROUND(H354*I354%,0)-J354</f>
        <v/>
      </c>
      <c r="V354" s="55">
        <f>IF(Q354=$V$12,13313,13311)</f>
        <v/>
      </c>
    </row>
    <row r="355" ht="21.65" customHeight="1" s="344">
      <c r="A355" s="180" t="n">
        <v>338</v>
      </c>
      <c r="B355" s="182" t="inlineStr">
        <is>
          <t>1C26TYY</t>
        </is>
      </c>
      <c r="C355" s="278" t="inlineStr">
        <is>
          <t>'47</t>
        </is>
      </c>
      <c r="D355" s="181" t="n">
        <v>46269</v>
      </c>
      <c r="E355" s="182" t="inlineStr">
        <is>
          <t>Công ty Cổ Phần Chí Ninh Năng Lượng Xanh</t>
        </is>
      </c>
      <c r="F355" s="278" t="inlineStr">
        <is>
          <t>'0316350191</t>
        </is>
      </c>
      <c r="G355" s="182" t="inlineStr">
        <is>
          <t>ĐIỆN MTMN T08-2026</t>
        </is>
      </c>
      <c r="H355" s="194" t="n">
        <v>236239940</v>
      </c>
      <c r="I355" s="180" t="n">
        <v>8</v>
      </c>
      <c r="J355" s="194" t="n">
        <v>18899195</v>
      </c>
      <c r="K355" s="182" t="inlineStr">
        <is>
          <t>CK</t>
        </is>
      </c>
      <c r="L355" s="182" t="inlineStr">
        <is>
          <t>GL</t>
        </is>
      </c>
      <c r="M355" s="278" t="inlineStr">
        <is>
          <t>'3175</t>
        </is>
      </c>
      <c r="N355" s="181" t="n">
        <v>46295</v>
      </c>
      <c r="O355" s="181" t="n">
        <v>46295</v>
      </c>
      <c r="P355" s="194" t="n">
        <v>255139135</v>
      </c>
      <c r="Q355" s="180" t="inlineStr">
        <is>
          <t>Năng lượng mặt trời</t>
        </is>
      </c>
      <c r="R355" s="180" t="inlineStr">
        <is>
          <t>THAOPTT.HCM.VTA</t>
        </is>
      </c>
      <c r="S355" s="182" t="inlineStr">
        <is>
          <t>Not Reversed</t>
        </is>
      </c>
      <c r="T355" s="57">
        <f>IF(OR(LEN(F355)=11,LEN(F355)=15),"Đ","SAI")</f>
        <v/>
      </c>
      <c r="U355" s="529">
        <f>ROUND(H355*I355%,0)-J355</f>
        <v/>
      </c>
      <c r="V355" s="55">
        <f>IF(Q355=$V$12,13313,13311)</f>
        <v/>
      </c>
    </row>
    <row r="356" ht="21.65" customHeight="1" s="344">
      <c r="A356" s="180" t="n">
        <v>339</v>
      </c>
      <c r="B356" s="182" t="inlineStr">
        <is>
          <t>1C26TNL</t>
        </is>
      </c>
      <c r="C356" s="278" t="inlineStr">
        <is>
          <t>'47</t>
        </is>
      </c>
      <c r="D356" s="181" t="n">
        <v>46269</v>
      </c>
      <c r="E356" s="182" t="inlineStr">
        <is>
          <t>Công ty Cổ Phần TECH SOUTH</t>
        </is>
      </c>
      <c r="F356" s="278" t="inlineStr">
        <is>
          <t>'3502395300</t>
        </is>
      </c>
      <c r="G356" s="182" t="inlineStr">
        <is>
          <t>ĐIỆN MTMN T08-2026</t>
        </is>
      </c>
      <c r="H356" s="194" t="n">
        <v>10106105</v>
      </c>
      <c r="I356" s="180" t="n">
        <v>8</v>
      </c>
      <c r="J356" s="194" t="n">
        <v>808488</v>
      </c>
      <c r="K356" s="182" t="inlineStr">
        <is>
          <t>CK</t>
        </is>
      </c>
      <c r="L356" s="182" t="inlineStr">
        <is>
          <t>GL</t>
        </is>
      </c>
      <c r="M356" s="278" t="inlineStr">
        <is>
          <t>'3175</t>
        </is>
      </c>
      <c r="N356" s="181" t="n">
        <v>46295</v>
      </c>
      <c r="O356" s="181" t="n">
        <v>46295</v>
      </c>
      <c r="P356" s="194" t="n">
        <v>10914593</v>
      </c>
      <c r="Q356" s="180" t="inlineStr">
        <is>
          <t>Năng lượng mặt trời</t>
        </is>
      </c>
      <c r="R356" s="180" t="inlineStr">
        <is>
          <t>THAOPTT.HCM.VTA</t>
        </is>
      </c>
      <c r="S356" s="182" t="inlineStr">
        <is>
          <t>Not Reversed</t>
        </is>
      </c>
      <c r="T356" s="57">
        <f>IF(OR(LEN(F356)=11,LEN(F356)=15),"Đ","SAI")</f>
        <v/>
      </c>
      <c r="U356" s="529">
        <f>ROUND(H356*I356%,0)-J356</f>
        <v/>
      </c>
      <c r="V356" s="55">
        <f>IF(Q356=$V$12,13313,13311)</f>
        <v/>
      </c>
    </row>
    <row r="357" ht="21.65" customHeight="1" s="344">
      <c r="A357" s="180" t="n">
        <v>340</v>
      </c>
      <c r="B357" s="182" t="inlineStr">
        <is>
          <t>1C26TDA</t>
        </is>
      </c>
      <c r="C357" s="278" t="inlineStr">
        <is>
          <t>'47</t>
        </is>
      </c>
      <c r="D357" s="181" t="n">
        <v>46269</v>
      </c>
      <c r="E357" s="182" t="inlineStr">
        <is>
          <t>Công Ty Cổ Phần Xây Lắp Dầu Khí Đông Á</t>
        </is>
      </c>
      <c r="F357" s="278" t="inlineStr">
        <is>
          <t>'3500732889</t>
        </is>
      </c>
      <c r="G357" s="182" t="inlineStr">
        <is>
          <t>ĐIỆN MTMN T08-2026</t>
        </is>
      </c>
      <c r="H357" s="194" t="n">
        <v>24672705</v>
      </c>
      <c r="I357" s="180" t="n">
        <v>8</v>
      </c>
      <c r="J357" s="194" t="n">
        <v>1973816</v>
      </c>
      <c r="K357" s="182" t="inlineStr">
        <is>
          <t>CK</t>
        </is>
      </c>
      <c r="L357" s="182" t="inlineStr">
        <is>
          <t>GL</t>
        </is>
      </c>
      <c r="M357" s="278" t="inlineStr">
        <is>
          <t>'3175</t>
        </is>
      </c>
      <c r="N357" s="181" t="n">
        <v>46295</v>
      </c>
      <c r="O357" s="181" t="n">
        <v>46295</v>
      </c>
      <c r="P357" s="194" t="n">
        <v>26646521</v>
      </c>
      <c r="Q357" s="180" t="inlineStr">
        <is>
          <t>Năng lượng mặt trời</t>
        </is>
      </c>
      <c r="R357" s="180" t="inlineStr">
        <is>
          <t>THAOPTT.HCM.VTA</t>
        </is>
      </c>
      <c r="S357" s="182" t="inlineStr">
        <is>
          <t>Not Reversed</t>
        </is>
      </c>
      <c r="T357" s="57">
        <f>IF(OR(LEN(F357)=11,LEN(F357)=15),"Đ","SAI")</f>
        <v/>
      </c>
      <c r="U357" s="529">
        <f>ROUND(H357*I357%,0)-J357</f>
        <v/>
      </c>
      <c r="V357" s="55">
        <f>IF(Q357=$V$12,13313,13311)</f>
        <v/>
      </c>
    </row>
    <row r="358" ht="21.65" customHeight="1" s="344">
      <c r="A358" s="180" t="n">
        <v>341</v>
      </c>
      <c r="B358" s="182" t="inlineStr">
        <is>
          <t>1C26TAB</t>
        </is>
      </c>
      <c r="C358" s="278" t="inlineStr">
        <is>
          <t>'48</t>
        </is>
      </c>
      <c r="D358" s="181" t="n">
        <v>46269</v>
      </c>
      <c r="E358" s="182" t="inlineStr">
        <is>
          <t>Công ty TNHH Xây Dựng Triều Phát</t>
        </is>
      </c>
      <c r="F358" s="278" t="inlineStr">
        <is>
          <t>'3500488687</t>
        </is>
      </c>
      <c r="G358" s="182" t="inlineStr">
        <is>
          <t>ĐIỆN MTMN T08-2026</t>
        </is>
      </c>
      <c r="H358" s="194" t="n">
        <v>229964935</v>
      </c>
      <c r="I358" s="180" t="n">
        <v>8</v>
      </c>
      <c r="J358" s="194" t="n">
        <v>18397195</v>
      </c>
      <c r="K358" s="182" t="inlineStr">
        <is>
          <t>CK</t>
        </is>
      </c>
      <c r="L358" s="182" t="inlineStr">
        <is>
          <t>GL</t>
        </is>
      </c>
      <c r="M358" s="278" t="inlineStr">
        <is>
          <t>'3175</t>
        </is>
      </c>
      <c r="N358" s="181" t="n">
        <v>46295</v>
      </c>
      <c r="O358" s="181" t="n">
        <v>46295</v>
      </c>
      <c r="P358" s="194" t="n">
        <v>248362130</v>
      </c>
      <c r="Q358" s="180" t="inlineStr">
        <is>
          <t>Năng lượng mặt trời</t>
        </is>
      </c>
      <c r="R358" s="180" t="inlineStr">
        <is>
          <t>THAOPTT.HCM.VTA</t>
        </is>
      </c>
      <c r="S358" s="182" t="inlineStr">
        <is>
          <t>Not Reversed</t>
        </is>
      </c>
      <c r="T358" s="57">
        <f>IF(OR(LEN(F358)=11,LEN(F358)=15),"Đ","SAI")</f>
        <v/>
      </c>
      <c r="U358" s="529">
        <f>ROUND(H358*I358%,0)-J358</f>
        <v/>
      </c>
      <c r="V358" s="55">
        <f>IF(Q358=$V$12,13313,13311)</f>
        <v/>
      </c>
    </row>
    <row r="359" ht="21.65" customHeight="1" s="344">
      <c r="A359" s="180" t="n">
        <v>342</v>
      </c>
      <c r="B359" s="182" t="inlineStr">
        <is>
          <t>1C26TYY</t>
        </is>
      </c>
      <c r="C359" s="278" t="inlineStr">
        <is>
          <t>'48</t>
        </is>
      </c>
      <c r="D359" s="181" t="n">
        <v>46269</v>
      </c>
      <c r="E359" s="182" t="inlineStr">
        <is>
          <t>Công ty Cổ Phần Đầu Tư Xây Dựng Đại Dũng</t>
        </is>
      </c>
      <c r="F359" s="278" t="inlineStr">
        <is>
          <t>'3502281889</t>
        </is>
      </c>
      <c r="G359" s="182" t="inlineStr">
        <is>
          <t>ĐIỆN MTMN T08-2026</t>
        </is>
      </c>
      <c r="H359" s="194" t="n">
        <v>183562315</v>
      </c>
      <c r="I359" s="180" t="n">
        <v>8</v>
      </c>
      <c r="J359" s="194" t="n">
        <v>14684985</v>
      </c>
      <c r="K359" s="182" t="inlineStr">
        <is>
          <t>CK</t>
        </is>
      </c>
      <c r="L359" s="182" t="inlineStr">
        <is>
          <t>GL</t>
        </is>
      </c>
      <c r="M359" s="278" t="inlineStr">
        <is>
          <t>'3175</t>
        </is>
      </c>
      <c r="N359" s="181" t="n">
        <v>46295</v>
      </c>
      <c r="O359" s="181" t="n">
        <v>46295</v>
      </c>
      <c r="P359" s="194" t="n">
        <v>198247300</v>
      </c>
      <c r="Q359" s="180" t="inlineStr">
        <is>
          <t>Năng lượng mặt trời</t>
        </is>
      </c>
      <c r="R359" s="180" t="inlineStr">
        <is>
          <t>THAOPTT.HCM.VTA</t>
        </is>
      </c>
      <c r="S359" s="182" t="inlineStr">
        <is>
          <t>Not Reversed</t>
        </is>
      </c>
      <c r="T359" s="57">
        <f>IF(OR(LEN(F359)=11,LEN(F359)=15),"Đ","SAI")</f>
        <v/>
      </c>
      <c r="U359" s="529">
        <f>ROUND(H359*I359%,0)-J359</f>
        <v/>
      </c>
      <c r="V359" s="55">
        <f>IF(Q359=$V$12,13313,13311)</f>
        <v/>
      </c>
    </row>
    <row r="360" ht="21.65" customHeight="1" s="344">
      <c r="A360" s="180" t="n">
        <v>343</v>
      </c>
      <c r="B360" s="182" t="inlineStr">
        <is>
          <t>1C26TYY</t>
        </is>
      </c>
      <c r="C360" s="278" t="inlineStr">
        <is>
          <t>'48</t>
        </is>
      </c>
      <c r="D360" s="181" t="n">
        <v>46269</v>
      </c>
      <c r="E360" s="182" t="inlineStr">
        <is>
          <t>Công ty Cổ Phần Chí Ninh Năng Lượng Xanh</t>
        </is>
      </c>
      <c r="F360" s="278" t="inlineStr">
        <is>
          <t>'0316350191</t>
        </is>
      </c>
      <c r="G360" s="182" t="inlineStr">
        <is>
          <t>ĐIỆN MTMN T08-2026</t>
        </is>
      </c>
      <c r="H360" s="194" t="n">
        <v>241906600</v>
      </c>
      <c r="I360" s="180" t="n">
        <v>8</v>
      </c>
      <c r="J360" s="194" t="n">
        <v>19352528</v>
      </c>
      <c r="K360" s="182" t="inlineStr">
        <is>
          <t>CK</t>
        </is>
      </c>
      <c r="L360" s="182" t="inlineStr">
        <is>
          <t>GL</t>
        </is>
      </c>
      <c r="M360" s="278" t="inlineStr">
        <is>
          <t>'3175</t>
        </is>
      </c>
      <c r="N360" s="181" t="n">
        <v>46295</v>
      </c>
      <c r="O360" s="181" t="n">
        <v>46295</v>
      </c>
      <c r="P360" s="194" t="n">
        <v>261259128</v>
      </c>
      <c r="Q360" s="180" t="inlineStr">
        <is>
          <t>Năng lượng mặt trời</t>
        </is>
      </c>
      <c r="R360" s="180" t="inlineStr">
        <is>
          <t>THAOPTT.HCM.VTA</t>
        </is>
      </c>
      <c r="S360" s="182" t="inlineStr">
        <is>
          <t>Not Reversed</t>
        </is>
      </c>
      <c r="T360" s="57">
        <f>IF(OR(LEN(F360)=11,LEN(F360)=15),"Đ","SAI")</f>
        <v/>
      </c>
      <c r="U360" s="529">
        <f>ROUND(H360*I360%,0)-J360</f>
        <v/>
      </c>
      <c r="V360" s="55">
        <f>IF(Q360=$V$12,13313,13311)</f>
        <v/>
      </c>
    </row>
    <row r="361" ht="21.65" customHeight="1" s="344">
      <c r="A361" s="180" t="n">
        <v>344</v>
      </c>
      <c r="B361" s="182" t="inlineStr">
        <is>
          <t>1C26TYY</t>
        </is>
      </c>
      <c r="C361" s="278" t="inlineStr">
        <is>
          <t>'49</t>
        </is>
      </c>
      <c r="D361" s="181" t="n">
        <v>46269</v>
      </c>
      <c r="E361" s="182" t="inlineStr">
        <is>
          <t>Công ty Cổ Phần Chí Ninh Năng Lượng Xanh</t>
        </is>
      </c>
      <c r="F361" s="278" t="inlineStr">
        <is>
          <t>'0316350191</t>
        </is>
      </c>
      <c r="G361" s="182" t="inlineStr">
        <is>
          <t>ĐIỆN MTMN T08-2026</t>
        </is>
      </c>
      <c r="H361" s="194" t="n">
        <v>245992405</v>
      </c>
      <c r="I361" s="180" t="n">
        <v>8</v>
      </c>
      <c r="J361" s="194" t="n">
        <v>19679392</v>
      </c>
      <c r="K361" s="182" t="inlineStr">
        <is>
          <t>CK</t>
        </is>
      </c>
      <c r="L361" s="182" t="inlineStr">
        <is>
          <t>GL</t>
        </is>
      </c>
      <c r="M361" s="278" t="inlineStr">
        <is>
          <t>'3175</t>
        </is>
      </c>
      <c r="N361" s="181" t="n">
        <v>46295</v>
      </c>
      <c r="O361" s="181" t="n">
        <v>46295</v>
      </c>
      <c r="P361" s="194" t="n">
        <v>265671797</v>
      </c>
      <c r="Q361" s="180" t="inlineStr">
        <is>
          <t>Năng lượng mặt trời</t>
        </is>
      </c>
      <c r="R361" s="180" t="inlineStr">
        <is>
          <t>THAOPTT.HCM.VTA</t>
        </is>
      </c>
      <c r="S361" s="182" t="inlineStr">
        <is>
          <t>Not Reversed</t>
        </is>
      </c>
      <c r="T361" s="57">
        <f>IF(OR(LEN(F361)=11,LEN(F361)=15),"Đ","SAI")</f>
        <v/>
      </c>
      <c r="U361" s="529">
        <f>ROUND(H361*I361%,0)-J361</f>
        <v/>
      </c>
      <c r="V361" s="55">
        <f>IF(Q361=$V$12,13313,13311)</f>
        <v/>
      </c>
    </row>
    <row r="362" ht="21.65" customHeight="1" s="344">
      <c r="A362" s="180" t="n">
        <v>345</v>
      </c>
      <c r="B362" s="182" t="inlineStr">
        <is>
          <t>1C26TYY</t>
        </is>
      </c>
      <c r="C362" s="278" t="inlineStr">
        <is>
          <t>'50</t>
        </is>
      </c>
      <c r="D362" s="181" t="n">
        <v>46269</v>
      </c>
      <c r="E362" s="182" t="inlineStr">
        <is>
          <t>Công ty Cổ Phần Chí Ninh Năng Lượng Xanh</t>
        </is>
      </c>
      <c r="F362" s="278" t="inlineStr">
        <is>
          <t>'0316350191</t>
        </is>
      </c>
      <c r="G362" s="182" t="inlineStr">
        <is>
          <t>ĐIỆN MTMN T08-2026</t>
        </is>
      </c>
      <c r="H362" s="194" t="n">
        <v>242411800</v>
      </c>
      <c r="I362" s="180" t="n">
        <v>8</v>
      </c>
      <c r="J362" s="194" t="n">
        <v>19392944</v>
      </c>
      <c r="K362" s="182" t="inlineStr">
        <is>
          <t>CK</t>
        </is>
      </c>
      <c r="L362" s="182" t="inlineStr">
        <is>
          <t>GL</t>
        </is>
      </c>
      <c r="M362" s="278" t="inlineStr">
        <is>
          <t>'3175</t>
        </is>
      </c>
      <c r="N362" s="181" t="n">
        <v>46295</v>
      </c>
      <c r="O362" s="181" t="n">
        <v>46295</v>
      </c>
      <c r="P362" s="194" t="n">
        <v>261804744</v>
      </c>
      <c r="Q362" s="180" t="inlineStr">
        <is>
          <t>Năng lượng mặt trời</t>
        </is>
      </c>
      <c r="R362" s="180" t="inlineStr">
        <is>
          <t>THAOPTT.HCM.VTA</t>
        </is>
      </c>
      <c r="S362" s="182" t="inlineStr">
        <is>
          <t>Not Reversed</t>
        </is>
      </c>
      <c r="T362" s="57">
        <f>IF(OR(LEN(F362)=11,LEN(F362)=15),"Đ","SAI")</f>
        <v/>
      </c>
      <c r="U362" s="529">
        <f>ROUND(H362*I362%,0)-J362</f>
        <v/>
      </c>
      <c r="V362" s="55">
        <f>IF(Q362=$V$12,13313,13311)</f>
        <v/>
      </c>
    </row>
    <row r="363" ht="21.65" customHeight="1" s="344">
      <c r="A363" s="180" t="n">
        <v>346</v>
      </c>
      <c r="B363" s="182" t="inlineStr">
        <is>
          <t>1C26TSS</t>
        </is>
      </c>
      <c r="C363" s="278" t="inlineStr">
        <is>
          <t>'53</t>
        </is>
      </c>
      <c r="D363" s="181" t="n">
        <v>46269</v>
      </c>
      <c r="E363" s="182" t="inlineStr">
        <is>
          <t>Công ty TNHH Điện Mặt Trời Tân Bình</t>
        </is>
      </c>
      <c r="F363" s="278" t="inlineStr">
        <is>
          <t>'0316426517</t>
        </is>
      </c>
      <c r="G363" s="182" t="inlineStr">
        <is>
          <t>ĐIỆN MTMN T08-2026</t>
        </is>
      </c>
      <c r="H363" s="194" t="n">
        <v>236551480</v>
      </c>
      <c r="I363" s="180" t="n">
        <v>8</v>
      </c>
      <c r="J363" s="194" t="n">
        <v>18924118</v>
      </c>
      <c r="K363" s="182" t="inlineStr">
        <is>
          <t>CK</t>
        </is>
      </c>
      <c r="L363" s="182" t="inlineStr">
        <is>
          <t>GL</t>
        </is>
      </c>
      <c r="M363" s="278" t="inlineStr">
        <is>
          <t>'3175</t>
        </is>
      </c>
      <c r="N363" s="181" t="n">
        <v>46295</v>
      </c>
      <c r="O363" s="181" t="n">
        <v>46295</v>
      </c>
      <c r="P363" s="194" t="n">
        <v>255475598</v>
      </c>
      <c r="Q363" s="180" t="inlineStr">
        <is>
          <t>Năng lượng mặt trời</t>
        </is>
      </c>
      <c r="R363" s="180" t="inlineStr">
        <is>
          <t>THAOPTT.HCM.VTA</t>
        </is>
      </c>
      <c r="S363" s="182" t="inlineStr">
        <is>
          <t>Not Reversed</t>
        </is>
      </c>
      <c r="T363" s="57">
        <f>IF(OR(LEN(F363)=11,LEN(F363)=15),"Đ","SAI")</f>
        <v/>
      </c>
      <c r="U363" s="529">
        <f>ROUND(H363*I363%,0)-J363</f>
        <v/>
      </c>
      <c r="V363" s="55">
        <f>IF(Q363=$V$12,13313,13311)</f>
        <v/>
      </c>
    </row>
    <row r="364" ht="21.65" customHeight="1" s="344">
      <c r="A364" s="180" t="n">
        <v>347</v>
      </c>
      <c r="B364" s="182" t="inlineStr">
        <is>
          <t>1C26TSB</t>
        </is>
      </c>
      <c r="C364" s="278" t="inlineStr">
        <is>
          <t>'531</t>
        </is>
      </c>
      <c r="D364" s="181" t="n">
        <v>46269</v>
      </c>
      <c r="E364" s="182" t="inlineStr">
        <is>
          <t>Chi nhánh Công ty cổ phần Dầu khí Thái Bình Dương - cửa hàng số 4</t>
        </is>
      </c>
      <c r="F364" s="278" t="inlineStr">
        <is>
          <t>'3500816070</t>
        </is>
      </c>
      <c r="G364" s="182" t="inlineStr">
        <is>
          <t>ĐIỆN MTMN T08-2026</t>
        </is>
      </c>
      <c r="H364" s="194" t="n">
        <v>945145</v>
      </c>
      <c r="I364" s="180" t="n">
        <v>8</v>
      </c>
      <c r="J364" s="194" t="n">
        <v>75612</v>
      </c>
      <c r="K364" s="182" t="inlineStr">
        <is>
          <t>CK</t>
        </is>
      </c>
      <c r="L364" s="182" t="inlineStr">
        <is>
          <t>GL</t>
        </is>
      </c>
      <c r="M364" s="278" t="inlineStr">
        <is>
          <t>'3175</t>
        </is>
      </c>
      <c r="N364" s="181" t="n">
        <v>46295</v>
      </c>
      <c r="O364" s="181" t="n">
        <v>46295</v>
      </c>
      <c r="P364" s="194" t="n">
        <v>1020757</v>
      </c>
      <c r="Q364" s="180" t="inlineStr">
        <is>
          <t>Năng lượng mặt trời</t>
        </is>
      </c>
      <c r="R364" s="180" t="inlineStr">
        <is>
          <t>THAOPTT.HCM.VTA</t>
        </is>
      </c>
      <c r="S364" s="182" t="inlineStr">
        <is>
          <t>Not Reversed</t>
        </is>
      </c>
      <c r="T364" s="57">
        <f>IF(OR(LEN(F364)=11,LEN(F364)=15),"Đ","SAI")</f>
        <v/>
      </c>
      <c r="U364" s="529">
        <f>ROUND(H364*I364%,0)-J364</f>
        <v/>
      </c>
      <c r="V364" s="55">
        <f>IF(Q364=$V$12,13313,13311)</f>
        <v/>
      </c>
    </row>
    <row r="365" ht="21.65" customHeight="1" s="344">
      <c r="A365" s="180" t="n">
        <v>348</v>
      </c>
      <c r="B365" s="182" t="inlineStr">
        <is>
          <t>1C26TSS</t>
        </is>
      </c>
      <c r="C365" s="278" t="inlineStr">
        <is>
          <t>'54</t>
        </is>
      </c>
      <c r="D365" s="181" t="n">
        <v>46269</v>
      </c>
      <c r="E365" s="182" t="inlineStr">
        <is>
          <t>Công ty TNHH Điện Mặt Trời Tân Bình</t>
        </is>
      </c>
      <c r="F365" s="278" t="inlineStr">
        <is>
          <t>'0316426517</t>
        </is>
      </c>
      <c r="G365" s="182" t="inlineStr">
        <is>
          <t>ĐIỆN MTMN T08-2026</t>
        </is>
      </c>
      <c r="H365" s="194" t="n">
        <v>234421220</v>
      </c>
      <c r="I365" s="180" t="n">
        <v>8</v>
      </c>
      <c r="J365" s="194" t="n">
        <v>18753698</v>
      </c>
      <c r="K365" s="182" t="inlineStr">
        <is>
          <t>CK</t>
        </is>
      </c>
      <c r="L365" s="182" t="inlineStr">
        <is>
          <t>GL</t>
        </is>
      </c>
      <c r="M365" s="278" t="inlineStr">
        <is>
          <t>'3175</t>
        </is>
      </c>
      <c r="N365" s="181" t="n">
        <v>46295</v>
      </c>
      <c r="O365" s="181" t="n">
        <v>46295</v>
      </c>
      <c r="P365" s="194" t="n">
        <v>253174918</v>
      </c>
      <c r="Q365" s="180" t="inlineStr">
        <is>
          <t>Năng lượng mặt trời</t>
        </is>
      </c>
      <c r="R365" s="180" t="inlineStr">
        <is>
          <t>THAOPTT.HCM.VTA</t>
        </is>
      </c>
      <c r="S365" s="182" t="inlineStr">
        <is>
          <t>Not Reversed</t>
        </is>
      </c>
      <c r="T365" s="57">
        <f>IF(OR(LEN(F365)=11,LEN(F365)=15),"Đ","SAI")</f>
        <v/>
      </c>
      <c r="U365" s="529">
        <f>ROUND(H365*I365%,0)-J365</f>
        <v/>
      </c>
      <c r="V365" s="55">
        <f>IF(Q365=$V$12,13313,13311)</f>
        <v/>
      </c>
    </row>
    <row r="366" ht="21.65" customHeight="1" s="344">
      <c r="A366" s="180" t="n">
        <v>349</v>
      </c>
      <c r="B366" s="182" t="inlineStr">
        <is>
          <t>1C26TVT</t>
        </is>
      </c>
      <c r="C366" s="278" t="inlineStr">
        <is>
          <t>'54</t>
        </is>
      </c>
      <c r="D366" s="181" t="n">
        <v>46269</v>
      </c>
      <c r="E366" s="182" t="inlineStr">
        <is>
          <t>Công ty TNHH Điện Năng Lượng VT</t>
        </is>
      </c>
      <c r="F366" s="278" t="inlineStr">
        <is>
          <t>'3502426090</t>
        </is>
      </c>
      <c r="G366" s="182" t="inlineStr">
        <is>
          <t>ĐIỆN MTMN T08-2026</t>
        </is>
      </c>
      <c r="H366" s="194" t="n">
        <v>103246040</v>
      </c>
      <c r="I366" s="180" t="n">
        <v>8</v>
      </c>
      <c r="J366" s="194" t="n">
        <v>8259683</v>
      </c>
      <c r="K366" s="182" t="inlineStr">
        <is>
          <t>CK</t>
        </is>
      </c>
      <c r="L366" s="182" t="inlineStr">
        <is>
          <t>GL</t>
        </is>
      </c>
      <c r="M366" s="278" t="inlineStr">
        <is>
          <t>'3175</t>
        </is>
      </c>
      <c r="N366" s="181" t="n">
        <v>46295</v>
      </c>
      <c r="O366" s="181" t="n">
        <v>46295</v>
      </c>
      <c r="P366" s="194" t="n">
        <v>111505723</v>
      </c>
      <c r="Q366" s="180" t="inlineStr">
        <is>
          <t>Năng lượng mặt trời</t>
        </is>
      </c>
      <c r="R366" s="180" t="inlineStr">
        <is>
          <t>THAOPTT.HCM.VTA</t>
        </is>
      </c>
      <c r="S366" s="182" t="inlineStr">
        <is>
          <t>Not Reversed</t>
        </is>
      </c>
      <c r="T366" s="57">
        <f>IF(OR(LEN(F366)=11,LEN(F366)=15),"Đ","SAI")</f>
        <v/>
      </c>
      <c r="U366" s="529">
        <f>ROUND(H366*I366%,0)-J366</f>
        <v/>
      </c>
      <c r="V366" s="55">
        <f>IF(Q366=$V$12,13313,13311)</f>
        <v/>
      </c>
    </row>
    <row r="367" ht="21.65" customHeight="1" s="344">
      <c r="A367" s="180" t="n">
        <v>350</v>
      </c>
      <c r="B367" s="182" t="inlineStr">
        <is>
          <t>1C26TSC</t>
        </is>
      </c>
      <c r="C367" s="278" t="inlineStr">
        <is>
          <t>'55</t>
        </is>
      </c>
      <c r="D367" s="181" t="n">
        <v>46269</v>
      </c>
      <c r="E367" s="182" t="inlineStr">
        <is>
          <t>Công ty Cổ Phần INTERSOLAR</t>
        </is>
      </c>
      <c r="F367" s="278" t="inlineStr">
        <is>
          <t>'0315939812</t>
        </is>
      </c>
      <c r="G367" s="182" t="inlineStr">
        <is>
          <t>ĐIỆN MTMN T08-2026</t>
        </is>
      </c>
      <c r="H367" s="194" t="n">
        <v>147514190</v>
      </c>
      <c r="I367" s="180" t="n">
        <v>8</v>
      </c>
      <c r="J367" s="194" t="n">
        <v>11801135</v>
      </c>
      <c r="K367" s="182" t="inlineStr">
        <is>
          <t>CK</t>
        </is>
      </c>
      <c r="L367" s="182" t="inlineStr">
        <is>
          <t>GL</t>
        </is>
      </c>
      <c r="M367" s="278" t="inlineStr">
        <is>
          <t>'3175</t>
        </is>
      </c>
      <c r="N367" s="181" t="n">
        <v>46295</v>
      </c>
      <c r="O367" s="181" t="n">
        <v>46295</v>
      </c>
      <c r="P367" s="194" t="n">
        <v>159315325</v>
      </c>
      <c r="Q367" s="180" t="inlineStr">
        <is>
          <t>Năng lượng mặt trời</t>
        </is>
      </c>
      <c r="R367" s="180" t="inlineStr">
        <is>
          <t>THAOPTT.HCM.VTA</t>
        </is>
      </c>
      <c r="S367" s="182" t="inlineStr">
        <is>
          <t>Not Reversed</t>
        </is>
      </c>
      <c r="T367" s="57">
        <f>IF(OR(LEN(F367)=11,LEN(F367)=15),"Đ","SAI")</f>
        <v/>
      </c>
      <c r="U367" s="529">
        <f>ROUND(H367*I367%,0)-J367</f>
        <v/>
      </c>
      <c r="V367" s="55">
        <f>IF(Q367=$V$12,13313,13311)</f>
        <v/>
      </c>
    </row>
    <row r="368" ht="21.65" customHeight="1" s="344">
      <c r="A368" s="180" t="n">
        <v>351</v>
      </c>
      <c r="B368" s="182" t="inlineStr">
        <is>
          <t>1C26TAB</t>
        </is>
      </c>
      <c r="C368" s="278" t="inlineStr">
        <is>
          <t>'580</t>
        </is>
      </c>
      <c r="D368" s="181" t="n">
        <v>46269</v>
      </c>
      <c r="E368" s="182" t="inlineStr">
        <is>
          <t>Công Ty TNHH Đại Lý Tàu Biển Hải Nam</t>
        </is>
      </c>
      <c r="F368" s="278" t="inlineStr">
        <is>
          <t>'3500545991</t>
        </is>
      </c>
      <c r="G368" s="182" t="inlineStr">
        <is>
          <t>ĐIỆN MTMN T08-2026</t>
        </is>
      </c>
      <c r="H368" s="194" t="n">
        <v>1161960</v>
      </c>
      <c r="I368" s="180" t="n">
        <v>8</v>
      </c>
      <c r="J368" s="194" t="n">
        <v>92957</v>
      </c>
      <c r="K368" s="182" t="inlineStr">
        <is>
          <t>CK</t>
        </is>
      </c>
      <c r="L368" s="182" t="inlineStr">
        <is>
          <t>GL</t>
        </is>
      </c>
      <c r="M368" s="278" t="inlineStr">
        <is>
          <t>'3175</t>
        </is>
      </c>
      <c r="N368" s="181" t="n">
        <v>46295</v>
      </c>
      <c r="O368" s="181" t="n">
        <v>46295</v>
      </c>
      <c r="P368" s="194" t="n">
        <v>1254917</v>
      </c>
      <c r="Q368" s="180" t="inlineStr">
        <is>
          <t>Năng lượng mặt trời</t>
        </is>
      </c>
      <c r="R368" s="180" t="inlineStr">
        <is>
          <t>THAOPTT.HCM.VTA</t>
        </is>
      </c>
      <c r="S368" s="182" t="inlineStr">
        <is>
          <t>Not Reversed</t>
        </is>
      </c>
      <c r="T368" s="57">
        <f>IF(OR(LEN(F368)=11,LEN(F368)=15),"Đ","SAI")</f>
        <v/>
      </c>
      <c r="U368" s="529">
        <f>ROUND(H368*I368%,0)-J368</f>
        <v/>
      </c>
      <c r="V368" s="55">
        <f>IF(Q368=$V$12,13313,13311)</f>
        <v/>
      </c>
    </row>
    <row r="369" ht="21.65" customHeight="1" s="344">
      <c r="A369" s="180" t="n">
        <v>352</v>
      </c>
      <c r="B369" s="182" t="inlineStr">
        <is>
          <t>1C26TMS</t>
        </is>
      </c>
      <c r="C369" s="278" t="inlineStr">
        <is>
          <t>'59</t>
        </is>
      </c>
      <c r="D369" s="181" t="n">
        <v>46269</v>
      </c>
      <c r="E369" s="182" t="inlineStr">
        <is>
          <t>Công ty TNHH Đầu Tư Phát Triển Mimosa</t>
        </is>
      </c>
      <c r="F369" s="278" t="inlineStr">
        <is>
          <t>'0316294652</t>
        </is>
      </c>
      <c r="G369" s="182" t="inlineStr">
        <is>
          <t>ĐIỆN MTMN T08-2026</t>
        </is>
      </c>
      <c r="H369" s="194" t="n">
        <v>133861160</v>
      </c>
      <c r="I369" s="180" t="n">
        <v>8</v>
      </c>
      <c r="J369" s="194" t="n">
        <v>10708893</v>
      </c>
      <c r="K369" s="182" t="inlineStr">
        <is>
          <t>CK</t>
        </is>
      </c>
      <c r="L369" s="182" t="inlineStr">
        <is>
          <t>GL</t>
        </is>
      </c>
      <c r="M369" s="278" t="inlineStr">
        <is>
          <t>'3175</t>
        </is>
      </c>
      <c r="N369" s="181" t="n">
        <v>46295</v>
      </c>
      <c r="O369" s="181" t="n">
        <v>46295</v>
      </c>
      <c r="P369" s="194" t="n">
        <v>144570053</v>
      </c>
      <c r="Q369" s="180" t="inlineStr">
        <is>
          <t>Năng lượng mặt trời</t>
        </is>
      </c>
      <c r="R369" s="180" t="inlineStr">
        <is>
          <t>THAOPTT.HCM.VTA</t>
        </is>
      </c>
      <c r="S369" s="182" t="inlineStr">
        <is>
          <t>Not Reversed</t>
        </is>
      </c>
      <c r="T369" s="57">
        <f>IF(OR(LEN(F369)=11,LEN(F369)=15),"Đ","SAI")</f>
        <v/>
      </c>
      <c r="U369" s="529">
        <f>ROUND(H369*I369%,0)-J369</f>
        <v/>
      </c>
      <c r="V369" s="55">
        <f>IF(Q369=$V$12,13313,13311)</f>
        <v/>
      </c>
    </row>
    <row r="370" ht="21.65" customHeight="1" s="344">
      <c r="A370" s="180" t="n">
        <v>353</v>
      </c>
      <c r="B370" s="182" t="inlineStr">
        <is>
          <t>1C26TYY</t>
        </is>
      </c>
      <c r="C370" s="278" t="inlineStr">
        <is>
          <t>'656</t>
        </is>
      </c>
      <c r="D370" s="181" t="n">
        <v>46269</v>
      </c>
      <c r="E370" s="182" t="inlineStr">
        <is>
          <t>Công ty Trách Nhiệm Hữu Hạn Lê Chính</t>
        </is>
      </c>
      <c r="F370" s="278" t="inlineStr">
        <is>
          <t>'3501495711</t>
        </is>
      </c>
      <c r="G370" s="182" t="inlineStr">
        <is>
          <t>ĐIỆN MTMN T06-2026</t>
        </is>
      </c>
      <c r="H370" s="194" t="n">
        <v>2105</v>
      </c>
      <c r="I370" s="180" t="n">
        <v>8</v>
      </c>
      <c r="J370" s="194" t="n">
        <v>168</v>
      </c>
      <c r="K370" s="182" t="inlineStr">
        <is>
          <t>CK</t>
        </is>
      </c>
      <c r="L370" s="182" t="inlineStr">
        <is>
          <t>GL</t>
        </is>
      </c>
      <c r="M370" s="278" t="inlineStr">
        <is>
          <t>'3175</t>
        </is>
      </c>
      <c r="N370" s="181" t="n">
        <v>46295</v>
      </c>
      <c r="O370" s="181" t="n">
        <v>46295</v>
      </c>
      <c r="P370" s="194" t="n">
        <v>2273</v>
      </c>
      <c r="Q370" s="180" t="inlineStr">
        <is>
          <t>Năng lượng mặt trời</t>
        </is>
      </c>
      <c r="R370" s="180" t="inlineStr">
        <is>
          <t>THAOPTT.HCM.VTA</t>
        </is>
      </c>
      <c r="S370" s="182" t="inlineStr">
        <is>
          <t>Not Reversed</t>
        </is>
      </c>
      <c r="T370" s="57">
        <f>IF(OR(LEN(F370)=11,LEN(F370)=15),"Đ","SAI")</f>
        <v/>
      </c>
      <c r="U370" s="529">
        <f>ROUND(H370*I370%,0)-J370</f>
        <v/>
      </c>
      <c r="V370" s="55">
        <f>IF(Q370=$V$12,13313,13311)</f>
        <v/>
      </c>
    </row>
    <row r="371" ht="21.65" customHeight="1" s="344">
      <c r="A371" s="180" t="n">
        <v>354</v>
      </c>
      <c r="B371" s="182" t="inlineStr">
        <is>
          <t>1C26TYY</t>
        </is>
      </c>
      <c r="C371" s="278" t="inlineStr">
        <is>
          <t>'657</t>
        </is>
      </c>
      <c r="D371" s="181" t="n">
        <v>46269</v>
      </c>
      <c r="E371" s="182" t="inlineStr">
        <is>
          <t>Công ty Trách Nhiệm Hữu Hạn Lê Chính</t>
        </is>
      </c>
      <c r="F371" s="278" t="inlineStr">
        <is>
          <t>'3501495711</t>
        </is>
      </c>
      <c r="G371" s="182" t="inlineStr">
        <is>
          <t>ĐIỆN MTMN T07-2026</t>
        </is>
      </c>
      <c r="H371" s="194" t="n">
        <v>6315</v>
      </c>
      <c r="I371" s="180" t="n">
        <v>8</v>
      </c>
      <c r="J371" s="194" t="n">
        <v>505</v>
      </c>
      <c r="K371" s="182" t="inlineStr">
        <is>
          <t>CK</t>
        </is>
      </c>
      <c r="L371" s="182" t="inlineStr">
        <is>
          <t>GL</t>
        </is>
      </c>
      <c r="M371" s="278" t="inlineStr">
        <is>
          <t>'3175</t>
        </is>
      </c>
      <c r="N371" s="181" t="n">
        <v>46295</v>
      </c>
      <c r="O371" s="181" t="n">
        <v>46295</v>
      </c>
      <c r="P371" s="194" t="n">
        <v>6820</v>
      </c>
      <c r="Q371" s="180" t="inlineStr">
        <is>
          <t>Năng lượng mặt trời</t>
        </is>
      </c>
      <c r="R371" s="180" t="inlineStr">
        <is>
          <t>THAOPTT.HCM.VTA</t>
        </is>
      </c>
      <c r="S371" s="182" t="inlineStr">
        <is>
          <t>Not Reversed</t>
        </is>
      </c>
      <c r="T371" s="57">
        <f>IF(OR(LEN(F371)=11,LEN(F371)=15),"Đ","SAI")</f>
        <v/>
      </c>
      <c r="U371" s="529">
        <f>ROUND(H371*I371%,0)-J371</f>
        <v/>
      </c>
      <c r="V371" s="55">
        <f>IF(Q371=$V$12,13313,13311)</f>
        <v/>
      </c>
    </row>
    <row r="372" ht="21.65" customHeight="1" s="344">
      <c r="A372" s="180" t="n">
        <v>355</v>
      </c>
      <c r="B372" s="182" t="inlineStr">
        <is>
          <t>1C26TYY</t>
        </is>
      </c>
      <c r="C372" s="278" t="inlineStr">
        <is>
          <t>'658</t>
        </is>
      </c>
      <c r="D372" s="181" t="n">
        <v>46269</v>
      </c>
      <c r="E372" s="182" t="inlineStr">
        <is>
          <t>Công ty Trách Nhiệm Hữu Hạn Lê Chính</t>
        </is>
      </c>
      <c r="F372" s="278" t="inlineStr">
        <is>
          <t>'3501495711</t>
        </is>
      </c>
      <c r="G372" s="182" t="inlineStr">
        <is>
          <t>ĐIỆN MTMN T08-2026</t>
        </is>
      </c>
      <c r="H372" s="194" t="n">
        <v>6315</v>
      </c>
      <c r="I372" s="180" t="n">
        <v>8</v>
      </c>
      <c r="J372" s="194" t="n">
        <v>505</v>
      </c>
      <c r="K372" s="182" t="inlineStr">
        <is>
          <t>CK</t>
        </is>
      </c>
      <c r="L372" s="182" t="inlineStr">
        <is>
          <t>GL</t>
        </is>
      </c>
      <c r="M372" s="278" t="inlineStr">
        <is>
          <t>'3175</t>
        </is>
      </c>
      <c r="N372" s="181" t="n">
        <v>46295</v>
      </c>
      <c r="O372" s="181" t="n">
        <v>46295</v>
      </c>
      <c r="P372" s="194" t="n">
        <v>6820</v>
      </c>
      <c r="Q372" s="180" t="inlineStr">
        <is>
          <t>Năng lượng mặt trời</t>
        </is>
      </c>
      <c r="R372" s="180" t="inlineStr">
        <is>
          <t>THAOPTT.HCM.VTA</t>
        </is>
      </c>
      <c r="S372" s="182" t="inlineStr">
        <is>
          <t>Not Reversed</t>
        </is>
      </c>
      <c r="T372" s="57">
        <f>IF(OR(LEN(F372)=11,LEN(F372)=15),"Đ","SAI")</f>
        <v/>
      </c>
      <c r="U372" s="529">
        <f>ROUND(H372*I372%,0)-J372</f>
        <v/>
      </c>
      <c r="V372" s="55">
        <f>IF(Q372=$V$12,13313,13311)</f>
        <v/>
      </c>
    </row>
    <row r="373" ht="21.65" customHeight="1" s="344">
      <c r="A373" s="180" t="n">
        <v>356</v>
      </c>
      <c r="B373" s="182" t="inlineStr">
        <is>
          <t>1C26TSM</t>
        </is>
      </c>
      <c r="C373" s="278" t="inlineStr">
        <is>
          <t>'71</t>
        </is>
      </c>
      <c r="D373" s="181" t="n">
        <v>46269</v>
      </c>
      <c r="E373" s="182" t="inlineStr">
        <is>
          <t>Công ty Cổ Phần Hàng Hải và Năng Lượng  Hải Mã</t>
        </is>
      </c>
      <c r="F373" s="278" t="inlineStr">
        <is>
          <t>'0314628148</t>
        </is>
      </c>
      <c r="G373" s="182" t="inlineStr">
        <is>
          <t>ĐIỆN MTMN T08-2026</t>
        </is>
      </c>
      <c r="H373" s="194" t="n">
        <v>16071675</v>
      </c>
      <c r="I373" s="180" t="n">
        <v>8</v>
      </c>
      <c r="J373" s="194" t="n">
        <v>1285734</v>
      </c>
      <c r="K373" s="182" t="inlineStr">
        <is>
          <t>CK</t>
        </is>
      </c>
      <c r="L373" s="182" t="inlineStr">
        <is>
          <t>GL</t>
        </is>
      </c>
      <c r="M373" s="278" t="inlineStr">
        <is>
          <t>'3175</t>
        </is>
      </c>
      <c r="N373" s="181" t="n">
        <v>46295</v>
      </c>
      <c r="O373" s="181" t="n">
        <v>46295</v>
      </c>
      <c r="P373" s="194" t="n">
        <v>17357409</v>
      </c>
      <c r="Q373" s="180" t="inlineStr">
        <is>
          <t>Năng lượng mặt trời</t>
        </is>
      </c>
      <c r="R373" s="180" t="inlineStr">
        <is>
          <t>THAOPTT.HCM.VTA</t>
        </is>
      </c>
      <c r="S373" s="182" t="inlineStr">
        <is>
          <t>Not Reversed</t>
        </is>
      </c>
      <c r="T373" s="57">
        <f>IF(OR(LEN(F373)=11,LEN(F373)=15),"Đ","SAI")</f>
        <v/>
      </c>
      <c r="U373" s="529">
        <f>ROUND(H373*I373%,0)-J373</f>
        <v/>
      </c>
      <c r="V373" s="55">
        <f>IF(Q373=$V$12,13313,13311)</f>
        <v/>
      </c>
    </row>
    <row r="374" ht="21.65" customHeight="1" s="344">
      <c r="A374" s="180" t="n">
        <v>357</v>
      </c>
      <c r="B374" s="182" t="inlineStr">
        <is>
          <t>1C26TXD</t>
        </is>
      </c>
      <c r="C374" s="278" t="inlineStr">
        <is>
          <t>'728</t>
        </is>
      </c>
      <c r="D374" s="181" t="n">
        <v>46269</v>
      </c>
      <c r="E374" s="182" t="inlineStr">
        <is>
          <t>Công ty Cổ phần Tư Vấn Và Xây Dựng Miền Nam</t>
        </is>
      </c>
      <c r="F374" s="278" t="inlineStr">
        <is>
          <t>'3500979808</t>
        </is>
      </c>
      <c r="G374" s="182" t="inlineStr">
        <is>
          <t>ĐIỆN MTMN T08-2026</t>
        </is>
      </c>
      <c r="H374" s="194" t="n">
        <v>8681020</v>
      </c>
      <c r="I374" s="180" t="n">
        <v>8</v>
      </c>
      <c r="J374" s="194" t="n">
        <v>694482</v>
      </c>
      <c r="K374" s="182" t="inlineStr">
        <is>
          <t>CK</t>
        </is>
      </c>
      <c r="L374" s="182" t="inlineStr">
        <is>
          <t>GL</t>
        </is>
      </c>
      <c r="M374" s="278" t="inlineStr">
        <is>
          <t>'3175</t>
        </is>
      </c>
      <c r="N374" s="181" t="n">
        <v>46295</v>
      </c>
      <c r="O374" s="181" t="n">
        <v>46295</v>
      </c>
      <c r="P374" s="194" t="n">
        <v>9375502</v>
      </c>
      <c r="Q374" s="180" t="inlineStr">
        <is>
          <t>Năng lượng mặt trời</t>
        </is>
      </c>
      <c r="R374" s="180" t="inlineStr">
        <is>
          <t>THAOPTT.HCM.VTA</t>
        </is>
      </c>
      <c r="S374" s="182" t="inlineStr">
        <is>
          <t>Not Reversed</t>
        </is>
      </c>
      <c r="T374" s="57">
        <f>IF(OR(LEN(F374)=11,LEN(F374)=15),"Đ","SAI")</f>
        <v/>
      </c>
      <c r="U374" s="529">
        <f>ROUND(H374*I374%,0)-J374</f>
        <v/>
      </c>
      <c r="V374" s="55">
        <f>IF(Q374=$V$12,13313,13311)</f>
        <v/>
      </c>
    </row>
    <row r="375" ht="21.65" customHeight="1" s="344">
      <c r="A375" s="180" t="n">
        <v>358</v>
      </c>
      <c r="B375" s="182" t="inlineStr">
        <is>
          <t>1C26TXX</t>
        </is>
      </c>
      <c r="C375" s="278" t="inlineStr">
        <is>
          <t>'76</t>
        </is>
      </c>
      <c r="D375" s="181" t="n">
        <v>46269</v>
      </c>
      <c r="E375" s="182" t="inlineStr">
        <is>
          <t>Công ty TNHH SKYX SOLAR CENTRAL</t>
        </is>
      </c>
      <c r="F375" s="278" t="inlineStr">
        <is>
          <t>'0316380245</t>
        </is>
      </c>
      <c r="G375" s="182" t="inlineStr">
        <is>
          <t>ĐIỆN MTMN T08-2026</t>
        </is>
      </c>
      <c r="H375" s="194" t="n">
        <v>214415300</v>
      </c>
      <c r="I375" s="180" t="n">
        <v>8</v>
      </c>
      <c r="J375" s="194" t="n">
        <v>17153224</v>
      </c>
      <c r="K375" s="182" t="inlineStr">
        <is>
          <t>CK</t>
        </is>
      </c>
      <c r="L375" s="182" t="inlineStr">
        <is>
          <t>GL</t>
        </is>
      </c>
      <c r="M375" s="278" t="inlineStr">
        <is>
          <t>'3175</t>
        </is>
      </c>
      <c r="N375" s="181" t="n">
        <v>46295</v>
      </c>
      <c r="O375" s="181" t="n">
        <v>46295</v>
      </c>
      <c r="P375" s="194" t="n">
        <v>231568524</v>
      </c>
      <c r="Q375" s="180" t="inlineStr">
        <is>
          <t>Năng lượng mặt trời</t>
        </is>
      </c>
      <c r="R375" s="180" t="inlineStr">
        <is>
          <t>THAOPTT.HCM.VTA</t>
        </is>
      </c>
      <c r="S375" s="182" t="inlineStr">
        <is>
          <t>Not Reversed</t>
        </is>
      </c>
      <c r="T375" s="57">
        <f>IF(OR(LEN(F375)=11,LEN(F375)=15),"Đ","SAI")</f>
        <v/>
      </c>
      <c r="U375" s="529">
        <f>ROUND(H375*I375%,0)-J375</f>
        <v/>
      </c>
      <c r="V375" s="55">
        <f>IF(Q375=$V$12,13313,13311)</f>
        <v/>
      </c>
    </row>
    <row r="376" ht="21.65" customHeight="1" s="344">
      <c r="A376" s="180" t="n">
        <v>359</v>
      </c>
      <c r="B376" s="182" t="inlineStr">
        <is>
          <t>1C26TCL</t>
        </is>
      </c>
      <c r="C376" s="278" t="inlineStr">
        <is>
          <t>'8034</t>
        </is>
      </c>
      <c r="D376" s="181" t="n">
        <v>46269</v>
      </c>
      <c r="E376" s="182" t="inlineStr">
        <is>
          <t>Công ty TNHH Chấn Long</t>
        </is>
      </c>
      <c r="F376" s="278" t="inlineStr">
        <is>
          <t>'3500442146</t>
        </is>
      </c>
      <c r="G376" s="182" t="inlineStr">
        <is>
          <t>ĐIỆN MTMN T08-2026</t>
        </is>
      </c>
      <c r="H376" s="194" t="n">
        <v>205523780</v>
      </c>
      <c r="I376" s="180" t="n">
        <v>8</v>
      </c>
      <c r="J376" s="194" t="n">
        <v>16441902</v>
      </c>
      <c r="K376" s="182" t="inlineStr">
        <is>
          <t>CK</t>
        </is>
      </c>
      <c r="L376" s="182" t="inlineStr">
        <is>
          <t>GL</t>
        </is>
      </c>
      <c r="M376" s="278" t="inlineStr">
        <is>
          <t>'3175</t>
        </is>
      </c>
      <c r="N376" s="181" t="n">
        <v>46295</v>
      </c>
      <c r="O376" s="181" t="n">
        <v>46295</v>
      </c>
      <c r="P376" s="194" t="n">
        <v>221965682</v>
      </c>
      <c r="Q376" s="180" t="inlineStr">
        <is>
          <t>Năng lượng mặt trời</t>
        </is>
      </c>
      <c r="R376" s="180" t="inlineStr">
        <is>
          <t>THAOPTT.HCM.VTA</t>
        </is>
      </c>
      <c r="S376" s="182" t="inlineStr">
        <is>
          <t>Not Reversed</t>
        </is>
      </c>
      <c r="T376" s="57">
        <f>IF(OR(LEN(F376)=11,LEN(F376)=15),"Đ","SAI")</f>
        <v/>
      </c>
      <c r="U376" s="529">
        <f>ROUND(H376*I376%,0)-J376</f>
        <v/>
      </c>
      <c r="V376" s="55">
        <f>IF(Q376=$V$12,13313,13311)</f>
        <v/>
      </c>
    </row>
    <row r="377" ht="21.65" customHeight="1" s="344">
      <c r="A377" s="180" t="n">
        <v>360</v>
      </c>
      <c r="B377" s="182" t="inlineStr">
        <is>
          <t>1C26TEC</t>
        </is>
      </c>
      <c r="C377" s="278" t="inlineStr">
        <is>
          <t>'807</t>
        </is>
      </c>
      <c r="D377" s="181" t="n">
        <v>46269</v>
      </c>
      <c r="E377" s="182" t="inlineStr">
        <is>
          <t>Công ty Cổ phần Solar Esco</t>
        </is>
      </c>
      <c r="F377" s="278" t="inlineStr">
        <is>
          <t>'0312062509</t>
        </is>
      </c>
      <c r="G377" s="182" t="inlineStr">
        <is>
          <t>ĐIỆN MTMN T08-2026</t>
        </is>
      </c>
      <c r="H377" s="194" t="n">
        <v>16890520</v>
      </c>
      <c r="I377" s="180" t="n">
        <v>8</v>
      </c>
      <c r="J377" s="194" t="n">
        <v>1351242</v>
      </c>
      <c r="K377" s="182" t="inlineStr">
        <is>
          <t>CK</t>
        </is>
      </c>
      <c r="L377" s="182" t="inlineStr">
        <is>
          <t>GL</t>
        </is>
      </c>
      <c r="M377" s="278" t="inlineStr">
        <is>
          <t>'3175</t>
        </is>
      </c>
      <c r="N377" s="181" t="n">
        <v>46295</v>
      </c>
      <c r="O377" s="181" t="n">
        <v>46295</v>
      </c>
      <c r="P377" s="194" t="n">
        <v>18241762</v>
      </c>
      <c r="Q377" s="180" t="inlineStr">
        <is>
          <t>Năng lượng mặt trời</t>
        </is>
      </c>
      <c r="R377" s="180" t="inlineStr">
        <is>
          <t>THAOPTT.HCM.VTA</t>
        </is>
      </c>
      <c r="S377" s="182" t="inlineStr">
        <is>
          <t>Not Reversed</t>
        </is>
      </c>
      <c r="T377" s="57">
        <f>IF(OR(LEN(F377)=11,LEN(F377)=15),"Đ","SAI")</f>
        <v/>
      </c>
      <c r="U377" s="529">
        <f>ROUND(H377*I377%,0)-J377</f>
        <v/>
      </c>
      <c r="V377" s="55">
        <f>IF(Q377=$V$12,13313,13311)</f>
        <v/>
      </c>
    </row>
    <row r="378" ht="21.65" customHeight="1" s="344">
      <c r="A378" s="180" t="n">
        <v>361</v>
      </c>
      <c r="B378" s="182" t="inlineStr">
        <is>
          <t>1C26TXX</t>
        </is>
      </c>
      <c r="C378" s="278" t="inlineStr">
        <is>
          <t>'82</t>
        </is>
      </c>
      <c r="D378" s="181" t="n">
        <v>46269</v>
      </c>
      <c r="E378" s="182" t="inlineStr">
        <is>
          <t>Công ty TNHH SKYX SOLAR 1</t>
        </is>
      </c>
      <c r="F378" s="278" t="inlineStr">
        <is>
          <t>'0316377933</t>
        </is>
      </c>
      <c r="G378" s="182" t="inlineStr">
        <is>
          <t>ĐIỆN MTMN T08-2026</t>
        </is>
      </c>
      <c r="H378" s="194" t="n">
        <v>235082190</v>
      </c>
      <c r="I378" s="180" t="n">
        <v>8</v>
      </c>
      <c r="J378" s="194" t="n">
        <v>18806575</v>
      </c>
      <c r="K378" s="182" t="inlineStr">
        <is>
          <t>CK</t>
        </is>
      </c>
      <c r="L378" s="182" t="inlineStr">
        <is>
          <t>GL</t>
        </is>
      </c>
      <c r="M378" s="278" t="inlineStr">
        <is>
          <t>'3175</t>
        </is>
      </c>
      <c r="N378" s="181" t="n">
        <v>46295</v>
      </c>
      <c r="O378" s="181" t="n">
        <v>46295</v>
      </c>
      <c r="P378" s="194" t="n">
        <v>253888765</v>
      </c>
      <c r="Q378" s="180" t="inlineStr">
        <is>
          <t>Năng lượng mặt trời</t>
        </is>
      </c>
      <c r="R378" s="180" t="inlineStr">
        <is>
          <t>THAOPTT.HCM.VTA</t>
        </is>
      </c>
      <c r="S378" s="182" t="inlineStr">
        <is>
          <t>Not Reversed</t>
        </is>
      </c>
      <c r="T378" s="57">
        <f>IF(OR(LEN(F378)=11,LEN(F378)=15),"Đ","SAI")</f>
        <v/>
      </c>
      <c r="U378" s="529">
        <f>ROUND(H378*I378%,0)-J378</f>
        <v/>
      </c>
      <c r="V378" s="55">
        <f>IF(Q378=$V$12,13313,13311)</f>
        <v/>
      </c>
    </row>
    <row r="379" ht="21.65" customHeight="1" s="344">
      <c r="A379" s="180" t="n">
        <v>362</v>
      </c>
      <c r="B379" s="182" t="inlineStr">
        <is>
          <t>1C26TSC</t>
        </is>
      </c>
      <c r="C379" s="278" t="inlineStr">
        <is>
          <t>'83</t>
        </is>
      </c>
      <c r="D379" s="181" t="n">
        <v>46269</v>
      </c>
      <c r="E379" s="182" t="inlineStr">
        <is>
          <t>CÔNG TY CỔ PHẦN KỸ THUẬT CÔNG NGHỆ NĂNG LƯỢNG SÀI GÒN</t>
        </is>
      </c>
      <c r="F379" s="278" t="inlineStr">
        <is>
          <t>'0302657088</t>
        </is>
      </c>
      <c r="G379" s="182" t="inlineStr">
        <is>
          <t>ĐIỆN MTMN T08-2026</t>
        </is>
      </c>
      <c r="H379" s="194" t="n">
        <v>218393750</v>
      </c>
      <c r="I379" s="180" t="n">
        <v>8</v>
      </c>
      <c r="J379" s="194" t="n">
        <v>17471500</v>
      </c>
      <c r="K379" s="182" t="inlineStr">
        <is>
          <t>CK</t>
        </is>
      </c>
      <c r="L379" s="182" t="inlineStr">
        <is>
          <t>GL</t>
        </is>
      </c>
      <c r="M379" s="278" t="inlineStr">
        <is>
          <t>'3175</t>
        </is>
      </c>
      <c r="N379" s="181" t="n">
        <v>46295</v>
      </c>
      <c r="O379" s="181" t="n">
        <v>46295</v>
      </c>
      <c r="P379" s="194" t="n">
        <v>235865250</v>
      </c>
      <c r="Q379" s="180" t="inlineStr">
        <is>
          <t>Năng lượng mặt trời</t>
        </is>
      </c>
      <c r="R379" s="180" t="inlineStr">
        <is>
          <t>THAOPTT.HCM.VTA</t>
        </is>
      </c>
      <c r="S379" s="182" t="inlineStr">
        <is>
          <t>Not Reversed</t>
        </is>
      </c>
      <c r="T379" s="57">
        <f>IF(OR(LEN(F379)=11,LEN(F379)=15),"Đ","SAI")</f>
        <v/>
      </c>
      <c r="U379" s="529">
        <f>ROUND(H379*I379%,0)-J379</f>
        <v/>
      </c>
      <c r="V379" s="55">
        <f>IF(Q379=$V$12,13313,13311)</f>
        <v/>
      </c>
    </row>
    <row r="380" ht="21.65" customHeight="1" s="344">
      <c r="A380" s="180" t="n">
        <v>363</v>
      </c>
      <c r="B380" s="182" t="inlineStr">
        <is>
          <t>1C26TEC</t>
        </is>
      </c>
      <c r="C380" s="278" t="inlineStr">
        <is>
          <t>'84</t>
        </is>
      </c>
      <c r="D380" s="181" t="n">
        <v>46269</v>
      </c>
      <c r="E380" s="182" t="inlineStr">
        <is>
          <t>Công ty TNHH Công Nghệ Xanh ECOSOLAR</t>
        </is>
      </c>
      <c r="F380" s="278" t="inlineStr">
        <is>
          <t>'3502278068</t>
        </is>
      </c>
      <c r="G380" s="182" t="inlineStr">
        <is>
          <t>ĐIỆN MTMN T08-2026</t>
        </is>
      </c>
      <c r="H380" s="194" t="n">
        <v>149227660</v>
      </c>
      <c r="I380" s="180" t="n">
        <v>8</v>
      </c>
      <c r="J380" s="194" t="n">
        <v>11938213</v>
      </c>
      <c r="K380" s="182" t="inlineStr">
        <is>
          <t>CK</t>
        </is>
      </c>
      <c r="L380" s="182" t="inlineStr">
        <is>
          <t>GL</t>
        </is>
      </c>
      <c r="M380" s="278" t="inlineStr">
        <is>
          <t>'3175</t>
        </is>
      </c>
      <c r="N380" s="181" t="n">
        <v>46295</v>
      </c>
      <c r="O380" s="181" t="n">
        <v>46295</v>
      </c>
      <c r="P380" s="194" t="n">
        <v>161165873</v>
      </c>
      <c r="Q380" s="180" t="inlineStr">
        <is>
          <t>Năng lượng mặt trời</t>
        </is>
      </c>
      <c r="R380" s="180" t="inlineStr">
        <is>
          <t>THAOPTT.HCM.VTA</t>
        </is>
      </c>
      <c r="S380" s="182" t="inlineStr">
        <is>
          <t>Not Reversed</t>
        </is>
      </c>
      <c r="T380" s="57">
        <f>IF(OR(LEN(F380)=11,LEN(F380)=15),"Đ","SAI")</f>
        <v/>
      </c>
      <c r="U380" s="529">
        <f>ROUND(H380*I380%,0)-J380</f>
        <v/>
      </c>
      <c r="V380" s="55">
        <f>IF(Q380=$V$12,13313,13311)</f>
        <v/>
      </c>
    </row>
    <row r="381" ht="21.65" customHeight="1" s="344">
      <c r="A381" s="180" t="n">
        <v>364</v>
      </c>
      <c r="B381" s="182" t="inlineStr">
        <is>
          <t>1C26TSC</t>
        </is>
      </c>
      <c r="C381" s="278" t="inlineStr">
        <is>
          <t>'84</t>
        </is>
      </c>
      <c r="D381" s="181" t="n">
        <v>46269</v>
      </c>
      <c r="E381" s="182" t="inlineStr">
        <is>
          <t>CÔNG TY CỔ PHẦN KỸ THUẬT CÔNG NGHỆ NĂNG LƯỢNG SÀI GÒN</t>
        </is>
      </c>
      <c r="F381" s="278" t="inlineStr">
        <is>
          <t>'0302657088</t>
        </is>
      </c>
      <c r="G381" s="182" t="inlineStr">
        <is>
          <t>ĐIỆN MTMN T08-2026</t>
        </is>
      </c>
      <c r="H381" s="194" t="n">
        <v>134783150</v>
      </c>
      <c r="I381" s="180" t="n">
        <v>8</v>
      </c>
      <c r="J381" s="194" t="n">
        <v>10782652</v>
      </c>
      <c r="K381" s="182" t="inlineStr">
        <is>
          <t>CK</t>
        </is>
      </c>
      <c r="L381" s="182" t="inlineStr">
        <is>
          <t>GL</t>
        </is>
      </c>
      <c r="M381" s="278" t="inlineStr">
        <is>
          <t>'3175</t>
        </is>
      </c>
      <c r="N381" s="181" t="n">
        <v>46295</v>
      </c>
      <c r="O381" s="181" t="n">
        <v>46295</v>
      </c>
      <c r="P381" s="194" t="n">
        <v>145565802</v>
      </c>
      <c r="Q381" s="180" t="inlineStr">
        <is>
          <t>Năng lượng mặt trời</t>
        </is>
      </c>
      <c r="R381" s="180" t="inlineStr">
        <is>
          <t>THAOPTT.HCM.VTA</t>
        </is>
      </c>
      <c r="S381" s="182" t="inlineStr">
        <is>
          <t>Not Reversed</t>
        </is>
      </c>
      <c r="T381" s="57">
        <f>IF(OR(LEN(F381)=11,LEN(F381)=15),"Đ","SAI")</f>
        <v/>
      </c>
      <c r="U381" s="529">
        <f>ROUND(H381*I381%,0)-J381</f>
        <v/>
      </c>
      <c r="V381" s="55">
        <f>IF(Q381=$V$12,13313,13311)</f>
        <v/>
      </c>
    </row>
    <row r="382" ht="21.65" customHeight="1" s="344">
      <c r="A382" s="180" t="n">
        <v>365</v>
      </c>
      <c r="B382" s="182" t="inlineStr">
        <is>
          <t>1C26TEC</t>
        </is>
      </c>
      <c r="C382" s="278" t="inlineStr">
        <is>
          <t>'85</t>
        </is>
      </c>
      <c r="D382" s="181" t="n">
        <v>46269</v>
      </c>
      <c r="E382" s="182" t="inlineStr">
        <is>
          <t>Công ty TNHH Công Nghệ Xanh ECOSOLAR</t>
        </is>
      </c>
      <c r="F382" s="278" t="inlineStr">
        <is>
          <t>'3502278068</t>
        </is>
      </c>
      <c r="G382" s="182" t="inlineStr">
        <is>
          <t>ĐIỆN MTMN T08-2026</t>
        </is>
      </c>
      <c r="H382" s="194" t="n">
        <v>17829350</v>
      </c>
      <c r="I382" s="180" t="n">
        <v>8</v>
      </c>
      <c r="J382" s="194" t="n">
        <v>1426348</v>
      </c>
      <c r="K382" s="182" t="inlineStr">
        <is>
          <t>CK</t>
        </is>
      </c>
      <c r="L382" s="182" t="inlineStr">
        <is>
          <t>GL</t>
        </is>
      </c>
      <c r="M382" s="278" t="inlineStr">
        <is>
          <t>'3175</t>
        </is>
      </c>
      <c r="N382" s="181" t="n">
        <v>46295</v>
      </c>
      <c r="O382" s="181" t="n">
        <v>46295</v>
      </c>
      <c r="P382" s="194" t="n">
        <v>19255698</v>
      </c>
      <c r="Q382" s="180" t="inlineStr">
        <is>
          <t>Năng lượng mặt trời</t>
        </is>
      </c>
      <c r="R382" s="180" t="inlineStr">
        <is>
          <t>THAOPTT.HCM.VTA</t>
        </is>
      </c>
      <c r="S382" s="182" t="inlineStr">
        <is>
          <t>Not Reversed</t>
        </is>
      </c>
      <c r="T382" s="57">
        <f>IF(OR(LEN(F382)=11,LEN(F382)=15),"Đ","SAI")</f>
        <v/>
      </c>
      <c r="U382" s="529">
        <f>ROUND(H382*I382%,0)-J382</f>
        <v/>
      </c>
      <c r="V382" s="55">
        <f>IF(Q382=$V$12,13313,13311)</f>
        <v/>
      </c>
    </row>
    <row r="383" ht="21.65" customHeight="1" s="344">
      <c r="A383" s="180" t="n">
        <v>366</v>
      </c>
      <c r="B383" s="182" t="inlineStr">
        <is>
          <t>1C26TAA</t>
        </is>
      </c>
      <c r="C383" s="278" t="inlineStr">
        <is>
          <t>'857</t>
        </is>
      </c>
      <c r="D383" s="181" t="n">
        <v>46269</v>
      </c>
      <c r="E383" s="182" t="inlineStr">
        <is>
          <t>Công ty TNHH Một Thành Viên Công Nghiệp Hóa Chất Mỏ Nam Bộ - MICCO</t>
        </is>
      </c>
      <c r="F383" s="278" t="inlineStr">
        <is>
          <t>'3502007678</t>
        </is>
      </c>
      <c r="G383" s="182" t="inlineStr">
        <is>
          <t>ĐIỆN MTMN T08-2026</t>
        </is>
      </c>
      <c r="H383" s="194" t="n">
        <v>5548780</v>
      </c>
      <c r="I383" s="180" t="n">
        <v>8</v>
      </c>
      <c r="J383" s="194" t="n">
        <v>443902</v>
      </c>
      <c r="K383" s="182" t="inlineStr">
        <is>
          <t>CK</t>
        </is>
      </c>
      <c r="L383" s="182" t="inlineStr">
        <is>
          <t>GL</t>
        </is>
      </c>
      <c r="M383" s="278" t="inlineStr">
        <is>
          <t>'3175</t>
        </is>
      </c>
      <c r="N383" s="181" t="n">
        <v>46295</v>
      </c>
      <c r="O383" s="181" t="n">
        <v>46295</v>
      </c>
      <c r="P383" s="194" t="n">
        <v>5992682</v>
      </c>
      <c r="Q383" s="180" t="inlineStr">
        <is>
          <t>Năng lượng mặt trời</t>
        </is>
      </c>
      <c r="R383" s="180" t="inlineStr">
        <is>
          <t>THAOPTT.HCM.VTA</t>
        </is>
      </c>
      <c r="S383" s="182" t="inlineStr">
        <is>
          <t>Not Reversed</t>
        </is>
      </c>
      <c r="T383" s="57">
        <f>IF(OR(LEN(F383)=11,LEN(F383)=15),"Đ","SAI")</f>
        <v/>
      </c>
      <c r="U383" s="529">
        <f>ROUND(H383*I383%,0)-J383</f>
        <v/>
      </c>
      <c r="V383" s="55">
        <f>IF(Q383=$V$12,13313,13311)</f>
        <v/>
      </c>
    </row>
    <row r="384" ht="21.65" customHeight="1" s="344">
      <c r="A384" s="180" t="n">
        <v>367</v>
      </c>
      <c r="B384" s="182" t="inlineStr">
        <is>
          <t>1C26TAA</t>
        </is>
      </c>
      <c r="C384" s="278" t="inlineStr">
        <is>
          <t>'858</t>
        </is>
      </c>
      <c r="D384" s="181" t="n">
        <v>46269</v>
      </c>
      <c r="E384" s="182" t="inlineStr">
        <is>
          <t>Công ty TNHH Một Thành Viên Công Nghiệp Hóa Chất Mỏ Nam Bộ - MICCO</t>
        </is>
      </c>
      <c r="F384" s="278" t="inlineStr">
        <is>
          <t>'3502007678</t>
        </is>
      </c>
      <c r="G384" s="182" t="inlineStr">
        <is>
          <t>ĐIỆN MTMN T08-2026</t>
        </is>
      </c>
      <c r="H384" s="194" t="n">
        <v>3682610</v>
      </c>
      <c r="I384" s="180" t="n">
        <v>8</v>
      </c>
      <c r="J384" s="194" t="n">
        <v>294609</v>
      </c>
      <c r="K384" s="182" t="inlineStr">
        <is>
          <t>CK</t>
        </is>
      </c>
      <c r="L384" s="182" t="inlineStr">
        <is>
          <t>GL</t>
        </is>
      </c>
      <c r="M384" s="278" t="inlineStr">
        <is>
          <t>'3175</t>
        </is>
      </c>
      <c r="N384" s="181" t="n">
        <v>46295</v>
      </c>
      <c r="O384" s="181" t="n">
        <v>46295</v>
      </c>
      <c r="P384" s="194" t="n">
        <v>3977219</v>
      </c>
      <c r="Q384" s="180" t="inlineStr">
        <is>
          <t>Năng lượng mặt trời</t>
        </is>
      </c>
      <c r="R384" s="180" t="inlineStr">
        <is>
          <t>THAOPTT.HCM.VTA</t>
        </is>
      </c>
      <c r="S384" s="182" t="inlineStr">
        <is>
          <t>Not Reversed</t>
        </is>
      </c>
      <c r="T384" s="57">
        <f>IF(OR(LEN(F384)=11,LEN(F384)=15),"Đ","SAI")</f>
        <v/>
      </c>
      <c r="U384" s="529">
        <f>ROUND(H384*I384%,0)-J384</f>
        <v/>
      </c>
      <c r="V384" s="55">
        <f>IF(Q384=$V$12,13313,13311)</f>
        <v/>
      </c>
    </row>
    <row r="385" ht="21.65" customHeight="1" s="344">
      <c r="A385" s="180" t="n">
        <v>368</v>
      </c>
      <c r="B385" s="182" t="inlineStr">
        <is>
          <t>1C26TLH</t>
        </is>
      </c>
      <c r="C385" s="278" t="inlineStr">
        <is>
          <t>'89</t>
        </is>
      </c>
      <c r="D385" s="181" t="n">
        <v>46269</v>
      </c>
      <c r="E385" s="182" t="inlineStr">
        <is>
          <t>Công ty TNHH  Phú Lộc Hưng</t>
        </is>
      </c>
      <c r="F385" s="278" t="inlineStr">
        <is>
          <t>'3501509280</t>
        </is>
      </c>
      <c r="G385" s="182" t="inlineStr">
        <is>
          <t>ĐIỆN MTMN T08-2026</t>
        </is>
      </c>
      <c r="H385" s="194" t="n">
        <v>57317045</v>
      </c>
      <c r="I385" s="180" t="n">
        <v>8</v>
      </c>
      <c r="J385" s="194" t="n">
        <v>4585364</v>
      </c>
      <c r="K385" s="182" t="inlineStr">
        <is>
          <t>CK</t>
        </is>
      </c>
      <c r="L385" s="182" t="inlineStr">
        <is>
          <t>GL</t>
        </is>
      </c>
      <c r="M385" s="278" t="inlineStr">
        <is>
          <t>'3175</t>
        </is>
      </c>
      <c r="N385" s="181" t="n">
        <v>46295</v>
      </c>
      <c r="O385" s="181" t="n">
        <v>46295</v>
      </c>
      <c r="P385" s="194" t="n">
        <v>61902409</v>
      </c>
      <c r="Q385" s="180" t="inlineStr">
        <is>
          <t>Năng lượng mặt trời</t>
        </is>
      </c>
      <c r="R385" s="180" t="inlineStr">
        <is>
          <t>THAOPTT.HCM.VTA</t>
        </is>
      </c>
      <c r="S385" s="182" t="inlineStr">
        <is>
          <t>Not Reversed</t>
        </is>
      </c>
      <c r="T385" s="57">
        <f>IF(OR(LEN(F385)=11,LEN(F385)=15),"Đ","SAI")</f>
        <v/>
      </c>
      <c r="U385" s="529">
        <f>ROUND(H385*I385%,0)-J385</f>
        <v/>
      </c>
      <c r="V385" s="55">
        <f>IF(Q385=$V$12,13313,13311)</f>
        <v/>
      </c>
    </row>
    <row r="386" ht="21.65" customHeight="1" s="344">
      <c r="A386" s="180" t="n">
        <v>369</v>
      </c>
      <c r="B386" s="182" t="inlineStr">
        <is>
          <t>1C26TKT</t>
        </is>
      </c>
      <c r="C386" s="278" t="inlineStr">
        <is>
          <t>'9</t>
        </is>
      </c>
      <c r="D386" s="181" t="n">
        <v>46269</v>
      </c>
      <c r="E386" s="182" t="inlineStr">
        <is>
          <t>Công ty Trách Nhiệm Hữu Hạn Đầu Tư Khang Khang Tiến</t>
        </is>
      </c>
      <c r="F386" s="278" t="inlineStr">
        <is>
          <t>'3502439526</t>
        </is>
      </c>
      <c r="G386" s="182" t="inlineStr">
        <is>
          <t>ĐIỆN MTMN T08-2026</t>
        </is>
      </c>
      <c r="H386" s="194" t="n">
        <v>182257215</v>
      </c>
      <c r="I386" s="180" t="n">
        <v>8</v>
      </c>
      <c r="J386" s="194" t="n">
        <v>14580577</v>
      </c>
      <c r="K386" s="182" t="inlineStr">
        <is>
          <t>CK</t>
        </is>
      </c>
      <c r="L386" s="182" t="inlineStr">
        <is>
          <t>GL</t>
        </is>
      </c>
      <c r="M386" s="278" t="inlineStr">
        <is>
          <t>'3175</t>
        </is>
      </c>
      <c r="N386" s="181" t="n">
        <v>46295</v>
      </c>
      <c r="O386" s="181" t="n">
        <v>46295</v>
      </c>
      <c r="P386" s="194" t="n">
        <v>196837792</v>
      </c>
      <c r="Q386" s="180" t="inlineStr">
        <is>
          <t>Năng lượng mặt trời</t>
        </is>
      </c>
      <c r="R386" s="180" t="inlineStr">
        <is>
          <t>THAOPTT.HCM.VTA</t>
        </is>
      </c>
      <c r="S386" s="182" t="inlineStr">
        <is>
          <t>Not Reversed</t>
        </is>
      </c>
      <c r="T386" s="57">
        <f>IF(OR(LEN(F386)=11,LEN(F386)=15),"Đ","SAI")</f>
        <v/>
      </c>
      <c r="U386" s="529">
        <f>ROUND(H386*I386%,0)-J386</f>
        <v/>
      </c>
      <c r="V386" s="55">
        <f>IF(Q386=$V$12,13313,13311)</f>
        <v/>
      </c>
    </row>
    <row r="387" ht="21.65" customHeight="1" s="344">
      <c r="A387" s="180" t="n">
        <v>370</v>
      </c>
      <c r="B387" s="182" t="inlineStr">
        <is>
          <t>1C26TPM</t>
        </is>
      </c>
      <c r="C387" s="278" t="inlineStr">
        <is>
          <t>'9</t>
        </is>
      </c>
      <c r="D387" s="181" t="n">
        <v>46269</v>
      </c>
      <c r="E387" s="182" t="inlineStr">
        <is>
          <t>Công ty TNHH Một Thành Viên Hoàng Nguyên SOLAR - PM2</t>
        </is>
      </c>
      <c r="F387" s="278" t="inlineStr">
        <is>
          <t>'0316384987</t>
        </is>
      </c>
      <c r="G387" s="182" t="inlineStr">
        <is>
          <t>ĐIỆN MTMN T08-2026</t>
        </is>
      </c>
      <c r="H387" s="194" t="n">
        <v>185589430</v>
      </c>
      <c r="I387" s="180" t="n">
        <v>8</v>
      </c>
      <c r="J387" s="194" t="n">
        <v>14847154</v>
      </c>
      <c r="K387" s="182" t="inlineStr">
        <is>
          <t>CK</t>
        </is>
      </c>
      <c r="L387" s="182" t="inlineStr">
        <is>
          <t>GL</t>
        </is>
      </c>
      <c r="M387" s="278" t="inlineStr">
        <is>
          <t>'3175</t>
        </is>
      </c>
      <c r="N387" s="181" t="n">
        <v>46295</v>
      </c>
      <c r="O387" s="181" t="n">
        <v>46295</v>
      </c>
      <c r="P387" s="194" t="n">
        <v>200436584</v>
      </c>
      <c r="Q387" s="180" t="inlineStr">
        <is>
          <t>Năng lượng mặt trời</t>
        </is>
      </c>
      <c r="R387" s="180" t="inlineStr">
        <is>
          <t>THAOPTT.HCM.VTA</t>
        </is>
      </c>
      <c r="S387" s="182" t="inlineStr">
        <is>
          <t>Not Reversed</t>
        </is>
      </c>
      <c r="T387" s="57">
        <f>IF(OR(LEN(F387)=11,LEN(F387)=15),"Đ","SAI")</f>
        <v/>
      </c>
      <c r="U387" s="529">
        <f>ROUND(H387*I387%,0)-J387</f>
        <v/>
      </c>
      <c r="V387" s="55">
        <f>IF(Q387=$V$12,13313,13311)</f>
        <v/>
      </c>
    </row>
    <row r="388" ht="21.65" customHeight="1" s="344">
      <c r="A388" s="180" t="n">
        <v>371</v>
      </c>
      <c r="B388" s="182" t="inlineStr">
        <is>
          <t>1C26TVQ</t>
        </is>
      </c>
      <c r="C388" s="278" t="inlineStr">
        <is>
          <t>'9</t>
        </is>
      </c>
      <c r="D388" s="181" t="n">
        <v>46269</v>
      </c>
      <c r="E388" s="182" t="inlineStr">
        <is>
          <t>Công ty TNHH Đầu Tư Năng Lượng Vĩnh Quang</t>
        </is>
      </c>
      <c r="F388" s="278" t="inlineStr">
        <is>
          <t>'0316504028</t>
        </is>
      </c>
      <c r="G388" s="182" t="inlineStr">
        <is>
          <t>ĐIỆN MTMN T08-2026</t>
        </is>
      </c>
      <c r="H388" s="194" t="n">
        <v>186955575</v>
      </c>
      <c r="I388" s="180" t="n">
        <v>8</v>
      </c>
      <c r="J388" s="194" t="n">
        <v>14956446</v>
      </c>
      <c r="K388" s="182" t="inlineStr">
        <is>
          <t>CK</t>
        </is>
      </c>
      <c r="L388" s="182" t="inlineStr">
        <is>
          <t>GL</t>
        </is>
      </c>
      <c r="M388" s="278" t="inlineStr">
        <is>
          <t>'3175</t>
        </is>
      </c>
      <c r="N388" s="181" t="n">
        <v>46295</v>
      </c>
      <c r="O388" s="181" t="n">
        <v>46295</v>
      </c>
      <c r="P388" s="194" t="n">
        <v>201912021</v>
      </c>
      <c r="Q388" s="180" t="inlineStr">
        <is>
          <t>Năng lượng mặt trời</t>
        </is>
      </c>
      <c r="R388" s="180" t="inlineStr">
        <is>
          <t>THAOPTT.HCM.VTA</t>
        </is>
      </c>
      <c r="S388" s="182" t="inlineStr">
        <is>
          <t>Not Reversed</t>
        </is>
      </c>
      <c r="T388" s="57">
        <f>IF(OR(LEN(F388)=11,LEN(F388)=15),"Đ","SAI")</f>
        <v/>
      </c>
      <c r="U388" s="529">
        <f>ROUND(H388*I388%,0)-J388</f>
        <v/>
      </c>
      <c r="V388" s="55">
        <f>IF(Q388=$V$12,13313,13311)</f>
        <v/>
      </c>
    </row>
    <row r="389" ht="21.65" customHeight="1" s="344">
      <c r="A389" s="180" t="n">
        <v>372</v>
      </c>
      <c r="B389" s="182" t="inlineStr">
        <is>
          <t>1C26TAA</t>
        </is>
      </c>
      <c r="C389" s="278" t="inlineStr">
        <is>
          <t>'9</t>
        </is>
      </c>
      <c r="D389" s="181" t="n">
        <v>46269</v>
      </c>
      <c r="E389" s="182" t="inlineStr">
        <is>
          <t>Công ty TNHH MTV Triều Phát Phú Mỹ</t>
        </is>
      </c>
      <c r="F389" s="278" t="inlineStr">
        <is>
          <t>'3502440419</t>
        </is>
      </c>
      <c r="G389" s="182" t="inlineStr">
        <is>
          <t>ĐIỆN MTMN T08-2026</t>
        </is>
      </c>
      <c r="H389" s="194" t="n">
        <v>221395480</v>
      </c>
      <c r="I389" s="180" t="n">
        <v>8</v>
      </c>
      <c r="J389" s="194" t="n">
        <v>17711638</v>
      </c>
      <c r="K389" s="182" t="inlineStr">
        <is>
          <t>CK</t>
        </is>
      </c>
      <c r="L389" s="182" t="inlineStr">
        <is>
          <t>GL</t>
        </is>
      </c>
      <c r="M389" s="278" t="inlineStr">
        <is>
          <t>'3175</t>
        </is>
      </c>
      <c r="N389" s="181" t="n">
        <v>46295</v>
      </c>
      <c r="O389" s="181" t="n">
        <v>46295</v>
      </c>
      <c r="P389" s="194" t="n">
        <v>239107118</v>
      </c>
      <c r="Q389" s="180" t="inlineStr">
        <is>
          <t>Năng lượng mặt trời</t>
        </is>
      </c>
      <c r="R389" s="180" t="inlineStr">
        <is>
          <t>THAOPTT.HCM.VTA</t>
        </is>
      </c>
      <c r="S389" s="182" t="inlineStr">
        <is>
          <t>Not Reversed</t>
        </is>
      </c>
      <c r="T389" s="57">
        <f>IF(OR(LEN(F389)=11,LEN(F389)=15),"Đ","SAI")</f>
        <v/>
      </c>
      <c r="U389" s="529">
        <f>ROUND(H389*I389%,0)-J389</f>
        <v/>
      </c>
      <c r="V389" s="55">
        <f>IF(Q389=$V$12,13313,13311)</f>
        <v/>
      </c>
    </row>
    <row r="390" ht="21.65" customHeight="1" s="344">
      <c r="A390" s="180" t="n">
        <v>373</v>
      </c>
      <c r="B390" s="182" t="inlineStr">
        <is>
          <t>1C26TTP</t>
        </is>
      </c>
      <c r="C390" s="278" t="inlineStr">
        <is>
          <t>'9</t>
        </is>
      </c>
      <c r="D390" s="181" t="n">
        <v>46269</v>
      </c>
      <c r="E390" s="182" t="inlineStr">
        <is>
          <t>Công ty Cổ Phần Kim Thành Phát</t>
        </is>
      </c>
      <c r="F390" s="278" t="inlineStr">
        <is>
          <t>'0308925368</t>
        </is>
      </c>
      <c r="G390" s="182" t="inlineStr">
        <is>
          <t>ĐIỆN MTMN T08-2026</t>
        </is>
      </c>
      <c r="H390" s="194" t="n">
        <v>182126705</v>
      </c>
      <c r="I390" s="180" t="n">
        <v>8</v>
      </c>
      <c r="J390" s="194" t="n">
        <v>14570136</v>
      </c>
      <c r="K390" s="182" t="inlineStr">
        <is>
          <t>CK</t>
        </is>
      </c>
      <c r="L390" s="182" t="inlineStr">
        <is>
          <t>GL</t>
        </is>
      </c>
      <c r="M390" s="278" t="inlineStr">
        <is>
          <t>'3175</t>
        </is>
      </c>
      <c r="N390" s="181" t="n">
        <v>46295</v>
      </c>
      <c r="O390" s="181" t="n">
        <v>46295</v>
      </c>
      <c r="P390" s="194" t="n">
        <v>196696841</v>
      </c>
      <c r="Q390" s="180" t="inlineStr">
        <is>
          <t>Năng lượng mặt trời</t>
        </is>
      </c>
      <c r="R390" s="180" t="inlineStr">
        <is>
          <t>THAOPTT.HCM.VTA</t>
        </is>
      </c>
      <c r="S390" s="182" t="inlineStr">
        <is>
          <t>Not Reversed</t>
        </is>
      </c>
      <c r="T390" s="57">
        <f>IF(OR(LEN(F390)=11,LEN(F390)=15),"Đ","SAI")</f>
        <v/>
      </c>
      <c r="U390" s="529">
        <f>ROUND(H390*I390%,0)-J390</f>
        <v/>
      </c>
      <c r="V390" s="55">
        <f>IF(Q390=$V$12,13313,13311)</f>
        <v/>
      </c>
    </row>
    <row r="391" ht="21.65" customHeight="1" s="344">
      <c r="A391" s="180" t="n">
        <v>374</v>
      </c>
      <c r="B391" s="182" t="inlineStr">
        <is>
          <t>1C26TNE</t>
        </is>
      </c>
      <c r="C391" s="278" t="inlineStr">
        <is>
          <t>'9</t>
        </is>
      </c>
      <c r="D391" s="181" t="n">
        <v>46269</v>
      </c>
      <c r="E391" s="182" t="inlineStr">
        <is>
          <t>Công ty TNHH Sản Xuất Thương Mại Xuất Nhập Khẩu NESADO</t>
        </is>
      </c>
      <c r="F391" s="278" t="inlineStr">
        <is>
          <t>'1101850799</t>
        </is>
      </c>
      <c r="G391" s="182" t="inlineStr">
        <is>
          <t>ĐIỆN MTMN T08-2026</t>
        </is>
      </c>
      <c r="H391" s="194" t="n">
        <v>207964708</v>
      </c>
      <c r="I391" s="180" t="n">
        <v>8</v>
      </c>
      <c r="J391" s="194" t="n">
        <v>16637177</v>
      </c>
      <c r="K391" s="182" t="inlineStr">
        <is>
          <t>CK</t>
        </is>
      </c>
      <c r="L391" s="182" t="inlineStr">
        <is>
          <t>GL</t>
        </is>
      </c>
      <c r="M391" s="278" t="inlineStr">
        <is>
          <t>'3175</t>
        </is>
      </c>
      <c r="N391" s="181" t="n">
        <v>46295</v>
      </c>
      <c r="O391" s="181" t="n">
        <v>46295</v>
      </c>
      <c r="P391" s="194" t="n">
        <v>224601885</v>
      </c>
      <c r="Q391" s="180" t="inlineStr">
        <is>
          <t>Năng lượng mặt trời</t>
        </is>
      </c>
      <c r="R391" s="180" t="inlineStr">
        <is>
          <t>THAOPTT.HCM.VTA</t>
        </is>
      </c>
      <c r="S391" s="182" t="inlineStr">
        <is>
          <t>Not Reversed</t>
        </is>
      </c>
      <c r="T391" s="57">
        <f>IF(OR(LEN(F391)=11,LEN(F391)=15),"Đ","SAI")</f>
        <v/>
      </c>
      <c r="U391" s="529">
        <f>ROUND(H391*I391%,0)-J391</f>
        <v/>
      </c>
      <c r="V391" s="55">
        <f>IF(Q391=$V$12,13313,13311)</f>
        <v/>
      </c>
    </row>
    <row r="392" ht="21.65" customHeight="1" s="344">
      <c r="A392" s="180" t="n">
        <v>375</v>
      </c>
      <c r="B392" s="182" t="inlineStr">
        <is>
          <t>1C26TKD</t>
        </is>
      </c>
      <c r="C392" s="278" t="inlineStr">
        <is>
          <t>'9</t>
        </is>
      </c>
      <c r="D392" s="181" t="n">
        <v>46269</v>
      </c>
      <c r="E392" s="182" t="inlineStr">
        <is>
          <t>Công ty Trách Nhiệm Hữu Hạn TM Khang Khang Đạt</t>
        </is>
      </c>
      <c r="F392" s="278" t="inlineStr">
        <is>
          <t>'3502439491</t>
        </is>
      </c>
      <c r="G392" s="182" t="inlineStr">
        <is>
          <t>ĐIỆN MTMN T08-2026</t>
        </is>
      </c>
      <c r="H392" s="194" t="n">
        <v>186993465</v>
      </c>
      <c r="I392" s="180" t="n">
        <v>8</v>
      </c>
      <c r="J392" s="194" t="n">
        <v>14959477</v>
      </c>
      <c r="K392" s="182" t="inlineStr">
        <is>
          <t>CK</t>
        </is>
      </c>
      <c r="L392" s="182" t="inlineStr">
        <is>
          <t>GL</t>
        </is>
      </c>
      <c r="M392" s="278" t="inlineStr">
        <is>
          <t>'3175</t>
        </is>
      </c>
      <c r="N392" s="181" t="n">
        <v>46295</v>
      </c>
      <c r="O392" s="181" t="n">
        <v>46295</v>
      </c>
      <c r="P392" s="194" t="n">
        <v>201952942</v>
      </c>
      <c r="Q392" s="180" t="inlineStr">
        <is>
          <t>Năng lượng mặt trời</t>
        </is>
      </c>
      <c r="R392" s="180" t="inlineStr">
        <is>
          <t>THAOPTT.HCM.VTA</t>
        </is>
      </c>
      <c r="S392" s="182" t="inlineStr">
        <is>
          <t>Not Reversed</t>
        </is>
      </c>
      <c r="T392" s="57">
        <f>IF(OR(LEN(F392)=11,LEN(F392)=15),"Đ","SAI")</f>
        <v/>
      </c>
      <c r="U392" s="529">
        <f>ROUND(H392*I392%,0)-J392</f>
        <v/>
      </c>
      <c r="V392" s="55">
        <f>IF(Q392=$V$12,13313,13311)</f>
        <v/>
      </c>
    </row>
    <row r="393" ht="21.65" customHeight="1" s="344">
      <c r="A393" s="180" t="n">
        <v>376</v>
      </c>
      <c r="B393" s="182" t="inlineStr">
        <is>
          <t>1C26TAA</t>
        </is>
      </c>
      <c r="C393" s="278" t="inlineStr">
        <is>
          <t>'9</t>
        </is>
      </c>
      <c r="D393" s="181" t="n">
        <v>46269</v>
      </c>
      <c r="E393" s="182" t="inlineStr">
        <is>
          <t>Công ty TNHH Đông Triều Phú Mỹ</t>
        </is>
      </c>
      <c r="F393" s="278" t="inlineStr">
        <is>
          <t>'3502440828</t>
        </is>
      </c>
      <c r="G393" s="182" t="inlineStr">
        <is>
          <t>ĐIỆN MTMN T08-2026</t>
        </is>
      </c>
      <c r="H393" s="194" t="n">
        <v>224832945</v>
      </c>
      <c r="I393" s="180" t="n">
        <v>8</v>
      </c>
      <c r="J393" s="194" t="n">
        <v>17986636</v>
      </c>
      <c r="K393" s="182" t="inlineStr">
        <is>
          <t>CK</t>
        </is>
      </c>
      <c r="L393" s="182" t="inlineStr">
        <is>
          <t>GL</t>
        </is>
      </c>
      <c r="M393" s="278" t="inlineStr">
        <is>
          <t>'3175</t>
        </is>
      </c>
      <c r="N393" s="181" t="n">
        <v>46295</v>
      </c>
      <c r="O393" s="181" t="n">
        <v>46295</v>
      </c>
      <c r="P393" s="194" t="n">
        <v>242819581</v>
      </c>
      <c r="Q393" s="180" t="inlineStr">
        <is>
          <t>Năng lượng mặt trời</t>
        </is>
      </c>
      <c r="R393" s="180" t="inlineStr">
        <is>
          <t>THAOPTT.HCM.VTA</t>
        </is>
      </c>
      <c r="S393" s="182" t="inlineStr">
        <is>
          <t>Not Reversed</t>
        </is>
      </c>
      <c r="T393" s="57">
        <f>IF(OR(LEN(F393)=11,LEN(F393)=15),"Đ","SAI")</f>
        <v/>
      </c>
      <c r="U393" s="529">
        <f>ROUND(H393*I393%,0)-J393</f>
        <v/>
      </c>
      <c r="V393" s="55">
        <f>IF(Q393=$V$12,13313,13311)</f>
        <v/>
      </c>
    </row>
    <row r="394" ht="21.65" customHeight="1" s="344">
      <c r="A394" s="180" t="n">
        <v>377</v>
      </c>
      <c r="B394" s="182" t="inlineStr">
        <is>
          <t>1C26TKP</t>
        </is>
      </c>
      <c r="C394" s="278" t="inlineStr">
        <is>
          <t>'9</t>
        </is>
      </c>
      <c r="D394" s="181" t="n">
        <v>46269</v>
      </c>
      <c r="E394" s="182" t="inlineStr">
        <is>
          <t>Công ty Trách Nhiệm Hữu Hạn Duyên &amp; Khang Phát</t>
        </is>
      </c>
      <c r="F394" s="278" t="inlineStr">
        <is>
          <t>'3502439540</t>
        </is>
      </c>
      <c r="G394" s="182" t="inlineStr">
        <is>
          <t>ĐIỆN MTMN T08-2026</t>
        </is>
      </c>
      <c r="H394" s="194" t="n">
        <v>188317510</v>
      </c>
      <c r="I394" s="180" t="n">
        <v>8</v>
      </c>
      <c r="J394" s="194" t="n">
        <v>15065401</v>
      </c>
      <c r="K394" s="182" t="inlineStr">
        <is>
          <t>CK</t>
        </is>
      </c>
      <c r="L394" s="182" t="inlineStr">
        <is>
          <t>GL</t>
        </is>
      </c>
      <c r="M394" s="278" t="inlineStr">
        <is>
          <t>'3175</t>
        </is>
      </c>
      <c r="N394" s="181" t="n">
        <v>46295</v>
      </c>
      <c r="O394" s="181" t="n">
        <v>46295</v>
      </c>
      <c r="P394" s="194" t="n">
        <v>203382911</v>
      </c>
      <c r="Q394" s="180" t="inlineStr">
        <is>
          <t>Năng lượng mặt trời</t>
        </is>
      </c>
      <c r="R394" s="180" t="inlineStr">
        <is>
          <t>THAOPTT.HCM.VTA</t>
        </is>
      </c>
      <c r="S394" s="182" t="inlineStr">
        <is>
          <t>Not Reversed</t>
        </is>
      </c>
      <c r="T394" s="57">
        <f>IF(OR(LEN(F394)=11,LEN(F394)=15),"Đ","SAI")</f>
        <v/>
      </c>
      <c r="U394" s="529">
        <f>ROUND(H394*I394%,0)-J394</f>
        <v/>
      </c>
      <c r="V394" s="55">
        <f>IF(Q394=$V$12,13313,13311)</f>
        <v/>
      </c>
    </row>
    <row r="395" ht="21.65" customHeight="1" s="344">
      <c r="A395" s="180" t="n">
        <v>378</v>
      </c>
      <c r="B395" s="182" t="inlineStr">
        <is>
          <t>1C26TSE</t>
        </is>
      </c>
      <c r="C395" s="278" t="inlineStr">
        <is>
          <t>'9</t>
        </is>
      </c>
      <c r="D395" s="181" t="n">
        <v>46269</v>
      </c>
      <c r="E395" s="182" t="inlineStr">
        <is>
          <t>Công ty Trách Nhiệm Hữu Hạn SERENITY GREEN TA</t>
        </is>
      </c>
      <c r="F395" s="278" t="inlineStr">
        <is>
          <t>'3502439533</t>
        </is>
      </c>
      <c r="G395" s="182" t="inlineStr">
        <is>
          <t>ĐIỆN MTMN T08-2026</t>
        </is>
      </c>
      <c r="H395" s="194" t="n">
        <v>194028375</v>
      </c>
      <c r="I395" s="180" t="n">
        <v>8</v>
      </c>
      <c r="J395" s="194" t="n">
        <v>15522270</v>
      </c>
      <c r="K395" s="182" t="inlineStr">
        <is>
          <t>CK</t>
        </is>
      </c>
      <c r="L395" s="182" t="inlineStr">
        <is>
          <t>GL</t>
        </is>
      </c>
      <c r="M395" s="278" t="inlineStr">
        <is>
          <t>'3175</t>
        </is>
      </c>
      <c r="N395" s="181" t="n">
        <v>46295</v>
      </c>
      <c r="O395" s="181" t="n">
        <v>46295</v>
      </c>
      <c r="P395" s="194" t="n">
        <v>209550645</v>
      </c>
      <c r="Q395" s="180" t="inlineStr">
        <is>
          <t>Năng lượng mặt trời</t>
        </is>
      </c>
      <c r="R395" s="180" t="inlineStr">
        <is>
          <t>THAOPTT.HCM.VTA</t>
        </is>
      </c>
      <c r="S395" s="182" t="inlineStr">
        <is>
          <t>Not Reversed</t>
        </is>
      </c>
      <c r="T395" s="57">
        <f>IF(OR(LEN(F395)=11,LEN(F395)=15),"Đ","SAI")</f>
        <v/>
      </c>
      <c r="U395" s="529">
        <f>ROUND(H395*I395%,0)-J395</f>
        <v/>
      </c>
      <c r="V395" s="55">
        <f>IF(Q395=$V$12,13313,13311)</f>
        <v/>
      </c>
    </row>
    <row r="396" ht="21.65" customHeight="1" s="344">
      <c r="A396" s="180" t="n">
        <v>379</v>
      </c>
      <c r="B396" s="182" t="inlineStr">
        <is>
          <t>1C26TSW</t>
        </is>
      </c>
      <c r="C396" s="278" t="inlineStr">
        <is>
          <t>'9</t>
        </is>
      </c>
      <c r="D396" s="181" t="n">
        <v>46269</v>
      </c>
      <c r="E396" s="182" t="inlineStr">
        <is>
          <t>Công ty Cổ Phần Điện Mặt Trời SUNWORD</t>
        </is>
      </c>
      <c r="F396" s="278" t="inlineStr">
        <is>
          <t>'3502429623</t>
        </is>
      </c>
      <c r="G396" s="182" t="inlineStr">
        <is>
          <t>ĐIỆN MTMN T08-2026</t>
        </is>
      </c>
      <c r="H396" s="194" t="n">
        <v>228295670</v>
      </c>
      <c r="I396" s="180" t="n">
        <v>8</v>
      </c>
      <c r="J396" s="194" t="n">
        <v>18263654</v>
      </c>
      <c r="K396" s="182" t="inlineStr">
        <is>
          <t>CK</t>
        </is>
      </c>
      <c r="L396" s="182" t="inlineStr">
        <is>
          <t>GL</t>
        </is>
      </c>
      <c r="M396" s="278" t="inlineStr">
        <is>
          <t>'3175</t>
        </is>
      </c>
      <c r="N396" s="181" t="n">
        <v>46295</v>
      </c>
      <c r="O396" s="181" t="n">
        <v>46295</v>
      </c>
      <c r="P396" s="194" t="n">
        <v>246559324</v>
      </c>
      <c r="Q396" s="180" t="inlineStr">
        <is>
          <t>Năng lượng mặt trời</t>
        </is>
      </c>
      <c r="R396" s="180" t="inlineStr">
        <is>
          <t>THAOPTT.HCM.VTA</t>
        </is>
      </c>
      <c r="S396" s="182" t="inlineStr">
        <is>
          <t>Not Reversed</t>
        </is>
      </c>
      <c r="T396" s="57">
        <f>IF(OR(LEN(F396)=11,LEN(F396)=15),"Đ","SAI")</f>
        <v/>
      </c>
      <c r="U396" s="529">
        <f>ROUND(H396*I396%,0)-J396</f>
        <v/>
      </c>
      <c r="V396" s="55">
        <f>IF(Q396=$V$12,13313,13311)</f>
        <v/>
      </c>
    </row>
    <row r="397" ht="21.65" customHeight="1" s="344">
      <c r="A397" s="180" t="n">
        <v>380</v>
      </c>
      <c r="B397" s="182" t="inlineStr">
        <is>
          <t>1C26TAA</t>
        </is>
      </c>
      <c r="C397" s="278" t="inlineStr">
        <is>
          <t>'9</t>
        </is>
      </c>
      <c r="D397" s="181" t="n">
        <v>46269</v>
      </c>
      <c r="E397" s="182" t="inlineStr">
        <is>
          <t>Công ty TNHH MTV Bình An Phú Mỹ</t>
        </is>
      </c>
      <c r="F397" s="278" t="inlineStr">
        <is>
          <t>'3502440401</t>
        </is>
      </c>
      <c r="G397" s="182" t="inlineStr">
        <is>
          <t>ĐIỆN MTMN T08-2026</t>
        </is>
      </c>
      <c r="H397" s="194" t="n">
        <v>220431390</v>
      </c>
      <c r="I397" s="180" t="n">
        <v>8</v>
      </c>
      <c r="J397" s="194" t="n">
        <v>17634511</v>
      </c>
      <c r="K397" s="182" t="inlineStr">
        <is>
          <t>CK</t>
        </is>
      </c>
      <c r="L397" s="182" t="inlineStr">
        <is>
          <t>GL</t>
        </is>
      </c>
      <c r="M397" s="278" t="inlineStr">
        <is>
          <t>'3175</t>
        </is>
      </c>
      <c r="N397" s="181" t="n">
        <v>46295</v>
      </c>
      <c r="O397" s="181" t="n">
        <v>46295</v>
      </c>
      <c r="P397" s="194" t="n">
        <v>238065901</v>
      </c>
      <c r="Q397" s="180" t="inlineStr">
        <is>
          <t>Năng lượng mặt trời</t>
        </is>
      </c>
      <c r="R397" s="180" t="inlineStr">
        <is>
          <t>THAOPTT.HCM.VTA</t>
        </is>
      </c>
      <c r="S397" s="182" t="inlineStr">
        <is>
          <t>Not Reversed</t>
        </is>
      </c>
      <c r="T397" s="57">
        <f>IF(OR(LEN(F397)=11,LEN(F397)=15),"Đ","SAI")</f>
        <v/>
      </c>
      <c r="U397" s="529">
        <f>ROUND(H397*I397%,0)-J397</f>
        <v/>
      </c>
      <c r="V397" s="55">
        <f>IF(Q397=$V$12,13313,13311)</f>
        <v/>
      </c>
    </row>
    <row r="398" ht="21.65" customHeight="1" s="344">
      <c r="A398" s="180" t="n">
        <v>381</v>
      </c>
      <c r="B398" s="182" t="inlineStr">
        <is>
          <t>1C26TAA</t>
        </is>
      </c>
      <c r="C398" s="278" t="inlineStr">
        <is>
          <t>'9</t>
        </is>
      </c>
      <c r="D398" s="181" t="n">
        <v>46269</v>
      </c>
      <c r="E398" s="182" t="inlineStr">
        <is>
          <t>Công ty TNHH Thảo Nguyên Phú Mỹ</t>
        </is>
      </c>
      <c r="F398" s="278" t="inlineStr">
        <is>
          <t>'3502440810</t>
        </is>
      </c>
      <c r="G398" s="182" t="inlineStr">
        <is>
          <t>ĐIỆN MTMN T08-2026</t>
        </is>
      </c>
      <c r="H398" s="194" t="n">
        <v>226260135</v>
      </c>
      <c r="I398" s="180" t="n">
        <v>8</v>
      </c>
      <c r="J398" s="194" t="n">
        <v>18100811</v>
      </c>
      <c r="K398" s="182" t="inlineStr">
        <is>
          <t>CK</t>
        </is>
      </c>
      <c r="L398" s="182" t="inlineStr">
        <is>
          <t>GL</t>
        </is>
      </c>
      <c r="M398" s="278" t="inlineStr">
        <is>
          <t>'3175</t>
        </is>
      </c>
      <c r="N398" s="181" t="n">
        <v>46295</v>
      </c>
      <c r="O398" s="181" t="n">
        <v>46295</v>
      </c>
      <c r="P398" s="194" t="n">
        <v>244360946</v>
      </c>
      <c r="Q398" s="180" t="inlineStr">
        <is>
          <t>Năng lượng mặt trời</t>
        </is>
      </c>
      <c r="R398" s="180" t="inlineStr">
        <is>
          <t>THAOPTT.HCM.VTA</t>
        </is>
      </c>
      <c r="S398" s="182" t="inlineStr">
        <is>
          <t>Not Reversed</t>
        </is>
      </c>
      <c r="T398" s="57">
        <f>IF(OR(LEN(F398)=11,LEN(F398)=15),"Đ","SAI")</f>
        <v/>
      </c>
      <c r="U398" s="529">
        <f>ROUND(H398*I398%,0)-J398</f>
        <v/>
      </c>
      <c r="V398" s="55">
        <f>IF(Q398=$V$12,13313,13311)</f>
        <v/>
      </c>
    </row>
    <row r="399" ht="21.65" customHeight="1" s="344">
      <c r="A399" s="180" t="n">
        <v>382</v>
      </c>
      <c r="B399" s="182" t="inlineStr">
        <is>
          <t>1C26TAA</t>
        </is>
      </c>
      <c r="C399" s="278" t="inlineStr">
        <is>
          <t>'9</t>
        </is>
      </c>
      <c r="D399" s="181" t="n">
        <v>46269</v>
      </c>
      <c r="E399" s="182" t="inlineStr">
        <is>
          <t>Công ty TNHH Bình An Xuyên Mộc</t>
        </is>
      </c>
      <c r="F399" s="278" t="inlineStr">
        <is>
          <t>'3502440803</t>
        </is>
      </c>
      <c r="G399" s="182" t="inlineStr">
        <is>
          <t>ĐIỆN MTMN T08-2026</t>
        </is>
      </c>
      <c r="H399" s="194" t="n">
        <v>217063390</v>
      </c>
      <c r="I399" s="180" t="n">
        <v>8</v>
      </c>
      <c r="J399" s="194" t="n">
        <v>17365071</v>
      </c>
      <c r="K399" s="182" t="inlineStr">
        <is>
          <t>CK</t>
        </is>
      </c>
      <c r="L399" s="182" t="inlineStr">
        <is>
          <t>GL</t>
        </is>
      </c>
      <c r="M399" s="278" t="inlineStr">
        <is>
          <t>'3175</t>
        </is>
      </c>
      <c r="N399" s="181" t="n">
        <v>46295</v>
      </c>
      <c r="O399" s="181" t="n">
        <v>46295</v>
      </c>
      <c r="P399" s="194" t="n">
        <v>234428461</v>
      </c>
      <c r="Q399" s="180" t="inlineStr">
        <is>
          <t>Năng lượng mặt trời</t>
        </is>
      </c>
      <c r="R399" s="180" t="inlineStr">
        <is>
          <t>THAOPTT.HCM.VTA</t>
        </is>
      </c>
      <c r="S399" s="182" t="inlineStr">
        <is>
          <t>Not Reversed</t>
        </is>
      </c>
      <c r="T399" s="57">
        <f>IF(OR(LEN(F399)=11,LEN(F399)=15),"Đ","SAI")</f>
        <v/>
      </c>
      <c r="U399" s="529">
        <f>ROUND(H399*I399%,0)-J399</f>
        <v/>
      </c>
      <c r="V399" s="55">
        <f>IF(Q399=$V$12,13313,13311)</f>
        <v/>
      </c>
    </row>
    <row r="400" ht="21.65" customHeight="1" s="344">
      <c r="A400" s="180" t="n">
        <v>383</v>
      </c>
      <c r="B400" s="182" t="inlineStr">
        <is>
          <t>1C26TSA</t>
        </is>
      </c>
      <c r="C400" s="278" t="inlineStr">
        <is>
          <t>'9</t>
        </is>
      </c>
      <c r="D400" s="181" t="n">
        <v>46269</v>
      </c>
      <c r="E400" s="182" t="inlineStr">
        <is>
          <t>Công Ty Cổ Phần SARA Vũng Tàu</t>
        </is>
      </c>
      <c r="F400" s="278" t="inlineStr">
        <is>
          <t>'3502354632</t>
        </is>
      </c>
      <c r="G400" s="182" t="inlineStr">
        <is>
          <t>ĐIỆN MTMN T08-2026</t>
        </is>
      </c>
      <c r="H400" s="194" t="n">
        <v>4852025</v>
      </c>
      <c r="I400" s="180" t="n">
        <v>8</v>
      </c>
      <c r="J400" s="194" t="n">
        <v>388162</v>
      </c>
      <c r="K400" s="182" t="inlineStr">
        <is>
          <t>CK</t>
        </is>
      </c>
      <c r="L400" s="182" t="inlineStr">
        <is>
          <t>GL</t>
        </is>
      </c>
      <c r="M400" s="278" t="inlineStr">
        <is>
          <t>'3175</t>
        </is>
      </c>
      <c r="N400" s="181" t="n">
        <v>46295</v>
      </c>
      <c r="O400" s="181" t="n">
        <v>46295</v>
      </c>
      <c r="P400" s="194" t="n">
        <v>5240187</v>
      </c>
      <c r="Q400" s="180" t="inlineStr">
        <is>
          <t>Năng lượng mặt trời</t>
        </is>
      </c>
      <c r="R400" s="180" t="inlineStr">
        <is>
          <t>THAOPTT.HCM.VTA</t>
        </is>
      </c>
      <c r="S400" s="182" t="inlineStr">
        <is>
          <t>Not Reversed</t>
        </is>
      </c>
      <c r="T400" s="57">
        <f>IF(OR(LEN(F400)=11,LEN(F400)=15),"Đ","SAI")</f>
        <v/>
      </c>
      <c r="U400" s="529">
        <f>ROUND(H400*I400%,0)-J400</f>
        <v/>
      </c>
      <c r="V400" s="55">
        <f>IF(Q400=$V$12,13313,13311)</f>
        <v/>
      </c>
    </row>
    <row r="401" ht="21.65" customHeight="1" s="344">
      <c r="A401" s="180" t="n">
        <v>384</v>
      </c>
      <c r="B401" s="182" t="inlineStr">
        <is>
          <t>1C26TMQ</t>
        </is>
      </c>
      <c r="C401" s="278" t="inlineStr">
        <is>
          <t>'9</t>
        </is>
      </c>
      <c r="D401" s="181" t="n">
        <v>46269</v>
      </c>
      <c r="E401" s="182" t="inlineStr">
        <is>
          <t>Công ty TNHH Đầu Tư Năng Lượng Minh Quang</t>
        </is>
      </c>
      <c r="F401" s="278" t="inlineStr">
        <is>
          <t>'0316510342</t>
        </is>
      </c>
      <c r="G401" s="182" t="inlineStr">
        <is>
          <t>ĐIỆN MTMN T08-2026</t>
        </is>
      </c>
      <c r="H401" s="194" t="n">
        <v>183612835</v>
      </c>
      <c r="I401" s="180" t="n">
        <v>8</v>
      </c>
      <c r="J401" s="194" t="n">
        <v>14689027</v>
      </c>
      <c r="K401" s="182" t="inlineStr">
        <is>
          <t>CK</t>
        </is>
      </c>
      <c r="L401" s="182" t="inlineStr">
        <is>
          <t>GL</t>
        </is>
      </c>
      <c r="M401" s="278" t="inlineStr">
        <is>
          <t>'3175</t>
        </is>
      </c>
      <c r="N401" s="181" t="n">
        <v>46295</v>
      </c>
      <c r="O401" s="181" t="n">
        <v>46295</v>
      </c>
      <c r="P401" s="194" t="n">
        <v>198301862</v>
      </c>
      <c r="Q401" s="180" t="inlineStr">
        <is>
          <t>Năng lượng mặt trời</t>
        </is>
      </c>
      <c r="R401" s="180" t="inlineStr">
        <is>
          <t>THAOPTT.HCM.VTA</t>
        </is>
      </c>
      <c r="S401" s="182" t="inlineStr">
        <is>
          <t>Not Reversed</t>
        </is>
      </c>
      <c r="T401" s="57">
        <f>IF(OR(LEN(F401)=11,LEN(F401)=15),"Đ","SAI")</f>
        <v/>
      </c>
      <c r="U401" s="529">
        <f>ROUND(H401*I401%,0)-J401</f>
        <v/>
      </c>
      <c r="V401" s="55">
        <f>IF(Q401=$V$12,13313,13311)</f>
        <v/>
      </c>
    </row>
    <row r="402" ht="21.65" customHeight="1" s="344">
      <c r="A402" s="180" t="n">
        <v>385</v>
      </c>
      <c r="B402" s="182" t="inlineStr">
        <is>
          <t>1C26TPM</t>
        </is>
      </c>
      <c r="C402" s="278" t="inlineStr">
        <is>
          <t>'9</t>
        </is>
      </c>
      <c r="D402" s="181" t="n">
        <v>46269</v>
      </c>
      <c r="E402" s="182" t="inlineStr">
        <is>
          <t>Công ty TNHH Một Thành Viên Hoàng Nguyên SOLAR - PM1</t>
        </is>
      </c>
      <c r="F402" s="278" t="inlineStr">
        <is>
          <t>'0316388999</t>
        </is>
      </c>
      <c r="G402" s="182" t="inlineStr">
        <is>
          <t>ĐIỆN MTMN T08-2026</t>
        </is>
      </c>
      <c r="H402" s="194" t="n">
        <v>203700850</v>
      </c>
      <c r="I402" s="180" t="n">
        <v>8</v>
      </c>
      <c r="J402" s="194" t="n">
        <v>16296068</v>
      </c>
      <c r="K402" s="182" t="inlineStr">
        <is>
          <t>CK</t>
        </is>
      </c>
      <c r="L402" s="182" t="inlineStr">
        <is>
          <t>GL</t>
        </is>
      </c>
      <c r="M402" s="278" t="inlineStr">
        <is>
          <t>'3175</t>
        </is>
      </c>
      <c r="N402" s="181" t="n">
        <v>46295</v>
      </c>
      <c r="O402" s="181" t="n">
        <v>46295</v>
      </c>
      <c r="P402" s="194" t="n">
        <v>219996918</v>
      </c>
      <c r="Q402" s="180" t="inlineStr">
        <is>
          <t>Năng lượng mặt trời</t>
        </is>
      </c>
      <c r="R402" s="180" t="inlineStr">
        <is>
          <t>THAOPTT.HCM.VTA</t>
        </is>
      </c>
      <c r="S402" s="182" t="inlineStr">
        <is>
          <t>Not Reversed</t>
        </is>
      </c>
      <c r="T402" s="57">
        <f>IF(OR(LEN(F402)=11,LEN(F402)=15),"Đ","SAI")</f>
        <v/>
      </c>
      <c r="U402" s="529">
        <f>ROUND(H402*I402%,0)-J402</f>
        <v/>
      </c>
      <c r="V402" s="55">
        <f>IF(Q402=$V$12,13313,13311)</f>
        <v/>
      </c>
    </row>
    <row r="403" ht="21.65" customHeight="1" s="344">
      <c r="A403" s="180" t="n">
        <v>386</v>
      </c>
      <c r="B403" s="182" t="inlineStr">
        <is>
          <t>1C26THP</t>
        </is>
      </c>
      <c r="C403" s="278" t="inlineStr">
        <is>
          <t>'9</t>
        </is>
      </c>
      <c r="D403" s="181" t="n">
        <v>46269</v>
      </c>
      <c r="E403" s="182" t="inlineStr">
        <is>
          <t>Công ty TNHH Đầu Tư Trường Hưng Thịnh Phát</t>
        </is>
      </c>
      <c r="F403" s="278" t="inlineStr">
        <is>
          <t>'0314480043</t>
        </is>
      </c>
      <c r="G403" s="182" t="inlineStr">
        <is>
          <t>ĐIỆN MTMN T08-2026</t>
        </is>
      </c>
      <c r="H403" s="194" t="n">
        <v>183090795</v>
      </c>
      <c r="I403" s="180" t="n">
        <v>8</v>
      </c>
      <c r="J403" s="194" t="n">
        <v>14647264</v>
      </c>
      <c r="K403" s="182" t="inlineStr">
        <is>
          <t>CK</t>
        </is>
      </c>
      <c r="L403" s="182" t="inlineStr">
        <is>
          <t>GL</t>
        </is>
      </c>
      <c r="M403" s="278" t="inlineStr">
        <is>
          <t>'3175</t>
        </is>
      </c>
      <c r="N403" s="181" t="n">
        <v>46295</v>
      </c>
      <c r="O403" s="181" t="n">
        <v>46295</v>
      </c>
      <c r="P403" s="194" t="n">
        <v>197738059</v>
      </c>
      <c r="Q403" s="180" t="inlineStr">
        <is>
          <t>Năng lượng mặt trời</t>
        </is>
      </c>
      <c r="R403" s="180" t="inlineStr">
        <is>
          <t>THAOPTT.HCM.VTA</t>
        </is>
      </c>
      <c r="S403" s="182" t="inlineStr">
        <is>
          <t>Not Reversed</t>
        </is>
      </c>
      <c r="T403" s="57">
        <f>IF(OR(LEN(F403)=11,LEN(F403)=15),"Đ","SAI")</f>
        <v/>
      </c>
      <c r="U403" s="529">
        <f>ROUND(H403*I403%,0)-J403</f>
        <v/>
      </c>
      <c r="V403" s="55">
        <f>IF(Q403=$V$12,13313,13311)</f>
        <v/>
      </c>
    </row>
    <row r="404" ht="21.65" customHeight="1" s="344">
      <c r="A404" s="180" t="n">
        <v>387</v>
      </c>
      <c r="B404" s="182" t="inlineStr">
        <is>
          <t>1C26TPQ</t>
        </is>
      </c>
      <c r="C404" s="278" t="inlineStr">
        <is>
          <t>'9</t>
        </is>
      </c>
      <c r="D404" s="181" t="n">
        <v>46269</v>
      </c>
      <c r="E404" s="182" t="inlineStr">
        <is>
          <t>Công ty TNHH Đầu tư Năng lượng Phúc Quang</t>
        </is>
      </c>
      <c r="F404" s="278" t="inlineStr">
        <is>
          <t>'0316518285</t>
        </is>
      </c>
      <c r="G404" s="182" t="inlineStr">
        <is>
          <t>ĐIỆN MTMN T08-2026</t>
        </is>
      </c>
      <c r="H404" s="194" t="n">
        <v>92573690</v>
      </c>
      <c r="I404" s="180" t="n">
        <v>8</v>
      </c>
      <c r="J404" s="194" t="n">
        <v>7405895</v>
      </c>
      <c r="K404" s="182" t="inlineStr">
        <is>
          <t>CK</t>
        </is>
      </c>
      <c r="L404" s="182" t="inlineStr">
        <is>
          <t>GL</t>
        </is>
      </c>
      <c r="M404" s="278" t="inlineStr">
        <is>
          <t>'3175</t>
        </is>
      </c>
      <c r="N404" s="181" t="n">
        <v>46295</v>
      </c>
      <c r="O404" s="181" t="n">
        <v>46295</v>
      </c>
      <c r="P404" s="194" t="n">
        <v>99979585</v>
      </c>
      <c r="Q404" s="180" t="inlineStr">
        <is>
          <t>Năng lượng mặt trời</t>
        </is>
      </c>
      <c r="R404" s="180" t="inlineStr">
        <is>
          <t>THAOPTT.HCM.VTA</t>
        </is>
      </c>
      <c r="S404" s="182" t="inlineStr">
        <is>
          <t>Not Reversed</t>
        </is>
      </c>
      <c r="T404" s="57">
        <f>IF(OR(LEN(F404)=11,LEN(F404)=15),"Đ","SAI")</f>
        <v/>
      </c>
      <c r="U404" s="529">
        <f>ROUND(H404*I404%,0)-J404</f>
        <v/>
      </c>
      <c r="V404" s="55">
        <f>IF(Q404=$V$12,13313,13311)</f>
        <v/>
      </c>
    </row>
    <row r="405" ht="21.65" customHeight="1" s="344">
      <c r="A405" s="180" t="n">
        <v>388</v>
      </c>
      <c r="B405" s="182" t="inlineStr">
        <is>
          <t>1C26TPN</t>
        </is>
      </c>
      <c r="C405" s="278" t="inlineStr">
        <is>
          <t>'96</t>
        </is>
      </c>
      <c r="D405" s="181" t="n">
        <v>46269</v>
      </c>
      <c r="E405" s="182" t="inlineStr">
        <is>
          <t>Công Ty Cổ Phần Đầu Tư  Phương Nam</t>
        </is>
      </c>
      <c r="F405" s="278" t="inlineStr">
        <is>
          <t>'1300498814</t>
        </is>
      </c>
      <c r="G405" s="182" t="inlineStr">
        <is>
          <t>ĐIỆN MTMN T08-2026</t>
        </is>
      </c>
      <c r="H405" s="194" t="n">
        <v>45594300</v>
      </c>
      <c r="I405" s="180" t="n">
        <v>8</v>
      </c>
      <c r="J405" s="194" t="n">
        <v>3647544</v>
      </c>
      <c r="K405" s="182" t="inlineStr">
        <is>
          <t>CK</t>
        </is>
      </c>
      <c r="L405" s="182" t="inlineStr">
        <is>
          <t>GL</t>
        </is>
      </c>
      <c r="M405" s="278" t="inlineStr">
        <is>
          <t>'3175</t>
        </is>
      </c>
      <c r="N405" s="181" t="n">
        <v>46295</v>
      </c>
      <c r="O405" s="181" t="n">
        <v>46295</v>
      </c>
      <c r="P405" s="194" t="n">
        <v>49241844</v>
      </c>
      <c r="Q405" s="180" t="inlineStr">
        <is>
          <t>Năng lượng mặt trời</t>
        </is>
      </c>
      <c r="R405" s="180" t="inlineStr">
        <is>
          <t>THAOPTT.HCM.VTA</t>
        </is>
      </c>
      <c r="S405" s="182" t="inlineStr">
        <is>
          <t>Not Reversed</t>
        </is>
      </c>
      <c r="T405" s="57">
        <f>IF(OR(LEN(F405)=11,LEN(F405)=15),"Đ","SAI")</f>
        <v/>
      </c>
      <c r="U405" s="529">
        <f>ROUND(H405*I405%,0)-J405</f>
        <v/>
      </c>
      <c r="V405" s="55">
        <f>IF(Q405=$V$12,13313,13311)</f>
        <v/>
      </c>
    </row>
    <row r="406" ht="21.65" customHeight="1" s="344">
      <c r="A406" s="180" t="n">
        <v>389</v>
      </c>
      <c r="B406" s="182" t="inlineStr">
        <is>
          <t>1C26TYY</t>
        </is>
      </c>
      <c r="C406" s="278" t="inlineStr">
        <is>
          <t>'431</t>
        </is>
      </c>
      <c r="D406" s="181" t="n">
        <v>46178</v>
      </c>
      <c r="E406" s="182" t="inlineStr">
        <is>
          <t>Công ty Trách Nhiệm Hữu Hạn Lê Chính</t>
        </is>
      </c>
      <c r="F406" s="278" t="inlineStr">
        <is>
          <t>'3501495711</t>
        </is>
      </c>
      <c r="G406" s="182" t="inlineStr">
        <is>
          <t>ĐIỆN MTMN T05-2026</t>
        </is>
      </c>
      <c r="H406" s="194" t="n">
        <v>2105</v>
      </c>
      <c r="I406" s="180" t="n">
        <v>8</v>
      </c>
      <c r="J406" s="194" t="n">
        <v>168</v>
      </c>
      <c r="K406" s="182" t="inlineStr">
        <is>
          <t>CK</t>
        </is>
      </c>
      <c r="L406" s="182" t="inlineStr">
        <is>
          <t>GL</t>
        </is>
      </c>
      <c r="M406" s="278" t="inlineStr">
        <is>
          <t>'3175</t>
        </is>
      </c>
      <c r="N406" s="181" t="n">
        <v>46295</v>
      </c>
      <c r="O406" s="181" t="n">
        <v>46295</v>
      </c>
      <c r="P406" s="194" t="n">
        <v>2273</v>
      </c>
      <c r="Q406" s="180" t="inlineStr">
        <is>
          <t>Năng lượng mặt trời</t>
        </is>
      </c>
      <c r="R406" s="180" t="inlineStr">
        <is>
          <t>THAOPTT.HCM.VTA</t>
        </is>
      </c>
      <c r="S406" s="182" t="inlineStr">
        <is>
          <t>Not Reversed</t>
        </is>
      </c>
      <c r="T406" s="57">
        <f>IF(OR(LEN(F406)=11,LEN(F406)=15),"Đ","SAI")</f>
        <v/>
      </c>
      <c r="U406" s="529">
        <f>ROUND(H406*I406%,0)-J406</f>
        <v/>
      </c>
      <c r="V406" s="55">
        <f>IF(Q406=$V$12,13313,13311)</f>
        <v/>
      </c>
    </row>
    <row r="407" ht="21.65" customHeight="1" s="344">
      <c r="A407" s="180" t="n">
        <v>390</v>
      </c>
      <c r="B407" s="182" t="inlineStr">
        <is>
          <t>1C26TQS</t>
        </is>
      </c>
      <c r="C407" s="278" t="inlineStr">
        <is>
          <t>'146</t>
        </is>
      </c>
      <c r="D407" s="181" t="n">
        <v>46270</v>
      </c>
      <c r="E407" s="182" t="inlineStr">
        <is>
          <t>CÔNG TY TNHH QUANG SÁNG</t>
        </is>
      </c>
      <c r="F407" s="278" t="inlineStr">
        <is>
          <t>'3500385868</t>
        </is>
      </c>
      <c r="G407" s="182" t="inlineStr">
        <is>
          <t>ĐIỆN MTMN T08-2026</t>
        </is>
      </c>
      <c r="H407" s="194" t="n">
        <v>1279840</v>
      </c>
      <c r="I407" s="180" t="n">
        <v>8</v>
      </c>
      <c r="J407" s="194" t="n">
        <v>102387</v>
      </c>
      <c r="K407" s="182" t="inlineStr">
        <is>
          <t>CK</t>
        </is>
      </c>
      <c r="L407" s="182" t="inlineStr">
        <is>
          <t>GL</t>
        </is>
      </c>
      <c r="M407" s="278" t="inlineStr">
        <is>
          <t>'3175</t>
        </is>
      </c>
      <c r="N407" s="181" t="n">
        <v>46295</v>
      </c>
      <c r="O407" s="181" t="n">
        <v>46295</v>
      </c>
      <c r="P407" s="194" t="n">
        <v>1382227</v>
      </c>
      <c r="Q407" s="180" t="inlineStr">
        <is>
          <t>Năng lượng mặt trời</t>
        </is>
      </c>
      <c r="R407" s="180" t="inlineStr">
        <is>
          <t>THAOPTT.HCM.VTA</t>
        </is>
      </c>
      <c r="S407" s="182" t="inlineStr">
        <is>
          <t>Not Reversed</t>
        </is>
      </c>
      <c r="T407" s="57">
        <f>IF(OR(LEN(F407)=11,LEN(F407)=15),"Đ","SAI")</f>
        <v/>
      </c>
      <c r="U407" s="529">
        <f>ROUND(H407*I407%,0)-J407</f>
        <v/>
      </c>
      <c r="V407" s="55">
        <f>IF(Q407=$V$12,13313,13311)</f>
        <v/>
      </c>
    </row>
    <row r="408" ht="21.65" customFormat="1" customHeight="1" s="62">
      <c r="A408" s="180" t="n">
        <v>391</v>
      </c>
      <c r="B408" s="182" t="inlineStr">
        <is>
          <t>1C26TQS</t>
        </is>
      </c>
      <c r="C408" s="278" t="inlineStr">
        <is>
          <t>'147</t>
        </is>
      </c>
      <c r="D408" s="181" t="n">
        <v>46270</v>
      </c>
      <c r="E408" s="182" t="inlineStr">
        <is>
          <t>CÔNG TY TNHH QUANG SÁNG</t>
        </is>
      </c>
      <c r="F408" s="278" t="inlineStr">
        <is>
          <t>'3500385868</t>
        </is>
      </c>
      <c r="G408" s="182" t="inlineStr">
        <is>
          <t>ĐIỆN MTMN T08-2026</t>
        </is>
      </c>
      <c r="H408" s="194" t="n">
        <v>827265</v>
      </c>
      <c r="I408" s="180" t="n">
        <v>8</v>
      </c>
      <c r="J408" s="194" t="n">
        <v>66181</v>
      </c>
      <c r="K408" s="182" t="inlineStr">
        <is>
          <t>CK</t>
        </is>
      </c>
      <c r="L408" s="182" t="inlineStr">
        <is>
          <t>GL</t>
        </is>
      </c>
      <c r="M408" s="278" t="inlineStr">
        <is>
          <t>'3175</t>
        </is>
      </c>
      <c r="N408" s="181" t="n">
        <v>46295</v>
      </c>
      <c r="O408" s="181" t="n">
        <v>46295</v>
      </c>
      <c r="P408" s="194" t="n">
        <v>893446</v>
      </c>
      <c r="Q408" s="180" t="inlineStr">
        <is>
          <t>Năng lượng mặt trời</t>
        </is>
      </c>
      <c r="R408" s="180" t="inlineStr">
        <is>
          <t>THAOPTT.HCM.VTA</t>
        </is>
      </c>
      <c r="S408" s="182" t="inlineStr">
        <is>
          <t>Not Reversed</t>
        </is>
      </c>
      <c r="T408" s="57">
        <f>IF(OR(LEN(F408)=11,LEN(F408)=15),"Đ","SAI")</f>
        <v/>
      </c>
      <c r="U408" s="529">
        <f>ROUND(H408*I408%,0)-J408</f>
        <v/>
      </c>
      <c r="V408" s="55">
        <f>IF(Q408=$V$12,13313,13311)</f>
        <v/>
      </c>
    </row>
    <row r="409" ht="21.65" customHeight="1" s="344">
      <c r="A409" s="180" t="n">
        <v>392</v>
      </c>
      <c r="B409" s="182" t="inlineStr">
        <is>
          <t>1C26THQ</t>
        </is>
      </c>
      <c r="C409" s="278" t="inlineStr">
        <is>
          <t>'294</t>
        </is>
      </c>
      <c r="D409" s="181" t="n">
        <v>46270</v>
      </c>
      <c r="E409" s="182" t="inlineStr">
        <is>
          <t>Công Ty Cổ Phần Thương Mại  Kỹ Thuật Hà Quang</t>
        </is>
      </c>
      <c r="F409" s="278" t="inlineStr">
        <is>
          <t>'3500885684</t>
        </is>
      </c>
      <c r="G409" s="182" t="inlineStr">
        <is>
          <t>ĐIỆN MTMN T08-2026</t>
        </is>
      </c>
      <c r="H409" s="194" t="n">
        <v>684125</v>
      </c>
      <c r="I409" s="180" t="n">
        <v>8</v>
      </c>
      <c r="J409" s="194" t="n">
        <v>54730</v>
      </c>
      <c r="K409" s="182" t="inlineStr">
        <is>
          <t>CK</t>
        </is>
      </c>
      <c r="L409" s="182" t="inlineStr">
        <is>
          <t>GL</t>
        </is>
      </c>
      <c r="M409" s="278" t="inlineStr">
        <is>
          <t>'3175</t>
        </is>
      </c>
      <c r="N409" s="181" t="n">
        <v>46295</v>
      </c>
      <c r="O409" s="181" t="n">
        <v>46295</v>
      </c>
      <c r="P409" s="194" t="n">
        <v>738855</v>
      </c>
      <c r="Q409" s="180" t="inlineStr">
        <is>
          <t>Năng lượng mặt trời</t>
        </is>
      </c>
      <c r="R409" s="180" t="inlineStr">
        <is>
          <t>THAOPTT.HCM.VTA</t>
        </is>
      </c>
      <c r="S409" s="182" t="inlineStr">
        <is>
          <t>Not Reversed</t>
        </is>
      </c>
      <c r="T409" s="57">
        <f>IF(OR(LEN(F409)=11,LEN(F409)=15),"Đ","SAI")</f>
        <v/>
      </c>
      <c r="U409" s="529">
        <f>ROUND(H409*I409%,0)-J409</f>
        <v/>
      </c>
      <c r="V409" s="55">
        <f>IF(Q409=$V$12,13313,13311)</f>
        <v/>
      </c>
    </row>
    <row r="410" ht="21.65" customHeight="1" s="344">
      <c r="A410" s="180" t="n">
        <v>393</v>
      </c>
      <c r="B410" s="182" t="inlineStr">
        <is>
          <t>1C26THL</t>
        </is>
      </c>
      <c r="C410" s="278" t="inlineStr">
        <is>
          <t>'43</t>
        </is>
      </c>
      <c r="D410" s="181" t="n">
        <v>46270</v>
      </c>
      <c r="E410" s="182" t="inlineStr">
        <is>
          <t>Công Ty TNHH Nuôi Trồng Nấm Hòa Long</t>
        </is>
      </c>
      <c r="F410" s="278" t="inlineStr">
        <is>
          <t>'3502321651</t>
        </is>
      </c>
      <c r="G410" s="182" t="inlineStr">
        <is>
          <t>ĐIỆN MTMN T08-2026</t>
        </is>
      </c>
      <c r="H410" s="194" t="n">
        <v>2784915</v>
      </c>
      <c r="I410" s="180" t="n">
        <v>8</v>
      </c>
      <c r="J410" s="194" t="n">
        <v>222793</v>
      </c>
      <c r="K410" s="182" t="inlineStr">
        <is>
          <t>CK</t>
        </is>
      </c>
      <c r="L410" s="182" t="inlineStr">
        <is>
          <t>GL</t>
        </is>
      </c>
      <c r="M410" s="278" t="inlineStr">
        <is>
          <t>'3175</t>
        </is>
      </c>
      <c r="N410" s="181" t="n">
        <v>46295</v>
      </c>
      <c r="O410" s="181" t="n">
        <v>46295</v>
      </c>
      <c r="P410" s="194" t="n">
        <v>3007708</v>
      </c>
      <c r="Q410" s="180" t="inlineStr">
        <is>
          <t>Năng lượng mặt trời</t>
        </is>
      </c>
      <c r="R410" s="180" t="inlineStr">
        <is>
          <t>THAOPTT.HCM.VTA</t>
        </is>
      </c>
      <c r="S410" s="182" t="inlineStr">
        <is>
          <t>Not Reversed</t>
        </is>
      </c>
      <c r="T410" s="57">
        <f>IF(OR(LEN(F410)=11,LEN(F410)=15),"Đ","SAI")</f>
        <v/>
      </c>
      <c r="U410" s="529">
        <f>ROUND(H410*I410%,0)-J410</f>
        <v/>
      </c>
      <c r="V410" s="55">
        <f>IF(Q410=$V$12,13313,13311)</f>
        <v/>
      </c>
    </row>
    <row r="411" ht="21.65" customHeight="1" s="344">
      <c r="A411" s="180" t="n">
        <v>394</v>
      </c>
      <c r="B411" s="182" t="inlineStr">
        <is>
          <t>1C26TTD</t>
        </is>
      </c>
      <c r="C411" s="278" t="inlineStr">
        <is>
          <t>'9</t>
        </is>
      </c>
      <c r="D411" s="181" t="n">
        <v>46270</v>
      </c>
      <c r="E411" s="182" t="inlineStr">
        <is>
          <t>Doanh Nghiệp TN Trung Đức</t>
        </is>
      </c>
      <c r="F411" s="278" t="inlineStr">
        <is>
          <t>'3500419884</t>
        </is>
      </c>
      <c r="G411" s="182" t="inlineStr">
        <is>
          <t>ĐIỆN MTMN T08-2026</t>
        </is>
      </c>
      <c r="H411" s="194" t="n">
        <v>776745</v>
      </c>
      <c r="I411" s="180" t="n">
        <v>8</v>
      </c>
      <c r="J411" s="194" t="n">
        <v>62140</v>
      </c>
      <c r="K411" s="182" t="inlineStr">
        <is>
          <t>CK</t>
        </is>
      </c>
      <c r="L411" s="182" t="inlineStr">
        <is>
          <t>GL</t>
        </is>
      </c>
      <c r="M411" s="278" t="inlineStr">
        <is>
          <t>'3175</t>
        </is>
      </c>
      <c r="N411" s="181" t="n">
        <v>46295</v>
      </c>
      <c r="O411" s="181" t="n">
        <v>46295</v>
      </c>
      <c r="P411" s="194" t="n">
        <v>838885</v>
      </c>
      <c r="Q411" s="180" t="inlineStr">
        <is>
          <t>Năng lượng mặt trời</t>
        </is>
      </c>
      <c r="R411" s="180" t="inlineStr">
        <is>
          <t>THAOPTT.HCM.VTA</t>
        </is>
      </c>
      <c r="S411" s="182" t="inlineStr">
        <is>
          <t>Not Reversed</t>
        </is>
      </c>
      <c r="T411" s="57">
        <f>IF(OR(LEN(F411)=11,LEN(F411)=15),"Đ","SAI")</f>
        <v/>
      </c>
      <c r="U411" s="529">
        <f>ROUND(H411*I411%,0)-J411</f>
        <v/>
      </c>
      <c r="V411" s="55">
        <f>IF(Q411=$V$12,13313,13311)</f>
        <v/>
      </c>
    </row>
    <row r="412" ht="21.65" customHeight="1" s="344">
      <c r="A412" s="180" t="n">
        <v>395</v>
      </c>
      <c r="B412" s="182" t="inlineStr">
        <is>
          <t>1C26TGN</t>
        </is>
      </c>
      <c r="C412" s="278" t="inlineStr">
        <is>
          <t>'9</t>
        </is>
      </c>
      <c r="D412" s="181" t="n">
        <v>46270</v>
      </c>
      <c r="E412" s="182" t="inlineStr">
        <is>
          <t>Công ty TNHH Một Thành Viên Công nghệ - Năng Lượng Gia Nguyên</t>
        </is>
      </c>
      <c r="F412" s="278" t="inlineStr">
        <is>
          <t>'0316369756</t>
        </is>
      </c>
      <c r="G412" s="182" t="inlineStr">
        <is>
          <t>ĐIỆN MTMN T08-2026</t>
        </is>
      </c>
      <c r="H412" s="194" t="n">
        <v>173334120</v>
      </c>
      <c r="I412" s="180" t="n">
        <v>8</v>
      </c>
      <c r="J412" s="194" t="n">
        <v>13866730</v>
      </c>
      <c r="K412" s="182" t="inlineStr">
        <is>
          <t>CK</t>
        </is>
      </c>
      <c r="L412" s="182" t="inlineStr">
        <is>
          <t>GL</t>
        </is>
      </c>
      <c r="M412" s="278" t="inlineStr">
        <is>
          <t>'3175</t>
        </is>
      </c>
      <c r="N412" s="181" t="n">
        <v>46295</v>
      </c>
      <c r="O412" s="181" t="n">
        <v>46295</v>
      </c>
      <c r="P412" s="194" t="n">
        <v>187200850</v>
      </c>
      <c r="Q412" s="180" t="inlineStr">
        <is>
          <t>Năng lượng mặt trời</t>
        </is>
      </c>
      <c r="R412" s="180" t="inlineStr">
        <is>
          <t>THAOPTT.HCM.VTA</t>
        </is>
      </c>
      <c r="S412" s="182" t="inlineStr">
        <is>
          <t>Not Reversed</t>
        </is>
      </c>
      <c r="T412" s="57">
        <f>IF(OR(LEN(F412)=11,LEN(F412)=15),"Đ","SAI")</f>
        <v/>
      </c>
      <c r="U412" s="529">
        <f>ROUND(H412*I412%,0)-J412</f>
        <v/>
      </c>
      <c r="V412" s="55">
        <f>IF(Q412=$V$12,13313,13311)</f>
        <v/>
      </c>
    </row>
    <row r="413" ht="21.65" customHeight="1" s="344">
      <c r="A413" s="180" t="n">
        <v>396</v>
      </c>
      <c r="B413" s="182" t="inlineStr">
        <is>
          <t>1C26THS</t>
        </is>
      </c>
      <c r="C413" s="278" t="inlineStr">
        <is>
          <t>'9</t>
        </is>
      </c>
      <c r="D413" s="181" t="n">
        <v>46270</v>
      </c>
      <c r="E413" s="182" t="inlineStr">
        <is>
          <t>Công ty TNHH Công nghệ - Năng Lượng Hưng Hải Sơn</t>
        </is>
      </c>
      <c r="F413" s="278" t="inlineStr">
        <is>
          <t>'0316413532</t>
        </is>
      </c>
      <c r="G413" s="182" t="inlineStr">
        <is>
          <t>ĐIỆN MTMN T08-2026</t>
        </is>
      </c>
      <c r="H413" s="194" t="n">
        <v>113213215</v>
      </c>
      <c r="I413" s="180" t="n">
        <v>8</v>
      </c>
      <c r="J413" s="194" t="n">
        <v>9057057</v>
      </c>
      <c r="K413" s="182" t="inlineStr">
        <is>
          <t>CK</t>
        </is>
      </c>
      <c r="L413" s="182" t="inlineStr">
        <is>
          <t>GL</t>
        </is>
      </c>
      <c r="M413" s="278" t="inlineStr">
        <is>
          <t>'3175</t>
        </is>
      </c>
      <c r="N413" s="181" t="n">
        <v>46295</v>
      </c>
      <c r="O413" s="181" t="n">
        <v>46295</v>
      </c>
      <c r="P413" s="194" t="n">
        <v>122270272</v>
      </c>
      <c r="Q413" s="180" t="inlineStr">
        <is>
          <t>Năng lượng mặt trời</t>
        </is>
      </c>
      <c r="R413" s="180" t="inlineStr">
        <is>
          <t>THAOPTT.HCM.VTA</t>
        </is>
      </c>
      <c r="S413" s="182" t="inlineStr">
        <is>
          <t>Not Reversed</t>
        </is>
      </c>
      <c r="T413" s="57">
        <f>IF(OR(LEN(F413)=11,LEN(F413)=15),"Đ","SAI")</f>
        <v/>
      </c>
      <c r="U413" s="529">
        <f>ROUND(H413*I413%,0)-J413</f>
        <v/>
      </c>
      <c r="V413" s="55">
        <f>IF(Q413=$V$12,13313,13311)</f>
        <v/>
      </c>
    </row>
    <row r="414" ht="21.65" customHeight="1" s="344">
      <c r="A414" s="180" t="n">
        <v>397</v>
      </c>
      <c r="B414" s="182" t="inlineStr">
        <is>
          <t>1C26TTA</t>
        </is>
      </c>
      <c r="C414" s="278" t="inlineStr">
        <is>
          <t>'17</t>
        </is>
      </c>
      <c r="D414" s="181" t="n">
        <v>46271</v>
      </c>
      <c r="E414" s="182" t="inlineStr">
        <is>
          <t>Công ty TNHH Đầu Tư Trường An Solar</t>
        </is>
      </c>
      <c r="F414" s="278" t="inlineStr">
        <is>
          <t>'0315553664</t>
        </is>
      </c>
      <c r="G414" s="182" t="inlineStr">
        <is>
          <t>ĐIỆN MTMN T08-2026</t>
        </is>
      </c>
      <c r="H414" s="194" t="n">
        <v>214574328</v>
      </c>
      <c r="I414" s="180" t="n">
        <v>8</v>
      </c>
      <c r="J414" s="194" t="n">
        <v>17165946</v>
      </c>
      <c r="K414" s="182" t="inlineStr">
        <is>
          <t>CK</t>
        </is>
      </c>
      <c r="L414" s="182" t="inlineStr">
        <is>
          <t>GL</t>
        </is>
      </c>
      <c r="M414" s="278" t="inlineStr">
        <is>
          <t>'3175</t>
        </is>
      </c>
      <c r="N414" s="181" t="n">
        <v>46295</v>
      </c>
      <c r="O414" s="181" t="n">
        <v>46295</v>
      </c>
      <c r="P414" s="194" t="n">
        <v>231740274</v>
      </c>
      <c r="Q414" s="180" t="inlineStr">
        <is>
          <t>Năng lượng mặt trời</t>
        </is>
      </c>
      <c r="R414" s="180" t="inlineStr">
        <is>
          <t>THAOPTT.HCM.VTA</t>
        </is>
      </c>
      <c r="S414" s="182" t="inlineStr">
        <is>
          <t>Not Reversed</t>
        </is>
      </c>
      <c r="T414" s="57">
        <f>IF(OR(LEN(F414)=11,LEN(F414)=15),"Đ","SAI")</f>
        <v/>
      </c>
      <c r="U414" s="529">
        <f>ROUND(H414*I414%,0)-J414</f>
        <v/>
      </c>
      <c r="V414" s="55">
        <f>IF(Q414=$V$12,13313,13311)</f>
        <v/>
      </c>
    </row>
    <row r="415" ht="21.65" customHeight="1" s="344">
      <c r="A415" s="180" t="n">
        <v>398</v>
      </c>
      <c r="B415" s="182" t="inlineStr">
        <is>
          <t>1C26TAP</t>
        </is>
      </c>
      <c r="C415" s="278" t="inlineStr">
        <is>
          <t>'9</t>
        </is>
      </c>
      <c r="D415" s="181" t="n">
        <v>46271</v>
      </c>
      <c r="E415" s="182" t="inlineStr">
        <is>
          <t>Công ty TNHH Sản Xuất Thương Mại Dịch Vụ Xuất Nhập Khẩu An Phát</t>
        </is>
      </c>
      <c r="F415" s="278" t="inlineStr">
        <is>
          <t>'0316226652</t>
        </is>
      </c>
      <c r="G415" s="182" t="inlineStr">
        <is>
          <t>ĐIỆN MTMN T08-2026</t>
        </is>
      </c>
      <c r="H415" s="194" t="n">
        <v>226178040</v>
      </c>
      <c r="I415" s="180" t="n">
        <v>8</v>
      </c>
      <c r="J415" s="194" t="n">
        <v>18094243</v>
      </c>
      <c r="K415" s="182" t="inlineStr">
        <is>
          <t>CK</t>
        </is>
      </c>
      <c r="L415" s="182" t="inlineStr">
        <is>
          <t>GL</t>
        </is>
      </c>
      <c r="M415" s="278" t="inlineStr">
        <is>
          <t>'3175</t>
        </is>
      </c>
      <c r="N415" s="181" t="n">
        <v>46295</v>
      </c>
      <c r="O415" s="181" t="n">
        <v>46295</v>
      </c>
      <c r="P415" s="194" t="n">
        <v>244272283</v>
      </c>
      <c r="Q415" s="180" t="inlineStr">
        <is>
          <t>Năng lượng mặt trời</t>
        </is>
      </c>
      <c r="R415" s="180" t="inlineStr">
        <is>
          <t>THAOPTT.HCM.VTA</t>
        </is>
      </c>
      <c r="S415" s="182" t="inlineStr">
        <is>
          <t>Not Reversed</t>
        </is>
      </c>
      <c r="T415" s="57">
        <f>IF(OR(LEN(F415)=11,LEN(F415)=15),"Đ","SAI")</f>
        <v/>
      </c>
      <c r="U415" s="529">
        <f>ROUND(H415*I415%,0)-J415</f>
        <v/>
      </c>
      <c r="V415" s="55">
        <f>IF(Q415=$V$12,13313,13311)</f>
        <v/>
      </c>
    </row>
    <row r="416" ht="21.65" customHeight="1" s="344">
      <c r="A416" s="180" t="n">
        <v>399</v>
      </c>
      <c r="B416" s="182" t="inlineStr">
        <is>
          <t>1C26MHC</t>
        </is>
      </c>
      <c r="C416" s="278" t="inlineStr">
        <is>
          <t>'771</t>
        </is>
      </c>
      <c r="D416" s="181" t="n">
        <v>46241</v>
      </c>
      <c r="E416" s="182" t="inlineStr">
        <is>
          <t>CÔNG TY TNHH DỊCH VỤ DU LỊCH KHÁCH SẠN THC</t>
        </is>
      </c>
      <c r="F416" s="278" t="inlineStr">
        <is>
          <t>'3502467178</t>
        </is>
      </c>
      <c r="G416" s="182" t="inlineStr">
        <is>
          <t>ĐIỆN MTMN T07-2026</t>
        </is>
      </c>
      <c r="H416" s="194" t="n">
        <v>25260</v>
      </c>
      <c r="I416" s="180" t="n">
        <v>8</v>
      </c>
      <c r="J416" s="194" t="n">
        <v>2021</v>
      </c>
      <c r="K416" s="182" t="inlineStr">
        <is>
          <t>CK</t>
        </is>
      </c>
      <c r="L416" s="182" t="inlineStr">
        <is>
          <t>GL</t>
        </is>
      </c>
      <c r="M416" s="278" t="inlineStr">
        <is>
          <t>'3175</t>
        </is>
      </c>
      <c r="N416" s="181" t="n">
        <v>46295</v>
      </c>
      <c r="O416" s="181" t="n">
        <v>46295</v>
      </c>
      <c r="P416" s="194" t="n">
        <v>27281</v>
      </c>
      <c r="Q416" s="180" t="inlineStr">
        <is>
          <t>Năng lượng mặt trời</t>
        </is>
      </c>
      <c r="R416" s="180" t="inlineStr">
        <is>
          <t>THAOPTT.HCM.VTA</t>
        </is>
      </c>
      <c r="S416" s="182" t="inlineStr">
        <is>
          <t>Not Reversed</t>
        </is>
      </c>
      <c r="T416" s="57">
        <f>IF(OR(LEN(F416)=11,LEN(F416)=15),"Đ","SAI")</f>
        <v/>
      </c>
      <c r="U416" s="529">
        <f>ROUND(H416*I416%,0)-J416</f>
        <v/>
      </c>
      <c r="V416" s="55">
        <f>IF(Q416=$V$12,13313,13311)</f>
        <v/>
      </c>
    </row>
    <row r="417" ht="21.65" customHeight="1" s="344">
      <c r="A417" s="180" t="n">
        <v>400</v>
      </c>
      <c r="B417" s="182" t="inlineStr">
        <is>
          <t>1C26TDP</t>
        </is>
      </c>
      <c r="C417" s="278" t="inlineStr">
        <is>
          <t>'100</t>
        </is>
      </c>
      <c r="D417" s="181" t="n">
        <v>46272</v>
      </c>
      <c r="E417" s="182" t="inlineStr">
        <is>
          <t>Cty TNHH Đông Phong</t>
        </is>
      </c>
      <c r="F417" s="278" t="inlineStr">
        <is>
          <t>'3500689369</t>
        </is>
      </c>
      <c r="G417" s="182" t="inlineStr">
        <is>
          <t>ĐIỆN MTMN T08-2026</t>
        </is>
      </c>
      <c r="H417" s="194" t="n">
        <v>614660</v>
      </c>
      <c r="I417" s="180" t="n">
        <v>8</v>
      </c>
      <c r="J417" s="194" t="n">
        <v>49173</v>
      </c>
      <c r="K417" s="182" t="inlineStr">
        <is>
          <t>CK</t>
        </is>
      </c>
      <c r="L417" s="182" t="inlineStr">
        <is>
          <t>GL</t>
        </is>
      </c>
      <c r="M417" s="278" t="inlineStr">
        <is>
          <t>'3175</t>
        </is>
      </c>
      <c r="N417" s="181" t="n">
        <v>46295</v>
      </c>
      <c r="O417" s="181" t="n">
        <v>46295</v>
      </c>
      <c r="P417" s="194" t="n">
        <v>663833</v>
      </c>
      <c r="Q417" s="180" t="inlineStr">
        <is>
          <t>Năng lượng mặt trời</t>
        </is>
      </c>
      <c r="R417" s="180" t="inlineStr">
        <is>
          <t>THAOPTT.HCM.VTA</t>
        </is>
      </c>
      <c r="S417" s="182" t="inlineStr">
        <is>
          <t>Not Reversed</t>
        </is>
      </c>
      <c r="T417" s="57">
        <f>IF(OR(LEN(F417)=11,LEN(F417)=15),"Đ","SAI")</f>
        <v/>
      </c>
      <c r="U417" s="529">
        <f>ROUND(H417*I417%,0)-J417</f>
        <v/>
      </c>
      <c r="V417" s="55">
        <f>IF(Q417=$V$12,13313,13311)</f>
        <v/>
      </c>
    </row>
    <row r="418" ht="21.65" customHeight="1" s="344">
      <c r="A418" s="180" t="n">
        <v>401</v>
      </c>
      <c r="B418" s="182" t="inlineStr">
        <is>
          <t>1C26TBH</t>
        </is>
      </c>
      <c r="C418" s="278" t="inlineStr">
        <is>
          <t>'11</t>
        </is>
      </c>
      <c r="D418" s="181" t="n">
        <v>46272</v>
      </c>
      <c r="E418" s="182" t="inlineStr">
        <is>
          <t>Công ty TNHH Dịch vụ Kỹ thuật Bắc Hải</t>
        </is>
      </c>
      <c r="F418" s="278" t="inlineStr">
        <is>
          <t>'3502264883</t>
        </is>
      </c>
      <c r="G418" s="182" t="inlineStr">
        <is>
          <t>ĐIỆN MTMN T08-2026</t>
        </is>
      </c>
      <c r="H418" s="194" t="n">
        <v>256755270</v>
      </c>
      <c r="I418" s="180" t="n">
        <v>8</v>
      </c>
      <c r="J418" s="194" t="n">
        <v>20540422</v>
      </c>
      <c r="K418" s="182" t="inlineStr">
        <is>
          <t>CK</t>
        </is>
      </c>
      <c r="L418" s="182" t="inlineStr">
        <is>
          <t>GL</t>
        </is>
      </c>
      <c r="M418" s="278" t="inlineStr">
        <is>
          <t>'3175</t>
        </is>
      </c>
      <c r="N418" s="181" t="n">
        <v>46295</v>
      </c>
      <c r="O418" s="181" t="n">
        <v>46295</v>
      </c>
      <c r="P418" s="194" t="n">
        <v>277295692</v>
      </c>
      <c r="Q418" s="180" t="inlineStr">
        <is>
          <t>Năng lượng mặt trời</t>
        </is>
      </c>
      <c r="R418" s="180" t="inlineStr">
        <is>
          <t>THAOPTT.HCM.VTA</t>
        </is>
      </c>
      <c r="S418" s="182" t="inlineStr">
        <is>
          <t>Not Reversed</t>
        </is>
      </c>
      <c r="T418" s="57">
        <f>IF(OR(LEN(F418)=11,LEN(F418)=15),"Đ","SAI")</f>
        <v/>
      </c>
      <c r="U418" s="529">
        <f>ROUND(H418*I418%,0)-J418</f>
        <v/>
      </c>
      <c r="V418" s="55">
        <f>IF(Q418=$V$12,13313,13311)</f>
        <v/>
      </c>
    </row>
    <row r="419" ht="21.65" customHeight="1" s="344">
      <c r="A419" s="180" t="n">
        <v>402</v>
      </c>
      <c r="B419" s="182" t="inlineStr">
        <is>
          <t>1C26TNT</t>
        </is>
      </c>
      <c r="C419" s="278" t="inlineStr">
        <is>
          <t>'128</t>
        </is>
      </c>
      <c r="D419" s="181" t="n">
        <v>46272</v>
      </c>
      <c r="E419" s="182" t="inlineStr">
        <is>
          <t>Công ty TNHH Năng Lượng GELEX Ninh Thuận</t>
        </is>
      </c>
      <c r="F419" s="278" t="inlineStr">
        <is>
          <t>'4500618017</t>
        </is>
      </c>
      <c r="G419" s="182" t="inlineStr">
        <is>
          <t>ĐIỆN MTMN T08-2026</t>
        </is>
      </c>
      <c r="H419" s="194" t="n">
        <v>191906535</v>
      </c>
      <c r="I419" s="180" t="n">
        <v>8</v>
      </c>
      <c r="J419" s="194" t="n">
        <v>15352523</v>
      </c>
      <c r="K419" s="182" t="inlineStr">
        <is>
          <t>CK</t>
        </is>
      </c>
      <c r="L419" s="182" t="inlineStr">
        <is>
          <t>GL</t>
        </is>
      </c>
      <c r="M419" s="278" t="inlineStr">
        <is>
          <t>'3175</t>
        </is>
      </c>
      <c r="N419" s="181" t="n">
        <v>46295</v>
      </c>
      <c r="O419" s="181" t="n">
        <v>46295</v>
      </c>
      <c r="P419" s="194" t="n">
        <v>207259058</v>
      </c>
      <c r="Q419" s="180" t="inlineStr">
        <is>
          <t>Năng lượng mặt trời</t>
        </is>
      </c>
      <c r="R419" s="180" t="inlineStr">
        <is>
          <t>THAOPTT.HCM.VTA</t>
        </is>
      </c>
      <c r="S419" s="182" t="inlineStr">
        <is>
          <t>Not Reversed</t>
        </is>
      </c>
      <c r="T419" s="57">
        <f>IF(OR(LEN(F419)=11,LEN(F419)=15),"Đ","SAI")</f>
        <v/>
      </c>
      <c r="U419" s="529">
        <f>ROUND(H419*I419%,0)-J419</f>
        <v/>
      </c>
      <c r="V419" s="55">
        <f>IF(Q419=$V$12,13313,13311)</f>
        <v/>
      </c>
    </row>
    <row r="420" ht="21.65" customHeight="1" s="344">
      <c r="A420" s="180" t="n">
        <v>403</v>
      </c>
      <c r="B420" s="182" t="inlineStr">
        <is>
          <t>1C26TNT</t>
        </is>
      </c>
      <c r="C420" s="278" t="inlineStr">
        <is>
          <t>'129</t>
        </is>
      </c>
      <c r="D420" s="181" t="n">
        <v>46272</v>
      </c>
      <c r="E420" s="182" t="inlineStr">
        <is>
          <t>Công ty TNHH Năng Lượng GELEX Ninh Thuận</t>
        </is>
      </c>
      <c r="F420" s="278" t="inlineStr">
        <is>
          <t>'4500618017</t>
        </is>
      </c>
      <c r="G420" s="182" t="inlineStr">
        <is>
          <t>ĐIỆN MTMN T08-2026</t>
        </is>
      </c>
      <c r="H420" s="194" t="n">
        <v>215834070</v>
      </c>
      <c r="I420" s="180" t="n">
        <v>8</v>
      </c>
      <c r="J420" s="194" t="n">
        <v>17266726</v>
      </c>
      <c r="K420" s="182" t="inlineStr">
        <is>
          <t>CK</t>
        </is>
      </c>
      <c r="L420" s="182" t="inlineStr">
        <is>
          <t>GL</t>
        </is>
      </c>
      <c r="M420" s="278" t="inlineStr">
        <is>
          <t>'3175</t>
        </is>
      </c>
      <c r="N420" s="181" t="n">
        <v>46295</v>
      </c>
      <c r="O420" s="181" t="n">
        <v>46295</v>
      </c>
      <c r="P420" s="194" t="n">
        <v>233100796</v>
      </c>
      <c r="Q420" s="180" t="inlineStr">
        <is>
          <t>Năng lượng mặt trời</t>
        </is>
      </c>
      <c r="R420" s="180" t="inlineStr">
        <is>
          <t>THAOPTT.HCM.VTA</t>
        </is>
      </c>
      <c r="S420" s="182" t="inlineStr">
        <is>
          <t>Not Reversed</t>
        </is>
      </c>
      <c r="T420" s="57">
        <f>IF(OR(LEN(F420)=11,LEN(F420)=15),"Đ","SAI")</f>
        <v/>
      </c>
      <c r="U420" s="529">
        <f>ROUND(H420*I420%,0)-J420</f>
        <v/>
      </c>
      <c r="V420" s="55">
        <f>IF(Q420=$V$12,13313,13311)</f>
        <v/>
      </c>
    </row>
    <row r="421" ht="21.65" customHeight="1" s="344">
      <c r="A421" s="180" t="n">
        <v>404</v>
      </c>
      <c r="B421" s="182" t="inlineStr">
        <is>
          <t>1C26TNT</t>
        </is>
      </c>
      <c r="C421" s="278" t="inlineStr">
        <is>
          <t>'130</t>
        </is>
      </c>
      <c r="D421" s="181" t="n">
        <v>46272</v>
      </c>
      <c r="E421" s="182" t="inlineStr">
        <is>
          <t>Công ty TNHH Năng Lượng GELEX Ninh Thuận</t>
        </is>
      </c>
      <c r="F421" s="278" t="inlineStr">
        <is>
          <t>'4500618017</t>
        </is>
      </c>
      <c r="G421" s="182" t="inlineStr">
        <is>
          <t>ĐIỆN MTMN T08-2026</t>
        </is>
      </c>
      <c r="H421" s="194" t="n">
        <v>134185330</v>
      </c>
      <c r="I421" s="180" t="n">
        <v>8</v>
      </c>
      <c r="J421" s="194" t="n">
        <v>10734826</v>
      </c>
      <c r="K421" s="182" t="inlineStr">
        <is>
          <t>CK</t>
        </is>
      </c>
      <c r="L421" s="182" t="inlineStr">
        <is>
          <t>GL</t>
        </is>
      </c>
      <c r="M421" s="278" t="inlineStr">
        <is>
          <t>'3175</t>
        </is>
      </c>
      <c r="N421" s="181" t="n">
        <v>46295</v>
      </c>
      <c r="O421" s="181" t="n">
        <v>46295</v>
      </c>
      <c r="P421" s="194" t="n">
        <v>144920156</v>
      </c>
      <c r="Q421" s="180" t="inlineStr">
        <is>
          <t>Năng lượng mặt trời</t>
        </is>
      </c>
      <c r="R421" s="180" t="inlineStr">
        <is>
          <t>THAOPTT.HCM.VTA</t>
        </is>
      </c>
      <c r="S421" s="182" t="inlineStr">
        <is>
          <t>Not Reversed</t>
        </is>
      </c>
      <c r="T421" s="57">
        <f>IF(OR(LEN(F421)=11,LEN(F421)=15),"Đ","SAI")</f>
        <v/>
      </c>
      <c r="U421" s="529">
        <f>ROUND(H421*I421%,0)-J421</f>
        <v/>
      </c>
      <c r="V421" s="55">
        <f>IF(Q421=$V$12,13313,13311)</f>
        <v/>
      </c>
    </row>
    <row r="422" ht="21.65" customHeight="1" s="344">
      <c r="A422" s="180" t="n">
        <v>405</v>
      </c>
      <c r="B422" s="182" t="inlineStr">
        <is>
          <t>1C26TTT</t>
        </is>
      </c>
      <c r="C422" s="278" t="inlineStr">
        <is>
          <t>'18</t>
        </is>
      </c>
      <c r="D422" s="181" t="n">
        <v>46272</v>
      </c>
      <c r="E422" s="182" t="inlineStr">
        <is>
          <t>Công ty Cổ Phần Năng Lượng Thanh Tùng</t>
        </is>
      </c>
      <c r="F422" s="278" t="inlineStr">
        <is>
          <t>'0109288851</t>
        </is>
      </c>
      <c r="G422" s="182" t="inlineStr">
        <is>
          <t>ĐIỆN MTMN T08-2026</t>
        </is>
      </c>
      <c r="H422" s="194" t="n">
        <v>29143725</v>
      </c>
      <c r="I422" s="180" t="n">
        <v>8</v>
      </c>
      <c r="J422" s="194" t="n">
        <v>2331498</v>
      </c>
      <c r="K422" s="182" t="inlineStr">
        <is>
          <t>CK</t>
        </is>
      </c>
      <c r="L422" s="182" t="inlineStr">
        <is>
          <t>GL</t>
        </is>
      </c>
      <c r="M422" s="278" t="inlineStr">
        <is>
          <t>'3175</t>
        </is>
      </c>
      <c r="N422" s="181" t="n">
        <v>46295</v>
      </c>
      <c r="O422" s="181" t="n">
        <v>46295</v>
      </c>
      <c r="P422" s="194" t="n">
        <v>31475223</v>
      </c>
      <c r="Q422" s="180" t="inlineStr">
        <is>
          <t>Năng lượng mặt trời</t>
        </is>
      </c>
      <c r="R422" s="180" t="inlineStr">
        <is>
          <t>THAOPTT.HCM.VTA</t>
        </is>
      </c>
      <c r="S422" s="182" t="inlineStr">
        <is>
          <t>Not Reversed</t>
        </is>
      </c>
      <c r="T422" s="57">
        <f>IF(OR(LEN(F422)=11,LEN(F422)=15),"Đ","SAI")</f>
        <v/>
      </c>
      <c r="U422" s="529">
        <f>ROUND(H422*I422%,0)-J422</f>
        <v/>
      </c>
      <c r="V422" s="55">
        <f>IF(Q422=$V$12,13313,13311)</f>
        <v/>
      </c>
    </row>
    <row r="423" ht="21.65" customHeight="1" s="344">
      <c r="A423" s="180" t="n">
        <v>406</v>
      </c>
      <c r="B423" s="182" t="inlineStr">
        <is>
          <t>1C26TMN</t>
        </is>
      </c>
      <c r="C423" s="278" t="inlineStr">
        <is>
          <t>'26</t>
        </is>
      </c>
      <c r="D423" s="181" t="n">
        <v>46272</v>
      </c>
      <c r="E423" s="182" t="inlineStr">
        <is>
          <t>Công ty TNHH Điện Mặt Trời Mái Nhà</t>
        </is>
      </c>
      <c r="F423" s="278" t="inlineStr">
        <is>
          <t>'4500643493</t>
        </is>
      </c>
      <c r="G423" s="182" t="inlineStr">
        <is>
          <t>ĐIỆN MTMN T08-2026</t>
        </is>
      </c>
      <c r="H423" s="194" t="n">
        <v>176304275</v>
      </c>
      <c r="I423" s="180" t="n">
        <v>8</v>
      </c>
      <c r="J423" s="194" t="n">
        <v>14104342</v>
      </c>
      <c r="K423" s="182" t="inlineStr">
        <is>
          <t>CK</t>
        </is>
      </c>
      <c r="L423" s="182" t="inlineStr">
        <is>
          <t>GL</t>
        </is>
      </c>
      <c r="M423" s="278" t="inlineStr">
        <is>
          <t>'3175</t>
        </is>
      </c>
      <c r="N423" s="181" t="n">
        <v>46295</v>
      </c>
      <c r="O423" s="181" t="n">
        <v>46295</v>
      </c>
      <c r="P423" s="194" t="n">
        <v>190408617</v>
      </c>
      <c r="Q423" s="180" t="inlineStr">
        <is>
          <t>Năng lượng mặt trời</t>
        </is>
      </c>
      <c r="R423" s="180" t="inlineStr">
        <is>
          <t>THAOPTT.HCM.VTA</t>
        </is>
      </c>
      <c r="S423" s="182" t="inlineStr">
        <is>
          <t>Not Reversed</t>
        </is>
      </c>
      <c r="T423" s="57">
        <f>IF(OR(LEN(F423)=11,LEN(F423)=15),"Đ","SAI")</f>
        <v/>
      </c>
      <c r="U423" s="529">
        <f>ROUND(H423*I423%,0)-J423</f>
        <v/>
      </c>
      <c r="V423" s="55">
        <f>IF(Q423=$V$12,13313,13311)</f>
        <v/>
      </c>
    </row>
    <row r="424" ht="21.65" customHeight="1" s="344">
      <c r="A424" s="180" t="n">
        <v>407</v>
      </c>
      <c r="B424" s="182" t="inlineStr">
        <is>
          <t>1C26TSS</t>
        </is>
      </c>
      <c r="C424" s="278" t="inlineStr">
        <is>
          <t>'28</t>
        </is>
      </c>
      <c r="D424" s="181" t="n">
        <v>46272</v>
      </c>
      <c r="E424" s="182" t="inlineStr">
        <is>
          <t>Công ty TNHH Năng Lượng SUN TIMES 3</t>
        </is>
      </c>
      <c r="F424" s="278" t="inlineStr">
        <is>
          <t>'0316355104</t>
        </is>
      </c>
      <c r="G424" s="182" t="inlineStr">
        <is>
          <t>ĐIỆN MTMN T08-2026</t>
        </is>
      </c>
      <c r="H424" s="194" t="n">
        <v>209298045</v>
      </c>
      <c r="I424" s="180" t="n">
        <v>8</v>
      </c>
      <c r="J424" s="194" t="n">
        <v>16743844</v>
      </c>
      <c r="K424" s="182" t="inlineStr">
        <is>
          <t>CK</t>
        </is>
      </c>
      <c r="L424" s="182" t="inlineStr">
        <is>
          <t>GL</t>
        </is>
      </c>
      <c r="M424" s="278" t="inlineStr">
        <is>
          <t>'3175</t>
        </is>
      </c>
      <c r="N424" s="181" t="n">
        <v>46295</v>
      </c>
      <c r="O424" s="181" t="n">
        <v>46295</v>
      </c>
      <c r="P424" s="194" t="n">
        <v>226041889</v>
      </c>
      <c r="Q424" s="180" t="inlineStr">
        <is>
          <t>Năng lượng mặt trời</t>
        </is>
      </c>
      <c r="R424" s="180" t="inlineStr">
        <is>
          <t>THAOPTT.HCM.VTA</t>
        </is>
      </c>
      <c r="S424" s="182" t="inlineStr">
        <is>
          <t>Not Reversed</t>
        </is>
      </c>
      <c r="T424" s="57">
        <f>IF(OR(LEN(F424)=11,LEN(F424)=15),"Đ","SAI")</f>
        <v/>
      </c>
      <c r="U424" s="529">
        <f>ROUND(H424*I424%,0)-J424</f>
        <v/>
      </c>
      <c r="V424" s="55">
        <f>IF(Q424=$V$12,13313,13311)</f>
        <v/>
      </c>
    </row>
    <row r="425" ht="21.65" customHeight="1" s="344">
      <c r="A425" s="180" t="n">
        <v>408</v>
      </c>
      <c r="B425" s="182" t="inlineStr">
        <is>
          <t>1C26TSS</t>
        </is>
      </c>
      <c r="C425" s="278" t="inlineStr">
        <is>
          <t>'28</t>
        </is>
      </c>
      <c r="D425" s="181" t="n">
        <v>46272</v>
      </c>
      <c r="E425" s="182" t="inlineStr">
        <is>
          <t>Công ty TNHH Năng Lượng SUN TIMES 6</t>
        </is>
      </c>
      <c r="F425" s="278" t="inlineStr">
        <is>
          <t>'0316356757</t>
        </is>
      </c>
      <c r="G425" s="182" t="inlineStr">
        <is>
          <t>ĐIỆN MTMN T08-2026</t>
        </is>
      </c>
      <c r="H425" s="194" t="n">
        <v>198339415</v>
      </c>
      <c r="I425" s="180" t="n">
        <v>8</v>
      </c>
      <c r="J425" s="194" t="n">
        <v>15867153</v>
      </c>
      <c r="K425" s="182" t="inlineStr">
        <is>
          <t>CK</t>
        </is>
      </c>
      <c r="L425" s="182" t="inlineStr">
        <is>
          <t>GL</t>
        </is>
      </c>
      <c r="M425" s="278" t="inlineStr">
        <is>
          <t>'3175</t>
        </is>
      </c>
      <c r="N425" s="181" t="n">
        <v>46295</v>
      </c>
      <c r="O425" s="181" t="n">
        <v>46295</v>
      </c>
      <c r="P425" s="194" t="n">
        <v>214206568</v>
      </c>
      <c r="Q425" s="180" t="inlineStr">
        <is>
          <t>Năng lượng mặt trời</t>
        </is>
      </c>
      <c r="R425" s="180" t="inlineStr">
        <is>
          <t>THAOPTT.HCM.VTA</t>
        </is>
      </c>
      <c r="S425" s="182" t="inlineStr">
        <is>
          <t>Not Reversed</t>
        </is>
      </c>
      <c r="T425" s="57">
        <f>IF(OR(LEN(F425)=11,LEN(F425)=15),"Đ","SAI")</f>
        <v/>
      </c>
      <c r="U425" s="529">
        <f>ROUND(H425*I425%,0)-J425</f>
        <v/>
      </c>
      <c r="V425" s="55">
        <f>IF(Q425=$V$12,13313,13311)</f>
        <v/>
      </c>
    </row>
    <row r="426" ht="21.65" customHeight="1" s="344">
      <c r="A426" s="180" t="n">
        <v>409</v>
      </c>
      <c r="B426" s="182" t="inlineStr">
        <is>
          <t>1C26TBK</t>
        </is>
      </c>
      <c r="C426" s="278" t="inlineStr">
        <is>
          <t>'293</t>
        </is>
      </c>
      <c r="D426" s="181" t="n">
        <v>46272</v>
      </c>
      <c r="E426" s="182" t="inlineStr">
        <is>
          <t>Công ty Cổ Phần Đầu Tư Và Phát Triển Năng Lượng Mặt Trời Bách Khoa.</t>
        </is>
      </c>
      <c r="F426" s="278" t="inlineStr">
        <is>
          <t>'0304194942</t>
        </is>
      </c>
      <c r="G426" s="182" t="inlineStr">
        <is>
          <t>ĐIỆN MTMN T08-2026</t>
        </is>
      </c>
      <c r="H426" s="194" t="n">
        <v>1997645</v>
      </c>
      <c r="I426" s="180" t="n">
        <v>8</v>
      </c>
      <c r="J426" s="194" t="n">
        <v>159812</v>
      </c>
      <c r="K426" s="182" t="inlineStr">
        <is>
          <t>CK</t>
        </is>
      </c>
      <c r="L426" s="182" t="inlineStr">
        <is>
          <t>GL</t>
        </is>
      </c>
      <c r="M426" s="278" t="inlineStr">
        <is>
          <t>'3175</t>
        </is>
      </c>
      <c r="N426" s="181" t="n">
        <v>46295</v>
      </c>
      <c r="O426" s="181" t="n">
        <v>46295</v>
      </c>
      <c r="P426" s="194" t="n">
        <v>2157457</v>
      </c>
      <c r="Q426" s="180" t="inlineStr">
        <is>
          <t>Năng lượng mặt trời</t>
        </is>
      </c>
      <c r="R426" s="180" t="inlineStr">
        <is>
          <t>THAOPTT.HCM.VTA</t>
        </is>
      </c>
      <c r="S426" s="182" t="inlineStr">
        <is>
          <t>Not Reversed</t>
        </is>
      </c>
      <c r="T426" s="57">
        <f>IF(OR(LEN(F426)=11,LEN(F426)=15),"Đ","SAI")</f>
        <v/>
      </c>
      <c r="U426" s="529">
        <f>ROUND(H426*I426%,0)-J426</f>
        <v/>
      </c>
      <c r="V426" s="55">
        <f>IF(Q426=$V$12,13313,13311)</f>
        <v/>
      </c>
    </row>
    <row r="427" ht="21.65" customHeight="1" s="344">
      <c r="A427" s="180" t="n">
        <v>410</v>
      </c>
      <c r="B427" s="182" t="inlineStr">
        <is>
          <t>1C26TSS</t>
        </is>
      </c>
      <c r="C427" s="278" t="inlineStr">
        <is>
          <t>'34</t>
        </is>
      </c>
      <c r="D427" s="181" t="n">
        <v>46272</v>
      </c>
      <c r="E427" s="182" t="inlineStr">
        <is>
          <t>Công ty TNHH Năng Lượng SUN TIMES 5</t>
        </is>
      </c>
      <c r="F427" s="278" t="inlineStr">
        <is>
          <t>'0316355143</t>
        </is>
      </c>
      <c r="G427" s="182" t="inlineStr">
        <is>
          <t>ĐIỆN MTMN T08-2026</t>
        </is>
      </c>
      <c r="H427" s="194" t="n">
        <v>124868600</v>
      </c>
      <c r="I427" s="180" t="n">
        <v>8</v>
      </c>
      <c r="J427" s="194" t="n">
        <v>9989488</v>
      </c>
      <c r="K427" s="182" t="inlineStr">
        <is>
          <t>CK</t>
        </is>
      </c>
      <c r="L427" s="182" t="inlineStr">
        <is>
          <t>GL</t>
        </is>
      </c>
      <c r="M427" s="278" t="inlineStr">
        <is>
          <t>'3175</t>
        </is>
      </c>
      <c r="N427" s="181" t="n">
        <v>46295</v>
      </c>
      <c r="O427" s="181" t="n">
        <v>46295</v>
      </c>
      <c r="P427" s="194" t="n">
        <v>134858088</v>
      </c>
      <c r="Q427" s="180" t="inlineStr">
        <is>
          <t>Năng lượng mặt trời</t>
        </is>
      </c>
      <c r="R427" s="180" t="inlineStr">
        <is>
          <t>THAOPTT.HCM.VTA</t>
        </is>
      </c>
      <c r="S427" s="182" t="inlineStr">
        <is>
          <t>Not Reversed</t>
        </is>
      </c>
      <c r="T427" s="57">
        <f>IF(OR(LEN(F427)=11,LEN(F427)=15),"Đ","SAI")</f>
        <v/>
      </c>
      <c r="U427" s="529">
        <f>ROUND(H427*I427%,0)-J427</f>
        <v/>
      </c>
      <c r="V427" s="55">
        <f>IF(Q427=$V$12,13313,13311)</f>
        <v/>
      </c>
    </row>
    <row r="428" ht="21.65" customHeight="1" s="344">
      <c r="A428" s="180" t="n">
        <v>411</v>
      </c>
      <c r="B428" s="182" t="inlineStr">
        <is>
          <t>1C26TSS</t>
        </is>
      </c>
      <c r="C428" s="278" t="inlineStr">
        <is>
          <t>'35</t>
        </is>
      </c>
      <c r="D428" s="181" t="n">
        <v>46272</v>
      </c>
      <c r="E428" s="182" t="inlineStr">
        <is>
          <t>Công ty TNHH Năng Lượng SUN TIMES 5</t>
        </is>
      </c>
      <c r="F428" s="278" t="inlineStr">
        <is>
          <t>'0316355143</t>
        </is>
      </c>
      <c r="G428" s="182" t="inlineStr">
        <is>
          <t>ĐIỆN MTMN T08-2026</t>
        </is>
      </c>
      <c r="H428" s="194" t="n">
        <v>60596635</v>
      </c>
      <c r="I428" s="180" t="n">
        <v>8</v>
      </c>
      <c r="J428" s="194" t="n">
        <v>4847731</v>
      </c>
      <c r="K428" s="182" t="inlineStr">
        <is>
          <t>CK</t>
        </is>
      </c>
      <c r="L428" s="182" t="inlineStr">
        <is>
          <t>GL</t>
        </is>
      </c>
      <c r="M428" s="278" t="inlineStr">
        <is>
          <t>'3175</t>
        </is>
      </c>
      <c r="N428" s="181" t="n">
        <v>46295</v>
      </c>
      <c r="O428" s="181" t="n">
        <v>46295</v>
      </c>
      <c r="P428" s="194" t="n">
        <v>65444366</v>
      </c>
      <c r="Q428" s="180" t="inlineStr">
        <is>
          <t>Năng lượng mặt trời</t>
        </is>
      </c>
      <c r="R428" s="180" t="inlineStr">
        <is>
          <t>THAOPTT.HCM.VTA</t>
        </is>
      </c>
      <c r="S428" s="182" t="inlineStr">
        <is>
          <t>Not Reversed</t>
        </is>
      </c>
      <c r="T428" s="57">
        <f>IF(OR(LEN(F428)=11,LEN(F428)=15),"Đ","SAI")</f>
        <v/>
      </c>
      <c r="U428" s="529">
        <f>ROUND(H428*I428%,0)-J428</f>
        <v/>
      </c>
      <c r="V428" s="55">
        <f>IF(Q428=$V$12,13313,13311)</f>
        <v/>
      </c>
    </row>
    <row r="429" ht="21.65" customHeight="1" s="344">
      <c r="A429" s="180" t="n">
        <v>412</v>
      </c>
      <c r="B429" s="182" t="inlineStr">
        <is>
          <t>1C26TAA</t>
        </is>
      </c>
      <c r="C429" s="278" t="inlineStr">
        <is>
          <t>'3803</t>
        </is>
      </c>
      <c r="D429" s="181" t="n">
        <v>46272</v>
      </c>
      <c r="E429" s="182" t="inlineStr">
        <is>
          <t>Công Ty Cổ Phần Thương Mại 125</t>
        </is>
      </c>
      <c r="F429" s="278" t="inlineStr">
        <is>
          <t>'3502269313</t>
        </is>
      </c>
      <c r="G429" s="182" t="inlineStr">
        <is>
          <t>ĐIỆN MTMN T08-2026</t>
        </is>
      </c>
      <c r="H429" s="194" t="n">
        <v>844105</v>
      </c>
      <c r="I429" s="180" t="n">
        <v>8</v>
      </c>
      <c r="J429" s="194" t="n">
        <v>67528</v>
      </c>
      <c r="K429" s="182" t="inlineStr">
        <is>
          <t>CK</t>
        </is>
      </c>
      <c r="L429" s="182" t="inlineStr">
        <is>
          <t>GL</t>
        </is>
      </c>
      <c r="M429" s="278" t="inlineStr">
        <is>
          <t>'3175</t>
        </is>
      </c>
      <c r="N429" s="181" t="n">
        <v>46295</v>
      </c>
      <c r="O429" s="181" t="n">
        <v>46295</v>
      </c>
      <c r="P429" s="194" t="n">
        <v>911633</v>
      </c>
      <c r="Q429" s="180" t="inlineStr">
        <is>
          <t>Năng lượng mặt trời</t>
        </is>
      </c>
      <c r="R429" s="180" t="inlineStr">
        <is>
          <t>THAOPTT.HCM.VTA</t>
        </is>
      </c>
      <c r="S429" s="182" t="inlineStr">
        <is>
          <t>Not Reversed</t>
        </is>
      </c>
      <c r="T429" s="57">
        <f>IF(OR(LEN(F429)=11,LEN(F429)=15),"Đ","SAI")</f>
        <v/>
      </c>
      <c r="U429" s="529">
        <f>ROUND(H429*I429%,0)-J429</f>
        <v/>
      </c>
      <c r="V429" s="55">
        <f>IF(Q429=$V$12,13313,13311)</f>
        <v/>
      </c>
    </row>
    <row r="430" ht="21.65" customHeight="1" s="344">
      <c r="A430" s="180" t="n">
        <v>413</v>
      </c>
      <c r="B430" s="182" t="inlineStr">
        <is>
          <t>1C26THS</t>
        </is>
      </c>
      <c r="C430" s="278" t="inlineStr">
        <is>
          <t>'389</t>
        </is>
      </c>
      <c r="D430" s="181" t="n">
        <v>46272</v>
      </c>
      <c r="E430" s="182" t="inlineStr">
        <is>
          <t>Công ty TNHH Huyền Sâm</t>
        </is>
      </c>
      <c r="F430" s="278" t="inlineStr">
        <is>
          <t>'3500733032</t>
        </is>
      </c>
      <c r="G430" s="182" t="inlineStr">
        <is>
          <t>ĐIỆN MTMN T08-2026</t>
        </is>
      </c>
      <c r="H430" s="194" t="n">
        <v>331068</v>
      </c>
      <c r="I430" s="180" t="n">
        <v>8</v>
      </c>
      <c r="J430" s="194" t="n">
        <v>26485</v>
      </c>
      <c r="K430" s="182" t="inlineStr">
        <is>
          <t>CK</t>
        </is>
      </c>
      <c r="L430" s="182" t="inlineStr">
        <is>
          <t>GL</t>
        </is>
      </c>
      <c r="M430" s="278" t="inlineStr">
        <is>
          <t>'3175</t>
        </is>
      </c>
      <c r="N430" s="181" t="n">
        <v>46295</v>
      </c>
      <c r="O430" s="181" t="n">
        <v>46295</v>
      </c>
      <c r="P430" s="194" t="n">
        <v>357553</v>
      </c>
      <c r="Q430" s="180" t="inlineStr">
        <is>
          <t>Năng lượng mặt trời</t>
        </is>
      </c>
      <c r="R430" s="180" t="inlineStr">
        <is>
          <t>THAOPTT.HCM.VTA</t>
        </is>
      </c>
      <c r="S430" s="182" t="inlineStr">
        <is>
          <t>Not Reversed</t>
        </is>
      </c>
      <c r="T430" s="57">
        <f>IF(OR(LEN(F430)=11,LEN(F430)=15),"Đ","SAI")</f>
        <v/>
      </c>
      <c r="U430" s="529">
        <f>ROUND(H430*I430%,0)-J430</f>
        <v/>
      </c>
      <c r="V430" s="55">
        <f>IF(Q430=$V$12,13313,13311)</f>
        <v/>
      </c>
    </row>
    <row r="431" ht="21.65" customHeight="1" s="344">
      <c r="A431" s="180" t="n">
        <v>414</v>
      </c>
      <c r="B431" s="182" t="inlineStr">
        <is>
          <t>1C26THL</t>
        </is>
      </c>
      <c r="C431" s="278" t="inlineStr">
        <is>
          <t>'570</t>
        </is>
      </c>
      <c r="D431" s="181" t="n">
        <v>46272</v>
      </c>
      <c r="E431" s="182" t="inlineStr">
        <is>
          <t>Công ty TNHH Hải Lưu</t>
        </is>
      </c>
      <c r="F431" s="278" t="inlineStr">
        <is>
          <t>'3501755776</t>
        </is>
      </c>
      <c r="G431" s="182" t="inlineStr">
        <is>
          <t>ĐIỆN MTMN T08-2026</t>
        </is>
      </c>
      <c r="H431" s="194" t="n">
        <v>252157950</v>
      </c>
      <c r="I431" s="180" t="n">
        <v>8</v>
      </c>
      <c r="J431" s="194" t="n">
        <v>20172636</v>
      </c>
      <c r="K431" s="182" t="inlineStr">
        <is>
          <t>CK</t>
        </is>
      </c>
      <c r="L431" s="182" t="inlineStr">
        <is>
          <t>GL</t>
        </is>
      </c>
      <c r="M431" s="278" t="inlineStr">
        <is>
          <t>'3175</t>
        </is>
      </c>
      <c r="N431" s="181" t="n">
        <v>46295</v>
      </c>
      <c r="O431" s="181" t="n">
        <v>46295</v>
      </c>
      <c r="P431" s="194" t="n">
        <v>272330586</v>
      </c>
      <c r="Q431" s="180" t="inlineStr">
        <is>
          <t>Năng lượng mặt trời</t>
        </is>
      </c>
      <c r="R431" s="180" t="inlineStr">
        <is>
          <t>THAOPTT.HCM.VTA</t>
        </is>
      </c>
      <c r="S431" s="182" t="inlineStr">
        <is>
          <t>Not Reversed</t>
        </is>
      </c>
      <c r="T431" s="57">
        <f>IF(OR(LEN(F431)=11,LEN(F431)=15),"Đ","SAI")</f>
        <v/>
      </c>
      <c r="U431" s="529">
        <f>ROUND(H431*I431%,0)-J431</f>
        <v/>
      </c>
      <c r="V431" s="55">
        <f>IF(Q431=$V$12,13313,13311)</f>
        <v/>
      </c>
    </row>
    <row r="432" ht="21.65" customHeight="1" s="344">
      <c r="A432" s="180" t="n">
        <v>415</v>
      </c>
      <c r="B432" s="182" t="inlineStr">
        <is>
          <t>1C26TMN</t>
        </is>
      </c>
      <c r="C432" s="278" t="inlineStr">
        <is>
          <t>'62</t>
        </is>
      </c>
      <c r="D432" s="181" t="n">
        <v>46272</v>
      </c>
      <c r="E432" s="182" t="inlineStr">
        <is>
          <t>Công ty TNHH Năng Lượng Điện Mái Nhà</t>
        </is>
      </c>
      <c r="F432" s="278" t="inlineStr">
        <is>
          <t>'4500642387</t>
        </is>
      </c>
      <c r="G432" s="182" t="inlineStr">
        <is>
          <t>ĐIỆN MTMN T08-2026</t>
        </is>
      </c>
      <c r="H432" s="194" t="n">
        <v>192476990</v>
      </c>
      <c r="I432" s="180" t="n">
        <v>8</v>
      </c>
      <c r="J432" s="194" t="n">
        <v>15398159</v>
      </c>
      <c r="K432" s="182" t="inlineStr">
        <is>
          <t>CK</t>
        </is>
      </c>
      <c r="L432" s="182" t="inlineStr">
        <is>
          <t>GL</t>
        </is>
      </c>
      <c r="M432" s="278" t="inlineStr">
        <is>
          <t>'3175</t>
        </is>
      </c>
      <c r="N432" s="181" t="n">
        <v>46295</v>
      </c>
      <c r="O432" s="181" t="n">
        <v>46295</v>
      </c>
      <c r="P432" s="194" t="n">
        <v>207875149</v>
      </c>
      <c r="Q432" s="180" t="inlineStr">
        <is>
          <t>Năng lượng mặt trời</t>
        </is>
      </c>
      <c r="R432" s="180" t="inlineStr">
        <is>
          <t>THAOPTT.HCM.VTA</t>
        </is>
      </c>
      <c r="S432" s="182" t="inlineStr">
        <is>
          <t>Not Reversed</t>
        </is>
      </c>
      <c r="T432" s="57">
        <f>IF(OR(LEN(F432)=11,LEN(F432)=15),"Đ","SAI")</f>
        <v/>
      </c>
      <c r="U432" s="529">
        <f>ROUND(H432*I432%,0)-J432</f>
        <v/>
      </c>
      <c r="V432" s="55">
        <f>IF(Q432=$V$12,13313,13311)</f>
        <v/>
      </c>
    </row>
    <row r="433" ht="21.65" customHeight="1" s="344">
      <c r="A433" s="180" t="n">
        <v>416</v>
      </c>
      <c r="B433" s="182" t="inlineStr">
        <is>
          <t>1C26TMN</t>
        </is>
      </c>
      <c r="C433" s="278" t="inlineStr">
        <is>
          <t>'63</t>
        </is>
      </c>
      <c r="D433" s="181" t="n">
        <v>46272</v>
      </c>
      <c r="E433" s="182" t="inlineStr">
        <is>
          <t>Công ty TNHH Năng Lượng Điện Mái Nhà</t>
        </is>
      </c>
      <c r="F433" s="278" t="inlineStr">
        <is>
          <t>'4500642387</t>
        </is>
      </c>
      <c r="G433" s="182" t="inlineStr">
        <is>
          <t>ĐIỆN MTMN T08-2026</t>
        </is>
      </c>
      <c r="H433" s="194" t="n">
        <v>84679940</v>
      </c>
      <c r="I433" s="180" t="n">
        <v>8</v>
      </c>
      <c r="J433" s="194" t="n">
        <v>6774395</v>
      </c>
      <c r="K433" s="182" t="inlineStr">
        <is>
          <t>CK</t>
        </is>
      </c>
      <c r="L433" s="182" t="inlineStr">
        <is>
          <t>GL</t>
        </is>
      </c>
      <c r="M433" s="278" t="inlineStr">
        <is>
          <t>'3175</t>
        </is>
      </c>
      <c r="N433" s="181" t="n">
        <v>46295</v>
      </c>
      <c r="O433" s="181" t="n">
        <v>46295</v>
      </c>
      <c r="P433" s="194" t="n">
        <v>91454335</v>
      </c>
      <c r="Q433" s="180" t="inlineStr">
        <is>
          <t>Năng lượng mặt trời</t>
        </is>
      </c>
      <c r="R433" s="180" t="inlineStr">
        <is>
          <t>THAOPTT.HCM.VTA</t>
        </is>
      </c>
      <c r="S433" s="182" t="inlineStr">
        <is>
          <t>Not Reversed</t>
        </is>
      </c>
      <c r="T433" s="57">
        <f>IF(OR(LEN(F433)=11,LEN(F433)=15),"Đ","SAI")</f>
        <v/>
      </c>
      <c r="U433" s="529">
        <f>ROUND(H433*I433%,0)-J433</f>
        <v/>
      </c>
      <c r="V433" s="55">
        <f>IF(Q433=$V$12,13313,13311)</f>
        <v/>
      </c>
    </row>
    <row r="434" ht="21.65" customHeight="1" s="344">
      <c r="A434" s="180" t="n">
        <v>417</v>
      </c>
      <c r="B434" s="182" t="inlineStr">
        <is>
          <t>1C26TMN</t>
        </is>
      </c>
      <c r="C434" s="278" t="inlineStr">
        <is>
          <t>'64</t>
        </is>
      </c>
      <c r="D434" s="181" t="n">
        <v>46272</v>
      </c>
      <c r="E434" s="182" t="inlineStr">
        <is>
          <t>Công ty TNHH Năng Lượng Điện Mái Nhà</t>
        </is>
      </c>
      <c r="F434" s="278" t="inlineStr">
        <is>
          <t>'4500642387</t>
        </is>
      </c>
      <c r="G434" s="182" t="inlineStr">
        <is>
          <t>ĐIỆN MTMN T08-2026</t>
        </is>
      </c>
      <c r="H434" s="194" t="n">
        <v>155753160</v>
      </c>
      <c r="I434" s="180" t="n">
        <v>8</v>
      </c>
      <c r="J434" s="194" t="n">
        <v>12460253</v>
      </c>
      <c r="K434" s="182" t="inlineStr">
        <is>
          <t>CK</t>
        </is>
      </c>
      <c r="L434" s="182" t="inlineStr">
        <is>
          <t>GL</t>
        </is>
      </c>
      <c r="M434" s="278" t="inlineStr">
        <is>
          <t>'3175</t>
        </is>
      </c>
      <c r="N434" s="181" t="n">
        <v>46295</v>
      </c>
      <c r="O434" s="181" t="n">
        <v>46295</v>
      </c>
      <c r="P434" s="194" t="n">
        <v>168213413</v>
      </c>
      <c r="Q434" s="180" t="inlineStr">
        <is>
          <t>Năng lượng mặt trời</t>
        </is>
      </c>
      <c r="R434" s="180" t="inlineStr">
        <is>
          <t>THAOPTT.HCM.VTA</t>
        </is>
      </c>
      <c r="S434" s="182" t="inlineStr">
        <is>
          <t>Not Reversed</t>
        </is>
      </c>
      <c r="T434" s="57">
        <f>IF(OR(LEN(F434)=11,LEN(F434)=15),"Đ","SAI")</f>
        <v/>
      </c>
      <c r="U434" s="529">
        <f>ROUND(H434*I434%,0)-J434</f>
        <v/>
      </c>
      <c r="V434" s="55">
        <f>IF(Q434=$V$12,13313,13311)</f>
        <v/>
      </c>
    </row>
    <row r="435" ht="21.65" customHeight="1" s="344">
      <c r="A435" s="180" t="n">
        <v>418</v>
      </c>
      <c r="B435" s="182" t="inlineStr">
        <is>
          <t>1C26TNA</t>
        </is>
      </c>
      <c r="C435" s="278" t="inlineStr">
        <is>
          <t>'68</t>
        </is>
      </c>
      <c r="D435" s="181" t="n">
        <v>46272</v>
      </c>
      <c r="E435" s="182" t="inlineStr">
        <is>
          <t>Công ty TNHH Huy Phát Vũng Tàu</t>
        </is>
      </c>
      <c r="F435" s="278" t="inlineStr">
        <is>
          <t>'3502385905</t>
        </is>
      </c>
      <c r="G435" s="182" t="inlineStr">
        <is>
          <t>ĐIỆN MTMN T08-2026</t>
        </is>
      </c>
      <c r="H435" s="194" t="n">
        <v>6224485</v>
      </c>
      <c r="I435" s="180" t="n">
        <v>8</v>
      </c>
      <c r="J435" s="194" t="n">
        <v>497959</v>
      </c>
      <c r="K435" s="182" t="inlineStr">
        <is>
          <t>CK</t>
        </is>
      </c>
      <c r="L435" s="182" t="inlineStr">
        <is>
          <t>GL</t>
        </is>
      </c>
      <c r="M435" s="278" t="inlineStr">
        <is>
          <t>'3175</t>
        </is>
      </c>
      <c r="N435" s="181" t="n">
        <v>46295</v>
      </c>
      <c r="O435" s="181" t="n">
        <v>46295</v>
      </c>
      <c r="P435" s="194" t="n">
        <v>6722444</v>
      </c>
      <c r="Q435" s="180" t="inlineStr">
        <is>
          <t>Năng lượng mặt trời</t>
        </is>
      </c>
      <c r="R435" s="180" t="inlineStr">
        <is>
          <t>THAOPTT.HCM.VTA</t>
        </is>
      </c>
      <c r="S435" s="182" t="inlineStr">
        <is>
          <t>Not Reversed</t>
        </is>
      </c>
      <c r="T435" s="57">
        <f>IF(OR(LEN(F435)=11,LEN(F435)=15),"Đ","SAI")</f>
        <v/>
      </c>
      <c r="U435" s="529">
        <f>ROUND(H435*I435%,0)-J435</f>
        <v/>
      </c>
      <c r="V435" s="55">
        <f>IF(Q435=$V$12,13313,13311)</f>
        <v/>
      </c>
    </row>
    <row r="436" ht="21.65" customHeight="1" s="344">
      <c r="A436" s="180" t="n">
        <v>419</v>
      </c>
      <c r="B436" s="182" t="inlineStr">
        <is>
          <t>1C26TVN</t>
        </is>
      </c>
      <c r="C436" s="278" t="inlineStr">
        <is>
          <t>'872</t>
        </is>
      </c>
      <c r="D436" s="181" t="n">
        <v>46272</v>
      </c>
      <c r="E436" s="182" t="inlineStr">
        <is>
          <t>CÔNG TY CỔ PHẦN ĐẦU TƯ MẶT TRỜI VIỆT</t>
        </is>
      </c>
      <c r="F436" s="278" t="inlineStr">
        <is>
          <t>'3501202972</t>
        </is>
      </c>
      <c r="G436" s="182" t="inlineStr">
        <is>
          <t>ĐIỆN MTMN T08-2026</t>
        </is>
      </c>
      <c r="H436" s="194" t="n">
        <v>4967800</v>
      </c>
      <c r="I436" s="180" t="n">
        <v>8</v>
      </c>
      <c r="J436" s="194" t="n">
        <v>397424</v>
      </c>
      <c r="K436" s="182" t="inlineStr">
        <is>
          <t>CK</t>
        </is>
      </c>
      <c r="L436" s="182" t="inlineStr">
        <is>
          <t>GL</t>
        </is>
      </c>
      <c r="M436" s="278" t="inlineStr">
        <is>
          <t>'3175</t>
        </is>
      </c>
      <c r="N436" s="181" t="n">
        <v>46295</v>
      </c>
      <c r="O436" s="181" t="n">
        <v>46295</v>
      </c>
      <c r="P436" s="194" t="n">
        <v>5365224</v>
      </c>
      <c r="Q436" s="180" t="inlineStr">
        <is>
          <t>Năng lượng mặt trời</t>
        </is>
      </c>
      <c r="R436" s="180" t="inlineStr">
        <is>
          <t>THAOPTT.HCM.VTA</t>
        </is>
      </c>
      <c r="S436" s="182" t="inlineStr">
        <is>
          <t>Not Reversed</t>
        </is>
      </c>
      <c r="T436" s="57">
        <f>IF(OR(LEN(F436)=11,LEN(F436)=15),"Đ","SAI")</f>
        <v/>
      </c>
      <c r="U436" s="529">
        <f>ROUND(H436*I436%,0)-J436</f>
        <v/>
      </c>
      <c r="V436" s="55">
        <f>IF(Q436=$V$12,13313,13311)</f>
        <v/>
      </c>
    </row>
    <row r="437" ht="21.65" customHeight="1" s="344">
      <c r="A437" s="180" t="n">
        <v>420</v>
      </c>
      <c r="B437" s="182" t="inlineStr">
        <is>
          <t>1C26TVT</t>
        </is>
      </c>
      <c r="C437" s="278" t="inlineStr">
        <is>
          <t>'9</t>
        </is>
      </c>
      <c r="D437" s="181" t="n">
        <v>46272</v>
      </c>
      <c r="E437" s="182" t="inlineStr">
        <is>
          <t>Xí nghiệp phân phối khí thấp áp Vũng Tàu</t>
        </is>
      </c>
      <c r="F437" s="278" t="inlineStr">
        <is>
          <t>'0304998686-001</t>
        </is>
      </c>
      <c r="G437" s="182" t="inlineStr">
        <is>
          <t>ĐIỆN MTMN T08-2026</t>
        </is>
      </c>
      <c r="H437" s="194" t="n">
        <v>1172485</v>
      </c>
      <c r="I437" s="180" t="n">
        <v>8</v>
      </c>
      <c r="J437" s="194" t="n">
        <v>93799</v>
      </c>
      <c r="K437" s="182" t="inlineStr">
        <is>
          <t>CK</t>
        </is>
      </c>
      <c r="L437" s="182" t="inlineStr">
        <is>
          <t>GL</t>
        </is>
      </c>
      <c r="M437" s="278" t="inlineStr">
        <is>
          <t>'3175</t>
        </is>
      </c>
      <c r="N437" s="181" t="n">
        <v>46295</v>
      </c>
      <c r="O437" s="181" t="n">
        <v>46295</v>
      </c>
      <c r="P437" s="194" t="n">
        <v>1266284</v>
      </c>
      <c r="Q437" s="180" t="inlineStr">
        <is>
          <t>Năng lượng mặt trời</t>
        </is>
      </c>
      <c r="R437" s="180" t="inlineStr">
        <is>
          <t>THAOPTT.HCM.VTA</t>
        </is>
      </c>
      <c r="S437" s="182" t="inlineStr">
        <is>
          <t>Not Reversed</t>
        </is>
      </c>
      <c r="T437" s="57">
        <f>IF(OR(LEN(F437)=11,LEN(F437)=15),"Đ","SAI")</f>
        <v/>
      </c>
      <c r="U437" s="529">
        <f>ROUND(H437*I437%,0)-J437</f>
        <v/>
      </c>
      <c r="V437" s="55">
        <f>IF(Q437=$V$12,13313,13311)</f>
        <v/>
      </c>
    </row>
    <row r="438" ht="21.65" customHeight="1" s="344">
      <c r="A438" s="180" t="n">
        <v>421</v>
      </c>
      <c r="B438" s="182" t="inlineStr">
        <is>
          <t>1C26TDP</t>
        </is>
      </c>
      <c r="C438" s="278" t="inlineStr">
        <is>
          <t>'99</t>
        </is>
      </c>
      <c r="D438" s="181" t="n">
        <v>46272</v>
      </c>
      <c r="E438" s="182" t="inlineStr">
        <is>
          <t>Cty TNHH Đông Phong</t>
        </is>
      </c>
      <c r="F438" s="278" t="inlineStr">
        <is>
          <t>'3500689369</t>
        </is>
      </c>
      <c r="G438" s="182" t="inlineStr">
        <is>
          <t>ĐIỆN MTMN T08-2026</t>
        </is>
      </c>
      <c r="H438" s="194" t="n">
        <v>558824</v>
      </c>
      <c r="I438" s="180" t="n">
        <v>8</v>
      </c>
      <c r="J438" s="194" t="n">
        <v>44706</v>
      </c>
      <c r="K438" s="182" t="inlineStr">
        <is>
          <t>CK</t>
        </is>
      </c>
      <c r="L438" s="182" t="inlineStr">
        <is>
          <t>GL</t>
        </is>
      </c>
      <c r="M438" s="278" t="inlineStr">
        <is>
          <t>'3175</t>
        </is>
      </c>
      <c r="N438" s="181" t="n">
        <v>46295</v>
      </c>
      <c r="O438" s="181" t="n">
        <v>46295</v>
      </c>
      <c r="P438" s="194" t="n">
        <v>603530</v>
      </c>
      <c r="Q438" s="180" t="inlineStr">
        <is>
          <t>Năng lượng mặt trời</t>
        </is>
      </c>
      <c r="R438" s="180" t="inlineStr">
        <is>
          <t>THAOPTT.HCM.VTA</t>
        </is>
      </c>
      <c r="S438" s="182" t="inlineStr">
        <is>
          <t>Not Reversed</t>
        </is>
      </c>
      <c r="T438" s="57">
        <f>IF(OR(LEN(F438)=11,LEN(F438)=15),"Đ","SAI")</f>
        <v/>
      </c>
      <c r="U438" s="529">
        <f>ROUND(H438*I438%,0)-J438</f>
        <v/>
      </c>
      <c r="V438" s="55">
        <f>IF(Q438=$V$12,13313,13311)</f>
        <v/>
      </c>
    </row>
    <row r="439" ht="21.65" customHeight="1" s="344">
      <c r="A439" s="180" t="n">
        <v>422</v>
      </c>
      <c r="B439" s="182" t="inlineStr">
        <is>
          <t>1C26MTS</t>
        </is>
      </c>
      <c r="C439" s="278" t="inlineStr">
        <is>
          <t>'33</t>
        </is>
      </c>
      <c r="D439" s="181" t="n">
        <v>46120</v>
      </c>
      <c r="E439" s="182" t="inlineStr">
        <is>
          <t>Công ty TNHH Dịch Vụ Ăn Uống TISO</t>
        </is>
      </c>
      <c r="F439" s="278" t="inlineStr">
        <is>
          <t>'3502473326</t>
        </is>
      </c>
      <c r="G439" s="182" t="inlineStr">
        <is>
          <t>ĐIỆN MTMN T01-2026</t>
        </is>
      </c>
      <c r="H439" s="194" t="n">
        <v>170505</v>
      </c>
      <c r="I439" s="180" t="n">
        <v>8</v>
      </c>
      <c r="J439" s="194" t="n">
        <v>13640</v>
      </c>
      <c r="K439" s="182" t="inlineStr">
        <is>
          <t>CK</t>
        </is>
      </c>
      <c r="L439" s="182" t="inlineStr">
        <is>
          <t>GL</t>
        </is>
      </c>
      <c r="M439" s="278" t="inlineStr">
        <is>
          <t>'3175</t>
        </is>
      </c>
      <c r="N439" s="181" t="n">
        <v>46295</v>
      </c>
      <c r="O439" s="181" t="n">
        <v>46295</v>
      </c>
      <c r="P439" s="194" t="n">
        <v>184145</v>
      </c>
      <c r="Q439" s="180" t="inlineStr">
        <is>
          <t>Năng lượng mặt trời</t>
        </is>
      </c>
      <c r="R439" s="180" t="inlineStr">
        <is>
          <t>THAOPTT.HCM.VTA</t>
        </is>
      </c>
      <c r="S439" s="182" t="inlineStr">
        <is>
          <t>Not Reversed</t>
        </is>
      </c>
      <c r="T439" s="57">
        <f>IF(OR(LEN(F439)=11,LEN(F439)=15),"Đ","SAI")</f>
        <v/>
      </c>
      <c r="U439" s="529">
        <f>ROUND(H439*I439%,0)-J439</f>
        <v/>
      </c>
      <c r="V439" s="55">
        <f>IF(Q439=$V$12,13313,13311)</f>
        <v/>
      </c>
    </row>
    <row r="440" ht="21.65" customHeight="1" s="344">
      <c r="A440" s="180" t="n">
        <v>423</v>
      </c>
      <c r="B440" s="182" t="inlineStr">
        <is>
          <t>1C26MTS</t>
        </is>
      </c>
      <c r="C440" s="278" t="inlineStr">
        <is>
          <t>'34</t>
        </is>
      </c>
      <c r="D440" s="181" t="n">
        <v>46120</v>
      </c>
      <c r="E440" s="182" t="inlineStr">
        <is>
          <t>Công ty TNHH Dịch Vụ Ăn Uống TISO</t>
        </is>
      </c>
      <c r="F440" s="278" t="inlineStr">
        <is>
          <t>'3502473326</t>
        </is>
      </c>
      <c r="G440" s="182" t="inlineStr">
        <is>
          <t>ĐIỆN MTMN T02-2026</t>
        </is>
      </c>
      <c r="H440" s="194" t="n">
        <v>574665</v>
      </c>
      <c r="I440" s="180" t="n">
        <v>8</v>
      </c>
      <c r="J440" s="194" t="n">
        <v>45973</v>
      </c>
      <c r="K440" s="182" t="inlineStr">
        <is>
          <t>CK</t>
        </is>
      </c>
      <c r="L440" s="182" t="inlineStr">
        <is>
          <t>GL</t>
        </is>
      </c>
      <c r="M440" s="278" t="inlineStr">
        <is>
          <t>'3175</t>
        </is>
      </c>
      <c r="N440" s="181" t="n">
        <v>46295</v>
      </c>
      <c r="O440" s="181" t="n">
        <v>46295</v>
      </c>
      <c r="P440" s="194" t="n">
        <v>620638</v>
      </c>
      <c r="Q440" s="180" t="inlineStr">
        <is>
          <t>Năng lượng mặt trời</t>
        </is>
      </c>
      <c r="R440" s="180" t="inlineStr">
        <is>
          <t>THAOPTT.HCM.VTA</t>
        </is>
      </c>
      <c r="S440" s="182" t="inlineStr">
        <is>
          <t>Not Reversed</t>
        </is>
      </c>
      <c r="T440" s="57">
        <f>IF(OR(LEN(F440)=11,LEN(F440)=15),"Đ","SAI")</f>
        <v/>
      </c>
      <c r="U440" s="529">
        <f>ROUND(H440*I440%,0)-J440</f>
        <v/>
      </c>
      <c r="V440" s="55">
        <f>IF(Q440=$V$12,13313,13311)</f>
        <v/>
      </c>
    </row>
    <row r="441" ht="21.65" customHeight="1" s="344">
      <c r="A441" s="180" t="n">
        <v>424</v>
      </c>
      <c r="B441" s="182" t="inlineStr">
        <is>
          <t>1C26MTS</t>
        </is>
      </c>
      <c r="C441" s="278" t="inlineStr">
        <is>
          <t>'35</t>
        </is>
      </c>
      <c r="D441" s="181" t="n">
        <v>46120</v>
      </c>
      <c r="E441" s="182" t="inlineStr">
        <is>
          <t>Công ty TNHH Dịch Vụ Ăn Uống TISO</t>
        </is>
      </c>
      <c r="F441" s="278" t="inlineStr">
        <is>
          <t>'3502473326</t>
        </is>
      </c>
      <c r="G441" s="182" t="inlineStr">
        <is>
          <t>ĐIỆN MTMN T03-2026</t>
        </is>
      </c>
      <c r="H441" s="194" t="n">
        <v>492570</v>
      </c>
      <c r="I441" s="180" t="n">
        <v>8</v>
      </c>
      <c r="J441" s="194" t="n">
        <v>39406</v>
      </c>
      <c r="K441" s="182" t="inlineStr">
        <is>
          <t>CK</t>
        </is>
      </c>
      <c r="L441" s="182" t="inlineStr">
        <is>
          <t>GL</t>
        </is>
      </c>
      <c r="M441" s="278" t="inlineStr">
        <is>
          <t>'3175</t>
        </is>
      </c>
      <c r="N441" s="181" t="n">
        <v>46295</v>
      </c>
      <c r="O441" s="181" t="n">
        <v>46295</v>
      </c>
      <c r="P441" s="194" t="n">
        <v>531976</v>
      </c>
      <c r="Q441" s="180" t="inlineStr">
        <is>
          <t>Năng lượng mặt trời</t>
        </is>
      </c>
      <c r="R441" s="180" t="inlineStr">
        <is>
          <t>THAOPTT.HCM.VTA</t>
        </is>
      </c>
      <c r="S441" s="182" t="inlineStr">
        <is>
          <t>Not Reversed</t>
        </is>
      </c>
      <c r="T441" s="57">
        <f>IF(OR(LEN(F441)=11,LEN(F441)=15),"Đ","SAI")</f>
        <v/>
      </c>
      <c r="U441" s="529">
        <f>ROUND(H441*I441%,0)-J441</f>
        <v/>
      </c>
      <c r="V441" s="55">
        <f>IF(Q441=$V$12,13313,13311)</f>
        <v/>
      </c>
    </row>
    <row r="442" ht="21.65" customHeight="1" s="344">
      <c r="A442" s="180" t="n">
        <v>425</v>
      </c>
      <c r="B442" s="182" t="inlineStr">
        <is>
          <t>1C26TTT</t>
        </is>
      </c>
      <c r="C442" s="278" t="inlineStr">
        <is>
          <t>'106</t>
        </is>
      </c>
      <c r="D442" s="181" t="n">
        <v>46273</v>
      </c>
      <c r="E442" s="182" t="inlineStr">
        <is>
          <t>Công Ty TNHH Trường Thọ</t>
        </is>
      </c>
      <c r="F442" s="278" t="inlineStr">
        <is>
          <t>'3500717513</t>
        </is>
      </c>
      <c r="G442" s="182" t="inlineStr">
        <is>
          <t>ĐIỆN MTMN T08-2026</t>
        </is>
      </c>
      <c r="H442" s="194" t="n">
        <v>202080</v>
      </c>
      <c r="I442" s="180" t="n">
        <v>8</v>
      </c>
      <c r="J442" s="194" t="n">
        <v>16166</v>
      </c>
      <c r="K442" s="182" t="inlineStr">
        <is>
          <t>CK</t>
        </is>
      </c>
      <c r="L442" s="182" t="inlineStr">
        <is>
          <t>GL</t>
        </is>
      </c>
      <c r="M442" s="278" t="inlineStr">
        <is>
          <t>'3175</t>
        </is>
      </c>
      <c r="N442" s="181" t="n">
        <v>46295</v>
      </c>
      <c r="O442" s="181" t="n">
        <v>46295</v>
      </c>
      <c r="P442" s="194" t="n">
        <v>218246</v>
      </c>
      <c r="Q442" s="180" t="inlineStr">
        <is>
          <t>Năng lượng mặt trời</t>
        </is>
      </c>
      <c r="R442" s="180" t="inlineStr">
        <is>
          <t>THAOPTT.HCM.VTA</t>
        </is>
      </c>
      <c r="S442" s="182" t="inlineStr">
        <is>
          <t>Not Reversed</t>
        </is>
      </c>
      <c r="T442" s="57">
        <f>IF(OR(LEN(F442)=11,LEN(F442)=15),"Đ","SAI")</f>
        <v/>
      </c>
      <c r="U442" s="529">
        <f>ROUND(H442*I442%,0)-J442</f>
        <v/>
      </c>
      <c r="V442" s="55">
        <f>IF(Q442=$V$12,13313,13311)</f>
        <v/>
      </c>
    </row>
    <row r="443" ht="21.65" customHeight="1" s="344">
      <c r="A443" s="180" t="n">
        <v>426</v>
      </c>
      <c r="B443" s="182" t="inlineStr">
        <is>
          <t>1C26TYY</t>
        </is>
      </c>
      <c r="C443" s="278" t="inlineStr">
        <is>
          <t>'234</t>
        </is>
      </c>
      <c r="D443" s="181" t="n">
        <v>46273</v>
      </c>
      <c r="E443" s="182" t="inlineStr">
        <is>
          <t>Công ty Cổ phần năng lượng IREX</t>
        </is>
      </c>
      <c r="F443" s="278" t="inlineStr">
        <is>
          <t>'0311974661</t>
        </is>
      </c>
      <c r="G443" s="182" t="inlineStr">
        <is>
          <t>ĐIỆN MTMN T08-2026</t>
        </is>
      </c>
      <c r="H443" s="194" t="n">
        <v>67650490</v>
      </c>
      <c r="I443" s="180" t="n">
        <v>8</v>
      </c>
      <c r="J443" s="194" t="n">
        <v>5412039</v>
      </c>
      <c r="K443" s="182" t="inlineStr">
        <is>
          <t>CK</t>
        </is>
      </c>
      <c r="L443" s="182" t="inlineStr">
        <is>
          <t>GL</t>
        </is>
      </c>
      <c r="M443" s="278" t="inlineStr">
        <is>
          <t>'3175</t>
        </is>
      </c>
      <c r="N443" s="181" t="n">
        <v>46295</v>
      </c>
      <c r="O443" s="181" t="n">
        <v>46295</v>
      </c>
      <c r="P443" s="194" t="n">
        <v>73062529</v>
      </c>
      <c r="Q443" s="180" t="inlineStr">
        <is>
          <t>Năng lượng mặt trời</t>
        </is>
      </c>
      <c r="R443" s="180" t="inlineStr">
        <is>
          <t>THAOPTT.HCM.VTA</t>
        </is>
      </c>
      <c r="S443" s="182" t="inlineStr">
        <is>
          <t>Not Reversed</t>
        </is>
      </c>
      <c r="T443" s="57">
        <f>IF(OR(LEN(F443)=11,LEN(F443)=15),"Đ","SAI")</f>
        <v/>
      </c>
      <c r="U443" s="529">
        <f>ROUND(H443*I443%,0)-J443</f>
        <v/>
      </c>
      <c r="V443" s="55">
        <f>IF(Q443=$V$12,13313,13311)</f>
        <v/>
      </c>
    </row>
    <row r="444" ht="21.65" customHeight="1" s="344">
      <c r="A444" s="180" t="n">
        <v>427</v>
      </c>
      <c r="B444" s="182" t="inlineStr">
        <is>
          <t>1C26TDL</t>
        </is>
      </c>
      <c r="C444" s="278" t="inlineStr">
        <is>
          <t>'3</t>
        </is>
      </c>
      <c r="D444" s="181" t="n">
        <v>46273</v>
      </c>
      <c r="E444" s="182" t="inlineStr">
        <is>
          <t>Công ty TNHH Đầu Tư Du Lịch Bảo Ngọc</t>
        </is>
      </c>
      <c r="F444" s="278" t="inlineStr">
        <is>
          <t>'3502309439</t>
        </is>
      </c>
      <c r="G444" s="182" t="inlineStr">
        <is>
          <t>ĐIỆN MTMN T08-2026</t>
        </is>
      </c>
      <c r="H444" s="194" t="n">
        <v>656760</v>
      </c>
      <c r="I444" s="180" t="n">
        <v>8</v>
      </c>
      <c r="J444" s="194" t="n">
        <v>52541</v>
      </c>
      <c r="K444" s="182" t="inlineStr">
        <is>
          <t>CK</t>
        </is>
      </c>
      <c r="L444" s="182" t="inlineStr">
        <is>
          <t>GL</t>
        </is>
      </c>
      <c r="M444" s="278" t="inlineStr">
        <is>
          <t>'3175</t>
        </is>
      </c>
      <c r="N444" s="181" t="n">
        <v>46295</v>
      </c>
      <c r="O444" s="181" t="n">
        <v>46295</v>
      </c>
      <c r="P444" s="194" t="n">
        <v>709301</v>
      </c>
      <c r="Q444" s="180" t="inlineStr">
        <is>
          <t>Năng lượng mặt trời</t>
        </is>
      </c>
      <c r="R444" s="180" t="inlineStr">
        <is>
          <t>THAOPTT.HCM.VTA</t>
        </is>
      </c>
      <c r="S444" s="182" t="inlineStr">
        <is>
          <t>Not Reversed</t>
        </is>
      </c>
      <c r="T444" s="57">
        <f>IF(OR(LEN(F444)=11,LEN(F444)=15),"Đ","SAI")</f>
        <v/>
      </c>
      <c r="U444" s="529">
        <f>ROUND(H444*I444%,0)-J444</f>
        <v/>
      </c>
      <c r="V444" s="55">
        <f>IF(Q444=$V$12,13313,13311)</f>
        <v/>
      </c>
    </row>
    <row r="445" ht="21.65" customHeight="1" s="344">
      <c r="A445" s="180" t="n">
        <v>428</v>
      </c>
      <c r="B445" s="182" t="inlineStr">
        <is>
          <t>1C26TYY</t>
        </is>
      </c>
      <c r="C445" s="278" t="inlineStr">
        <is>
          <t>'47</t>
        </is>
      </c>
      <c r="D445" s="181" t="n">
        <v>46273</v>
      </c>
      <c r="E445" s="182" t="inlineStr">
        <is>
          <t>CÔNG TY CỔ PHẦN NĂNG LƯỢNG TÁI TẠO ĐIỆN LỰC DẦU KHÍ</t>
        </is>
      </c>
      <c r="F445" s="278" t="inlineStr">
        <is>
          <t>'0109308963</t>
        </is>
      </c>
      <c r="G445" s="182" t="inlineStr">
        <is>
          <t>ĐIỆN MTMN T08-2026</t>
        </is>
      </c>
      <c r="H445" s="194" t="n">
        <v>98528735</v>
      </c>
      <c r="I445" s="180" t="n">
        <v>8</v>
      </c>
      <c r="J445" s="194" t="n">
        <v>7882299</v>
      </c>
      <c r="K445" s="182" t="inlineStr">
        <is>
          <t>CK</t>
        </is>
      </c>
      <c r="L445" s="182" t="inlineStr">
        <is>
          <t>GL</t>
        </is>
      </c>
      <c r="M445" s="278" t="inlineStr">
        <is>
          <t>'3175</t>
        </is>
      </c>
      <c r="N445" s="181" t="n">
        <v>46295</v>
      </c>
      <c r="O445" s="181" t="n">
        <v>46295</v>
      </c>
      <c r="P445" s="194" t="n">
        <v>106411034</v>
      </c>
      <c r="Q445" s="180" t="inlineStr">
        <is>
          <t>Năng lượng mặt trời</t>
        </is>
      </c>
      <c r="R445" s="180" t="inlineStr">
        <is>
          <t>THAOPTT.HCM.VTA</t>
        </is>
      </c>
      <c r="S445" s="182" t="inlineStr">
        <is>
          <t>Not Reversed</t>
        </is>
      </c>
      <c r="T445" s="57">
        <f>IF(OR(LEN(F445)=11,LEN(F445)=15),"Đ","SAI")</f>
        <v/>
      </c>
      <c r="U445" s="529">
        <f>ROUND(H445*I445%,0)-J445</f>
        <v/>
      </c>
      <c r="V445" s="55">
        <f>IF(Q445=$V$12,13313,13311)</f>
        <v/>
      </c>
    </row>
    <row r="446" ht="21.65" customHeight="1" s="344">
      <c r="A446" s="180" t="n">
        <v>429</v>
      </c>
      <c r="B446" s="182" t="inlineStr">
        <is>
          <t>1C26TYY</t>
        </is>
      </c>
      <c r="C446" s="278" t="inlineStr">
        <is>
          <t>'48</t>
        </is>
      </c>
      <c r="D446" s="181" t="n">
        <v>46273</v>
      </c>
      <c r="E446" s="182" t="inlineStr">
        <is>
          <t>Công Ty Cổ Phần Năng Lượng Tái Tạo Điện Lực Dầu Khí</t>
        </is>
      </c>
      <c r="F446" s="278" t="inlineStr">
        <is>
          <t>'0109308963</t>
        </is>
      </c>
      <c r="G446" s="182" t="inlineStr">
        <is>
          <t>ĐIỆN MTMN T08-2026</t>
        </is>
      </c>
      <c r="H446" s="194" t="n">
        <v>168545245</v>
      </c>
      <c r="I446" s="180" t="n">
        <v>8</v>
      </c>
      <c r="J446" s="194" t="n">
        <v>13483620</v>
      </c>
      <c r="K446" s="182" t="inlineStr">
        <is>
          <t>CK</t>
        </is>
      </c>
      <c r="L446" s="182" t="inlineStr">
        <is>
          <t>GL</t>
        </is>
      </c>
      <c r="M446" s="278" t="inlineStr">
        <is>
          <t>'3175</t>
        </is>
      </c>
      <c r="N446" s="181" t="n">
        <v>46295</v>
      </c>
      <c r="O446" s="181" t="n">
        <v>46295</v>
      </c>
      <c r="P446" s="194" t="n">
        <v>182028865</v>
      </c>
      <c r="Q446" s="180" t="inlineStr">
        <is>
          <t>Năng lượng mặt trời</t>
        </is>
      </c>
      <c r="R446" s="180" t="inlineStr">
        <is>
          <t>THAOPTT.HCM.VTA</t>
        </is>
      </c>
      <c r="S446" s="182" t="inlineStr">
        <is>
          <t>Not Reversed</t>
        </is>
      </c>
      <c r="T446" s="57">
        <f>IF(OR(LEN(F446)=11,LEN(F446)=15),"Đ","SAI")</f>
        <v/>
      </c>
      <c r="U446" s="529">
        <f>ROUND(H446*I446%,0)-J446</f>
        <v/>
      </c>
      <c r="V446" s="55">
        <f>IF(Q446=$V$12,13313,13311)</f>
        <v/>
      </c>
    </row>
    <row r="447" ht="21.65" customHeight="1" s="344">
      <c r="A447" s="180" t="n">
        <v>430</v>
      </c>
      <c r="B447" s="182" t="inlineStr">
        <is>
          <t>1C26TYY</t>
        </is>
      </c>
      <c r="C447" s="278" t="inlineStr">
        <is>
          <t>'49</t>
        </is>
      </c>
      <c r="D447" s="181" t="n">
        <v>46273</v>
      </c>
      <c r="E447" s="182" t="inlineStr">
        <is>
          <t>Công Ty Cổ Phần Năng Lượng Tái Tạo Điện Lực Dầu Khí</t>
        </is>
      </c>
      <c r="F447" s="278" t="inlineStr">
        <is>
          <t>'0109308963</t>
        </is>
      </c>
      <c r="G447" s="182" t="inlineStr">
        <is>
          <t>ĐIỆN MTMN T08-2026</t>
        </is>
      </c>
      <c r="H447" s="194" t="n">
        <v>162733340</v>
      </c>
      <c r="I447" s="180" t="n">
        <v>8</v>
      </c>
      <c r="J447" s="194" t="n">
        <v>13018667</v>
      </c>
      <c r="K447" s="182" t="inlineStr">
        <is>
          <t>CK</t>
        </is>
      </c>
      <c r="L447" s="182" t="inlineStr">
        <is>
          <t>GL</t>
        </is>
      </c>
      <c r="M447" s="278" t="inlineStr">
        <is>
          <t>'3175</t>
        </is>
      </c>
      <c r="N447" s="181" t="n">
        <v>46295</v>
      </c>
      <c r="O447" s="181" t="n">
        <v>46295</v>
      </c>
      <c r="P447" s="194" t="n">
        <v>175752007</v>
      </c>
      <c r="Q447" s="180" t="inlineStr">
        <is>
          <t>Năng lượng mặt trời</t>
        </is>
      </c>
      <c r="R447" s="180" t="inlineStr">
        <is>
          <t>THAOPTT.HCM.VTA</t>
        </is>
      </c>
      <c r="S447" s="182" t="inlineStr">
        <is>
          <t>Not Reversed</t>
        </is>
      </c>
      <c r="T447" s="57">
        <f>IF(OR(LEN(F447)=11,LEN(F447)=15),"Đ","SAI")</f>
        <v/>
      </c>
      <c r="U447" s="529">
        <f>ROUND(H447*I447%,0)-J447</f>
        <v/>
      </c>
      <c r="V447" s="55">
        <f>IF(Q447=$V$12,13313,13311)</f>
        <v/>
      </c>
    </row>
    <row r="448" ht="21.65" customHeight="1" s="344">
      <c r="A448" s="180" t="n">
        <v>431</v>
      </c>
      <c r="B448" s="182" t="inlineStr">
        <is>
          <t>1C26MHC</t>
        </is>
      </c>
      <c r="C448" s="278" t="inlineStr">
        <is>
          <t>'882</t>
        </is>
      </c>
      <c r="D448" s="181" t="n">
        <v>46273</v>
      </c>
      <c r="E448" s="182" t="inlineStr">
        <is>
          <t>CÔNG TY TNHH DỊCH VỤ DU LỊCH KHÁCH SẠN THC</t>
        </is>
      </c>
      <c r="F448" s="278" t="inlineStr">
        <is>
          <t>'3502467178</t>
        </is>
      </c>
      <c r="G448" s="182" t="inlineStr">
        <is>
          <t>ĐIỆN MTMN T08-2026</t>
        </is>
      </c>
      <c r="H448" s="194" t="n">
        <v>77885</v>
      </c>
      <c r="I448" s="180" t="n">
        <v>8</v>
      </c>
      <c r="J448" s="194" t="n">
        <v>6231</v>
      </c>
      <c r="K448" s="182" t="inlineStr">
        <is>
          <t>CK</t>
        </is>
      </c>
      <c r="L448" s="182" t="inlineStr">
        <is>
          <t>GL</t>
        </is>
      </c>
      <c r="M448" s="278" t="inlineStr">
        <is>
          <t>'3175</t>
        </is>
      </c>
      <c r="N448" s="181" t="n">
        <v>46295</v>
      </c>
      <c r="O448" s="181" t="n">
        <v>46295</v>
      </c>
      <c r="P448" s="194" t="n">
        <v>84116</v>
      </c>
      <c r="Q448" s="180" t="inlineStr">
        <is>
          <t>Năng lượng mặt trời</t>
        </is>
      </c>
      <c r="R448" s="180" t="inlineStr">
        <is>
          <t>THAOPTT.HCM.VTA</t>
        </is>
      </c>
      <c r="S448" s="182" t="inlineStr">
        <is>
          <t>Not Reversed</t>
        </is>
      </c>
      <c r="T448" s="57">
        <f>IF(OR(LEN(F448)=11,LEN(F448)=15),"Đ","SAI")</f>
        <v/>
      </c>
      <c r="U448" s="529">
        <f>ROUND(H448*I448%,0)-J448</f>
        <v/>
      </c>
      <c r="V448" s="55">
        <f>IF(Q448=$V$12,13313,13311)</f>
        <v/>
      </c>
    </row>
    <row r="449" ht="21.65" customHeight="1" s="344">
      <c r="A449" s="180" t="n">
        <v>432</v>
      </c>
      <c r="B449" s="182" t="inlineStr">
        <is>
          <t>1C26TNT</t>
        </is>
      </c>
      <c r="C449" s="278" t="inlineStr">
        <is>
          <t>'114</t>
        </is>
      </c>
      <c r="D449" s="181" t="n">
        <v>46243</v>
      </c>
      <c r="E449" s="182" t="inlineStr">
        <is>
          <t>Công ty TNHH Năng Lượng GELEX Ninh Thuận</t>
        </is>
      </c>
      <c r="F449" s="278" t="inlineStr">
        <is>
          <t>'4500618017</t>
        </is>
      </c>
      <c r="G449" s="182" t="inlineStr">
        <is>
          <t>ĐIỆN MTMN T07-2026</t>
        </is>
      </c>
      <c r="H449" s="194" t="n">
        <v>212487120</v>
      </c>
      <c r="I449" s="180" t="n">
        <v>8</v>
      </c>
      <c r="J449" s="194" t="n">
        <v>16998970</v>
      </c>
      <c r="K449" s="182" t="inlineStr">
        <is>
          <t>CK</t>
        </is>
      </c>
      <c r="L449" s="182" t="inlineStr">
        <is>
          <t>GL</t>
        </is>
      </c>
      <c r="M449" s="278" t="inlineStr">
        <is>
          <t>'3175</t>
        </is>
      </c>
      <c r="N449" s="181" t="n">
        <v>46295</v>
      </c>
      <c r="O449" s="181" t="n">
        <v>46295</v>
      </c>
      <c r="P449" s="194" t="n">
        <v>229486090</v>
      </c>
      <c r="Q449" s="180" t="inlineStr">
        <is>
          <t>Năng lượng mặt trời</t>
        </is>
      </c>
      <c r="R449" s="180" t="inlineStr">
        <is>
          <t>THAOPTT.HCM.VTA</t>
        </is>
      </c>
      <c r="S449" s="182" t="inlineStr">
        <is>
          <t>Not Reversed</t>
        </is>
      </c>
      <c r="T449" s="57">
        <f>IF(OR(LEN(F449)=11,LEN(F449)=15),"Đ","SAI")</f>
        <v/>
      </c>
      <c r="U449" s="529">
        <f>ROUND(H449*I449%,0)-J449</f>
        <v/>
      </c>
      <c r="V449" s="55">
        <f>IF(Q449=$V$12,13313,13311)</f>
        <v/>
      </c>
    </row>
    <row r="450" ht="21.65" customHeight="1" s="344">
      <c r="A450" s="180" t="n">
        <v>433</v>
      </c>
      <c r="B450" s="182" t="inlineStr">
        <is>
          <t>1C26TNT</t>
        </is>
      </c>
      <c r="C450" s="278" t="inlineStr">
        <is>
          <t>'115</t>
        </is>
      </c>
      <c r="D450" s="181" t="n">
        <v>46243</v>
      </c>
      <c r="E450" s="182" t="inlineStr">
        <is>
          <t>Công ty TNHH Năng Lượng GELEX Ninh Thuận</t>
        </is>
      </c>
      <c r="F450" s="278" t="inlineStr">
        <is>
          <t>'4500618017</t>
        </is>
      </c>
      <c r="G450" s="182" t="inlineStr">
        <is>
          <t>ĐIỆN MTMN T07-2026</t>
        </is>
      </c>
      <c r="H450" s="194" t="n">
        <v>197533200</v>
      </c>
      <c r="I450" s="180" t="n">
        <v>8</v>
      </c>
      <c r="J450" s="194" t="n">
        <v>15802656</v>
      </c>
      <c r="K450" s="182" t="inlineStr">
        <is>
          <t>CK</t>
        </is>
      </c>
      <c r="L450" s="182" t="inlineStr">
        <is>
          <t>GL</t>
        </is>
      </c>
      <c r="M450" s="278" t="inlineStr">
        <is>
          <t>'3175</t>
        </is>
      </c>
      <c r="N450" s="181" t="n">
        <v>46295</v>
      </c>
      <c r="O450" s="181" t="n">
        <v>46295</v>
      </c>
      <c r="P450" s="194" t="n">
        <v>213335856</v>
      </c>
      <c r="Q450" s="180" t="inlineStr">
        <is>
          <t>Năng lượng mặt trời</t>
        </is>
      </c>
      <c r="R450" s="180" t="inlineStr">
        <is>
          <t>THAOPTT.HCM.VTA</t>
        </is>
      </c>
      <c r="S450" s="182" t="inlineStr">
        <is>
          <t>Not Reversed</t>
        </is>
      </c>
      <c r="T450" s="57">
        <f>IF(OR(LEN(F450)=11,LEN(F450)=15),"Đ","SAI")</f>
        <v/>
      </c>
      <c r="U450" s="529">
        <f>ROUND(H450*I450%,0)-J450</f>
        <v/>
      </c>
      <c r="V450" s="55">
        <f>IF(Q450=$V$12,13313,13311)</f>
        <v/>
      </c>
    </row>
    <row r="451" ht="21.65" customHeight="1" s="344">
      <c r="A451" s="180" t="n">
        <v>434</v>
      </c>
      <c r="B451" s="182" t="inlineStr">
        <is>
          <t>1C26TNT</t>
        </is>
      </c>
      <c r="C451" s="278" t="inlineStr">
        <is>
          <t>'116</t>
        </is>
      </c>
      <c r="D451" s="181" t="n">
        <v>46243</v>
      </c>
      <c r="E451" s="182" t="inlineStr">
        <is>
          <t>Công ty TNHH Năng Lượng GELEX Ninh Thuận</t>
        </is>
      </c>
      <c r="F451" s="278" t="inlineStr">
        <is>
          <t>'4500618017</t>
        </is>
      </c>
      <c r="G451" s="182" t="inlineStr">
        <is>
          <t>ĐIỆN MTMN T07-2026</t>
        </is>
      </c>
      <c r="H451" s="194" t="n">
        <v>130131100</v>
      </c>
      <c r="I451" s="180" t="n">
        <v>8</v>
      </c>
      <c r="J451" s="194" t="n">
        <v>10410488</v>
      </c>
      <c r="K451" s="182" t="inlineStr">
        <is>
          <t>CK</t>
        </is>
      </c>
      <c r="L451" s="182" t="inlineStr">
        <is>
          <t>GL</t>
        </is>
      </c>
      <c r="M451" s="278" t="inlineStr">
        <is>
          <t>'3175</t>
        </is>
      </c>
      <c r="N451" s="181" t="n">
        <v>46295</v>
      </c>
      <c r="O451" s="181" t="n">
        <v>46295</v>
      </c>
      <c r="P451" s="194" t="n">
        <v>140541588</v>
      </c>
      <c r="Q451" s="180" t="inlineStr">
        <is>
          <t>Năng lượng mặt trời</t>
        </is>
      </c>
      <c r="R451" s="180" t="inlineStr">
        <is>
          <t>THAOPTT.HCM.VTA</t>
        </is>
      </c>
      <c r="S451" s="182" t="inlineStr">
        <is>
          <t>Not Reversed</t>
        </is>
      </c>
      <c r="T451" s="57">
        <f>IF(OR(LEN(F451)=11,LEN(F451)=15),"Đ","SAI")</f>
        <v/>
      </c>
      <c r="U451" s="529">
        <f>ROUND(H451*I451%,0)-J451</f>
        <v/>
      </c>
      <c r="V451" s="55">
        <f>IF(Q451=$V$12,13313,13311)</f>
        <v/>
      </c>
    </row>
    <row r="452" ht="21.65" customHeight="1" s="344">
      <c r="A452" s="180" t="n">
        <v>435</v>
      </c>
      <c r="B452" s="182" t="inlineStr">
        <is>
          <t>1C26TMN</t>
        </is>
      </c>
      <c r="C452" s="278" t="inlineStr">
        <is>
          <t>'24</t>
        </is>
      </c>
      <c r="D452" s="181" t="n">
        <v>46243</v>
      </c>
      <c r="E452" s="182" t="inlineStr">
        <is>
          <t>Công ty TNHH Điện Mặt Trời Mái Nhà</t>
        </is>
      </c>
      <c r="F452" s="278" t="inlineStr">
        <is>
          <t>'4500643493</t>
        </is>
      </c>
      <c r="G452" s="182" t="inlineStr">
        <is>
          <t>ĐIỆN MTMN T07-2026</t>
        </is>
      </c>
      <c r="H452" s="194" t="n">
        <v>182947655</v>
      </c>
      <c r="I452" s="180" t="n">
        <v>8</v>
      </c>
      <c r="J452" s="194" t="n">
        <v>14635812</v>
      </c>
      <c r="K452" s="182" t="inlineStr">
        <is>
          <t>CK</t>
        </is>
      </c>
      <c r="L452" s="182" t="inlineStr">
        <is>
          <t>GL</t>
        </is>
      </c>
      <c r="M452" s="278" t="inlineStr">
        <is>
          <t>'3175</t>
        </is>
      </c>
      <c r="N452" s="181" t="n">
        <v>46295</v>
      </c>
      <c r="O452" s="181" t="n">
        <v>46295</v>
      </c>
      <c r="P452" s="194" t="n">
        <v>197583467</v>
      </c>
      <c r="Q452" s="180" t="inlineStr">
        <is>
          <t>Năng lượng mặt trời</t>
        </is>
      </c>
      <c r="R452" s="180" t="inlineStr">
        <is>
          <t>THAOPTT.HCM.VTA</t>
        </is>
      </c>
      <c r="S452" s="182" t="inlineStr">
        <is>
          <t>Not Reversed</t>
        </is>
      </c>
      <c r="T452" s="57">
        <f>IF(OR(LEN(F452)=11,LEN(F452)=15),"Đ","SAI")</f>
        <v/>
      </c>
      <c r="U452" s="529">
        <f>ROUND(H452*I452%,0)-J452</f>
        <v/>
      </c>
      <c r="V452" s="55">
        <f>IF(Q452=$V$12,13313,13311)</f>
        <v/>
      </c>
    </row>
    <row r="453" ht="21.65" customFormat="1" customHeight="1" s="62">
      <c r="A453" s="180" t="n">
        <v>436</v>
      </c>
      <c r="B453" s="182" t="inlineStr">
        <is>
          <t>1C26TMN</t>
        </is>
      </c>
      <c r="C453" s="278" t="inlineStr">
        <is>
          <t>'55</t>
        </is>
      </c>
      <c r="D453" s="181" t="n">
        <v>46243</v>
      </c>
      <c r="E453" s="182" t="inlineStr">
        <is>
          <t>Công ty TNHH Năng Lượng Điện Mái Nhà</t>
        </is>
      </c>
      <c r="F453" s="278" t="inlineStr">
        <is>
          <t>'4500642387</t>
        </is>
      </c>
      <c r="G453" s="182" t="inlineStr">
        <is>
          <t>ĐIỆN MTMN T07-2026</t>
        </is>
      </c>
      <c r="H453" s="194" t="n">
        <v>84850445</v>
      </c>
      <c r="I453" s="180" t="n">
        <v>8</v>
      </c>
      <c r="J453" s="194" t="n">
        <v>6788036</v>
      </c>
      <c r="K453" s="182" t="inlineStr">
        <is>
          <t>CK</t>
        </is>
      </c>
      <c r="L453" s="182" t="inlineStr">
        <is>
          <t>GL</t>
        </is>
      </c>
      <c r="M453" s="278" t="inlineStr">
        <is>
          <t>'3175</t>
        </is>
      </c>
      <c r="N453" s="181" t="n">
        <v>46295</v>
      </c>
      <c r="O453" s="181" t="n">
        <v>46295</v>
      </c>
      <c r="P453" s="194" t="n">
        <v>91638481</v>
      </c>
      <c r="Q453" s="180" t="inlineStr">
        <is>
          <t>Năng lượng mặt trời</t>
        </is>
      </c>
      <c r="R453" s="180" t="inlineStr">
        <is>
          <t>THAOPTT.HCM.VTA</t>
        </is>
      </c>
      <c r="S453" s="182" t="inlineStr">
        <is>
          <t>Not Reversed</t>
        </is>
      </c>
      <c r="T453" s="57">
        <f>IF(OR(LEN(F453)=11,LEN(F453)=15),"Đ","SAI")</f>
        <v/>
      </c>
      <c r="U453" s="529">
        <f>ROUND(H453*I453%,0)-J453</f>
        <v/>
      </c>
      <c r="V453" s="55">
        <f>IF(Q453=$V$12,13313,13311)</f>
        <v/>
      </c>
    </row>
    <row r="454" ht="21.65" customHeight="1" s="344">
      <c r="A454" s="180" t="n">
        <v>437</v>
      </c>
      <c r="B454" s="182" t="inlineStr">
        <is>
          <t>1C26TMN</t>
        </is>
      </c>
      <c r="C454" s="278" t="inlineStr">
        <is>
          <t>'56</t>
        </is>
      </c>
      <c r="D454" s="181" t="n">
        <v>46243</v>
      </c>
      <c r="E454" s="182" t="inlineStr">
        <is>
          <t>Công ty TNHH Năng Lượng Điện Mái Nhà</t>
        </is>
      </c>
      <c r="F454" s="278" t="inlineStr">
        <is>
          <t>'4500642387</t>
        </is>
      </c>
      <c r="G454" s="182" t="inlineStr">
        <is>
          <t>ĐIỆN MTMN T07-2026</t>
        </is>
      </c>
      <c r="H454" s="194" t="n">
        <v>156121535</v>
      </c>
      <c r="I454" s="180" t="n">
        <v>8</v>
      </c>
      <c r="J454" s="194" t="n">
        <v>12489723</v>
      </c>
      <c r="K454" s="182" t="inlineStr">
        <is>
          <t>CK</t>
        </is>
      </c>
      <c r="L454" s="182" t="inlineStr">
        <is>
          <t>GL</t>
        </is>
      </c>
      <c r="M454" s="278" t="inlineStr">
        <is>
          <t>'3175</t>
        </is>
      </c>
      <c r="N454" s="181" t="n">
        <v>46295</v>
      </c>
      <c r="O454" s="181" t="n">
        <v>46295</v>
      </c>
      <c r="P454" s="194" t="n">
        <v>168611258</v>
      </c>
      <c r="Q454" s="180" t="inlineStr">
        <is>
          <t>Năng lượng mặt trời</t>
        </is>
      </c>
      <c r="R454" s="180" t="inlineStr">
        <is>
          <t>THAOPTT.HCM.VTA</t>
        </is>
      </c>
      <c r="S454" s="182" t="inlineStr">
        <is>
          <t>Not Reversed</t>
        </is>
      </c>
      <c r="T454" s="57">
        <f>IF(OR(LEN(F454)=11,LEN(F454)=15),"Đ","SAI")</f>
        <v/>
      </c>
      <c r="U454" s="529">
        <f>ROUND(H454*I454%,0)-J454</f>
        <v/>
      </c>
      <c r="V454" s="55">
        <f>IF(Q454=$V$12,13313,13311)</f>
        <v/>
      </c>
    </row>
    <row r="455" ht="21.65" customHeight="1" s="344">
      <c r="A455" s="180" t="n">
        <v>438</v>
      </c>
      <c r="B455" s="182" t="inlineStr">
        <is>
          <t>1C26TMN</t>
        </is>
      </c>
      <c r="C455" s="278" t="inlineStr">
        <is>
          <t>'57</t>
        </is>
      </c>
      <c r="D455" s="181" t="n">
        <v>46243</v>
      </c>
      <c r="E455" s="182" t="inlineStr">
        <is>
          <t>Công ty TNHH Năng Lượng Điện Mái Nhà</t>
        </is>
      </c>
      <c r="F455" s="278" t="inlineStr">
        <is>
          <t>'4500642387</t>
        </is>
      </c>
      <c r="G455" s="182" t="inlineStr">
        <is>
          <t>ĐIỆN MTMN T07-2026</t>
        </is>
      </c>
      <c r="H455" s="194" t="n">
        <v>188239625</v>
      </c>
      <c r="I455" s="180" t="n">
        <v>8</v>
      </c>
      <c r="J455" s="194" t="n">
        <v>15059170</v>
      </c>
      <c r="K455" s="182" t="inlineStr">
        <is>
          <t>CK</t>
        </is>
      </c>
      <c r="L455" s="182" t="inlineStr">
        <is>
          <t>GL</t>
        </is>
      </c>
      <c r="M455" s="278" t="inlineStr">
        <is>
          <t>'3175</t>
        </is>
      </c>
      <c r="N455" s="181" t="n">
        <v>46295</v>
      </c>
      <c r="O455" s="181" t="n">
        <v>46295</v>
      </c>
      <c r="P455" s="194" t="n">
        <v>203298795</v>
      </c>
      <c r="Q455" s="180" t="inlineStr">
        <is>
          <t>Năng lượng mặt trời</t>
        </is>
      </c>
      <c r="R455" s="180" t="inlineStr">
        <is>
          <t>THAOPTT.HCM.VTA</t>
        </is>
      </c>
      <c r="S455" s="182" t="inlineStr">
        <is>
          <t>Not Reversed</t>
        </is>
      </c>
      <c r="T455" s="57">
        <f>IF(OR(LEN(F455)=11,LEN(F455)=15),"Đ","SAI")</f>
        <v/>
      </c>
      <c r="U455" s="529">
        <f>ROUND(H455*I455%,0)-J455</f>
        <v/>
      </c>
      <c r="V455" s="55">
        <f>IF(Q455=$V$12,13313,13311)</f>
        <v/>
      </c>
    </row>
    <row r="456" ht="21.65" customHeight="1" s="344">
      <c r="A456" s="180" t="n">
        <v>439</v>
      </c>
      <c r="B456" s="182" t="inlineStr">
        <is>
          <t>1C26TTS</t>
        </is>
      </c>
      <c r="C456" s="278" t="inlineStr">
        <is>
          <t>'2240</t>
        </is>
      </c>
      <c r="D456" s="181" t="n">
        <v>46274</v>
      </c>
      <c r="E456" s="182" t="inlineStr">
        <is>
          <t>Công ty TNHH Suất Ăn Công Nghiệp Tiến Sang</t>
        </is>
      </c>
      <c r="F456" s="278" t="inlineStr">
        <is>
          <t>'3501533893</t>
        </is>
      </c>
      <c r="G456" s="182" t="inlineStr">
        <is>
          <t>ĐIỆN MTMN T08-2026</t>
        </is>
      </c>
      <c r="H456" s="194" t="n">
        <v>6546550</v>
      </c>
      <c r="I456" s="180" t="n">
        <v>8</v>
      </c>
      <c r="J456" s="194" t="n">
        <v>523724</v>
      </c>
      <c r="K456" s="182" t="inlineStr">
        <is>
          <t>CK</t>
        </is>
      </c>
      <c r="L456" s="182" t="inlineStr">
        <is>
          <t>GL</t>
        </is>
      </c>
      <c r="M456" s="278" t="inlineStr">
        <is>
          <t>'3175</t>
        </is>
      </c>
      <c r="N456" s="181" t="n">
        <v>46295</v>
      </c>
      <c r="O456" s="181" t="n">
        <v>46295</v>
      </c>
      <c r="P456" s="194" t="n">
        <v>7070274</v>
      </c>
      <c r="Q456" s="180" t="inlineStr">
        <is>
          <t>Năng lượng mặt trời</t>
        </is>
      </c>
      <c r="R456" s="180" t="inlineStr">
        <is>
          <t>THAOPTT.HCM.VTA</t>
        </is>
      </c>
      <c r="S456" s="182" t="inlineStr">
        <is>
          <t>Not Reversed</t>
        </is>
      </c>
      <c r="T456" s="57">
        <f>IF(OR(LEN(F456)=11,LEN(F456)=15),"Đ","SAI")</f>
        <v/>
      </c>
      <c r="U456" s="529">
        <f>ROUND(H456*I456%,0)-J456</f>
        <v/>
      </c>
      <c r="V456" s="55">
        <f>IF(Q456=$V$12,13313,13311)</f>
        <v/>
      </c>
    </row>
    <row r="457" ht="21.65" customHeight="1" s="344">
      <c r="A457" s="180" t="n">
        <v>440</v>
      </c>
      <c r="B457" s="182" t="inlineStr">
        <is>
          <t>1C26TTP</t>
        </is>
      </c>
      <c r="C457" s="278" t="inlineStr">
        <is>
          <t>'236</t>
        </is>
      </c>
      <c r="D457" s="181" t="n">
        <v>46274</v>
      </c>
      <c r="E457" s="182" t="inlineStr">
        <is>
          <t>Công Ty TNHH Kính Thiên Phú</t>
        </is>
      </c>
      <c r="F457" s="278" t="inlineStr">
        <is>
          <t>'3502467763</t>
        </is>
      </c>
      <c r="G457" s="182" t="inlineStr">
        <is>
          <t>ĐIỆN MTMN T08-2026</t>
        </is>
      </c>
      <c r="H457" s="194" t="n">
        <v>2366020</v>
      </c>
      <c r="I457" s="180" t="n">
        <v>8</v>
      </c>
      <c r="J457" s="194" t="n">
        <v>189282</v>
      </c>
      <c r="K457" s="182" t="inlineStr">
        <is>
          <t>CK</t>
        </is>
      </c>
      <c r="L457" s="182" t="inlineStr">
        <is>
          <t>GL</t>
        </is>
      </c>
      <c r="M457" s="278" t="inlineStr">
        <is>
          <t>'3175</t>
        </is>
      </c>
      <c r="N457" s="181" t="n">
        <v>46295</v>
      </c>
      <c r="O457" s="181" t="n">
        <v>46295</v>
      </c>
      <c r="P457" s="194" t="n">
        <v>2555302</v>
      </c>
      <c r="Q457" s="180" t="inlineStr">
        <is>
          <t>Năng lượng mặt trời</t>
        </is>
      </c>
      <c r="R457" s="180" t="inlineStr">
        <is>
          <t>THAOPTT.HCM.VTA</t>
        </is>
      </c>
      <c r="S457" s="182" t="inlineStr">
        <is>
          <t>Not Reversed</t>
        </is>
      </c>
      <c r="T457" s="57">
        <f>IF(OR(LEN(F457)=11,LEN(F457)=15),"Đ","SAI")</f>
        <v/>
      </c>
      <c r="U457" s="529">
        <f>ROUND(H457*I457%,0)-J457</f>
        <v/>
      </c>
      <c r="V457" s="55">
        <f>IF(Q457=$V$12,13313,13311)</f>
        <v/>
      </c>
    </row>
    <row r="458" ht="21.65" customHeight="1" s="344">
      <c r="A458" s="180" t="n">
        <v>441</v>
      </c>
      <c r="B458" s="182" t="inlineStr">
        <is>
          <t>1C26TMA</t>
        </is>
      </c>
      <c r="C458" s="278" t="inlineStr">
        <is>
          <t>'385</t>
        </is>
      </c>
      <c r="D458" s="181" t="n">
        <v>46274</v>
      </c>
      <c r="E458" s="182" t="inlineStr">
        <is>
          <t>Công ty TNHH Thông Tin Kỹ Thuật Minh Anh</t>
        </is>
      </c>
      <c r="F458" s="278" t="inlineStr">
        <is>
          <t>'3500391149</t>
        </is>
      </c>
      <c r="G458" s="182" t="inlineStr">
        <is>
          <t>ĐIỆN MTMN T08-2026</t>
        </is>
      </c>
      <c r="H458" s="194" t="n">
        <v>6929660</v>
      </c>
      <c r="I458" s="180" t="n">
        <v>8</v>
      </c>
      <c r="J458" s="194" t="n">
        <v>554373</v>
      </c>
      <c r="K458" s="182" t="inlineStr">
        <is>
          <t>CK</t>
        </is>
      </c>
      <c r="L458" s="182" t="inlineStr">
        <is>
          <t>GL</t>
        </is>
      </c>
      <c r="M458" s="278" t="inlineStr">
        <is>
          <t>'3175</t>
        </is>
      </c>
      <c r="N458" s="181" t="n">
        <v>46295</v>
      </c>
      <c r="O458" s="181" t="n">
        <v>46295</v>
      </c>
      <c r="P458" s="194" t="n">
        <v>7484033</v>
      </c>
      <c r="Q458" s="180" t="inlineStr">
        <is>
          <t>Năng lượng mặt trời</t>
        </is>
      </c>
      <c r="R458" s="180" t="inlineStr">
        <is>
          <t>THAOPTT.HCM.VTA</t>
        </is>
      </c>
      <c r="S458" s="182" t="inlineStr">
        <is>
          <t>Not Reversed</t>
        </is>
      </c>
      <c r="T458" s="57">
        <f>IF(OR(LEN(F458)=11,LEN(F458)=15),"Đ","SAI")</f>
        <v/>
      </c>
      <c r="U458" s="529">
        <f>ROUND(H458*I458%,0)-J458</f>
        <v/>
      </c>
      <c r="V458" s="55">
        <f>IF(Q458=$V$12,13313,13311)</f>
        <v/>
      </c>
    </row>
    <row r="459" ht="21.65" customHeight="1" s="344">
      <c r="A459" s="180" t="n">
        <v>442</v>
      </c>
      <c r="B459" s="182" t="inlineStr">
        <is>
          <t>1C26TMA</t>
        </is>
      </c>
      <c r="C459" s="278" t="inlineStr">
        <is>
          <t>'386</t>
        </is>
      </c>
      <c r="D459" s="181" t="n">
        <v>46274</v>
      </c>
      <c r="E459" s="182" t="inlineStr">
        <is>
          <t>Công ty TNHH Thông Tin Kỹ Thuật Minh Anh</t>
        </is>
      </c>
      <c r="F459" s="278" t="inlineStr">
        <is>
          <t>'3500391149</t>
        </is>
      </c>
      <c r="G459" s="182" t="inlineStr">
        <is>
          <t>ĐIỆN MTMN T08-2026</t>
        </is>
      </c>
      <c r="H459" s="194" t="n">
        <v>9038870</v>
      </c>
      <c r="I459" s="180" t="n">
        <v>8</v>
      </c>
      <c r="J459" s="194" t="n">
        <v>723110</v>
      </c>
      <c r="K459" s="182" t="inlineStr">
        <is>
          <t>CK</t>
        </is>
      </c>
      <c r="L459" s="182" t="inlineStr">
        <is>
          <t>GL</t>
        </is>
      </c>
      <c r="M459" s="278" t="inlineStr">
        <is>
          <t>'3175</t>
        </is>
      </c>
      <c r="N459" s="181" t="n">
        <v>46295</v>
      </c>
      <c r="O459" s="181" t="n">
        <v>46295</v>
      </c>
      <c r="P459" s="194" t="n">
        <v>9761980</v>
      </c>
      <c r="Q459" s="180" t="inlineStr">
        <is>
          <t>Năng lượng mặt trời</t>
        </is>
      </c>
      <c r="R459" s="180" t="inlineStr">
        <is>
          <t>THAOPTT.HCM.VTA</t>
        </is>
      </c>
      <c r="S459" s="182" t="inlineStr">
        <is>
          <t>Not Reversed</t>
        </is>
      </c>
      <c r="T459" s="57">
        <f>IF(OR(LEN(F459)=11,LEN(F459)=15),"Đ","SAI")</f>
        <v/>
      </c>
      <c r="U459" s="529">
        <f>ROUND(H459*I459%,0)-J459</f>
        <v/>
      </c>
      <c r="V459" s="55">
        <f>IF(Q459=$V$12,13313,13311)</f>
        <v/>
      </c>
    </row>
    <row r="460" ht="21.65" customHeight="1" s="344">
      <c r="A460" s="180" t="n">
        <v>443</v>
      </c>
      <c r="B460" s="182" t="inlineStr">
        <is>
          <t>1C26TMA</t>
        </is>
      </c>
      <c r="C460" s="278" t="inlineStr">
        <is>
          <t>'387</t>
        </is>
      </c>
      <c r="D460" s="181" t="n">
        <v>46274</v>
      </c>
      <c r="E460" s="182" t="inlineStr">
        <is>
          <t>Công Ty TNHH Thông tin kỹ thuật MInh Anh</t>
        </is>
      </c>
      <c r="F460" s="278" t="inlineStr">
        <is>
          <t>'3500391149</t>
        </is>
      </c>
      <c r="G460" s="182" t="inlineStr">
        <is>
          <t>ĐIỆN MTMN T08-2026</t>
        </is>
      </c>
      <c r="H460" s="194" t="n">
        <v>4000992</v>
      </c>
      <c r="I460" s="180" t="n">
        <v>8</v>
      </c>
      <c r="J460" s="194" t="n">
        <v>320079</v>
      </c>
      <c r="K460" s="182" t="inlineStr">
        <is>
          <t>CK</t>
        </is>
      </c>
      <c r="L460" s="182" t="inlineStr">
        <is>
          <t>GL</t>
        </is>
      </c>
      <c r="M460" s="278" t="inlineStr">
        <is>
          <t>'3175</t>
        </is>
      </c>
      <c r="N460" s="181" t="n">
        <v>46295</v>
      </c>
      <c r="O460" s="181" t="n">
        <v>46295</v>
      </c>
      <c r="P460" s="194" t="n">
        <v>4321071</v>
      </c>
      <c r="Q460" s="180" t="inlineStr">
        <is>
          <t>Năng lượng mặt trời</t>
        </is>
      </c>
      <c r="R460" s="180" t="inlineStr">
        <is>
          <t>THAOPTT.HCM.VTA</t>
        </is>
      </c>
      <c r="S460" s="182" t="inlineStr">
        <is>
          <t>Not Reversed</t>
        </is>
      </c>
      <c r="T460" s="57">
        <f>IF(OR(LEN(F460)=11,LEN(F460)=15),"Đ","SAI")</f>
        <v/>
      </c>
      <c r="U460" s="529">
        <f>ROUND(H460*I460%,0)-J460</f>
        <v/>
      </c>
      <c r="V460" s="55">
        <f>IF(Q460=$V$12,13313,13311)</f>
        <v/>
      </c>
    </row>
    <row r="461" ht="21.65" customHeight="1" s="344">
      <c r="A461" s="180" t="n">
        <v>444</v>
      </c>
      <c r="B461" s="182" t="inlineStr">
        <is>
          <t>1C26TYY</t>
        </is>
      </c>
      <c r="C461" s="278" t="inlineStr">
        <is>
          <t>'9</t>
        </is>
      </c>
      <c r="D461" s="181" t="n">
        <v>46274</v>
      </c>
      <c r="E461" s="182" t="inlineStr">
        <is>
          <t>Công ty TNHH Kỹ Thuật và Đầu Tư Tiến Thành</t>
        </is>
      </c>
      <c r="F461" s="278" t="inlineStr">
        <is>
          <t>'0109297334</t>
        </is>
      </c>
      <c r="G461" s="182" t="inlineStr">
        <is>
          <t>ĐIỆN MTMN T08-2026</t>
        </is>
      </c>
      <c r="H461" s="194" t="n">
        <v>146619565</v>
      </c>
      <c r="I461" s="180" t="n">
        <v>8</v>
      </c>
      <c r="J461" s="194" t="n">
        <v>11729565</v>
      </c>
      <c r="K461" s="182" t="inlineStr">
        <is>
          <t>CK</t>
        </is>
      </c>
      <c r="L461" s="182" t="inlineStr">
        <is>
          <t>GL</t>
        </is>
      </c>
      <c r="M461" s="278" t="inlineStr">
        <is>
          <t>'3175</t>
        </is>
      </c>
      <c r="N461" s="181" t="n">
        <v>46295</v>
      </c>
      <c r="O461" s="181" t="n">
        <v>46295</v>
      </c>
      <c r="P461" s="194" t="n">
        <v>158349130</v>
      </c>
      <c r="Q461" s="180" t="inlineStr">
        <is>
          <t>Năng lượng mặt trời</t>
        </is>
      </c>
      <c r="R461" s="180" t="inlineStr">
        <is>
          <t>THAOPTT.HCM.VTA</t>
        </is>
      </c>
      <c r="S461" s="182" t="inlineStr">
        <is>
          <t>Not Reversed</t>
        </is>
      </c>
      <c r="T461" s="57">
        <f>IF(OR(LEN(F461)=11,LEN(F461)=15),"Đ","SAI")</f>
        <v/>
      </c>
      <c r="U461" s="529">
        <f>ROUND(H461*I461%,0)-J461</f>
        <v/>
      </c>
      <c r="V461" s="55">
        <f>IF(Q461=$V$12,13313,13311)</f>
        <v/>
      </c>
    </row>
    <row r="462" ht="21.65" customHeight="1" s="344">
      <c r="A462" s="180" t="n">
        <v>445</v>
      </c>
      <c r="B462" s="182" t="inlineStr">
        <is>
          <t>1C26TDV</t>
        </is>
      </c>
      <c r="C462" s="278" t="inlineStr">
        <is>
          <t>'917</t>
        </is>
      </c>
      <c r="D462" s="181" t="n">
        <v>46274</v>
      </c>
      <c r="E462" s="182" t="inlineStr">
        <is>
          <t>Công ty TNHH Thương Mại Dịch Vụ Công Nghệ Thông Tin Đất Việt</t>
        </is>
      </c>
      <c r="F462" s="278" t="inlineStr">
        <is>
          <t>'3501593821</t>
        </is>
      </c>
      <c r="G462" s="182" t="inlineStr">
        <is>
          <t>ĐIỆN MTMN T08-2026</t>
        </is>
      </c>
      <c r="H462" s="194" t="n">
        <v>338905</v>
      </c>
      <c r="I462" s="180" t="n">
        <v>8</v>
      </c>
      <c r="J462" s="194" t="n">
        <v>27112</v>
      </c>
      <c r="K462" s="182" t="inlineStr">
        <is>
          <t>CK</t>
        </is>
      </c>
      <c r="L462" s="182" t="inlineStr">
        <is>
          <t>GL</t>
        </is>
      </c>
      <c r="M462" s="278" t="inlineStr">
        <is>
          <t>'3175</t>
        </is>
      </c>
      <c r="N462" s="181" t="n">
        <v>46295</v>
      </c>
      <c r="O462" s="181" t="n">
        <v>46295</v>
      </c>
      <c r="P462" s="194" t="n">
        <v>366017</v>
      </c>
      <c r="Q462" s="180" t="inlineStr">
        <is>
          <t>Năng lượng mặt trời</t>
        </is>
      </c>
      <c r="R462" s="180" t="inlineStr">
        <is>
          <t>THAOPTT.HCM.VTA</t>
        </is>
      </c>
      <c r="S462" s="182" t="inlineStr">
        <is>
          <t>Not Reversed</t>
        </is>
      </c>
      <c r="T462" s="57">
        <f>IF(OR(LEN(F462)=11,LEN(F462)=15),"Đ","SAI")</f>
        <v/>
      </c>
      <c r="U462" s="529">
        <f>ROUND(H462*I462%,0)-J462</f>
        <v/>
      </c>
      <c r="V462" s="55">
        <f>IF(Q462=$V$12,13313,13311)</f>
        <v/>
      </c>
    </row>
    <row r="463" ht="21.65" customHeight="1" s="344">
      <c r="A463" s="180" t="n">
        <v>446</v>
      </c>
      <c r="B463" s="182" t="inlineStr">
        <is>
          <t>1C26TAA</t>
        </is>
      </c>
      <c r="C463" s="278" t="inlineStr">
        <is>
          <t>'76</t>
        </is>
      </c>
      <c r="D463" s="181" t="n">
        <v>46244</v>
      </c>
      <c r="E463" s="182" t="inlineStr">
        <is>
          <t>Công ty TNHH Mỹ Hiếu</t>
        </is>
      </c>
      <c r="F463" s="278" t="inlineStr">
        <is>
          <t>'3500684113</t>
        </is>
      </c>
      <c r="G463" s="182" t="inlineStr">
        <is>
          <t>ĐIỆN MTMN T07-2026</t>
        </is>
      </c>
      <c r="H463" s="194" t="n">
        <v>1206165</v>
      </c>
      <c r="I463" s="180" t="n">
        <v>8</v>
      </c>
      <c r="J463" s="194" t="n">
        <v>96493</v>
      </c>
      <c r="K463" s="182" t="inlineStr">
        <is>
          <t>CK</t>
        </is>
      </c>
      <c r="L463" s="182" t="inlineStr">
        <is>
          <t>GL</t>
        </is>
      </c>
      <c r="M463" s="278" t="inlineStr">
        <is>
          <t>'3175</t>
        </is>
      </c>
      <c r="N463" s="181" t="n">
        <v>46295</v>
      </c>
      <c r="O463" s="181" t="n">
        <v>46295</v>
      </c>
      <c r="P463" s="194" t="n">
        <v>1302658</v>
      </c>
      <c r="Q463" s="180" t="inlineStr">
        <is>
          <t>Năng lượng mặt trời</t>
        </is>
      </c>
      <c r="R463" s="180" t="inlineStr">
        <is>
          <t>THAOPTT.HCM.VTA</t>
        </is>
      </c>
      <c r="S463" s="182" t="inlineStr">
        <is>
          <t>Not Reversed</t>
        </is>
      </c>
      <c r="T463" s="57">
        <f>IF(OR(LEN(F463)=11,LEN(F463)=15),"Đ","SAI")</f>
        <v/>
      </c>
      <c r="U463" s="529">
        <f>ROUND(H463*I463%,0)-J463</f>
        <v/>
      </c>
      <c r="V463" s="55">
        <f>IF(Q463=$V$12,13313,13311)</f>
        <v/>
      </c>
    </row>
    <row r="464" ht="21.65" customHeight="1" s="344">
      <c r="A464" s="180" t="n">
        <v>447</v>
      </c>
      <c r="B464" s="182" t="inlineStr">
        <is>
          <t>1C26TYY</t>
        </is>
      </c>
      <c r="C464" s="278" t="inlineStr">
        <is>
          <t>'650</t>
        </is>
      </c>
      <c r="D464" s="181" t="n">
        <v>46275</v>
      </c>
      <c r="E464" s="182" t="inlineStr">
        <is>
          <t>Công Ty TNHH  Hải Ngọc</t>
        </is>
      </c>
      <c r="F464" s="278" t="inlineStr">
        <is>
          <t>'3500741121</t>
        </is>
      </c>
      <c r="G464" s="182" t="inlineStr">
        <is>
          <t>ĐIỆN MTMN T08-2026</t>
        </is>
      </c>
      <c r="H464" s="194" t="n">
        <v>514212</v>
      </c>
      <c r="I464" s="180" t="n">
        <v>8</v>
      </c>
      <c r="J464" s="194" t="n">
        <v>41137</v>
      </c>
      <c r="K464" s="182" t="inlineStr">
        <is>
          <t>CK</t>
        </is>
      </c>
      <c r="L464" s="182" t="inlineStr">
        <is>
          <t>GL</t>
        </is>
      </c>
      <c r="M464" s="278" t="inlineStr">
        <is>
          <t>'3175</t>
        </is>
      </c>
      <c r="N464" s="181" t="n">
        <v>46295</v>
      </c>
      <c r="O464" s="181" t="n">
        <v>46295</v>
      </c>
      <c r="P464" s="194" t="n">
        <v>555349</v>
      </c>
      <c r="Q464" s="180" t="inlineStr">
        <is>
          <t>Năng lượng mặt trời</t>
        </is>
      </c>
      <c r="R464" s="180" t="inlineStr">
        <is>
          <t>THAOPTT.HCM.VTA</t>
        </is>
      </c>
      <c r="S464" s="182" t="inlineStr">
        <is>
          <t>Not Reversed</t>
        </is>
      </c>
      <c r="T464" s="57">
        <f>IF(OR(LEN(F464)=11,LEN(F464)=15),"Đ","SAI")</f>
        <v/>
      </c>
      <c r="U464" s="529">
        <f>ROUND(H464*I464%,0)-J464</f>
        <v/>
      </c>
      <c r="V464" s="55">
        <f>IF(Q464=$V$12,13313,13311)</f>
        <v/>
      </c>
    </row>
    <row r="465" ht="21.65" customHeight="1" s="344">
      <c r="A465" s="180" t="n">
        <v>448</v>
      </c>
      <c r="B465" s="182" t="inlineStr">
        <is>
          <t>1C26TYY</t>
        </is>
      </c>
      <c r="C465" s="278" t="inlineStr">
        <is>
          <t>'651</t>
        </is>
      </c>
      <c r="D465" s="181" t="n">
        <v>46275</v>
      </c>
      <c r="E465" s="182" t="inlineStr">
        <is>
          <t>Công Ty TNHH Hải Ngọc</t>
        </is>
      </c>
      <c r="F465" s="278" t="inlineStr">
        <is>
          <t>'3500741121</t>
        </is>
      </c>
      <c r="G465" s="182" t="inlineStr">
        <is>
          <t>ĐIỆN MTMN T08-2026</t>
        </is>
      </c>
      <c r="H465" s="194" t="n">
        <v>2784915</v>
      </c>
      <c r="I465" s="180" t="n">
        <v>8</v>
      </c>
      <c r="J465" s="194" t="n">
        <v>222793</v>
      </c>
      <c r="K465" s="182" t="inlineStr">
        <is>
          <t>CK</t>
        </is>
      </c>
      <c r="L465" s="182" t="inlineStr">
        <is>
          <t>GL</t>
        </is>
      </c>
      <c r="M465" s="278" t="inlineStr">
        <is>
          <t>'3175</t>
        </is>
      </c>
      <c r="N465" s="181" t="n">
        <v>46295</v>
      </c>
      <c r="O465" s="181" t="n">
        <v>46295</v>
      </c>
      <c r="P465" s="194" t="n">
        <v>3007708</v>
      </c>
      <c r="Q465" s="180" t="inlineStr">
        <is>
          <t>Năng lượng mặt trời</t>
        </is>
      </c>
      <c r="R465" s="180" t="inlineStr">
        <is>
          <t>THAOPTT.HCM.VTA</t>
        </is>
      </c>
      <c r="S465" s="182" t="inlineStr">
        <is>
          <t>Not Reversed</t>
        </is>
      </c>
      <c r="T465" s="57">
        <f>IF(OR(LEN(F465)=11,LEN(F465)=15),"Đ","SAI")</f>
        <v/>
      </c>
      <c r="U465" s="529">
        <f>ROUND(H465*I465%,0)-J465</f>
        <v/>
      </c>
      <c r="V465" s="55">
        <f>IF(Q465=$V$12,13313,13311)</f>
        <v/>
      </c>
    </row>
    <row r="466" ht="21.65" customHeight="1" s="344">
      <c r="A466" s="180" t="n">
        <v>449</v>
      </c>
      <c r="B466" s="182" t="inlineStr">
        <is>
          <t>1C26TTN</t>
        </is>
      </c>
      <c r="C466" s="278" t="inlineStr">
        <is>
          <t>'933</t>
        </is>
      </c>
      <c r="D466" s="181" t="n">
        <v>46275</v>
      </c>
      <c r="E466" s="182" t="inlineStr">
        <is>
          <t>Công ty CP DV Gia công và thử nghiệm Vũng tàu</t>
        </is>
      </c>
      <c r="F466" s="278" t="inlineStr">
        <is>
          <t>'3502283445</t>
        </is>
      </c>
      <c r="G466" s="182" t="inlineStr">
        <is>
          <t>ĐIỆN MTMN T08-2026</t>
        </is>
      </c>
      <c r="H466" s="194" t="n">
        <v>3294325</v>
      </c>
      <c r="I466" s="180" t="n">
        <v>8</v>
      </c>
      <c r="J466" s="194" t="n">
        <v>263546</v>
      </c>
      <c r="K466" s="182" t="inlineStr">
        <is>
          <t>CK</t>
        </is>
      </c>
      <c r="L466" s="182" t="inlineStr">
        <is>
          <t>GL</t>
        </is>
      </c>
      <c r="M466" s="278" t="inlineStr">
        <is>
          <t>'3175</t>
        </is>
      </c>
      <c r="N466" s="181" t="n">
        <v>46295</v>
      </c>
      <c r="O466" s="181" t="n">
        <v>46295</v>
      </c>
      <c r="P466" s="194" t="n">
        <v>3557871</v>
      </c>
      <c r="Q466" s="180" t="inlineStr">
        <is>
          <t>Năng lượng mặt trời</t>
        </is>
      </c>
      <c r="R466" s="180" t="inlineStr">
        <is>
          <t>THAOPTT.HCM.VTA</t>
        </is>
      </c>
      <c r="S466" s="182" t="inlineStr">
        <is>
          <t>Not Reversed</t>
        </is>
      </c>
      <c r="T466" s="57">
        <f>IF(OR(LEN(F466)=11,LEN(F466)=15),"Đ","SAI")</f>
        <v/>
      </c>
      <c r="U466" s="529">
        <f>ROUND(H466*I466%,0)-J466</f>
        <v/>
      </c>
      <c r="V466" s="55">
        <f>IF(Q466=$V$12,13313,13311)</f>
        <v/>
      </c>
    </row>
    <row r="467" ht="21.65" customHeight="1" s="344">
      <c r="A467" s="180" t="n">
        <v>450</v>
      </c>
      <c r="B467" s="182" t="inlineStr">
        <is>
          <t>1C26TTS</t>
        </is>
      </c>
      <c r="C467" s="278" t="inlineStr">
        <is>
          <t>'2038</t>
        </is>
      </c>
      <c r="D467" s="181" t="n">
        <v>46246</v>
      </c>
      <c r="E467" s="182" t="inlineStr">
        <is>
          <t>Công ty TNHH Suất Ăn Công Nghiệp Tiến Sang</t>
        </is>
      </c>
      <c r="F467" s="278" t="inlineStr">
        <is>
          <t>'3501533893</t>
        </is>
      </c>
      <c r="G467" s="182" t="inlineStr">
        <is>
          <t>ĐIỆN MTMN T07-2026</t>
        </is>
      </c>
      <c r="H467" s="194" t="n">
        <v>7093850</v>
      </c>
      <c r="I467" s="180" t="n">
        <v>8</v>
      </c>
      <c r="J467" s="194" t="n">
        <v>567508</v>
      </c>
      <c r="K467" s="182" t="inlineStr">
        <is>
          <t>CK</t>
        </is>
      </c>
      <c r="L467" s="182" t="inlineStr">
        <is>
          <t>GL</t>
        </is>
      </c>
      <c r="M467" s="278" t="inlineStr">
        <is>
          <t>'3175</t>
        </is>
      </c>
      <c r="N467" s="181" t="n">
        <v>46295</v>
      </c>
      <c r="O467" s="181" t="n">
        <v>46295</v>
      </c>
      <c r="P467" s="194" t="n">
        <v>7661358</v>
      </c>
      <c r="Q467" s="180" t="inlineStr">
        <is>
          <t>Năng lượng mặt trời</t>
        </is>
      </c>
      <c r="R467" s="180" t="inlineStr">
        <is>
          <t>THAOPTT.HCM.VTA</t>
        </is>
      </c>
      <c r="S467" s="182" t="inlineStr">
        <is>
          <t>Not Reversed</t>
        </is>
      </c>
      <c r="T467" s="57">
        <f>IF(OR(LEN(F467)=11,LEN(F467)=15),"Đ","SAI")</f>
        <v/>
      </c>
      <c r="U467" s="529">
        <f>ROUND(H467*I467%,0)-J467</f>
        <v/>
      </c>
      <c r="V467" s="55">
        <f>IF(Q467=$V$12,13313,13311)</f>
        <v/>
      </c>
    </row>
    <row r="468" ht="21.65" customHeight="1" s="344">
      <c r="A468" s="180" t="n">
        <v>451</v>
      </c>
      <c r="B468" s="182" t="inlineStr">
        <is>
          <t>1C26TTP</t>
        </is>
      </c>
      <c r="C468" s="278" t="inlineStr">
        <is>
          <t>'217</t>
        </is>
      </c>
      <c r="D468" s="181" t="n">
        <v>46252</v>
      </c>
      <c r="E468" s="182" t="inlineStr">
        <is>
          <t>Công Ty TNHH Kính Thiên Phú</t>
        </is>
      </c>
      <c r="F468" s="278" t="inlineStr">
        <is>
          <t>'3502467763</t>
        </is>
      </c>
      <c r="G468" s="182" t="inlineStr">
        <is>
          <t>ĐIỆN MTMN T07-2026</t>
        </is>
      </c>
      <c r="H468" s="194" t="n">
        <v>2382860</v>
      </c>
      <c r="I468" s="180" t="n">
        <v>8</v>
      </c>
      <c r="J468" s="194" t="n">
        <v>190629</v>
      </c>
      <c r="K468" s="182" t="inlineStr">
        <is>
          <t>CK</t>
        </is>
      </c>
      <c r="L468" s="182" t="inlineStr">
        <is>
          <t>GL</t>
        </is>
      </c>
      <c r="M468" s="278" t="inlineStr">
        <is>
          <t>'3175</t>
        </is>
      </c>
      <c r="N468" s="181" t="n">
        <v>46295</v>
      </c>
      <c r="O468" s="181" t="n">
        <v>46295</v>
      </c>
      <c r="P468" s="194" t="n">
        <v>2573489</v>
      </c>
      <c r="Q468" s="180" t="inlineStr">
        <is>
          <t>Năng lượng mặt trời</t>
        </is>
      </c>
      <c r="R468" s="180" t="inlineStr">
        <is>
          <t>THAOPTT.HCM.VTA</t>
        </is>
      </c>
      <c r="S468" s="182" t="inlineStr">
        <is>
          <t>Not Reversed</t>
        </is>
      </c>
      <c r="T468" s="57">
        <f>IF(OR(LEN(F468)=11,LEN(F468)=15),"Đ","SAI")</f>
        <v/>
      </c>
      <c r="U468" s="529">
        <f>ROUND(H468*I468%,0)-J468</f>
        <v/>
      </c>
      <c r="V468" s="55">
        <f>IF(Q468=$V$12,13313,13311)</f>
        <v/>
      </c>
    </row>
    <row r="469" ht="21.65" customHeight="1" s="344">
      <c r="A469" s="180" t="n">
        <v>452</v>
      </c>
      <c r="B469" s="182" t="inlineStr">
        <is>
          <t>1C26TYY</t>
        </is>
      </c>
      <c r="C469" s="278" t="inlineStr">
        <is>
          <t>'581</t>
        </is>
      </c>
      <c r="D469" s="181" t="n">
        <v>46252</v>
      </c>
      <c r="E469" s="182" t="inlineStr">
        <is>
          <t>Công Ty TNHH Hải Ngọc</t>
        </is>
      </c>
      <c r="F469" s="278" t="inlineStr">
        <is>
          <t>'3500741121</t>
        </is>
      </c>
      <c r="G469" s="182" t="inlineStr">
        <is>
          <t>ĐIỆN MTMN T07-2026</t>
        </is>
      </c>
      <c r="H469" s="194" t="n">
        <v>2989100</v>
      </c>
      <c r="I469" s="180" t="n">
        <v>8</v>
      </c>
      <c r="J469" s="194" t="n">
        <v>239128</v>
      </c>
      <c r="K469" s="182" t="inlineStr">
        <is>
          <t>CK</t>
        </is>
      </c>
      <c r="L469" s="182" t="inlineStr">
        <is>
          <t>GL</t>
        </is>
      </c>
      <c r="M469" s="278" t="inlineStr">
        <is>
          <t>'3175</t>
        </is>
      </c>
      <c r="N469" s="181" t="n">
        <v>46295</v>
      </c>
      <c r="O469" s="181" t="n">
        <v>46295</v>
      </c>
      <c r="P469" s="194" t="n">
        <v>3228228</v>
      </c>
      <c r="Q469" s="180" t="inlineStr">
        <is>
          <t>Năng lượng mặt trời</t>
        </is>
      </c>
      <c r="R469" s="180" t="inlineStr">
        <is>
          <t>THAOPTT.HCM.VTA</t>
        </is>
      </c>
      <c r="S469" s="182" t="inlineStr">
        <is>
          <t>Not Reversed</t>
        </is>
      </c>
      <c r="T469" s="57">
        <f>IF(OR(LEN(F469)=11,LEN(F469)=15),"Đ","SAI")</f>
        <v/>
      </c>
      <c r="U469" s="529">
        <f>ROUND(H469*I469%,0)-J469</f>
        <v/>
      </c>
      <c r="V469" s="55">
        <f>IF(Q469=$V$12,13313,13311)</f>
        <v/>
      </c>
    </row>
    <row r="470" ht="21.65" customHeight="1" s="344">
      <c r="A470" s="180" t="n">
        <v>453</v>
      </c>
      <c r="B470" s="182" t="inlineStr">
        <is>
          <t>1C26TYY</t>
        </is>
      </c>
      <c r="C470" s="278" t="inlineStr">
        <is>
          <t>'582</t>
        </is>
      </c>
      <c r="D470" s="181" t="n">
        <v>46252</v>
      </c>
      <c r="E470" s="182" t="inlineStr">
        <is>
          <t>Công Ty TNHH  Hải Ngọc</t>
        </is>
      </c>
      <c r="F470" s="278" t="inlineStr">
        <is>
          <t>'3500741121</t>
        </is>
      </c>
      <c r="G470" s="182" t="inlineStr">
        <is>
          <t>ĐIỆN MTMN T07-2026</t>
        </is>
      </c>
      <c r="H470" s="194" t="n">
        <v>509516</v>
      </c>
      <c r="I470" s="180" t="n">
        <v>8</v>
      </c>
      <c r="J470" s="194" t="n">
        <v>40761</v>
      </c>
      <c r="K470" s="182" t="inlineStr">
        <is>
          <t>CK</t>
        </is>
      </c>
      <c r="L470" s="182" t="inlineStr">
        <is>
          <t>GL</t>
        </is>
      </c>
      <c r="M470" s="278" t="inlineStr">
        <is>
          <t>'3175</t>
        </is>
      </c>
      <c r="N470" s="181" t="n">
        <v>46295</v>
      </c>
      <c r="O470" s="181" t="n">
        <v>46295</v>
      </c>
      <c r="P470" s="194" t="n">
        <v>550277</v>
      </c>
      <c r="Q470" s="180" t="inlineStr">
        <is>
          <t>Năng lượng mặt trời</t>
        </is>
      </c>
      <c r="R470" s="180" t="inlineStr">
        <is>
          <t>THAOPTT.HCM.VTA</t>
        </is>
      </c>
      <c r="S470" s="182" t="inlineStr">
        <is>
          <t>Not Reversed</t>
        </is>
      </c>
      <c r="T470" s="57">
        <f>IF(OR(LEN(F470)=11,LEN(F470)=15),"Đ","SAI")</f>
        <v/>
      </c>
      <c r="U470" s="529">
        <f>ROUND(H470*I470%,0)-J470</f>
        <v/>
      </c>
      <c r="V470" s="55">
        <f>IF(Q470=$V$12,13313,13311)</f>
        <v/>
      </c>
    </row>
    <row r="471" ht="21.65" customHeight="1" s="344">
      <c r="A471" s="180" t="n">
        <v>454</v>
      </c>
      <c r="B471" s="182" t="inlineStr">
        <is>
          <t>1C26TTT</t>
        </is>
      </c>
      <c r="C471" s="278" t="inlineStr">
        <is>
          <t>'5</t>
        </is>
      </c>
      <c r="D471" s="181" t="n">
        <v>46195</v>
      </c>
      <c r="E471" s="182" t="inlineStr">
        <is>
          <t>CTY TNHH DỊCH VỤ DU LỊCH TOÀN THỊNH</t>
        </is>
      </c>
      <c r="F471" s="278" t="inlineStr">
        <is>
          <t>'3502280116</t>
        </is>
      </c>
      <c r="G471" s="182" t="inlineStr">
        <is>
          <t>ĐIỆN MTMN T01-2026</t>
        </is>
      </c>
      <c r="H471" s="194" t="n">
        <v>3645860</v>
      </c>
      <c r="I471" s="180" t="n">
        <v>8</v>
      </c>
      <c r="J471" s="194" t="n">
        <v>291669</v>
      </c>
      <c r="K471" s="182" t="inlineStr">
        <is>
          <t>CK</t>
        </is>
      </c>
      <c r="L471" s="182" t="inlineStr">
        <is>
          <t>GL</t>
        </is>
      </c>
      <c r="M471" s="278" t="inlineStr">
        <is>
          <t>'3175</t>
        </is>
      </c>
      <c r="N471" s="181" t="n">
        <v>46295</v>
      </c>
      <c r="O471" s="181" t="n">
        <v>46295</v>
      </c>
      <c r="P471" s="194" t="n">
        <v>3937529</v>
      </c>
      <c r="Q471" s="180" t="inlineStr">
        <is>
          <t>Năng lượng mặt trời</t>
        </is>
      </c>
      <c r="R471" s="180" t="inlineStr">
        <is>
          <t>THAOPTT.HCM.VTA</t>
        </is>
      </c>
      <c r="S471" s="182" t="inlineStr">
        <is>
          <t>Not Reversed</t>
        </is>
      </c>
      <c r="T471" s="57">
        <f>IF(OR(LEN(F471)=11,LEN(F471)=15),"Đ","SAI")</f>
        <v/>
      </c>
      <c r="U471" s="529">
        <f>ROUND(H471*I471%,0)-J471</f>
        <v/>
      </c>
      <c r="V471" s="55">
        <f>IF(Q471=$V$12,13313,13311)</f>
        <v/>
      </c>
    </row>
    <row r="472" ht="21.65" customHeight="1" s="344">
      <c r="A472" s="180" t="n">
        <v>455</v>
      </c>
      <c r="B472" s="182" t="inlineStr">
        <is>
          <t>1C26TTT</t>
        </is>
      </c>
      <c r="C472" s="278" t="inlineStr">
        <is>
          <t>'6</t>
        </is>
      </c>
      <c r="D472" s="181" t="n">
        <v>46195</v>
      </c>
      <c r="E472" s="182" t="inlineStr">
        <is>
          <t>CTY TNHH DỊCH VỤ DU LỊCH TOÀN THỊNH</t>
        </is>
      </c>
      <c r="F472" s="278" t="inlineStr">
        <is>
          <t>'3502280116</t>
        </is>
      </c>
      <c r="G472" s="182" t="inlineStr">
        <is>
          <t>ĐIỆN MTMN T02-2026</t>
        </is>
      </c>
      <c r="H472" s="194" t="n">
        <v>2427065</v>
      </c>
      <c r="I472" s="180" t="n">
        <v>8</v>
      </c>
      <c r="J472" s="194" t="n">
        <v>194165</v>
      </c>
      <c r="K472" s="182" t="inlineStr">
        <is>
          <t>CK</t>
        </is>
      </c>
      <c r="L472" s="182" t="inlineStr">
        <is>
          <t>GL</t>
        </is>
      </c>
      <c r="M472" s="278" t="inlineStr">
        <is>
          <t>'3175</t>
        </is>
      </c>
      <c r="N472" s="181" t="n">
        <v>46295</v>
      </c>
      <c r="O472" s="181" t="n">
        <v>46295</v>
      </c>
      <c r="P472" s="194" t="n">
        <v>2621230</v>
      </c>
      <c r="Q472" s="180" t="inlineStr">
        <is>
          <t>Năng lượng mặt trời</t>
        </is>
      </c>
      <c r="R472" s="180" t="inlineStr">
        <is>
          <t>THAOPTT.HCM.VTA</t>
        </is>
      </c>
      <c r="S472" s="182" t="inlineStr">
        <is>
          <t>Not Reversed</t>
        </is>
      </c>
      <c r="T472" s="57">
        <f>IF(OR(LEN(F472)=11,LEN(F472)=15),"Đ","SAI")</f>
        <v/>
      </c>
      <c r="U472" s="529">
        <f>ROUND(H472*I472%,0)-J472</f>
        <v/>
      </c>
      <c r="V472" s="55">
        <f>IF(Q472=$V$12,13313,13311)</f>
        <v/>
      </c>
    </row>
    <row r="473" ht="21.65" customHeight="1" s="344">
      <c r="A473" s="180" t="n">
        <v>456</v>
      </c>
      <c r="B473" s="182" t="inlineStr">
        <is>
          <t>1C26TTT</t>
        </is>
      </c>
      <c r="C473" s="278" t="inlineStr">
        <is>
          <t>'7</t>
        </is>
      </c>
      <c r="D473" s="181" t="n">
        <v>46195</v>
      </c>
      <c r="E473" s="182" t="inlineStr">
        <is>
          <t>CTY TNHH DỊCH VỤ DU LỊCH TOÀN THỊNH</t>
        </is>
      </c>
      <c r="F473" s="278" t="inlineStr">
        <is>
          <t>'3502280116</t>
        </is>
      </c>
      <c r="G473" s="182" t="inlineStr">
        <is>
          <t>ĐIỆN MTMN T03-2026</t>
        </is>
      </c>
      <c r="H473" s="194" t="n">
        <v>3692170</v>
      </c>
      <c r="I473" s="180" t="n">
        <v>8</v>
      </c>
      <c r="J473" s="194" t="n">
        <v>295374</v>
      </c>
      <c r="K473" s="182" t="inlineStr">
        <is>
          <t>CK</t>
        </is>
      </c>
      <c r="L473" s="182" t="inlineStr">
        <is>
          <t>GL</t>
        </is>
      </c>
      <c r="M473" s="278" t="inlineStr">
        <is>
          <t>'3175</t>
        </is>
      </c>
      <c r="N473" s="181" t="n">
        <v>46295</v>
      </c>
      <c r="O473" s="181" t="n">
        <v>46295</v>
      </c>
      <c r="P473" s="194" t="n">
        <v>3987544</v>
      </c>
      <c r="Q473" s="180" t="inlineStr">
        <is>
          <t>Năng lượng mặt trời</t>
        </is>
      </c>
      <c r="R473" s="180" t="inlineStr">
        <is>
          <t>THAOPTT.HCM.VTA</t>
        </is>
      </c>
      <c r="S473" s="182" t="inlineStr">
        <is>
          <t>Not Reversed</t>
        </is>
      </c>
      <c r="T473" s="57">
        <f>IF(OR(LEN(F473)=11,LEN(F473)=15),"Đ","SAI")</f>
        <v/>
      </c>
      <c r="U473" s="529">
        <f>ROUND(H473*I473%,0)-J473</f>
        <v/>
      </c>
      <c r="V473" s="55">
        <f>IF(Q473=$V$12,13313,13311)</f>
        <v/>
      </c>
    </row>
    <row r="474" ht="21.65" customHeight="1" s="344">
      <c r="A474" s="180" t="n">
        <v>457</v>
      </c>
      <c r="B474" s="182" t="inlineStr">
        <is>
          <t>1C26TTT</t>
        </is>
      </c>
      <c r="C474" s="278" t="inlineStr">
        <is>
          <t>'8</t>
        </is>
      </c>
      <c r="D474" s="181" t="n">
        <v>46195</v>
      </c>
      <c r="E474" s="182" t="inlineStr">
        <is>
          <t>CTY TNHH DỊCH VỤ DU LỊCH TOÀN THỊNH</t>
        </is>
      </c>
      <c r="F474" s="278" t="inlineStr">
        <is>
          <t>'3502280116</t>
        </is>
      </c>
      <c r="G474" s="182" t="inlineStr">
        <is>
          <t>ĐIỆN MTMN T04-2026</t>
        </is>
      </c>
      <c r="H474" s="194" t="n">
        <v>2612305</v>
      </c>
      <c r="I474" s="180" t="n">
        <v>8</v>
      </c>
      <c r="J474" s="194" t="n">
        <v>208984</v>
      </c>
      <c r="K474" s="182" t="inlineStr">
        <is>
          <t>CK</t>
        </is>
      </c>
      <c r="L474" s="182" t="inlineStr">
        <is>
          <t>GL</t>
        </is>
      </c>
      <c r="M474" s="278" t="inlineStr">
        <is>
          <t>'3175</t>
        </is>
      </c>
      <c r="N474" s="181" t="n">
        <v>46295</v>
      </c>
      <c r="O474" s="181" t="n">
        <v>46295</v>
      </c>
      <c r="P474" s="194" t="n">
        <v>2821289</v>
      </c>
      <c r="Q474" s="180" t="inlineStr">
        <is>
          <t>Năng lượng mặt trời</t>
        </is>
      </c>
      <c r="R474" s="180" t="inlineStr">
        <is>
          <t>THAOPTT.HCM.VTA</t>
        </is>
      </c>
      <c r="S474" s="182" t="inlineStr">
        <is>
          <t>Not Reversed</t>
        </is>
      </c>
      <c r="T474" s="57">
        <f>IF(OR(LEN(F474)=11,LEN(F474)=15),"Đ","SAI")</f>
        <v/>
      </c>
      <c r="U474" s="529">
        <f>ROUND(H474*I474%,0)-J474</f>
        <v/>
      </c>
      <c r="V474" s="55">
        <f>IF(Q474=$V$12,13313,13311)</f>
        <v/>
      </c>
    </row>
    <row r="475" ht="21.65" customHeight="1" s="344">
      <c r="A475" s="180" t="n">
        <v>458</v>
      </c>
      <c r="B475" s="182" t="inlineStr">
        <is>
          <t>1C26TTT</t>
        </is>
      </c>
      <c r="C475" s="278" t="inlineStr">
        <is>
          <t>'9</t>
        </is>
      </c>
      <c r="D475" s="181" t="n">
        <v>46195</v>
      </c>
      <c r="E475" s="182" t="inlineStr">
        <is>
          <t>CTY TNHH DỊCH VỤ DU LỊCH TOÀN THỊNH</t>
        </is>
      </c>
      <c r="F475" s="278" t="inlineStr">
        <is>
          <t>'3502280116</t>
        </is>
      </c>
      <c r="G475" s="182" t="inlineStr">
        <is>
          <t>ĐIỆN MTMN T05-2026</t>
        </is>
      </c>
      <c r="H475" s="194" t="n">
        <v>2058690</v>
      </c>
      <c r="I475" s="180" t="n">
        <v>8</v>
      </c>
      <c r="J475" s="194" t="n">
        <v>164695</v>
      </c>
      <c r="K475" s="182" t="inlineStr">
        <is>
          <t>CK</t>
        </is>
      </c>
      <c r="L475" s="182" t="inlineStr">
        <is>
          <t>GL</t>
        </is>
      </c>
      <c r="M475" s="278" t="inlineStr">
        <is>
          <t>'3175</t>
        </is>
      </c>
      <c r="N475" s="181" t="n">
        <v>46295</v>
      </c>
      <c r="O475" s="181" t="n">
        <v>46295</v>
      </c>
      <c r="P475" s="194" t="n">
        <v>2223385</v>
      </c>
      <c r="Q475" s="180" t="inlineStr">
        <is>
          <t>Năng lượng mặt trời</t>
        </is>
      </c>
      <c r="R475" s="180" t="inlineStr">
        <is>
          <t>THAOPTT.HCM.VTA</t>
        </is>
      </c>
      <c r="S475" s="182" t="inlineStr">
        <is>
          <t>Not Reversed</t>
        </is>
      </c>
      <c r="T475" s="57">
        <f>IF(OR(LEN(F475)=11,LEN(F475)=15),"Đ","SAI")</f>
        <v/>
      </c>
      <c r="U475" s="529">
        <f>ROUND(H475*I475%,0)-J475</f>
        <v/>
      </c>
      <c r="V475" s="55">
        <f>IF(Q475=$V$12,13313,13311)</f>
        <v/>
      </c>
    </row>
    <row r="476" ht="14.4" customHeight="1" s="344">
      <c r="A476" s="180" t="n">
        <v>459</v>
      </c>
      <c r="B476" s="182" t="inlineStr">
        <is>
          <t>1C26MHC</t>
        </is>
      </c>
      <c r="C476" s="278" t="inlineStr">
        <is>
          <t>'691</t>
        </is>
      </c>
      <c r="D476" s="181" t="n">
        <v>46226</v>
      </c>
      <c r="E476" s="182" t="inlineStr">
        <is>
          <t>CÔNG TY TNHH DỊCH VỤ DU LỊCH KHÁCH SẠN THC</t>
        </is>
      </c>
      <c r="F476" s="278" t="inlineStr">
        <is>
          <t>'3502467178</t>
        </is>
      </c>
      <c r="G476" s="182" t="inlineStr">
        <is>
          <t>ĐIỆN MTMN T06-2026</t>
        </is>
      </c>
      <c r="H476" s="194" t="n">
        <v>35785</v>
      </c>
      <c r="I476" s="180" t="n">
        <v>8</v>
      </c>
      <c r="J476" s="194" t="n">
        <v>2863</v>
      </c>
      <c r="K476" s="182" t="inlineStr">
        <is>
          <t>CK</t>
        </is>
      </c>
      <c r="L476" s="182" t="inlineStr">
        <is>
          <t>GL</t>
        </is>
      </c>
      <c r="M476" s="278" t="inlineStr">
        <is>
          <t>'3175</t>
        </is>
      </c>
      <c r="N476" s="181" t="n">
        <v>46295</v>
      </c>
      <c r="O476" s="181" t="n">
        <v>46295</v>
      </c>
      <c r="P476" s="194" t="n">
        <v>38648</v>
      </c>
      <c r="Q476" s="180" t="inlineStr">
        <is>
          <t>Năng lượng mặt trời</t>
        </is>
      </c>
      <c r="R476" s="180" t="inlineStr">
        <is>
          <t>THAOPTT.HCM.VTA</t>
        </is>
      </c>
      <c r="S476" s="182" t="inlineStr">
        <is>
          <t>Not Reversed</t>
        </is>
      </c>
      <c r="T476" s="57">
        <f>IF(OR(LEN(F476)=11,LEN(F476)=15),"Đ","SAI")</f>
        <v/>
      </c>
      <c r="U476" s="529">
        <f>ROUND(H476*I476%,0)-J476</f>
        <v/>
      </c>
      <c r="V476" s="55">
        <f>IF(Q476=$V$12,13313,13311)</f>
        <v/>
      </c>
    </row>
    <row r="477" ht="14.4" customHeight="1" s="344">
      <c r="A477" s="180" t="n">
        <v>460</v>
      </c>
      <c r="B477" s="182" t="inlineStr">
        <is>
          <t>1C26TTT</t>
        </is>
      </c>
      <c r="C477" s="278" t="inlineStr">
        <is>
          <t>'13</t>
        </is>
      </c>
      <c r="D477" s="181" t="n">
        <v>46257</v>
      </c>
      <c r="E477" s="182" t="inlineStr">
        <is>
          <t>CTY TNHH DỊCH VỤ DU LỊCH TOÀN THỊNH</t>
        </is>
      </c>
      <c r="F477" s="278" t="inlineStr">
        <is>
          <t>'3502280116</t>
        </is>
      </c>
      <c r="G477" s="182" t="inlineStr">
        <is>
          <t>ĐIỆN MTMN T07-2026</t>
        </is>
      </c>
      <c r="H477" s="194" t="n">
        <v>795690</v>
      </c>
      <c r="I477" s="180" t="n">
        <v>8</v>
      </c>
      <c r="J477" s="194" t="n">
        <v>63655</v>
      </c>
      <c r="K477" s="182" t="inlineStr">
        <is>
          <t>CK</t>
        </is>
      </c>
      <c r="L477" s="182" t="inlineStr">
        <is>
          <t>GL</t>
        </is>
      </c>
      <c r="M477" s="278" t="inlineStr">
        <is>
          <t>'3175</t>
        </is>
      </c>
      <c r="N477" s="181" t="n">
        <v>46295</v>
      </c>
      <c r="O477" s="181" t="n">
        <v>46295</v>
      </c>
      <c r="P477" s="194" t="n">
        <v>859345</v>
      </c>
      <c r="Q477" s="180" t="inlineStr">
        <is>
          <t>Năng lượng mặt trời</t>
        </is>
      </c>
      <c r="R477" s="180" t="inlineStr">
        <is>
          <t>THAOPTT.HCM.VTA</t>
        </is>
      </c>
      <c r="S477" s="182" t="inlineStr">
        <is>
          <t>Not Reversed</t>
        </is>
      </c>
      <c r="T477" s="57">
        <f>IF(OR(LEN(F477)=11,LEN(F477)=15),"Đ","SAI")</f>
        <v/>
      </c>
      <c r="U477" s="529">
        <f>ROUND(H477*I477%,0)-J477</f>
        <v/>
      </c>
      <c r="V477" s="55">
        <f>IF(Q477=$V$12,13313,13311)</f>
        <v/>
      </c>
    </row>
    <row r="478" ht="21.65" customHeight="1" s="344">
      <c r="A478" s="180" t="n">
        <v>461</v>
      </c>
      <c r="B478" s="182" t="inlineStr">
        <is>
          <t>1C26TAA</t>
        </is>
      </c>
      <c r="C478" s="278" t="inlineStr">
        <is>
          <t>'786</t>
        </is>
      </c>
      <c r="D478" s="181" t="n">
        <v>46262</v>
      </c>
      <c r="E478" s="182" t="inlineStr">
        <is>
          <t>CÔNG TY TNHH PHCARE.VN</t>
        </is>
      </c>
      <c r="F478" s="278" t="inlineStr">
        <is>
          <t>'3502499250</t>
        </is>
      </c>
      <c r="G478" s="182" t="inlineStr">
        <is>
          <t>rửa xe oto</t>
        </is>
      </c>
      <c r="H478" s="194" t="n">
        <v>3120000</v>
      </c>
      <c r="I478" s="180" t="n">
        <v>8</v>
      </c>
      <c r="J478" s="194" t="n">
        <v>249600</v>
      </c>
      <c r="K478" s="182" t="inlineStr">
        <is>
          <t>TM</t>
        </is>
      </c>
      <c r="L478" s="182" t="inlineStr">
        <is>
          <t>AR_REC</t>
        </is>
      </c>
      <c r="M478" s="278" t="inlineStr">
        <is>
          <t>'C0926C265</t>
        </is>
      </c>
      <c r="N478" s="181" t="n">
        <v>46280</v>
      </c>
      <c r="O478" s="181" t="n">
        <v>46280</v>
      </c>
      <c r="P478" s="194" t="n">
        <v>3369600</v>
      </c>
      <c r="Q478" s="180" t="inlineStr">
        <is>
          <t>Không xác định</t>
        </is>
      </c>
      <c r="R478" s="180" t="inlineStr">
        <is>
          <t>THAOPTT.HCM.VTA</t>
        </is>
      </c>
      <c r="S478" s="182" t="inlineStr">
        <is>
          <t>Cleared</t>
        </is>
      </c>
      <c r="T478" s="57">
        <f>IF(OR(LEN(F478)=11,LEN(F478)=15),"Đ","SAI")</f>
        <v/>
      </c>
      <c r="U478" s="529">
        <f>ROUND(H478*I478%,0)-J478</f>
        <v/>
      </c>
      <c r="V478" s="55">
        <f>IF(Q478=$V$12,13313,13311)</f>
        <v/>
      </c>
    </row>
    <row r="479" ht="14.4" customHeight="1" s="344">
      <c r="A479" s="180" t="n">
        <v>462</v>
      </c>
      <c r="B479" s="182" t="inlineStr">
        <is>
          <t>1C26MGA</t>
        </is>
      </c>
      <c r="C479" s="278" t="inlineStr">
        <is>
          <t>'64582</t>
        </is>
      </c>
      <c r="D479" s="181" t="n">
        <v>46265</v>
      </c>
      <c r="E479" s="182" t="inlineStr">
        <is>
          <t>DNTN XĂNG DẦU LONG PHƯỚC</t>
        </is>
      </c>
      <c r="F479" s="278" t="inlineStr">
        <is>
          <t>'3500354108</t>
        </is>
      </c>
      <c r="G479" s="182" t="inlineStr">
        <is>
          <t>đặt ăn</t>
        </is>
      </c>
      <c r="H479" s="194" t="n">
        <v>3562852</v>
      </c>
      <c r="I479" s="180" t="n">
        <v>8</v>
      </c>
      <c r="J479" s="194" t="n">
        <v>285028</v>
      </c>
      <c r="K479" s="182" t="inlineStr">
        <is>
          <t>TM</t>
        </is>
      </c>
      <c r="L479" s="182" t="inlineStr">
        <is>
          <t>AR_REC</t>
        </is>
      </c>
      <c r="M479" s="278" t="inlineStr">
        <is>
          <t>'C0926C268</t>
        </is>
      </c>
      <c r="N479" s="181" t="n">
        <v>46280</v>
      </c>
      <c r="O479" s="181" t="n">
        <v>46280</v>
      </c>
      <c r="P479" s="194" t="n">
        <v>3847880</v>
      </c>
      <c r="Q479" s="180" t="inlineStr">
        <is>
          <t>Không xác định</t>
        </is>
      </c>
      <c r="R479" s="180" t="inlineStr">
        <is>
          <t>THAOPTT.HCM.VTA</t>
        </is>
      </c>
      <c r="S479" s="182" t="inlineStr">
        <is>
          <t>Cleared</t>
        </is>
      </c>
      <c r="T479" s="57">
        <f>IF(OR(LEN(F479)=11,LEN(F479)=15),"Đ","SAI")</f>
        <v/>
      </c>
      <c r="U479" s="529">
        <f>ROUND(H479*I479%,0)-J479</f>
        <v/>
      </c>
      <c r="V479" s="55">
        <f>IF(Q479=$V$12,13313,13311)</f>
        <v/>
      </c>
    </row>
    <row r="480" ht="14.4" customHeight="1" s="344">
      <c r="A480" s="180" t="n">
        <v>463</v>
      </c>
      <c r="B480" s="182" t="inlineStr">
        <is>
          <t>1C26TDH</t>
        </is>
      </c>
      <c r="C480" s="278" t="inlineStr">
        <is>
          <t>'24</t>
        </is>
      </c>
      <c r="D480" s="181" t="n">
        <v>46260</v>
      </c>
      <c r="E480" s="182" t="inlineStr">
        <is>
          <t>CÔNG TY TNHH XÂY DỰNG DỊCH VỤ ĐẠI HỒNG LĨNH</t>
        </is>
      </c>
      <c r="F480" s="278" t="inlineStr">
        <is>
          <t>'3502578181</t>
        </is>
      </c>
      <c r="G480" s="182" t="inlineStr">
        <is>
          <t>thuê máy cuốc</t>
        </is>
      </c>
      <c r="H480" s="194" t="n">
        <v>2777778</v>
      </c>
      <c r="I480" s="180" t="n">
        <v>8</v>
      </c>
      <c r="J480" s="194" t="n">
        <v>222222</v>
      </c>
      <c r="K480" s="182" t="inlineStr">
        <is>
          <t>TM</t>
        </is>
      </c>
      <c r="L480" s="182" t="inlineStr">
        <is>
          <t>AR_REC</t>
        </is>
      </c>
      <c r="M480" s="278" t="inlineStr">
        <is>
          <t>'C0926C269</t>
        </is>
      </c>
      <c r="N480" s="181" t="n">
        <v>46280</v>
      </c>
      <c r="O480" s="181" t="n">
        <v>46280</v>
      </c>
      <c r="P480" s="194" t="n">
        <v>3000000</v>
      </c>
      <c r="Q480" s="180" t="inlineStr">
        <is>
          <t>Không xác định</t>
        </is>
      </c>
      <c r="R480" s="180" t="inlineStr">
        <is>
          <t>THAOPTT.HCM.VTA</t>
        </is>
      </c>
      <c r="S480" s="182" t="inlineStr">
        <is>
          <t>Cleared</t>
        </is>
      </c>
      <c r="T480" s="57">
        <f>IF(OR(LEN(F480)=11,LEN(F480)=15),"Đ","SAI")</f>
        <v/>
      </c>
      <c r="U480" s="529">
        <f>ROUND(H480*I480%,0)-J480</f>
        <v/>
      </c>
      <c r="V480" s="55">
        <f>IF(Q480=$V$12,13313,13311)</f>
        <v/>
      </c>
    </row>
    <row r="481" ht="21.65" customHeight="1" s="344">
      <c r="A481" s="180" t="n">
        <v>464</v>
      </c>
      <c r="B481" s="182" t="inlineStr">
        <is>
          <t>1C26TDH</t>
        </is>
      </c>
      <c r="C481" s="278" t="inlineStr">
        <is>
          <t>'25</t>
        </is>
      </c>
      <c r="D481" s="181" t="n">
        <v>46261</v>
      </c>
      <c r="E481" s="182" t="inlineStr">
        <is>
          <t>CÔNG TY TNHH XÂY DỰNG DỊCH VỤ ĐẠI HỒNG LĨNH</t>
        </is>
      </c>
      <c r="F481" s="278" t="inlineStr">
        <is>
          <t>'3502578181</t>
        </is>
      </c>
      <c r="G481" s="182" t="inlineStr">
        <is>
          <t>thuê máy cuốc</t>
        </is>
      </c>
      <c r="H481" s="194" t="n">
        <v>2777778</v>
      </c>
      <c r="I481" s="180" t="n">
        <v>8</v>
      </c>
      <c r="J481" s="194" t="n">
        <v>222222</v>
      </c>
      <c r="K481" s="182" t="inlineStr">
        <is>
          <t>TM</t>
        </is>
      </c>
      <c r="L481" s="182" t="inlineStr">
        <is>
          <t>AR_REC</t>
        </is>
      </c>
      <c r="M481" s="278" t="inlineStr">
        <is>
          <t>'C0926C271</t>
        </is>
      </c>
      <c r="N481" s="181" t="n">
        <v>46280</v>
      </c>
      <c r="O481" s="181" t="n">
        <v>46280</v>
      </c>
      <c r="P481" s="194" t="n">
        <v>3000000</v>
      </c>
      <c r="Q481" s="180" t="inlineStr">
        <is>
          <t>Không xác định</t>
        </is>
      </c>
      <c r="R481" s="180" t="inlineStr">
        <is>
          <t>THAOPTT.HCM.VTA</t>
        </is>
      </c>
      <c r="S481" s="182" t="inlineStr">
        <is>
          <t>Cleared</t>
        </is>
      </c>
      <c r="T481" s="57">
        <f>IF(OR(LEN(F481)=11,LEN(F481)=15),"Đ","SAI")</f>
        <v/>
      </c>
      <c r="U481" s="529">
        <f>ROUND(H481*I481%,0)-J481</f>
        <v/>
      </c>
      <c r="V481" s="55">
        <f>IF(Q481=$V$12,13313,13311)</f>
        <v/>
      </c>
    </row>
    <row r="482" ht="14.4" customHeight="1" s="344">
      <c r="A482" s="180" t="n">
        <v>465</v>
      </c>
      <c r="B482" s="182" t="inlineStr">
        <is>
          <t>1C26MNL</t>
        </is>
      </c>
      <c r="C482" s="278" t="inlineStr">
        <is>
          <t>'528</t>
        </is>
      </c>
      <c r="D482" s="181" t="n">
        <v>46277</v>
      </c>
      <c r="E482" s="182" t="inlineStr">
        <is>
          <t>CÔNG TY TNHH KỲ DUYÊN QUÁN</t>
        </is>
      </c>
      <c r="F482" s="278" t="inlineStr">
        <is>
          <t>'3502490716</t>
        </is>
      </c>
      <c r="G482" s="182" t="inlineStr">
        <is>
          <t>đặt ăn</t>
        </is>
      </c>
      <c r="H482" s="194" t="n">
        <v>3718519</v>
      </c>
      <c r="I482" s="180" t="n">
        <v>8</v>
      </c>
      <c r="J482" s="194" t="n">
        <v>297481</v>
      </c>
      <c r="K482" s="182" t="inlineStr">
        <is>
          <t>TM</t>
        </is>
      </c>
      <c r="L482" s="182" t="inlineStr">
        <is>
          <t>AR_REC</t>
        </is>
      </c>
      <c r="M482" s="278" t="inlineStr">
        <is>
          <t>'C0926C280</t>
        </is>
      </c>
      <c r="N482" s="181" t="n">
        <v>46293</v>
      </c>
      <c r="O482" s="181" t="n">
        <v>46293</v>
      </c>
      <c r="P482" s="194" t="n">
        <v>4016000</v>
      </c>
      <c r="Q482" s="180" t="inlineStr">
        <is>
          <t>Không xác định</t>
        </is>
      </c>
      <c r="R482" s="180" t="inlineStr">
        <is>
          <t>THAOPTT.HCM.VTA</t>
        </is>
      </c>
      <c r="S482" s="182" t="inlineStr">
        <is>
          <t>Cleared</t>
        </is>
      </c>
      <c r="T482" s="57">
        <f>IF(OR(LEN(F482)=11,LEN(F482)=15),"Đ","SAI")</f>
        <v/>
      </c>
      <c r="U482" s="529">
        <f>ROUND(H482*I482%,0)-J482</f>
        <v/>
      </c>
      <c r="V482" s="55">
        <f>IF(Q482=$V$12,13313,13311)</f>
        <v/>
      </c>
    </row>
    <row r="483" ht="14.4" customHeight="1" s="344">
      <c r="A483" s="180" t="n">
        <v>466</v>
      </c>
      <c r="B483" s="182" t="inlineStr">
        <is>
          <t>1K26TCA</t>
        </is>
      </c>
      <c r="C483" s="278" t="inlineStr">
        <is>
          <t>'00448153</t>
        </is>
      </c>
      <c r="D483" s="181" t="n">
        <v>46288</v>
      </c>
      <c r="E483" s="182" t="inlineStr">
        <is>
          <t>Ngân hàng Nông nghiệp và Phát triển Nông thôn Việt Nam - CN Vũng Tàu</t>
        </is>
      </c>
      <c r="F483" s="278" t="inlineStr">
        <is>
          <t>'0100686174-034</t>
        </is>
      </c>
      <c r="G483" s="182" t="inlineStr">
        <is>
          <t>phí QLTK T9-26 AGR</t>
        </is>
      </c>
      <c r="H483" s="194" t="n">
        <v>15000</v>
      </c>
      <c r="I483" s="180" t="n">
        <v>10</v>
      </c>
      <c r="J483" s="194" t="n">
        <v>1500</v>
      </c>
      <c r="K483" s="182" t="inlineStr">
        <is>
          <t>CK</t>
        </is>
      </c>
      <c r="L483" s="182" t="inlineStr">
        <is>
          <t>AR_REC</t>
        </is>
      </c>
      <c r="M483" s="278" t="inlineStr">
        <is>
          <t>'R0926AG056</t>
        </is>
      </c>
      <c r="N483" s="181" t="n">
        <v>46288</v>
      </c>
      <c r="O483" s="181" t="n">
        <v>46288</v>
      </c>
      <c r="P483" s="194" t="n">
        <v>16500</v>
      </c>
      <c r="Q483" s="180" t="inlineStr">
        <is>
          <t>Không xác định</t>
        </is>
      </c>
      <c r="R483" s="180" t="inlineStr">
        <is>
          <t>THAOPTT.HCM.VTA</t>
        </is>
      </c>
      <c r="S483" s="182" t="inlineStr">
        <is>
          <t>Cleared</t>
        </is>
      </c>
      <c r="T483" s="57">
        <f>IF(OR(LEN(F483)=11,LEN(F483)=15),"Đ","SAI")</f>
        <v/>
      </c>
      <c r="U483" s="529">
        <f>ROUND(H483*I483%,0)-J483</f>
        <v/>
      </c>
      <c r="V483" s="55">
        <f>IF(Q483=$V$12,13313,13311)</f>
        <v/>
      </c>
    </row>
    <row r="484" ht="15.65" customHeight="1" s="344">
      <c r="A484" s="180" t="n">
        <v>467</v>
      </c>
      <c r="B484" s="182" t="inlineStr">
        <is>
          <t>1K26TCA</t>
        </is>
      </c>
      <c r="C484" s="278" t="inlineStr">
        <is>
          <t>'00447438</t>
        </is>
      </c>
      <c r="D484" s="181" t="n">
        <v>46288</v>
      </c>
      <c r="E484" s="182" t="inlineStr">
        <is>
          <t>NGÂN HÀNG NÔNG NGHIỆP VÀ PHÁT TRIỂN NÔNG THÔN VIỆT NAM-CHI NHÁNH VŨNG TÀU</t>
        </is>
      </c>
      <c r="F484" s="278" t="inlineStr">
        <is>
          <t>'0100686174-034</t>
        </is>
      </c>
      <c r="G484" s="182" t="inlineStr">
        <is>
          <t>PHÍ QLTK</t>
        </is>
      </c>
      <c r="H484" s="194" t="n">
        <v>15000</v>
      </c>
      <c r="I484" s="180" t="n">
        <v>10</v>
      </c>
      <c r="J484" s="194" t="n">
        <v>1500</v>
      </c>
      <c r="K484" s="182" t="inlineStr">
        <is>
          <t>CK</t>
        </is>
      </c>
      <c r="L484" s="182" t="inlineStr">
        <is>
          <t>AR_REC</t>
        </is>
      </c>
      <c r="M484" s="278" t="inlineStr">
        <is>
          <t>'R0926NNT0623</t>
        </is>
      </c>
      <c r="N484" s="181" t="n">
        <v>46288</v>
      </c>
      <c r="O484" s="181" t="n">
        <v>46288</v>
      </c>
      <c r="P484" s="194" t="n">
        <v>16500</v>
      </c>
      <c r="Q484" s="180" t="inlineStr">
        <is>
          <t>Không xác định</t>
        </is>
      </c>
      <c r="R484" s="180" t="inlineStr">
        <is>
          <t>QUYENNN.HCM.VTA</t>
        </is>
      </c>
      <c r="S484" s="182" t="inlineStr">
        <is>
          <t>Cleared</t>
        </is>
      </c>
      <c r="T484" s="57">
        <f>IF(OR(LEN(F484)=11,LEN(F484)=15),"Đ","SAI")</f>
        <v/>
      </c>
      <c r="U484" s="529">
        <f>ROUND(H484*I484%,0)-J484</f>
        <v/>
      </c>
      <c r="V484" s="55">
        <f>IF(Q484=$V$12,13313,13311)</f>
        <v/>
      </c>
    </row>
    <row r="485" ht="14.4" customHeight="1" s="344">
      <c r="A485" s="180" t="n">
        <v>468</v>
      </c>
      <c r="B485" s="182" t="inlineStr">
        <is>
          <t>1C26TTN</t>
        </is>
      </c>
      <c r="C485" s="278" t="inlineStr">
        <is>
          <t>'92</t>
        </is>
      </c>
      <c r="D485" s="181" t="n">
        <v>46265</v>
      </c>
      <c r="E485" s="182" t="inlineStr">
        <is>
          <t>Công Ty TNHH Dịch Vụ bảo Vệ Chính Tín Nghĩa</t>
        </is>
      </c>
      <c r="F485" s="278" t="inlineStr">
        <is>
          <t>'3500774039</t>
        </is>
      </c>
      <c r="G485" s="182" t="inlineStr">
        <is>
          <t>Dịch vụ bảo vệ</t>
        </is>
      </c>
      <c r="H485" s="194" t="n">
        <v>128000000</v>
      </c>
      <c r="I485" s="180" t="n">
        <v>8</v>
      </c>
      <c r="J485" s="194" t="n">
        <v>10240000</v>
      </c>
      <c r="K485" s="182" t="inlineStr">
        <is>
          <t>CK</t>
        </is>
      </c>
      <c r="L485" s="182" t="inlineStr">
        <is>
          <t>AR_REC</t>
        </is>
      </c>
      <c r="M485" s="278" t="inlineStr">
        <is>
          <t>'R0926SC1051</t>
        </is>
      </c>
      <c r="N485" s="181" t="n">
        <v>46279</v>
      </c>
      <c r="O485" s="181" t="n">
        <v>46279</v>
      </c>
      <c r="P485" s="194" t="n">
        <v>138240000</v>
      </c>
      <c r="Q485" s="180" t="inlineStr">
        <is>
          <t>Không xác định</t>
        </is>
      </c>
      <c r="R485" s="180" t="inlineStr">
        <is>
          <t>HUENT.HCM.VTA</t>
        </is>
      </c>
      <c r="S485" s="182" t="inlineStr">
        <is>
          <t>Cleared</t>
        </is>
      </c>
      <c r="T485" s="57">
        <f>IF(OR(LEN(F485)=11,LEN(F485)=15),"Đ","SAI")</f>
        <v/>
      </c>
      <c r="U485" s="529">
        <f>ROUND(H485*I485%,0)-J485</f>
        <v/>
      </c>
      <c r="V485" s="55">
        <f>IF(Q485=$V$12,13313,13311)</f>
        <v/>
      </c>
    </row>
    <row r="486" ht="14.4" customHeight="1" s="344">
      <c r="A486" s="180" t="n">
        <v>469</v>
      </c>
      <c r="B486" s="182" t="inlineStr">
        <is>
          <t>1K26TAB</t>
        </is>
      </c>
      <c r="C486" s="278" t="inlineStr">
        <is>
          <t>'0259664</t>
        </is>
      </c>
      <c r="D486" s="181" t="n">
        <v>46293</v>
      </c>
      <c r="E486" s="182" t="inlineStr">
        <is>
          <t>Ngân Hàng TMCP Sài Gòn Tài Lộc CN BRVT</t>
        </is>
      </c>
      <c r="F486" s="278" t="inlineStr">
        <is>
          <t>'0301103908-045</t>
        </is>
      </c>
      <c r="G486" s="182" t="inlineStr">
        <is>
          <t>Phí QLTK</t>
        </is>
      </c>
      <c r="H486" s="194" t="n">
        <v>50000</v>
      </c>
      <c r="I486" s="180" t="n">
        <v>10</v>
      </c>
      <c r="J486" s="194" t="n">
        <v>5000</v>
      </c>
      <c r="K486" s="182" t="inlineStr">
        <is>
          <t>CK</t>
        </is>
      </c>
      <c r="L486" s="182" t="inlineStr">
        <is>
          <t>AR_REC</t>
        </is>
      </c>
      <c r="M486" s="278" t="inlineStr">
        <is>
          <t>'R0926SC1140</t>
        </is>
      </c>
      <c r="N486" s="181" t="n">
        <v>46293</v>
      </c>
      <c r="O486" s="181" t="n">
        <v>46293</v>
      </c>
      <c r="P486" s="194" t="n">
        <v>55000</v>
      </c>
      <c r="Q486" s="180" t="inlineStr">
        <is>
          <t>Không xác định</t>
        </is>
      </c>
      <c r="R486" s="180" t="inlineStr">
        <is>
          <t>HUENT.HCM.VTA</t>
        </is>
      </c>
      <c r="S486" s="182" t="inlineStr">
        <is>
          <t>Cleared</t>
        </is>
      </c>
      <c r="T486" s="57">
        <f>IF(OR(LEN(F486)=11,LEN(F486)=15),"Đ","SAI")</f>
        <v/>
      </c>
      <c r="U486" s="529">
        <f>ROUND(H486*I486%,0)-J486</f>
        <v/>
      </c>
      <c r="V486" s="55">
        <f>IF(Q486=$V$12,13313,13311)</f>
        <v/>
      </c>
    </row>
    <row r="487" ht="14.4" customHeight="1" s="344">
      <c r="A487" s="180" t="n">
        <v>470</v>
      </c>
      <c r="B487" s="182" t="inlineStr">
        <is>
          <t>1C26MTT</t>
        </is>
      </c>
      <c r="C487" s="278" t="inlineStr">
        <is>
          <t>'9140</t>
        </is>
      </c>
      <c r="D487" s="181" t="n">
        <v>46283</v>
      </c>
      <c r="E487" s="182" t="inlineStr">
        <is>
          <t>CÔNG TY TNHH VẬN TẢI DUY TUNG</t>
        </is>
      </c>
      <c r="F487" s="278" t="inlineStr">
        <is>
          <t>'3502545958</t>
        </is>
      </c>
      <c r="G487" s="182" t="inlineStr">
        <is>
          <t>vận chuyển VTTB</t>
        </is>
      </c>
      <c r="H487" s="194" t="n">
        <v>21050000</v>
      </c>
      <c r="I487" s="180" t="n">
        <v>8</v>
      </c>
      <c r="J487" s="194" t="n">
        <v>1684000</v>
      </c>
      <c r="K487" s="182" t="inlineStr">
        <is>
          <t>CK</t>
        </is>
      </c>
      <c r="L487" s="182" t="inlineStr">
        <is>
          <t>AR_REC</t>
        </is>
      </c>
      <c r="M487" s="278" t="inlineStr">
        <is>
          <t>'R0926SC1160</t>
        </is>
      </c>
      <c r="N487" s="181" t="n">
        <v>46295</v>
      </c>
      <c r="O487" s="181" t="n">
        <v>46295</v>
      </c>
      <c r="P487" s="194" t="n">
        <v>22734000</v>
      </c>
      <c r="Q487" s="180" t="inlineStr">
        <is>
          <t>Không xác định</t>
        </is>
      </c>
      <c r="R487" s="180" t="inlineStr">
        <is>
          <t>THAOPTT.HCM.VTA</t>
        </is>
      </c>
      <c r="S487" s="182" t="inlineStr">
        <is>
          <t>Cleared</t>
        </is>
      </c>
      <c r="T487" s="57">
        <f>IF(OR(LEN(F487)=11,LEN(F487)=15),"Đ","SAI")</f>
        <v/>
      </c>
      <c r="U487" s="529">
        <f>ROUND(H487*I487%,0)-J487</f>
        <v/>
      </c>
      <c r="V487" s="55">
        <f>IF(Q487=$V$12,13313,13311)</f>
        <v/>
      </c>
    </row>
    <row r="488" ht="14.4" customHeight="1" s="344">
      <c r="A488" s="180" t="n">
        <v>471</v>
      </c>
      <c r="B488" s="182" t="inlineStr">
        <is>
          <t>1C26TMA</t>
        </is>
      </c>
      <c r="C488" s="278" t="inlineStr">
        <is>
          <t>'459</t>
        </is>
      </c>
      <c r="D488" s="181" t="n">
        <v>46288</v>
      </c>
      <c r="E488" s="182" t="inlineStr">
        <is>
          <t>CÔNG TY TNHH SẢN XUẤT THƯƠNG MẠI DỊCH VỤ MASALAN</t>
        </is>
      </c>
      <c r="F488" s="278" t="inlineStr">
        <is>
          <t>'0318734700</t>
        </is>
      </c>
      <c r="G488" s="182" t="inlineStr">
        <is>
          <t>sữa chữa VP</t>
        </is>
      </c>
      <c r="H488" s="194" t="n">
        <v>36385000</v>
      </c>
      <c r="I488" s="180" t="n">
        <v>8</v>
      </c>
      <c r="J488" s="194" t="n">
        <v>2910800</v>
      </c>
      <c r="K488" s="182" t="inlineStr">
        <is>
          <t>CK</t>
        </is>
      </c>
      <c r="L488" s="182" t="inlineStr">
        <is>
          <t>AR_REC</t>
        </is>
      </c>
      <c r="M488" s="278" t="inlineStr">
        <is>
          <t>'R0926SC1165</t>
        </is>
      </c>
      <c r="N488" s="181" t="n">
        <v>46295</v>
      </c>
      <c r="O488" s="181" t="n">
        <v>46295</v>
      </c>
      <c r="P488" s="194" t="n">
        <v>39295800</v>
      </c>
      <c r="Q488" s="180" t="inlineStr">
        <is>
          <t>Không xác định</t>
        </is>
      </c>
      <c r="R488" s="180" t="inlineStr">
        <is>
          <t>THAOPTT.HCM.VTA</t>
        </is>
      </c>
      <c r="S488" s="182" t="inlineStr">
        <is>
          <t>Cleared</t>
        </is>
      </c>
      <c r="T488" s="57">
        <f>IF(OR(LEN(F488)=11,LEN(F488)=15),"Đ","SAI")</f>
        <v/>
      </c>
      <c r="U488" s="529">
        <f>ROUND(H488*I488%,0)-J488</f>
        <v/>
      </c>
      <c r="V488" s="55">
        <f>IF(Q488=$V$12,13313,13311)</f>
        <v/>
      </c>
    </row>
    <row r="489" ht="14.4" customHeight="1" s="344">
      <c r="A489" s="180" t="n">
        <v>472</v>
      </c>
      <c r="B489" s="182" t="inlineStr">
        <is>
          <t>1K26TAB</t>
        </is>
      </c>
      <c r="C489" s="278" t="inlineStr">
        <is>
          <t>'0259183</t>
        </is>
      </c>
      <c r="D489" s="181" t="n">
        <v>46293</v>
      </c>
      <c r="E489" s="182" t="inlineStr">
        <is>
          <t>Sacombank</t>
        </is>
      </c>
      <c r="F489" s="278" t="inlineStr">
        <is>
          <t>'0301103908-045</t>
        </is>
      </c>
      <c r="G489" s="182" t="inlineStr">
        <is>
          <t>Phí ngân hàng T09/2026</t>
        </is>
      </c>
      <c r="H489" s="194" t="n">
        <v>200000</v>
      </c>
      <c r="I489" s="180" t="n">
        <v>10</v>
      </c>
      <c r="J489" s="194" t="n">
        <v>20000</v>
      </c>
      <c r="K489" s="182" t="inlineStr">
        <is>
          <t>CK</t>
        </is>
      </c>
      <c r="L489" s="182" t="inlineStr">
        <is>
          <t>AR_REC</t>
        </is>
      </c>
      <c r="M489" s="278" t="inlineStr">
        <is>
          <t>'R0926SK0044</t>
        </is>
      </c>
      <c r="N489" s="181" t="n">
        <v>46293</v>
      </c>
      <c r="O489" s="181" t="n">
        <v>46293</v>
      </c>
      <c r="P489" s="194" t="n">
        <v>220000</v>
      </c>
      <c r="Q489" s="180" t="inlineStr">
        <is>
          <t>Không xác định</t>
        </is>
      </c>
      <c r="R489" s="180" t="inlineStr">
        <is>
          <t>CHAULTN.HCM.VTA</t>
        </is>
      </c>
      <c r="S489" s="182" t="inlineStr">
        <is>
          <t>Cleared</t>
        </is>
      </c>
      <c r="T489" s="57">
        <f>IF(OR(LEN(F489)=11,LEN(F489)=15),"Đ","SAI")</f>
        <v/>
      </c>
      <c r="U489" s="529">
        <f>ROUND(H489*I489%,0)-J489</f>
        <v/>
      </c>
      <c r="V489" s="55">
        <f>IF(Q489=$V$12,13313,13311)</f>
        <v/>
      </c>
    </row>
    <row r="490" ht="14.4" customHeight="1" s="344">
      <c r="A490" s="180" t="n">
        <v>473</v>
      </c>
      <c r="B490" s="182" t="inlineStr">
        <is>
          <t>1K26TAB</t>
        </is>
      </c>
      <c r="C490" s="278" t="inlineStr">
        <is>
          <t>'0259041</t>
        </is>
      </c>
      <c r="D490" s="181" t="n">
        <v>46293</v>
      </c>
      <c r="E490" s="182" t="inlineStr">
        <is>
          <t>Ngân Hàng TMCP Sài Gòn Tài Lộc</t>
        </is>
      </c>
      <c r="F490" s="278" t="inlineStr">
        <is>
          <t>'0301103908-045</t>
        </is>
      </c>
      <c r="G490" s="182" t="inlineStr">
        <is>
          <t>Phí QLTK</t>
        </is>
      </c>
      <c r="H490" s="194" t="n">
        <v>50000</v>
      </c>
      <c r="I490" s="180" t="n">
        <v>10</v>
      </c>
      <c r="J490" s="194" t="n">
        <v>5000</v>
      </c>
      <c r="K490" s="182" t="inlineStr">
        <is>
          <t>CK</t>
        </is>
      </c>
      <c r="L490" s="182" t="inlineStr">
        <is>
          <t>AR_REC</t>
        </is>
      </c>
      <c r="M490" s="278" t="inlineStr">
        <is>
          <t>'R0926SQ0165</t>
        </is>
      </c>
      <c r="N490" s="181" t="n">
        <v>46293</v>
      </c>
      <c r="O490" s="181" t="n">
        <v>46293</v>
      </c>
      <c r="P490" s="194" t="n">
        <v>55000</v>
      </c>
      <c r="Q490" s="180" t="inlineStr">
        <is>
          <t>Không xác định</t>
        </is>
      </c>
      <c r="R490" s="180" t="inlineStr">
        <is>
          <t>HUENT.HCM.VTA</t>
        </is>
      </c>
      <c r="S490" s="182" t="inlineStr">
        <is>
          <t>Cleared</t>
        </is>
      </c>
      <c r="T490" s="57">
        <f>IF(OR(LEN(F490)=11,LEN(F490)=15),"Đ","SAI")</f>
        <v/>
      </c>
      <c r="U490" s="529">
        <f>ROUND(H490*I490%,0)-J490</f>
        <v/>
      </c>
      <c r="V490" s="55">
        <f>IF(Q490=$V$12,13313,13311)</f>
        <v/>
      </c>
    </row>
    <row r="491" ht="14.4" customHeight="1" s="344">
      <c r="A491" s="180" t="n">
        <v>474</v>
      </c>
      <c r="B491" s="182" t="inlineStr">
        <is>
          <t>1K26TAB</t>
        </is>
      </c>
      <c r="C491" s="278" t="inlineStr">
        <is>
          <t>'0259404</t>
        </is>
      </c>
      <c r="D491" s="181" t="n">
        <v>46293</v>
      </c>
      <c r="E491" s="182" t="inlineStr">
        <is>
          <t>PHÍ NGÂN HÀNG T09/26</t>
        </is>
      </c>
      <c r="F491" s="278" t="inlineStr">
        <is>
          <t>'0301103908-045</t>
        </is>
      </c>
      <c r="G491" s="182" t="inlineStr">
        <is>
          <t>PHÍ NH</t>
        </is>
      </c>
      <c r="H491" s="194" t="n">
        <v>50000</v>
      </c>
      <c r="I491" s="180" t="n">
        <v>10</v>
      </c>
      <c r="J491" s="194" t="n">
        <v>5000</v>
      </c>
      <c r="K491" s="182" t="inlineStr">
        <is>
          <t>CK</t>
        </is>
      </c>
      <c r="L491" s="182" t="inlineStr">
        <is>
          <t>AR_REC</t>
        </is>
      </c>
      <c r="M491" s="278" t="inlineStr">
        <is>
          <t>'R0926ST022</t>
        </is>
      </c>
      <c r="N491" s="181" t="n">
        <v>46293</v>
      </c>
      <c r="O491" s="181" t="n">
        <v>46293</v>
      </c>
      <c r="P491" s="194" t="n">
        <v>55000</v>
      </c>
      <c r="Q491" s="180" t="inlineStr">
        <is>
          <t>Không xác định</t>
        </is>
      </c>
      <c r="R491" s="180" t="inlineStr">
        <is>
          <t>CHAULTN.HCM.VTA</t>
        </is>
      </c>
      <c r="S491" s="182" t="inlineStr">
        <is>
          <t>Cleared</t>
        </is>
      </c>
      <c r="T491" s="57">
        <f>IF(OR(LEN(F491)=11,LEN(F491)=15),"Đ","SAI")</f>
        <v/>
      </c>
      <c r="U491" s="529">
        <f>ROUND(H491*I491%,0)-J491</f>
        <v/>
      </c>
      <c r="V491" s="55">
        <f>IF(Q491=$V$12,13313,13311)</f>
        <v/>
      </c>
    </row>
    <row r="492" ht="14.4" customHeight="1" s="344">
      <c r="A492" s="180" t="n">
        <v>475</v>
      </c>
      <c r="B492" s="182" t="inlineStr">
        <is>
          <t>1K26TAA</t>
        </is>
      </c>
      <c r="C492" s="278" t="inlineStr">
        <is>
          <t>'00025893</t>
        </is>
      </c>
      <c r="D492" s="181" t="n">
        <v>46272</v>
      </c>
      <c r="E492" s="182" t="inlineStr">
        <is>
          <t>NGÂN HÀNG TMCP ĐẦU TƯ VÀ PHÁT TRIỂN VIỆT NAM</t>
        </is>
      </c>
      <c r="F492" s="278" t="inlineStr">
        <is>
          <t>'0100150619-006</t>
        </is>
      </c>
      <c r="G492" s="182" t="inlineStr">
        <is>
          <t>PHÍ CHUYỂN TIỀN</t>
        </is>
      </c>
      <c r="H492" s="194" t="n">
        <v>700000</v>
      </c>
      <c r="I492" s="180" t="n">
        <v>10</v>
      </c>
      <c r="J492" s="194" t="n">
        <v>70000</v>
      </c>
      <c r="K492" s="182" t="inlineStr">
        <is>
          <t>CK</t>
        </is>
      </c>
      <c r="L492" s="182" t="inlineStr">
        <is>
          <t>AR_REC</t>
        </is>
      </c>
      <c r="M492" s="278" t="inlineStr">
        <is>
          <t>'R0926ĐTT0584</t>
        </is>
      </c>
      <c r="N492" s="181" t="n">
        <v>46272</v>
      </c>
      <c r="O492" s="181" t="n">
        <v>46272</v>
      </c>
      <c r="P492" s="194" t="n">
        <v>770000</v>
      </c>
      <c r="Q492" s="180" t="inlineStr">
        <is>
          <t>Không xác định</t>
        </is>
      </c>
      <c r="R492" s="180" t="inlineStr">
        <is>
          <t>QUYENNN.HCM.VTA</t>
        </is>
      </c>
      <c r="S492" s="182" t="inlineStr">
        <is>
          <t>Cleared</t>
        </is>
      </c>
      <c r="T492" s="57">
        <f>IF(OR(LEN(F492)=11,LEN(F492)=15),"Đ","SAI")</f>
        <v/>
      </c>
      <c r="U492" s="529">
        <f>ROUND(H492*I492%,0)-J492</f>
        <v/>
      </c>
      <c r="V492" s="55">
        <f>IF(Q492=$V$12,13313,13311)</f>
        <v/>
      </c>
    </row>
    <row r="493" ht="14.4" customHeight="1" s="344">
      <c r="A493" s="180" t="n">
        <v>476</v>
      </c>
      <c r="B493" s="182" t="inlineStr">
        <is>
          <t>1K26TAA</t>
        </is>
      </c>
      <c r="C493" s="278" t="inlineStr">
        <is>
          <t>'00026077</t>
        </is>
      </c>
      <c r="D493" s="181" t="n">
        <v>46273</v>
      </c>
      <c r="E493" s="182" t="inlineStr">
        <is>
          <t>NGÂN HÀNG TMCP ĐẦU TƯ VÀ PHÁT TRIỂN VIỆT NAM</t>
        </is>
      </c>
      <c r="F493" s="278" t="inlineStr">
        <is>
          <t>'0100150619-006</t>
        </is>
      </c>
      <c r="G493" s="182" t="inlineStr">
        <is>
          <t>PHÍ CHUYỂN TIỀN+DUY TRÌ DỊCH VỤ</t>
        </is>
      </c>
      <c r="H493" s="194" t="n">
        <v>750000</v>
      </c>
      <c r="I493" s="180" t="n">
        <v>10</v>
      </c>
      <c r="J493" s="194" t="n">
        <v>75000</v>
      </c>
      <c r="K493" s="182" t="inlineStr">
        <is>
          <t>CK</t>
        </is>
      </c>
      <c r="L493" s="182" t="inlineStr">
        <is>
          <t>AR_REC</t>
        </is>
      </c>
      <c r="M493" s="278" t="inlineStr">
        <is>
          <t>'R0926ĐTT0588</t>
        </is>
      </c>
      <c r="N493" s="181" t="n">
        <v>46273</v>
      </c>
      <c r="O493" s="181" t="n">
        <v>46273</v>
      </c>
      <c r="P493" s="194" t="n">
        <v>825000</v>
      </c>
      <c r="Q493" s="180" t="inlineStr">
        <is>
          <t>Không xác định</t>
        </is>
      </c>
      <c r="R493" s="180" t="inlineStr">
        <is>
          <t>QUYENNN.HCM.VTA</t>
        </is>
      </c>
      <c r="S493" s="182" t="inlineStr">
        <is>
          <t>Cleared</t>
        </is>
      </c>
      <c r="T493" s="57">
        <f>IF(OR(LEN(F493)=11,LEN(F493)=15),"Đ","SAI")</f>
        <v/>
      </c>
      <c r="U493" s="529">
        <f>ROUND(H493*I493%,0)-J493</f>
        <v/>
      </c>
      <c r="V493" s="55">
        <f>IF(Q493=$V$12,13313,13311)</f>
        <v/>
      </c>
    </row>
    <row r="494" ht="21.65" customHeight="1" s="344">
      <c r="A494" s="180" t="n">
        <v>477</v>
      </c>
      <c r="B494" s="182" t="inlineStr">
        <is>
          <t>1K26TAA</t>
        </is>
      </c>
      <c r="C494" s="278" t="inlineStr">
        <is>
          <t>'00026747</t>
        </is>
      </c>
      <c r="D494" s="181" t="n">
        <v>46279</v>
      </c>
      <c r="E494" s="182" t="inlineStr">
        <is>
          <t>NGÂN HÀNG TMCP ĐẦU TƯ VÀ PHÁT TRIỂN VIỆT NAM</t>
        </is>
      </c>
      <c r="F494" s="278" t="inlineStr">
        <is>
          <t>'0100150619-006</t>
        </is>
      </c>
      <c r="G494" s="182" t="inlineStr">
        <is>
          <t>PHÍ QLTK</t>
        </is>
      </c>
      <c r="H494" s="194" t="n">
        <v>50000</v>
      </c>
      <c r="I494" s="180" t="n">
        <v>10</v>
      </c>
      <c r="J494" s="194" t="n">
        <v>5000</v>
      </c>
      <c r="K494" s="182" t="inlineStr">
        <is>
          <t>CK</t>
        </is>
      </c>
      <c r="L494" s="182" t="inlineStr">
        <is>
          <t>AR_REC</t>
        </is>
      </c>
      <c r="M494" s="278" t="inlineStr">
        <is>
          <t>'R0926ĐTT0602</t>
        </is>
      </c>
      <c r="N494" s="181" t="n">
        <v>46279</v>
      </c>
      <c r="O494" s="181" t="n">
        <v>46279</v>
      </c>
      <c r="P494" s="194" t="n">
        <v>55000</v>
      </c>
      <c r="Q494" s="180" t="inlineStr">
        <is>
          <t>Không xác định</t>
        </is>
      </c>
      <c r="R494" s="180" t="inlineStr">
        <is>
          <t>QUYENNN.HCM.VTA</t>
        </is>
      </c>
      <c r="S494" s="182" t="inlineStr">
        <is>
          <t>Cleared</t>
        </is>
      </c>
      <c r="T494" s="57">
        <f>IF(OR(LEN(F494)=11,LEN(F494)=15),"Đ","SAI")</f>
        <v/>
      </c>
      <c r="U494" s="529">
        <f>ROUND(H494*I494%,0)-J494</f>
        <v/>
      </c>
      <c r="V494" s="55">
        <f>IF(Q494=$V$12,13313,13311)</f>
        <v/>
      </c>
    </row>
    <row r="495" ht="21.65" customHeight="1" s="344">
      <c r="A495" s="180" t="n">
        <v>478</v>
      </c>
      <c r="B495" s="182" t="inlineStr">
        <is>
          <t>1K26TAA</t>
        </is>
      </c>
      <c r="C495" s="278" t="inlineStr">
        <is>
          <t>'00026905</t>
        </is>
      </c>
      <c r="D495" s="181" t="n">
        <v>46281</v>
      </c>
      <c r="E495" s="182" t="inlineStr">
        <is>
          <t>NGÂN HÀNG TMCP ĐẦU TƯ VÀ PHÁT TRIỂN VIỆT NAM</t>
        </is>
      </c>
      <c r="F495" s="278" t="inlineStr">
        <is>
          <t>'0100150619-006</t>
        </is>
      </c>
      <c r="G495" s="182" t="inlineStr">
        <is>
          <t>PHÍ CHUYỂN TIỀN</t>
        </is>
      </c>
      <c r="H495" s="194" t="n">
        <v>100000</v>
      </c>
      <c r="I495" s="180" t="n">
        <v>10</v>
      </c>
      <c r="J495" s="194" t="n">
        <v>10000</v>
      </c>
      <c r="K495" s="182" t="inlineStr">
        <is>
          <t>CK</t>
        </is>
      </c>
      <c r="L495" s="182" t="inlineStr">
        <is>
          <t>AR_REC</t>
        </is>
      </c>
      <c r="M495" s="278" t="inlineStr">
        <is>
          <t>'R0926ĐTT0607</t>
        </is>
      </c>
      <c r="N495" s="181" t="n">
        <v>46281</v>
      </c>
      <c r="O495" s="181" t="n">
        <v>46281</v>
      </c>
      <c r="P495" s="194" t="n">
        <v>110000</v>
      </c>
      <c r="Q495" s="180" t="inlineStr">
        <is>
          <t>Không xác định</t>
        </is>
      </c>
      <c r="R495" s="180" t="inlineStr">
        <is>
          <t>QUYENNN.HCM.VTA</t>
        </is>
      </c>
      <c r="S495" s="182" t="inlineStr">
        <is>
          <t>Cleared</t>
        </is>
      </c>
      <c r="T495" s="57">
        <f>IF(OR(LEN(F495)=11,LEN(F495)=15),"Đ","SAI")</f>
        <v/>
      </c>
      <c r="U495" s="529">
        <f>ROUND(H495*I495%,0)-J495</f>
        <v/>
      </c>
      <c r="V495" s="55">
        <f>IF(Q495=$V$12,13313,13311)</f>
        <v/>
      </c>
    </row>
    <row r="496" ht="15.65" customHeight="1" s="344">
      <c r="A496" s="180" t="n">
        <v>479</v>
      </c>
      <c r="B496" s="182" t="inlineStr">
        <is>
          <t>1K26TAA</t>
        </is>
      </c>
      <c r="C496" s="278" t="inlineStr">
        <is>
          <t>'00027547</t>
        </is>
      </c>
      <c r="D496" s="181" t="n">
        <v>46290</v>
      </c>
      <c r="E496" s="182" t="inlineStr">
        <is>
          <t>NGÂN HÀNG TMCP ĐẦU TƯ VÀ PHÁT TRIỂN VIỆT NAM</t>
        </is>
      </c>
      <c r="F496" s="278" t="inlineStr">
        <is>
          <t>'0100150619-006</t>
        </is>
      </c>
      <c r="G496" s="182" t="inlineStr">
        <is>
          <t>PHÍ CHUYỂN TIỀN</t>
        </is>
      </c>
      <c r="H496" s="194" t="n">
        <v>400000</v>
      </c>
      <c r="I496" s="180" t="n">
        <v>10</v>
      </c>
      <c r="J496" s="194" t="n">
        <v>40000</v>
      </c>
      <c r="K496" s="182" t="inlineStr">
        <is>
          <t>CK</t>
        </is>
      </c>
      <c r="L496" s="182" t="inlineStr">
        <is>
          <t>AR_REC</t>
        </is>
      </c>
      <c r="M496" s="278" t="inlineStr">
        <is>
          <t>'R0926ĐTT0629</t>
        </is>
      </c>
      <c r="N496" s="181" t="n">
        <v>46290</v>
      </c>
      <c r="O496" s="181" t="n">
        <v>46290</v>
      </c>
      <c r="P496" s="194" t="n">
        <v>440000</v>
      </c>
      <c r="Q496" s="180" t="inlineStr">
        <is>
          <t>Không xác định</t>
        </is>
      </c>
      <c r="R496" s="180" t="inlineStr">
        <is>
          <t>QUYENNN.HCM.VTA</t>
        </is>
      </c>
      <c r="S496" s="182" t="inlineStr">
        <is>
          <t>Cleared</t>
        </is>
      </c>
      <c r="T496" s="57">
        <f>IF(OR(LEN(F496)=11,LEN(F496)=15),"Đ","SAI")</f>
        <v/>
      </c>
      <c r="U496" s="529">
        <f>ROUND(H496*I496%,0)-J496</f>
        <v/>
      </c>
      <c r="V496" s="55">
        <f>IF(Q496=$V$12,13313,13311)</f>
        <v/>
      </c>
    </row>
    <row r="497" ht="15.65" customHeight="1" s="344">
      <c r="A497" s="180" t="inlineStr">
        <is>
          <t>Tổng cộng</t>
        </is>
      </c>
      <c r="B497" s="182" t="n"/>
      <c r="C497" s="278" t="n"/>
      <c r="D497" s="181" t="n"/>
      <c r="E497" s="182" t="n"/>
      <c r="F497" s="278" t="n"/>
      <c r="G497" s="182" t="n"/>
      <c r="H497" s="194" t="n">
        <v>1173244749309</v>
      </c>
      <c r="I497" s="180" t="n"/>
      <c r="J497" s="194" t="n">
        <v>102568918647</v>
      </c>
      <c r="K497" s="182" t="n"/>
      <c r="L497" s="182" t="n"/>
      <c r="M497" s="278" t="n"/>
      <c r="N497" s="181" t="n"/>
      <c r="O497" s="181" t="n"/>
      <c r="P497" s="194" t="n">
        <v>3987452324974</v>
      </c>
      <c r="Q497" s="180" t="n"/>
      <c r="R497" s="180" t="n"/>
      <c r="S497" s="182" t="n"/>
      <c r="T497" s="57">
        <f>IF(OR(LEN(F497)=11,LEN(F497)=15),"Đ","SAI")</f>
        <v/>
      </c>
      <c r="U497" s="529">
        <f>ROUND(H497*I497%,0)-J497</f>
        <v/>
      </c>
      <c r="V497" s="55">
        <f>IF(Q497=$V$12,13313,13311)</f>
        <v/>
      </c>
    </row>
    <row r="498" ht="15.65" customHeight="1" s="344">
      <c r="A498" s="180" t="inlineStr">
        <is>
          <t>2. Hàng hóa, dịch vụ không đủ điều kiện khấu trừ</t>
        </is>
      </c>
      <c r="B498" s="182" t="n"/>
      <c r="C498" s="278" t="n"/>
      <c r="D498" s="181" t="n"/>
      <c r="E498" s="182" t="n"/>
      <c r="F498" s="278" t="n"/>
      <c r="G498" s="182" t="n"/>
      <c r="H498" s="194" t="n"/>
      <c r="I498" s="180" t="n"/>
      <c r="J498" s="194" t="n"/>
      <c r="K498" s="182" t="n"/>
      <c r="L498" s="182" t="n"/>
      <c r="M498" s="278" t="n"/>
      <c r="N498" s="181" t="n"/>
      <c r="O498" s="181" t="n"/>
      <c r="P498" s="194" t="n"/>
      <c r="Q498" s="180" t="n"/>
      <c r="R498" s="180" t="n"/>
      <c r="S498" s="182" t="n"/>
      <c r="T498" s="57">
        <f>IF(OR(LEN(F498)=11,LEN(F498)=15),"Đ","SAI")</f>
        <v/>
      </c>
      <c r="U498" s="529">
        <f>ROUND(H498*I498%,0)-J498</f>
        <v/>
      </c>
      <c r="V498" s="55">
        <f>IF(Q498=$V$12,13313,13311)</f>
        <v/>
      </c>
    </row>
    <row r="499" ht="15.65" customHeight="1" s="344">
      <c r="A499" s="180" t="n">
        <v>1</v>
      </c>
      <c r="B499" s="182" t="n"/>
      <c r="C499" s="278" t="inlineStr">
        <is>
          <t>'</t>
        </is>
      </c>
      <c r="D499" s="181" t="n"/>
      <c r="E499" s="182" t="n"/>
      <c r="F499" s="278" t="inlineStr">
        <is>
          <t>'</t>
        </is>
      </c>
      <c r="G499" s="182" t="n"/>
      <c r="H499" s="194" t="n">
        <v>0</v>
      </c>
      <c r="I499" s="180" t="n"/>
      <c r="J499" s="194" t="n"/>
      <c r="K499" s="182" t="n"/>
      <c r="L499" s="182" t="n"/>
      <c r="M499" s="278" t="inlineStr">
        <is>
          <t>'</t>
        </is>
      </c>
      <c r="N499" s="181" t="n"/>
      <c r="O499" s="181" t="n"/>
      <c r="P499" s="194" t="n"/>
      <c r="Q499" s="180" t="n"/>
      <c r="R499" s="180" t="n"/>
      <c r="S499" s="182" t="n"/>
      <c r="T499" s="57">
        <f>IF(OR(LEN(F499)=11,LEN(F499)=15),"Đ","SAI")</f>
        <v/>
      </c>
      <c r="U499" s="529">
        <f>ROUND(H499*I499%,0)-J499</f>
        <v/>
      </c>
      <c r="V499" s="55">
        <f>IF(Q499=$V$12,13313,13311)</f>
        <v/>
      </c>
    </row>
    <row r="500" ht="15.65" customHeight="1" s="344">
      <c r="A500" s="180" t="inlineStr">
        <is>
          <t>Tổng cộng</t>
        </is>
      </c>
      <c r="B500" s="182" t="n"/>
      <c r="C500" s="278" t="n"/>
      <c r="D500" s="181" t="n"/>
      <c r="E500" s="182" t="n"/>
      <c r="F500" s="278" t="n"/>
      <c r="G500" s="182" t="n"/>
      <c r="H500" s="194" t="n">
        <v>0</v>
      </c>
      <c r="I500" s="180" t="n"/>
      <c r="J500" s="194" t="n"/>
      <c r="K500" s="182" t="n"/>
      <c r="L500" s="182" t="n"/>
      <c r="M500" s="278" t="n"/>
      <c r="N500" s="181" t="n"/>
      <c r="O500" s="181" t="n"/>
      <c r="P500" s="194" t="n"/>
      <c r="Q500" s="180" t="n"/>
      <c r="R500" s="180" t="n"/>
      <c r="S500" s="182" t="n"/>
      <c r="T500" s="57">
        <f>IF(OR(LEN(F500)=11,LEN(F500)=15),"Đ","SAI")</f>
        <v/>
      </c>
      <c r="U500" s="529">
        <f>ROUND(H500*I500%,0)-J500</f>
        <v/>
      </c>
      <c r="V500" s="55">
        <f>IF(Q500=$V$12,13313,13311)</f>
        <v/>
      </c>
    </row>
    <row r="501" ht="14.4" customHeight="1" s="344">
      <c r="A501" s="180" t="inlineStr">
        <is>
          <t>3. Hàng hóa, dịch vụ dùng chung cho SXKD chịu thuế và không chịu thuế đủ điều kiện được khấu trừ</t>
        </is>
      </c>
      <c r="B501" s="182" t="n"/>
      <c r="C501" s="278" t="n"/>
      <c r="D501" s="181" t="n"/>
      <c r="E501" s="182" t="n"/>
      <c r="F501" s="278" t="n"/>
      <c r="G501" s="182" t="n"/>
      <c r="H501" s="194" t="n"/>
      <c r="I501" s="180" t="n"/>
      <c r="J501" s="194" t="n"/>
      <c r="K501" s="182" t="n"/>
      <c r="L501" s="182" t="n"/>
      <c r="M501" s="278" t="n"/>
      <c r="N501" s="181" t="n"/>
      <c r="O501" s="181" t="n"/>
      <c r="P501" s="194" t="n"/>
      <c r="Q501" s="180" t="n"/>
      <c r="R501" s="180" t="n"/>
      <c r="S501" s="182" t="n"/>
      <c r="T501" s="57">
        <f>IF(OR(LEN(F501)=11,LEN(F501)=15),"Đ","SAI")</f>
        <v/>
      </c>
      <c r="U501" s="529">
        <f>ROUND(H501*I501%,0)-J501</f>
        <v/>
      </c>
      <c r="V501" s="55">
        <f>IF(Q501=$V$12,13313,13311)</f>
        <v/>
      </c>
    </row>
    <row r="502" ht="14.4" customHeight="1" s="344">
      <c r="A502" s="180" t="n">
        <v>1</v>
      </c>
      <c r="B502" s="182" t="n"/>
      <c r="C502" s="278" t="inlineStr">
        <is>
          <t>'</t>
        </is>
      </c>
      <c r="D502" s="181" t="n"/>
      <c r="E502" s="182" t="n"/>
      <c r="F502" s="278" t="inlineStr">
        <is>
          <t>'</t>
        </is>
      </c>
      <c r="G502" s="182" t="n"/>
      <c r="H502" s="194" t="n">
        <v>0</v>
      </c>
      <c r="I502" s="180" t="n"/>
      <c r="J502" s="194" t="n"/>
      <c r="K502" s="182" t="n"/>
      <c r="L502" s="182" t="n"/>
      <c r="M502" s="278" t="inlineStr">
        <is>
          <t>'</t>
        </is>
      </c>
      <c r="N502" s="181" t="n"/>
      <c r="O502" s="181" t="n"/>
      <c r="P502" s="194" t="n"/>
      <c r="Q502" s="180" t="n"/>
      <c r="R502" s="180" t="n"/>
      <c r="S502" s="182" t="n"/>
      <c r="T502" s="57">
        <f>IF(OR(LEN(F502)=11,LEN(F502)=15),"Đ","SAI")</f>
        <v/>
      </c>
      <c r="U502" s="529">
        <f>ROUND(H502*I502%,0)-J502</f>
        <v/>
      </c>
      <c r="V502" s="55">
        <f>IF(Q502=$V$12,13313,13311)</f>
        <v/>
      </c>
    </row>
    <row r="503" ht="14.4" customHeight="1" s="344">
      <c r="A503" s="180" t="inlineStr">
        <is>
          <t>Tổng cộng</t>
        </is>
      </c>
      <c r="B503" s="182" t="n"/>
      <c r="C503" s="278" t="n"/>
      <c r="D503" s="181" t="n"/>
      <c r="E503" s="182" t="n"/>
      <c r="F503" s="278" t="n"/>
      <c r="G503" s="182" t="n"/>
      <c r="H503" s="194" t="n">
        <v>0</v>
      </c>
      <c r="I503" s="180" t="n"/>
      <c r="J503" s="194" t="n"/>
      <c r="K503" s="182" t="n"/>
      <c r="L503" s="182" t="n"/>
      <c r="M503" s="278" t="n"/>
      <c r="N503" s="181" t="n"/>
      <c r="O503" s="181" t="n"/>
      <c r="P503" s="194" t="n"/>
      <c r="Q503" s="180" t="n"/>
      <c r="R503" s="180" t="n"/>
      <c r="S503" s="182" t="n"/>
      <c r="T503" s="57">
        <f>IF(OR(LEN(F503)=11,LEN(F503)=15),"Đ","SAI")</f>
        <v/>
      </c>
      <c r="U503" s="529">
        <f>ROUND(H503*I503%,0)-J503</f>
        <v/>
      </c>
      <c r="V503" s="55">
        <f>IF(Q503=$V$12,13313,13311)</f>
        <v/>
      </c>
    </row>
    <row r="504" ht="14.4" customHeight="1" s="344">
      <c r="A504" s="180" t="inlineStr">
        <is>
          <t>4. Hàng hóa, dịch vụ dùng cho dự án đầu tư đủ điều kiện được khấu trừ</t>
        </is>
      </c>
      <c r="B504" s="182" t="n"/>
      <c r="C504" s="278" t="n"/>
      <c r="D504" s="181" t="n"/>
      <c r="E504" s="182" t="n"/>
      <c r="F504" s="278" t="n"/>
      <c r="G504" s="182" t="n"/>
      <c r="H504" s="194" t="n"/>
      <c r="I504" s="180" t="n"/>
      <c r="J504" s="194" t="n"/>
      <c r="K504" s="182" t="n"/>
      <c r="L504" s="182" t="n"/>
      <c r="M504" s="278" t="n"/>
      <c r="N504" s="181" t="n"/>
      <c r="O504" s="181" t="n"/>
      <c r="P504" s="194" t="n"/>
      <c r="Q504" s="180" t="n"/>
      <c r="R504" s="180" t="n"/>
      <c r="S504" s="182" t="n"/>
      <c r="T504" s="57">
        <f>IF(OR(LEN(F504)=11,LEN(F504)=15),"Đ","SAI")</f>
        <v/>
      </c>
      <c r="U504" s="529">
        <f>ROUND(H504*I504%,0)-J504</f>
        <v/>
      </c>
      <c r="V504" s="55">
        <f>IF(Q504=$V$12,13313,13311)</f>
        <v/>
      </c>
    </row>
    <row r="505" ht="14.4" customHeight="1" s="344">
      <c r="A505" s="180" t="n">
        <v>1</v>
      </c>
      <c r="B505" s="182" t="n"/>
      <c r="C505" s="278" t="inlineStr">
        <is>
          <t>'</t>
        </is>
      </c>
      <c r="D505" s="181" t="n"/>
      <c r="E505" s="182" t="n"/>
      <c r="F505" s="278" t="inlineStr">
        <is>
          <t>'</t>
        </is>
      </c>
      <c r="G505" s="182" t="n"/>
      <c r="H505" s="194" t="n">
        <v>0</v>
      </c>
      <c r="I505" s="180" t="n"/>
      <c r="J505" s="194" t="n"/>
      <c r="K505" s="182" t="n"/>
      <c r="L505" s="182" t="n"/>
      <c r="M505" s="278" t="inlineStr">
        <is>
          <t>'</t>
        </is>
      </c>
      <c r="N505" s="181" t="n"/>
      <c r="O505" s="181" t="n"/>
      <c r="P505" s="194" t="n"/>
      <c r="Q505" s="180" t="n"/>
      <c r="R505" s="180" t="n"/>
      <c r="S505" s="182" t="n"/>
      <c r="T505" s="57">
        <f>IF(OR(LEN(F505)=11,LEN(F505)=15),"Đ","SAI")</f>
        <v/>
      </c>
      <c r="U505" s="529">
        <f>ROUND(H505*I505%,0)-J505</f>
        <v/>
      </c>
      <c r="V505" s="55">
        <f>IF(Q505=$V$12,13313,13311)</f>
        <v/>
      </c>
    </row>
    <row r="506" ht="14.4" customHeight="1" s="344">
      <c r="A506" s="180" t="inlineStr">
        <is>
          <t>Tổng cộng</t>
        </is>
      </c>
      <c r="B506" s="182" t="n"/>
      <c r="C506" s="278" t="n"/>
      <c r="D506" s="181" t="n"/>
      <c r="E506" s="182" t="n"/>
      <c r="F506" s="278" t="n"/>
      <c r="G506" s="182" t="n"/>
      <c r="H506" s="194" t="n">
        <v>0</v>
      </c>
      <c r="I506" s="180" t="n"/>
      <c r="J506" s="194" t="n"/>
      <c r="K506" s="182" t="n"/>
      <c r="L506" s="182" t="n"/>
      <c r="M506" s="278" t="n"/>
      <c r="N506" s="181" t="n"/>
      <c r="O506" s="181" t="n"/>
      <c r="P506" s="194" t="n"/>
      <c r="Q506" s="180" t="n"/>
      <c r="R506" s="180" t="n"/>
      <c r="S506" s="182" t="n"/>
      <c r="T506" s="57">
        <f>IF(OR(LEN(F506)=11,LEN(F506)=15),"Đ","SAI")</f>
        <v/>
      </c>
      <c r="U506" s="529">
        <f>ROUND(H506*I506%,0)-J506</f>
        <v/>
      </c>
      <c r="V506" s="55">
        <f>IF(Q506=$V$12,13313,13311)</f>
        <v/>
      </c>
    </row>
    <row r="507" ht="14.4" customHeight="1" s="344">
      <c r="A507" s="180" t="inlineStr">
        <is>
          <t>5. Hàng hóa, dịch vụ không phải tổng hợp trên tờ khai 01/GTGT</t>
        </is>
      </c>
      <c r="B507" s="182" t="n"/>
      <c r="C507" s="278" t="n"/>
      <c r="D507" s="181" t="n"/>
      <c r="E507" s="182" t="n"/>
      <c r="F507" s="278" t="n"/>
      <c r="G507" s="182" t="n"/>
      <c r="H507" s="194" t="n"/>
      <c r="I507" s="180" t="n"/>
      <c r="J507" s="194" t="n"/>
      <c r="K507" s="182" t="n"/>
      <c r="L507" s="182" t="n"/>
      <c r="M507" s="278" t="n"/>
      <c r="N507" s="181" t="n"/>
      <c r="O507" s="181" t="n"/>
      <c r="P507" s="194" t="n"/>
      <c r="Q507" s="180" t="n"/>
      <c r="R507" s="180" t="n"/>
      <c r="S507" s="182" t="n"/>
      <c r="T507" s="57">
        <f>IF(OR(LEN(F507)=11,LEN(F507)=15),"Đ","SAI")</f>
        <v/>
      </c>
      <c r="U507" s="529">
        <f>ROUND(H507*I507%,0)-J507</f>
        <v/>
      </c>
      <c r="V507" s="55">
        <f>IF(Q507=$V$12,13313,13311)</f>
        <v/>
      </c>
    </row>
    <row r="508" ht="15.65" customHeight="1" s="344">
      <c r="A508" s="180" t="n">
        <v>1</v>
      </c>
      <c r="B508" s="182" t="n"/>
      <c r="C508" s="278" t="inlineStr">
        <is>
          <t>'</t>
        </is>
      </c>
      <c r="D508" s="181" t="n"/>
      <c r="E508" s="182" t="n"/>
      <c r="F508" s="278" t="inlineStr">
        <is>
          <t>'</t>
        </is>
      </c>
      <c r="G508" s="182" t="n"/>
      <c r="H508" s="194" t="n">
        <v>0</v>
      </c>
      <c r="I508" s="180" t="n"/>
      <c r="J508" s="194" t="n"/>
      <c r="K508" s="182" t="n"/>
      <c r="L508" s="182" t="n"/>
      <c r="M508" s="278" t="inlineStr">
        <is>
          <t>'</t>
        </is>
      </c>
      <c r="N508" s="181" t="n"/>
      <c r="O508" s="181" t="n"/>
      <c r="P508" s="194" t="n"/>
      <c r="Q508" s="180" t="n"/>
      <c r="R508" s="180" t="n"/>
      <c r="S508" s="182" t="n"/>
      <c r="T508" s="57">
        <f>IF(OR(LEN(F508)=11,LEN(F508)=15),"Đ","SAI")</f>
        <v/>
      </c>
      <c r="U508" s="529">
        <f>ROUND(H508*I508%,0)-J508</f>
        <v/>
      </c>
      <c r="V508" s="55">
        <f>IF(Q508=$V$12,13313,13311)</f>
        <v/>
      </c>
    </row>
    <row r="509" ht="14.4" customHeight="1" s="344">
      <c r="A509" s="180" t="inlineStr">
        <is>
          <t>Tổng cộng</t>
        </is>
      </c>
      <c r="B509" s="182" t="n"/>
      <c r="C509" s="278" t="n"/>
      <c r="D509" s="181" t="n"/>
      <c r="E509" s="182" t="n"/>
      <c r="F509" s="278" t="n"/>
      <c r="G509" s="182" t="n"/>
      <c r="H509" s="194" t="n">
        <v>0</v>
      </c>
      <c r="I509" s="180" t="n"/>
      <c r="J509" s="194" t="n"/>
      <c r="K509" s="182" t="n"/>
      <c r="L509" s="182" t="n"/>
      <c r="M509" s="278" t="n"/>
      <c r="N509" s="181" t="n"/>
      <c r="O509" s="181" t="n"/>
      <c r="P509" s="194" t="n"/>
      <c r="Q509" s="180" t="n"/>
      <c r="R509" s="180" t="n"/>
      <c r="S509" s="182" t="n"/>
      <c r="T509" s="57">
        <f>IF(OR(LEN(F509)=11,LEN(F509)=15),"Đ","SAI")</f>
        <v/>
      </c>
      <c r="U509" s="529">
        <f>ROUND(H509*I509%,0)-J509</f>
        <v/>
      </c>
      <c r="V509" s="55">
        <f>IF(Q509=$V$12,13313,13311)</f>
        <v/>
      </c>
    </row>
    <row r="510" ht="15.65" customHeight="1" s="344">
      <c r="A510" s="180" t="inlineStr">
        <is>
          <t>6. Có số liệu hóa đơn nhưng không lên bảng kê</t>
        </is>
      </c>
      <c r="B510" s="182" t="n"/>
      <c r="C510" s="278" t="n"/>
      <c r="D510" s="181" t="n"/>
      <c r="E510" s="182" t="n"/>
      <c r="F510" s="278" t="n"/>
      <c r="G510" s="182" t="n"/>
      <c r="H510" s="194" t="n"/>
      <c r="I510" s="180" t="n"/>
      <c r="J510" s="194" t="n"/>
      <c r="K510" s="182" t="n"/>
      <c r="L510" s="182" t="n"/>
      <c r="M510" s="278" t="n"/>
      <c r="N510" s="181" t="n"/>
      <c r="O510" s="181" t="n"/>
      <c r="P510" s="194" t="n"/>
      <c r="Q510" s="180" t="n"/>
      <c r="R510" s="180" t="n"/>
      <c r="S510" s="182" t="n"/>
      <c r="T510" s="57">
        <f>IF(OR(LEN(F510)=11,LEN(F510)=15),"Đ","SAI")</f>
        <v/>
      </c>
      <c r="U510" s="529">
        <f>ROUND(H510*I510%,0)-J510</f>
        <v/>
      </c>
      <c r="V510" s="55">
        <f>IF(Q510=$V$12,13313,13311)</f>
        <v/>
      </c>
    </row>
    <row r="511" ht="15.65" customHeight="1" s="344">
      <c r="A511" s="180" t="n">
        <v>1</v>
      </c>
      <c r="B511" s="182" t="n"/>
      <c r="C511" s="278" t="inlineStr">
        <is>
          <t>'</t>
        </is>
      </c>
      <c r="D511" s="181" t="n"/>
      <c r="E511" s="182" t="n"/>
      <c r="F511" s="278" t="inlineStr">
        <is>
          <t>'</t>
        </is>
      </c>
      <c r="G511" s="182" t="n"/>
      <c r="H511" s="194" t="n">
        <v>0</v>
      </c>
      <c r="I511" s="180" t="n"/>
      <c r="J511" s="194" t="n"/>
      <c r="K511" s="182" t="n"/>
      <c r="L511" s="182" t="n"/>
      <c r="M511" s="278" t="inlineStr">
        <is>
          <t>'</t>
        </is>
      </c>
      <c r="N511" s="181" t="n"/>
      <c r="O511" s="181" t="n"/>
      <c r="P511" s="194" t="n"/>
      <c r="Q511" s="180" t="n"/>
      <c r="R511" s="180" t="n"/>
      <c r="S511" s="182" t="n"/>
      <c r="T511" s="57">
        <f>IF(OR(LEN(F511)=11,LEN(F511)=15),"Đ","SAI")</f>
        <v/>
      </c>
      <c r="U511" s="529">
        <f>ROUND(H511*I511%,0)-J511</f>
        <v/>
      </c>
      <c r="V511" s="55">
        <f>IF(Q511=$V$12,13313,13311)</f>
        <v/>
      </c>
    </row>
    <row r="512" ht="14.4" customHeight="1" s="344">
      <c r="A512" s="180" t="inlineStr">
        <is>
          <t>Tổng cộng</t>
        </is>
      </c>
      <c r="B512" s="182" t="n"/>
      <c r="C512" s="278" t="n"/>
      <c r="D512" s="181" t="n"/>
      <c r="E512" s="182" t="n"/>
      <c r="F512" s="278" t="n"/>
      <c r="G512" s="182" t="n"/>
      <c r="H512" s="194" t="n">
        <v>0</v>
      </c>
      <c r="I512" s="180" t="n"/>
      <c r="J512" s="194" t="n"/>
      <c r="K512" s="182" t="n"/>
      <c r="L512" s="182" t="n"/>
      <c r="M512" s="278" t="n"/>
      <c r="N512" s="181" t="n"/>
      <c r="O512" s="181" t="n"/>
      <c r="P512" s="194" t="n"/>
      <c r="Q512" s="180" t="n"/>
      <c r="R512" s="180" t="n"/>
      <c r="S512" s="182" t="n"/>
      <c r="T512" s="57">
        <f>IF(OR(LEN(F512)=11,LEN(F512)=15),"Đ","SAI")</f>
        <v/>
      </c>
      <c r="U512" s="529">
        <f>ROUND(H512*I512%,0)-J512</f>
        <v/>
      </c>
      <c r="V512" s="55">
        <f>IF(Q512=$V$12,13313,13311)</f>
        <v/>
      </c>
    </row>
    <row r="513" ht="15.65" customHeight="1" s="344">
      <c r="A513" s="180" t="inlineStr">
        <is>
          <t>Tổng cộng</t>
        </is>
      </c>
      <c r="B513" s="182" t="n"/>
      <c r="C513" s="278" t="n"/>
      <c r="D513" s="181" t="n"/>
      <c r="E513" s="182" t="n"/>
      <c r="F513" s="278" t="n"/>
      <c r="G513" s="182" t="n"/>
      <c r="H513" s="194" t="n">
        <v>1173244749309</v>
      </c>
      <c r="I513" s="180" t="n"/>
      <c r="J513" s="194" t="n">
        <v>102568918647</v>
      </c>
      <c r="K513" s="182" t="n"/>
      <c r="L513" s="182" t="n"/>
      <c r="M513" s="278" t="n"/>
      <c r="N513" s="181" t="n"/>
      <c r="O513" s="181" t="n"/>
      <c r="P513" s="194" t="n"/>
      <c r="Q513" s="180" t="n"/>
      <c r="R513" s="180" t="n"/>
      <c r="S513" s="182" t="n"/>
      <c r="T513" s="57">
        <f>IF(OR(LEN(F513)=11,LEN(F513)=15),"Đ","SAI")</f>
        <v/>
      </c>
      <c r="U513" s="529">
        <f>ROUND(H513*I513%,0)-J513</f>
        <v/>
      </c>
      <c r="V513" s="55">
        <f>IF(Q513=$V$12,13313,13311)</f>
        <v/>
      </c>
    </row>
    <row r="514" ht="15.65" customHeight="1" s="344">
      <c r="A514" s="180" t="n"/>
      <c r="B514" s="182" t="n"/>
      <c r="C514" s="278" t="n"/>
      <c r="D514" s="181" t="n"/>
      <c r="E514" s="182" t="n"/>
      <c r="F514" s="278" t="n"/>
      <c r="G514" s="182" t="n"/>
      <c r="H514" s="194" t="n"/>
      <c r="I514" s="180" t="n"/>
      <c r="J514" s="194" t="n"/>
      <c r="K514" s="182" t="n"/>
      <c r="L514" s="182" t="n"/>
      <c r="M514" s="278" t="n"/>
      <c r="N514" s="181" t="n"/>
      <c r="O514" s="181" t="n"/>
      <c r="P514" s="194" t="n"/>
      <c r="Q514" s="180" t="n"/>
      <c r="R514" s="180" t="n"/>
      <c r="S514" s="182" t="n"/>
      <c r="T514" s="57">
        <f>IF(OR(LEN(F514)=11,LEN(F514)=15),"Đ","SAI")</f>
        <v/>
      </c>
      <c r="U514" s="529">
        <f>ROUND(H514*I514%,0)-J514</f>
        <v/>
      </c>
      <c r="V514" s="55">
        <f>IF(Q514=$V$12,13313,13311)</f>
        <v/>
      </c>
    </row>
    <row r="515" ht="14.4" customHeight="1" s="344">
      <c r="A515" s="180" t="n"/>
      <c r="B515" s="182" t="n"/>
      <c r="C515" s="278" t="n"/>
      <c r="D515" s="181" t="n"/>
      <c r="E515" s="182" t="n"/>
      <c r="F515" s="278" t="n"/>
      <c r="G515" s="182" t="n"/>
      <c r="H515" s="194" t="n"/>
      <c r="I515" s="180" t="n"/>
      <c r="J515" s="194" t="n"/>
      <c r="K515" s="182" t="n"/>
      <c r="L515" s="182" t="n"/>
      <c r="M515" s="278" t="n"/>
      <c r="N515" s="181" t="n"/>
      <c r="O515" s="181" t="n"/>
      <c r="P515" s="194" t="n"/>
      <c r="Q515" s="180" t="n"/>
      <c r="R515" s="180" t="n"/>
      <c r="S515" s="182" t="n"/>
      <c r="T515" s="57">
        <f>IF(OR(LEN(F515)=11,LEN(F515)=15),"Đ","SAI")</f>
        <v/>
      </c>
      <c r="U515" s="529">
        <f>ROUND(H515*I515%,0)-J515</f>
        <v/>
      </c>
      <c r="V515" s="55">
        <f>IF(Q515=$V$12,13313,13311)</f>
        <v/>
      </c>
    </row>
    <row r="516" ht="15.65" customHeight="1" s="344">
      <c r="A516" s="180" t="n"/>
      <c r="B516" s="182" t="n"/>
      <c r="C516" s="278" t="n"/>
      <c r="D516" s="181" t="n"/>
      <c r="E516" s="182" t="n"/>
      <c r="F516" s="278" t="n"/>
      <c r="G516" s="182" t="n"/>
      <c r="H516" s="194" t="n"/>
      <c r="I516" s="180" t="n"/>
      <c r="J516" s="194" t="n"/>
      <c r="K516" s="182" t="n"/>
      <c r="L516" s="182" t="n"/>
      <c r="M516" s="278" t="n"/>
      <c r="N516" s="181" t="n"/>
      <c r="O516" s="181" t="n"/>
      <c r="P516" s="194" t="n"/>
      <c r="Q516" s="180" t="n"/>
      <c r="R516" s="180" t="n"/>
      <c r="S516" s="182" t="n"/>
      <c r="T516" s="57">
        <f>IF(OR(LEN(F516)=11,LEN(F516)=15),"Đ","SAI")</f>
        <v/>
      </c>
      <c r="U516" s="529">
        <f>ROUND(H516*I516%,0)-J516</f>
        <v/>
      </c>
      <c r="V516" s="55">
        <f>IF(Q516=$V$12,13313,13311)</f>
        <v/>
      </c>
    </row>
    <row r="517" ht="15.65" customHeight="1" s="344">
      <c r="A517" s="180" t="n"/>
      <c r="B517" s="182" t="n"/>
      <c r="C517" s="278" t="n"/>
      <c r="D517" s="181" t="n"/>
      <c r="E517" s="182" t="n"/>
      <c r="F517" s="278" t="n"/>
      <c r="G517" s="182" t="n"/>
      <c r="H517" s="194" t="n"/>
      <c r="I517" s="180" t="n"/>
      <c r="J517" s="194" t="n"/>
      <c r="K517" s="182" t="n"/>
      <c r="L517" s="182" t="n"/>
      <c r="M517" s="278" t="n"/>
      <c r="N517" s="181" t="n"/>
      <c r="O517" s="181" t="n"/>
      <c r="P517" s="194" t="n"/>
      <c r="Q517" s="180" t="n"/>
      <c r="R517" s="180" t="n"/>
      <c r="S517" s="182" t="n"/>
      <c r="T517" s="57">
        <f>IF(OR(LEN(F517)=11,LEN(F517)=15),"Đ","SAI")</f>
        <v/>
      </c>
      <c r="U517" s="529">
        <f>ROUND(H517*I517%,0)-J517</f>
        <v/>
      </c>
      <c r="V517" s="55">
        <f>IF(Q517=$V$12,13313,13311)</f>
        <v/>
      </c>
    </row>
    <row r="518" ht="15.65" customHeight="1" s="344">
      <c r="A518" s="180" t="inlineStr">
        <is>
          <t>Tổng doanh thu dịch vụ hàng hóa mua vào : 1173244749309</t>
        </is>
      </c>
      <c r="B518" s="182" t="n"/>
      <c r="C518" s="278" t="n"/>
      <c r="D518" s="181" t="n"/>
      <c r="E518" s="182" t="n"/>
      <c r="F518" s="278" t="n"/>
      <c r="G518" s="182" t="n"/>
      <c r="H518" s="194" t="n"/>
      <c r="I518" s="180" t="n"/>
      <c r="J518" s="194" t="n"/>
      <c r="K518" s="182" t="inlineStr">
        <is>
          <t>….., ngày ….., tháng ….., năm …...</t>
        </is>
      </c>
      <c r="L518" s="182" t="n"/>
      <c r="M518" s="278" t="n"/>
      <c r="N518" s="181" t="n"/>
      <c r="O518" s="181" t="n"/>
      <c r="P518" s="194" t="n"/>
      <c r="Q518" s="180" t="n"/>
      <c r="R518" s="180" t="n"/>
      <c r="S518" s="182" t="n"/>
      <c r="T518" s="57">
        <f>IF(OR(LEN(F518)=11,LEN(F518)=15),"Đ","SAI")</f>
        <v/>
      </c>
      <c r="U518" s="529">
        <f>ROUND(H518*I518%,0)-J518</f>
        <v/>
      </c>
      <c r="V518" s="55">
        <f>IF(Q518=$V$12,13313,13311)</f>
        <v/>
      </c>
    </row>
    <row r="519" ht="14.4" customHeight="1" s="344">
      <c r="A519" s="180" t="inlineStr">
        <is>
          <t>Tổng thuế GTGT của dịch vụ hàng hóa mua vào : 102568918647</t>
        </is>
      </c>
      <c r="B519" s="182" t="n"/>
      <c r="C519" s="278" t="n"/>
      <c r="D519" s="181" t="n"/>
      <c r="E519" s="182" t="n"/>
      <c r="F519" s="278" t="n"/>
      <c r="G519" s="182" t="n"/>
      <c r="H519" s="194" t="n"/>
      <c r="I519" s="180" t="n"/>
      <c r="J519" s="194" t="n"/>
      <c r="K519" s="182" t="inlineStr">
        <is>
          <t>NGƯỜI NỘP THUẾ hoặc</t>
        </is>
      </c>
      <c r="L519" s="182" t="n"/>
      <c r="M519" s="278" t="n"/>
      <c r="N519" s="181" t="n"/>
      <c r="O519" s="181" t="n"/>
      <c r="P519" s="194" t="n"/>
      <c r="Q519" s="180" t="n"/>
      <c r="R519" s="180" t="n"/>
      <c r="S519" s="182" t="n"/>
      <c r="T519" s="57">
        <f>IF(OR(LEN(F519)=11,LEN(F519)=15),"Đ","SAI")</f>
        <v/>
      </c>
      <c r="U519" s="529">
        <f>ROUND(H519*I519%,0)-J519</f>
        <v/>
      </c>
      <c r="V519" s="55">
        <f>IF(Q519=$V$12,13313,13311)</f>
        <v/>
      </c>
    </row>
    <row r="520" ht="15.65" customHeight="1" s="344">
      <c r="A520" s="180" t="n"/>
      <c r="B520" s="182" t="n"/>
      <c r="C520" s="278" t="n"/>
      <c r="D520" s="181" t="n"/>
      <c r="E520" s="182" t="n"/>
      <c r="F520" s="278" t="n"/>
      <c r="G520" s="182" t="n"/>
      <c r="H520" s="194" t="n"/>
      <c r="I520" s="180" t="n"/>
      <c r="J520" s="194" t="n"/>
      <c r="K520" s="182" t="inlineStr">
        <is>
          <t>ĐẠI DIỆN HỢP PHÁP CỦA NGƯỜI NỘP THUẾ</t>
        </is>
      </c>
      <c r="L520" s="182" t="n"/>
      <c r="M520" s="278" t="n"/>
      <c r="N520" s="181" t="n"/>
      <c r="O520" s="181" t="n"/>
      <c r="P520" s="194" t="n"/>
      <c r="Q520" s="180" t="n"/>
      <c r="R520" s="180" t="n"/>
      <c r="S520" s="182" t="n"/>
      <c r="T520" s="57">
        <f>IF(OR(LEN(F520)=11,LEN(F520)=15),"Đ","SAI")</f>
        <v/>
      </c>
      <c r="U520" s="529">
        <f>ROUND(H520*I520%,0)-J520</f>
        <v/>
      </c>
      <c r="V520" s="55">
        <f>IF(Q520=$V$12,13313,13311)</f>
        <v/>
      </c>
    </row>
    <row r="521" ht="15.65" customHeight="1" s="344">
      <c r="A521" s="180" t="n"/>
      <c r="B521" s="182" t="n"/>
      <c r="C521" s="278" t="n"/>
      <c r="D521" s="181" t="n"/>
      <c r="E521" s="182" t="n"/>
      <c r="F521" s="278" t="n"/>
      <c r="G521" s="182" t="n"/>
      <c r="H521" s="194" t="n"/>
      <c r="I521" s="180" t="n"/>
      <c r="J521" s="194" t="n"/>
      <c r="K521" s="182" t="inlineStr">
        <is>
          <t>Ký tên, đóng dấu (Ghi rõ họ tên và chức vụ)</t>
        </is>
      </c>
      <c r="L521" s="182" t="n"/>
      <c r="M521" s="278" t="n"/>
      <c r="N521" s="181" t="n"/>
      <c r="O521" s="181" t="n"/>
      <c r="P521" s="194" t="n"/>
      <c r="Q521" s="180" t="n"/>
      <c r="R521" s="180" t="n"/>
      <c r="S521" s="182" t="n"/>
      <c r="T521" s="57">
        <f>IF(OR(LEN(F521)=11,LEN(F521)=15),"Đ","SAI")</f>
        <v/>
      </c>
      <c r="U521" s="529">
        <f>ROUND(H521*I521%,0)-J521</f>
        <v/>
      </c>
      <c r="V521" s="55">
        <f>IF(Q521=$V$12,13313,13311)</f>
        <v/>
      </c>
    </row>
    <row r="522" ht="15.65" customHeight="1" s="344">
      <c r="A522" s="180" t="n"/>
      <c r="B522" s="182" t="n"/>
      <c r="C522" s="278" t="n"/>
      <c r="D522" s="181" t="n"/>
      <c r="E522" s="182" t="n"/>
      <c r="F522" s="278" t="n"/>
      <c r="G522" s="182" t="n"/>
      <c r="H522" s="194" t="n"/>
      <c r="I522" s="180" t="n"/>
      <c r="J522" s="194" t="n"/>
      <c r="K522" s="182" t="n"/>
      <c r="L522" s="182" t="n"/>
      <c r="M522" s="278" t="n"/>
      <c r="N522" s="181" t="n"/>
      <c r="O522" s="181" t="n"/>
      <c r="P522" s="194" t="n"/>
      <c r="Q522" s="180" t="n"/>
      <c r="R522" s="180" t="n"/>
      <c r="S522" s="182" t="n"/>
      <c r="T522" s="57">
        <f>IF(OR(LEN(F522)=11,LEN(F522)=15),"Đ","SAI")</f>
        <v/>
      </c>
      <c r="U522" s="529">
        <f>ROUND(H522*I522%,0)-J522</f>
        <v/>
      </c>
      <c r="V522" s="55">
        <f>IF(Q522=$V$12,13313,13311)</f>
        <v/>
      </c>
    </row>
    <row r="523" ht="21.5" customHeight="1" s="344">
      <c r="A523" s="180" t="n"/>
      <c r="B523" s="182" t="n"/>
      <c r="C523" s="278" t="n"/>
      <c r="D523" s="181" t="n"/>
      <c r="E523" s="182" t="n"/>
      <c r="F523" s="278" t="n"/>
      <c r="G523" s="182" t="n"/>
      <c r="H523" s="194" t="n"/>
      <c r="I523" s="180" t="n"/>
      <c r="J523" s="194" t="n"/>
      <c r="K523" s="182" t="n"/>
      <c r="L523" s="182" t="n"/>
      <c r="M523" s="278" t="n"/>
      <c r="N523" s="181" t="n"/>
      <c r="O523" s="181" t="n"/>
      <c r="P523" s="194" t="n"/>
      <c r="Q523" s="180" t="n"/>
      <c r="R523" s="180" t="n"/>
      <c r="S523" s="182" t="n"/>
      <c r="T523" s="57" t="n"/>
      <c r="U523" s="529" t="n"/>
      <c r="V523" s="55" t="n"/>
    </row>
    <row r="524" ht="21.5" customHeight="1" s="344">
      <c r="A524" s="180" t="n"/>
      <c r="B524" s="182" t="n"/>
      <c r="C524" s="278" t="n"/>
      <c r="D524" s="181" t="n"/>
      <c r="E524" s="182" t="n"/>
      <c r="F524" s="278" t="n"/>
      <c r="G524" s="182" t="n"/>
      <c r="H524" s="194" t="n"/>
      <c r="I524" s="180" t="n"/>
      <c r="J524" s="194" t="n"/>
      <c r="K524" s="182" t="n"/>
      <c r="L524" s="182" t="n"/>
      <c r="M524" s="278" t="n"/>
      <c r="N524" s="181" t="n"/>
      <c r="O524" s="181" t="n"/>
      <c r="P524" s="194" t="n"/>
      <c r="Q524" s="180" t="n"/>
      <c r="R524" s="180" t="n"/>
      <c r="S524" s="182" t="n"/>
      <c r="T524" s="57" t="n"/>
      <c r="U524" s="529" t="n"/>
      <c r="V524" s="55" t="n"/>
    </row>
    <row r="525" ht="21.5" customHeight="1" s="344">
      <c r="A525" s="180" t="n"/>
      <c r="B525" s="182" t="n"/>
      <c r="C525" s="278" t="n"/>
      <c r="D525" s="181" t="n"/>
      <c r="E525" s="182" t="n"/>
      <c r="F525" s="278" t="n"/>
      <c r="G525" s="182" t="n"/>
      <c r="H525" s="194" t="n"/>
      <c r="I525" s="180" t="n"/>
      <c r="J525" s="194" t="n"/>
      <c r="K525" s="182" t="n"/>
      <c r="L525" s="182" t="n"/>
      <c r="M525" s="278" t="n"/>
      <c r="N525" s="181" t="n"/>
      <c r="O525" s="181" t="n"/>
      <c r="P525" s="194" t="n"/>
      <c r="Q525" s="180" t="n"/>
      <c r="R525" s="180" t="n"/>
      <c r="S525" s="182" t="n"/>
      <c r="T525" s="57" t="n"/>
      <c r="U525" s="529" t="n"/>
      <c r="V525" s="55" t="n"/>
    </row>
    <row r="526" ht="21.5" customHeight="1" s="344">
      <c r="A526" s="180" t="n"/>
      <c r="B526" s="182" t="n"/>
      <c r="C526" s="278" t="n"/>
      <c r="D526" s="181" t="n"/>
      <c r="E526" s="182" t="n"/>
      <c r="F526" s="278" t="n"/>
      <c r="G526" s="182" t="n"/>
      <c r="H526" s="194" t="n"/>
      <c r="I526" s="180" t="n"/>
      <c r="J526" s="194" t="n"/>
      <c r="K526" s="182" t="n"/>
      <c r="L526" s="182" t="n"/>
      <c r="M526" s="278" t="n"/>
      <c r="N526" s="181" t="n"/>
      <c r="O526" s="181" t="n"/>
      <c r="P526" s="194" t="n"/>
      <c r="Q526" s="180" t="n"/>
      <c r="R526" s="180" t="n"/>
      <c r="S526" s="182" t="n"/>
      <c r="T526" s="57" t="n"/>
      <c r="U526" s="529" t="n"/>
      <c r="V526" s="55" t="n"/>
    </row>
    <row r="527" ht="15.65" customHeight="1" s="344">
      <c r="A527" s="180" t="n"/>
      <c r="B527" s="182" t="n"/>
      <c r="C527" s="278" t="n"/>
      <c r="D527" s="181" t="n"/>
      <c r="E527" s="182" t="n"/>
      <c r="F527" s="278" t="n"/>
      <c r="G527" s="182" t="n"/>
      <c r="H527" s="194" t="n"/>
      <c r="I527" s="180" t="n"/>
      <c r="J527" s="194" t="n"/>
      <c r="K527" s="182" t="n"/>
      <c r="L527" s="182" t="n"/>
      <c r="M527" s="278" t="n"/>
      <c r="N527" s="181" t="n"/>
      <c r="O527" s="181" t="n"/>
      <c r="P527" s="194" t="n"/>
      <c r="Q527" s="180" t="n"/>
      <c r="R527" s="180" t="n"/>
      <c r="S527" s="182" t="n"/>
      <c r="T527" s="57" t="n"/>
      <c r="U527" s="529" t="n"/>
      <c r="V527" s="55" t="n"/>
    </row>
    <row r="528" ht="27.65" customHeight="1" s="344">
      <c r="A528" s="180" t="n"/>
      <c r="B528" s="182" t="n"/>
      <c r="C528" s="278" t="n"/>
      <c r="D528" s="181" t="n"/>
      <c r="E528" s="182" t="n"/>
      <c r="F528" s="278" t="n"/>
      <c r="G528" s="182" t="n"/>
      <c r="H528" s="194" t="n"/>
      <c r="I528" s="180" t="n"/>
      <c r="J528" s="194" t="n"/>
      <c r="K528" s="182" t="n"/>
      <c r="L528" s="182" t="n"/>
      <c r="M528" s="278" t="n"/>
      <c r="N528" s="181" t="n"/>
      <c r="O528" s="181" t="n"/>
      <c r="P528" s="194" t="n"/>
      <c r="Q528" s="180" t="n"/>
      <c r="R528" s="180" t="n"/>
      <c r="S528" s="182" t="n"/>
      <c r="T528" s="57" t="n"/>
      <c r="U528" s="529" t="n"/>
      <c r="V528" s="55" t="n"/>
    </row>
    <row r="529" ht="15.65" customHeight="1" s="344">
      <c r="A529" s="180" t="n"/>
      <c r="B529" s="182" t="n"/>
      <c r="C529" s="278" t="n"/>
      <c r="D529" s="181" t="n"/>
      <c r="E529" s="182" t="n"/>
      <c r="F529" s="278" t="n"/>
      <c r="G529" s="182" t="n"/>
      <c r="H529" s="194" t="n"/>
      <c r="I529" s="180" t="n"/>
      <c r="J529" s="194" t="n"/>
      <c r="K529" s="182" t="n"/>
      <c r="L529" s="182" t="n"/>
      <c r="M529" s="278" t="n"/>
      <c r="N529" s="181" t="n"/>
      <c r="O529" s="181" t="n"/>
      <c r="P529" s="194" t="n"/>
      <c r="Q529" s="180" t="n"/>
      <c r="R529" s="180" t="n"/>
      <c r="S529" s="182" t="n"/>
      <c r="T529" s="57" t="n"/>
      <c r="U529" s="529" t="n"/>
      <c r="V529" s="55" t="n"/>
    </row>
    <row r="530" ht="15.65" customHeight="1" s="344">
      <c r="A530" s="180" t="n"/>
      <c r="B530" s="182" t="n"/>
      <c r="C530" s="278" t="n"/>
      <c r="D530" s="181" t="n"/>
      <c r="E530" s="182" t="n"/>
      <c r="F530" s="278" t="n"/>
      <c r="G530" s="182" t="n"/>
      <c r="H530" s="194" t="n"/>
      <c r="I530" s="180" t="n"/>
      <c r="J530" s="194" t="n"/>
      <c r="K530" s="182" t="n"/>
      <c r="L530" s="182" t="n"/>
      <c r="M530" s="278" t="n"/>
      <c r="N530" s="181" t="n"/>
      <c r="O530" s="181" t="n"/>
      <c r="P530" s="194" t="n"/>
      <c r="Q530" s="180" t="n"/>
      <c r="R530" s="180" t="n"/>
      <c r="S530" s="182" t="n"/>
      <c r="T530" s="57" t="n"/>
      <c r="U530" s="529" t="n"/>
      <c r="V530" s="55" t="n"/>
    </row>
    <row r="531" ht="21.5" customHeight="1" s="344">
      <c r="A531" s="180" t="n"/>
      <c r="B531" s="182" t="n"/>
      <c r="C531" s="278" t="n"/>
      <c r="D531" s="181" t="n"/>
      <c r="E531" s="182" t="n"/>
      <c r="F531" s="278" t="n"/>
      <c r="G531" s="182" t="n"/>
      <c r="H531" s="194" t="n"/>
      <c r="I531" s="180" t="n"/>
      <c r="J531" s="194" t="n"/>
      <c r="K531" s="182" t="n"/>
      <c r="L531" s="182" t="n"/>
      <c r="M531" s="278" t="n"/>
      <c r="N531" s="181" t="n"/>
      <c r="O531" s="181" t="n"/>
      <c r="P531" s="194" t="n"/>
      <c r="Q531" s="180" t="n"/>
      <c r="R531" s="180" t="n"/>
      <c r="S531" s="182" t="n"/>
      <c r="T531" s="57" t="n"/>
      <c r="U531" s="529" t="n"/>
      <c r="V531" s="55" t="n"/>
    </row>
    <row r="532" ht="21.5" customHeight="1" s="344">
      <c r="A532" s="180" t="n"/>
      <c r="B532" s="182" t="n"/>
      <c r="C532" s="278" t="n"/>
      <c r="D532" s="181" t="n"/>
      <c r="E532" s="182" t="n"/>
      <c r="F532" s="278" t="n"/>
      <c r="G532" s="182" t="n"/>
      <c r="H532" s="194" t="n"/>
      <c r="I532" s="180" t="n"/>
      <c r="J532" s="194" t="n"/>
      <c r="K532" s="182" t="n"/>
      <c r="L532" s="182" t="n"/>
      <c r="M532" s="278" t="n"/>
      <c r="N532" s="181" t="n"/>
      <c r="O532" s="181" t="n"/>
      <c r="P532" s="194" t="n"/>
      <c r="Q532" s="180" t="n"/>
      <c r="R532" s="180" t="n"/>
      <c r="S532" s="182" t="n"/>
      <c r="T532" s="57" t="n"/>
      <c r="U532" s="529" t="n"/>
      <c r="V532" s="55" t="n"/>
    </row>
    <row r="533" ht="21.5" customHeight="1" s="344">
      <c r="A533" s="180" t="n"/>
      <c r="B533" s="182" t="n"/>
      <c r="C533" s="278" t="n"/>
      <c r="D533" s="181" t="n"/>
      <c r="E533" s="182" t="n"/>
      <c r="F533" s="278" t="n"/>
      <c r="G533" s="182" t="n"/>
      <c r="H533" s="194" t="n"/>
      <c r="I533" s="180" t="n"/>
      <c r="J533" s="194" t="n"/>
      <c r="K533" s="182" t="n"/>
      <c r="L533" s="182" t="n"/>
      <c r="M533" s="278" t="n"/>
      <c r="N533" s="181" t="n"/>
      <c r="O533" s="181" t="n"/>
      <c r="P533" s="194" t="n"/>
      <c r="Q533" s="180" t="n"/>
      <c r="R533" s="180" t="n"/>
      <c r="S533" s="182" t="n"/>
      <c r="T533" s="57" t="n"/>
      <c r="U533" s="529" t="n"/>
      <c r="V533" s="55" t="n"/>
    </row>
    <row r="534" ht="21.5" customHeight="1" s="344">
      <c r="A534" s="180" t="n"/>
      <c r="B534" s="182" t="n"/>
      <c r="C534" s="278" t="n"/>
      <c r="D534" s="181" t="n"/>
      <c r="E534" s="182" t="n"/>
      <c r="F534" s="278" t="n"/>
      <c r="G534" s="182" t="n"/>
      <c r="H534" s="194" t="n"/>
      <c r="I534" s="180" t="n"/>
      <c r="J534" s="194" t="n"/>
      <c r="K534" s="182" t="n"/>
      <c r="L534" s="182" t="n"/>
      <c r="M534" s="278" t="n"/>
      <c r="N534" s="181" t="n"/>
      <c r="O534" s="181" t="n"/>
      <c r="P534" s="194" t="n"/>
      <c r="Q534" s="180" t="n"/>
      <c r="R534" s="180" t="n"/>
      <c r="S534" s="182" t="n"/>
      <c r="T534" s="57" t="n"/>
      <c r="U534" s="529" t="n"/>
      <c r="V534" s="55" t="n"/>
    </row>
    <row r="535" ht="21.5" customHeight="1" s="344">
      <c r="A535" s="180" t="n"/>
      <c r="B535" s="182" t="n"/>
      <c r="C535" s="278" t="n"/>
      <c r="D535" s="181" t="n"/>
      <c r="E535" s="182" t="n"/>
      <c r="F535" s="278" t="n"/>
      <c r="G535" s="182" t="n"/>
      <c r="H535" s="194" t="n"/>
      <c r="I535" s="180" t="n"/>
      <c r="J535" s="194" t="n"/>
      <c r="K535" s="182" t="n"/>
      <c r="L535" s="182" t="n"/>
      <c r="M535" s="278" t="n"/>
      <c r="N535" s="181" t="n"/>
      <c r="O535" s="181" t="n"/>
      <c r="P535" s="194" t="n"/>
      <c r="Q535" s="180" t="n"/>
      <c r="R535" s="180" t="n"/>
      <c r="S535" s="182" t="n"/>
      <c r="T535" s="57" t="n"/>
      <c r="U535" s="529" t="n"/>
      <c r="V535" s="55" t="n"/>
    </row>
    <row r="536" ht="21.5" customHeight="1" s="344">
      <c r="A536" s="180" t="n"/>
      <c r="B536" s="182" t="n"/>
      <c r="C536" s="278" t="n"/>
      <c r="D536" s="181" t="n"/>
      <c r="E536" s="182" t="n"/>
      <c r="F536" s="278" t="n"/>
      <c r="G536" s="182" t="n"/>
      <c r="H536" s="194" t="n"/>
      <c r="I536" s="180" t="n"/>
      <c r="J536" s="194" t="n"/>
      <c r="K536" s="182" t="n"/>
      <c r="L536" s="182" t="n"/>
      <c r="M536" s="278" t="n"/>
      <c r="N536" s="181" t="n"/>
      <c r="O536" s="181" t="n"/>
      <c r="P536" s="194" t="n"/>
      <c r="Q536" s="180" t="n"/>
      <c r="R536" s="180" t="n"/>
      <c r="S536" s="182" t="n"/>
      <c r="T536" s="57" t="n"/>
      <c r="U536" s="529" t="n"/>
      <c r="V536" s="55" t="n"/>
    </row>
    <row r="537" ht="21.5" customHeight="1" s="344">
      <c r="A537" s="180" t="n"/>
      <c r="B537" s="182" t="n"/>
      <c r="C537" s="278" t="n"/>
      <c r="D537" s="181" t="n"/>
      <c r="E537" s="182" t="n"/>
      <c r="F537" s="278" t="n"/>
      <c r="G537" s="182" t="n"/>
      <c r="H537" s="194" t="n"/>
      <c r="I537" s="180" t="n"/>
      <c r="J537" s="194" t="n"/>
      <c r="K537" s="182" t="n"/>
      <c r="L537" s="182" t="n"/>
      <c r="M537" s="278" t="n"/>
      <c r="N537" s="181" t="n"/>
      <c r="O537" s="181" t="n"/>
      <c r="P537" s="194" t="n"/>
      <c r="Q537" s="180" t="n"/>
      <c r="R537" s="180" t="n"/>
      <c r="S537" s="182" t="n"/>
      <c r="T537" s="57" t="n"/>
      <c r="U537" s="529" t="n"/>
      <c r="V537" s="55" t="n"/>
    </row>
    <row r="538" ht="21.5" customHeight="1" s="344">
      <c r="A538" s="180" t="n"/>
      <c r="B538" s="182" t="n"/>
      <c r="C538" s="278" t="n"/>
      <c r="D538" s="181" t="n"/>
      <c r="E538" s="182" t="n"/>
      <c r="F538" s="278" t="n"/>
      <c r="G538" s="182" t="n"/>
      <c r="H538" s="194" t="n"/>
      <c r="I538" s="180" t="n"/>
      <c r="J538" s="194" t="n"/>
      <c r="K538" s="182" t="n"/>
      <c r="L538" s="182" t="n"/>
      <c r="M538" s="278" t="n"/>
      <c r="N538" s="181" t="n"/>
      <c r="O538" s="181" t="n"/>
      <c r="P538" s="194" t="n"/>
      <c r="Q538" s="180" t="n"/>
      <c r="R538" s="180" t="n"/>
      <c r="S538" s="182" t="n"/>
      <c r="T538" s="57" t="n"/>
      <c r="U538" s="529" t="n"/>
      <c r="V538" s="55" t="n"/>
    </row>
    <row r="539" ht="21.5" customHeight="1" s="344">
      <c r="A539" s="180" t="n"/>
      <c r="B539" s="182" t="n"/>
      <c r="C539" s="278" t="n"/>
      <c r="D539" s="181" t="n"/>
      <c r="E539" s="182" t="n"/>
      <c r="F539" s="278" t="n"/>
      <c r="G539" s="182" t="n"/>
      <c r="H539" s="194" t="n"/>
      <c r="I539" s="180" t="n"/>
      <c r="J539" s="194" t="n"/>
      <c r="K539" s="182" t="n"/>
      <c r="L539" s="182" t="n"/>
      <c r="M539" s="278" t="n"/>
      <c r="N539" s="181" t="n"/>
      <c r="O539" s="181" t="n"/>
      <c r="P539" s="194" t="n"/>
      <c r="Q539" s="180" t="n"/>
      <c r="R539" s="180" t="n"/>
      <c r="S539" s="182" t="n"/>
      <c r="T539" s="57" t="n"/>
      <c r="U539" s="529" t="n"/>
      <c r="V539" s="55" t="n"/>
    </row>
    <row r="540" ht="21.5" customHeight="1" s="344">
      <c r="A540" s="180" t="n"/>
      <c r="B540" s="182" t="n"/>
      <c r="C540" s="278" t="n"/>
      <c r="D540" s="181" t="n"/>
      <c r="E540" s="182" t="n"/>
      <c r="F540" s="278" t="n"/>
      <c r="G540" s="182" t="n"/>
      <c r="H540" s="194" t="n"/>
      <c r="I540" s="180" t="n"/>
      <c r="J540" s="194" t="n"/>
      <c r="K540" s="182" t="n"/>
      <c r="L540" s="182" t="n"/>
      <c r="M540" s="278" t="n"/>
      <c r="N540" s="181" t="n"/>
      <c r="O540" s="181" t="n"/>
      <c r="P540" s="194" t="n"/>
      <c r="Q540" s="180" t="n"/>
      <c r="R540" s="180" t="n"/>
      <c r="S540" s="182" t="n"/>
      <c r="T540" s="57" t="n"/>
      <c r="U540" s="529" t="n"/>
      <c r="V540" s="55" t="n"/>
    </row>
    <row r="541" ht="21.5" customHeight="1" s="344">
      <c r="A541" s="180" t="n"/>
      <c r="B541" s="182" t="n"/>
      <c r="C541" s="278" t="n"/>
      <c r="D541" s="181" t="n"/>
      <c r="E541" s="182" t="n"/>
      <c r="F541" s="278" t="n"/>
      <c r="G541" s="182" t="n"/>
      <c r="H541" s="194" t="n"/>
      <c r="I541" s="180" t="n"/>
      <c r="J541" s="194" t="n"/>
      <c r="K541" s="182" t="n"/>
      <c r="L541" s="182" t="n"/>
      <c r="M541" s="278" t="n"/>
      <c r="N541" s="181" t="n"/>
      <c r="O541" s="181" t="n"/>
      <c r="P541" s="194" t="n"/>
      <c r="Q541" s="180" t="n"/>
      <c r="R541" s="180" t="n"/>
      <c r="S541" s="182" t="n"/>
      <c r="T541" s="57" t="n"/>
      <c r="U541" s="529" t="n"/>
      <c r="V541" s="55" t="n"/>
    </row>
    <row r="542" ht="14.4" customHeight="1" s="344">
      <c r="A542" s="180" t="n"/>
      <c r="B542" s="182" t="n"/>
      <c r="C542" s="278" t="n"/>
      <c r="D542" s="181" t="n"/>
      <c r="E542" s="182" t="n"/>
      <c r="F542" s="278" t="n"/>
      <c r="G542" s="182" t="n"/>
      <c r="H542" s="194" t="n"/>
      <c r="I542" s="180" t="n"/>
      <c r="J542" s="194" t="n"/>
      <c r="K542" s="182" t="n"/>
      <c r="L542" s="182" t="n"/>
      <c r="M542" s="278" t="n"/>
      <c r="N542" s="181" t="n"/>
      <c r="O542" s="181" t="n"/>
      <c r="P542" s="194" t="n"/>
      <c r="Q542" s="180" t="n"/>
      <c r="R542" s="180" t="n"/>
      <c r="S542" s="182" t="n"/>
      <c r="T542" s="57" t="n"/>
      <c r="U542" s="529" t="n"/>
      <c r="V542" s="55" t="n"/>
    </row>
    <row r="543" ht="14.4" customHeight="1" s="344">
      <c r="A543" s="180" t="n"/>
      <c r="B543" s="182" t="n"/>
      <c r="C543" s="278" t="n"/>
      <c r="D543" s="181" t="n"/>
      <c r="E543" s="182" t="n"/>
      <c r="F543" s="278" t="n"/>
      <c r="G543" s="182" t="n"/>
      <c r="H543" s="194" t="n"/>
      <c r="I543" s="180" t="n"/>
      <c r="J543" s="194" t="n"/>
      <c r="K543" s="182" t="n"/>
      <c r="L543" s="182" t="n"/>
      <c r="M543" s="278" t="n"/>
      <c r="N543" s="181" t="n"/>
      <c r="O543" s="181" t="n"/>
      <c r="P543" s="194" t="n"/>
      <c r="Q543" s="180" t="n"/>
      <c r="R543" s="180" t="n"/>
      <c r="S543" s="182" t="n"/>
      <c r="T543" s="57" t="n"/>
      <c r="U543" s="529" t="n"/>
      <c r="V543" s="55" t="n"/>
    </row>
    <row r="544" ht="21.5" customHeight="1" s="344">
      <c r="A544" s="180" t="n"/>
      <c r="B544" s="182" t="n"/>
      <c r="C544" s="278" t="n"/>
      <c r="D544" s="181" t="n"/>
      <c r="E544" s="182" t="n"/>
      <c r="F544" s="278" t="n"/>
      <c r="G544" s="182" t="n"/>
      <c r="H544" s="194" t="n"/>
      <c r="I544" s="180" t="n"/>
      <c r="J544" s="194" t="n"/>
      <c r="K544" s="182" t="n"/>
      <c r="L544" s="182" t="n"/>
      <c r="M544" s="278" t="n"/>
      <c r="N544" s="181" t="n"/>
      <c r="O544" s="181" t="n"/>
      <c r="P544" s="194" t="n"/>
      <c r="Q544" s="180" t="n"/>
      <c r="R544" s="180" t="n"/>
      <c r="S544" s="182" t="n"/>
      <c r="T544" s="57" t="n"/>
      <c r="U544" s="529" t="n"/>
      <c r="V544" s="55" t="n"/>
    </row>
    <row r="545" ht="14.4" customHeight="1" s="344">
      <c r="A545" s="180" t="n"/>
      <c r="B545" s="182" t="n"/>
      <c r="C545" s="278" t="n"/>
      <c r="D545" s="181" t="n"/>
      <c r="E545" s="182" t="n"/>
      <c r="F545" s="278" t="n"/>
      <c r="G545" s="182" t="n"/>
      <c r="H545" s="194" t="n"/>
      <c r="I545" s="180" t="n"/>
      <c r="J545" s="194" t="n"/>
      <c r="K545" s="182" t="n"/>
      <c r="L545" s="182" t="n"/>
      <c r="M545" s="278" t="n"/>
      <c r="N545" s="181" t="n"/>
      <c r="O545" s="181" t="n"/>
      <c r="P545" s="194" t="n"/>
      <c r="Q545" s="180" t="n"/>
      <c r="R545" s="180" t="n"/>
      <c r="S545" s="182" t="n"/>
      <c r="T545" s="57" t="n"/>
      <c r="U545" s="529" t="n"/>
      <c r="V545" s="55" t="n"/>
    </row>
    <row r="546" ht="14.4" customHeight="1" s="344">
      <c r="A546" s="180" t="n"/>
      <c r="B546" s="182" t="n"/>
      <c r="C546" s="278" t="n"/>
      <c r="D546" s="181" t="n"/>
      <c r="E546" s="182" t="n"/>
      <c r="F546" s="278" t="n"/>
      <c r="G546" s="182" t="n"/>
      <c r="H546" s="194" t="n"/>
      <c r="I546" s="180" t="n"/>
      <c r="J546" s="194" t="n"/>
      <c r="K546" s="182" t="n"/>
      <c r="L546" s="182" t="n"/>
      <c r="M546" s="278" t="n"/>
      <c r="N546" s="181" t="n"/>
      <c r="O546" s="181" t="n"/>
      <c r="P546" s="194" t="n"/>
      <c r="Q546" s="180" t="n"/>
      <c r="R546" s="180" t="n"/>
      <c r="S546" s="182" t="n"/>
      <c r="T546" s="57" t="n"/>
      <c r="U546" s="529" t="n"/>
      <c r="V546" s="55" t="n"/>
    </row>
    <row r="547" ht="21.5" customHeight="1" s="344">
      <c r="A547" s="180" t="n"/>
      <c r="B547" s="182" t="n"/>
      <c r="C547" s="278" t="n"/>
      <c r="D547" s="181" t="n"/>
      <c r="E547" s="182" t="n"/>
      <c r="F547" s="278" t="n"/>
      <c r="G547" s="182" t="n"/>
      <c r="H547" s="194" t="n"/>
      <c r="I547" s="180" t="n"/>
      <c r="J547" s="194" t="n"/>
      <c r="K547" s="182" t="n"/>
      <c r="L547" s="182" t="n"/>
      <c r="M547" s="278" t="n"/>
      <c r="N547" s="181" t="n"/>
      <c r="O547" s="181" t="n"/>
      <c r="P547" s="194" t="n"/>
      <c r="Q547" s="180" t="n"/>
      <c r="R547" s="180" t="n"/>
      <c r="S547" s="182" t="n"/>
      <c r="T547" s="57" t="n"/>
      <c r="U547" s="529" t="n"/>
      <c r="V547" s="55" t="n"/>
    </row>
    <row r="548" ht="14.4" customHeight="1" s="344">
      <c r="A548" s="180" t="n"/>
      <c r="B548" s="182" t="n"/>
      <c r="C548" s="278" t="n"/>
      <c r="D548" s="181" t="n"/>
      <c r="E548" s="182" t="n"/>
      <c r="F548" s="278" t="n"/>
      <c r="G548" s="182" t="n"/>
      <c r="H548" s="194" t="n"/>
      <c r="I548" s="180" t="n"/>
      <c r="J548" s="194" t="n"/>
      <c r="K548" s="182" t="n"/>
      <c r="L548" s="182" t="n"/>
      <c r="M548" s="278" t="n"/>
      <c r="N548" s="181" t="n"/>
      <c r="O548" s="181" t="n"/>
      <c r="P548" s="194" t="n"/>
      <c r="Q548" s="180" t="n"/>
      <c r="R548" s="180" t="n"/>
      <c r="S548" s="182" t="n"/>
      <c r="T548" s="57" t="n"/>
      <c r="U548" s="529" t="n"/>
      <c r="V548" s="55" t="n"/>
    </row>
    <row r="549" ht="14.4" customHeight="1" s="344">
      <c r="A549" s="180" t="n"/>
      <c r="B549" s="182" t="n"/>
      <c r="C549" s="278" t="n"/>
      <c r="D549" s="181" t="n"/>
      <c r="E549" s="182" t="n"/>
      <c r="F549" s="278" t="n"/>
      <c r="G549" s="182" t="n"/>
      <c r="H549" s="194" t="n"/>
      <c r="I549" s="180" t="n"/>
      <c r="J549" s="194" t="n"/>
      <c r="K549" s="182" t="n"/>
      <c r="L549" s="182" t="n"/>
      <c r="M549" s="278" t="n"/>
      <c r="N549" s="181" t="n"/>
      <c r="O549" s="181" t="n"/>
      <c r="P549" s="194" t="n"/>
      <c r="Q549" s="180" t="n"/>
      <c r="R549" s="180" t="n"/>
      <c r="S549" s="182" t="n"/>
      <c r="T549" s="57" t="n"/>
      <c r="U549" s="529" t="n"/>
      <c r="V549" s="55" t="n"/>
    </row>
    <row r="550" ht="21.5" customHeight="1" s="344">
      <c r="A550" s="180" t="n"/>
      <c r="B550" s="182" t="n"/>
      <c r="C550" s="278" t="n"/>
      <c r="D550" s="181" t="n"/>
      <c r="E550" s="182" t="n"/>
      <c r="F550" s="278" t="n"/>
      <c r="G550" s="182" t="n"/>
      <c r="H550" s="194" t="n"/>
      <c r="I550" s="180" t="n"/>
      <c r="J550" s="194" t="n"/>
      <c r="K550" s="182" t="n"/>
      <c r="L550" s="182" t="n"/>
      <c r="M550" s="278" t="n"/>
      <c r="N550" s="181" t="n"/>
      <c r="O550" s="181" t="n"/>
      <c r="P550" s="194" t="n"/>
      <c r="Q550" s="180" t="n"/>
      <c r="R550" s="180" t="n"/>
      <c r="S550" s="182" t="n"/>
      <c r="T550" s="57" t="n"/>
      <c r="U550" s="529" t="n"/>
      <c r="V550" s="55" t="n"/>
    </row>
    <row r="551" ht="14.4" customHeight="1" s="344">
      <c r="A551" s="180" t="n"/>
      <c r="B551" s="182" t="n"/>
      <c r="C551" s="278" t="n"/>
      <c r="D551" s="181" t="n"/>
      <c r="E551" s="182" t="n"/>
      <c r="F551" s="278" t="n"/>
      <c r="G551" s="182" t="n"/>
      <c r="H551" s="194" t="n"/>
      <c r="I551" s="180" t="n"/>
      <c r="J551" s="194" t="n"/>
      <c r="K551" s="182" t="n"/>
      <c r="L551" s="182" t="n"/>
      <c r="M551" s="278" t="n"/>
      <c r="N551" s="181" t="n"/>
      <c r="O551" s="181" t="n"/>
      <c r="P551" s="194" t="n"/>
      <c r="Q551" s="180" t="n"/>
      <c r="R551" s="180" t="n"/>
      <c r="S551" s="182" t="n"/>
      <c r="T551" s="57" t="n"/>
      <c r="U551" s="529" t="n"/>
      <c r="V551" s="55" t="n"/>
    </row>
    <row r="552" ht="14.4" customHeight="1" s="344">
      <c r="A552" s="180" t="n"/>
      <c r="B552" s="182" t="n"/>
      <c r="C552" s="278" t="n"/>
      <c r="D552" s="181" t="n"/>
      <c r="E552" s="182" t="n"/>
      <c r="F552" s="278" t="n"/>
      <c r="G552" s="182" t="n"/>
      <c r="H552" s="194" t="n"/>
      <c r="I552" s="180" t="n"/>
      <c r="J552" s="194" t="n"/>
      <c r="K552" s="182" t="n"/>
      <c r="L552" s="182" t="n"/>
      <c r="M552" s="278" t="n"/>
      <c r="N552" s="181" t="n"/>
      <c r="O552" s="181" t="n"/>
      <c r="P552" s="194" t="n"/>
      <c r="Q552" s="180" t="n"/>
      <c r="R552" s="180" t="n"/>
      <c r="S552" s="182" t="n"/>
      <c r="T552" s="57" t="n"/>
      <c r="U552" s="529" t="n"/>
      <c r="V552" s="55" t="n"/>
    </row>
    <row r="553" ht="21.5" customHeight="1" s="344">
      <c r="A553" s="180" t="n"/>
      <c r="B553" s="182" t="n"/>
      <c r="C553" s="278" t="n"/>
      <c r="D553" s="181" t="n"/>
      <c r="E553" s="182" t="n"/>
      <c r="F553" s="278" t="n"/>
      <c r="G553" s="182" t="n"/>
      <c r="H553" s="194" t="n"/>
      <c r="I553" s="180" t="n"/>
      <c r="J553" s="194" t="n"/>
      <c r="K553" s="182" t="n"/>
      <c r="L553" s="182" t="n"/>
      <c r="M553" s="278" t="n"/>
      <c r="N553" s="181" t="n"/>
      <c r="O553" s="181" t="n"/>
      <c r="P553" s="194" t="n"/>
      <c r="Q553" s="180" t="n"/>
      <c r="R553" s="180" t="n"/>
      <c r="S553" s="182" t="n"/>
      <c r="T553" s="57" t="n"/>
      <c r="U553" s="529" t="n"/>
      <c r="V553" s="55" t="n"/>
    </row>
    <row r="554" ht="14.4" customHeight="1" s="344">
      <c r="A554" s="180" t="n"/>
      <c r="B554" s="182" t="n"/>
      <c r="C554" s="278" t="n"/>
      <c r="D554" s="181" t="n"/>
      <c r="E554" s="182" t="n"/>
      <c r="F554" s="278" t="n"/>
      <c r="G554" s="182" t="n"/>
      <c r="H554" s="194" t="n"/>
      <c r="I554" s="180" t="n"/>
      <c r="J554" s="194" t="n"/>
      <c r="K554" s="182" t="n"/>
      <c r="L554" s="182" t="n"/>
      <c r="M554" s="278" t="n"/>
      <c r="N554" s="181" t="n"/>
      <c r="O554" s="181" t="n"/>
      <c r="P554" s="194" t="n"/>
      <c r="Q554" s="180" t="n"/>
      <c r="R554" s="180" t="n"/>
      <c r="S554" s="182" t="n"/>
      <c r="T554" s="57" t="n"/>
      <c r="U554" s="529" t="n"/>
      <c r="V554" s="55" t="n"/>
    </row>
    <row r="555" ht="14.4" customHeight="1" s="344">
      <c r="A555" s="180" t="n"/>
      <c r="B555" s="182" t="n"/>
      <c r="C555" s="278" t="n"/>
      <c r="D555" s="181" t="n"/>
      <c r="E555" s="182" t="n"/>
      <c r="F555" s="278" t="n"/>
      <c r="G555" s="182" t="n"/>
      <c r="H555" s="194" t="n"/>
      <c r="I555" s="180" t="n"/>
      <c r="J555" s="194" t="n"/>
      <c r="K555" s="182" t="n"/>
      <c r="L555" s="182" t="n"/>
      <c r="M555" s="278" t="n"/>
      <c r="N555" s="181" t="n"/>
      <c r="O555" s="181" t="n"/>
      <c r="P555" s="194" t="n"/>
      <c r="Q555" s="180" t="n"/>
      <c r="R555" s="180" t="n"/>
      <c r="S555" s="182" t="n"/>
      <c r="T555" s="57" t="n"/>
      <c r="U555" s="529" t="n"/>
      <c r="V555" s="55" t="n"/>
    </row>
    <row r="556" ht="21.5" customHeight="1" s="344">
      <c r="A556" s="180" t="n"/>
      <c r="B556" s="182" t="n"/>
      <c r="C556" s="278" t="n"/>
      <c r="D556" s="181" t="n"/>
      <c r="E556" s="182" t="n"/>
      <c r="F556" s="278" t="n"/>
      <c r="G556" s="182" t="n"/>
      <c r="H556" s="194" t="n"/>
      <c r="I556" s="180" t="n"/>
      <c r="J556" s="194" t="n"/>
      <c r="K556" s="182" t="n"/>
      <c r="L556" s="182" t="n"/>
      <c r="M556" s="278" t="n"/>
      <c r="N556" s="181" t="n"/>
      <c r="O556" s="181" t="n"/>
      <c r="P556" s="194" t="n"/>
      <c r="Q556" s="180" t="n"/>
      <c r="R556" s="180" t="n"/>
      <c r="S556" s="182" t="n"/>
      <c r="T556" s="57" t="n"/>
      <c r="U556" s="529" t="n"/>
      <c r="V556" s="55" t="n"/>
    </row>
    <row r="557" ht="21.5" customHeight="1" s="344">
      <c r="A557" s="180" t="n"/>
      <c r="B557" s="182" t="n"/>
      <c r="C557" s="278" t="n"/>
      <c r="D557" s="181" t="n"/>
      <c r="E557" s="182" t="n"/>
      <c r="F557" s="278" t="n"/>
      <c r="G557" s="182" t="n"/>
      <c r="H557" s="194" t="n"/>
      <c r="I557" s="180" t="n"/>
      <c r="J557" s="194" t="n"/>
      <c r="K557" s="182" t="n"/>
      <c r="L557" s="182" t="n"/>
      <c r="M557" s="278" t="n"/>
      <c r="N557" s="181" t="n"/>
      <c r="O557" s="181" t="n"/>
      <c r="P557" s="194" t="n"/>
      <c r="Q557" s="180" t="n"/>
      <c r="R557" s="180" t="n"/>
      <c r="S557" s="182" t="n"/>
      <c r="T557" s="57" t="n"/>
      <c r="U557" s="529" t="n"/>
      <c r="V557" s="55" t="n"/>
    </row>
    <row r="558" ht="21.5" customHeight="1" s="344">
      <c r="A558" s="180" t="n"/>
      <c r="B558" s="182" t="n"/>
      <c r="C558" s="278" t="n"/>
      <c r="D558" s="181" t="n"/>
      <c r="E558" s="182" t="n"/>
      <c r="F558" s="278" t="n"/>
      <c r="G558" s="182" t="n"/>
      <c r="H558" s="194" t="n"/>
      <c r="I558" s="180" t="n"/>
      <c r="J558" s="194" t="n"/>
      <c r="K558" s="182" t="n"/>
      <c r="L558" s="182" t="n"/>
      <c r="M558" s="278" t="n"/>
      <c r="N558" s="181" t="n"/>
      <c r="O558" s="181" t="n"/>
      <c r="P558" s="194" t="n"/>
      <c r="Q558" s="180" t="n"/>
      <c r="R558" s="180" t="n"/>
      <c r="S558" s="182" t="n"/>
      <c r="T558" s="57" t="n"/>
      <c r="U558" s="529" t="n"/>
      <c r="V558" s="55" t="n"/>
    </row>
    <row r="559" ht="21.5" customHeight="1" s="344">
      <c r="A559" s="180" t="n"/>
      <c r="B559" s="182" t="n"/>
      <c r="C559" s="278" t="n"/>
      <c r="D559" s="181" t="n"/>
      <c r="E559" s="182" t="n"/>
      <c r="F559" s="278" t="n"/>
      <c r="G559" s="182" t="n"/>
      <c r="H559" s="194" t="n"/>
      <c r="I559" s="180" t="n"/>
      <c r="J559" s="194" t="n"/>
      <c r="K559" s="182" t="n"/>
      <c r="L559" s="182" t="n"/>
      <c r="M559" s="278" t="n"/>
      <c r="N559" s="181" t="n"/>
      <c r="O559" s="181" t="n"/>
      <c r="P559" s="194" t="n"/>
      <c r="Q559" s="180" t="n"/>
      <c r="R559" s="180" t="n"/>
      <c r="S559" s="182" t="n"/>
      <c r="T559" s="57" t="n"/>
      <c r="U559" s="529" t="n"/>
      <c r="V559" s="55" t="n"/>
    </row>
    <row r="560" ht="21.5" customHeight="1" s="344">
      <c r="A560" s="180" t="n"/>
      <c r="B560" s="182" t="n"/>
      <c r="C560" s="278" t="n"/>
      <c r="D560" s="181" t="n"/>
      <c r="E560" s="182" t="n"/>
      <c r="F560" s="278" t="n"/>
      <c r="G560" s="182" t="n"/>
      <c r="H560" s="194" t="n"/>
      <c r="I560" s="180" t="n"/>
      <c r="J560" s="194" t="n"/>
      <c r="K560" s="182" t="n"/>
      <c r="L560" s="182" t="n"/>
      <c r="M560" s="278" t="n"/>
      <c r="N560" s="181" t="n"/>
      <c r="O560" s="181" t="n"/>
      <c r="P560" s="194" t="n"/>
      <c r="Q560" s="180" t="n"/>
      <c r="R560" s="180" t="n"/>
      <c r="S560" s="182" t="n"/>
      <c r="T560" s="57" t="n"/>
      <c r="U560" s="529" t="n"/>
      <c r="V560" s="55" t="n"/>
    </row>
    <row r="561" ht="21.5" customHeight="1" s="344">
      <c r="A561" s="180" t="n"/>
      <c r="B561" s="182" t="n"/>
      <c r="C561" s="278" t="n"/>
      <c r="D561" s="181" t="n"/>
      <c r="E561" s="182" t="n"/>
      <c r="F561" s="278" t="n"/>
      <c r="G561" s="182" t="n"/>
      <c r="H561" s="194" t="n"/>
      <c r="I561" s="180" t="n"/>
      <c r="J561" s="194" t="n"/>
      <c r="K561" s="182" t="n"/>
      <c r="L561" s="182" t="n"/>
      <c r="M561" s="278" t="n"/>
      <c r="N561" s="181" t="n"/>
      <c r="O561" s="181" t="n"/>
      <c r="P561" s="194" t="n"/>
      <c r="Q561" s="180" t="n"/>
      <c r="R561" s="180" t="n"/>
      <c r="S561" s="182" t="n"/>
      <c r="T561" s="57" t="n"/>
      <c r="U561" s="529" t="n"/>
      <c r="V561" s="55" t="n"/>
    </row>
    <row r="562" ht="15.65" customHeight="1" s="344">
      <c r="A562" s="180" t="n"/>
      <c r="B562" s="182" t="n"/>
      <c r="C562" s="278" t="n"/>
      <c r="D562" s="181" t="n"/>
      <c r="E562" s="182" t="n"/>
      <c r="F562" s="278" t="n"/>
      <c r="G562" s="182" t="n"/>
      <c r="H562" s="194" t="n"/>
      <c r="I562" s="180" t="n"/>
      <c r="J562" s="194" t="n"/>
      <c r="K562" s="182" t="n"/>
      <c r="L562" s="182" t="n"/>
      <c r="M562" s="278" t="n"/>
      <c r="N562" s="181" t="n"/>
      <c r="O562" s="181" t="n"/>
      <c r="P562" s="194" t="n"/>
      <c r="Q562" s="180" t="n"/>
      <c r="R562" s="180" t="n"/>
      <c r="S562" s="182" t="n"/>
      <c r="T562" s="57" t="n"/>
      <c r="U562" s="529" t="n"/>
      <c r="V562" s="55" t="n"/>
    </row>
    <row r="563" ht="15.65" customHeight="1" s="344">
      <c r="A563" s="180" t="n"/>
      <c r="B563" s="182" t="n"/>
      <c r="C563" s="278" t="n"/>
      <c r="D563" s="181" t="n"/>
      <c r="E563" s="182" t="n"/>
      <c r="F563" s="278" t="n"/>
      <c r="G563" s="182" t="n"/>
      <c r="H563" s="194" t="n"/>
      <c r="I563" s="180" t="n"/>
      <c r="J563" s="194" t="n"/>
      <c r="K563" s="182" t="n"/>
      <c r="L563" s="182" t="n"/>
      <c r="M563" s="278" t="n"/>
      <c r="N563" s="181" t="n"/>
      <c r="O563" s="181" t="n"/>
      <c r="P563" s="194" t="n"/>
      <c r="Q563" s="180" t="n"/>
      <c r="R563" s="180" t="n"/>
      <c r="S563" s="182" t="n"/>
      <c r="T563" s="57" t="n"/>
      <c r="U563" s="529" t="n"/>
      <c r="V563" s="55" t="n"/>
    </row>
    <row r="564" ht="15.65" customHeight="1" s="344">
      <c r="A564" s="180" t="n"/>
      <c r="B564" s="182" t="n"/>
      <c r="C564" s="278" t="n"/>
      <c r="D564" s="181" t="n"/>
      <c r="E564" s="182" t="n"/>
      <c r="F564" s="278" t="n"/>
      <c r="G564" s="182" t="n"/>
      <c r="H564" s="194" t="n"/>
      <c r="I564" s="180" t="n"/>
      <c r="J564" s="194" t="n"/>
      <c r="K564" s="182" t="n"/>
      <c r="L564" s="182" t="n"/>
      <c r="M564" s="278" t="n"/>
      <c r="N564" s="181" t="n"/>
      <c r="O564" s="181" t="n"/>
      <c r="P564" s="194" t="n"/>
      <c r="Q564" s="180" t="n"/>
      <c r="R564" s="180" t="n"/>
      <c r="S564" s="182" t="n"/>
      <c r="T564" s="57" t="n"/>
      <c r="U564" s="529" t="n"/>
      <c r="V564" s="55" t="n"/>
    </row>
    <row r="565" ht="15.65" customHeight="1" s="344">
      <c r="A565" s="180" t="n"/>
      <c r="B565" s="182" t="n"/>
      <c r="C565" s="278" t="n"/>
      <c r="D565" s="181" t="n"/>
      <c r="E565" s="182" t="n"/>
      <c r="F565" s="278" t="n"/>
      <c r="G565" s="182" t="n"/>
      <c r="H565" s="194" t="n"/>
      <c r="I565" s="180" t="n"/>
      <c r="J565" s="194" t="n"/>
      <c r="K565" s="182" t="n"/>
      <c r="L565" s="182" t="n"/>
      <c r="M565" s="278" t="n"/>
      <c r="N565" s="181" t="n"/>
      <c r="O565" s="181" t="n"/>
      <c r="P565" s="194" t="n"/>
      <c r="Q565" s="180" t="n"/>
      <c r="R565" s="180" t="n"/>
      <c r="S565" s="182" t="n"/>
      <c r="T565" s="57" t="n"/>
      <c r="U565" s="529" t="n"/>
      <c r="V565" s="55" t="n"/>
    </row>
    <row r="566" ht="15.65" customHeight="1" s="344">
      <c r="A566" s="180" t="n"/>
      <c r="B566" s="182" t="n"/>
      <c r="C566" s="278" t="n"/>
      <c r="D566" s="181" t="n"/>
      <c r="E566" s="182" t="n"/>
      <c r="F566" s="278" t="n"/>
      <c r="G566" s="182" t="n"/>
      <c r="H566" s="194" t="n"/>
      <c r="I566" s="180" t="n"/>
      <c r="J566" s="194" t="n"/>
      <c r="K566" s="182" t="n"/>
      <c r="L566" s="182" t="n"/>
      <c r="M566" s="278" t="n"/>
      <c r="N566" s="181" t="n"/>
      <c r="O566" s="181" t="n"/>
      <c r="P566" s="194" t="n"/>
      <c r="Q566" s="180" t="n"/>
      <c r="R566" s="180" t="n"/>
      <c r="S566" s="182" t="n"/>
      <c r="T566" s="57" t="n"/>
      <c r="U566" s="529" t="n"/>
      <c r="V566" s="55" t="n"/>
    </row>
    <row r="567" ht="21.5" customHeight="1" s="344">
      <c r="A567" s="180" t="n"/>
      <c r="B567" s="182" t="n"/>
      <c r="C567" s="278" t="n"/>
      <c r="D567" s="181" t="n"/>
      <c r="E567" s="182" t="n"/>
      <c r="F567" s="278" t="n"/>
      <c r="G567" s="182" t="n"/>
      <c r="H567" s="194" t="n"/>
      <c r="I567" s="180" t="n"/>
      <c r="J567" s="194" t="n"/>
      <c r="K567" s="182" t="n"/>
      <c r="L567" s="182" t="n"/>
      <c r="M567" s="278" t="n"/>
      <c r="N567" s="181" t="n"/>
      <c r="O567" s="181" t="n"/>
      <c r="P567" s="194" t="n"/>
      <c r="Q567" s="180" t="n"/>
      <c r="R567" s="180" t="n"/>
      <c r="S567" s="182" t="n"/>
      <c r="T567" s="57" t="n"/>
      <c r="U567" s="529" t="n"/>
      <c r="V567" s="55" t="n"/>
    </row>
    <row r="568" ht="21.5" customHeight="1" s="344">
      <c r="A568" s="180" t="n"/>
      <c r="B568" s="182" t="n"/>
      <c r="C568" s="278" t="n"/>
      <c r="D568" s="181" t="n"/>
      <c r="E568" s="182" t="n"/>
      <c r="F568" s="278" t="n"/>
      <c r="G568" s="182" t="n"/>
      <c r="H568" s="194" t="n"/>
      <c r="I568" s="180" t="n"/>
      <c r="J568" s="194" t="n"/>
      <c r="K568" s="182" t="n"/>
      <c r="L568" s="182" t="n"/>
      <c r="M568" s="278" t="n"/>
      <c r="N568" s="181" t="n"/>
      <c r="O568" s="181" t="n"/>
      <c r="P568" s="194" t="n"/>
      <c r="Q568" s="180" t="n"/>
      <c r="R568" s="180" t="n"/>
      <c r="S568" s="182" t="n"/>
      <c r="T568" s="57" t="n"/>
      <c r="U568" s="529" t="n"/>
      <c r="V568" s="55" t="n"/>
    </row>
    <row r="569" ht="21.5" customHeight="1" s="344">
      <c r="A569" s="180" t="n"/>
      <c r="B569" s="182" t="n"/>
      <c r="C569" s="278" t="n"/>
      <c r="D569" s="181" t="n"/>
      <c r="E569" s="182" t="n"/>
      <c r="F569" s="278" t="n"/>
      <c r="G569" s="182" t="n"/>
      <c r="H569" s="194" t="n"/>
      <c r="I569" s="180" t="n"/>
      <c r="J569" s="194" t="n"/>
      <c r="K569" s="182" t="n"/>
      <c r="L569" s="182" t="n"/>
      <c r="M569" s="278" t="n"/>
      <c r="N569" s="181" t="n"/>
      <c r="O569" s="181" t="n"/>
      <c r="P569" s="194" t="n"/>
      <c r="Q569" s="180" t="n"/>
      <c r="R569" s="180" t="n"/>
      <c r="S569" s="182" t="n"/>
      <c r="T569" s="57" t="n"/>
      <c r="U569" s="529" t="n"/>
      <c r="V569" s="55" t="n"/>
    </row>
    <row r="570" ht="21.5" customHeight="1" s="344">
      <c r="A570" s="180" t="n"/>
      <c r="B570" s="182" t="n"/>
      <c r="C570" s="278" t="n"/>
      <c r="D570" s="181" t="n"/>
      <c r="E570" s="182" t="n"/>
      <c r="F570" s="278" t="n"/>
      <c r="G570" s="182" t="n"/>
      <c r="H570" s="194" t="n"/>
      <c r="I570" s="180" t="n"/>
      <c r="J570" s="194" t="n"/>
      <c r="K570" s="182" t="n"/>
      <c r="L570" s="182" t="n"/>
      <c r="M570" s="278" t="n"/>
      <c r="N570" s="181" t="n"/>
      <c r="O570" s="181" t="n"/>
      <c r="P570" s="194" t="n"/>
      <c r="Q570" s="180" t="n"/>
      <c r="R570" s="180" t="n"/>
      <c r="S570" s="182" t="n"/>
      <c r="T570" s="57" t="n"/>
      <c r="U570" s="529" t="n"/>
      <c r="V570" s="55" t="n"/>
    </row>
    <row r="571" ht="21.5" customHeight="1" s="344">
      <c r="A571" s="180" t="n"/>
      <c r="B571" s="182" t="n"/>
      <c r="C571" s="278" t="n"/>
      <c r="D571" s="181" t="n"/>
      <c r="E571" s="182" t="n"/>
      <c r="F571" s="278" t="n"/>
      <c r="G571" s="182" t="n"/>
      <c r="H571" s="194" t="n"/>
      <c r="I571" s="180" t="n"/>
      <c r="J571" s="194" t="n"/>
      <c r="K571" s="182" t="n"/>
      <c r="L571" s="182" t="n"/>
      <c r="M571" s="278" t="n"/>
      <c r="N571" s="181" t="n"/>
      <c r="O571" s="181" t="n"/>
      <c r="P571" s="194" t="n"/>
      <c r="Q571" s="180" t="n"/>
      <c r="R571" s="180" t="n"/>
      <c r="S571" s="182" t="n"/>
      <c r="T571" s="57" t="n"/>
      <c r="U571" s="529" t="n"/>
      <c r="V571" s="55" t="n"/>
    </row>
    <row r="572" ht="21.5" customHeight="1" s="344">
      <c r="A572" s="180" t="n"/>
      <c r="B572" s="182" t="n"/>
      <c r="C572" s="278" t="n"/>
      <c r="D572" s="181" t="n"/>
      <c r="E572" s="182" t="n"/>
      <c r="F572" s="278" t="n"/>
      <c r="G572" s="182" t="n"/>
      <c r="H572" s="194" t="n"/>
      <c r="I572" s="180" t="n"/>
      <c r="J572" s="194" t="n"/>
      <c r="K572" s="182" t="n"/>
      <c r="L572" s="182" t="n"/>
      <c r="M572" s="278" t="n"/>
      <c r="N572" s="181" t="n"/>
      <c r="O572" s="181" t="n"/>
      <c r="P572" s="194" t="n"/>
      <c r="Q572" s="180" t="n"/>
      <c r="R572" s="180" t="n"/>
      <c r="S572" s="182" t="n"/>
      <c r="T572" s="57" t="n"/>
      <c r="U572" s="529" t="n"/>
      <c r="V572" s="55" t="n"/>
    </row>
    <row r="573" ht="21.5" customHeight="1" s="344">
      <c r="A573" s="180" t="n"/>
      <c r="B573" s="182" t="n"/>
      <c r="C573" s="278" t="n"/>
      <c r="D573" s="181" t="n"/>
      <c r="E573" s="182" t="n"/>
      <c r="F573" s="278" t="n"/>
      <c r="G573" s="182" t="n"/>
      <c r="H573" s="194" t="n"/>
      <c r="I573" s="180" t="n"/>
      <c r="J573" s="194" t="n"/>
      <c r="K573" s="182" t="n"/>
      <c r="L573" s="182" t="n"/>
      <c r="M573" s="278" t="n"/>
      <c r="N573" s="181" t="n"/>
      <c r="O573" s="181" t="n"/>
      <c r="P573" s="194" t="n"/>
      <c r="Q573" s="180" t="n"/>
      <c r="R573" s="180" t="n"/>
      <c r="S573" s="182" t="n"/>
      <c r="T573" s="57" t="n"/>
      <c r="U573" s="529" t="n"/>
      <c r="V573" s="55" t="n"/>
    </row>
    <row r="574" ht="21.5" customHeight="1" s="344">
      <c r="A574" s="180" t="n"/>
      <c r="B574" s="182" t="n"/>
      <c r="C574" s="278" t="n"/>
      <c r="D574" s="181" t="n"/>
      <c r="E574" s="182" t="n"/>
      <c r="F574" s="278" t="n"/>
      <c r="G574" s="182" t="n"/>
      <c r="H574" s="194" t="n"/>
      <c r="I574" s="180" t="n"/>
      <c r="J574" s="194" t="n"/>
      <c r="K574" s="182" t="n"/>
      <c r="L574" s="182" t="n"/>
      <c r="M574" s="278" t="n"/>
      <c r="N574" s="181" t="n"/>
      <c r="O574" s="181" t="n"/>
      <c r="P574" s="194" t="n"/>
      <c r="Q574" s="180" t="n"/>
      <c r="R574" s="180" t="n"/>
      <c r="S574" s="182" t="n"/>
      <c r="T574" s="57" t="n"/>
      <c r="U574" s="529" t="n"/>
      <c r="V574" s="55" t="n"/>
    </row>
    <row r="575" ht="21.5" customHeight="1" s="344">
      <c r="A575" s="180" t="n"/>
      <c r="B575" s="182" t="n"/>
      <c r="C575" s="278" t="n"/>
      <c r="D575" s="181" t="n"/>
      <c r="E575" s="182" t="n"/>
      <c r="F575" s="278" t="n"/>
      <c r="G575" s="182" t="n"/>
      <c r="H575" s="194" t="n"/>
      <c r="I575" s="180" t="n"/>
      <c r="J575" s="194" t="n"/>
      <c r="K575" s="182" t="n"/>
      <c r="L575" s="182" t="n"/>
      <c r="M575" s="278" t="n"/>
      <c r="N575" s="181" t="n"/>
      <c r="O575" s="181" t="n"/>
      <c r="P575" s="194" t="n"/>
      <c r="Q575" s="180" t="n"/>
      <c r="R575" s="180" t="n"/>
      <c r="S575" s="182" t="n"/>
      <c r="T575" s="57" t="n"/>
      <c r="U575" s="529" t="n"/>
      <c r="V575" s="55" t="n"/>
    </row>
    <row r="576" ht="21.5" customHeight="1" s="344">
      <c r="A576" s="180" t="n"/>
      <c r="B576" s="182" t="n"/>
      <c r="C576" s="278" t="n"/>
      <c r="D576" s="181" t="n"/>
      <c r="E576" s="182" t="n"/>
      <c r="F576" s="278" t="n"/>
      <c r="G576" s="182" t="n"/>
      <c r="H576" s="194" t="n"/>
      <c r="I576" s="180" t="n"/>
      <c r="J576" s="194" t="n"/>
      <c r="K576" s="182" t="n"/>
      <c r="L576" s="182" t="n"/>
      <c r="M576" s="278" t="n"/>
      <c r="N576" s="181" t="n"/>
      <c r="O576" s="181" t="n"/>
      <c r="P576" s="194" t="n"/>
      <c r="Q576" s="180" t="n"/>
      <c r="R576" s="180" t="n"/>
      <c r="S576" s="182" t="n"/>
      <c r="T576" s="57" t="n"/>
      <c r="U576" s="529" t="n"/>
      <c r="V576" s="55" t="n"/>
    </row>
    <row r="577" ht="21.5" customHeight="1" s="344">
      <c r="A577" s="180" t="n"/>
      <c r="B577" s="182" t="n"/>
      <c r="C577" s="278" t="n"/>
      <c r="D577" s="181" t="n"/>
      <c r="E577" s="182" t="n"/>
      <c r="F577" s="278" t="n"/>
      <c r="G577" s="182" t="n"/>
      <c r="H577" s="194" t="n"/>
      <c r="I577" s="180" t="n"/>
      <c r="J577" s="194" t="n"/>
      <c r="K577" s="182" t="n"/>
      <c r="L577" s="182" t="n"/>
      <c r="M577" s="278" t="n"/>
      <c r="N577" s="181" t="n"/>
      <c r="O577" s="181" t="n"/>
      <c r="P577" s="194" t="n"/>
      <c r="Q577" s="180" t="n"/>
      <c r="R577" s="180" t="n"/>
      <c r="S577" s="182" t="n"/>
      <c r="T577" s="57" t="n"/>
      <c r="U577" s="529" t="n"/>
      <c r="V577" s="55" t="n"/>
    </row>
    <row r="578" ht="21.5" customHeight="1" s="344">
      <c r="A578" s="180" t="n"/>
      <c r="B578" s="182" t="n"/>
      <c r="C578" s="278" t="n"/>
      <c r="D578" s="181" t="n"/>
      <c r="E578" s="182" t="n"/>
      <c r="F578" s="278" t="n"/>
      <c r="G578" s="182" t="n"/>
      <c r="H578" s="194" t="n"/>
      <c r="I578" s="180" t="n"/>
      <c r="J578" s="194" t="n"/>
      <c r="K578" s="182" t="n"/>
      <c r="L578" s="182" t="n"/>
      <c r="M578" s="278" t="n"/>
      <c r="N578" s="181" t="n"/>
      <c r="O578" s="181" t="n"/>
      <c r="P578" s="194" t="n"/>
      <c r="Q578" s="180" t="n"/>
      <c r="R578" s="180" t="n"/>
      <c r="S578" s="182" t="n"/>
      <c r="T578" s="57" t="n"/>
      <c r="U578" s="529" t="n"/>
      <c r="V578" s="55" t="n"/>
    </row>
    <row r="579" ht="21.5" customHeight="1" s="344">
      <c r="A579" s="180" t="n"/>
      <c r="B579" s="182" t="n"/>
      <c r="C579" s="278" t="n"/>
      <c r="D579" s="181" t="n"/>
      <c r="E579" s="182" t="n"/>
      <c r="F579" s="278" t="n"/>
      <c r="G579" s="182" t="n"/>
      <c r="H579" s="194" t="n"/>
      <c r="I579" s="180" t="n"/>
      <c r="J579" s="194" t="n"/>
      <c r="K579" s="182" t="n"/>
      <c r="L579" s="182" t="n"/>
      <c r="M579" s="278" t="n"/>
      <c r="N579" s="181" t="n"/>
      <c r="O579" s="181" t="n"/>
      <c r="P579" s="194" t="n"/>
      <c r="Q579" s="180" t="n"/>
      <c r="R579" s="180" t="n"/>
      <c r="S579" s="182" t="n"/>
      <c r="T579" s="57" t="n"/>
      <c r="U579" s="529" t="n"/>
      <c r="V579" s="55" t="n"/>
    </row>
    <row r="580" ht="21.5" customHeight="1" s="344">
      <c r="A580" s="180" t="n"/>
      <c r="B580" s="182" t="n"/>
      <c r="C580" s="278" t="n"/>
      <c r="D580" s="181" t="n"/>
      <c r="E580" s="182" t="n"/>
      <c r="F580" s="278" t="n"/>
      <c r="G580" s="182" t="n"/>
      <c r="H580" s="194" t="n"/>
      <c r="I580" s="180" t="n"/>
      <c r="J580" s="194" t="n"/>
      <c r="K580" s="182" t="n"/>
      <c r="L580" s="182" t="n"/>
      <c r="M580" s="278" t="n"/>
      <c r="N580" s="181" t="n"/>
      <c r="O580" s="181" t="n"/>
      <c r="P580" s="194" t="n"/>
      <c r="Q580" s="180" t="n"/>
      <c r="R580" s="180" t="n"/>
      <c r="S580" s="182" t="n"/>
      <c r="T580" s="57" t="n"/>
      <c r="U580" s="529" t="n"/>
      <c r="V580" s="55" t="n"/>
    </row>
    <row r="581" ht="21.5" customHeight="1" s="344">
      <c r="A581" s="180" t="n"/>
      <c r="B581" s="182" t="n"/>
      <c r="C581" s="278" t="n"/>
      <c r="D581" s="181" t="n"/>
      <c r="E581" s="182" t="n"/>
      <c r="F581" s="278" t="n"/>
      <c r="G581" s="182" t="n"/>
      <c r="H581" s="194" t="n"/>
      <c r="I581" s="180" t="n"/>
      <c r="J581" s="194" t="n"/>
      <c r="K581" s="182" t="n"/>
      <c r="L581" s="182" t="n"/>
      <c r="M581" s="278" t="n"/>
      <c r="N581" s="181" t="n"/>
      <c r="O581" s="181" t="n"/>
      <c r="P581" s="194" t="n"/>
      <c r="Q581" s="180" t="n"/>
      <c r="R581" s="180" t="n"/>
      <c r="S581" s="182" t="n"/>
      <c r="T581" s="57" t="n"/>
      <c r="U581" s="529" t="n"/>
      <c r="V581" s="55" t="n"/>
    </row>
    <row r="582" ht="21.5" customHeight="1" s="344">
      <c r="A582" s="180" t="n"/>
      <c r="B582" s="182" t="n"/>
      <c r="C582" s="278" t="n"/>
      <c r="D582" s="181" t="n"/>
      <c r="E582" s="182" t="n"/>
      <c r="F582" s="278" t="n"/>
      <c r="G582" s="182" t="n"/>
      <c r="H582" s="194" t="n"/>
      <c r="I582" s="180" t="n"/>
      <c r="J582" s="194" t="n"/>
      <c r="K582" s="182" t="n"/>
      <c r="L582" s="182" t="n"/>
      <c r="M582" s="278" t="n"/>
      <c r="N582" s="181" t="n"/>
      <c r="O582" s="181" t="n"/>
      <c r="P582" s="194" t="n"/>
      <c r="Q582" s="180" t="n"/>
      <c r="R582" s="180" t="n"/>
      <c r="S582" s="182" t="n"/>
      <c r="T582" s="57" t="n"/>
      <c r="U582" s="529" t="n"/>
      <c r="V582" s="55" t="n"/>
    </row>
    <row r="583" ht="21.5" customHeight="1" s="344">
      <c r="A583" s="180" t="n"/>
      <c r="B583" s="182" t="n"/>
      <c r="C583" s="278" t="n"/>
      <c r="D583" s="181" t="n"/>
      <c r="E583" s="182" t="n"/>
      <c r="F583" s="278" t="n"/>
      <c r="G583" s="182" t="n"/>
      <c r="H583" s="194" t="n"/>
      <c r="I583" s="180" t="n"/>
      <c r="J583" s="194" t="n"/>
      <c r="K583" s="182" t="n"/>
      <c r="L583" s="182" t="n"/>
      <c r="M583" s="278" t="n"/>
      <c r="N583" s="181" t="n"/>
      <c r="O583" s="181" t="n"/>
      <c r="P583" s="194" t="n"/>
      <c r="Q583" s="180" t="n"/>
      <c r="R583" s="180" t="n"/>
      <c r="S583" s="182" t="n"/>
      <c r="T583" s="57" t="n"/>
      <c r="U583" s="529" t="n"/>
      <c r="V583" s="55" t="n"/>
    </row>
    <row r="584" ht="21.5" customHeight="1" s="344">
      <c r="A584" s="180" t="n"/>
      <c r="B584" s="182" t="n"/>
      <c r="C584" s="278" t="n"/>
      <c r="D584" s="181" t="n"/>
      <c r="E584" s="182" t="n"/>
      <c r="F584" s="278" t="n"/>
      <c r="G584" s="182" t="n"/>
      <c r="H584" s="194" t="n"/>
      <c r="I584" s="180" t="n"/>
      <c r="J584" s="194" t="n"/>
      <c r="K584" s="182" t="n"/>
      <c r="L584" s="182" t="n"/>
      <c r="M584" s="278" t="n"/>
      <c r="N584" s="181" t="n"/>
      <c r="O584" s="181" t="n"/>
      <c r="P584" s="194" t="n"/>
      <c r="Q584" s="180" t="n"/>
      <c r="R584" s="180" t="n"/>
      <c r="S584" s="182" t="n"/>
      <c r="T584" s="57" t="n"/>
      <c r="U584" s="529" t="n"/>
      <c r="V584" s="55" t="n"/>
    </row>
    <row r="585" ht="21.5" customHeight="1" s="344">
      <c r="A585" s="180" t="n"/>
      <c r="B585" s="182" t="n"/>
      <c r="C585" s="278" t="n"/>
      <c r="D585" s="181" t="n"/>
      <c r="E585" s="182" t="n"/>
      <c r="F585" s="278" t="n"/>
      <c r="G585" s="182" t="n"/>
      <c r="H585" s="194" t="n"/>
      <c r="I585" s="180" t="n"/>
      <c r="J585" s="194" t="n"/>
      <c r="K585" s="182" t="n"/>
      <c r="L585" s="182" t="n"/>
      <c r="M585" s="278" t="n"/>
      <c r="N585" s="181" t="n"/>
      <c r="O585" s="181" t="n"/>
      <c r="P585" s="194" t="n"/>
      <c r="Q585" s="180" t="n"/>
      <c r="R585" s="180" t="n"/>
      <c r="S585" s="182" t="n"/>
      <c r="T585" s="57" t="n"/>
      <c r="U585" s="529" t="n"/>
      <c r="V585" s="55" t="n"/>
    </row>
    <row r="586" ht="21.5" customHeight="1" s="344">
      <c r="A586" s="180" t="n"/>
      <c r="B586" s="182" t="n"/>
      <c r="C586" s="278" t="n"/>
      <c r="D586" s="181" t="n"/>
      <c r="E586" s="182" t="n"/>
      <c r="F586" s="278" t="n"/>
      <c r="G586" s="182" t="n"/>
      <c r="H586" s="194" t="n"/>
      <c r="I586" s="180" t="n"/>
      <c r="J586" s="194" t="n"/>
      <c r="K586" s="182" t="n"/>
      <c r="L586" s="182" t="n"/>
      <c r="M586" s="278" t="n"/>
      <c r="N586" s="181" t="n"/>
      <c r="O586" s="181" t="n"/>
      <c r="P586" s="194" t="n"/>
      <c r="Q586" s="180" t="n"/>
      <c r="R586" s="180" t="n"/>
      <c r="S586" s="182" t="n"/>
      <c r="T586" s="57" t="n"/>
      <c r="U586" s="529" t="n"/>
      <c r="V586" s="55" t="n"/>
    </row>
    <row r="587" ht="21.5" customHeight="1" s="344">
      <c r="A587" s="180" t="n"/>
      <c r="B587" s="182" t="n"/>
      <c r="C587" s="278" t="n"/>
      <c r="D587" s="181" t="n"/>
      <c r="E587" s="182" t="n"/>
      <c r="F587" s="278" t="n"/>
      <c r="G587" s="182" t="n"/>
      <c r="H587" s="194" t="n"/>
      <c r="I587" s="180" t="n"/>
      <c r="J587" s="194" t="n"/>
      <c r="K587" s="182" t="n"/>
      <c r="L587" s="182" t="n"/>
      <c r="M587" s="278" t="n"/>
      <c r="N587" s="181" t="n"/>
      <c r="O587" s="181" t="n"/>
      <c r="P587" s="194" t="n"/>
      <c r="Q587" s="180" t="n"/>
      <c r="R587" s="180" t="n"/>
      <c r="S587" s="182" t="n"/>
      <c r="T587" s="57" t="n"/>
      <c r="U587" s="529" t="n"/>
      <c r="V587" s="55" t="n"/>
    </row>
    <row r="588" ht="21.5" customHeight="1" s="344">
      <c r="A588" s="180" t="n"/>
      <c r="B588" s="182" t="n"/>
      <c r="C588" s="278" t="n"/>
      <c r="D588" s="181" t="n"/>
      <c r="E588" s="182" t="n"/>
      <c r="F588" s="278" t="n"/>
      <c r="G588" s="182" t="n"/>
      <c r="H588" s="194" t="n"/>
      <c r="I588" s="180" t="n"/>
      <c r="J588" s="194" t="n"/>
      <c r="K588" s="182" t="n"/>
      <c r="L588" s="182" t="n"/>
      <c r="M588" s="278" t="n"/>
      <c r="N588" s="181" t="n"/>
      <c r="O588" s="181" t="n"/>
      <c r="P588" s="194" t="n"/>
      <c r="Q588" s="180" t="n"/>
      <c r="R588" s="180" t="n"/>
      <c r="S588" s="182" t="n"/>
      <c r="T588" s="57" t="n"/>
      <c r="U588" s="529" t="n"/>
      <c r="V588" s="55" t="n"/>
    </row>
    <row r="589" ht="21.5" customHeight="1" s="344">
      <c r="A589" s="180" t="n"/>
      <c r="B589" s="182" t="n"/>
      <c r="C589" s="278" t="n"/>
      <c r="D589" s="181" t="n"/>
      <c r="E589" s="182" t="n"/>
      <c r="F589" s="278" t="n"/>
      <c r="G589" s="182" t="n"/>
      <c r="H589" s="194" t="n"/>
      <c r="I589" s="180" t="n"/>
      <c r="J589" s="194" t="n"/>
      <c r="K589" s="182" t="n"/>
      <c r="L589" s="182" t="n"/>
      <c r="M589" s="278" t="n"/>
      <c r="N589" s="181" t="n"/>
      <c r="O589" s="181" t="n"/>
      <c r="P589" s="194" t="n"/>
      <c r="Q589" s="180" t="n"/>
      <c r="R589" s="180" t="n"/>
      <c r="S589" s="182" t="n"/>
      <c r="T589" s="57" t="n"/>
      <c r="U589" s="529" t="n"/>
      <c r="V589" s="55" t="n"/>
    </row>
    <row r="590" ht="21.5" customHeight="1" s="344">
      <c r="A590" s="180" t="n"/>
      <c r="B590" s="182" t="n"/>
      <c r="C590" s="278" t="n"/>
      <c r="D590" s="181" t="n"/>
      <c r="E590" s="182" t="n"/>
      <c r="F590" s="278" t="n"/>
      <c r="G590" s="182" t="n"/>
      <c r="H590" s="194" t="n"/>
      <c r="I590" s="180" t="n"/>
      <c r="J590" s="194" t="n"/>
      <c r="K590" s="182" t="n"/>
      <c r="L590" s="182" t="n"/>
      <c r="M590" s="278" t="n"/>
      <c r="N590" s="181" t="n"/>
      <c r="O590" s="181" t="n"/>
      <c r="P590" s="194" t="n"/>
      <c r="Q590" s="180" t="n"/>
      <c r="R590" s="180" t="n"/>
      <c r="S590" s="182" t="n"/>
      <c r="T590" s="57" t="n"/>
      <c r="U590" s="529" t="n"/>
      <c r="V590" s="55" t="n"/>
    </row>
    <row r="591" ht="21.5" customHeight="1" s="344">
      <c r="A591" s="180" t="n"/>
      <c r="B591" s="182" t="n"/>
      <c r="C591" s="278" t="n"/>
      <c r="D591" s="181" t="n"/>
      <c r="E591" s="182" t="n"/>
      <c r="F591" s="278" t="n"/>
      <c r="G591" s="182" t="n"/>
      <c r="H591" s="194" t="n"/>
      <c r="I591" s="180" t="n"/>
      <c r="J591" s="194" t="n"/>
      <c r="K591" s="182" t="n"/>
      <c r="L591" s="182" t="n"/>
      <c r="M591" s="278" t="n"/>
      <c r="N591" s="181" t="n"/>
      <c r="O591" s="181" t="n"/>
      <c r="P591" s="194" t="n"/>
      <c r="Q591" s="180" t="n"/>
      <c r="R591" s="180" t="n"/>
      <c r="S591" s="182" t="n"/>
      <c r="T591" s="57" t="n"/>
      <c r="U591" s="529" t="n"/>
      <c r="V591" s="55" t="n"/>
    </row>
    <row r="592" ht="21.5" customHeight="1" s="344">
      <c r="A592" s="180" t="n"/>
      <c r="B592" s="182" t="n"/>
      <c r="C592" s="278" t="n"/>
      <c r="D592" s="181" t="n"/>
      <c r="E592" s="182" t="n"/>
      <c r="F592" s="278" t="n"/>
      <c r="G592" s="182" t="n"/>
      <c r="H592" s="194" t="n"/>
      <c r="I592" s="180" t="n"/>
      <c r="J592" s="194" t="n"/>
      <c r="K592" s="182" t="n"/>
      <c r="L592" s="182" t="n"/>
      <c r="M592" s="278" t="n"/>
      <c r="N592" s="181" t="n"/>
      <c r="O592" s="181" t="n"/>
      <c r="P592" s="194" t="n"/>
      <c r="Q592" s="180" t="n"/>
      <c r="R592" s="180" t="n"/>
      <c r="S592" s="182" t="n"/>
      <c r="T592" s="57" t="n"/>
      <c r="U592" s="529" t="n"/>
      <c r="V592" s="55" t="n"/>
    </row>
    <row r="593" ht="21.5" customHeight="1" s="344">
      <c r="A593" s="180" t="n"/>
      <c r="B593" s="182" t="n"/>
      <c r="C593" s="278" t="n"/>
      <c r="D593" s="181" t="n"/>
      <c r="E593" s="182" t="n"/>
      <c r="F593" s="278" t="n"/>
      <c r="G593" s="182" t="n"/>
      <c r="H593" s="194" t="n"/>
      <c r="I593" s="180" t="n"/>
      <c r="J593" s="194" t="n"/>
      <c r="K593" s="182" t="n"/>
      <c r="L593" s="182" t="n"/>
      <c r="M593" s="278" t="n"/>
      <c r="N593" s="181" t="n"/>
      <c r="O593" s="181" t="n"/>
      <c r="P593" s="194" t="n"/>
      <c r="Q593" s="180" t="n"/>
      <c r="R593" s="180" t="n"/>
      <c r="S593" s="182" t="n"/>
      <c r="T593" s="57" t="n"/>
      <c r="U593" s="529" t="n"/>
      <c r="V593" s="55" t="n"/>
    </row>
    <row r="594" ht="21.5" customHeight="1" s="344">
      <c r="A594" s="180" t="n"/>
      <c r="B594" s="182" t="n"/>
      <c r="C594" s="278" t="n"/>
      <c r="D594" s="181" t="n"/>
      <c r="E594" s="182" t="n"/>
      <c r="F594" s="278" t="n"/>
      <c r="G594" s="182" t="n"/>
      <c r="H594" s="194" t="n"/>
      <c r="I594" s="180" t="n"/>
      <c r="J594" s="194" t="n"/>
      <c r="K594" s="182" t="n"/>
      <c r="L594" s="182" t="n"/>
      <c r="M594" s="278" t="n"/>
      <c r="N594" s="181" t="n"/>
      <c r="O594" s="181" t="n"/>
      <c r="P594" s="194" t="n"/>
      <c r="Q594" s="180" t="n"/>
      <c r="R594" s="180" t="n"/>
      <c r="S594" s="182" t="n"/>
      <c r="T594" s="57" t="n"/>
      <c r="U594" s="529" t="n"/>
      <c r="V594" s="55" t="n"/>
    </row>
    <row r="595" ht="21.5" customHeight="1" s="344">
      <c r="A595" s="180" t="n"/>
      <c r="B595" s="182" t="n"/>
      <c r="C595" s="278" t="n"/>
      <c r="D595" s="181" t="n"/>
      <c r="E595" s="182" t="n"/>
      <c r="F595" s="278" t="n"/>
      <c r="G595" s="182" t="n"/>
      <c r="H595" s="194" t="n"/>
      <c r="I595" s="180" t="n"/>
      <c r="J595" s="194" t="n"/>
      <c r="K595" s="182" t="n"/>
      <c r="L595" s="182" t="n"/>
      <c r="M595" s="278" t="n"/>
      <c r="N595" s="181" t="n"/>
      <c r="O595" s="181" t="n"/>
      <c r="P595" s="194" t="n"/>
      <c r="Q595" s="180" t="n"/>
      <c r="R595" s="180" t="n"/>
      <c r="S595" s="182" t="n"/>
      <c r="T595" s="57" t="n"/>
      <c r="U595" s="529" t="n"/>
      <c r="V595" s="55" t="n"/>
    </row>
    <row r="596" ht="21.5" customHeight="1" s="344">
      <c r="A596" s="180" t="n"/>
      <c r="B596" s="182" t="n"/>
      <c r="C596" s="278" t="n"/>
      <c r="D596" s="181" t="n"/>
      <c r="E596" s="182" t="n"/>
      <c r="F596" s="278" t="n"/>
      <c r="G596" s="182" t="n"/>
      <c r="H596" s="194" t="n"/>
      <c r="I596" s="180" t="n"/>
      <c r="J596" s="194" t="n"/>
      <c r="K596" s="182" t="n"/>
      <c r="L596" s="182" t="n"/>
      <c r="M596" s="278" t="n"/>
      <c r="N596" s="181" t="n"/>
      <c r="O596" s="181" t="n"/>
      <c r="P596" s="194" t="n"/>
      <c r="Q596" s="180" t="n"/>
      <c r="R596" s="180" t="n"/>
      <c r="S596" s="182" t="n"/>
      <c r="T596" s="57" t="n"/>
      <c r="U596" s="529" t="n"/>
      <c r="V596" s="55" t="n"/>
    </row>
    <row r="597" ht="21.5" customHeight="1" s="344">
      <c r="A597" s="180" t="n"/>
      <c r="B597" s="182" t="n"/>
      <c r="C597" s="278" t="n"/>
      <c r="D597" s="181" t="n"/>
      <c r="E597" s="182" t="n"/>
      <c r="F597" s="278" t="n"/>
      <c r="G597" s="182" t="n"/>
      <c r="H597" s="194" t="n"/>
      <c r="I597" s="180" t="n"/>
      <c r="J597" s="194" t="n"/>
      <c r="K597" s="182" t="n"/>
      <c r="L597" s="182" t="n"/>
      <c r="M597" s="278" t="n"/>
      <c r="N597" s="181" t="n"/>
      <c r="O597" s="181" t="n"/>
      <c r="P597" s="194" t="n"/>
      <c r="Q597" s="180" t="n"/>
      <c r="R597" s="180" t="n"/>
      <c r="S597" s="182" t="n"/>
      <c r="T597" s="57" t="n"/>
      <c r="U597" s="529" t="n"/>
      <c r="V597" s="55" t="n"/>
    </row>
    <row r="598" ht="21.5" customHeight="1" s="344">
      <c r="A598" s="180" t="n"/>
      <c r="B598" s="182" t="n"/>
      <c r="C598" s="278" t="n"/>
      <c r="D598" s="181" t="n"/>
      <c r="E598" s="182" t="n"/>
      <c r="F598" s="278" t="n"/>
      <c r="G598" s="182" t="n"/>
      <c r="H598" s="194" t="n"/>
      <c r="I598" s="180" t="n"/>
      <c r="J598" s="194" t="n"/>
      <c r="K598" s="182" t="n"/>
      <c r="L598" s="182" t="n"/>
      <c r="M598" s="278" t="n"/>
      <c r="N598" s="181" t="n"/>
      <c r="O598" s="181" t="n"/>
      <c r="P598" s="194" t="n"/>
      <c r="Q598" s="180" t="n"/>
      <c r="R598" s="180" t="n"/>
      <c r="S598" s="182" t="n"/>
      <c r="T598" s="57" t="n"/>
      <c r="U598" s="529" t="n"/>
      <c r="V598" s="55" t="n"/>
    </row>
    <row r="599" ht="21.5" customHeight="1" s="344">
      <c r="A599" s="180" t="n"/>
      <c r="B599" s="182" t="n"/>
      <c r="C599" s="278" t="n"/>
      <c r="D599" s="181" t="n"/>
      <c r="E599" s="182" t="n"/>
      <c r="F599" s="278" t="n"/>
      <c r="G599" s="182" t="n"/>
      <c r="H599" s="194" t="n"/>
      <c r="I599" s="180" t="n"/>
      <c r="J599" s="194" t="n"/>
      <c r="K599" s="182" t="n"/>
      <c r="L599" s="182" t="n"/>
      <c r="M599" s="278" t="n"/>
      <c r="N599" s="181" t="n"/>
      <c r="O599" s="181" t="n"/>
      <c r="P599" s="194" t="n"/>
      <c r="Q599" s="180" t="n"/>
      <c r="R599" s="180" t="n"/>
      <c r="S599" s="182" t="n"/>
      <c r="T599" s="57" t="n"/>
      <c r="U599" s="529" t="n"/>
      <c r="V599" s="55" t="n"/>
    </row>
    <row r="600" ht="21.5" customHeight="1" s="344">
      <c r="A600" s="180" t="n"/>
      <c r="B600" s="182" t="n"/>
      <c r="C600" s="278" t="n"/>
      <c r="D600" s="181" t="n"/>
      <c r="E600" s="182" t="n"/>
      <c r="F600" s="278" t="n"/>
      <c r="G600" s="182" t="n"/>
      <c r="H600" s="194" t="n"/>
      <c r="I600" s="180" t="n"/>
      <c r="J600" s="194" t="n"/>
      <c r="K600" s="182" t="n"/>
      <c r="L600" s="182" t="n"/>
      <c r="M600" s="278" t="n"/>
      <c r="N600" s="181" t="n"/>
      <c r="O600" s="181" t="n"/>
      <c r="P600" s="194" t="n"/>
      <c r="Q600" s="180" t="n"/>
      <c r="R600" s="180" t="n"/>
      <c r="S600" s="182" t="n"/>
      <c r="T600" s="57" t="n"/>
      <c r="U600" s="529" t="n"/>
      <c r="V600" s="55" t="n"/>
    </row>
    <row r="601" ht="21.5" customHeight="1" s="344">
      <c r="A601" s="180" t="n"/>
      <c r="B601" s="182" t="n"/>
      <c r="C601" s="278" t="n"/>
      <c r="D601" s="181" t="n"/>
      <c r="E601" s="182" t="n"/>
      <c r="F601" s="278" t="n"/>
      <c r="G601" s="182" t="n"/>
      <c r="H601" s="194" t="n"/>
      <c r="I601" s="180" t="n"/>
      <c r="J601" s="194" t="n"/>
      <c r="K601" s="182" t="n"/>
      <c r="L601" s="182" t="n"/>
      <c r="M601" s="278" t="n"/>
      <c r="N601" s="181" t="n"/>
      <c r="O601" s="181" t="n"/>
      <c r="P601" s="194" t="n"/>
      <c r="Q601" s="180" t="n"/>
      <c r="R601" s="180" t="n"/>
      <c r="S601" s="182" t="n"/>
      <c r="T601" s="57" t="n"/>
      <c r="U601" s="529" t="n"/>
      <c r="V601" s="55" t="n"/>
    </row>
    <row r="602" ht="21.5" customHeight="1" s="344">
      <c r="A602" s="180" t="n"/>
      <c r="B602" s="182" t="n"/>
      <c r="C602" s="278" t="n"/>
      <c r="D602" s="181" t="n"/>
      <c r="E602" s="182" t="n"/>
      <c r="F602" s="278" t="n"/>
      <c r="G602" s="182" t="n"/>
      <c r="H602" s="194" t="n"/>
      <c r="I602" s="180" t="n"/>
      <c r="J602" s="194" t="n"/>
      <c r="K602" s="182" t="n"/>
      <c r="L602" s="182" t="n"/>
      <c r="M602" s="278" t="n"/>
      <c r="N602" s="181" t="n"/>
      <c r="O602" s="181" t="n"/>
      <c r="P602" s="194" t="n"/>
      <c r="Q602" s="180" t="n"/>
      <c r="R602" s="180" t="n"/>
      <c r="S602" s="182" t="n"/>
      <c r="T602" s="57" t="n"/>
      <c r="U602" s="529" t="n"/>
      <c r="V602" s="55" t="n"/>
    </row>
    <row r="603" ht="21.5" customHeight="1" s="344">
      <c r="A603" s="180" t="n"/>
      <c r="B603" s="182" t="n"/>
      <c r="C603" s="278" t="n"/>
      <c r="D603" s="181" t="n"/>
      <c r="E603" s="182" t="n"/>
      <c r="F603" s="278" t="n"/>
      <c r="G603" s="182" t="n"/>
      <c r="H603" s="194" t="n"/>
      <c r="I603" s="180" t="n"/>
      <c r="J603" s="194" t="n"/>
      <c r="K603" s="182" t="n"/>
      <c r="L603" s="182" t="n"/>
      <c r="M603" s="278" t="n"/>
      <c r="N603" s="181" t="n"/>
      <c r="O603" s="181" t="n"/>
      <c r="P603" s="194" t="n"/>
      <c r="Q603" s="180" t="n"/>
      <c r="R603" s="180" t="n"/>
      <c r="S603" s="182" t="n"/>
      <c r="T603" s="57" t="n"/>
      <c r="U603" s="529" t="n"/>
      <c r="V603" s="55" t="n"/>
    </row>
    <row r="604" ht="21.5" customHeight="1" s="344">
      <c r="A604" s="180" t="n"/>
      <c r="B604" s="182" t="n"/>
      <c r="C604" s="278" t="n"/>
      <c r="D604" s="181" t="n"/>
      <c r="E604" s="182" t="n"/>
      <c r="F604" s="278" t="n"/>
      <c r="G604" s="182" t="n"/>
      <c r="H604" s="194" t="n"/>
      <c r="I604" s="180" t="n"/>
      <c r="J604" s="194" t="n"/>
      <c r="K604" s="182" t="n"/>
      <c r="L604" s="182" t="n"/>
      <c r="M604" s="278" t="n"/>
      <c r="N604" s="181" t="n"/>
      <c r="O604" s="181" t="n"/>
      <c r="P604" s="194" t="n"/>
      <c r="Q604" s="180" t="n"/>
      <c r="R604" s="180" t="n"/>
      <c r="S604" s="182" t="n"/>
      <c r="T604" s="57" t="n"/>
      <c r="U604" s="529" t="n"/>
      <c r="V604" s="55" t="n"/>
    </row>
    <row r="605" ht="21.5" customHeight="1" s="344">
      <c r="A605" s="180" t="n"/>
      <c r="B605" s="182" t="n"/>
      <c r="C605" s="278" t="n"/>
      <c r="D605" s="181" t="n"/>
      <c r="E605" s="182" t="n"/>
      <c r="F605" s="278" t="n"/>
      <c r="G605" s="182" t="n"/>
      <c r="H605" s="194" t="n"/>
      <c r="I605" s="180" t="n"/>
      <c r="J605" s="194" t="n"/>
      <c r="K605" s="182" t="n"/>
      <c r="L605" s="182" t="n"/>
      <c r="M605" s="278" t="n"/>
      <c r="N605" s="181" t="n"/>
      <c r="O605" s="181" t="n"/>
      <c r="P605" s="194" t="n"/>
      <c r="Q605" s="180" t="n"/>
      <c r="R605" s="180" t="n"/>
      <c r="S605" s="182" t="n"/>
      <c r="T605" s="57" t="n"/>
      <c r="U605" s="529" t="n"/>
      <c r="V605" s="55" t="n"/>
    </row>
    <row r="606" ht="21.5" customHeight="1" s="344">
      <c r="A606" s="180" t="n"/>
      <c r="B606" s="182" t="n"/>
      <c r="C606" s="278" t="n"/>
      <c r="D606" s="181" t="n"/>
      <c r="E606" s="182" t="n"/>
      <c r="F606" s="278" t="n"/>
      <c r="G606" s="182" t="n"/>
      <c r="H606" s="194" t="n"/>
      <c r="I606" s="180" t="n"/>
      <c r="J606" s="194" t="n"/>
      <c r="K606" s="182" t="n"/>
      <c r="L606" s="182" t="n"/>
      <c r="M606" s="278" t="n"/>
      <c r="N606" s="181" t="n"/>
      <c r="O606" s="181" t="n"/>
      <c r="P606" s="194" t="n"/>
      <c r="Q606" s="180" t="n"/>
      <c r="R606" s="180" t="n"/>
      <c r="S606" s="182" t="n"/>
      <c r="T606" s="57" t="n"/>
      <c r="U606" s="529" t="n"/>
      <c r="V606" s="55" t="n"/>
    </row>
    <row r="607" ht="21.5" customHeight="1" s="344">
      <c r="A607" s="180" t="n"/>
      <c r="B607" s="182" t="n"/>
      <c r="C607" s="278" t="n"/>
      <c r="D607" s="181" t="n"/>
      <c r="E607" s="182" t="n"/>
      <c r="F607" s="278" t="n"/>
      <c r="G607" s="182" t="n"/>
      <c r="H607" s="194" t="n"/>
      <c r="I607" s="180" t="n"/>
      <c r="J607" s="194" t="n"/>
      <c r="K607" s="182" t="n"/>
      <c r="L607" s="182" t="n"/>
      <c r="M607" s="278" t="n"/>
      <c r="N607" s="181" t="n"/>
      <c r="O607" s="181" t="n"/>
      <c r="P607" s="194" t="n"/>
      <c r="Q607" s="180" t="n"/>
      <c r="R607" s="180" t="n"/>
      <c r="S607" s="182" t="n"/>
      <c r="T607" s="57" t="n"/>
      <c r="U607" s="529" t="n"/>
      <c r="V607" s="55" t="n"/>
    </row>
    <row r="608" ht="21.5" customHeight="1" s="344">
      <c r="A608" s="180" t="n"/>
      <c r="B608" s="182" t="n"/>
      <c r="C608" s="278" t="n"/>
      <c r="D608" s="181" t="n"/>
      <c r="E608" s="182" t="n"/>
      <c r="F608" s="278" t="n"/>
      <c r="G608" s="182" t="n"/>
      <c r="H608" s="194" t="n"/>
      <c r="I608" s="180" t="n"/>
      <c r="J608" s="194" t="n"/>
      <c r="K608" s="182" t="n"/>
      <c r="L608" s="182" t="n"/>
      <c r="M608" s="278" t="n"/>
      <c r="N608" s="181" t="n"/>
      <c r="O608" s="181" t="n"/>
      <c r="P608" s="194" t="n"/>
      <c r="Q608" s="180" t="n"/>
      <c r="R608" s="180" t="n"/>
      <c r="S608" s="182" t="n"/>
      <c r="T608" s="57" t="n"/>
      <c r="U608" s="529" t="n"/>
      <c r="V608" s="55" t="n"/>
    </row>
    <row r="609" ht="21.5" customHeight="1" s="344">
      <c r="A609" s="180" t="n"/>
      <c r="B609" s="182" t="n"/>
      <c r="C609" s="278" t="n"/>
      <c r="D609" s="181" t="n"/>
      <c r="E609" s="182" t="n"/>
      <c r="F609" s="278" t="n"/>
      <c r="G609" s="182" t="n"/>
      <c r="H609" s="194" t="n"/>
      <c r="I609" s="180" t="n"/>
      <c r="J609" s="194" t="n"/>
      <c r="K609" s="182" t="n"/>
      <c r="L609" s="182" t="n"/>
      <c r="M609" s="278" t="n"/>
      <c r="N609" s="181" t="n"/>
      <c r="O609" s="181" t="n"/>
      <c r="P609" s="194" t="n"/>
      <c r="Q609" s="180" t="n"/>
      <c r="R609" s="180" t="n"/>
      <c r="S609" s="182" t="n"/>
      <c r="T609" s="57" t="n"/>
      <c r="U609" s="529" t="n"/>
      <c r="V609" s="55" t="n"/>
    </row>
    <row r="610" ht="21.5" customHeight="1" s="344">
      <c r="A610" s="180" t="n"/>
      <c r="B610" s="182" t="n"/>
      <c r="C610" s="278" t="n"/>
      <c r="D610" s="181" t="n"/>
      <c r="E610" s="182" t="n"/>
      <c r="F610" s="278" t="n"/>
      <c r="G610" s="182" t="n"/>
      <c r="H610" s="194" t="n"/>
      <c r="I610" s="180" t="n"/>
      <c r="J610" s="194" t="n"/>
      <c r="K610" s="182" t="n"/>
      <c r="L610" s="182" t="n"/>
      <c r="M610" s="278" t="n"/>
      <c r="N610" s="181" t="n"/>
      <c r="O610" s="181" t="n"/>
      <c r="P610" s="194" t="n"/>
      <c r="Q610" s="180" t="n"/>
      <c r="R610" s="180" t="n"/>
      <c r="S610" s="182" t="n"/>
      <c r="T610" s="57" t="n"/>
      <c r="U610" s="529" t="n"/>
      <c r="V610" s="55" t="n"/>
    </row>
    <row r="611" ht="21.5" customHeight="1" s="344">
      <c r="A611" s="180" t="n"/>
      <c r="B611" s="182" t="n"/>
      <c r="C611" s="278" t="n"/>
      <c r="D611" s="181" t="n"/>
      <c r="E611" s="182" t="n"/>
      <c r="F611" s="278" t="n"/>
      <c r="G611" s="182" t="n"/>
      <c r="H611" s="194" t="n"/>
      <c r="I611" s="180" t="n"/>
      <c r="J611" s="194" t="n"/>
      <c r="K611" s="182" t="n"/>
      <c r="L611" s="182" t="n"/>
      <c r="M611" s="278" t="n"/>
      <c r="N611" s="181" t="n"/>
      <c r="O611" s="181" t="n"/>
      <c r="P611" s="194" t="n"/>
      <c r="Q611" s="180" t="n"/>
      <c r="R611" s="180" t="n"/>
      <c r="S611" s="182" t="n"/>
      <c r="T611" s="57" t="n"/>
      <c r="U611" s="529" t="n"/>
      <c r="V611" s="55" t="n"/>
    </row>
    <row r="612" ht="21.5" customHeight="1" s="344">
      <c r="A612" s="180" t="n"/>
      <c r="B612" s="182" t="n"/>
      <c r="C612" s="278" t="n"/>
      <c r="D612" s="181" t="n"/>
      <c r="E612" s="182" t="n"/>
      <c r="F612" s="278" t="n"/>
      <c r="G612" s="182" t="n"/>
      <c r="H612" s="194" t="n"/>
      <c r="I612" s="180" t="n"/>
      <c r="J612" s="194" t="n"/>
      <c r="K612" s="182" t="n"/>
      <c r="L612" s="182" t="n"/>
      <c r="M612" s="278" t="n"/>
      <c r="N612" s="181" t="n"/>
      <c r="O612" s="181" t="n"/>
      <c r="P612" s="194" t="n"/>
      <c r="Q612" s="180" t="n"/>
      <c r="R612" s="180" t="n"/>
      <c r="S612" s="182" t="n"/>
      <c r="T612" s="57" t="n"/>
      <c r="U612" s="529" t="n"/>
      <c r="V612" s="55" t="n"/>
    </row>
    <row r="613" ht="21.5" customHeight="1" s="344">
      <c r="A613" s="180" t="n"/>
      <c r="B613" s="182" t="n"/>
      <c r="C613" s="278" t="n"/>
      <c r="D613" s="181" t="n"/>
      <c r="E613" s="182" t="n"/>
      <c r="F613" s="278" t="n"/>
      <c r="G613" s="182" t="n"/>
      <c r="H613" s="194" t="n"/>
      <c r="I613" s="180" t="n"/>
      <c r="J613" s="194" t="n"/>
      <c r="K613" s="182" t="n"/>
      <c r="L613" s="182" t="n"/>
      <c r="M613" s="278" t="n"/>
      <c r="N613" s="181" t="n"/>
      <c r="O613" s="181" t="n"/>
      <c r="P613" s="194" t="n"/>
      <c r="Q613" s="180" t="n"/>
      <c r="R613" s="180" t="n"/>
      <c r="S613" s="182" t="n"/>
      <c r="T613" s="57" t="n"/>
      <c r="U613" s="529" t="n"/>
      <c r="V613" s="55" t="n"/>
    </row>
    <row r="614" ht="21.5" customHeight="1" s="344">
      <c r="A614" s="180" t="n"/>
      <c r="B614" s="182" t="n"/>
      <c r="C614" s="278" t="n"/>
      <c r="D614" s="181" t="n"/>
      <c r="E614" s="182" t="n"/>
      <c r="F614" s="278" t="n"/>
      <c r="G614" s="182" t="n"/>
      <c r="H614" s="194" t="n"/>
      <c r="I614" s="180" t="n"/>
      <c r="J614" s="194" t="n"/>
      <c r="K614" s="182" t="n"/>
      <c r="L614" s="182" t="n"/>
      <c r="M614" s="278" t="n"/>
      <c r="N614" s="181" t="n"/>
      <c r="O614" s="181" t="n"/>
      <c r="P614" s="194" t="n"/>
      <c r="Q614" s="180" t="n"/>
      <c r="R614" s="180" t="n"/>
      <c r="S614" s="182" t="n"/>
      <c r="T614" s="57" t="n"/>
      <c r="U614" s="529" t="n"/>
      <c r="V614" s="55" t="n"/>
    </row>
    <row r="615" ht="21.5" customHeight="1" s="344">
      <c r="A615" s="180" t="n"/>
      <c r="B615" s="182" t="n"/>
      <c r="C615" s="278" t="n"/>
      <c r="D615" s="181" t="n"/>
      <c r="E615" s="182" t="n"/>
      <c r="F615" s="278" t="n"/>
      <c r="G615" s="182" t="n"/>
      <c r="H615" s="194" t="n"/>
      <c r="I615" s="180" t="n"/>
      <c r="J615" s="194" t="n"/>
      <c r="K615" s="182" t="n"/>
      <c r="L615" s="182" t="n"/>
      <c r="M615" s="278" t="n"/>
      <c r="N615" s="181" t="n"/>
      <c r="O615" s="181" t="n"/>
      <c r="P615" s="194" t="n"/>
      <c r="Q615" s="180" t="n"/>
      <c r="R615" s="180" t="n"/>
      <c r="S615" s="182" t="n"/>
      <c r="T615" s="57" t="n"/>
      <c r="U615" s="529" t="n"/>
      <c r="V615" s="55" t="n"/>
    </row>
    <row r="616" ht="21.5" customHeight="1" s="344">
      <c r="A616" s="180" t="n"/>
      <c r="B616" s="182" t="n"/>
      <c r="C616" s="278" t="n"/>
      <c r="D616" s="181" t="n"/>
      <c r="E616" s="182" t="n"/>
      <c r="F616" s="278" t="n"/>
      <c r="G616" s="182" t="n"/>
      <c r="H616" s="194" t="n"/>
      <c r="I616" s="180" t="n"/>
      <c r="J616" s="194" t="n"/>
      <c r="K616" s="182" t="n"/>
      <c r="L616" s="182" t="n"/>
      <c r="M616" s="278" t="n"/>
      <c r="N616" s="181" t="n"/>
      <c r="O616" s="181" t="n"/>
      <c r="P616" s="194" t="n"/>
      <c r="Q616" s="180" t="n"/>
      <c r="R616" s="180" t="n"/>
      <c r="S616" s="182" t="n"/>
      <c r="T616" s="57" t="n"/>
      <c r="U616" s="529" t="n"/>
      <c r="V616" s="55" t="n"/>
    </row>
    <row r="617" ht="21.5" customHeight="1" s="344">
      <c r="A617" s="180" t="n"/>
      <c r="B617" s="182" t="n"/>
      <c r="C617" s="278" t="n"/>
      <c r="D617" s="181" t="n"/>
      <c r="E617" s="182" t="n"/>
      <c r="F617" s="278" t="n"/>
      <c r="G617" s="182" t="n"/>
      <c r="H617" s="194" t="n"/>
      <c r="I617" s="180" t="n"/>
      <c r="J617" s="194" t="n"/>
      <c r="K617" s="182" t="n"/>
      <c r="L617" s="182" t="n"/>
      <c r="M617" s="278" t="n"/>
      <c r="N617" s="181" t="n"/>
      <c r="O617" s="181" t="n"/>
      <c r="P617" s="194" t="n"/>
      <c r="Q617" s="180" t="n"/>
      <c r="R617" s="180" t="n"/>
      <c r="S617" s="182" t="n"/>
      <c r="T617" s="57" t="n"/>
      <c r="U617" s="529" t="n"/>
      <c r="V617" s="55" t="n"/>
    </row>
    <row r="618" ht="21.5" customHeight="1" s="344">
      <c r="A618" s="180" t="n"/>
      <c r="B618" s="182" t="n"/>
      <c r="C618" s="278" t="n"/>
      <c r="D618" s="181" t="n"/>
      <c r="E618" s="182" t="n"/>
      <c r="F618" s="278" t="n"/>
      <c r="G618" s="182" t="n"/>
      <c r="H618" s="194" t="n"/>
      <c r="I618" s="180" t="n"/>
      <c r="J618" s="194" t="n"/>
      <c r="K618" s="182" t="n"/>
      <c r="L618" s="182" t="n"/>
      <c r="M618" s="278" t="n"/>
      <c r="N618" s="181" t="n"/>
      <c r="O618" s="181" t="n"/>
      <c r="P618" s="194" t="n"/>
      <c r="Q618" s="180" t="n"/>
      <c r="R618" s="180" t="n"/>
      <c r="S618" s="182" t="n"/>
      <c r="T618" s="57" t="n"/>
      <c r="U618" s="529" t="n"/>
      <c r="V618" s="55" t="n"/>
    </row>
    <row r="619" ht="21.5" customHeight="1" s="344">
      <c r="A619" s="180" t="n"/>
      <c r="B619" s="182" t="n"/>
      <c r="C619" s="278" t="n"/>
      <c r="D619" s="181" t="n"/>
      <c r="E619" s="182" t="n"/>
      <c r="F619" s="278" t="n"/>
      <c r="G619" s="182" t="n"/>
      <c r="H619" s="194" t="n"/>
      <c r="I619" s="180" t="n"/>
      <c r="J619" s="194" t="n"/>
      <c r="K619" s="182" t="n"/>
      <c r="L619" s="182" t="n"/>
      <c r="M619" s="278" t="n"/>
      <c r="N619" s="181" t="n"/>
      <c r="O619" s="181" t="n"/>
      <c r="P619" s="194" t="n"/>
      <c r="Q619" s="180" t="n"/>
      <c r="R619" s="180" t="n"/>
      <c r="S619" s="182" t="n"/>
      <c r="T619" s="57" t="n"/>
      <c r="U619" s="529" t="n"/>
      <c r="V619" s="55" t="n"/>
    </row>
    <row r="620" ht="21.5" customHeight="1" s="344">
      <c r="A620" s="180" t="n"/>
      <c r="B620" s="182" t="n"/>
      <c r="C620" s="278" t="n"/>
      <c r="D620" s="181" t="n"/>
      <c r="E620" s="182" t="n"/>
      <c r="F620" s="278" t="n"/>
      <c r="G620" s="182" t="n"/>
      <c r="H620" s="194" t="n"/>
      <c r="I620" s="180" t="n"/>
      <c r="J620" s="194" t="n"/>
      <c r="K620" s="182" t="n"/>
      <c r="L620" s="182" t="n"/>
      <c r="M620" s="278" t="n"/>
      <c r="N620" s="181" t="n"/>
      <c r="O620" s="181" t="n"/>
      <c r="P620" s="194" t="n"/>
      <c r="Q620" s="180" t="n"/>
      <c r="R620" s="180" t="n"/>
      <c r="S620" s="182" t="n"/>
      <c r="T620" s="57" t="n"/>
      <c r="U620" s="529" t="n"/>
      <c r="V620" s="55" t="n"/>
    </row>
    <row r="621" ht="21.5" customHeight="1" s="344">
      <c r="A621" s="180" t="n"/>
      <c r="B621" s="182" t="n"/>
      <c r="C621" s="278" t="n"/>
      <c r="D621" s="181" t="n"/>
      <c r="E621" s="182" t="n"/>
      <c r="F621" s="278" t="n"/>
      <c r="G621" s="182" t="n"/>
      <c r="H621" s="194" t="n"/>
      <c r="I621" s="180" t="n"/>
      <c r="J621" s="194" t="n"/>
      <c r="K621" s="182" t="n"/>
      <c r="L621" s="182" t="n"/>
      <c r="M621" s="278" t="n"/>
      <c r="N621" s="181" t="n"/>
      <c r="O621" s="181" t="n"/>
      <c r="P621" s="194" t="n"/>
      <c r="Q621" s="180" t="n"/>
      <c r="R621" s="180" t="n"/>
      <c r="S621" s="182" t="n"/>
      <c r="T621" s="57" t="n"/>
      <c r="U621" s="529" t="n"/>
      <c r="V621" s="55" t="n"/>
    </row>
    <row r="622" ht="21.5" customHeight="1" s="344">
      <c r="A622" s="180" t="n"/>
      <c r="B622" s="182" t="n"/>
      <c r="C622" s="278" t="n"/>
      <c r="D622" s="181" t="n"/>
      <c r="E622" s="182" t="n"/>
      <c r="F622" s="278" t="n"/>
      <c r="G622" s="182" t="n"/>
      <c r="H622" s="194" t="n"/>
      <c r="I622" s="180" t="n"/>
      <c r="J622" s="194" t="n"/>
      <c r="K622" s="182" t="n"/>
      <c r="L622" s="182" t="n"/>
      <c r="M622" s="278" t="n"/>
      <c r="N622" s="181" t="n"/>
      <c r="O622" s="181" t="n"/>
      <c r="P622" s="194" t="n"/>
      <c r="Q622" s="180" t="n"/>
      <c r="R622" s="180" t="n"/>
      <c r="S622" s="182" t="n"/>
      <c r="T622" s="57" t="n"/>
      <c r="U622" s="529" t="n"/>
      <c r="V622" s="55" t="n"/>
    </row>
    <row r="623" ht="21.5" customHeight="1" s="344">
      <c r="A623" s="180" t="n"/>
      <c r="B623" s="182" t="n"/>
      <c r="C623" s="278" t="n"/>
      <c r="D623" s="181" t="n"/>
      <c r="E623" s="182" t="n"/>
      <c r="F623" s="278" t="n"/>
      <c r="G623" s="182" t="n"/>
      <c r="H623" s="194" t="n"/>
      <c r="I623" s="180" t="n"/>
      <c r="J623" s="194" t="n"/>
      <c r="K623" s="182" t="n"/>
      <c r="L623" s="182" t="n"/>
      <c r="M623" s="278" t="n"/>
      <c r="N623" s="181" t="n"/>
      <c r="O623" s="181" t="n"/>
      <c r="P623" s="194" t="n"/>
      <c r="Q623" s="180" t="n"/>
      <c r="R623" s="180" t="n"/>
      <c r="S623" s="182" t="n"/>
      <c r="T623" s="57" t="n"/>
      <c r="U623" s="529" t="n"/>
      <c r="V623" s="55" t="n"/>
    </row>
    <row r="624" ht="21.5" customHeight="1" s="344">
      <c r="A624" s="180" t="n"/>
      <c r="B624" s="182" t="n"/>
      <c r="C624" s="278" t="n"/>
      <c r="D624" s="181" t="n"/>
      <c r="E624" s="182" t="n"/>
      <c r="F624" s="278" t="n"/>
      <c r="G624" s="182" t="n"/>
      <c r="H624" s="194" t="n"/>
      <c r="I624" s="180" t="n"/>
      <c r="J624" s="194" t="n"/>
      <c r="K624" s="182" t="n"/>
      <c r="L624" s="182" t="n"/>
      <c r="M624" s="278" t="n"/>
      <c r="N624" s="181" t="n"/>
      <c r="O624" s="181" t="n"/>
      <c r="P624" s="194" t="n"/>
      <c r="Q624" s="180" t="n"/>
      <c r="R624" s="180" t="n"/>
      <c r="S624" s="182" t="n"/>
      <c r="T624" s="57" t="n"/>
      <c r="U624" s="529" t="n"/>
      <c r="V624" s="55" t="n"/>
    </row>
    <row r="625" ht="21.5" customHeight="1" s="344">
      <c r="A625" s="180" t="n"/>
      <c r="B625" s="182" t="n"/>
      <c r="C625" s="278" t="n"/>
      <c r="D625" s="181" t="n"/>
      <c r="E625" s="182" t="n"/>
      <c r="F625" s="278" t="n"/>
      <c r="G625" s="182" t="n"/>
      <c r="H625" s="194" t="n"/>
      <c r="I625" s="180" t="n"/>
      <c r="J625" s="194" t="n"/>
      <c r="K625" s="182" t="n"/>
      <c r="L625" s="182" t="n"/>
      <c r="M625" s="278" t="n"/>
      <c r="N625" s="181" t="n"/>
      <c r="O625" s="181" t="n"/>
      <c r="P625" s="194" t="n"/>
      <c r="Q625" s="180" t="n"/>
      <c r="R625" s="180" t="n"/>
      <c r="S625" s="182" t="n"/>
      <c r="T625" s="57" t="n"/>
      <c r="U625" s="529" t="n"/>
      <c r="V625" s="55" t="n"/>
    </row>
    <row r="626" ht="21.5" customHeight="1" s="344">
      <c r="A626" s="180" t="n"/>
      <c r="B626" s="182" t="n"/>
      <c r="C626" s="278" t="n"/>
      <c r="D626" s="181" t="n"/>
      <c r="E626" s="182" t="n"/>
      <c r="F626" s="278" t="n"/>
      <c r="G626" s="182" t="n"/>
      <c r="H626" s="194" t="n"/>
      <c r="I626" s="180" t="n"/>
      <c r="J626" s="194" t="n"/>
      <c r="K626" s="182" t="n"/>
      <c r="L626" s="182" t="n"/>
      <c r="M626" s="278" t="n"/>
      <c r="N626" s="181" t="n"/>
      <c r="O626" s="181" t="n"/>
      <c r="P626" s="194" t="n"/>
      <c r="Q626" s="180" t="n"/>
      <c r="R626" s="180" t="n"/>
      <c r="S626" s="182" t="n"/>
      <c r="T626" s="57" t="n"/>
      <c r="U626" s="529" t="n"/>
      <c r="V626" s="55" t="n"/>
    </row>
    <row r="627" ht="21.5" customHeight="1" s="344">
      <c r="A627" s="180" t="n"/>
      <c r="B627" s="182" t="n"/>
      <c r="C627" s="278" t="n"/>
      <c r="D627" s="181" t="n"/>
      <c r="E627" s="182" t="n"/>
      <c r="F627" s="278" t="n"/>
      <c r="G627" s="182" t="n"/>
      <c r="H627" s="194" t="n"/>
      <c r="I627" s="180" t="n"/>
      <c r="J627" s="194" t="n"/>
      <c r="K627" s="182" t="n"/>
      <c r="L627" s="182" t="n"/>
      <c r="M627" s="278" t="n"/>
      <c r="N627" s="181" t="n"/>
      <c r="O627" s="181" t="n"/>
      <c r="P627" s="194" t="n"/>
      <c r="Q627" s="180" t="n"/>
      <c r="R627" s="180" t="n"/>
      <c r="S627" s="182" t="n"/>
      <c r="T627" s="57" t="n"/>
      <c r="U627" s="529" t="n"/>
      <c r="V627" s="55" t="n"/>
    </row>
    <row r="628" ht="21.5" customHeight="1" s="344">
      <c r="A628" s="180" t="n"/>
      <c r="B628" s="182" t="n"/>
      <c r="C628" s="278" t="n"/>
      <c r="D628" s="181" t="n"/>
      <c r="E628" s="182" t="n"/>
      <c r="F628" s="278" t="n"/>
      <c r="G628" s="182" t="n"/>
      <c r="H628" s="194" t="n"/>
      <c r="I628" s="180" t="n"/>
      <c r="J628" s="194" t="n"/>
      <c r="K628" s="182" t="n"/>
      <c r="L628" s="182" t="n"/>
      <c r="M628" s="278" t="n"/>
      <c r="N628" s="181" t="n"/>
      <c r="O628" s="181" t="n"/>
      <c r="P628" s="194" t="n"/>
      <c r="Q628" s="180" t="n"/>
      <c r="R628" s="180" t="n"/>
      <c r="S628" s="182" t="n"/>
      <c r="T628" s="57" t="n"/>
      <c r="U628" s="529" t="n"/>
      <c r="V628" s="55" t="n"/>
    </row>
    <row r="629" ht="21.5" customHeight="1" s="344">
      <c r="A629" s="180" t="n"/>
      <c r="B629" s="182" t="n"/>
      <c r="C629" s="278" t="n"/>
      <c r="D629" s="181" t="n"/>
      <c r="E629" s="182" t="n"/>
      <c r="F629" s="278" t="n"/>
      <c r="G629" s="182" t="n"/>
      <c r="H629" s="194" t="n"/>
      <c r="I629" s="180" t="n"/>
      <c r="J629" s="194" t="n"/>
      <c r="K629" s="182" t="n"/>
      <c r="L629" s="182" t="n"/>
      <c r="M629" s="278" t="n"/>
      <c r="N629" s="181" t="n"/>
      <c r="O629" s="181" t="n"/>
      <c r="P629" s="194" t="n"/>
      <c r="Q629" s="180" t="n"/>
      <c r="R629" s="180" t="n"/>
      <c r="S629" s="182" t="n"/>
      <c r="T629" s="57" t="n"/>
      <c r="U629" s="529" t="n"/>
      <c r="V629" s="55" t="n"/>
    </row>
    <row r="630" ht="21.5" customHeight="1" s="344">
      <c r="A630" s="180" t="n"/>
      <c r="B630" s="182" t="n"/>
      <c r="C630" s="278" t="n"/>
      <c r="D630" s="181" t="n"/>
      <c r="E630" s="182" t="n"/>
      <c r="F630" s="278" t="n"/>
      <c r="G630" s="182" t="n"/>
      <c r="H630" s="194" t="n"/>
      <c r="I630" s="180" t="n"/>
      <c r="J630" s="194" t="n"/>
      <c r="K630" s="182" t="n"/>
      <c r="L630" s="182" t="n"/>
      <c r="M630" s="278" t="n"/>
      <c r="N630" s="181" t="n"/>
      <c r="O630" s="181" t="n"/>
      <c r="P630" s="194" t="n"/>
      <c r="Q630" s="180" t="n"/>
      <c r="R630" s="180" t="n"/>
      <c r="S630" s="182" t="n"/>
      <c r="T630" s="57" t="n"/>
      <c r="U630" s="529" t="n"/>
      <c r="V630" s="55" t="n"/>
    </row>
    <row r="631" ht="21.5" customHeight="1" s="344">
      <c r="A631" s="180" t="n"/>
      <c r="B631" s="182" t="n"/>
      <c r="C631" s="278" t="n"/>
      <c r="D631" s="181" t="n"/>
      <c r="E631" s="182" t="n"/>
      <c r="F631" s="278" t="n"/>
      <c r="G631" s="182" t="n"/>
      <c r="H631" s="194" t="n"/>
      <c r="I631" s="180" t="n"/>
      <c r="J631" s="194" t="n"/>
      <c r="K631" s="182" t="n"/>
      <c r="L631" s="182" t="n"/>
      <c r="M631" s="278" t="n"/>
      <c r="N631" s="181" t="n"/>
      <c r="O631" s="181" t="n"/>
      <c r="P631" s="194" t="n"/>
      <c r="Q631" s="180" t="n"/>
      <c r="R631" s="180" t="n"/>
      <c r="S631" s="182" t="n"/>
      <c r="T631" s="57" t="n"/>
      <c r="U631" s="529" t="n"/>
      <c r="V631" s="55" t="n"/>
    </row>
    <row r="632" ht="21.5" customHeight="1" s="344">
      <c r="A632" s="180" t="n"/>
      <c r="B632" s="182" t="n"/>
      <c r="C632" s="278" t="n"/>
      <c r="D632" s="181" t="n"/>
      <c r="E632" s="182" t="n"/>
      <c r="F632" s="278" t="n"/>
      <c r="G632" s="182" t="n"/>
      <c r="H632" s="194" t="n"/>
      <c r="I632" s="180" t="n"/>
      <c r="J632" s="194" t="n"/>
      <c r="K632" s="182" t="n"/>
      <c r="L632" s="182" t="n"/>
      <c r="M632" s="278" t="n"/>
      <c r="N632" s="181" t="n"/>
      <c r="O632" s="181" t="n"/>
      <c r="P632" s="194" t="n"/>
      <c r="Q632" s="180" t="n"/>
      <c r="R632" s="180" t="n"/>
      <c r="S632" s="182" t="n"/>
      <c r="T632" s="57" t="n"/>
      <c r="U632" s="529" t="n"/>
      <c r="V632" s="55" t="n"/>
    </row>
    <row r="633" ht="21.5" customHeight="1" s="344">
      <c r="A633" s="180" t="n"/>
      <c r="B633" s="182" t="n"/>
      <c r="C633" s="278" t="n"/>
      <c r="D633" s="181" t="n"/>
      <c r="E633" s="182" t="n"/>
      <c r="F633" s="278" t="n"/>
      <c r="G633" s="182" t="n"/>
      <c r="H633" s="194" t="n"/>
      <c r="I633" s="180" t="n"/>
      <c r="J633" s="194" t="n"/>
      <c r="K633" s="182" t="n"/>
      <c r="L633" s="182" t="n"/>
      <c r="M633" s="278" t="n"/>
      <c r="N633" s="181" t="n"/>
      <c r="O633" s="181" t="n"/>
      <c r="P633" s="194" t="n"/>
      <c r="Q633" s="180" t="n"/>
      <c r="R633" s="180" t="n"/>
      <c r="S633" s="182" t="n"/>
      <c r="T633" s="57" t="n"/>
      <c r="U633" s="529" t="n"/>
      <c r="V633" s="55" t="n"/>
    </row>
    <row r="634" ht="21.5" customHeight="1" s="344">
      <c r="A634" s="180" t="n"/>
      <c r="B634" s="182" t="n"/>
      <c r="C634" s="278" t="n"/>
      <c r="D634" s="181" t="n"/>
      <c r="E634" s="182" t="n"/>
      <c r="F634" s="278" t="n"/>
      <c r="G634" s="182" t="n"/>
      <c r="H634" s="194" t="n"/>
      <c r="I634" s="180" t="n"/>
      <c r="J634" s="194" t="n"/>
      <c r="K634" s="182" t="n"/>
      <c r="L634" s="182" t="n"/>
      <c r="M634" s="278" t="n"/>
      <c r="N634" s="181" t="n"/>
      <c r="O634" s="181" t="n"/>
      <c r="P634" s="194" t="n"/>
      <c r="Q634" s="180" t="n"/>
      <c r="R634" s="180" t="n"/>
      <c r="S634" s="182" t="n"/>
      <c r="T634" s="57" t="n"/>
      <c r="U634" s="529" t="n"/>
      <c r="V634" s="55" t="n"/>
    </row>
    <row r="635" ht="21.5" customHeight="1" s="344">
      <c r="A635" s="180" t="n"/>
      <c r="B635" s="182" t="n"/>
      <c r="C635" s="278" t="n"/>
      <c r="D635" s="181" t="n"/>
      <c r="E635" s="182" t="n"/>
      <c r="F635" s="278" t="n"/>
      <c r="G635" s="182" t="n"/>
      <c r="H635" s="194" t="n"/>
      <c r="I635" s="180" t="n"/>
      <c r="J635" s="194" t="n"/>
      <c r="K635" s="182" t="n"/>
      <c r="L635" s="182" t="n"/>
      <c r="M635" s="278" t="n"/>
      <c r="N635" s="181" t="n"/>
      <c r="O635" s="181" t="n"/>
      <c r="P635" s="194" t="n"/>
      <c r="Q635" s="180" t="n"/>
      <c r="R635" s="180" t="n"/>
      <c r="S635" s="182" t="n"/>
      <c r="T635" s="57" t="n"/>
      <c r="U635" s="529" t="n"/>
      <c r="V635" s="55" t="n"/>
    </row>
    <row r="636" ht="21.5" customHeight="1" s="344">
      <c r="A636" s="180" t="n"/>
      <c r="B636" s="182" t="n"/>
      <c r="C636" s="278" t="n"/>
      <c r="D636" s="181" t="n"/>
      <c r="E636" s="182" t="n"/>
      <c r="F636" s="278" t="n"/>
      <c r="G636" s="182" t="n"/>
      <c r="H636" s="194" t="n"/>
      <c r="I636" s="180" t="n"/>
      <c r="J636" s="194" t="n"/>
      <c r="K636" s="182" t="n"/>
      <c r="L636" s="182" t="n"/>
      <c r="M636" s="278" t="n"/>
      <c r="N636" s="181" t="n"/>
      <c r="O636" s="181" t="n"/>
      <c r="P636" s="194" t="n"/>
      <c r="Q636" s="180" t="n"/>
      <c r="R636" s="180" t="n"/>
      <c r="S636" s="182" t="n"/>
      <c r="T636" s="57" t="n"/>
      <c r="U636" s="529" t="n"/>
      <c r="V636" s="55" t="n"/>
    </row>
    <row r="637" ht="21.5" customHeight="1" s="344">
      <c r="A637" s="180" t="n"/>
      <c r="B637" s="182" t="n"/>
      <c r="C637" s="278" t="n"/>
      <c r="D637" s="181" t="n"/>
      <c r="E637" s="182" t="n"/>
      <c r="F637" s="278" t="n"/>
      <c r="G637" s="182" t="n"/>
      <c r="H637" s="194" t="n"/>
      <c r="I637" s="180" t="n"/>
      <c r="J637" s="194" t="n"/>
      <c r="K637" s="182" t="n"/>
      <c r="L637" s="182" t="n"/>
      <c r="M637" s="278" t="n"/>
      <c r="N637" s="181" t="n"/>
      <c r="O637" s="181" t="n"/>
      <c r="P637" s="194" t="n"/>
      <c r="Q637" s="180" t="n"/>
      <c r="R637" s="180" t="n"/>
      <c r="S637" s="182" t="n"/>
      <c r="T637" s="57" t="n"/>
      <c r="U637" s="529" t="n"/>
      <c r="V637" s="55" t="n"/>
    </row>
    <row r="638" ht="21.5" customHeight="1" s="344">
      <c r="A638" s="180" t="n"/>
      <c r="B638" s="182" t="n"/>
      <c r="C638" s="278" t="n"/>
      <c r="D638" s="181" t="n"/>
      <c r="E638" s="182" t="n"/>
      <c r="F638" s="278" t="n"/>
      <c r="G638" s="182" t="n"/>
      <c r="H638" s="194" t="n"/>
      <c r="I638" s="180" t="n"/>
      <c r="J638" s="194" t="n"/>
      <c r="K638" s="182" t="n"/>
      <c r="L638" s="182" t="n"/>
      <c r="M638" s="278" t="n"/>
      <c r="N638" s="181" t="n"/>
      <c r="O638" s="181" t="n"/>
      <c r="P638" s="194" t="n"/>
      <c r="Q638" s="180" t="n"/>
      <c r="R638" s="180" t="n"/>
      <c r="S638" s="182" t="n"/>
      <c r="T638" s="57" t="n"/>
      <c r="U638" s="529" t="n"/>
      <c r="V638" s="55" t="n"/>
    </row>
    <row r="639" ht="21.5" customHeight="1" s="344">
      <c r="A639" s="180" t="n"/>
      <c r="B639" s="182" t="n"/>
      <c r="C639" s="278" t="n"/>
      <c r="D639" s="181" t="n"/>
      <c r="E639" s="182" t="n"/>
      <c r="F639" s="278" t="n"/>
      <c r="G639" s="182" t="n"/>
      <c r="H639" s="194" t="n"/>
      <c r="I639" s="180" t="n"/>
      <c r="J639" s="194" t="n"/>
      <c r="K639" s="182" t="n"/>
      <c r="L639" s="182" t="n"/>
      <c r="M639" s="278" t="n"/>
      <c r="N639" s="181" t="n"/>
      <c r="O639" s="181" t="n"/>
      <c r="P639" s="194" t="n"/>
      <c r="Q639" s="180" t="n"/>
      <c r="R639" s="180" t="n"/>
      <c r="S639" s="182" t="n"/>
      <c r="T639" s="57" t="n"/>
      <c r="U639" s="529" t="n"/>
      <c r="V639" s="55" t="n"/>
    </row>
    <row r="640" ht="21.5" customHeight="1" s="344">
      <c r="A640" s="180" t="n"/>
      <c r="B640" s="182" t="n"/>
      <c r="C640" s="278" t="n"/>
      <c r="D640" s="181" t="n"/>
      <c r="E640" s="182" t="n"/>
      <c r="F640" s="278" t="n"/>
      <c r="G640" s="182" t="n"/>
      <c r="H640" s="194" t="n"/>
      <c r="I640" s="180" t="n"/>
      <c r="J640" s="194" t="n"/>
      <c r="K640" s="182" t="n"/>
      <c r="L640" s="182" t="n"/>
      <c r="M640" s="278" t="n"/>
      <c r="N640" s="181" t="n"/>
      <c r="O640" s="181" t="n"/>
      <c r="P640" s="194" t="n"/>
      <c r="Q640" s="180" t="n"/>
      <c r="R640" s="180" t="n"/>
      <c r="S640" s="182" t="n"/>
      <c r="T640" s="57" t="n"/>
      <c r="U640" s="529" t="n"/>
      <c r="V640" s="55" t="n"/>
    </row>
    <row r="641" ht="21.5" customHeight="1" s="344">
      <c r="A641" s="180" t="n"/>
      <c r="B641" s="182" t="n"/>
      <c r="C641" s="278" t="n"/>
      <c r="D641" s="181" t="n"/>
      <c r="E641" s="182" t="n"/>
      <c r="F641" s="278" t="n"/>
      <c r="G641" s="182" t="n"/>
      <c r="H641" s="194" t="n"/>
      <c r="I641" s="180" t="n"/>
      <c r="J641" s="194" t="n"/>
      <c r="K641" s="182" t="n"/>
      <c r="L641" s="182" t="n"/>
      <c r="M641" s="278" t="n"/>
      <c r="N641" s="181" t="n"/>
      <c r="O641" s="181" t="n"/>
      <c r="P641" s="194" t="n"/>
      <c r="Q641" s="180" t="n"/>
      <c r="R641" s="180" t="n"/>
      <c r="S641" s="182" t="n"/>
      <c r="T641" s="57" t="n"/>
      <c r="U641" s="529" t="n"/>
      <c r="V641" s="55" t="n"/>
    </row>
    <row r="642" ht="21.5" customHeight="1" s="344">
      <c r="A642" s="180" t="n"/>
      <c r="B642" s="182" t="n"/>
      <c r="C642" s="278" t="n"/>
      <c r="D642" s="181" t="n"/>
      <c r="E642" s="182" t="n"/>
      <c r="F642" s="278" t="n"/>
      <c r="G642" s="182" t="n"/>
      <c r="H642" s="194" t="n"/>
      <c r="I642" s="180" t="n"/>
      <c r="J642" s="194" t="n"/>
      <c r="K642" s="182" t="n"/>
      <c r="L642" s="182" t="n"/>
      <c r="M642" s="278" t="n"/>
      <c r="N642" s="181" t="n"/>
      <c r="O642" s="181" t="n"/>
      <c r="P642" s="194" t="n"/>
      <c r="Q642" s="180" t="n"/>
      <c r="R642" s="180" t="n"/>
      <c r="S642" s="182" t="n"/>
      <c r="T642" s="57" t="n"/>
      <c r="U642" s="529" t="n"/>
      <c r="V642" s="55" t="n"/>
    </row>
    <row r="643" ht="21.5" customHeight="1" s="344">
      <c r="A643" s="180" t="n"/>
      <c r="B643" s="182" t="n"/>
      <c r="C643" s="278" t="n"/>
      <c r="D643" s="181" t="n"/>
      <c r="E643" s="182" t="n"/>
      <c r="F643" s="278" t="n"/>
      <c r="G643" s="182" t="n"/>
      <c r="H643" s="194" t="n"/>
      <c r="I643" s="180" t="n"/>
      <c r="J643" s="194" t="n"/>
      <c r="K643" s="182" t="n"/>
      <c r="L643" s="182" t="n"/>
      <c r="M643" s="278" t="n"/>
      <c r="N643" s="181" t="n"/>
      <c r="O643" s="181" t="n"/>
      <c r="P643" s="194" t="n"/>
      <c r="Q643" s="180" t="n"/>
      <c r="R643" s="180" t="n"/>
      <c r="S643" s="182" t="n"/>
      <c r="T643" s="57" t="n"/>
      <c r="U643" s="529" t="n"/>
      <c r="V643" s="55" t="n"/>
    </row>
    <row r="644" ht="21.5" customHeight="1" s="344">
      <c r="A644" s="180" t="n"/>
      <c r="B644" s="182" t="n"/>
      <c r="C644" s="278" t="n"/>
      <c r="D644" s="181" t="n"/>
      <c r="E644" s="182" t="n"/>
      <c r="F644" s="278" t="n"/>
      <c r="G644" s="182" t="n"/>
      <c r="H644" s="194" t="n"/>
      <c r="I644" s="180" t="n"/>
      <c r="J644" s="194" t="n"/>
      <c r="K644" s="182" t="n"/>
      <c r="L644" s="182" t="n"/>
      <c r="M644" s="278" t="n"/>
      <c r="N644" s="181" t="n"/>
      <c r="O644" s="181" t="n"/>
      <c r="P644" s="194" t="n"/>
      <c r="Q644" s="180" t="n"/>
      <c r="R644" s="180" t="n"/>
      <c r="S644" s="182" t="n"/>
      <c r="T644" s="57" t="n"/>
      <c r="U644" s="529" t="n"/>
      <c r="V644" s="55" t="n"/>
    </row>
    <row r="645" ht="21.5" customHeight="1" s="344">
      <c r="A645" s="180" t="n"/>
      <c r="B645" s="182" t="n"/>
      <c r="C645" s="278" t="n"/>
      <c r="D645" s="181" t="n"/>
      <c r="E645" s="182" t="n"/>
      <c r="F645" s="278" t="n"/>
      <c r="G645" s="182" t="n"/>
      <c r="H645" s="194" t="n"/>
      <c r="I645" s="180" t="n"/>
      <c r="J645" s="194" t="n"/>
      <c r="K645" s="182" t="n"/>
      <c r="L645" s="182" t="n"/>
      <c r="M645" s="278" t="n"/>
      <c r="N645" s="181" t="n"/>
      <c r="O645" s="181" t="n"/>
      <c r="P645" s="194" t="n"/>
      <c r="Q645" s="180" t="n"/>
      <c r="R645" s="180" t="n"/>
      <c r="S645" s="182" t="n"/>
      <c r="T645" s="57" t="n"/>
      <c r="U645" s="529" t="n"/>
      <c r="V645" s="55" t="n"/>
    </row>
    <row r="646" ht="21.5" customHeight="1" s="344">
      <c r="A646" s="180" t="n"/>
      <c r="B646" s="182" t="n"/>
      <c r="C646" s="278" t="n"/>
      <c r="D646" s="181" t="n"/>
      <c r="E646" s="182" t="n"/>
      <c r="F646" s="278" t="n"/>
      <c r="G646" s="182" t="n"/>
      <c r="H646" s="194" t="n"/>
      <c r="I646" s="180" t="n"/>
      <c r="J646" s="194" t="n"/>
      <c r="K646" s="182" t="n"/>
      <c r="L646" s="182" t="n"/>
      <c r="M646" s="278" t="n"/>
      <c r="N646" s="181" t="n"/>
      <c r="O646" s="181" t="n"/>
      <c r="P646" s="194" t="n"/>
      <c r="Q646" s="180" t="n"/>
      <c r="R646" s="180" t="n"/>
      <c r="S646" s="182" t="n"/>
      <c r="T646" s="57" t="n"/>
      <c r="U646" s="529" t="n"/>
      <c r="V646" s="55" t="n"/>
    </row>
    <row r="647" ht="21.5" customHeight="1" s="344">
      <c r="A647" s="180" t="n"/>
      <c r="B647" s="182" t="n"/>
      <c r="C647" s="278" t="n"/>
      <c r="D647" s="181" t="n"/>
      <c r="E647" s="182" t="n"/>
      <c r="F647" s="278" t="n"/>
      <c r="G647" s="182" t="n"/>
      <c r="H647" s="194" t="n"/>
      <c r="I647" s="180" t="n"/>
      <c r="J647" s="194" t="n"/>
      <c r="K647" s="182" t="n"/>
      <c r="L647" s="182" t="n"/>
      <c r="M647" s="278" t="n"/>
      <c r="N647" s="181" t="n"/>
      <c r="O647" s="181" t="n"/>
      <c r="P647" s="194" t="n"/>
      <c r="Q647" s="180" t="n"/>
      <c r="R647" s="180" t="n"/>
      <c r="S647" s="182" t="n"/>
      <c r="T647" s="57" t="n"/>
      <c r="U647" s="529" t="n"/>
      <c r="V647" s="55" t="n"/>
    </row>
    <row r="648" ht="21.5" customHeight="1" s="344">
      <c r="A648" s="180" t="n"/>
      <c r="B648" s="182" t="n"/>
      <c r="C648" s="278" t="n"/>
      <c r="D648" s="181" t="n"/>
      <c r="E648" s="182" t="n"/>
      <c r="F648" s="278" t="n"/>
      <c r="G648" s="182" t="n"/>
      <c r="H648" s="194" t="n"/>
      <c r="I648" s="180" t="n"/>
      <c r="J648" s="194" t="n"/>
      <c r="K648" s="182" t="n"/>
      <c r="L648" s="182" t="n"/>
      <c r="M648" s="278" t="n"/>
      <c r="N648" s="181" t="n"/>
      <c r="O648" s="181" t="n"/>
      <c r="P648" s="194" t="n"/>
      <c r="Q648" s="180" t="n"/>
      <c r="R648" s="180" t="n"/>
      <c r="S648" s="182" t="n"/>
      <c r="T648" s="57" t="n"/>
      <c r="U648" s="529" t="n"/>
      <c r="V648" s="55" t="n"/>
    </row>
    <row r="649" ht="21.5" customHeight="1" s="344">
      <c r="A649" s="180" t="n"/>
      <c r="B649" s="182" t="n"/>
      <c r="C649" s="278" t="n"/>
      <c r="D649" s="181" t="n"/>
      <c r="E649" s="182" t="n"/>
      <c r="F649" s="278" t="n"/>
      <c r="G649" s="182" t="n"/>
      <c r="H649" s="194" t="n"/>
      <c r="I649" s="180" t="n"/>
      <c r="J649" s="194" t="n"/>
      <c r="K649" s="182" t="n"/>
      <c r="L649" s="182" t="n"/>
      <c r="M649" s="278" t="n"/>
      <c r="N649" s="181" t="n"/>
      <c r="O649" s="181" t="n"/>
      <c r="P649" s="194" t="n"/>
      <c r="Q649" s="180" t="n"/>
      <c r="R649" s="180" t="n"/>
      <c r="S649" s="182" t="n"/>
      <c r="T649" s="57" t="n"/>
      <c r="U649" s="529" t="n"/>
      <c r="V649" s="55" t="n"/>
    </row>
    <row r="650">
      <c r="A650" s="180" t="n"/>
      <c r="B650" s="182" t="n"/>
      <c r="C650" s="278" t="n"/>
      <c r="D650" s="181" t="n"/>
      <c r="E650" s="182" t="n"/>
      <c r="F650" s="278" t="n"/>
      <c r="G650" s="182" t="n"/>
      <c r="H650" s="194" t="n"/>
      <c r="I650" s="180" t="n"/>
      <c r="J650" s="194" t="n"/>
      <c r="K650" s="166" t="n"/>
      <c r="L650" s="182" t="n"/>
      <c r="M650" s="278" t="n"/>
      <c r="N650" s="181" t="n"/>
      <c r="O650" s="181" t="n"/>
      <c r="P650" s="194" t="n"/>
      <c r="Q650" s="180" t="n"/>
      <c r="R650" s="180" t="n"/>
      <c r="S650" s="182" t="n"/>
      <c r="T650" s="57" t="n"/>
      <c r="U650" s="529" t="n"/>
      <c r="V650" s="55" t="n"/>
    </row>
    <row r="651" ht="21.5" customHeight="1" s="344">
      <c r="A651" s="180" t="n"/>
      <c r="B651" s="182" t="n"/>
      <c r="C651" s="278" t="n"/>
      <c r="D651" s="181" t="n"/>
      <c r="E651" s="182" t="n"/>
      <c r="F651" s="278" t="n"/>
      <c r="G651" s="182" t="n"/>
      <c r="H651" s="194" t="n"/>
      <c r="I651" s="180" t="n"/>
      <c r="J651" s="194" t="n"/>
      <c r="K651" s="166" t="n"/>
      <c r="L651" s="182" t="n"/>
      <c r="M651" s="278" t="n"/>
      <c r="N651" s="181" t="n"/>
      <c r="O651" s="181" t="n"/>
      <c r="P651" s="194" t="n"/>
      <c r="Q651" s="180" t="n"/>
      <c r="R651" s="180" t="n"/>
      <c r="S651" s="182" t="n"/>
      <c r="T651" s="57" t="n"/>
      <c r="U651" s="529" t="n"/>
      <c r="V651" s="55" t="n"/>
    </row>
    <row r="652" ht="21.5" customHeight="1" s="344">
      <c r="A652" s="180" t="n"/>
      <c r="B652" s="182" t="n"/>
      <c r="C652" s="278" t="n"/>
      <c r="D652" s="181" t="n"/>
      <c r="E652" s="182" t="n"/>
      <c r="F652" s="278" t="n"/>
      <c r="G652" s="182" t="n"/>
      <c r="H652" s="194" t="n"/>
      <c r="I652" s="180" t="n"/>
      <c r="J652" s="194" t="n"/>
      <c r="K652" s="166" t="n"/>
      <c r="L652" s="182" t="n"/>
      <c r="M652" s="278" t="n"/>
      <c r="N652" s="181" t="n"/>
      <c r="O652" s="181" t="n"/>
      <c r="P652" s="194" t="n"/>
      <c r="Q652" s="180" t="n"/>
      <c r="R652" s="180" t="n"/>
      <c r="S652" s="182" t="n"/>
      <c r="T652" s="57" t="n"/>
      <c r="U652" s="529" t="n"/>
      <c r="V652" s="55" t="n"/>
    </row>
    <row r="653" ht="21.5" customHeight="1" s="344">
      <c r="A653" s="180" t="n"/>
      <c r="B653" s="182" t="n"/>
      <c r="C653" s="278" t="n"/>
      <c r="D653" s="181" t="n"/>
      <c r="E653" s="182" t="n"/>
      <c r="F653" s="278" t="n"/>
      <c r="G653" s="182" t="n"/>
      <c r="H653" s="194" t="n"/>
      <c r="I653" s="180" t="n"/>
      <c r="J653" s="194" t="n"/>
      <c r="K653" s="166" t="n"/>
      <c r="L653" s="182" t="n"/>
      <c r="M653" s="278" t="n"/>
      <c r="N653" s="181" t="n"/>
      <c r="O653" s="181" t="n"/>
      <c r="P653" s="194" t="n"/>
      <c r="Q653" s="180" t="n"/>
      <c r="R653" s="180" t="n"/>
      <c r="S653" s="182" t="n"/>
      <c r="T653" s="57" t="n"/>
      <c r="U653" s="529" t="n"/>
      <c r="V653" s="55" t="n"/>
    </row>
    <row r="654" ht="21.5" customHeight="1" s="344">
      <c r="A654" s="180" t="n"/>
      <c r="B654" s="182" t="n"/>
      <c r="C654" s="278" t="n"/>
      <c r="D654" s="181" t="n"/>
      <c r="E654" s="182" t="n"/>
      <c r="F654" s="278" t="n"/>
      <c r="G654" s="182" t="n"/>
      <c r="H654" s="194" t="n"/>
      <c r="I654" s="180" t="n"/>
      <c r="J654" s="194" t="n"/>
      <c r="K654" s="166" t="n"/>
      <c r="L654" s="182" t="n"/>
      <c r="M654" s="278" t="n"/>
      <c r="N654" s="181" t="n"/>
      <c r="O654" s="181" t="n"/>
      <c r="P654" s="194" t="n"/>
      <c r="Q654" s="180" t="n"/>
      <c r="R654" s="180" t="n"/>
      <c r="S654" s="182" t="n"/>
      <c r="T654" s="57" t="n"/>
      <c r="U654" s="529" t="n"/>
      <c r="V654" s="55" t="n"/>
    </row>
    <row r="655" ht="21.5" customHeight="1" s="344">
      <c r="A655" s="180" t="n"/>
      <c r="B655" s="182" t="n"/>
      <c r="C655" s="278" t="n"/>
      <c r="D655" s="181" t="n"/>
      <c r="E655" s="182" t="n"/>
      <c r="F655" s="278" t="n"/>
      <c r="G655" s="182" t="n"/>
      <c r="H655" s="194" t="n"/>
      <c r="I655" s="180" t="n"/>
      <c r="J655" s="194" t="n"/>
      <c r="K655" s="166" t="n"/>
      <c r="L655" s="182" t="n"/>
      <c r="M655" s="278" t="n"/>
      <c r="N655" s="181" t="n"/>
      <c r="O655" s="181" t="n"/>
      <c r="P655" s="194" t="n"/>
      <c r="Q655" s="180" t="n"/>
      <c r="R655" s="180" t="n"/>
      <c r="S655" s="182" t="n"/>
      <c r="T655" s="57" t="n"/>
      <c r="U655" s="529" t="n"/>
      <c r="V655" s="55" t="n"/>
    </row>
    <row r="656" ht="21.5" customHeight="1" s="344">
      <c r="A656" s="180" t="n"/>
      <c r="B656" s="182" t="n"/>
      <c r="C656" s="278" t="n"/>
      <c r="D656" s="181" t="n"/>
      <c r="E656" s="182" t="n"/>
      <c r="F656" s="278" t="n"/>
      <c r="G656" s="182" t="n"/>
      <c r="H656" s="194" t="n"/>
      <c r="I656" s="180" t="n"/>
      <c r="J656" s="194" t="n"/>
      <c r="K656" s="166" t="n"/>
      <c r="L656" s="182" t="n"/>
      <c r="M656" s="278" t="n"/>
      <c r="N656" s="181" t="n"/>
      <c r="O656" s="181" t="n"/>
      <c r="P656" s="194" t="n"/>
      <c r="Q656" s="180" t="n"/>
      <c r="R656" s="180" t="n"/>
      <c r="S656" s="182" t="n"/>
      <c r="T656" s="57" t="n"/>
      <c r="U656" s="529" t="n"/>
      <c r="V656" s="55" t="n"/>
    </row>
    <row r="657">
      <c r="A657" s="180" t="n"/>
      <c r="B657" s="182" t="n"/>
      <c r="C657" s="278" t="n"/>
      <c r="D657" s="181" t="n"/>
      <c r="E657" s="182" t="n"/>
      <c r="F657" s="278" t="n"/>
      <c r="G657" s="182" t="n"/>
      <c r="H657" s="194" t="n"/>
      <c r="I657" s="180" t="n"/>
      <c r="J657" s="194" t="n"/>
      <c r="K657" s="166" t="n"/>
      <c r="L657" s="182" t="n"/>
      <c r="M657" s="278" t="n"/>
      <c r="N657" s="181" t="n"/>
      <c r="O657" s="181" t="n"/>
      <c r="P657" s="194" t="n"/>
      <c r="Q657" s="180" t="n"/>
      <c r="R657" s="180" t="n"/>
      <c r="S657" s="182" t="n"/>
      <c r="T657" s="57" t="n"/>
      <c r="U657" s="529" t="n"/>
      <c r="V657" s="55" t="n"/>
    </row>
    <row r="658" ht="21.5" customHeight="1" s="344">
      <c r="A658" s="180" t="n"/>
      <c r="B658" s="182" t="n"/>
      <c r="C658" s="278" t="n"/>
      <c r="D658" s="181" t="n"/>
      <c r="E658" s="182" t="n"/>
      <c r="F658" s="278" t="n"/>
      <c r="G658" s="182" t="n"/>
      <c r="H658" s="194" t="n"/>
      <c r="I658" s="180" t="n"/>
      <c r="J658" s="194" t="n"/>
      <c r="K658" s="166" t="n"/>
      <c r="L658" s="182" t="n"/>
      <c r="M658" s="278" t="n"/>
      <c r="N658" s="181" t="n"/>
      <c r="O658" s="181" t="n"/>
      <c r="P658" s="194" t="n"/>
      <c r="Q658" s="180" t="n"/>
      <c r="R658" s="180" t="n"/>
      <c r="S658" s="182" t="n"/>
      <c r="T658" s="57" t="n"/>
      <c r="U658" s="529" t="n"/>
      <c r="V658" s="55" t="n"/>
    </row>
    <row r="659" ht="21.5" customHeight="1" s="344">
      <c r="A659" s="180" t="n"/>
      <c r="B659" s="182" t="n"/>
      <c r="C659" s="278" t="n"/>
      <c r="D659" s="181" t="n"/>
      <c r="E659" s="182" t="n"/>
      <c r="F659" s="278" t="n"/>
      <c r="G659" s="182" t="n"/>
      <c r="H659" s="194" t="n"/>
      <c r="I659" s="180" t="n"/>
      <c r="J659" s="194" t="n"/>
      <c r="K659" s="166" t="n"/>
      <c r="L659" s="182" t="n"/>
      <c r="M659" s="278" t="n"/>
      <c r="N659" s="181" t="n"/>
      <c r="O659" s="181" t="n"/>
      <c r="P659" s="194" t="n"/>
      <c r="Q659" s="180" t="n"/>
      <c r="R659" s="180" t="n"/>
      <c r="S659" s="182" t="n"/>
      <c r="T659" s="57" t="n"/>
      <c r="U659" s="529" t="n"/>
      <c r="V659" s="55" t="n"/>
    </row>
    <row r="660" ht="21.5" customHeight="1" s="344">
      <c r="A660" s="180" t="n"/>
      <c r="B660" s="182" t="n"/>
      <c r="C660" s="278" t="n"/>
      <c r="D660" s="181" t="n"/>
      <c r="E660" s="182" t="n"/>
      <c r="F660" s="278" t="n"/>
      <c r="G660" s="182" t="n"/>
      <c r="H660" s="194" t="n"/>
      <c r="I660" s="180" t="n"/>
      <c r="J660" s="194" t="n"/>
      <c r="K660" s="182" t="n"/>
      <c r="L660" s="182" t="n"/>
      <c r="M660" s="278" t="n"/>
      <c r="N660" s="181" t="n"/>
      <c r="O660" s="181" t="n"/>
      <c r="P660" s="194" t="n"/>
      <c r="Q660" s="180" t="n"/>
      <c r="R660" s="180" t="n"/>
      <c r="S660" s="182" t="n"/>
      <c r="T660" s="57" t="n"/>
      <c r="U660" s="529" t="n"/>
      <c r="V660" s="55" t="n"/>
    </row>
    <row r="661" ht="21.5" customHeight="1" s="344">
      <c r="A661" s="180" t="n"/>
      <c r="B661" s="182" t="n"/>
      <c r="C661" s="278" t="n"/>
      <c r="D661" s="181" t="n"/>
      <c r="E661" s="182" t="n"/>
      <c r="F661" s="278" t="n"/>
      <c r="G661" s="182" t="n"/>
      <c r="H661" s="194" t="n"/>
      <c r="I661" s="180" t="n"/>
      <c r="J661" s="194" t="n"/>
      <c r="K661" s="182" t="n"/>
      <c r="L661" s="182" t="n"/>
      <c r="M661" s="278" t="n"/>
      <c r="N661" s="181" t="n"/>
      <c r="O661" s="181" t="n"/>
      <c r="P661" s="194" t="n"/>
      <c r="Q661" s="180" t="n"/>
      <c r="R661" s="180" t="n"/>
      <c r="S661" s="182" t="n"/>
      <c r="T661" s="57" t="n"/>
      <c r="U661" s="529" t="n"/>
      <c r="V661" s="55" t="n"/>
    </row>
    <row r="662" ht="21.5" customHeight="1" s="344">
      <c r="A662" s="180" t="n"/>
      <c r="B662" s="182" t="n"/>
      <c r="C662" s="278" t="n"/>
      <c r="D662" s="181" t="n"/>
      <c r="E662" s="182" t="n"/>
      <c r="F662" s="278" t="n"/>
      <c r="G662" s="182" t="n"/>
      <c r="H662" s="194" t="n"/>
      <c r="I662" s="180" t="n"/>
      <c r="J662" s="194" t="n"/>
      <c r="K662" s="182" t="n"/>
      <c r="L662" s="182" t="n"/>
      <c r="M662" s="278" t="n"/>
      <c r="N662" s="181" t="n"/>
      <c r="O662" s="181" t="n"/>
      <c r="P662" s="194" t="n"/>
      <c r="Q662" s="180" t="n"/>
      <c r="R662" s="180" t="n"/>
      <c r="S662" s="182" t="n"/>
      <c r="T662" s="57" t="n"/>
      <c r="U662" s="529" t="n"/>
      <c r="V662" s="55" t="n"/>
    </row>
    <row r="663" ht="21.5" customHeight="1" s="344">
      <c r="A663" s="180" t="n"/>
      <c r="B663" s="182" t="n"/>
      <c r="C663" s="278" t="n"/>
      <c r="D663" s="181" t="n"/>
      <c r="E663" s="182" t="n"/>
      <c r="F663" s="278" t="n"/>
      <c r="G663" s="182" t="n"/>
      <c r="H663" s="194" t="n"/>
      <c r="I663" s="180" t="n"/>
      <c r="J663" s="194" t="n"/>
      <c r="K663" s="166" t="n"/>
      <c r="L663" s="182" t="n"/>
      <c r="M663" s="278" t="n"/>
      <c r="N663" s="181" t="n"/>
      <c r="O663" s="181" t="n"/>
      <c r="P663" s="194" t="n"/>
      <c r="Q663" s="180" t="n"/>
      <c r="R663" s="180" t="n"/>
      <c r="S663" s="182" t="n"/>
      <c r="T663" s="57" t="n"/>
      <c r="U663" s="529" t="n"/>
      <c r="V663" s="55" t="n"/>
    </row>
    <row r="664">
      <c r="A664" s="180" t="n"/>
      <c r="B664" s="182" t="n"/>
      <c r="C664" s="278" t="n"/>
      <c r="D664" s="181" t="n"/>
      <c r="E664" s="182" t="n"/>
      <c r="F664" s="278" t="n"/>
      <c r="G664" s="182" t="n"/>
      <c r="H664" s="194" t="n"/>
      <c r="I664" s="180" t="n"/>
      <c r="J664" s="194" t="n"/>
      <c r="K664" s="166" t="n"/>
      <c r="L664" s="182" t="n"/>
      <c r="M664" s="278" t="n"/>
      <c r="N664" s="181" t="n"/>
      <c r="O664" s="181" t="n"/>
      <c r="P664" s="194" t="n"/>
      <c r="Q664" s="180" t="n"/>
      <c r="R664" s="180" t="n"/>
      <c r="S664" s="182" t="n"/>
      <c r="T664" s="57" t="n"/>
      <c r="U664" s="529" t="n"/>
      <c r="V664" s="55" t="n"/>
    </row>
    <row r="665">
      <c r="A665" s="180" t="n"/>
      <c r="B665" s="182" t="n"/>
      <c r="C665" s="278" t="n"/>
      <c r="D665" s="181" t="n"/>
      <c r="E665" s="182" t="n"/>
      <c r="F665" s="278" t="n"/>
      <c r="G665" s="182" t="n"/>
      <c r="H665" s="194" t="n"/>
      <c r="I665" s="180" t="n"/>
      <c r="J665" s="194" t="n"/>
      <c r="K665" s="166" t="n"/>
      <c r="L665" s="182" t="n"/>
      <c r="M665" s="278" t="n"/>
      <c r="N665" s="181" t="n"/>
      <c r="O665" s="181" t="n"/>
      <c r="P665" s="194" t="n"/>
      <c r="Q665" s="180" t="n"/>
      <c r="R665" s="180" t="n"/>
      <c r="S665" s="182" t="n"/>
      <c r="T665" s="57" t="n"/>
      <c r="U665" s="529" t="n"/>
      <c r="V665" s="55" t="n"/>
    </row>
    <row r="666">
      <c r="A666" s="180" t="n"/>
      <c r="B666" s="182" t="n"/>
      <c r="C666" s="278" t="n"/>
      <c r="D666" s="181" t="n"/>
      <c r="E666" s="182" t="n"/>
      <c r="F666" s="278" t="n"/>
      <c r="G666" s="182" t="n"/>
      <c r="H666" s="194" t="n"/>
      <c r="I666" s="180" t="n"/>
      <c r="J666" s="194" t="n"/>
      <c r="K666" s="166" t="n"/>
      <c r="L666" s="182" t="n"/>
      <c r="M666" s="278" t="n"/>
      <c r="N666" s="181" t="n"/>
      <c r="O666" s="181" t="n"/>
      <c r="P666" s="194" t="n"/>
      <c r="Q666" s="180" t="n"/>
      <c r="R666" s="180" t="n"/>
      <c r="S666" s="182" t="n"/>
      <c r="T666" s="57" t="n"/>
      <c r="U666" s="529" t="n"/>
      <c r="V666" s="55" t="n"/>
    </row>
    <row r="667" ht="21.5" customHeight="1" s="344">
      <c r="A667" s="180" t="n"/>
      <c r="B667" s="182" t="n"/>
      <c r="C667" s="278" t="n"/>
      <c r="D667" s="181" t="n"/>
      <c r="E667" s="182" t="n"/>
      <c r="F667" s="278" t="n"/>
      <c r="G667" s="182" t="n"/>
      <c r="H667" s="194" t="n"/>
      <c r="I667" s="180" t="n"/>
      <c r="J667" s="194" t="n"/>
      <c r="K667" s="166" t="n"/>
      <c r="L667" s="182" t="n"/>
      <c r="M667" s="278" t="n"/>
      <c r="N667" s="181" t="n"/>
      <c r="O667" s="181" t="n"/>
      <c r="P667" s="194" t="n"/>
      <c r="Q667" s="180" t="n"/>
      <c r="R667" s="180" t="n"/>
      <c r="S667" s="182" t="n"/>
      <c r="T667" s="57" t="n"/>
      <c r="U667" s="529" t="n"/>
      <c r="V667" s="55" t="n"/>
    </row>
    <row r="668">
      <c r="A668" s="180" t="n"/>
      <c r="B668" s="182" t="n"/>
      <c r="C668" s="278" t="n"/>
      <c r="D668" s="181" t="n"/>
      <c r="E668" s="182" t="n"/>
      <c r="F668" s="278" t="n"/>
      <c r="G668" s="182" t="n"/>
      <c r="H668" s="194" t="n"/>
      <c r="I668" s="180" t="n"/>
      <c r="J668" s="194" t="n"/>
      <c r="K668" s="166" t="n"/>
      <c r="L668" s="182" t="n"/>
      <c r="M668" s="278" t="n"/>
      <c r="N668" s="181" t="n"/>
      <c r="O668" s="181" t="n"/>
      <c r="P668" s="194" t="n"/>
      <c r="Q668" s="180" t="n"/>
      <c r="R668" s="180" t="n"/>
      <c r="S668" s="182" t="n"/>
      <c r="T668" s="57" t="n"/>
      <c r="U668" s="529" t="n"/>
      <c r="V668" s="55" t="n"/>
    </row>
    <row r="669" ht="21.5" customHeight="1" s="344">
      <c r="A669" s="180" t="n"/>
      <c r="B669" s="182" t="n"/>
      <c r="C669" s="278" t="n"/>
      <c r="D669" s="181" t="n"/>
      <c r="E669" s="182" t="n"/>
      <c r="F669" s="278" t="n"/>
      <c r="G669" s="182" t="n"/>
      <c r="H669" s="194" t="n"/>
      <c r="I669" s="180" t="n"/>
      <c r="J669" s="194" t="n"/>
      <c r="K669" s="166" t="n"/>
      <c r="L669" s="182" t="n"/>
      <c r="M669" s="278" t="n"/>
      <c r="N669" s="181" t="n"/>
      <c r="O669" s="181" t="n"/>
      <c r="P669" s="194" t="n"/>
      <c r="Q669" s="180" t="n"/>
      <c r="R669" s="180" t="n"/>
      <c r="S669" s="182" t="n"/>
      <c r="T669" s="57" t="n"/>
      <c r="U669" s="529" t="n"/>
      <c r="V669" s="55" t="n"/>
    </row>
    <row r="670" ht="21.5" customHeight="1" s="344">
      <c r="A670" s="180" t="n"/>
      <c r="B670" s="182" t="n"/>
      <c r="C670" s="278" t="n"/>
      <c r="D670" s="181" t="n"/>
      <c r="E670" s="182" t="n"/>
      <c r="F670" s="278" t="n"/>
      <c r="G670" s="182" t="n"/>
      <c r="H670" s="194" t="n"/>
      <c r="I670" s="180" t="n"/>
      <c r="J670" s="194" t="n"/>
      <c r="K670" s="166" t="n"/>
      <c r="L670" s="182" t="n"/>
      <c r="M670" s="278" t="n"/>
      <c r="N670" s="181" t="n"/>
      <c r="O670" s="181" t="n"/>
      <c r="P670" s="194" t="n"/>
      <c r="Q670" s="180" t="n"/>
      <c r="R670" s="180" t="n"/>
      <c r="S670" s="182" t="n"/>
      <c r="T670" s="57" t="n"/>
      <c r="U670" s="529" t="n"/>
      <c r="V670" s="55" t="n"/>
    </row>
    <row r="671">
      <c r="A671" s="180" t="n"/>
      <c r="B671" s="182" t="n"/>
      <c r="C671" s="278" t="n"/>
      <c r="D671" s="181" t="n"/>
      <c r="E671" s="182" t="n"/>
      <c r="F671" s="278" t="n"/>
      <c r="G671" s="182" t="n"/>
      <c r="H671" s="194" t="n"/>
      <c r="I671" s="180" t="n"/>
      <c r="J671" s="194" t="n"/>
      <c r="K671" s="166" t="n"/>
      <c r="L671" s="182" t="n"/>
      <c r="M671" s="278" t="n"/>
      <c r="N671" s="181" t="n"/>
      <c r="O671" s="181" t="n"/>
      <c r="P671" s="194" t="n"/>
      <c r="Q671" s="180" t="n"/>
      <c r="R671" s="180" t="n"/>
      <c r="S671" s="182" t="n"/>
      <c r="T671" s="57" t="n"/>
      <c r="U671" s="529" t="n"/>
      <c r="V671" s="55" t="n"/>
    </row>
    <row r="672">
      <c r="A672" s="180" t="n"/>
      <c r="B672" s="182" t="n"/>
      <c r="C672" s="278" t="n"/>
      <c r="D672" s="181" t="n"/>
      <c r="E672" s="182" t="n"/>
      <c r="F672" s="278" t="n"/>
      <c r="G672" s="182" t="n"/>
      <c r="H672" s="194" t="n"/>
      <c r="I672" s="180" t="n"/>
      <c r="J672" s="194" t="n"/>
      <c r="K672" s="166" t="n"/>
      <c r="L672" s="182" t="n"/>
      <c r="M672" s="278" t="n"/>
      <c r="N672" s="181" t="n"/>
      <c r="O672" s="181" t="n"/>
      <c r="P672" s="194" t="n"/>
      <c r="Q672" s="180" t="n"/>
      <c r="R672" s="180" t="n"/>
      <c r="S672" s="182" t="n"/>
      <c r="T672" s="57" t="n"/>
      <c r="U672" s="529" t="n"/>
      <c r="V672" s="55" t="n"/>
    </row>
    <row r="673" ht="21.5" customHeight="1" s="344">
      <c r="A673" s="180" t="n"/>
      <c r="B673" s="182" t="n"/>
      <c r="C673" s="278" t="n"/>
      <c r="D673" s="181" t="n"/>
      <c r="E673" s="182" t="n"/>
      <c r="F673" s="278" t="n"/>
      <c r="G673" s="182" t="n"/>
      <c r="H673" s="194" t="n"/>
      <c r="I673" s="180" t="n"/>
      <c r="J673" s="194" t="n"/>
      <c r="K673" s="166" t="n"/>
      <c r="L673" s="182" t="n"/>
      <c r="M673" s="278" t="n"/>
      <c r="N673" s="181" t="n"/>
      <c r="O673" s="181" t="n"/>
      <c r="P673" s="194" t="n"/>
      <c r="Q673" s="180" t="n"/>
      <c r="R673" s="180" t="n"/>
      <c r="S673" s="182" t="n"/>
      <c r="T673" s="57" t="n"/>
      <c r="U673" s="529" t="n"/>
      <c r="V673" s="55" t="n"/>
    </row>
    <row r="674">
      <c r="A674" s="180" t="n"/>
      <c r="B674" s="182" t="n"/>
      <c r="C674" s="278" t="n"/>
      <c r="D674" s="181" t="n"/>
      <c r="E674" s="182" t="n"/>
      <c r="F674" s="278" t="n"/>
      <c r="G674" s="182" t="n"/>
      <c r="H674" s="194" t="n"/>
      <c r="I674" s="180" t="n"/>
      <c r="J674" s="194" t="n"/>
      <c r="K674" s="166" t="n"/>
      <c r="L674" s="182" t="n"/>
      <c r="M674" s="278" t="n"/>
      <c r="N674" s="181" t="n"/>
      <c r="O674" s="181" t="n"/>
      <c r="P674" s="194" t="n"/>
      <c r="Q674" s="180" t="n"/>
      <c r="R674" s="180" t="n"/>
      <c r="S674" s="182" t="n"/>
      <c r="T674" s="57" t="n"/>
      <c r="U674" s="529" t="n"/>
      <c r="V674" s="55" t="n"/>
    </row>
    <row r="675">
      <c r="A675" s="180" t="n"/>
      <c r="B675" s="182" t="n"/>
      <c r="C675" s="278" t="n"/>
      <c r="D675" s="181" t="n"/>
      <c r="E675" s="182" t="n"/>
      <c r="F675" s="278" t="n"/>
      <c r="G675" s="182" t="n"/>
      <c r="H675" s="194" t="n"/>
      <c r="I675" s="180" t="n"/>
      <c r="J675" s="194" t="n"/>
      <c r="K675" s="166" t="n"/>
      <c r="L675" s="182" t="n"/>
      <c r="M675" s="278" t="n"/>
      <c r="N675" s="181" t="n"/>
      <c r="O675" s="181" t="n"/>
      <c r="P675" s="194" t="n"/>
      <c r="Q675" s="180" t="n"/>
      <c r="R675" s="180" t="n"/>
      <c r="S675" s="182" t="n"/>
      <c r="T675" s="57" t="n"/>
      <c r="U675" s="529" t="n"/>
      <c r="V675" s="55" t="n"/>
    </row>
    <row r="676">
      <c r="A676" s="180" t="n"/>
      <c r="B676" s="182" t="n"/>
      <c r="C676" s="278" t="n"/>
      <c r="D676" s="181" t="n"/>
      <c r="E676" s="182" t="n"/>
      <c r="F676" s="278" t="n"/>
      <c r="G676" s="182" t="n"/>
      <c r="H676" s="194" t="n"/>
      <c r="I676" s="180" t="n"/>
      <c r="J676" s="194" t="n"/>
      <c r="K676" s="166" t="n"/>
      <c r="L676" s="182" t="n"/>
      <c r="M676" s="278" t="n"/>
      <c r="N676" s="181" t="n"/>
      <c r="O676" s="181" t="n"/>
      <c r="P676" s="194" t="n"/>
      <c r="Q676" s="180" t="n"/>
      <c r="R676" s="180" t="n"/>
      <c r="S676" s="182" t="n"/>
      <c r="T676" s="57" t="n"/>
      <c r="U676" s="529" t="n"/>
      <c r="V676" s="55" t="n"/>
    </row>
    <row r="677" ht="14.5" customHeight="1" s="344">
      <c r="A677" s="180" t="n"/>
      <c r="B677" s="182" t="n"/>
      <c r="C677" s="278" t="n"/>
      <c r="D677" s="181" t="n"/>
      <c r="E677" s="182" t="n"/>
      <c r="F677" s="278" t="n"/>
      <c r="G677" s="182" t="n"/>
      <c r="H677" s="194" t="n"/>
      <c r="I677" s="180" t="n"/>
      <c r="J677" s="194" t="n"/>
      <c r="K677" s="182" t="n"/>
      <c r="L677" s="182" t="n"/>
      <c r="M677" s="278" t="n"/>
      <c r="N677" s="181" t="n"/>
      <c r="O677" s="181" t="n"/>
      <c r="P677" s="194" t="n"/>
      <c r="Q677" s="180" t="n"/>
      <c r="R677" s="180" t="n"/>
      <c r="S677" s="182" t="n"/>
      <c r="T677" s="57" t="n"/>
      <c r="U677" s="529" t="n"/>
      <c r="V677" s="55" t="n"/>
    </row>
    <row r="678" ht="14.5" customHeight="1" s="344">
      <c r="A678" s="180" t="n"/>
      <c r="B678" s="182" t="n"/>
      <c r="C678" s="278" t="n"/>
      <c r="D678" s="181" t="n"/>
      <c r="E678" s="182" t="n"/>
      <c r="F678" s="278" t="n"/>
      <c r="G678" s="182" t="n"/>
      <c r="H678" s="194" t="n"/>
      <c r="I678" s="180" t="n"/>
      <c r="J678" s="194" t="n"/>
      <c r="K678" s="182" t="n"/>
      <c r="L678" s="182" t="n"/>
      <c r="M678" s="278" t="n"/>
      <c r="N678" s="181" t="n"/>
      <c r="O678" s="181" t="n"/>
      <c r="P678" s="194" t="n"/>
      <c r="Q678" s="180" t="n"/>
      <c r="R678" s="180" t="n"/>
      <c r="S678" s="182" t="n"/>
      <c r="T678" s="57" t="n"/>
      <c r="U678" s="529" t="n"/>
      <c r="V678" s="55" t="n"/>
    </row>
    <row r="679" ht="14.5" customHeight="1" s="344">
      <c r="A679" s="180" t="n"/>
      <c r="B679" s="182" t="n"/>
      <c r="C679" s="278" t="n"/>
      <c r="D679" s="181" t="n"/>
      <c r="E679" s="182" t="n"/>
      <c r="F679" s="278" t="n"/>
      <c r="G679" s="182" t="n"/>
      <c r="H679" s="194" t="n"/>
      <c r="I679" s="180" t="n"/>
      <c r="J679" s="194" t="n"/>
      <c r="K679" s="182" t="n"/>
      <c r="L679" s="182" t="n"/>
      <c r="M679" s="278" t="n"/>
      <c r="N679" s="181" t="n"/>
      <c r="O679" s="181" t="n"/>
      <c r="P679" s="194" t="n"/>
      <c r="Q679" s="180" t="n"/>
      <c r="R679" s="180" t="n"/>
      <c r="S679" s="182" t="n"/>
      <c r="T679" s="57" t="n"/>
      <c r="U679" s="529" t="n"/>
      <c r="V679" s="55" t="n"/>
    </row>
    <row r="680" ht="14.5" customHeight="1" s="344">
      <c r="A680" s="180" t="n"/>
      <c r="B680" s="182" t="n"/>
      <c r="C680" s="278" t="n"/>
      <c r="D680" s="181" t="n"/>
      <c r="E680" s="182" t="n"/>
      <c r="F680" s="278" t="n"/>
      <c r="G680" s="182" t="n"/>
      <c r="H680" s="194" t="n"/>
      <c r="I680" s="180" t="n"/>
      <c r="J680" s="194" t="n"/>
      <c r="K680" s="182" t="n"/>
      <c r="L680" s="182" t="n"/>
      <c r="M680" s="278" t="n"/>
      <c r="N680" s="181" t="n"/>
      <c r="O680" s="181" t="n"/>
      <c r="P680" s="194" t="n"/>
      <c r="Q680" s="180" t="n"/>
      <c r="R680" s="180" t="n"/>
      <c r="S680" s="182" t="n"/>
      <c r="T680" s="57" t="n"/>
      <c r="U680" s="529" t="n"/>
      <c r="V680" s="55" t="n"/>
    </row>
    <row r="681" ht="14.5" customHeight="1" s="344">
      <c r="A681" s="180" t="n"/>
      <c r="B681" s="182" t="n"/>
      <c r="C681" s="278" t="n"/>
      <c r="D681" s="181" t="n"/>
      <c r="E681" s="182" t="n"/>
      <c r="F681" s="278" t="n"/>
      <c r="G681" s="182" t="n"/>
      <c r="H681" s="194" t="n"/>
      <c r="I681" s="180" t="n"/>
      <c r="J681" s="194" t="n"/>
      <c r="K681" s="182" t="n"/>
      <c r="L681" s="182" t="n"/>
      <c r="M681" s="278" t="n"/>
      <c r="N681" s="181" t="n"/>
      <c r="O681" s="181" t="n"/>
      <c r="P681" s="194" t="n"/>
      <c r="Q681" s="180" t="n"/>
      <c r="R681" s="180" t="n"/>
      <c r="S681" s="182" t="n"/>
      <c r="T681" s="57" t="n"/>
      <c r="U681" s="529" t="n"/>
      <c r="V681" s="55" t="n"/>
    </row>
    <row r="682" ht="21.5" customHeight="1" s="344">
      <c r="A682" s="180" t="n"/>
      <c r="B682" s="182" t="n"/>
      <c r="C682" s="278" t="n"/>
      <c r="D682" s="181" t="n"/>
      <c r="E682" s="182" t="n"/>
      <c r="F682" s="278" t="n"/>
      <c r="G682" s="182" t="n"/>
      <c r="H682" s="194" t="n"/>
      <c r="I682" s="180" t="n"/>
      <c r="J682" s="194" t="n"/>
      <c r="K682" s="182" t="n"/>
      <c r="L682" s="182" t="n"/>
      <c r="M682" s="278" t="n"/>
      <c r="N682" s="181" t="n"/>
      <c r="O682" s="181" t="n"/>
      <c r="P682" s="194" t="n"/>
      <c r="Q682" s="180" t="n"/>
      <c r="R682" s="180" t="n"/>
      <c r="S682" s="182" t="n"/>
      <c r="T682" s="57" t="n"/>
      <c r="U682" s="529" t="n"/>
      <c r="V682" s="55" t="n"/>
    </row>
    <row r="683" ht="21.5" customHeight="1" s="344">
      <c r="A683" s="180" t="n"/>
      <c r="B683" s="182" t="n"/>
      <c r="C683" s="278" t="n"/>
      <c r="D683" s="181" t="n"/>
      <c r="E683" s="182" t="n"/>
      <c r="F683" s="278" t="n"/>
      <c r="G683" s="182" t="n"/>
      <c r="H683" s="194" t="n"/>
      <c r="I683" s="180" t="n"/>
      <c r="J683" s="194" t="n"/>
      <c r="K683" s="182" t="n"/>
      <c r="L683" s="182" t="n"/>
      <c r="M683" s="278" t="n"/>
      <c r="N683" s="181" t="n"/>
      <c r="O683" s="181" t="n"/>
      <c r="P683" s="194" t="n"/>
      <c r="Q683" s="180" t="n"/>
      <c r="R683" s="180" t="n"/>
      <c r="S683" s="182" t="n"/>
      <c r="T683" s="57" t="n"/>
      <c r="U683" s="529" t="n"/>
      <c r="V683" s="55" t="n"/>
    </row>
    <row r="684" ht="14.5" customHeight="1" s="344">
      <c r="A684" s="180" t="n"/>
      <c r="B684" s="182" t="n"/>
      <c r="C684" s="278" t="n"/>
      <c r="D684" s="181" t="n"/>
      <c r="E684" s="182" t="n"/>
      <c r="F684" s="278" t="n"/>
      <c r="G684" s="182" t="n"/>
      <c r="H684" s="194" t="n"/>
      <c r="I684" s="180" t="n"/>
      <c r="J684" s="194" t="n"/>
      <c r="K684" s="182" t="n"/>
      <c r="L684" s="182" t="n"/>
      <c r="M684" s="278" t="n"/>
      <c r="N684" s="181" t="n"/>
      <c r="O684" s="181" t="n"/>
      <c r="P684" s="194" t="n"/>
      <c r="Q684" s="180" t="n"/>
      <c r="R684" s="180" t="n"/>
      <c r="S684" s="182" t="n"/>
      <c r="T684" s="57" t="n"/>
      <c r="U684" s="529" t="n"/>
      <c r="V684" s="55" t="n"/>
    </row>
    <row r="685" ht="14.5" customHeight="1" s="344">
      <c r="A685" s="180" t="n"/>
      <c r="B685" s="182" t="n"/>
      <c r="C685" s="278" t="n"/>
      <c r="D685" s="181" t="n"/>
      <c r="E685" s="182" t="n"/>
      <c r="F685" s="278" t="n"/>
      <c r="G685" s="182" t="n"/>
      <c r="H685" s="194" t="n"/>
      <c r="I685" s="180" t="n"/>
      <c r="J685" s="194" t="n"/>
      <c r="K685" s="182" t="n"/>
      <c r="L685" s="182" t="n"/>
      <c r="M685" s="278" t="n"/>
      <c r="N685" s="181" t="n"/>
      <c r="O685" s="181" t="n"/>
      <c r="P685" s="194" t="n"/>
      <c r="Q685" s="180" t="n"/>
      <c r="R685" s="180" t="n"/>
      <c r="S685" s="182" t="n"/>
      <c r="T685" s="57" t="n"/>
      <c r="U685" s="529" t="n"/>
      <c r="V685" s="55" t="n"/>
    </row>
    <row r="686" ht="21.5" customHeight="1" s="344">
      <c r="A686" s="180" t="n"/>
      <c r="B686" s="182" t="n"/>
      <c r="C686" s="278" t="n"/>
      <c r="D686" s="181" t="n"/>
      <c r="E686" s="182" t="n"/>
      <c r="F686" s="278" t="n"/>
      <c r="G686" s="182" t="n"/>
      <c r="H686" s="194" t="n"/>
      <c r="I686" s="180" t="n"/>
      <c r="J686" s="194" t="n"/>
      <c r="K686" s="182" t="n"/>
      <c r="L686" s="182" t="n"/>
      <c r="M686" s="278" t="n"/>
      <c r="N686" s="181" t="n"/>
      <c r="O686" s="181" t="n"/>
      <c r="P686" s="194" t="n"/>
      <c r="Q686" s="180" t="n"/>
      <c r="R686" s="180" t="n"/>
      <c r="S686" s="182" t="n"/>
      <c r="T686" s="57" t="n"/>
      <c r="U686" s="529" t="n"/>
      <c r="V686" s="55" t="n"/>
    </row>
    <row r="687" ht="14.5" customHeight="1" s="344">
      <c r="A687" s="180" t="n"/>
      <c r="B687" s="182" t="n"/>
      <c r="C687" s="278" t="n"/>
      <c r="D687" s="181" t="n"/>
      <c r="E687" s="182" t="n"/>
      <c r="F687" s="278" t="n"/>
      <c r="G687" s="182" t="n"/>
      <c r="H687" s="194" t="n"/>
      <c r="I687" s="180" t="n"/>
      <c r="J687" s="194" t="n"/>
      <c r="K687" s="182" t="n"/>
      <c r="L687" s="182" t="n"/>
      <c r="M687" s="278" t="n"/>
      <c r="N687" s="181" t="n"/>
      <c r="O687" s="181" t="n"/>
      <c r="P687" s="194" t="n"/>
      <c r="Q687" s="180" t="n"/>
      <c r="R687" s="180" t="n"/>
      <c r="S687" s="182" t="n"/>
      <c r="T687" s="57" t="n"/>
      <c r="U687" s="529" t="n"/>
      <c r="V687" s="55" t="n"/>
    </row>
    <row r="688" ht="21.5" customHeight="1" s="344">
      <c r="A688" s="180" t="n"/>
      <c r="B688" s="182" t="n"/>
      <c r="C688" s="278" t="n"/>
      <c r="D688" s="181" t="n"/>
      <c r="E688" s="182" t="n"/>
      <c r="F688" s="278" t="n"/>
      <c r="G688" s="182" t="n"/>
      <c r="H688" s="194" t="n"/>
      <c r="I688" s="180" t="n"/>
      <c r="J688" s="194" t="n"/>
      <c r="K688" s="182" t="n"/>
      <c r="L688" s="182" t="n"/>
      <c r="M688" s="278" t="n"/>
      <c r="N688" s="181" t="n"/>
      <c r="O688" s="181" t="n"/>
      <c r="P688" s="194" t="n"/>
      <c r="Q688" s="180" t="n"/>
      <c r="R688" s="180" t="n"/>
      <c r="S688" s="182" t="n"/>
      <c r="T688" s="57" t="n"/>
      <c r="U688" s="529" t="n"/>
      <c r="V688" s="55" t="n"/>
    </row>
    <row r="689" ht="21.5" customHeight="1" s="344">
      <c r="A689" s="180" t="n"/>
      <c r="B689" s="182" t="n"/>
      <c r="C689" s="278" t="n"/>
      <c r="D689" s="181" t="n"/>
      <c r="E689" s="182" t="n"/>
      <c r="F689" s="278" t="n"/>
      <c r="G689" s="182" t="n"/>
      <c r="H689" s="194" t="n"/>
      <c r="I689" s="180" t="n"/>
      <c r="J689" s="194" t="n"/>
      <c r="K689" s="182" t="n"/>
      <c r="L689" s="182" t="n"/>
      <c r="M689" s="278" t="n"/>
      <c r="N689" s="181" t="n"/>
      <c r="O689" s="181" t="n"/>
      <c r="P689" s="194" t="n"/>
      <c r="Q689" s="180" t="n"/>
      <c r="R689" s="180" t="n"/>
      <c r="S689" s="182" t="n"/>
      <c r="T689" s="57" t="n"/>
      <c r="U689" s="529" t="n"/>
      <c r="V689" s="55" t="n"/>
    </row>
    <row r="690" ht="21.5" customHeight="1" s="344">
      <c r="A690" s="180" t="n"/>
      <c r="B690" s="182" t="n"/>
      <c r="C690" s="278" t="n"/>
      <c r="D690" s="181" t="n"/>
      <c r="E690" s="182" t="n"/>
      <c r="F690" s="278" t="n"/>
      <c r="G690" s="182" t="n"/>
      <c r="H690" s="194" t="n"/>
      <c r="I690" s="180" t="n"/>
      <c r="J690" s="194" t="n"/>
      <c r="K690" s="182" t="n"/>
      <c r="L690" s="182" t="n"/>
      <c r="M690" s="278" t="n"/>
      <c r="N690" s="181" t="n"/>
      <c r="O690" s="181" t="n"/>
      <c r="P690" s="194" t="n"/>
      <c r="Q690" s="180" t="n"/>
      <c r="R690" s="180" t="n"/>
      <c r="S690" s="182" t="n"/>
      <c r="T690" s="57" t="n"/>
      <c r="U690" s="529" t="n"/>
      <c r="V690" s="55" t="n"/>
    </row>
    <row r="691" ht="14.5" customHeight="1" s="344">
      <c r="A691" s="180" t="n"/>
      <c r="B691" s="182" t="n"/>
      <c r="C691" s="278" t="n"/>
      <c r="D691" s="181" t="n"/>
      <c r="E691" s="182" t="n"/>
      <c r="F691" s="278" t="n"/>
      <c r="G691" s="182" t="n"/>
      <c r="H691" s="194" t="n"/>
      <c r="I691" s="180" t="n"/>
      <c r="J691" s="194" t="n"/>
      <c r="K691" s="182" t="n"/>
      <c r="L691" s="182" t="n"/>
      <c r="M691" s="278" t="n"/>
      <c r="N691" s="181" t="n"/>
      <c r="O691" s="181" t="n"/>
      <c r="P691" s="194" t="n"/>
      <c r="Q691" s="180" t="n"/>
      <c r="R691" s="180" t="n"/>
      <c r="S691" s="182" t="n"/>
      <c r="T691" s="57" t="n"/>
      <c r="U691" s="529" t="n"/>
      <c r="V691" s="55" t="n"/>
    </row>
    <row r="692" ht="21.5" customHeight="1" s="344">
      <c r="A692" s="180" t="n"/>
      <c r="B692" s="182" t="n"/>
      <c r="C692" s="278" t="n"/>
      <c r="D692" s="181" t="n"/>
      <c r="E692" s="182" t="n"/>
      <c r="F692" s="278" t="n"/>
      <c r="G692" s="182" t="n"/>
      <c r="H692" s="194" t="n"/>
      <c r="I692" s="180" t="n"/>
      <c r="J692" s="194" t="n"/>
      <c r="K692" s="182" t="n"/>
      <c r="L692" s="182" t="n"/>
      <c r="M692" s="278" t="n"/>
      <c r="N692" s="181" t="n"/>
      <c r="O692" s="181" t="n"/>
      <c r="P692" s="194" t="n"/>
      <c r="Q692" s="180" t="n"/>
      <c r="R692" s="180" t="n"/>
      <c r="S692" s="182" t="n"/>
      <c r="T692" s="57" t="n"/>
      <c r="U692" s="529" t="n"/>
      <c r="V692" s="55" t="n"/>
    </row>
    <row r="693" ht="14.5" customHeight="1" s="344">
      <c r="A693" s="180" t="n"/>
      <c r="B693" s="182" t="n"/>
      <c r="C693" s="278" t="n"/>
      <c r="D693" s="181" t="n"/>
      <c r="E693" s="182" t="n"/>
      <c r="F693" s="278" t="n"/>
      <c r="G693" s="182" t="n"/>
      <c r="H693" s="194" t="n"/>
      <c r="I693" s="180" t="n"/>
      <c r="J693" s="194" t="n"/>
      <c r="K693" s="182" t="n"/>
      <c r="L693" s="182" t="n"/>
      <c r="M693" s="278" t="n"/>
      <c r="N693" s="181" t="n"/>
      <c r="O693" s="181" t="n"/>
      <c r="P693" s="194" t="n"/>
      <c r="Q693" s="180" t="n"/>
      <c r="R693" s="180" t="n"/>
      <c r="S693" s="182" t="n"/>
      <c r="T693" s="57" t="n"/>
      <c r="U693" s="529" t="n"/>
      <c r="V693" s="55" t="n"/>
    </row>
    <row r="694" ht="21.5" customHeight="1" s="344">
      <c r="A694" s="180" t="n"/>
      <c r="B694" s="182" t="n"/>
      <c r="C694" s="278" t="n"/>
      <c r="D694" s="181" t="n"/>
      <c r="E694" s="182" t="n"/>
      <c r="F694" s="278" t="n"/>
      <c r="G694" s="182" t="n"/>
      <c r="H694" s="194" t="n"/>
      <c r="I694" s="180" t="n"/>
      <c r="J694" s="194" t="n"/>
      <c r="K694" s="182" t="n"/>
      <c r="L694" s="182" t="n"/>
      <c r="M694" s="278" t="n"/>
      <c r="N694" s="181" t="n"/>
      <c r="O694" s="181" t="n"/>
      <c r="P694" s="194" t="n"/>
      <c r="Q694" s="180" t="n"/>
      <c r="R694" s="180" t="n"/>
      <c r="S694" s="182" t="n"/>
      <c r="T694" s="57" t="n"/>
      <c r="U694" s="529" t="n"/>
      <c r="V694" s="55" t="n"/>
    </row>
    <row r="695" ht="14.5" customHeight="1" s="344">
      <c r="A695" s="180" t="n"/>
      <c r="B695" s="182" t="n"/>
      <c r="C695" s="278" t="n"/>
      <c r="D695" s="181" t="n"/>
      <c r="E695" s="182" t="n"/>
      <c r="F695" s="278" t="n"/>
      <c r="G695" s="182" t="n"/>
      <c r="H695" s="194" t="n"/>
      <c r="I695" s="180" t="n"/>
      <c r="J695" s="194" t="n"/>
      <c r="K695" s="182" t="n"/>
      <c r="L695" s="182" t="n"/>
      <c r="M695" s="278" t="n"/>
      <c r="N695" s="181" t="n"/>
      <c r="O695" s="181" t="n"/>
      <c r="P695" s="194" t="n"/>
      <c r="Q695" s="180" t="n"/>
      <c r="R695" s="180" t="n"/>
      <c r="S695" s="182" t="n"/>
      <c r="T695" s="57" t="n"/>
      <c r="U695" s="529" t="n"/>
      <c r="V695" s="55" t="n"/>
    </row>
    <row r="696" ht="14.5" customHeight="1" s="344">
      <c r="A696" s="180" t="n"/>
      <c r="B696" s="182" t="n"/>
      <c r="C696" s="278" t="n"/>
      <c r="D696" s="181" t="n"/>
      <c r="E696" s="182" t="n"/>
      <c r="F696" s="278" t="n"/>
      <c r="G696" s="182" t="n"/>
      <c r="H696" s="194" t="n"/>
      <c r="I696" s="180" t="n"/>
      <c r="J696" s="194" t="n"/>
      <c r="K696" s="182" t="n"/>
      <c r="L696" s="182" t="n"/>
      <c r="M696" s="278" t="n"/>
      <c r="N696" s="181" t="n"/>
      <c r="O696" s="181" t="n"/>
      <c r="P696" s="194" t="n"/>
      <c r="Q696" s="180" t="n"/>
      <c r="R696" s="180" t="n"/>
      <c r="S696" s="182" t="n"/>
      <c r="T696" s="57" t="n"/>
      <c r="U696" s="529" t="n"/>
      <c r="V696" s="55" t="n"/>
    </row>
    <row r="697" ht="14.5" customHeight="1" s="344">
      <c r="A697" s="180" t="n"/>
      <c r="B697" s="182" t="n"/>
      <c r="C697" s="278" t="n"/>
      <c r="D697" s="181" t="n"/>
      <c r="E697" s="182" t="n"/>
      <c r="F697" s="278" t="n"/>
      <c r="G697" s="182" t="n"/>
      <c r="H697" s="194" t="n"/>
      <c r="I697" s="180" t="n"/>
      <c r="J697" s="194" t="n"/>
      <c r="K697" s="182" t="n"/>
      <c r="L697" s="182" t="n"/>
      <c r="M697" s="278" t="n"/>
      <c r="N697" s="181" t="n"/>
      <c r="O697" s="181" t="n"/>
      <c r="P697" s="194" t="n"/>
      <c r="Q697" s="180" t="n"/>
      <c r="R697" s="180" t="n"/>
      <c r="S697" s="182" t="n"/>
      <c r="T697" s="57" t="n"/>
      <c r="U697" s="529" t="n"/>
      <c r="V697" s="55" t="n"/>
    </row>
    <row r="698" ht="14.5" customHeight="1" s="344">
      <c r="A698" s="180" t="n"/>
      <c r="B698" s="182" t="n"/>
      <c r="C698" s="278" t="n"/>
      <c r="D698" s="181" t="n"/>
      <c r="E698" s="182" t="n"/>
      <c r="F698" s="278" t="n"/>
      <c r="G698" s="182" t="n"/>
      <c r="H698" s="194" t="n"/>
      <c r="I698" s="180" t="n"/>
      <c r="J698" s="194" t="n"/>
      <c r="K698" s="182" t="n"/>
      <c r="L698" s="182" t="n"/>
      <c r="M698" s="278" t="n"/>
      <c r="N698" s="181" t="n"/>
      <c r="O698" s="181" t="n"/>
      <c r="P698" s="194" t="n"/>
      <c r="Q698" s="180" t="n"/>
      <c r="R698" s="180" t="n"/>
      <c r="S698" s="182" t="n"/>
      <c r="T698" s="57" t="n"/>
      <c r="U698" s="529" t="n"/>
      <c r="V698" s="55" t="n"/>
    </row>
    <row r="699" ht="14.5" customHeight="1" s="344">
      <c r="A699" s="180" t="n"/>
      <c r="B699" s="182" t="n"/>
      <c r="C699" s="278" t="n"/>
      <c r="D699" s="181" t="n"/>
      <c r="E699" s="182" t="n"/>
      <c r="F699" s="278" t="n"/>
      <c r="G699" s="182" t="n"/>
      <c r="H699" s="194" t="n"/>
      <c r="I699" s="180" t="n"/>
      <c r="J699" s="194" t="n"/>
      <c r="K699" s="182" t="n"/>
      <c r="L699" s="182" t="n"/>
      <c r="M699" s="278" t="n"/>
      <c r="N699" s="181" t="n"/>
      <c r="O699" s="181" t="n"/>
      <c r="P699" s="194" t="n"/>
      <c r="Q699" s="180" t="n"/>
      <c r="R699" s="180" t="n"/>
      <c r="S699" s="182" t="n"/>
      <c r="T699" s="57" t="n"/>
      <c r="U699" s="529" t="n"/>
      <c r="V699" s="55" t="n"/>
    </row>
    <row r="700" ht="14.5" customHeight="1" s="344">
      <c r="A700" s="180" t="n"/>
      <c r="B700" s="182" t="n"/>
      <c r="C700" s="278" t="n"/>
      <c r="D700" s="181" t="n"/>
      <c r="E700" s="182" t="n"/>
      <c r="F700" s="278" t="n"/>
      <c r="G700" s="182" t="n"/>
      <c r="H700" s="194" t="n"/>
      <c r="I700" s="180" t="n"/>
      <c r="J700" s="194" t="n"/>
      <c r="K700" s="182" t="n"/>
      <c r="L700" s="182" t="n"/>
      <c r="M700" s="278" t="n"/>
      <c r="N700" s="181" t="n"/>
      <c r="O700" s="181" t="n"/>
      <c r="P700" s="194" t="n"/>
      <c r="Q700" s="180" t="n"/>
      <c r="R700" s="180" t="n"/>
      <c r="S700" s="182" t="n"/>
      <c r="T700" s="57" t="n"/>
      <c r="U700" s="529" t="n"/>
      <c r="V700" s="55" t="n"/>
    </row>
    <row r="701" ht="14.5" customHeight="1" s="344">
      <c r="A701" s="180" t="n"/>
      <c r="B701" s="182" t="n"/>
      <c r="C701" s="278" t="n"/>
      <c r="D701" s="181" t="n"/>
      <c r="E701" s="182" t="n"/>
      <c r="F701" s="278" t="n"/>
      <c r="G701" s="182" t="n"/>
      <c r="H701" s="194" t="n"/>
      <c r="I701" s="180" t="n"/>
      <c r="J701" s="194" t="n"/>
      <c r="K701" s="182" t="n"/>
      <c r="L701" s="182" t="n"/>
      <c r="M701" s="278" t="n"/>
      <c r="N701" s="181" t="n"/>
      <c r="O701" s="181" t="n"/>
      <c r="P701" s="194" t="n"/>
      <c r="Q701" s="180" t="n"/>
      <c r="R701" s="180" t="n"/>
      <c r="S701" s="182" t="n"/>
      <c r="T701" s="57" t="n"/>
      <c r="U701" s="529" t="n"/>
      <c r="V701" s="55" t="n"/>
    </row>
    <row r="702" ht="21.5" customHeight="1" s="344">
      <c r="A702" s="180" t="n"/>
      <c r="B702" s="182" t="n"/>
      <c r="C702" s="278" t="n"/>
      <c r="D702" s="181" t="n"/>
      <c r="E702" s="182" t="n"/>
      <c r="F702" s="278" t="n"/>
      <c r="G702" s="182" t="n"/>
      <c r="H702" s="194" t="n"/>
      <c r="I702" s="180" t="n"/>
      <c r="J702" s="194" t="n"/>
      <c r="K702" s="182" t="n"/>
      <c r="L702" s="182" t="n"/>
      <c r="M702" s="278" t="n"/>
      <c r="N702" s="181" t="n"/>
      <c r="O702" s="181" t="n"/>
      <c r="P702" s="194" t="n"/>
      <c r="Q702" s="180" t="n"/>
      <c r="R702" s="180" t="n"/>
      <c r="S702" s="182" t="n"/>
      <c r="T702" s="57" t="n"/>
      <c r="U702" s="529" t="n"/>
      <c r="V702" s="55" t="n"/>
    </row>
    <row r="703" ht="14.5" customHeight="1" s="344">
      <c r="A703" s="180" t="n"/>
      <c r="B703" s="182" t="n"/>
      <c r="C703" s="278" t="n"/>
      <c r="D703" s="181" t="n"/>
      <c r="E703" s="182" t="n"/>
      <c r="F703" s="278" t="n"/>
      <c r="G703" s="182" t="n"/>
      <c r="H703" s="194" t="n"/>
      <c r="I703" s="180" t="n"/>
      <c r="J703" s="194" t="n"/>
      <c r="K703" s="182" t="n"/>
      <c r="L703" s="182" t="n"/>
      <c r="M703" s="278" t="n"/>
      <c r="N703" s="181" t="n"/>
      <c r="O703" s="181" t="n"/>
      <c r="P703" s="194" t="n"/>
      <c r="Q703" s="180" t="n"/>
      <c r="R703" s="180" t="n"/>
      <c r="S703" s="182" t="n"/>
      <c r="T703" s="57" t="n"/>
      <c r="U703" s="529" t="n"/>
      <c r="V703" s="55" t="n"/>
    </row>
    <row r="704" ht="21.5" customHeight="1" s="344">
      <c r="A704" s="180" t="n"/>
      <c r="B704" s="182" t="n"/>
      <c r="C704" s="278" t="n"/>
      <c r="D704" s="181" t="n"/>
      <c r="E704" s="182" t="n"/>
      <c r="F704" s="278" t="n"/>
      <c r="G704" s="182" t="n"/>
      <c r="H704" s="194" t="n"/>
      <c r="I704" s="180" t="n"/>
      <c r="J704" s="194" t="n"/>
      <c r="K704" s="182" t="n"/>
      <c r="L704" s="182" t="n"/>
      <c r="M704" s="278" t="n"/>
      <c r="N704" s="181" t="n"/>
      <c r="O704" s="181" t="n"/>
      <c r="P704" s="194" t="n"/>
      <c r="Q704" s="180" t="n"/>
      <c r="R704" s="180" t="n"/>
      <c r="S704" s="182" t="n"/>
      <c r="T704" s="57" t="n"/>
      <c r="U704" s="529" t="n"/>
      <c r="V704" s="55" t="n"/>
    </row>
    <row r="705" ht="14.5" customHeight="1" s="344">
      <c r="A705" s="180" t="n"/>
      <c r="B705" s="182" t="n"/>
      <c r="C705" s="278" t="n"/>
      <c r="D705" s="181" t="n"/>
      <c r="E705" s="182" t="n"/>
      <c r="F705" s="278" t="n"/>
      <c r="G705" s="182" t="n"/>
      <c r="H705" s="194" t="n"/>
      <c r="I705" s="180" t="n"/>
      <c r="J705" s="194" t="n"/>
      <c r="K705" s="182" t="n"/>
      <c r="L705" s="182" t="n"/>
      <c r="M705" s="278" t="n"/>
      <c r="N705" s="181" t="n"/>
      <c r="O705" s="181" t="n"/>
      <c r="P705" s="194" t="n"/>
      <c r="Q705" s="180" t="n"/>
      <c r="R705" s="180" t="n"/>
      <c r="S705" s="182" t="n"/>
      <c r="T705" s="57" t="n"/>
      <c r="U705" s="529" t="n"/>
      <c r="V705" s="55" t="n"/>
    </row>
    <row r="706" ht="14.5" customHeight="1" s="344">
      <c r="A706" s="180" t="n"/>
      <c r="B706" s="182" t="n"/>
      <c r="C706" s="278" t="n"/>
      <c r="D706" s="181" t="n"/>
      <c r="E706" s="182" t="n"/>
      <c r="F706" s="278" t="n"/>
      <c r="G706" s="182" t="n"/>
      <c r="H706" s="194" t="n"/>
      <c r="I706" s="180" t="n"/>
      <c r="J706" s="194" t="n"/>
      <c r="K706" s="182" t="n"/>
      <c r="L706" s="182" t="n"/>
      <c r="M706" s="278" t="n"/>
      <c r="N706" s="181" t="n"/>
      <c r="O706" s="181" t="n"/>
      <c r="P706" s="194" t="n"/>
      <c r="Q706" s="180" t="n"/>
      <c r="R706" s="180" t="n"/>
      <c r="S706" s="182" t="n"/>
      <c r="T706" s="57" t="n"/>
      <c r="U706" s="529" t="n"/>
      <c r="V706" s="55" t="n"/>
    </row>
    <row r="707" ht="14.5" customHeight="1" s="344">
      <c r="A707" s="180" t="n"/>
      <c r="B707" s="182" t="n"/>
      <c r="C707" s="278" t="n"/>
      <c r="D707" s="181" t="n"/>
      <c r="E707" s="182" t="n"/>
      <c r="F707" s="278" t="n"/>
      <c r="G707" s="182" t="n"/>
      <c r="H707" s="194" t="n"/>
      <c r="I707" s="180" t="n"/>
      <c r="J707" s="194" t="n"/>
      <c r="K707" s="182" t="n"/>
      <c r="L707" s="182" t="n"/>
      <c r="M707" s="278" t="n"/>
      <c r="N707" s="181" t="n"/>
      <c r="O707" s="181" t="n"/>
      <c r="P707" s="194" t="n"/>
      <c r="Q707" s="180" t="n"/>
      <c r="R707" s="180" t="n"/>
      <c r="S707" s="182" t="n"/>
      <c r="T707" s="57" t="n"/>
      <c r="U707" s="529" t="n"/>
      <c r="V707" s="55" t="n"/>
    </row>
    <row r="708" ht="14.5" customHeight="1" s="344">
      <c r="A708" s="180" t="n"/>
      <c r="B708" s="182" t="n"/>
      <c r="C708" s="278" t="n"/>
      <c r="D708" s="181" t="n"/>
      <c r="E708" s="182" t="n"/>
      <c r="F708" s="278" t="n"/>
      <c r="G708" s="182" t="n"/>
      <c r="H708" s="194" t="n"/>
      <c r="I708" s="180" t="n"/>
      <c r="J708" s="194" t="n"/>
      <c r="K708" s="182" t="n"/>
      <c r="L708" s="182" t="n"/>
      <c r="M708" s="278" t="n"/>
      <c r="N708" s="181" t="n"/>
      <c r="O708" s="181" t="n"/>
      <c r="P708" s="194" t="n"/>
      <c r="Q708" s="180" t="n"/>
      <c r="R708" s="180" t="n"/>
      <c r="S708" s="182" t="n"/>
      <c r="T708" s="57" t="n"/>
      <c r="U708" s="529" t="n"/>
      <c r="V708" s="55" t="n"/>
    </row>
    <row r="709" ht="14.5" customHeight="1" s="344">
      <c r="A709" s="180" t="n"/>
      <c r="B709" s="182" t="n"/>
      <c r="C709" s="278" t="n"/>
      <c r="D709" s="181" t="n"/>
      <c r="E709" s="182" t="n"/>
      <c r="F709" s="278" t="n"/>
      <c r="G709" s="182" t="n"/>
      <c r="H709" s="194" t="n"/>
      <c r="I709" s="180" t="n"/>
      <c r="J709" s="194" t="n"/>
      <c r="K709" s="182" t="n"/>
      <c r="L709" s="182" t="n"/>
      <c r="M709" s="278" t="n"/>
      <c r="N709" s="181" t="n"/>
      <c r="O709" s="181" t="n"/>
      <c r="P709" s="194" t="n"/>
      <c r="Q709" s="180" t="n"/>
      <c r="R709" s="180" t="n"/>
      <c r="S709" s="182" t="n"/>
      <c r="T709" s="57" t="n"/>
      <c r="U709" s="529" t="n"/>
      <c r="V709" s="55" t="n"/>
    </row>
    <row r="710" ht="14.5" customHeight="1" s="344">
      <c r="A710" s="180" t="n"/>
      <c r="B710" s="182" t="n"/>
      <c r="C710" s="278" t="n"/>
      <c r="D710" s="181" t="n"/>
      <c r="E710" s="182" t="n"/>
      <c r="F710" s="278" t="n"/>
      <c r="G710" s="182" t="n"/>
      <c r="H710" s="194" t="n"/>
      <c r="I710" s="180" t="n"/>
      <c r="J710" s="194" t="n"/>
      <c r="K710" s="182" t="n"/>
      <c r="L710" s="182" t="n"/>
      <c r="M710" s="278" t="n"/>
      <c r="N710" s="181" t="n"/>
      <c r="O710" s="181" t="n"/>
      <c r="P710" s="194" t="n"/>
      <c r="Q710" s="180" t="n"/>
      <c r="R710" s="180" t="n"/>
      <c r="S710" s="182" t="n"/>
      <c r="T710" s="57" t="n"/>
      <c r="U710" s="529" t="n"/>
      <c r="V710" s="55" t="n"/>
    </row>
    <row r="711" ht="21.5" customHeight="1" s="344">
      <c r="A711" s="180" t="n"/>
      <c r="B711" s="182" t="n"/>
      <c r="C711" s="278" t="n"/>
      <c r="D711" s="181" t="n"/>
      <c r="E711" s="182" t="n"/>
      <c r="F711" s="278" t="n"/>
      <c r="G711" s="182" t="n"/>
      <c r="H711" s="194" t="n"/>
      <c r="I711" s="180" t="n"/>
      <c r="J711" s="194" t="n"/>
      <c r="K711" s="182" t="n"/>
      <c r="L711" s="182" t="n"/>
      <c r="M711" s="278" t="n"/>
      <c r="N711" s="181" t="n"/>
      <c r="O711" s="181" t="n"/>
      <c r="P711" s="194" t="n"/>
      <c r="Q711" s="180" t="n"/>
      <c r="R711" s="180" t="n"/>
      <c r="S711" s="182" t="n"/>
      <c r="T711" s="57" t="n"/>
      <c r="U711" s="529" t="n"/>
      <c r="V711" s="55" t="n"/>
    </row>
    <row r="712" ht="14.5" customHeight="1" s="344">
      <c r="A712" s="180" t="n"/>
      <c r="B712" s="182" t="n"/>
      <c r="C712" s="278" t="n"/>
      <c r="D712" s="181" t="n"/>
      <c r="E712" s="182" t="n"/>
      <c r="F712" s="278" t="n"/>
      <c r="G712" s="182" t="n"/>
      <c r="H712" s="194" t="n"/>
      <c r="I712" s="180" t="n"/>
      <c r="J712" s="194" t="n"/>
      <c r="K712" s="182" t="n"/>
      <c r="L712" s="182" t="n"/>
      <c r="M712" s="278" t="n"/>
      <c r="N712" s="181" t="n"/>
      <c r="O712" s="181" t="n"/>
      <c r="P712" s="194" t="n"/>
      <c r="Q712" s="180" t="n"/>
      <c r="R712" s="180" t="n"/>
      <c r="S712" s="182" t="n"/>
      <c r="T712" s="57" t="n"/>
      <c r="U712" s="529" t="n"/>
      <c r="V712" s="55" t="n"/>
    </row>
    <row r="713" ht="14.5" customHeight="1" s="344">
      <c r="A713" s="180" t="n"/>
      <c r="B713" s="182" t="n"/>
      <c r="C713" s="278" t="n"/>
      <c r="D713" s="181" t="n"/>
      <c r="E713" s="182" t="n"/>
      <c r="F713" s="278" t="n"/>
      <c r="G713" s="182" t="n"/>
      <c r="H713" s="194" t="n"/>
      <c r="I713" s="180" t="n"/>
      <c r="J713" s="194" t="n"/>
      <c r="K713" s="182" t="n"/>
      <c r="L713" s="182" t="n"/>
      <c r="M713" s="278" t="n"/>
      <c r="N713" s="181" t="n"/>
      <c r="O713" s="181" t="n"/>
      <c r="P713" s="194" t="n"/>
      <c r="Q713" s="180" t="n"/>
      <c r="R713" s="180" t="n"/>
      <c r="S713" s="182" t="n"/>
      <c r="T713" s="57" t="n"/>
      <c r="U713" s="529" t="n"/>
      <c r="V713" s="55" t="n"/>
    </row>
    <row r="714" ht="21.5" customHeight="1" s="344">
      <c r="A714" s="180" t="n"/>
      <c r="B714" s="182" t="n"/>
      <c r="C714" s="278" t="n"/>
      <c r="D714" s="181" t="n"/>
      <c r="E714" s="182" t="n"/>
      <c r="F714" s="278" t="n"/>
      <c r="G714" s="182" t="n"/>
      <c r="H714" s="194" t="n"/>
      <c r="I714" s="180" t="n"/>
      <c r="J714" s="194" t="n"/>
      <c r="K714" s="182" t="n"/>
      <c r="L714" s="182" t="n"/>
      <c r="M714" s="278" t="n"/>
      <c r="N714" s="181" t="n"/>
      <c r="O714" s="181" t="n"/>
      <c r="P714" s="194" t="n"/>
      <c r="Q714" s="180" t="n"/>
      <c r="R714" s="180" t="n"/>
      <c r="S714" s="182" t="n"/>
      <c r="T714" s="57" t="n"/>
      <c r="U714" s="529" t="n"/>
      <c r="V714" s="55" t="n"/>
    </row>
    <row r="715" ht="14.5" customHeight="1" s="344">
      <c r="A715" s="180" t="n"/>
      <c r="B715" s="182" t="n"/>
      <c r="C715" s="278" t="n"/>
      <c r="D715" s="181" t="n"/>
      <c r="E715" s="182" t="n"/>
      <c r="F715" s="278" t="n"/>
      <c r="G715" s="182" t="n"/>
      <c r="H715" s="194" t="n"/>
      <c r="I715" s="180" t="n"/>
      <c r="J715" s="194" t="n"/>
      <c r="K715" s="182" t="n"/>
      <c r="L715" s="182" t="n"/>
      <c r="M715" s="278" t="n"/>
      <c r="N715" s="181" t="n"/>
      <c r="O715" s="181" t="n"/>
      <c r="P715" s="194" t="n"/>
      <c r="Q715" s="180" t="n"/>
      <c r="R715" s="180" t="n"/>
      <c r="S715" s="182" t="n"/>
      <c r="T715" s="57" t="n"/>
      <c r="U715" s="529" t="n"/>
      <c r="V715" s="55" t="n"/>
    </row>
    <row r="716" ht="14.5" customHeight="1" s="344">
      <c r="A716" s="180" t="n"/>
      <c r="B716" s="182" t="n"/>
      <c r="C716" s="278" t="n"/>
      <c r="D716" s="181" t="n"/>
      <c r="E716" s="182" t="n"/>
      <c r="F716" s="278" t="n"/>
      <c r="G716" s="182" t="n"/>
      <c r="H716" s="194" t="n"/>
      <c r="I716" s="180" t="n"/>
      <c r="J716" s="194" t="n"/>
      <c r="K716" s="182" t="n"/>
      <c r="L716" s="182" t="n"/>
      <c r="M716" s="278" t="n"/>
      <c r="N716" s="181" t="n"/>
      <c r="O716" s="181" t="n"/>
      <c r="P716" s="194" t="n"/>
      <c r="Q716" s="180" t="n"/>
      <c r="R716" s="180" t="n"/>
      <c r="S716" s="182" t="n"/>
      <c r="T716" s="57" t="n"/>
      <c r="U716" s="529" t="n"/>
      <c r="V716" s="55" t="n"/>
    </row>
    <row r="717" ht="14.5" customHeight="1" s="344">
      <c r="A717" s="180" t="n"/>
      <c r="B717" s="182" t="n"/>
      <c r="C717" s="278" t="n"/>
      <c r="D717" s="181" t="n"/>
      <c r="E717" s="182" t="n"/>
      <c r="F717" s="278" t="n"/>
      <c r="G717" s="182" t="n"/>
      <c r="H717" s="194" t="n"/>
      <c r="I717" s="180" t="n"/>
      <c r="J717" s="194" t="n"/>
      <c r="K717" s="182" t="n"/>
      <c r="L717" s="182" t="n"/>
      <c r="M717" s="278" t="n"/>
      <c r="N717" s="181" t="n"/>
      <c r="O717" s="181" t="n"/>
      <c r="P717" s="194" t="n"/>
      <c r="Q717" s="180" t="n"/>
      <c r="R717" s="180" t="n"/>
      <c r="S717" s="182" t="n"/>
      <c r="T717" s="57" t="n"/>
      <c r="U717" s="529" t="n"/>
      <c r="V717" s="55" t="n"/>
    </row>
    <row r="718" ht="14.5" customHeight="1" s="344">
      <c r="A718" s="180" t="n"/>
      <c r="B718" s="182" t="n"/>
      <c r="C718" s="278" t="n"/>
      <c r="D718" s="181" t="n"/>
      <c r="E718" s="182" t="n"/>
      <c r="F718" s="278" t="n"/>
      <c r="G718" s="182" t="n"/>
      <c r="H718" s="194" t="n"/>
      <c r="I718" s="180" t="n"/>
      <c r="J718" s="194" t="n"/>
      <c r="K718" s="182" t="n"/>
      <c r="L718" s="182" t="n"/>
      <c r="M718" s="278" t="n"/>
      <c r="N718" s="181" t="n"/>
      <c r="O718" s="181" t="n"/>
      <c r="P718" s="194" t="n"/>
      <c r="Q718" s="180" t="n"/>
      <c r="R718" s="180" t="n"/>
      <c r="S718" s="182" t="n"/>
      <c r="T718" s="57" t="n"/>
      <c r="U718" s="529" t="n"/>
      <c r="V718" s="55" t="n"/>
    </row>
    <row r="719" ht="14.5" customHeight="1" s="344">
      <c r="A719" s="180" t="n"/>
      <c r="B719" s="182" t="n"/>
      <c r="C719" s="278" t="n"/>
      <c r="D719" s="181" t="n"/>
      <c r="E719" s="182" t="n"/>
      <c r="F719" s="278" t="n"/>
      <c r="G719" s="182" t="n"/>
      <c r="H719" s="194" t="n"/>
      <c r="I719" s="180" t="n"/>
      <c r="J719" s="194" t="n"/>
      <c r="K719" s="182" t="n"/>
      <c r="L719" s="182" t="n"/>
      <c r="M719" s="278" t="n"/>
      <c r="N719" s="181" t="n"/>
      <c r="O719" s="181" t="n"/>
      <c r="P719" s="194" t="n"/>
      <c r="Q719" s="180" t="n"/>
      <c r="R719" s="180" t="n"/>
      <c r="S719" s="182" t="n"/>
      <c r="T719" s="57" t="n"/>
      <c r="U719" s="529" t="n"/>
      <c r="V719" s="55" t="n"/>
    </row>
    <row r="720" ht="14.5" customHeight="1" s="344">
      <c r="A720" s="180" t="n"/>
      <c r="B720" s="182" t="n"/>
      <c r="C720" s="278" t="n"/>
      <c r="D720" s="181" t="n"/>
      <c r="E720" s="182" t="n"/>
      <c r="F720" s="278" t="n"/>
      <c r="G720" s="182" t="n"/>
      <c r="H720" s="194" t="n"/>
      <c r="I720" s="180" t="n"/>
      <c r="J720" s="194" t="n"/>
      <c r="K720" s="182" t="n"/>
      <c r="L720" s="182" t="n"/>
      <c r="M720" s="278" t="n"/>
      <c r="N720" s="181" t="n"/>
      <c r="O720" s="181" t="n"/>
      <c r="P720" s="194" t="n"/>
      <c r="Q720" s="180" t="n"/>
      <c r="R720" s="180" t="n"/>
      <c r="S720" s="182" t="n"/>
      <c r="T720" s="57" t="n"/>
      <c r="U720" s="529" t="n"/>
      <c r="V720" s="55" t="n"/>
    </row>
    <row r="721" ht="14.5" customHeight="1" s="344">
      <c r="A721" s="180" t="n"/>
      <c r="B721" s="182" t="n"/>
      <c r="C721" s="278" t="n"/>
      <c r="D721" s="181" t="n"/>
      <c r="E721" s="182" t="n"/>
      <c r="F721" s="278" t="n"/>
      <c r="G721" s="182" t="n"/>
      <c r="H721" s="194" t="n"/>
      <c r="I721" s="180" t="n"/>
      <c r="J721" s="194" t="n"/>
      <c r="K721" s="182" t="n"/>
      <c r="L721" s="182" t="n"/>
      <c r="M721" s="278" t="n"/>
      <c r="N721" s="181" t="n"/>
      <c r="O721" s="181" t="n"/>
      <c r="P721" s="194" t="n"/>
      <c r="Q721" s="180" t="n"/>
      <c r="R721" s="180" t="n"/>
      <c r="S721" s="182" t="n"/>
      <c r="T721" s="57" t="n"/>
      <c r="U721" s="529" t="n"/>
      <c r="V721" s="55" t="n"/>
    </row>
    <row r="722" ht="14.5" customHeight="1" s="344">
      <c r="A722" s="180" t="n"/>
      <c r="B722" s="182" t="n"/>
      <c r="C722" s="278" t="n"/>
      <c r="D722" s="181" t="n"/>
      <c r="E722" s="182" t="n"/>
      <c r="F722" s="278" t="n"/>
      <c r="G722" s="182" t="n"/>
      <c r="H722" s="194" t="n"/>
      <c r="I722" s="180" t="n"/>
      <c r="J722" s="194" t="n"/>
      <c r="K722" s="182" t="n"/>
      <c r="L722" s="182" t="n"/>
      <c r="M722" s="278" t="n"/>
      <c r="N722" s="181" t="n"/>
      <c r="O722" s="181" t="n"/>
      <c r="P722" s="194" t="n"/>
      <c r="Q722" s="180" t="n"/>
      <c r="R722" s="180" t="n"/>
      <c r="S722" s="182" t="n"/>
      <c r="T722" s="57" t="n"/>
      <c r="U722" s="529" t="n"/>
      <c r="V722" s="55" t="n"/>
    </row>
    <row r="723" ht="21.5" customHeight="1" s="344">
      <c r="A723" s="180" t="n"/>
      <c r="B723" s="182" t="n"/>
      <c r="C723" s="278" t="n"/>
      <c r="D723" s="181" t="n"/>
      <c r="E723" s="182" t="n"/>
      <c r="F723" s="278" t="n"/>
      <c r="G723" s="182" t="n"/>
      <c r="H723" s="194" t="n"/>
      <c r="I723" s="180" t="n"/>
      <c r="J723" s="194" t="n"/>
      <c r="K723" s="182" t="n"/>
      <c r="L723" s="182" t="n"/>
      <c r="M723" s="278" t="n"/>
      <c r="N723" s="181" t="n"/>
      <c r="O723" s="181" t="n"/>
      <c r="P723" s="194" t="n"/>
      <c r="Q723" s="180" t="n"/>
      <c r="R723" s="180" t="n"/>
      <c r="S723" s="182" t="n"/>
      <c r="T723" s="57" t="n"/>
      <c r="U723" s="529" t="n"/>
      <c r="V723" s="55" t="n"/>
    </row>
    <row r="724" ht="14.5" customHeight="1" s="344">
      <c r="A724" s="180" t="n"/>
      <c r="B724" s="182" t="n"/>
      <c r="C724" s="278" t="n"/>
      <c r="D724" s="181" t="n"/>
      <c r="E724" s="182" t="n"/>
      <c r="F724" s="278" t="n"/>
      <c r="G724" s="182" t="n"/>
      <c r="H724" s="194" t="n"/>
      <c r="I724" s="180" t="n"/>
      <c r="J724" s="194" t="n"/>
      <c r="K724" s="182" t="n"/>
      <c r="L724" s="182" t="n"/>
      <c r="M724" s="278" t="n"/>
      <c r="N724" s="181" t="n"/>
      <c r="O724" s="181" t="n"/>
      <c r="P724" s="194" t="n"/>
      <c r="Q724" s="180" t="n"/>
      <c r="R724" s="180" t="n"/>
      <c r="S724" s="182" t="n"/>
      <c r="T724" s="57" t="n"/>
      <c r="U724" s="529" t="n"/>
      <c r="V724" s="55" t="n"/>
    </row>
    <row r="725" ht="14.5" customHeight="1" s="344">
      <c r="A725" s="180" t="n"/>
      <c r="B725" s="182" t="n"/>
      <c r="C725" s="278" t="n"/>
      <c r="D725" s="181" t="n"/>
      <c r="E725" s="182" t="n"/>
      <c r="F725" s="278" t="n"/>
      <c r="G725" s="182" t="n"/>
      <c r="H725" s="194" t="n"/>
      <c r="I725" s="180" t="n"/>
      <c r="J725" s="194" t="n"/>
      <c r="K725" s="182" t="n"/>
      <c r="L725" s="182" t="n"/>
      <c r="M725" s="278" t="n"/>
      <c r="N725" s="181" t="n"/>
      <c r="O725" s="181" t="n"/>
      <c r="P725" s="194" t="n"/>
      <c r="Q725" s="180" t="n"/>
      <c r="R725" s="180" t="n"/>
      <c r="S725" s="182" t="n"/>
      <c r="T725" s="57" t="n"/>
      <c r="U725" s="529" t="n"/>
      <c r="V725" s="55" t="n"/>
    </row>
    <row r="726" ht="21.5" customHeight="1" s="344">
      <c r="A726" s="180" t="n"/>
      <c r="B726" s="182" t="n"/>
      <c r="C726" s="278" t="n"/>
      <c r="D726" s="181" t="n"/>
      <c r="E726" s="182" t="n"/>
      <c r="F726" s="278" t="n"/>
      <c r="G726" s="182" t="n"/>
      <c r="H726" s="194" t="n"/>
      <c r="I726" s="180" t="n"/>
      <c r="J726" s="194" t="n"/>
      <c r="K726" s="182" t="n"/>
      <c r="L726" s="182" t="n"/>
      <c r="M726" s="278" t="n"/>
      <c r="N726" s="181" t="n"/>
      <c r="O726" s="181" t="n"/>
      <c r="P726" s="194" t="n"/>
      <c r="Q726" s="180" t="n"/>
      <c r="R726" s="180" t="n"/>
      <c r="S726" s="182" t="n"/>
      <c r="T726" s="57" t="n"/>
      <c r="U726" s="529" t="n"/>
      <c r="V726" s="55" t="n"/>
    </row>
    <row r="727" ht="14.5" customHeight="1" s="344">
      <c r="A727" s="180" t="n"/>
      <c r="B727" s="182" t="n"/>
      <c r="C727" s="278" t="n"/>
      <c r="D727" s="181" t="n"/>
      <c r="E727" s="182" t="n"/>
      <c r="F727" s="278" t="n"/>
      <c r="G727" s="182" t="n"/>
      <c r="H727" s="194" t="n"/>
      <c r="I727" s="180" t="n"/>
      <c r="J727" s="194" t="n"/>
      <c r="K727" s="182" t="n"/>
      <c r="L727" s="182" t="n"/>
      <c r="M727" s="278" t="n"/>
      <c r="N727" s="181" t="n"/>
      <c r="O727" s="181" t="n"/>
      <c r="P727" s="194" t="n"/>
      <c r="Q727" s="180" t="n"/>
      <c r="R727" s="180" t="n"/>
      <c r="S727" s="182" t="n"/>
      <c r="T727" s="57" t="n"/>
      <c r="U727" s="529" t="n"/>
      <c r="V727" s="55" t="n"/>
    </row>
    <row r="728" ht="14.5" customHeight="1" s="344">
      <c r="A728" s="180" t="n"/>
      <c r="B728" s="182" t="n"/>
      <c r="C728" s="278" t="n"/>
      <c r="D728" s="181" t="n"/>
      <c r="E728" s="182" t="n"/>
      <c r="F728" s="278" t="n"/>
      <c r="G728" s="182" t="n"/>
      <c r="H728" s="194" t="n"/>
      <c r="I728" s="180" t="n"/>
      <c r="J728" s="194" t="n"/>
      <c r="K728" s="182" t="n"/>
      <c r="L728" s="182" t="n"/>
      <c r="M728" s="278" t="n"/>
      <c r="N728" s="181" t="n"/>
      <c r="O728" s="181" t="n"/>
      <c r="P728" s="194" t="n"/>
      <c r="Q728" s="180" t="n"/>
      <c r="R728" s="180" t="n"/>
      <c r="S728" s="182" t="n"/>
      <c r="T728" s="57" t="n"/>
      <c r="U728" s="529" t="n"/>
      <c r="V728" s="55" t="n"/>
    </row>
    <row r="729" ht="14.5" customHeight="1" s="344">
      <c r="A729" s="180" t="n"/>
      <c r="B729" s="182" t="n"/>
      <c r="C729" s="278" t="n"/>
      <c r="D729" s="181" t="n"/>
      <c r="E729" s="182" t="n"/>
      <c r="F729" s="278" t="n"/>
      <c r="G729" s="182" t="n"/>
      <c r="H729" s="194" t="n"/>
      <c r="I729" s="180" t="n"/>
      <c r="J729" s="194" t="n"/>
      <c r="K729" s="182" t="n"/>
      <c r="L729" s="182" t="n"/>
      <c r="M729" s="278" t="n"/>
      <c r="N729" s="181" t="n"/>
      <c r="O729" s="181" t="n"/>
      <c r="P729" s="194" t="n"/>
      <c r="Q729" s="180" t="n"/>
      <c r="R729" s="180" t="n"/>
      <c r="S729" s="182" t="n"/>
      <c r="T729" s="57" t="n"/>
      <c r="U729" s="529" t="n"/>
      <c r="V729" s="55" t="n"/>
    </row>
    <row r="730" ht="14.5" customHeight="1" s="344">
      <c r="A730" s="180" t="n"/>
      <c r="B730" s="182" t="n"/>
      <c r="C730" s="278" t="n"/>
      <c r="D730" s="181" t="n"/>
      <c r="E730" s="182" t="n"/>
      <c r="F730" s="278" t="n"/>
      <c r="G730" s="182" t="n"/>
      <c r="H730" s="194" t="n"/>
      <c r="I730" s="180" t="n"/>
      <c r="J730" s="194" t="n"/>
      <c r="K730" s="182" t="n"/>
      <c r="L730" s="182" t="n"/>
      <c r="M730" s="278" t="n"/>
      <c r="N730" s="181" t="n"/>
      <c r="O730" s="181" t="n"/>
      <c r="P730" s="194" t="n"/>
      <c r="Q730" s="180" t="n"/>
      <c r="R730" s="180" t="n"/>
      <c r="S730" s="182" t="n"/>
      <c r="T730" s="57" t="n"/>
      <c r="U730" s="529" t="n"/>
      <c r="V730" s="55" t="n"/>
    </row>
    <row r="731" ht="14.5" customHeight="1" s="344">
      <c r="A731" s="180" t="n"/>
      <c r="B731" s="182" t="n"/>
      <c r="C731" s="278" t="n"/>
      <c r="D731" s="181" t="n"/>
      <c r="E731" s="182" t="n"/>
      <c r="F731" s="278" t="n"/>
      <c r="G731" s="182" t="n"/>
      <c r="H731" s="194" t="n"/>
      <c r="I731" s="180" t="n"/>
      <c r="J731" s="194" t="n"/>
      <c r="K731" s="182" t="n"/>
      <c r="L731" s="182" t="n"/>
      <c r="M731" s="278" t="n"/>
      <c r="N731" s="181" t="n"/>
      <c r="O731" s="181" t="n"/>
      <c r="P731" s="194" t="n"/>
      <c r="Q731" s="180" t="n"/>
      <c r="R731" s="180" t="n"/>
      <c r="S731" s="182" t="n"/>
      <c r="T731" s="57" t="n"/>
      <c r="U731" s="529" t="n"/>
      <c r="V731" s="55" t="n"/>
    </row>
    <row r="732" ht="14.5" customHeight="1" s="344">
      <c r="A732" s="180" t="n"/>
      <c r="B732" s="182" t="n"/>
      <c r="C732" s="278" t="n"/>
      <c r="D732" s="181" t="n"/>
      <c r="E732" s="182" t="n"/>
      <c r="F732" s="278" t="n"/>
      <c r="G732" s="182" t="n"/>
      <c r="H732" s="194" t="n"/>
      <c r="I732" s="180" t="n"/>
      <c r="J732" s="194" t="n"/>
      <c r="K732" s="182" t="n"/>
      <c r="L732" s="182" t="n"/>
      <c r="M732" s="278" t="n"/>
      <c r="N732" s="181" t="n"/>
      <c r="O732" s="181" t="n"/>
      <c r="P732" s="194" t="n"/>
      <c r="Q732" s="180" t="n"/>
      <c r="R732" s="180" t="n"/>
      <c r="S732" s="182" t="n"/>
      <c r="T732" s="57" t="n"/>
      <c r="U732" s="529" t="n"/>
      <c r="V732" s="55" t="n"/>
    </row>
    <row r="733" ht="14.5" customHeight="1" s="344">
      <c r="A733" s="180" t="n"/>
      <c r="B733" s="182" t="n"/>
      <c r="C733" s="278" t="n"/>
      <c r="D733" s="181" t="n"/>
      <c r="E733" s="182" t="n"/>
      <c r="F733" s="278" t="n"/>
      <c r="G733" s="182" t="n"/>
      <c r="H733" s="194" t="n"/>
      <c r="I733" s="180" t="n"/>
      <c r="J733" s="194" t="n"/>
      <c r="K733" s="182" t="n"/>
      <c r="L733" s="182" t="n"/>
      <c r="M733" s="278" t="n"/>
      <c r="N733" s="181" t="n"/>
      <c r="O733" s="181" t="n"/>
      <c r="P733" s="194" t="n"/>
      <c r="Q733" s="180" t="n"/>
      <c r="R733" s="180" t="n"/>
      <c r="S733" s="182" t="n"/>
      <c r="T733" s="57" t="n"/>
      <c r="U733" s="529" t="n"/>
      <c r="V733" s="55" t="n"/>
    </row>
    <row r="734" ht="14.5" customHeight="1" s="344">
      <c r="A734" s="180" t="n"/>
      <c r="B734" s="182" t="n"/>
      <c r="C734" s="278" t="n"/>
      <c r="D734" s="181" t="n"/>
      <c r="E734" s="182" t="n"/>
      <c r="F734" s="278" t="n"/>
      <c r="G734" s="182" t="n"/>
      <c r="H734" s="194" t="n"/>
      <c r="I734" s="180" t="n"/>
      <c r="J734" s="194" t="n"/>
      <c r="K734" s="182" t="n"/>
      <c r="L734" s="182" t="n"/>
      <c r="M734" s="278" t="n"/>
      <c r="N734" s="181" t="n"/>
      <c r="O734" s="181" t="n"/>
      <c r="P734" s="194" t="n"/>
      <c r="Q734" s="180" t="n"/>
      <c r="R734" s="180" t="n"/>
      <c r="S734" s="182" t="n"/>
      <c r="T734" s="57" t="n"/>
      <c r="U734" s="529" t="n"/>
      <c r="V734" s="55" t="n"/>
    </row>
    <row r="735" ht="14.5" customHeight="1" s="344">
      <c r="A735" s="180" t="n"/>
      <c r="B735" s="182" t="n"/>
      <c r="C735" s="278" t="n"/>
      <c r="D735" s="181" t="n"/>
      <c r="E735" s="182" t="n"/>
      <c r="F735" s="278" t="n"/>
      <c r="G735" s="182" t="n"/>
      <c r="H735" s="194" t="n"/>
      <c r="I735" s="180" t="n"/>
      <c r="J735" s="194" t="n"/>
      <c r="K735" s="182" t="n"/>
      <c r="L735" s="182" t="n"/>
      <c r="M735" s="278" t="n"/>
      <c r="N735" s="181" t="n"/>
      <c r="O735" s="181" t="n"/>
      <c r="P735" s="194" t="n"/>
      <c r="Q735" s="180" t="n"/>
      <c r="R735" s="180" t="n"/>
      <c r="S735" s="182" t="n"/>
      <c r="T735" s="57" t="n"/>
      <c r="U735" s="529" t="n"/>
      <c r="V735" s="55" t="n"/>
    </row>
    <row r="736" ht="21.5" customHeight="1" s="344">
      <c r="A736" s="180" t="n"/>
      <c r="B736" s="182" t="n"/>
      <c r="C736" s="278" t="n"/>
      <c r="D736" s="181" t="n"/>
      <c r="E736" s="182" t="n"/>
      <c r="F736" s="278" t="n"/>
      <c r="G736" s="182" t="n"/>
      <c r="H736" s="194" t="n"/>
      <c r="I736" s="180" t="n"/>
      <c r="J736" s="194" t="n"/>
      <c r="K736" s="182" t="n"/>
      <c r="L736" s="182" t="n"/>
      <c r="M736" s="278" t="n"/>
      <c r="N736" s="181" t="n"/>
      <c r="O736" s="181" t="n"/>
      <c r="P736" s="194" t="n"/>
      <c r="Q736" s="180" t="n"/>
      <c r="R736" s="180" t="n"/>
      <c r="S736" s="182" t="n"/>
      <c r="T736" s="57" t="n"/>
      <c r="U736" s="529" t="n"/>
      <c r="V736" s="55" t="n"/>
    </row>
    <row r="737" ht="14.5" customHeight="1" s="344">
      <c r="A737" s="180" t="n"/>
      <c r="B737" s="182" t="n"/>
      <c r="C737" s="278" t="n"/>
      <c r="D737" s="181" t="n"/>
      <c r="E737" s="182" t="n"/>
      <c r="F737" s="278" t="n"/>
      <c r="G737" s="182" t="n"/>
      <c r="H737" s="194" t="n"/>
      <c r="I737" s="180" t="n"/>
      <c r="J737" s="194" t="n"/>
      <c r="K737" s="182" t="n"/>
      <c r="L737" s="182" t="n"/>
      <c r="M737" s="278" t="n"/>
      <c r="N737" s="181" t="n"/>
      <c r="O737" s="181" t="n"/>
      <c r="P737" s="194" t="n"/>
      <c r="Q737" s="180" t="n"/>
      <c r="R737" s="180" t="n"/>
      <c r="S737" s="182" t="n"/>
      <c r="T737" s="57" t="n"/>
      <c r="U737" s="529" t="n"/>
      <c r="V737" s="55" t="n"/>
    </row>
    <row r="738" ht="14.5" customHeight="1" s="344">
      <c r="A738" s="180" t="n"/>
      <c r="B738" s="182" t="n"/>
      <c r="C738" s="278" t="n"/>
      <c r="D738" s="181" t="n"/>
      <c r="E738" s="182" t="n"/>
      <c r="F738" s="278" t="n"/>
      <c r="G738" s="182" t="n"/>
      <c r="H738" s="194" t="n"/>
      <c r="I738" s="180" t="n"/>
      <c r="J738" s="194" t="n"/>
      <c r="K738" s="182" t="n"/>
      <c r="L738" s="182" t="n"/>
      <c r="M738" s="278" t="n"/>
      <c r="N738" s="181" t="n"/>
      <c r="O738" s="181" t="n"/>
      <c r="P738" s="194" t="n"/>
      <c r="Q738" s="180" t="n"/>
      <c r="R738" s="180" t="n"/>
      <c r="S738" s="182" t="n"/>
      <c r="T738" s="57" t="n"/>
      <c r="U738" s="529" t="n"/>
      <c r="V738" s="55" t="n"/>
    </row>
    <row r="739" ht="14.5" customHeight="1" s="344">
      <c r="A739" s="180" t="n"/>
      <c r="B739" s="182" t="n"/>
      <c r="C739" s="278" t="n"/>
      <c r="D739" s="181" t="n"/>
      <c r="E739" s="182" t="n"/>
      <c r="F739" s="278" t="n"/>
      <c r="G739" s="182" t="n"/>
      <c r="H739" s="194" t="n"/>
      <c r="I739" s="180" t="n"/>
      <c r="J739" s="194" t="n"/>
      <c r="K739" s="182" t="n"/>
      <c r="L739" s="182" t="n"/>
      <c r="M739" s="278" t="n"/>
      <c r="N739" s="181" t="n"/>
      <c r="O739" s="181" t="n"/>
      <c r="P739" s="194" t="n"/>
      <c r="Q739" s="180" t="n"/>
      <c r="R739" s="180" t="n"/>
      <c r="S739" s="182" t="n"/>
      <c r="T739" s="57" t="n"/>
      <c r="U739" s="529" t="n"/>
      <c r="V739" s="55" t="n"/>
    </row>
    <row r="740" ht="14.5" customHeight="1" s="344">
      <c r="A740" s="180" t="n"/>
      <c r="B740" s="182" t="n"/>
      <c r="C740" s="278" t="n"/>
      <c r="D740" s="181" t="n"/>
      <c r="E740" s="182" t="n"/>
      <c r="F740" s="278" t="n"/>
      <c r="G740" s="182" t="n"/>
      <c r="H740" s="194" t="n"/>
      <c r="I740" s="180" t="n"/>
      <c r="J740" s="194" t="n"/>
      <c r="K740" s="182" t="n"/>
      <c r="L740" s="182" t="n"/>
      <c r="M740" s="278" t="n"/>
      <c r="N740" s="181" t="n"/>
      <c r="O740" s="181" t="n"/>
      <c r="P740" s="194" t="n"/>
      <c r="Q740" s="180" t="n"/>
      <c r="R740" s="180" t="n"/>
      <c r="S740" s="182" t="n"/>
      <c r="T740" s="57" t="n"/>
      <c r="U740" s="529" t="n"/>
      <c r="V740" s="55" t="n"/>
    </row>
    <row r="741" ht="14.5" customHeight="1" s="344">
      <c r="A741" s="180" t="n"/>
      <c r="B741" s="182" t="n"/>
      <c r="C741" s="278" t="n"/>
      <c r="D741" s="181" t="n"/>
      <c r="E741" s="182" t="n"/>
      <c r="F741" s="278" t="n"/>
      <c r="G741" s="182" t="n"/>
      <c r="H741" s="194" t="n"/>
      <c r="I741" s="180" t="n"/>
      <c r="J741" s="194" t="n"/>
      <c r="K741" s="182" t="n"/>
      <c r="L741" s="182" t="n"/>
      <c r="M741" s="278" t="n"/>
      <c r="N741" s="181" t="n"/>
      <c r="O741" s="181" t="n"/>
      <c r="P741" s="194" t="n"/>
      <c r="Q741" s="180" t="n"/>
      <c r="R741" s="180" t="n"/>
      <c r="S741" s="182" t="n"/>
      <c r="T741" s="57" t="n"/>
      <c r="U741" s="529" t="n"/>
      <c r="V741" s="55" t="n"/>
    </row>
    <row r="742" ht="14.5" customHeight="1" s="344">
      <c r="A742" s="180" t="n"/>
      <c r="B742" s="182" t="n"/>
      <c r="C742" s="278" t="n"/>
      <c r="D742" s="181" t="n"/>
      <c r="E742" s="182" t="n"/>
      <c r="F742" s="278" t="n"/>
      <c r="G742" s="182" t="n"/>
      <c r="H742" s="194" t="n"/>
      <c r="I742" s="180" t="n"/>
      <c r="J742" s="194" t="n"/>
      <c r="K742" s="182" t="n"/>
      <c r="L742" s="182" t="n"/>
      <c r="M742" s="278" t="n"/>
      <c r="N742" s="181" t="n"/>
      <c r="O742" s="181" t="n"/>
      <c r="P742" s="194" t="n"/>
      <c r="Q742" s="180" t="n"/>
      <c r="R742" s="180" t="n"/>
      <c r="S742" s="182" t="n"/>
      <c r="T742" s="57" t="n"/>
      <c r="U742" s="529" t="n"/>
      <c r="V742" s="55" t="n"/>
    </row>
    <row r="743" ht="14.5" customHeight="1" s="344">
      <c r="A743" s="180" t="n"/>
      <c r="B743" s="182" t="n"/>
      <c r="C743" s="278" t="n"/>
      <c r="D743" s="181" t="n"/>
      <c r="E743" s="182" t="n"/>
      <c r="F743" s="278" t="n"/>
      <c r="G743" s="182" t="n"/>
      <c r="H743" s="194" t="n"/>
      <c r="I743" s="180" t="n"/>
      <c r="J743" s="194" t="n"/>
      <c r="K743" s="182" t="n"/>
      <c r="L743" s="182" t="n"/>
      <c r="M743" s="278" t="n"/>
      <c r="N743" s="181" t="n"/>
      <c r="O743" s="181" t="n"/>
      <c r="P743" s="194" t="n"/>
      <c r="Q743" s="180" t="n"/>
      <c r="R743" s="180" t="n"/>
      <c r="S743" s="182" t="n"/>
      <c r="T743" s="57" t="n"/>
      <c r="U743" s="529" t="n"/>
      <c r="V743" s="55" t="n"/>
    </row>
    <row r="744" ht="14.5" customHeight="1" s="344">
      <c r="A744" s="180" t="n"/>
      <c r="B744" s="182" t="n"/>
      <c r="C744" s="278" t="n"/>
      <c r="D744" s="181" t="n"/>
      <c r="E744" s="182" t="n"/>
      <c r="F744" s="278" t="n"/>
      <c r="G744" s="182" t="n"/>
      <c r="H744" s="194" t="n"/>
      <c r="I744" s="180" t="n"/>
      <c r="J744" s="194" t="n"/>
      <c r="K744" s="182" t="n"/>
      <c r="L744" s="182" t="n"/>
      <c r="M744" s="278" t="n"/>
      <c r="N744" s="181" t="n"/>
      <c r="O744" s="181" t="n"/>
      <c r="P744" s="194" t="n"/>
      <c r="Q744" s="180" t="n"/>
      <c r="R744" s="180" t="n"/>
      <c r="S744" s="182" t="n"/>
      <c r="T744" s="57" t="n"/>
      <c r="U744" s="529" t="n"/>
      <c r="V744" s="55" t="n"/>
    </row>
    <row r="745" ht="14.5" customHeight="1" s="344">
      <c r="A745" s="180" t="n"/>
      <c r="B745" s="182" t="n"/>
      <c r="C745" s="278" t="n"/>
      <c r="D745" s="181" t="n"/>
      <c r="E745" s="182" t="n"/>
      <c r="F745" s="278" t="n"/>
      <c r="G745" s="182" t="n"/>
      <c r="H745" s="194" t="n"/>
      <c r="I745" s="180" t="n"/>
      <c r="J745" s="194" t="n"/>
      <c r="K745" s="182" t="n"/>
      <c r="L745" s="182" t="n"/>
      <c r="M745" s="278" t="n"/>
      <c r="N745" s="181" t="n"/>
      <c r="O745" s="181" t="n"/>
      <c r="P745" s="194" t="n"/>
      <c r="Q745" s="180" t="n"/>
      <c r="R745" s="180" t="n"/>
      <c r="S745" s="182" t="n"/>
      <c r="T745" s="57" t="n"/>
      <c r="U745" s="529" t="n"/>
      <c r="V745" s="55" t="n"/>
    </row>
    <row r="746" ht="14.5" customHeight="1" s="344">
      <c r="A746" s="180" t="n"/>
      <c r="B746" s="182" t="n"/>
      <c r="C746" s="278" t="n"/>
      <c r="D746" s="181" t="n"/>
      <c r="E746" s="182" t="n"/>
      <c r="F746" s="278" t="n"/>
      <c r="G746" s="182" t="n"/>
      <c r="H746" s="194" t="n"/>
      <c r="I746" s="180" t="n"/>
      <c r="J746" s="194" t="n"/>
      <c r="K746" s="182" t="n"/>
      <c r="L746" s="182" t="n"/>
      <c r="M746" s="278" t="n"/>
      <c r="N746" s="181" t="n"/>
      <c r="O746" s="181" t="n"/>
      <c r="P746" s="194" t="n"/>
      <c r="Q746" s="180" t="n"/>
      <c r="R746" s="180" t="n"/>
      <c r="S746" s="182" t="n"/>
      <c r="T746" s="57" t="n"/>
      <c r="U746" s="529" t="n"/>
      <c r="V746" s="55" t="n"/>
    </row>
    <row r="747" ht="14.5" customHeight="1" s="344">
      <c r="A747" s="180" t="n"/>
      <c r="B747" s="182" t="n"/>
      <c r="C747" s="278" t="n"/>
      <c r="D747" s="181" t="n"/>
      <c r="E747" s="182" t="n"/>
      <c r="F747" s="278" t="n"/>
      <c r="G747" s="182" t="n"/>
      <c r="H747" s="194" t="n"/>
      <c r="I747" s="180" t="n"/>
      <c r="J747" s="194" t="n"/>
      <c r="K747" s="182" t="n"/>
      <c r="L747" s="182" t="n"/>
      <c r="M747" s="278" t="n"/>
      <c r="N747" s="181" t="n"/>
      <c r="O747" s="181" t="n"/>
      <c r="P747" s="194" t="n"/>
      <c r="Q747" s="180" t="n"/>
      <c r="R747" s="180" t="n"/>
      <c r="S747" s="182" t="n"/>
      <c r="T747" s="57" t="n"/>
      <c r="U747" s="529" t="n"/>
      <c r="V747" s="55" t="n"/>
    </row>
    <row r="748" ht="14.5" customHeight="1" s="344">
      <c r="A748" s="180" t="n"/>
      <c r="B748" s="182" t="n"/>
      <c r="C748" s="278" t="n"/>
      <c r="D748" s="181" t="n"/>
      <c r="E748" s="182" t="n"/>
      <c r="F748" s="278" t="n"/>
      <c r="G748" s="182" t="n"/>
      <c r="H748" s="194" t="n"/>
      <c r="I748" s="180" t="n"/>
      <c r="J748" s="194" t="n"/>
      <c r="K748" s="182" t="n"/>
      <c r="L748" s="182" t="n"/>
      <c r="M748" s="278" t="n"/>
      <c r="N748" s="181" t="n"/>
      <c r="O748" s="181" t="n"/>
      <c r="P748" s="194" t="n"/>
      <c r="Q748" s="180" t="n"/>
      <c r="R748" s="180" t="n"/>
      <c r="S748" s="182" t="n"/>
      <c r="T748" s="57" t="n"/>
      <c r="U748" s="529" t="n"/>
      <c r="V748" s="55" t="n"/>
    </row>
    <row r="749" ht="21.5" customHeight="1" s="344">
      <c r="A749" s="180" t="n"/>
      <c r="B749" s="182" t="n"/>
      <c r="C749" s="278" t="n"/>
      <c r="D749" s="181" t="n"/>
      <c r="E749" s="182" t="n"/>
      <c r="F749" s="278" t="n"/>
      <c r="G749" s="182" t="n"/>
      <c r="H749" s="194" t="n"/>
      <c r="I749" s="180" t="n"/>
      <c r="J749" s="194" t="n"/>
      <c r="K749" s="182" t="n"/>
      <c r="L749" s="182" t="n"/>
      <c r="M749" s="278" t="n"/>
      <c r="N749" s="181" t="n"/>
      <c r="O749" s="181" t="n"/>
      <c r="P749" s="194" t="n"/>
      <c r="Q749" s="180" t="n"/>
      <c r="R749" s="180" t="n"/>
      <c r="S749" s="182" t="n"/>
      <c r="T749" s="57" t="n"/>
      <c r="U749" s="529" t="n"/>
      <c r="V749" s="55" t="n"/>
    </row>
    <row r="750" ht="21.5" customHeight="1" s="344">
      <c r="A750" s="180" t="n"/>
      <c r="B750" s="182" t="n"/>
      <c r="C750" s="278" t="n"/>
      <c r="D750" s="181" t="n"/>
      <c r="E750" s="182" t="n"/>
      <c r="F750" s="278" t="n"/>
      <c r="G750" s="182" t="n"/>
      <c r="H750" s="194" t="n"/>
      <c r="I750" s="180" t="n"/>
      <c r="J750" s="194" t="n"/>
      <c r="K750" s="182" t="n"/>
      <c r="L750" s="182" t="n"/>
      <c r="M750" s="278" t="n"/>
      <c r="N750" s="181" t="n"/>
      <c r="O750" s="181" t="n"/>
      <c r="P750" s="194" t="n"/>
      <c r="Q750" s="180" t="n"/>
      <c r="R750" s="180" t="n"/>
      <c r="S750" s="182" t="n"/>
      <c r="T750" s="57" t="n"/>
      <c r="U750" s="529" t="n"/>
      <c r="V750" s="55" t="n"/>
    </row>
    <row r="751" ht="14.5" customHeight="1" s="344">
      <c r="A751" s="180" t="n"/>
      <c r="B751" s="182" t="n"/>
      <c r="C751" s="278" t="n"/>
      <c r="D751" s="181" t="n"/>
      <c r="E751" s="182" t="n"/>
      <c r="F751" s="278" t="n"/>
      <c r="G751" s="182" t="n"/>
      <c r="H751" s="194" t="n"/>
      <c r="I751" s="180" t="n"/>
      <c r="J751" s="194" t="n"/>
      <c r="K751" s="182" t="n"/>
      <c r="L751" s="182" t="n"/>
      <c r="M751" s="278" t="n"/>
      <c r="N751" s="181" t="n"/>
      <c r="O751" s="181" t="n"/>
      <c r="P751" s="194" t="n"/>
      <c r="Q751" s="180" t="n"/>
      <c r="R751" s="180" t="n"/>
      <c r="S751" s="182" t="n"/>
      <c r="T751" s="57" t="n"/>
      <c r="U751" s="529" t="n"/>
      <c r="V751" s="55" t="n"/>
    </row>
    <row r="752" ht="21.5" customHeight="1" s="344">
      <c r="A752" s="180" t="n"/>
      <c r="B752" s="182" t="n"/>
      <c r="C752" s="278" t="n"/>
      <c r="D752" s="181" t="n"/>
      <c r="E752" s="182" t="n"/>
      <c r="F752" s="278" t="n"/>
      <c r="G752" s="182" t="n"/>
      <c r="H752" s="194" t="n"/>
      <c r="I752" s="180" t="n"/>
      <c r="J752" s="194" t="n"/>
      <c r="K752" s="182" t="n"/>
      <c r="L752" s="182" t="n"/>
      <c r="M752" s="278" t="n"/>
      <c r="N752" s="181" t="n"/>
      <c r="O752" s="181" t="n"/>
      <c r="P752" s="194" t="n"/>
      <c r="Q752" s="180" t="n"/>
      <c r="R752" s="180" t="n"/>
      <c r="S752" s="182" t="n"/>
      <c r="T752" s="57" t="n"/>
      <c r="U752" s="529" t="n"/>
      <c r="V752" s="55" t="n"/>
    </row>
    <row r="753" ht="14.5" customHeight="1" s="344">
      <c r="A753" s="180" t="n"/>
      <c r="B753" s="182" t="n"/>
      <c r="C753" s="278" t="n"/>
      <c r="D753" s="181" t="n"/>
      <c r="E753" s="182" t="n"/>
      <c r="F753" s="278" t="n"/>
      <c r="G753" s="182" t="n"/>
      <c r="H753" s="194" t="n"/>
      <c r="I753" s="180" t="n"/>
      <c r="J753" s="194" t="n"/>
      <c r="K753" s="182" t="n"/>
      <c r="L753" s="182" t="n"/>
      <c r="M753" s="278" t="n"/>
      <c r="N753" s="181" t="n"/>
      <c r="O753" s="181" t="n"/>
      <c r="P753" s="194" t="n"/>
      <c r="Q753" s="180" t="n"/>
      <c r="R753" s="180" t="n"/>
      <c r="S753" s="182" t="n"/>
      <c r="T753" s="57" t="n"/>
      <c r="U753" s="529" t="n"/>
      <c r="V753" s="55" t="n"/>
    </row>
    <row r="754" ht="21.5" customHeight="1" s="344">
      <c r="A754" s="180" t="n"/>
      <c r="B754" s="182" t="n"/>
      <c r="C754" s="278" t="n"/>
      <c r="D754" s="181" t="n"/>
      <c r="E754" s="182" t="n"/>
      <c r="F754" s="278" t="n"/>
      <c r="G754" s="182" t="n"/>
      <c r="H754" s="194" t="n"/>
      <c r="I754" s="180" t="n"/>
      <c r="J754" s="194" t="n"/>
      <c r="K754" s="182" t="n"/>
      <c r="L754" s="182" t="n"/>
      <c r="M754" s="278" t="n"/>
      <c r="N754" s="181" t="n"/>
      <c r="O754" s="181" t="n"/>
      <c r="P754" s="194" t="n"/>
      <c r="Q754" s="180" t="n"/>
      <c r="R754" s="180" t="n"/>
      <c r="S754" s="182" t="n"/>
      <c r="T754" s="57" t="n"/>
      <c r="U754" s="529" t="n"/>
      <c r="V754" s="55" t="n"/>
    </row>
    <row r="755" ht="14.5" customHeight="1" s="344">
      <c r="A755" s="180" t="n"/>
      <c r="B755" s="182" t="n"/>
      <c r="C755" s="278" t="n"/>
      <c r="D755" s="181" t="n"/>
      <c r="E755" s="182" t="n"/>
      <c r="F755" s="278" t="n"/>
      <c r="G755" s="182" t="n"/>
      <c r="H755" s="194" t="n"/>
      <c r="I755" s="180" t="n"/>
      <c r="J755" s="194" t="n"/>
      <c r="K755" s="182" t="n"/>
      <c r="L755" s="182" t="n"/>
      <c r="M755" s="278" t="n"/>
      <c r="N755" s="181" t="n"/>
      <c r="O755" s="181" t="n"/>
      <c r="P755" s="194" t="n"/>
      <c r="Q755" s="180" t="n"/>
      <c r="R755" s="180" t="n"/>
      <c r="S755" s="182" t="n"/>
      <c r="T755" s="57" t="n"/>
      <c r="U755" s="529" t="n"/>
      <c r="V755" s="55" t="n"/>
    </row>
    <row r="756" ht="21.5" customHeight="1" s="344">
      <c r="A756" s="180" t="n"/>
      <c r="B756" s="182" t="n"/>
      <c r="C756" s="278" t="n"/>
      <c r="D756" s="181" t="n"/>
      <c r="E756" s="182" t="n"/>
      <c r="F756" s="278" t="n"/>
      <c r="G756" s="182" t="n"/>
      <c r="H756" s="194" t="n"/>
      <c r="I756" s="180" t="n"/>
      <c r="J756" s="194" t="n"/>
      <c r="K756" s="182" t="n"/>
      <c r="L756" s="182" t="n"/>
      <c r="M756" s="278" t="n"/>
      <c r="N756" s="181" t="n"/>
      <c r="O756" s="181" t="n"/>
      <c r="P756" s="194" t="n"/>
      <c r="Q756" s="180" t="n"/>
      <c r="R756" s="180" t="n"/>
      <c r="S756" s="182" t="n"/>
      <c r="T756" s="57" t="n"/>
      <c r="U756" s="529" t="n"/>
      <c r="V756" s="55" t="n"/>
    </row>
    <row r="757" ht="14.5" customHeight="1" s="344">
      <c r="A757" s="180" t="n"/>
      <c r="B757" s="182" t="n"/>
      <c r="C757" s="278" t="n"/>
      <c r="D757" s="181" t="n"/>
      <c r="E757" s="182" t="n"/>
      <c r="F757" s="278" t="n"/>
      <c r="G757" s="182" t="n"/>
      <c r="H757" s="194" t="n"/>
      <c r="I757" s="180" t="n"/>
      <c r="J757" s="194" t="n"/>
      <c r="K757" s="182" t="n"/>
      <c r="L757" s="182" t="n"/>
      <c r="M757" s="278" t="n"/>
      <c r="N757" s="181" t="n"/>
      <c r="O757" s="181" t="n"/>
      <c r="P757" s="194" t="n"/>
      <c r="Q757" s="180" t="n"/>
      <c r="R757" s="180" t="n"/>
      <c r="S757" s="182" t="n"/>
      <c r="T757" s="57" t="n"/>
      <c r="U757" s="529" t="n"/>
      <c r="V757" s="55" t="n"/>
    </row>
    <row r="758" ht="21.5" customHeight="1" s="344">
      <c r="A758" s="180" t="n"/>
      <c r="B758" s="182" t="n"/>
      <c r="C758" s="278" t="n"/>
      <c r="D758" s="181" t="n"/>
      <c r="E758" s="182" t="n"/>
      <c r="F758" s="278" t="n"/>
      <c r="G758" s="182" t="n"/>
      <c r="H758" s="194" t="n"/>
      <c r="I758" s="180" t="n"/>
      <c r="J758" s="194" t="n"/>
      <c r="K758" s="182" t="n"/>
      <c r="L758" s="182" t="n"/>
      <c r="M758" s="278" t="n"/>
      <c r="N758" s="181" t="n"/>
      <c r="O758" s="181" t="n"/>
      <c r="P758" s="194" t="n"/>
      <c r="Q758" s="180" t="n"/>
      <c r="R758" s="180" t="n"/>
      <c r="S758" s="182" t="n"/>
      <c r="T758" s="57" t="n"/>
      <c r="U758" s="529" t="n"/>
      <c r="V758" s="55" t="n"/>
    </row>
    <row r="759" ht="21.5" customHeight="1" s="344">
      <c r="A759" s="180" t="n"/>
      <c r="B759" s="182" t="n"/>
      <c r="C759" s="278" t="n"/>
      <c r="D759" s="181" t="n"/>
      <c r="E759" s="182" t="n"/>
      <c r="F759" s="278" t="n"/>
      <c r="G759" s="182" t="n"/>
      <c r="H759" s="194" t="n"/>
      <c r="I759" s="180" t="n"/>
      <c r="J759" s="194" t="n"/>
      <c r="K759" s="182" t="n"/>
      <c r="L759" s="182" t="n"/>
      <c r="M759" s="278" t="n"/>
      <c r="N759" s="181" t="n"/>
      <c r="O759" s="181" t="n"/>
      <c r="P759" s="194" t="n"/>
      <c r="Q759" s="180" t="n"/>
      <c r="R759" s="180" t="n"/>
      <c r="S759" s="182" t="n"/>
      <c r="T759" s="57" t="n"/>
      <c r="U759" s="529" t="n"/>
      <c r="V759" s="55" t="n"/>
    </row>
    <row r="760" ht="21.5" customHeight="1" s="344">
      <c r="A760" s="180" t="n"/>
      <c r="B760" s="182" t="n"/>
      <c r="C760" s="278" t="n"/>
      <c r="D760" s="181" t="n"/>
      <c r="E760" s="182" t="n"/>
      <c r="F760" s="278" t="n"/>
      <c r="G760" s="182" t="n"/>
      <c r="H760" s="194" t="n"/>
      <c r="I760" s="180" t="n"/>
      <c r="J760" s="194" t="n"/>
      <c r="K760" s="182" t="n"/>
      <c r="L760" s="182" t="n"/>
      <c r="M760" s="278" t="n"/>
      <c r="N760" s="181" t="n"/>
      <c r="O760" s="181" t="n"/>
      <c r="P760" s="194" t="n"/>
      <c r="Q760" s="180" t="n"/>
      <c r="R760" s="180" t="n"/>
      <c r="S760" s="182" t="n"/>
      <c r="T760" s="57" t="n"/>
      <c r="U760" s="529" t="n"/>
      <c r="V760" s="55" t="n"/>
    </row>
    <row r="761" ht="14.5" customHeight="1" s="344">
      <c r="A761" s="180" t="n"/>
      <c r="B761" s="182" t="n"/>
      <c r="C761" s="278" t="n"/>
      <c r="D761" s="181" t="n"/>
      <c r="E761" s="182" t="n"/>
      <c r="F761" s="278" t="n"/>
      <c r="G761" s="182" t="n"/>
      <c r="H761" s="194" t="n"/>
      <c r="I761" s="180" t="n"/>
      <c r="J761" s="194" t="n"/>
      <c r="K761" s="182" t="n"/>
      <c r="L761" s="182" t="n"/>
      <c r="M761" s="278" t="n"/>
      <c r="N761" s="181" t="n"/>
      <c r="O761" s="181" t="n"/>
      <c r="P761" s="194" t="n"/>
      <c r="Q761" s="180" t="n"/>
      <c r="R761" s="180" t="n"/>
      <c r="S761" s="182" t="n"/>
      <c r="T761" s="57" t="n"/>
      <c r="U761" s="529" t="n"/>
      <c r="V761" s="55" t="n"/>
    </row>
    <row r="762" ht="14.5" customHeight="1" s="344">
      <c r="A762" s="180" t="n"/>
      <c r="B762" s="182" t="n"/>
      <c r="C762" s="278" t="n"/>
      <c r="D762" s="181" t="n"/>
      <c r="E762" s="182" t="n"/>
      <c r="F762" s="278" t="n"/>
      <c r="G762" s="182" t="n"/>
      <c r="H762" s="194" t="n"/>
      <c r="I762" s="180" t="n"/>
      <c r="J762" s="194" t="n"/>
      <c r="K762" s="182" t="n"/>
      <c r="L762" s="182" t="n"/>
      <c r="M762" s="278" t="n"/>
      <c r="N762" s="181" t="n"/>
      <c r="O762" s="181" t="n"/>
      <c r="P762" s="194" t="n"/>
      <c r="Q762" s="180" t="n"/>
      <c r="R762" s="180" t="n"/>
      <c r="S762" s="182" t="n"/>
      <c r="T762" s="57" t="n"/>
      <c r="U762" s="529" t="n"/>
      <c r="V762" s="55" t="n"/>
    </row>
    <row r="763" ht="14.5" customHeight="1" s="344">
      <c r="A763" s="180" t="n"/>
      <c r="B763" s="182" t="n"/>
      <c r="C763" s="278" t="n"/>
      <c r="D763" s="181" t="n"/>
      <c r="E763" s="182" t="n"/>
      <c r="F763" s="278" t="n"/>
      <c r="G763" s="182" t="n"/>
      <c r="H763" s="194" t="n"/>
      <c r="I763" s="180" t="n"/>
      <c r="J763" s="194" t="n"/>
      <c r="K763" s="182" t="n"/>
      <c r="L763" s="182" t="n"/>
      <c r="M763" s="278" t="n"/>
      <c r="N763" s="181" t="n"/>
      <c r="O763" s="181" t="n"/>
      <c r="P763" s="194" t="n"/>
      <c r="Q763" s="180" t="n"/>
      <c r="R763" s="180" t="n"/>
      <c r="S763" s="182" t="n"/>
      <c r="T763" s="57" t="n"/>
      <c r="U763" s="529" t="n"/>
      <c r="V763" s="55" t="n"/>
    </row>
    <row r="764" ht="14.5" customHeight="1" s="344">
      <c r="A764" s="180" t="n"/>
      <c r="B764" s="182" t="n"/>
      <c r="C764" s="278" t="n"/>
      <c r="D764" s="181" t="n"/>
      <c r="E764" s="182" t="n"/>
      <c r="F764" s="278" t="n"/>
      <c r="G764" s="182" t="n"/>
      <c r="H764" s="194" t="n"/>
      <c r="I764" s="180" t="n"/>
      <c r="J764" s="194" t="n"/>
      <c r="K764" s="182" t="n"/>
      <c r="L764" s="182" t="n"/>
      <c r="M764" s="278" t="n"/>
      <c r="N764" s="181" t="n"/>
      <c r="O764" s="181" t="n"/>
      <c r="P764" s="194" t="n"/>
      <c r="Q764" s="180" t="n"/>
      <c r="R764" s="180" t="n"/>
      <c r="S764" s="182" t="n"/>
      <c r="T764" s="57" t="n"/>
      <c r="U764" s="529" t="n"/>
      <c r="V764" s="55" t="n"/>
    </row>
    <row r="765" ht="21.5" customHeight="1" s="344">
      <c r="A765" s="180" t="n"/>
      <c r="B765" s="182" t="n"/>
      <c r="C765" s="278" t="n"/>
      <c r="D765" s="181" t="n"/>
      <c r="E765" s="182" t="n"/>
      <c r="F765" s="278" t="n"/>
      <c r="G765" s="182" t="n"/>
      <c r="H765" s="194" t="n"/>
      <c r="I765" s="180" t="n"/>
      <c r="J765" s="194" t="n"/>
      <c r="K765" s="182" t="n"/>
      <c r="L765" s="182" t="n"/>
      <c r="M765" s="278" t="n"/>
      <c r="N765" s="181" t="n"/>
      <c r="O765" s="181" t="n"/>
      <c r="P765" s="194" t="n"/>
      <c r="Q765" s="180" t="n"/>
      <c r="R765" s="180" t="n"/>
      <c r="S765" s="182" t="n"/>
      <c r="T765" s="57" t="n"/>
      <c r="U765" s="529" t="n"/>
      <c r="V765" s="55" t="n"/>
    </row>
    <row r="766" ht="14.5" customHeight="1" s="344">
      <c r="A766" s="180" t="n"/>
      <c r="B766" s="182" t="n"/>
      <c r="C766" s="278" t="n"/>
      <c r="D766" s="181" t="n"/>
      <c r="E766" s="182" t="n"/>
      <c r="F766" s="278" t="n"/>
      <c r="G766" s="182" t="n"/>
      <c r="H766" s="194" t="n"/>
      <c r="I766" s="180" t="n"/>
      <c r="J766" s="194" t="n"/>
      <c r="K766" s="182" t="n"/>
      <c r="L766" s="182" t="n"/>
      <c r="M766" s="278" t="n"/>
      <c r="N766" s="181" t="n"/>
      <c r="O766" s="181" t="n"/>
      <c r="P766" s="194" t="n"/>
      <c r="Q766" s="180" t="n"/>
      <c r="R766" s="180" t="n"/>
      <c r="S766" s="182" t="n"/>
      <c r="T766" s="57" t="n"/>
      <c r="U766" s="529" t="n"/>
      <c r="V766" s="55" t="n"/>
    </row>
    <row r="767" ht="14.5" customHeight="1" s="344">
      <c r="A767" s="180" t="n"/>
      <c r="B767" s="182" t="n"/>
      <c r="C767" s="278" t="n"/>
      <c r="D767" s="181" t="n"/>
      <c r="E767" s="182" t="n"/>
      <c r="F767" s="278" t="n"/>
      <c r="G767" s="182" t="n"/>
      <c r="H767" s="194" t="n"/>
      <c r="I767" s="180" t="n"/>
      <c r="J767" s="194" t="n"/>
      <c r="K767" s="182" t="n"/>
      <c r="L767" s="182" t="n"/>
      <c r="M767" s="278" t="n"/>
      <c r="N767" s="181" t="n"/>
      <c r="O767" s="181" t="n"/>
      <c r="P767" s="194" t="n"/>
      <c r="Q767" s="180" t="n"/>
      <c r="R767" s="180" t="n"/>
      <c r="S767" s="182" t="n"/>
      <c r="T767" s="57" t="n"/>
      <c r="U767" s="529" t="n"/>
      <c r="V767" s="55" t="n"/>
    </row>
    <row r="768" ht="21.5" customHeight="1" s="344">
      <c r="A768" s="180" t="n"/>
      <c r="B768" s="182" t="n"/>
      <c r="C768" s="278" t="n"/>
      <c r="D768" s="181" t="n"/>
      <c r="E768" s="182" t="n"/>
      <c r="F768" s="278" t="n"/>
      <c r="G768" s="182" t="n"/>
      <c r="H768" s="194" t="n"/>
      <c r="I768" s="180" t="n"/>
      <c r="J768" s="194" t="n"/>
      <c r="K768" s="182" t="n"/>
      <c r="L768" s="182" t="n"/>
      <c r="M768" s="278" t="n"/>
      <c r="N768" s="181" t="n"/>
      <c r="O768" s="181" t="n"/>
      <c r="P768" s="194" t="n"/>
      <c r="Q768" s="180" t="n"/>
      <c r="R768" s="180" t="n"/>
      <c r="S768" s="182" t="n"/>
      <c r="T768" s="57" t="n"/>
      <c r="U768" s="529" t="n"/>
      <c r="V768" s="55" t="n"/>
    </row>
    <row r="769" ht="14.5" customHeight="1" s="344">
      <c r="A769" s="180" t="n"/>
      <c r="B769" s="182" t="n"/>
      <c r="C769" s="278" t="n"/>
      <c r="D769" s="181" t="n"/>
      <c r="E769" s="182" t="n"/>
      <c r="F769" s="278" t="n"/>
      <c r="G769" s="182" t="n"/>
      <c r="H769" s="194" t="n"/>
      <c r="I769" s="180" t="n"/>
      <c r="J769" s="194" t="n"/>
      <c r="K769" s="182" t="n"/>
      <c r="L769" s="182" t="n"/>
      <c r="M769" s="278" t="n"/>
      <c r="N769" s="181" t="n"/>
      <c r="O769" s="181" t="n"/>
      <c r="P769" s="194" t="n"/>
      <c r="Q769" s="180" t="n"/>
      <c r="R769" s="180" t="n"/>
      <c r="S769" s="182" t="n"/>
      <c r="T769" s="57" t="n"/>
      <c r="U769" s="529" t="n"/>
      <c r="V769" s="55" t="n"/>
    </row>
    <row r="770" ht="14.5" customHeight="1" s="344">
      <c r="A770" s="180" t="n"/>
      <c r="B770" s="182" t="n"/>
      <c r="C770" s="278" t="n"/>
      <c r="D770" s="181" t="n"/>
      <c r="E770" s="182" t="n"/>
      <c r="F770" s="278" t="n"/>
      <c r="G770" s="182" t="n"/>
      <c r="H770" s="194" t="n"/>
      <c r="I770" s="180" t="n"/>
      <c r="J770" s="194" t="n"/>
      <c r="K770" s="182" t="n"/>
      <c r="L770" s="182" t="n"/>
      <c r="M770" s="278" t="n"/>
      <c r="N770" s="181" t="n"/>
      <c r="O770" s="181" t="n"/>
      <c r="P770" s="194" t="n"/>
      <c r="Q770" s="180" t="n"/>
      <c r="R770" s="180" t="n"/>
      <c r="S770" s="182" t="n"/>
      <c r="T770" s="57" t="n"/>
      <c r="U770" s="529" t="n"/>
      <c r="V770" s="55" t="n"/>
    </row>
    <row r="771" ht="21.5" customHeight="1" s="344">
      <c r="A771" s="180" t="n"/>
      <c r="B771" s="182" t="n"/>
      <c r="C771" s="278" t="n"/>
      <c r="D771" s="181" t="n"/>
      <c r="E771" s="182" t="n"/>
      <c r="F771" s="278" t="n"/>
      <c r="G771" s="182" t="n"/>
      <c r="H771" s="194" t="n"/>
      <c r="I771" s="180" t="n"/>
      <c r="J771" s="194" t="n"/>
      <c r="K771" s="182" t="n"/>
      <c r="L771" s="182" t="n"/>
      <c r="M771" s="278" t="n"/>
      <c r="N771" s="181" t="n"/>
      <c r="O771" s="181" t="n"/>
      <c r="P771" s="194" t="n"/>
      <c r="Q771" s="180" t="n"/>
      <c r="R771" s="180" t="n"/>
      <c r="S771" s="182" t="n"/>
      <c r="T771" s="57" t="n"/>
      <c r="U771" s="529" t="n"/>
      <c r="V771" s="55" t="n"/>
    </row>
    <row r="772" ht="14.5" customHeight="1" s="344">
      <c r="A772" s="180" t="n"/>
      <c r="B772" s="182" t="n"/>
      <c r="C772" s="278" t="n"/>
      <c r="D772" s="181" t="n"/>
      <c r="E772" s="182" t="n"/>
      <c r="F772" s="278" t="n"/>
      <c r="G772" s="182" t="n"/>
      <c r="H772" s="194" t="n"/>
      <c r="I772" s="180" t="n"/>
      <c r="J772" s="194" t="n"/>
      <c r="K772" s="182" t="n"/>
      <c r="L772" s="182" t="n"/>
      <c r="M772" s="278" t="n"/>
      <c r="N772" s="181" t="n"/>
      <c r="O772" s="181" t="n"/>
      <c r="P772" s="194" t="n"/>
      <c r="Q772" s="180" t="n"/>
      <c r="R772" s="180" t="n"/>
      <c r="S772" s="182" t="n"/>
      <c r="T772" s="57" t="n"/>
      <c r="U772" s="529" t="n"/>
      <c r="V772" s="55" t="n"/>
    </row>
    <row r="773" ht="14.5" customHeight="1" s="344">
      <c r="A773" s="180" t="n"/>
      <c r="B773" s="182" t="n"/>
      <c r="C773" s="278" t="n"/>
      <c r="D773" s="181" t="n"/>
      <c r="E773" s="182" t="n"/>
      <c r="F773" s="278" t="n"/>
      <c r="G773" s="182" t="n"/>
      <c r="H773" s="194" t="n"/>
      <c r="I773" s="180" t="n"/>
      <c r="J773" s="194" t="n"/>
      <c r="K773" s="182" t="n"/>
      <c r="L773" s="182" t="n"/>
      <c r="M773" s="278" t="n"/>
      <c r="N773" s="181" t="n"/>
      <c r="O773" s="181" t="n"/>
      <c r="P773" s="194" t="n"/>
      <c r="Q773" s="180" t="n"/>
      <c r="R773" s="180" t="n"/>
      <c r="S773" s="182" t="n"/>
      <c r="T773" s="57" t="n"/>
      <c r="U773" s="529" t="n"/>
      <c r="V773" s="55" t="n"/>
    </row>
    <row r="774" ht="21.5" customHeight="1" s="344">
      <c r="A774" s="180" t="n"/>
      <c r="B774" s="182" t="n"/>
      <c r="C774" s="278" t="n"/>
      <c r="D774" s="181" t="n"/>
      <c r="E774" s="182" t="n"/>
      <c r="F774" s="278" t="n"/>
      <c r="G774" s="182" t="n"/>
      <c r="H774" s="194" t="n"/>
      <c r="I774" s="180" t="n"/>
      <c r="J774" s="194" t="n"/>
      <c r="K774" s="182" t="n"/>
      <c r="L774" s="182" t="n"/>
      <c r="M774" s="278" t="n"/>
      <c r="N774" s="181" t="n"/>
      <c r="O774" s="181" t="n"/>
      <c r="P774" s="194" t="n"/>
      <c r="Q774" s="180" t="n"/>
      <c r="R774" s="180" t="n"/>
      <c r="S774" s="182" t="n"/>
      <c r="T774" s="57" t="n"/>
      <c r="U774" s="529" t="n"/>
      <c r="V774" s="55" t="n"/>
    </row>
    <row r="775" ht="14.5" customHeight="1" s="344">
      <c r="A775" s="180" t="n"/>
      <c r="B775" s="182" t="n"/>
      <c r="C775" s="278" t="n"/>
      <c r="D775" s="181" t="n"/>
      <c r="E775" s="182" t="n"/>
      <c r="F775" s="278" t="n"/>
      <c r="G775" s="182" t="n"/>
      <c r="H775" s="194" t="n"/>
      <c r="I775" s="180" t="n"/>
      <c r="J775" s="194" t="n"/>
      <c r="K775" s="182" t="n"/>
      <c r="L775" s="182" t="n"/>
      <c r="M775" s="278" t="n"/>
      <c r="N775" s="181" t="n"/>
      <c r="O775" s="181" t="n"/>
      <c r="P775" s="194" t="n"/>
      <c r="Q775" s="180" t="n"/>
      <c r="R775" s="180" t="n"/>
      <c r="S775" s="182" t="n"/>
      <c r="T775" s="57" t="n"/>
      <c r="U775" s="529" t="n"/>
      <c r="V775" s="55" t="n"/>
    </row>
    <row r="776" ht="14.5" customHeight="1" s="344">
      <c r="A776" s="180" t="n"/>
      <c r="B776" s="182" t="n"/>
      <c r="C776" s="278" t="n"/>
      <c r="D776" s="181" t="n"/>
      <c r="E776" s="182" t="n"/>
      <c r="F776" s="278" t="n"/>
      <c r="G776" s="182" t="n"/>
      <c r="H776" s="194" t="n"/>
      <c r="I776" s="180" t="n"/>
      <c r="J776" s="194" t="n"/>
      <c r="K776" s="182" t="n"/>
      <c r="L776" s="182" t="n"/>
      <c r="M776" s="278" t="n"/>
      <c r="N776" s="181" t="n"/>
      <c r="O776" s="181" t="n"/>
      <c r="P776" s="194" t="n"/>
      <c r="Q776" s="180" t="n"/>
      <c r="R776" s="180" t="n"/>
      <c r="S776" s="182" t="n"/>
      <c r="T776" s="57" t="n"/>
      <c r="U776" s="529" t="n"/>
      <c r="V776" s="55" t="n"/>
    </row>
    <row r="777" ht="14.5" customHeight="1" s="344">
      <c r="A777" s="180" t="n"/>
      <c r="B777" s="182" t="n"/>
      <c r="C777" s="278" t="n"/>
      <c r="D777" s="181" t="n"/>
      <c r="E777" s="182" t="n"/>
      <c r="F777" s="278" t="n"/>
      <c r="G777" s="182" t="n"/>
      <c r="H777" s="194" t="n"/>
      <c r="I777" s="180" t="n"/>
      <c r="J777" s="194" t="n"/>
      <c r="K777" s="182" t="n"/>
      <c r="L777" s="182" t="n"/>
      <c r="M777" s="278" t="n"/>
      <c r="N777" s="181" t="n"/>
      <c r="O777" s="181" t="n"/>
      <c r="P777" s="194" t="n"/>
      <c r="Q777" s="180" t="n"/>
      <c r="R777" s="180" t="n"/>
      <c r="S777" s="182" t="n"/>
      <c r="T777" s="57" t="n"/>
      <c r="U777" s="529" t="n"/>
      <c r="V777" s="55" t="n"/>
    </row>
    <row r="778" ht="14.5" customHeight="1" s="344">
      <c r="A778" s="180" t="n"/>
      <c r="B778" s="182" t="n"/>
      <c r="C778" s="278" t="n"/>
      <c r="D778" s="181" t="n"/>
      <c r="E778" s="182" t="n"/>
      <c r="F778" s="278" t="n"/>
      <c r="G778" s="182" t="n"/>
      <c r="H778" s="194" t="n"/>
      <c r="I778" s="180" t="n"/>
      <c r="J778" s="194" t="n"/>
      <c r="K778" s="182" t="n"/>
      <c r="L778" s="182" t="n"/>
      <c r="M778" s="278" t="n"/>
      <c r="N778" s="181" t="n"/>
      <c r="O778" s="181" t="n"/>
      <c r="P778" s="194" t="n"/>
      <c r="Q778" s="180" t="n"/>
      <c r="R778" s="180" t="n"/>
      <c r="S778" s="182" t="n"/>
      <c r="T778" s="57" t="n"/>
      <c r="U778" s="529" t="n"/>
      <c r="V778" s="55" t="n"/>
    </row>
    <row r="779" ht="14.5" customHeight="1" s="344">
      <c r="A779" s="180" t="n"/>
      <c r="B779" s="182" t="n"/>
      <c r="C779" s="278" t="n"/>
      <c r="D779" s="181" t="n"/>
      <c r="E779" s="182" t="n"/>
      <c r="F779" s="278" t="n"/>
      <c r="G779" s="182" t="n"/>
      <c r="H779" s="194" t="n"/>
      <c r="I779" s="180" t="n"/>
      <c r="J779" s="194" t="n"/>
      <c r="K779" s="182" t="n"/>
      <c r="L779" s="182" t="n"/>
      <c r="M779" s="278" t="n"/>
      <c r="N779" s="181" t="n"/>
      <c r="O779" s="181" t="n"/>
      <c r="P779" s="194" t="n"/>
      <c r="Q779" s="180" t="n"/>
      <c r="R779" s="180" t="n"/>
      <c r="S779" s="182" t="n"/>
      <c r="T779" s="57" t="n"/>
      <c r="U779" s="529" t="n"/>
      <c r="V779" s="55" t="n"/>
    </row>
    <row r="780" ht="14.5" customHeight="1" s="344">
      <c r="A780" s="180" t="n"/>
      <c r="B780" s="182" t="n"/>
      <c r="C780" s="278" t="n"/>
      <c r="D780" s="181" t="n"/>
      <c r="E780" s="182" t="n"/>
      <c r="F780" s="278" t="n"/>
      <c r="G780" s="182" t="n"/>
      <c r="H780" s="194" t="n"/>
      <c r="I780" s="180" t="n"/>
      <c r="J780" s="194" t="n"/>
      <c r="K780" s="182" t="n"/>
      <c r="L780" s="182" t="n"/>
      <c r="M780" s="278" t="n"/>
      <c r="N780" s="181" t="n"/>
      <c r="O780" s="181" t="n"/>
      <c r="P780" s="194" t="n"/>
      <c r="Q780" s="180" t="n"/>
      <c r="R780" s="180" t="n"/>
      <c r="S780" s="182" t="n"/>
      <c r="T780" s="57" t="n"/>
      <c r="U780" s="529" t="n"/>
      <c r="V780" s="55" t="n"/>
    </row>
    <row r="781" ht="14.5" customHeight="1" s="344">
      <c r="A781" s="180" t="n"/>
      <c r="B781" s="182" t="n"/>
      <c r="C781" s="278" t="n"/>
      <c r="D781" s="181" t="n"/>
      <c r="E781" s="182" t="n"/>
      <c r="F781" s="278" t="n"/>
      <c r="G781" s="182" t="n"/>
      <c r="H781" s="194" t="n"/>
      <c r="I781" s="180" t="n"/>
      <c r="J781" s="194" t="n"/>
      <c r="K781" s="182" t="n"/>
      <c r="L781" s="182" t="n"/>
      <c r="M781" s="278" t="n"/>
      <c r="N781" s="181" t="n"/>
      <c r="O781" s="181" t="n"/>
      <c r="P781" s="194" t="n"/>
      <c r="Q781" s="180" t="n"/>
      <c r="R781" s="180" t="n"/>
      <c r="S781" s="182" t="n"/>
      <c r="T781" s="57" t="n"/>
      <c r="U781" s="529" t="n"/>
      <c r="V781" s="55" t="n"/>
    </row>
    <row r="782" ht="14.5" customHeight="1" s="344">
      <c r="A782" s="180" t="n"/>
      <c r="B782" s="182" t="n"/>
      <c r="C782" s="278" t="n"/>
      <c r="D782" s="181" t="n"/>
      <c r="E782" s="182" t="n"/>
      <c r="F782" s="278" t="n"/>
      <c r="G782" s="182" t="n"/>
      <c r="H782" s="194" t="n"/>
      <c r="I782" s="180" t="n"/>
      <c r="J782" s="194" t="n"/>
      <c r="K782" s="182" t="n"/>
      <c r="L782" s="182" t="n"/>
      <c r="M782" s="278" t="n"/>
      <c r="N782" s="181" t="n"/>
      <c r="O782" s="181" t="n"/>
      <c r="P782" s="194" t="n"/>
      <c r="Q782" s="180" t="n"/>
      <c r="R782" s="180" t="n"/>
      <c r="S782" s="182" t="n"/>
      <c r="T782" s="57" t="n"/>
      <c r="U782" s="529" t="n"/>
      <c r="V782" s="55" t="n"/>
    </row>
    <row r="783" ht="14.5" customHeight="1" s="344">
      <c r="A783" s="180" t="n"/>
      <c r="B783" s="182" t="n"/>
      <c r="C783" s="278" t="n"/>
      <c r="D783" s="181" t="n"/>
      <c r="E783" s="182" t="n"/>
      <c r="F783" s="278" t="n"/>
      <c r="G783" s="182" t="n"/>
      <c r="H783" s="194" t="n"/>
      <c r="I783" s="180" t="n"/>
      <c r="J783" s="194" t="n"/>
      <c r="K783" s="182" t="n"/>
      <c r="L783" s="182" t="n"/>
      <c r="M783" s="278" t="n"/>
      <c r="N783" s="181" t="n"/>
      <c r="O783" s="181" t="n"/>
      <c r="P783" s="194" t="n"/>
      <c r="Q783" s="180" t="n"/>
      <c r="R783" s="180" t="n"/>
      <c r="S783" s="182" t="n"/>
      <c r="T783" s="57" t="n"/>
      <c r="U783" s="529" t="n"/>
      <c r="V783" s="55" t="n"/>
    </row>
    <row r="784" ht="14.5" customHeight="1" s="344">
      <c r="A784" s="180" t="n"/>
      <c r="B784" s="182" t="n"/>
      <c r="C784" s="278" t="n"/>
      <c r="D784" s="181" t="n"/>
      <c r="E784" s="182" t="n"/>
      <c r="F784" s="278" t="n"/>
      <c r="G784" s="182" t="n"/>
      <c r="H784" s="194" t="n"/>
      <c r="I784" s="180" t="n"/>
      <c r="J784" s="194" t="n"/>
      <c r="K784" s="182" t="n"/>
      <c r="L784" s="182" t="n"/>
      <c r="M784" s="278" t="n"/>
      <c r="N784" s="181" t="n"/>
      <c r="O784" s="181" t="n"/>
      <c r="P784" s="194" t="n"/>
      <c r="Q784" s="180" t="n"/>
      <c r="R784" s="180" t="n"/>
      <c r="S784" s="182" t="n"/>
      <c r="T784" s="57" t="n"/>
      <c r="U784" s="529" t="n"/>
      <c r="V784" s="55" t="n"/>
    </row>
    <row r="785" ht="14.5" customHeight="1" s="344">
      <c r="A785" s="180" t="n"/>
      <c r="B785" s="182" t="n"/>
      <c r="C785" s="278" t="n"/>
      <c r="D785" s="181" t="n"/>
      <c r="E785" s="182" t="n"/>
      <c r="F785" s="278" t="n"/>
      <c r="G785" s="182" t="n"/>
      <c r="H785" s="194" t="n"/>
      <c r="I785" s="180" t="n"/>
      <c r="J785" s="194" t="n"/>
      <c r="K785" s="182" t="n"/>
      <c r="L785" s="182" t="n"/>
      <c r="M785" s="278" t="n"/>
      <c r="N785" s="181" t="n"/>
      <c r="O785" s="181" t="n"/>
      <c r="P785" s="194" t="n"/>
      <c r="Q785" s="180" t="n"/>
      <c r="R785" s="180" t="n"/>
      <c r="S785" s="182" t="n"/>
      <c r="T785" s="57" t="n"/>
      <c r="U785" s="529" t="n"/>
      <c r="V785" s="55" t="n"/>
    </row>
    <row r="786" ht="14.5" customHeight="1" s="344">
      <c r="A786" s="180" t="n"/>
      <c r="B786" s="182" t="n"/>
      <c r="C786" s="278" t="n"/>
      <c r="D786" s="181" t="n"/>
      <c r="E786" s="182" t="n"/>
      <c r="F786" s="278" t="n"/>
      <c r="G786" s="182" t="n"/>
      <c r="H786" s="194" t="n"/>
      <c r="I786" s="180" t="n"/>
      <c r="J786" s="194" t="n"/>
      <c r="K786" s="182" t="n"/>
      <c r="L786" s="182" t="n"/>
      <c r="M786" s="278" t="n"/>
      <c r="N786" s="181" t="n"/>
      <c r="O786" s="181" t="n"/>
      <c r="P786" s="194" t="n"/>
      <c r="Q786" s="180" t="n"/>
      <c r="R786" s="180" t="n"/>
      <c r="S786" s="182" t="n"/>
      <c r="T786" s="57" t="n"/>
      <c r="U786" s="529" t="n"/>
      <c r="V786" s="55" t="n"/>
    </row>
    <row r="787" ht="14.5" customHeight="1" s="344">
      <c r="A787" s="180" t="n"/>
      <c r="B787" s="182" t="n"/>
      <c r="C787" s="278" t="n"/>
      <c r="D787" s="181" t="n"/>
      <c r="E787" s="182" t="n"/>
      <c r="F787" s="278" t="n"/>
      <c r="G787" s="182" t="n"/>
      <c r="H787" s="194" t="n"/>
      <c r="I787" s="180" t="n"/>
      <c r="J787" s="194" t="n"/>
      <c r="K787" s="182" t="n"/>
      <c r="L787" s="182" t="n"/>
      <c r="M787" s="278" t="n"/>
      <c r="N787" s="181" t="n"/>
      <c r="O787" s="181" t="n"/>
      <c r="P787" s="194" t="n"/>
      <c r="Q787" s="180" t="n"/>
      <c r="R787" s="180" t="n"/>
      <c r="S787" s="182" t="n"/>
      <c r="T787" s="57" t="n"/>
      <c r="U787" s="529" t="n"/>
      <c r="V787" s="55" t="n"/>
    </row>
    <row r="788" ht="14.5" customHeight="1" s="344">
      <c r="A788" s="180" t="n"/>
      <c r="B788" s="182" t="n"/>
      <c r="C788" s="278" t="n"/>
      <c r="D788" s="181" t="n"/>
      <c r="E788" s="182" t="n"/>
      <c r="F788" s="278" t="n"/>
      <c r="G788" s="182" t="n"/>
      <c r="H788" s="194" t="n"/>
      <c r="I788" s="180" t="n"/>
      <c r="J788" s="194" t="n"/>
      <c r="K788" s="182" t="n"/>
      <c r="L788" s="182" t="n"/>
      <c r="M788" s="278" t="n"/>
      <c r="N788" s="181" t="n"/>
      <c r="O788" s="181" t="n"/>
      <c r="P788" s="194" t="n"/>
      <c r="Q788" s="180" t="n"/>
      <c r="R788" s="180" t="n"/>
      <c r="S788" s="182" t="n"/>
      <c r="T788" s="57" t="n"/>
      <c r="U788" s="529" t="n"/>
      <c r="V788" s="55" t="n"/>
    </row>
    <row r="789" ht="14.5" customHeight="1" s="344">
      <c r="A789" s="180" t="n"/>
      <c r="B789" s="182" t="n"/>
      <c r="C789" s="278" t="n"/>
      <c r="D789" s="181" t="n"/>
      <c r="E789" s="182" t="n"/>
      <c r="F789" s="278" t="n"/>
      <c r="G789" s="182" t="n"/>
      <c r="H789" s="194" t="n"/>
      <c r="I789" s="180" t="n"/>
      <c r="J789" s="194" t="n"/>
      <c r="K789" s="182" t="n"/>
      <c r="L789" s="182" t="n"/>
      <c r="M789" s="278" t="n"/>
      <c r="N789" s="181" t="n"/>
      <c r="O789" s="181" t="n"/>
      <c r="P789" s="194" t="n"/>
      <c r="Q789" s="180" t="n"/>
      <c r="R789" s="180" t="n"/>
      <c r="S789" s="182" t="n"/>
      <c r="T789" s="57" t="n"/>
      <c r="U789" s="529" t="n"/>
      <c r="V789" s="55" t="n"/>
    </row>
    <row r="790" ht="14.5" customHeight="1" s="344">
      <c r="A790" s="180" t="n"/>
      <c r="B790" s="182" t="n"/>
      <c r="C790" s="278" t="n"/>
      <c r="D790" s="181" t="n"/>
      <c r="E790" s="182" t="n"/>
      <c r="F790" s="278" t="n"/>
      <c r="G790" s="182" t="n"/>
      <c r="H790" s="194" t="n"/>
      <c r="I790" s="180" t="n"/>
      <c r="J790" s="194" t="n"/>
      <c r="K790" s="182" t="n"/>
      <c r="L790" s="182" t="n"/>
      <c r="M790" s="278" t="n"/>
      <c r="N790" s="181" t="n"/>
      <c r="O790" s="181" t="n"/>
      <c r="P790" s="194" t="n"/>
      <c r="Q790" s="180" t="n"/>
      <c r="R790" s="180" t="n"/>
      <c r="S790" s="182" t="n"/>
      <c r="T790" s="57" t="n"/>
      <c r="U790" s="529" t="n"/>
      <c r="V790" s="55" t="n"/>
    </row>
    <row r="791" ht="21.5" customHeight="1" s="344">
      <c r="A791" s="180" t="n"/>
      <c r="B791" s="182" t="n"/>
      <c r="C791" s="278" t="n"/>
      <c r="D791" s="181" t="n"/>
      <c r="E791" s="182" t="n"/>
      <c r="F791" s="278" t="n"/>
      <c r="G791" s="182" t="n"/>
      <c r="H791" s="194" t="n"/>
      <c r="I791" s="180" t="n"/>
      <c r="J791" s="194" t="n"/>
      <c r="K791" s="182" t="n"/>
      <c r="L791" s="182" t="n"/>
      <c r="M791" s="278" t="n"/>
      <c r="N791" s="181" t="n"/>
      <c r="O791" s="181" t="n"/>
      <c r="P791" s="194" t="n"/>
      <c r="Q791" s="180" t="n"/>
      <c r="R791" s="180" t="n"/>
      <c r="S791" s="182" t="n"/>
      <c r="T791" s="57" t="n"/>
      <c r="U791" s="529" t="n"/>
      <c r="V791" s="55" t="n"/>
    </row>
    <row r="792" ht="14.5" customHeight="1" s="344">
      <c r="A792" s="180" t="n"/>
      <c r="B792" s="182" t="n"/>
      <c r="C792" s="278" t="n"/>
      <c r="D792" s="181" t="n"/>
      <c r="E792" s="182" t="n"/>
      <c r="F792" s="278" t="n"/>
      <c r="G792" s="182" t="n"/>
      <c r="H792" s="194" t="n"/>
      <c r="I792" s="180" t="n"/>
      <c r="J792" s="194" t="n"/>
      <c r="K792" s="182" t="n"/>
      <c r="L792" s="182" t="n"/>
      <c r="M792" s="278" t="n"/>
      <c r="N792" s="181" t="n"/>
      <c r="O792" s="181" t="n"/>
      <c r="P792" s="194" t="n"/>
      <c r="Q792" s="180" t="n"/>
      <c r="R792" s="180" t="n"/>
      <c r="S792" s="182" t="n"/>
      <c r="T792" s="57" t="n"/>
      <c r="U792" s="529" t="n"/>
      <c r="V792" s="55" t="n"/>
    </row>
    <row r="793" ht="14.5" customHeight="1" s="344">
      <c r="A793" s="180" t="n"/>
      <c r="B793" s="182" t="n"/>
      <c r="C793" s="278" t="n"/>
      <c r="D793" s="181" t="n"/>
      <c r="E793" s="182" t="n"/>
      <c r="F793" s="278" t="n"/>
      <c r="G793" s="182" t="n"/>
      <c r="H793" s="194" t="n"/>
      <c r="I793" s="180" t="n"/>
      <c r="J793" s="194" t="n"/>
      <c r="K793" s="182" t="n"/>
      <c r="L793" s="182" t="n"/>
      <c r="M793" s="278" t="n"/>
      <c r="N793" s="181" t="n"/>
      <c r="O793" s="181" t="n"/>
      <c r="P793" s="194" t="n"/>
      <c r="Q793" s="180" t="n"/>
      <c r="R793" s="180" t="n"/>
      <c r="S793" s="182" t="n"/>
      <c r="T793" s="57" t="n"/>
      <c r="U793" s="529" t="n"/>
      <c r="V793" s="55" t="n"/>
    </row>
    <row r="794" ht="14.5" customHeight="1" s="344">
      <c r="A794" s="180" t="n"/>
      <c r="B794" s="182" t="n"/>
      <c r="C794" s="278" t="n"/>
      <c r="D794" s="181" t="n"/>
      <c r="E794" s="182" t="n"/>
      <c r="F794" s="278" t="n"/>
      <c r="G794" s="182" t="n"/>
      <c r="H794" s="194" t="n"/>
      <c r="I794" s="180" t="n"/>
      <c r="J794" s="194" t="n"/>
      <c r="K794" s="182" t="n"/>
      <c r="L794" s="182" t="n"/>
      <c r="M794" s="278" t="n"/>
      <c r="N794" s="181" t="n"/>
      <c r="O794" s="181" t="n"/>
      <c r="P794" s="194" t="n"/>
      <c r="Q794" s="180" t="n"/>
      <c r="R794" s="180" t="n"/>
      <c r="S794" s="182" t="n"/>
      <c r="T794" s="57" t="n"/>
      <c r="U794" s="529" t="n"/>
      <c r="V794" s="55" t="n"/>
    </row>
    <row r="795" ht="21.5" customHeight="1" s="344">
      <c r="A795" s="180" t="n"/>
      <c r="B795" s="182" t="n"/>
      <c r="C795" s="278" t="n"/>
      <c r="D795" s="181" t="n"/>
      <c r="E795" s="182" t="n"/>
      <c r="F795" s="278" t="n"/>
      <c r="G795" s="182" t="n"/>
      <c r="H795" s="194" t="n"/>
      <c r="I795" s="180" t="n"/>
      <c r="J795" s="194" t="n"/>
      <c r="K795" s="182" t="n"/>
      <c r="L795" s="182" t="n"/>
      <c r="M795" s="278" t="n"/>
      <c r="N795" s="181" t="n"/>
      <c r="O795" s="181" t="n"/>
      <c r="P795" s="194" t="n"/>
      <c r="Q795" s="180" t="n"/>
      <c r="R795" s="180" t="n"/>
      <c r="S795" s="182" t="n"/>
      <c r="T795" s="57" t="n"/>
      <c r="U795" s="529" t="n"/>
      <c r="V795" s="55" t="n"/>
    </row>
    <row r="796" ht="14.5" customHeight="1" s="344">
      <c r="A796" s="180" t="n"/>
      <c r="B796" s="182" t="n"/>
      <c r="C796" s="278" t="n"/>
      <c r="D796" s="181" t="n"/>
      <c r="E796" s="182" t="n"/>
      <c r="F796" s="278" t="n"/>
      <c r="G796" s="182" t="n"/>
      <c r="H796" s="194" t="n"/>
      <c r="I796" s="180" t="n"/>
      <c r="J796" s="194" t="n"/>
      <c r="K796" s="182" t="n"/>
      <c r="L796" s="182" t="n"/>
      <c r="M796" s="278" t="n"/>
      <c r="N796" s="181" t="n"/>
      <c r="O796" s="181" t="n"/>
      <c r="P796" s="194" t="n"/>
      <c r="Q796" s="180" t="n"/>
      <c r="R796" s="180" t="n"/>
      <c r="S796" s="182" t="n"/>
      <c r="T796" s="57" t="n"/>
      <c r="U796" s="529" t="n"/>
      <c r="V796" s="55" t="n"/>
    </row>
    <row r="797" ht="14.5" customHeight="1" s="344">
      <c r="A797" s="180" t="n"/>
      <c r="B797" s="182" t="n"/>
      <c r="C797" s="278" t="n"/>
      <c r="D797" s="181" t="n"/>
      <c r="E797" s="182" t="n"/>
      <c r="F797" s="278" t="n"/>
      <c r="G797" s="182" t="n"/>
      <c r="H797" s="194" t="n"/>
      <c r="I797" s="180" t="n"/>
      <c r="J797" s="194" t="n"/>
      <c r="K797" s="182" t="n"/>
      <c r="L797" s="182" t="n"/>
      <c r="M797" s="278" t="n"/>
      <c r="N797" s="181" t="n"/>
      <c r="O797" s="181" t="n"/>
      <c r="P797" s="194" t="n"/>
      <c r="Q797" s="180" t="n"/>
      <c r="R797" s="180" t="n"/>
      <c r="S797" s="182" t="n"/>
      <c r="T797" s="57" t="n"/>
      <c r="U797" s="529" t="n"/>
      <c r="V797" s="55" t="n"/>
    </row>
    <row r="798" ht="21.5" customHeight="1" s="344">
      <c r="A798" s="180" t="n"/>
      <c r="B798" s="182" t="n"/>
      <c r="C798" s="278" t="n"/>
      <c r="D798" s="181" t="n"/>
      <c r="E798" s="182" t="n"/>
      <c r="F798" s="278" t="n"/>
      <c r="G798" s="182" t="n"/>
      <c r="H798" s="194" t="n"/>
      <c r="I798" s="180" t="n"/>
      <c r="J798" s="194" t="n"/>
      <c r="K798" s="182" t="n"/>
      <c r="L798" s="182" t="n"/>
      <c r="M798" s="278" t="n"/>
      <c r="N798" s="181" t="n"/>
      <c r="O798" s="181" t="n"/>
      <c r="P798" s="194" t="n"/>
      <c r="Q798" s="180" t="n"/>
      <c r="R798" s="180" t="n"/>
      <c r="S798" s="182" t="n"/>
      <c r="T798" s="57" t="n"/>
      <c r="U798" s="529" t="n"/>
      <c r="V798" s="55" t="n"/>
    </row>
    <row r="799" ht="14.5" customHeight="1" s="344">
      <c r="A799" s="180" t="n"/>
      <c r="B799" s="182" t="n"/>
      <c r="C799" s="278" t="n"/>
      <c r="D799" s="181" t="n"/>
      <c r="E799" s="182" t="n"/>
      <c r="F799" s="278" t="n"/>
      <c r="G799" s="182" t="n"/>
      <c r="H799" s="194" t="n"/>
      <c r="I799" s="180" t="n"/>
      <c r="J799" s="194" t="n"/>
      <c r="K799" s="182" t="n"/>
      <c r="L799" s="182" t="n"/>
      <c r="M799" s="278" t="n"/>
      <c r="N799" s="181" t="n"/>
      <c r="O799" s="181" t="n"/>
      <c r="P799" s="194" t="n"/>
      <c r="Q799" s="180" t="n"/>
      <c r="R799" s="180" t="n"/>
      <c r="S799" s="182" t="n"/>
      <c r="T799" s="57" t="n"/>
      <c r="U799" s="529" t="n"/>
      <c r="V799" s="55" t="n"/>
    </row>
    <row r="800" ht="14.5" customHeight="1" s="344">
      <c r="A800" s="180" t="n"/>
      <c r="B800" s="182" t="n"/>
      <c r="C800" s="278" t="n"/>
      <c r="D800" s="181" t="n"/>
      <c r="E800" s="182" t="n"/>
      <c r="F800" s="278" t="n"/>
      <c r="G800" s="182" t="n"/>
      <c r="H800" s="194" t="n"/>
      <c r="I800" s="180" t="n"/>
      <c r="J800" s="194" t="n"/>
      <c r="K800" s="182" t="n"/>
      <c r="L800" s="182" t="n"/>
      <c r="M800" s="278" t="n"/>
      <c r="N800" s="181" t="n"/>
      <c r="O800" s="181" t="n"/>
      <c r="P800" s="194" t="n"/>
      <c r="Q800" s="180" t="n"/>
      <c r="R800" s="180" t="n"/>
      <c r="S800" s="182" t="n"/>
      <c r="T800" s="57" t="n"/>
      <c r="U800" s="529" t="n"/>
      <c r="V800" s="55" t="n"/>
    </row>
    <row r="801" ht="14.5" customHeight="1" s="344">
      <c r="A801" s="180" t="n"/>
      <c r="B801" s="182" t="n"/>
      <c r="C801" s="278" t="n"/>
      <c r="D801" s="181" t="n"/>
      <c r="E801" s="182" t="n"/>
      <c r="F801" s="278" t="n"/>
      <c r="G801" s="182" t="n"/>
      <c r="H801" s="194" t="n"/>
      <c r="I801" s="180" t="n"/>
      <c r="J801" s="194" t="n"/>
      <c r="K801" s="182" t="n"/>
      <c r="L801" s="182" t="n"/>
      <c r="M801" s="278" t="n"/>
      <c r="N801" s="181" t="n"/>
      <c r="O801" s="181" t="n"/>
      <c r="P801" s="194" t="n"/>
      <c r="Q801" s="180" t="n"/>
      <c r="R801" s="180" t="n"/>
      <c r="S801" s="182" t="n"/>
      <c r="T801" s="57" t="n"/>
      <c r="U801" s="529" t="n"/>
      <c r="V801" s="55" t="n"/>
    </row>
    <row r="802" ht="14.5" customHeight="1" s="344">
      <c r="A802" s="180" t="n"/>
      <c r="B802" s="182" t="n"/>
      <c r="C802" s="278" t="n"/>
      <c r="D802" s="181" t="n"/>
      <c r="E802" s="182" t="n"/>
      <c r="F802" s="278" t="n"/>
      <c r="G802" s="182" t="n"/>
      <c r="H802" s="194" t="n"/>
      <c r="I802" s="180" t="n"/>
      <c r="J802" s="194" t="n"/>
      <c r="K802" s="182" t="n"/>
      <c r="L802" s="182" t="n"/>
      <c r="M802" s="278" t="n"/>
      <c r="N802" s="181" t="n"/>
      <c r="O802" s="181" t="n"/>
      <c r="P802" s="194" t="n"/>
      <c r="Q802" s="180" t="n"/>
      <c r="R802" s="180" t="n"/>
      <c r="S802" s="182" t="n"/>
      <c r="T802" s="57" t="n"/>
      <c r="U802" s="529" t="n"/>
      <c r="V802" s="55" t="n"/>
    </row>
    <row r="803" ht="14.5" customHeight="1" s="344">
      <c r="A803" s="180" t="n"/>
      <c r="B803" s="182" t="n"/>
      <c r="C803" s="278" t="n"/>
      <c r="D803" s="181" t="n"/>
      <c r="E803" s="182" t="n"/>
      <c r="F803" s="278" t="n"/>
      <c r="G803" s="182" t="n"/>
      <c r="H803" s="194" t="n"/>
      <c r="I803" s="180" t="n"/>
      <c r="J803" s="194" t="n"/>
      <c r="K803" s="182" t="n"/>
      <c r="L803" s="182" t="n"/>
      <c r="M803" s="278" t="n"/>
      <c r="N803" s="181" t="n"/>
      <c r="O803" s="181" t="n"/>
      <c r="P803" s="194" t="n"/>
      <c r="Q803" s="180" t="n"/>
      <c r="R803" s="180" t="n"/>
      <c r="S803" s="182" t="n"/>
      <c r="T803" s="57" t="n"/>
      <c r="U803" s="529" t="n"/>
      <c r="V803" s="55" t="n"/>
    </row>
    <row r="804" ht="14.5" customHeight="1" s="344">
      <c r="A804" s="180" t="n"/>
      <c r="B804" s="182" t="n"/>
      <c r="C804" s="278" t="n"/>
      <c r="D804" s="181" t="n"/>
      <c r="E804" s="182" t="n"/>
      <c r="F804" s="278" t="n"/>
      <c r="G804" s="182" t="n"/>
      <c r="H804" s="194" t="n"/>
      <c r="I804" s="180" t="n"/>
      <c r="J804" s="194" t="n"/>
      <c r="K804" s="182" t="n"/>
      <c r="L804" s="182" t="n"/>
      <c r="M804" s="278" t="n"/>
      <c r="N804" s="181" t="n"/>
      <c r="O804" s="181" t="n"/>
      <c r="P804" s="194" t="n"/>
      <c r="Q804" s="180" t="n"/>
      <c r="R804" s="180" t="n"/>
      <c r="S804" s="182" t="n"/>
      <c r="T804" s="57" t="n"/>
      <c r="U804" s="529" t="n"/>
      <c r="V804" s="55" t="n"/>
    </row>
    <row r="805" ht="14.5" customHeight="1" s="344">
      <c r="A805" s="180" t="n"/>
      <c r="B805" s="182" t="n"/>
      <c r="C805" s="278" t="n"/>
      <c r="D805" s="181" t="n"/>
      <c r="E805" s="182" t="n"/>
      <c r="F805" s="278" t="n"/>
      <c r="G805" s="182" t="n"/>
      <c r="H805" s="194" t="n"/>
      <c r="I805" s="180" t="n"/>
      <c r="J805" s="194" t="n"/>
      <c r="K805" s="182" t="n"/>
      <c r="L805" s="182" t="n"/>
      <c r="M805" s="278" t="n"/>
      <c r="N805" s="181" t="n"/>
      <c r="O805" s="181" t="n"/>
      <c r="P805" s="194" t="n"/>
      <c r="Q805" s="180" t="n"/>
      <c r="R805" s="180" t="n"/>
      <c r="S805" s="182" t="n"/>
      <c r="T805" s="57" t="n"/>
      <c r="U805" s="529" t="n"/>
      <c r="V805" s="55" t="n"/>
    </row>
    <row r="806" ht="14.5" customHeight="1" s="344">
      <c r="A806" s="180" t="n"/>
      <c r="B806" s="182" t="n"/>
      <c r="C806" s="278" t="n"/>
      <c r="D806" s="181" t="n"/>
      <c r="E806" s="182" t="n"/>
      <c r="F806" s="278" t="n"/>
      <c r="G806" s="182" t="n"/>
      <c r="H806" s="194" t="n"/>
      <c r="I806" s="180" t="n"/>
      <c r="J806" s="194" t="n"/>
      <c r="K806" s="182" t="n"/>
      <c r="L806" s="182" t="n"/>
      <c r="M806" s="278" t="n"/>
      <c r="N806" s="181" t="n"/>
      <c r="O806" s="181" t="n"/>
      <c r="P806" s="194" t="n"/>
      <c r="Q806" s="180" t="n"/>
      <c r="R806" s="180" t="n"/>
      <c r="S806" s="182" t="n"/>
      <c r="T806" s="57" t="n"/>
      <c r="U806" s="529" t="n"/>
      <c r="V806" s="55" t="n"/>
    </row>
    <row r="807" ht="14.5" customHeight="1" s="344">
      <c r="A807" s="180" t="n"/>
      <c r="B807" s="182" t="n"/>
      <c r="C807" s="278" t="n"/>
      <c r="D807" s="181" t="n"/>
      <c r="E807" s="182" t="n"/>
      <c r="F807" s="278" t="n"/>
      <c r="G807" s="182" t="n"/>
      <c r="H807" s="194" t="n"/>
      <c r="I807" s="180" t="n"/>
      <c r="J807" s="194" t="n"/>
      <c r="K807" s="182" t="n"/>
      <c r="L807" s="182" t="n"/>
      <c r="M807" s="278" t="n"/>
      <c r="N807" s="181" t="n"/>
      <c r="O807" s="181" t="n"/>
      <c r="P807" s="194" t="n"/>
      <c r="Q807" s="180" t="n"/>
      <c r="R807" s="180" t="n"/>
      <c r="S807" s="182" t="n"/>
      <c r="T807" s="57" t="n"/>
      <c r="U807" s="529" t="n"/>
      <c r="V807" s="55" t="n"/>
    </row>
    <row r="808" ht="14.5" customHeight="1" s="344">
      <c r="A808" s="180" t="n"/>
      <c r="B808" s="182" t="n"/>
      <c r="C808" s="278" t="n"/>
      <c r="D808" s="181" t="n"/>
      <c r="E808" s="182" t="n"/>
      <c r="F808" s="278" t="n"/>
      <c r="G808" s="182" t="n"/>
      <c r="H808" s="194" t="n"/>
      <c r="I808" s="180" t="n"/>
      <c r="J808" s="194" t="n"/>
      <c r="K808" s="182" t="n"/>
      <c r="L808" s="182" t="n"/>
      <c r="M808" s="278" t="n"/>
      <c r="N808" s="181" t="n"/>
      <c r="O808" s="181" t="n"/>
      <c r="P808" s="194" t="n"/>
      <c r="Q808" s="180" t="n"/>
      <c r="R808" s="180" t="n"/>
      <c r="S808" s="182" t="n"/>
      <c r="T808" s="57" t="n"/>
      <c r="U808" s="529" t="n"/>
      <c r="V808" s="55" t="n"/>
    </row>
    <row r="809" ht="14.5" customHeight="1" s="344">
      <c r="A809" s="180" t="n"/>
      <c r="B809" s="182" t="n"/>
      <c r="C809" s="278" t="n"/>
      <c r="D809" s="181" t="n"/>
      <c r="E809" s="182" t="n"/>
      <c r="F809" s="278" t="n"/>
      <c r="G809" s="182" t="n"/>
      <c r="H809" s="194" t="n"/>
      <c r="I809" s="180" t="n"/>
      <c r="J809" s="194" t="n"/>
      <c r="K809" s="182" t="n"/>
      <c r="L809" s="182" t="n"/>
      <c r="M809" s="278" t="n"/>
      <c r="N809" s="181" t="n"/>
      <c r="O809" s="181" t="n"/>
      <c r="P809" s="194" t="n"/>
      <c r="Q809" s="180" t="n"/>
      <c r="R809" s="180" t="n"/>
      <c r="S809" s="182" t="n"/>
      <c r="T809" s="57" t="n"/>
      <c r="U809" s="529" t="n"/>
      <c r="V809" s="55" t="n"/>
    </row>
    <row r="810" ht="14.5" customHeight="1" s="344">
      <c r="A810" s="180" t="n"/>
      <c r="B810" s="182" t="n"/>
      <c r="C810" s="278" t="n"/>
      <c r="D810" s="181" t="n"/>
      <c r="E810" s="182" t="n"/>
      <c r="F810" s="278" t="n"/>
      <c r="G810" s="182" t="n"/>
      <c r="H810" s="194" t="n"/>
      <c r="I810" s="180" t="n"/>
      <c r="J810" s="194" t="n"/>
      <c r="K810" s="182" t="n"/>
      <c r="L810" s="182" t="n"/>
      <c r="M810" s="278" t="n"/>
      <c r="N810" s="181" t="n"/>
      <c r="O810" s="181" t="n"/>
      <c r="P810" s="194" t="n"/>
      <c r="Q810" s="180" t="n"/>
      <c r="R810" s="180" t="n"/>
      <c r="S810" s="182" t="n"/>
      <c r="T810" s="57" t="n"/>
      <c r="U810" s="529" t="n"/>
      <c r="V810" s="55" t="n"/>
    </row>
    <row r="811" ht="14.5" customHeight="1" s="344">
      <c r="A811" s="180" t="n"/>
      <c r="B811" s="182" t="n"/>
      <c r="C811" s="278" t="n"/>
      <c r="D811" s="181" t="n"/>
      <c r="E811" s="182" t="n"/>
      <c r="F811" s="278" t="n"/>
      <c r="G811" s="182" t="n"/>
      <c r="H811" s="194" t="n"/>
      <c r="I811" s="180" t="n"/>
      <c r="J811" s="194" t="n"/>
      <c r="K811" s="182" t="n"/>
      <c r="L811" s="182" t="n"/>
      <c r="M811" s="278" t="n"/>
      <c r="N811" s="181" t="n"/>
      <c r="O811" s="181" t="n"/>
      <c r="P811" s="194" t="n"/>
      <c r="Q811" s="180" t="n"/>
      <c r="R811" s="180" t="n"/>
      <c r="S811" s="182" t="n"/>
      <c r="T811" s="57" t="n"/>
      <c r="U811" s="529" t="n"/>
      <c r="V811" s="55" t="n"/>
    </row>
    <row r="812" ht="14.5" customHeight="1" s="344">
      <c r="A812" s="180" t="n"/>
      <c r="B812" s="182" t="n"/>
      <c r="C812" s="278" t="n"/>
      <c r="D812" s="181" t="n"/>
      <c r="E812" s="182" t="n"/>
      <c r="F812" s="278" t="n"/>
      <c r="G812" s="182" t="n"/>
      <c r="H812" s="194" t="n"/>
      <c r="I812" s="180" t="n"/>
      <c r="J812" s="194" t="n"/>
      <c r="K812" s="182" t="n"/>
      <c r="L812" s="182" t="n"/>
      <c r="M812" s="278" t="n"/>
      <c r="N812" s="181" t="n"/>
      <c r="O812" s="181" t="n"/>
      <c r="P812" s="194" t="n"/>
      <c r="Q812" s="180" t="n"/>
      <c r="R812" s="180" t="n"/>
      <c r="S812" s="182" t="n"/>
      <c r="T812" s="57" t="n"/>
      <c r="U812" s="529" t="n"/>
      <c r="V812" s="55" t="n"/>
    </row>
    <row r="813" ht="14.5" customHeight="1" s="344">
      <c r="A813" s="180" t="n"/>
      <c r="B813" s="182" t="n"/>
      <c r="C813" s="278" t="n"/>
      <c r="D813" s="181" t="n"/>
      <c r="E813" s="182" t="n"/>
      <c r="F813" s="278" t="n"/>
      <c r="G813" s="182" t="n"/>
      <c r="H813" s="194" t="n"/>
      <c r="I813" s="180" t="n"/>
      <c r="J813" s="194" t="n"/>
      <c r="K813" s="182" t="n"/>
      <c r="L813" s="182" t="n"/>
      <c r="M813" s="278" t="n"/>
      <c r="N813" s="181" t="n"/>
      <c r="O813" s="181" t="n"/>
      <c r="P813" s="194" t="n"/>
      <c r="Q813" s="180" t="n"/>
      <c r="R813" s="180" t="n"/>
      <c r="S813" s="182" t="n"/>
      <c r="T813" s="57" t="n"/>
      <c r="U813" s="529" t="n"/>
      <c r="V813" s="55" t="n"/>
    </row>
    <row r="814" ht="14.5" customHeight="1" s="344">
      <c r="A814" s="180" t="n"/>
      <c r="B814" s="182" t="n"/>
      <c r="C814" s="278" t="n"/>
      <c r="D814" s="181" t="n"/>
      <c r="E814" s="182" t="n"/>
      <c r="F814" s="278" t="n"/>
      <c r="G814" s="182" t="n"/>
      <c r="H814" s="194" t="n"/>
      <c r="I814" s="180" t="n"/>
      <c r="J814" s="194" t="n"/>
      <c r="K814" s="182" t="n"/>
      <c r="L814" s="182" t="n"/>
      <c r="M814" s="278" t="n"/>
      <c r="N814" s="181" t="n"/>
      <c r="O814" s="181" t="n"/>
      <c r="P814" s="194" t="n"/>
      <c r="Q814" s="180" t="n"/>
      <c r="R814" s="180" t="n"/>
      <c r="S814" s="182" t="n"/>
      <c r="T814" s="57" t="n"/>
      <c r="U814" s="529" t="n"/>
      <c r="V814" s="55" t="n"/>
    </row>
    <row r="815" ht="14.5" customHeight="1" s="344">
      <c r="A815" s="180" t="n"/>
      <c r="B815" s="182" t="n"/>
      <c r="C815" s="278" t="n"/>
      <c r="D815" s="181" t="n"/>
      <c r="E815" s="182" t="n"/>
      <c r="F815" s="278" t="n"/>
      <c r="G815" s="182" t="n"/>
      <c r="H815" s="194" t="n"/>
      <c r="I815" s="180" t="n"/>
      <c r="J815" s="194" t="n"/>
      <c r="K815" s="182" t="n"/>
      <c r="L815" s="182" t="n"/>
      <c r="M815" s="278" t="n"/>
      <c r="N815" s="181" t="n"/>
      <c r="O815" s="181" t="n"/>
      <c r="P815" s="194" t="n"/>
      <c r="Q815" s="180" t="n"/>
      <c r="R815" s="180" t="n"/>
      <c r="S815" s="182" t="n"/>
      <c r="T815" s="57" t="n"/>
      <c r="U815" s="529" t="n"/>
      <c r="V815" s="55" t="n"/>
    </row>
    <row r="816" ht="14.5" customHeight="1" s="344">
      <c r="A816" s="180" t="n"/>
      <c r="B816" s="182" t="n"/>
      <c r="C816" s="278" t="n"/>
      <c r="D816" s="181" t="n"/>
      <c r="E816" s="182" t="n"/>
      <c r="F816" s="278" t="n"/>
      <c r="G816" s="182" t="n"/>
      <c r="H816" s="194" t="n"/>
      <c r="I816" s="180" t="n"/>
      <c r="J816" s="194" t="n"/>
      <c r="K816" s="182" t="n"/>
      <c r="L816" s="182" t="n"/>
      <c r="M816" s="278" t="n"/>
      <c r="N816" s="181" t="n"/>
      <c r="O816" s="181" t="n"/>
      <c r="P816" s="194" t="n"/>
      <c r="Q816" s="180" t="n"/>
      <c r="R816" s="180" t="n"/>
      <c r="S816" s="182" t="n"/>
      <c r="T816" s="57" t="n"/>
      <c r="U816" s="529" t="n"/>
      <c r="V816" s="55" t="n"/>
    </row>
    <row r="817" ht="21.5" customHeight="1" s="344">
      <c r="A817" s="180" t="n"/>
      <c r="B817" s="182" t="n"/>
      <c r="C817" s="278" t="n"/>
      <c r="D817" s="181" t="n"/>
      <c r="E817" s="182" t="n"/>
      <c r="F817" s="278" t="n"/>
      <c r="G817" s="182" t="n"/>
      <c r="H817" s="194" t="n"/>
      <c r="I817" s="180" t="n"/>
      <c r="J817" s="194" t="n"/>
      <c r="K817" s="182" t="n"/>
      <c r="L817" s="182" t="n"/>
      <c r="M817" s="278" t="n"/>
      <c r="N817" s="181" t="n"/>
      <c r="O817" s="181" t="n"/>
      <c r="P817" s="194" t="n"/>
      <c r="Q817" s="180" t="n"/>
      <c r="R817" s="180" t="n"/>
      <c r="S817" s="182" t="n"/>
      <c r="T817" s="57" t="n"/>
      <c r="U817" s="529" t="n"/>
      <c r="V817" s="55" t="n"/>
    </row>
    <row r="818" ht="21.5" customHeight="1" s="344">
      <c r="A818" s="180" t="n"/>
      <c r="B818" s="182" t="n"/>
      <c r="C818" s="278" t="n"/>
      <c r="D818" s="181" t="n"/>
      <c r="E818" s="182" t="n"/>
      <c r="F818" s="278" t="n"/>
      <c r="G818" s="182" t="n"/>
      <c r="H818" s="194" t="n"/>
      <c r="I818" s="180" t="n"/>
      <c r="J818" s="194" t="n"/>
      <c r="K818" s="182" t="n"/>
      <c r="L818" s="182" t="n"/>
      <c r="M818" s="278" t="n"/>
      <c r="N818" s="181" t="n"/>
      <c r="O818" s="181" t="n"/>
      <c r="P818" s="194" t="n"/>
      <c r="Q818" s="180" t="n"/>
      <c r="R818" s="180" t="n"/>
      <c r="S818" s="182" t="n"/>
      <c r="T818" s="57" t="n"/>
      <c r="U818" s="529" t="n"/>
      <c r="V818" s="55" t="n"/>
    </row>
    <row r="819" ht="14.5" customHeight="1" s="344">
      <c r="A819" s="180" t="n"/>
      <c r="B819" s="182" t="n"/>
      <c r="C819" s="278" t="n"/>
      <c r="D819" s="181" t="n"/>
      <c r="E819" s="182" t="n"/>
      <c r="F819" s="278" t="n"/>
      <c r="G819" s="182" t="n"/>
      <c r="H819" s="194" t="n"/>
      <c r="I819" s="180" t="n"/>
      <c r="J819" s="194" t="n"/>
      <c r="K819" s="182" t="n"/>
      <c r="L819" s="182" t="n"/>
      <c r="M819" s="278" t="n"/>
      <c r="N819" s="181" t="n"/>
      <c r="O819" s="181" t="n"/>
      <c r="P819" s="194" t="n"/>
      <c r="Q819" s="180" t="n"/>
      <c r="R819" s="180" t="n"/>
      <c r="S819" s="182" t="n"/>
      <c r="T819" s="57" t="n"/>
      <c r="U819" s="529" t="n"/>
      <c r="V819" s="55" t="n"/>
    </row>
    <row r="820" ht="14.5" customHeight="1" s="344">
      <c r="A820" s="180" t="n"/>
      <c r="B820" s="182" t="n"/>
      <c r="C820" s="278" t="n"/>
      <c r="D820" s="181" t="n"/>
      <c r="E820" s="182" t="n"/>
      <c r="F820" s="278" t="n"/>
      <c r="G820" s="182" t="n"/>
      <c r="H820" s="194" t="n"/>
      <c r="I820" s="180" t="n"/>
      <c r="J820" s="194" t="n"/>
      <c r="K820" s="182" t="n"/>
      <c r="L820" s="182" t="n"/>
      <c r="M820" s="278" t="n"/>
      <c r="N820" s="181" t="n"/>
      <c r="O820" s="181" t="n"/>
      <c r="P820" s="194" t="n"/>
      <c r="Q820" s="180" t="n"/>
      <c r="R820" s="180" t="n"/>
      <c r="S820" s="182" t="n"/>
      <c r="T820" s="57" t="n"/>
      <c r="U820" s="529" t="n"/>
      <c r="V820" s="55" t="n"/>
    </row>
    <row r="821" ht="14.5" customHeight="1" s="344">
      <c r="A821" s="180" t="n"/>
      <c r="B821" s="182" t="n"/>
      <c r="C821" s="278" t="n"/>
      <c r="D821" s="181" t="n"/>
      <c r="E821" s="182" t="n"/>
      <c r="F821" s="278" t="n"/>
      <c r="G821" s="182" t="n"/>
      <c r="H821" s="194" t="n"/>
      <c r="I821" s="180" t="n"/>
      <c r="J821" s="194" t="n"/>
      <c r="K821" s="182" t="n"/>
      <c r="L821" s="182" t="n"/>
      <c r="M821" s="278" t="n"/>
      <c r="N821" s="181" t="n"/>
      <c r="O821" s="181" t="n"/>
      <c r="P821" s="194" t="n"/>
      <c r="Q821" s="180" t="n"/>
      <c r="R821" s="180" t="n"/>
      <c r="S821" s="182" t="n"/>
      <c r="T821" s="57" t="n"/>
      <c r="U821" s="529" t="n"/>
      <c r="V821" s="55" t="n"/>
    </row>
    <row r="822" ht="14.5" customHeight="1" s="344">
      <c r="A822" s="180" t="n"/>
      <c r="B822" s="182" t="n"/>
      <c r="C822" s="278" t="n"/>
      <c r="D822" s="181" t="n"/>
      <c r="E822" s="182" t="n"/>
      <c r="F822" s="278" t="n"/>
      <c r="G822" s="182" t="n"/>
      <c r="H822" s="194" t="n"/>
      <c r="I822" s="180" t="n"/>
      <c r="J822" s="194" t="n"/>
      <c r="K822" s="182" t="n"/>
      <c r="L822" s="182" t="n"/>
      <c r="M822" s="278" t="n"/>
      <c r="N822" s="181" t="n"/>
      <c r="O822" s="181" t="n"/>
      <c r="P822" s="194" t="n"/>
      <c r="Q822" s="180" t="n"/>
      <c r="R822" s="180" t="n"/>
      <c r="S822" s="182" t="n"/>
      <c r="T822" s="57" t="n"/>
      <c r="U822" s="529" t="n"/>
      <c r="V822" s="55" t="n"/>
    </row>
    <row r="823" ht="21.5" customHeight="1" s="344">
      <c r="A823" s="180" t="n"/>
      <c r="B823" s="182" t="n"/>
      <c r="C823" s="278" t="n"/>
      <c r="D823" s="181" t="n"/>
      <c r="E823" s="182" t="n"/>
      <c r="F823" s="278" t="n"/>
      <c r="G823" s="182" t="n"/>
      <c r="H823" s="194" t="n"/>
      <c r="I823" s="180" t="n"/>
      <c r="J823" s="194" t="n"/>
      <c r="K823" s="182" t="n"/>
      <c r="L823" s="182" t="n"/>
      <c r="M823" s="278" t="n"/>
      <c r="N823" s="181" t="n"/>
      <c r="O823" s="181" t="n"/>
      <c r="P823" s="194" t="n"/>
      <c r="Q823" s="180" t="n"/>
      <c r="R823" s="180" t="n"/>
      <c r="S823" s="182" t="n"/>
      <c r="T823" s="57" t="n"/>
      <c r="U823" s="529" t="n"/>
      <c r="V823" s="55" t="n"/>
    </row>
    <row r="824" ht="21.5" customHeight="1" s="344">
      <c r="A824" s="180" t="n"/>
      <c r="B824" s="182" t="n"/>
      <c r="C824" s="278" t="n"/>
      <c r="D824" s="181" t="n"/>
      <c r="E824" s="182" t="n"/>
      <c r="F824" s="278" t="n"/>
      <c r="G824" s="182" t="n"/>
      <c r="H824" s="194" t="n"/>
      <c r="I824" s="180" t="n"/>
      <c r="J824" s="194" t="n"/>
      <c r="K824" s="182" t="n"/>
      <c r="L824" s="182" t="n"/>
      <c r="M824" s="278" t="n"/>
      <c r="N824" s="181" t="n"/>
      <c r="O824" s="181" t="n"/>
      <c r="P824" s="194" t="n"/>
      <c r="Q824" s="180" t="n"/>
      <c r="R824" s="180" t="n"/>
      <c r="S824" s="182" t="n"/>
      <c r="T824" s="57" t="n"/>
      <c r="U824" s="529" t="n"/>
      <c r="V824" s="55" t="n"/>
    </row>
    <row r="825" ht="21.5" customHeight="1" s="344">
      <c r="A825" s="180" t="n"/>
      <c r="B825" s="182" t="n"/>
      <c r="C825" s="278" t="n"/>
      <c r="D825" s="181" t="n"/>
      <c r="E825" s="182" t="n"/>
      <c r="F825" s="278" t="n"/>
      <c r="G825" s="182" t="n"/>
      <c r="H825" s="194" t="n"/>
      <c r="I825" s="180" t="n"/>
      <c r="J825" s="194" t="n"/>
      <c r="K825" s="182" t="n"/>
      <c r="L825" s="182" t="n"/>
      <c r="M825" s="278" t="n"/>
      <c r="N825" s="181" t="n"/>
      <c r="O825" s="181" t="n"/>
      <c r="P825" s="194" t="n"/>
      <c r="Q825" s="180" t="n"/>
      <c r="R825" s="180" t="n"/>
      <c r="S825" s="182" t="n"/>
      <c r="T825" s="57" t="n"/>
      <c r="U825" s="529" t="n"/>
      <c r="V825" s="55" t="n"/>
    </row>
    <row r="826" ht="21.5" customHeight="1" s="344">
      <c r="A826" s="180" t="n"/>
      <c r="B826" s="182" t="n"/>
      <c r="C826" s="278" t="n"/>
      <c r="D826" s="181" t="n"/>
      <c r="E826" s="182" t="n"/>
      <c r="F826" s="278" t="n"/>
      <c r="G826" s="182" t="n"/>
      <c r="H826" s="194" t="n"/>
      <c r="I826" s="180" t="n"/>
      <c r="J826" s="194" t="n"/>
      <c r="K826" s="182" t="n"/>
      <c r="L826" s="182" t="n"/>
      <c r="M826" s="278" t="n"/>
      <c r="N826" s="181" t="n"/>
      <c r="O826" s="181" t="n"/>
      <c r="P826" s="194" t="n"/>
      <c r="Q826" s="180" t="n"/>
      <c r="R826" s="180" t="n"/>
      <c r="S826" s="182" t="n"/>
      <c r="T826" s="57" t="n"/>
      <c r="U826" s="529" t="n"/>
      <c r="V826" s="55" t="n"/>
    </row>
    <row r="827" ht="21.5" customHeight="1" s="344">
      <c r="A827" s="180" t="n"/>
      <c r="B827" s="182" t="n"/>
      <c r="C827" s="278" t="n"/>
      <c r="D827" s="181" t="n"/>
      <c r="E827" s="182" t="n"/>
      <c r="F827" s="278" t="n"/>
      <c r="G827" s="182" t="n"/>
      <c r="H827" s="194" t="n"/>
      <c r="I827" s="180" t="n"/>
      <c r="J827" s="194" t="n"/>
      <c r="K827" s="182" t="n"/>
      <c r="L827" s="182" t="n"/>
      <c r="M827" s="278" t="n"/>
      <c r="N827" s="181" t="n"/>
      <c r="O827" s="181" t="n"/>
      <c r="P827" s="194" t="n"/>
      <c r="Q827" s="180" t="n"/>
      <c r="R827" s="180" t="n"/>
      <c r="S827" s="182" t="n"/>
      <c r="T827" s="57" t="n"/>
      <c r="U827" s="529" t="n"/>
      <c r="V827" s="55" t="n"/>
    </row>
    <row r="828" ht="21.5" customHeight="1" s="344">
      <c r="A828" s="180" t="n"/>
      <c r="B828" s="182" t="n"/>
      <c r="C828" s="278" t="n"/>
      <c r="D828" s="181" t="n"/>
      <c r="E828" s="182" t="n"/>
      <c r="F828" s="278" t="n"/>
      <c r="G828" s="182" t="n"/>
      <c r="H828" s="194" t="n"/>
      <c r="I828" s="180" t="n"/>
      <c r="J828" s="194" t="n"/>
      <c r="K828" s="182" t="n"/>
      <c r="L828" s="182" t="n"/>
      <c r="M828" s="278" t="n"/>
      <c r="N828" s="181" t="n"/>
      <c r="O828" s="181" t="n"/>
      <c r="P828" s="194" t="n"/>
      <c r="Q828" s="180" t="n"/>
      <c r="R828" s="180" t="n"/>
      <c r="S828" s="182" t="n"/>
      <c r="T828" s="57" t="n"/>
      <c r="U828" s="529" t="n"/>
      <c r="V828" s="55" t="n"/>
    </row>
    <row r="829" ht="14.5" customHeight="1" s="344">
      <c r="A829" s="180" t="n"/>
      <c r="B829" s="182" t="n"/>
      <c r="C829" s="278" t="n"/>
      <c r="D829" s="181" t="n"/>
      <c r="E829" s="182" t="n"/>
      <c r="F829" s="278" t="n"/>
      <c r="G829" s="182" t="n"/>
      <c r="H829" s="194" t="n"/>
      <c r="I829" s="180" t="n"/>
      <c r="J829" s="194" t="n"/>
      <c r="K829" s="182" t="n"/>
      <c r="L829" s="182" t="n"/>
      <c r="M829" s="278" t="n"/>
      <c r="N829" s="181" t="n"/>
      <c r="O829" s="181" t="n"/>
      <c r="P829" s="194" t="n"/>
      <c r="Q829" s="180" t="n"/>
      <c r="R829" s="180" t="n"/>
      <c r="S829" s="182" t="n"/>
      <c r="T829" s="57" t="n"/>
      <c r="U829" s="529" t="n"/>
      <c r="V829" s="55" t="n"/>
    </row>
    <row r="830" ht="14.5" customHeight="1" s="344">
      <c r="A830" s="180" t="n"/>
      <c r="B830" s="182" t="n"/>
      <c r="C830" s="278" t="n"/>
      <c r="D830" s="181" t="n"/>
      <c r="E830" s="182" t="n"/>
      <c r="F830" s="278" t="n"/>
      <c r="G830" s="182" t="n"/>
      <c r="H830" s="194" t="n"/>
      <c r="I830" s="180" t="n"/>
      <c r="J830" s="194" t="n"/>
      <c r="K830" s="182" t="n"/>
      <c r="L830" s="182" t="n"/>
      <c r="M830" s="278" t="n"/>
      <c r="N830" s="181" t="n"/>
      <c r="O830" s="181" t="n"/>
      <c r="P830" s="194" t="n"/>
      <c r="Q830" s="180" t="n"/>
      <c r="R830" s="180" t="n"/>
      <c r="S830" s="182" t="n"/>
      <c r="T830" s="57" t="n"/>
      <c r="U830" s="529" t="n"/>
      <c r="V830" s="55" t="n"/>
    </row>
    <row r="831" ht="14.5" customHeight="1" s="344">
      <c r="A831" s="180" t="n"/>
      <c r="B831" s="182" t="n"/>
      <c r="C831" s="278" t="n"/>
      <c r="D831" s="181" t="n"/>
      <c r="E831" s="182" t="n"/>
      <c r="F831" s="278" t="n"/>
      <c r="G831" s="182" t="n"/>
      <c r="H831" s="194" t="n"/>
      <c r="I831" s="180" t="n"/>
      <c r="J831" s="194" t="n"/>
      <c r="K831" s="182" t="n"/>
      <c r="L831" s="182" t="n"/>
      <c r="M831" s="278" t="n"/>
      <c r="N831" s="181" t="n"/>
      <c r="O831" s="181" t="n"/>
      <c r="P831" s="194" t="n"/>
      <c r="Q831" s="180" t="n"/>
      <c r="R831" s="180" t="n"/>
      <c r="S831" s="182" t="n"/>
      <c r="T831" s="57" t="n"/>
      <c r="U831" s="529" t="n"/>
      <c r="V831" s="55" t="n"/>
    </row>
    <row r="832" ht="14.5" customHeight="1" s="344">
      <c r="A832" s="180" t="n"/>
      <c r="B832" s="182" t="n"/>
      <c r="C832" s="278" t="n"/>
      <c r="D832" s="181" t="n"/>
      <c r="E832" s="182" t="n"/>
      <c r="F832" s="278" t="n"/>
      <c r="G832" s="182" t="n"/>
      <c r="H832" s="194" t="n"/>
      <c r="I832" s="180" t="n"/>
      <c r="J832" s="194" t="n"/>
      <c r="K832" s="182" t="n"/>
      <c r="L832" s="182" t="n"/>
      <c r="M832" s="278" t="n"/>
      <c r="N832" s="181" t="n"/>
      <c r="O832" s="181" t="n"/>
      <c r="P832" s="194" t="n"/>
      <c r="Q832" s="180" t="n"/>
      <c r="R832" s="180" t="n"/>
      <c r="S832" s="182" t="n"/>
      <c r="T832" s="57" t="n"/>
      <c r="U832" s="529" t="n"/>
      <c r="V832" s="55" t="n"/>
    </row>
    <row r="833" ht="14.5" customHeight="1" s="344">
      <c r="A833" s="180" t="n"/>
      <c r="B833" s="182" t="n"/>
      <c r="C833" s="278" t="n"/>
      <c r="D833" s="181" t="n"/>
      <c r="E833" s="182" t="n"/>
      <c r="F833" s="278" t="n"/>
      <c r="G833" s="182" t="n"/>
      <c r="H833" s="194" t="n"/>
      <c r="I833" s="180" t="n"/>
      <c r="J833" s="194" t="n"/>
      <c r="K833" s="182" t="n"/>
      <c r="L833" s="182" t="n"/>
      <c r="M833" s="278" t="n"/>
      <c r="N833" s="181" t="n"/>
      <c r="O833" s="181" t="n"/>
      <c r="P833" s="194" t="n"/>
      <c r="Q833" s="180" t="n"/>
      <c r="R833" s="180" t="n"/>
      <c r="S833" s="182" t="n"/>
      <c r="T833" s="57" t="n"/>
      <c r="U833" s="529" t="n"/>
      <c r="V833" s="55" t="n"/>
    </row>
    <row r="834" ht="14.5" customHeight="1" s="344">
      <c r="A834" s="180" t="n"/>
      <c r="B834" s="182" t="n"/>
      <c r="C834" s="278" t="n"/>
      <c r="D834" s="181" t="n"/>
      <c r="E834" s="182" t="n"/>
      <c r="F834" s="278" t="n"/>
      <c r="G834" s="182" t="n"/>
      <c r="H834" s="194" t="n"/>
      <c r="I834" s="180" t="n"/>
      <c r="J834" s="194" t="n"/>
      <c r="K834" s="182" t="n"/>
      <c r="L834" s="182" t="n"/>
      <c r="M834" s="278" t="n"/>
      <c r="N834" s="181" t="n"/>
      <c r="O834" s="181" t="n"/>
      <c r="P834" s="194" t="n"/>
      <c r="Q834" s="180" t="n"/>
      <c r="R834" s="180" t="n"/>
      <c r="S834" s="182" t="n"/>
      <c r="T834" s="57" t="n"/>
      <c r="U834" s="529" t="n"/>
      <c r="V834" s="55" t="n"/>
    </row>
    <row r="835" ht="14.5" customHeight="1" s="344">
      <c r="A835" s="180" t="n"/>
      <c r="B835" s="182" t="n"/>
      <c r="C835" s="278" t="n"/>
      <c r="D835" s="181" t="n"/>
      <c r="E835" s="182" t="n"/>
      <c r="F835" s="278" t="n"/>
      <c r="G835" s="182" t="n"/>
      <c r="H835" s="194" t="n"/>
      <c r="I835" s="180" t="n"/>
      <c r="J835" s="194" t="n"/>
      <c r="K835" s="182" t="n"/>
      <c r="L835" s="182" t="n"/>
      <c r="M835" s="278" t="n"/>
      <c r="N835" s="181" t="n"/>
      <c r="O835" s="181" t="n"/>
      <c r="P835" s="194" t="n"/>
      <c r="Q835" s="180" t="n"/>
      <c r="R835" s="180" t="n"/>
      <c r="S835" s="182" t="n"/>
      <c r="T835" s="57" t="n"/>
      <c r="U835" s="529" t="n"/>
      <c r="V835" s="55" t="n"/>
    </row>
    <row r="836" ht="14.5" customHeight="1" s="344">
      <c r="A836" s="180" t="n"/>
      <c r="B836" s="182" t="n"/>
      <c r="C836" s="278" t="n"/>
      <c r="D836" s="181" t="n"/>
      <c r="E836" s="182" t="n"/>
      <c r="F836" s="278" t="n"/>
      <c r="G836" s="182" t="n"/>
      <c r="H836" s="194" t="n"/>
      <c r="I836" s="180" t="n"/>
      <c r="J836" s="194" t="n"/>
      <c r="K836" s="182" t="n"/>
      <c r="L836" s="182" t="n"/>
      <c r="M836" s="278" t="n"/>
      <c r="N836" s="181" t="n"/>
      <c r="O836" s="181" t="n"/>
      <c r="P836" s="194" t="n"/>
      <c r="Q836" s="180" t="n"/>
      <c r="R836" s="180" t="n"/>
      <c r="S836" s="182" t="n"/>
      <c r="T836" s="57" t="n"/>
      <c r="U836" s="529" t="n"/>
      <c r="V836" s="55" t="n"/>
    </row>
    <row r="837" ht="14.5" customHeight="1" s="344">
      <c r="A837" s="180" t="n"/>
      <c r="B837" s="182" t="n"/>
      <c r="C837" s="278" t="n"/>
      <c r="D837" s="181" t="n"/>
      <c r="E837" s="182" t="n"/>
      <c r="F837" s="278" t="n"/>
      <c r="G837" s="182" t="n"/>
      <c r="H837" s="194" t="n"/>
      <c r="I837" s="180" t="n"/>
      <c r="J837" s="194" t="n"/>
      <c r="K837" s="182" t="n"/>
      <c r="L837" s="182" t="n"/>
      <c r="M837" s="278" t="n"/>
      <c r="N837" s="181" t="n"/>
      <c r="O837" s="181" t="n"/>
      <c r="P837" s="194" t="n"/>
      <c r="Q837" s="180" t="n"/>
      <c r="R837" s="180" t="n"/>
      <c r="S837" s="182" t="n"/>
      <c r="T837" s="57" t="n"/>
      <c r="U837" s="529" t="n"/>
      <c r="V837" s="55" t="n"/>
    </row>
    <row r="838" ht="14.5" customHeight="1" s="344">
      <c r="A838" s="180" t="n"/>
      <c r="B838" s="182" t="n"/>
      <c r="C838" s="278" t="n"/>
      <c r="D838" s="181" t="n"/>
      <c r="E838" s="182" t="n"/>
      <c r="F838" s="278" t="n"/>
      <c r="G838" s="182" t="n"/>
      <c r="H838" s="194" t="n"/>
      <c r="I838" s="180" t="n"/>
      <c r="J838" s="194" t="n"/>
      <c r="K838" s="182" t="n"/>
      <c r="L838" s="182" t="n"/>
      <c r="M838" s="278" t="n"/>
      <c r="N838" s="181" t="n"/>
      <c r="O838" s="181" t="n"/>
      <c r="P838" s="194" t="n"/>
      <c r="Q838" s="180" t="n"/>
      <c r="R838" s="180" t="n"/>
      <c r="S838" s="182" t="n"/>
      <c r="T838" s="57" t="n"/>
      <c r="U838" s="529" t="n"/>
      <c r="V838" s="55" t="n"/>
    </row>
    <row r="839" ht="14.5" customHeight="1" s="344">
      <c r="A839" s="180" t="n"/>
      <c r="B839" s="182" t="n"/>
      <c r="C839" s="278" t="n"/>
      <c r="D839" s="181" t="n"/>
      <c r="E839" s="182" t="n"/>
      <c r="F839" s="278" t="n"/>
      <c r="G839" s="182" t="n"/>
      <c r="H839" s="194" t="n"/>
      <c r="I839" s="180" t="n"/>
      <c r="J839" s="194" t="n"/>
      <c r="K839" s="182" t="n"/>
      <c r="L839" s="182" t="n"/>
      <c r="M839" s="278" t="n"/>
      <c r="N839" s="181" t="n"/>
      <c r="O839" s="181" t="n"/>
      <c r="P839" s="194" t="n"/>
      <c r="Q839" s="180" t="n"/>
      <c r="R839" s="180" t="n"/>
      <c r="S839" s="182" t="n"/>
      <c r="T839" s="57" t="n"/>
      <c r="U839" s="529" t="n"/>
      <c r="V839" s="55" t="n"/>
    </row>
    <row r="840" ht="14.5" customHeight="1" s="344">
      <c r="A840" s="180" t="n"/>
      <c r="B840" s="182" t="n"/>
      <c r="C840" s="278" t="n"/>
      <c r="D840" s="181" t="n"/>
      <c r="E840" s="182" t="n"/>
      <c r="F840" s="278" t="n"/>
      <c r="G840" s="182" t="n"/>
      <c r="H840" s="194" t="n"/>
      <c r="I840" s="180" t="n"/>
      <c r="J840" s="194" t="n"/>
      <c r="K840" s="182" t="n"/>
      <c r="L840" s="182" t="n"/>
      <c r="M840" s="278" t="n"/>
      <c r="N840" s="181" t="n"/>
      <c r="O840" s="181" t="n"/>
      <c r="P840" s="194" t="n"/>
      <c r="Q840" s="180" t="n"/>
      <c r="R840" s="180" t="n"/>
      <c r="S840" s="182" t="n"/>
      <c r="T840" s="57" t="n"/>
      <c r="U840" s="529" t="n"/>
      <c r="V840" s="55" t="n"/>
    </row>
    <row r="841" ht="14.5" customHeight="1" s="344">
      <c r="A841" s="180" t="n"/>
      <c r="B841" s="182" t="n"/>
      <c r="C841" s="278" t="n"/>
      <c r="D841" s="181" t="n"/>
      <c r="E841" s="182" t="n"/>
      <c r="F841" s="278" t="n"/>
      <c r="G841" s="182" t="n"/>
      <c r="H841" s="194" t="n"/>
      <c r="I841" s="180" t="n"/>
      <c r="J841" s="194" t="n"/>
      <c r="K841" s="182" t="n"/>
      <c r="L841" s="182" t="n"/>
      <c r="M841" s="278" t="n"/>
      <c r="N841" s="181" t="n"/>
      <c r="O841" s="181" t="n"/>
      <c r="P841" s="194" t="n"/>
      <c r="Q841" s="180" t="n"/>
      <c r="R841" s="180" t="n"/>
      <c r="S841" s="182" t="n"/>
      <c r="T841" s="57" t="n"/>
      <c r="U841" s="529" t="n"/>
      <c r="V841" s="55" t="n"/>
    </row>
    <row r="842" ht="14.5" customHeight="1" s="344">
      <c r="A842" s="180" t="n"/>
      <c r="B842" s="182" t="n"/>
      <c r="C842" s="278" t="n"/>
      <c r="D842" s="181" t="n"/>
      <c r="E842" s="182" t="n"/>
      <c r="F842" s="278" t="n"/>
      <c r="G842" s="182" t="n"/>
      <c r="H842" s="194" t="n"/>
      <c r="I842" s="180" t="n"/>
      <c r="J842" s="194" t="n"/>
      <c r="K842" s="182" t="n"/>
      <c r="L842" s="182" t="n"/>
      <c r="M842" s="278" t="n"/>
      <c r="N842" s="181" t="n"/>
      <c r="O842" s="181" t="n"/>
      <c r="P842" s="194" t="n"/>
      <c r="Q842" s="180" t="n"/>
      <c r="R842" s="180" t="n"/>
      <c r="S842" s="182" t="n"/>
      <c r="T842" s="57" t="n"/>
      <c r="U842" s="529" t="n"/>
      <c r="V842" s="55" t="n"/>
    </row>
    <row r="843" ht="14.5" customHeight="1" s="344">
      <c r="A843" s="180" t="n"/>
      <c r="B843" s="182" t="n"/>
      <c r="C843" s="278" t="n"/>
      <c r="D843" s="181" t="n"/>
      <c r="E843" s="182" t="n"/>
      <c r="F843" s="278" t="n"/>
      <c r="G843" s="182" t="n"/>
      <c r="H843" s="194" t="n"/>
      <c r="I843" s="180" t="n"/>
      <c r="J843" s="194" t="n"/>
      <c r="K843" s="182" t="n"/>
      <c r="L843" s="182" t="n"/>
      <c r="M843" s="278" t="n"/>
      <c r="N843" s="181" t="n"/>
      <c r="O843" s="181" t="n"/>
      <c r="P843" s="194" t="n"/>
      <c r="Q843" s="180" t="n"/>
      <c r="R843" s="180" t="n"/>
      <c r="S843" s="182" t="n"/>
      <c r="T843" s="57" t="n"/>
      <c r="U843" s="529" t="n"/>
      <c r="V843" s="55" t="n"/>
    </row>
    <row r="844" ht="14.5" customHeight="1" s="344">
      <c r="A844" s="180" t="n"/>
      <c r="B844" s="182" t="n"/>
      <c r="C844" s="278" t="n"/>
      <c r="D844" s="181" t="n"/>
      <c r="E844" s="182" t="n"/>
      <c r="F844" s="278" t="n"/>
      <c r="G844" s="182" t="n"/>
      <c r="H844" s="194" t="n"/>
      <c r="I844" s="180" t="n"/>
      <c r="J844" s="194" t="n"/>
      <c r="K844" s="182" t="n"/>
      <c r="L844" s="182" t="n"/>
      <c r="M844" s="278" t="n"/>
      <c r="N844" s="181" t="n"/>
      <c r="O844" s="181" t="n"/>
      <c r="P844" s="194" t="n"/>
      <c r="Q844" s="180" t="n"/>
      <c r="R844" s="180" t="n"/>
      <c r="S844" s="182" t="n"/>
      <c r="T844" s="57" t="n"/>
      <c r="U844" s="529" t="n"/>
      <c r="V844" s="55" t="n"/>
    </row>
    <row r="845" ht="21.5" customHeight="1" s="344">
      <c r="A845" s="180" t="n"/>
      <c r="B845" s="182" t="n"/>
      <c r="C845" s="278" t="n"/>
      <c r="D845" s="181" t="n"/>
      <c r="E845" s="182" t="n"/>
      <c r="F845" s="278" t="n"/>
      <c r="G845" s="182" t="n"/>
      <c r="H845" s="194" t="n"/>
      <c r="I845" s="180" t="n"/>
      <c r="J845" s="194" t="n"/>
      <c r="K845" s="182" t="n"/>
      <c r="L845" s="182" t="n"/>
      <c r="M845" s="278" t="n"/>
      <c r="N845" s="181" t="n"/>
      <c r="O845" s="181" t="n"/>
      <c r="P845" s="194" t="n"/>
      <c r="Q845" s="180" t="n"/>
      <c r="R845" s="180" t="n"/>
      <c r="S845" s="182" t="n"/>
      <c r="T845" s="57" t="n"/>
      <c r="U845" s="529" t="n"/>
      <c r="V845" s="55" t="n"/>
    </row>
    <row r="846" ht="21.5" customHeight="1" s="344">
      <c r="A846" s="180" t="n"/>
      <c r="B846" s="182" t="n"/>
      <c r="C846" s="278" t="n"/>
      <c r="D846" s="181" t="n"/>
      <c r="E846" s="182" t="n"/>
      <c r="F846" s="278" t="n"/>
      <c r="G846" s="182" t="n"/>
      <c r="H846" s="194" t="n"/>
      <c r="I846" s="180" t="n"/>
      <c r="J846" s="194" t="n"/>
      <c r="K846" s="182" t="n"/>
      <c r="L846" s="182" t="n"/>
      <c r="M846" s="278" t="n"/>
      <c r="N846" s="181" t="n"/>
      <c r="O846" s="181" t="n"/>
      <c r="P846" s="194" t="n"/>
      <c r="Q846" s="180" t="n"/>
      <c r="R846" s="180" t="n"/>
      <c r="S846" s="182" t="n"/>
      <c r="T846" s="57" t="n"/>
      <c r="U846" s="529" t="n"/>
      <c r="V846" s="55" t="n"/>
    </row>
    <row r="847" ht="21.5" customHeight="1" s="344">
      <c r="A847" s="180" t="n"/>
      <c r="B847" s="182" t="n"/>
      <c r="C847" s="278" t="n"/>
      <c r="D847" s="181" t="n"/>
      <c r="E847" s="182" t="n"/>
      <c r="F847" s="278" t="n"/>
      <c r="G847" s="182" t="n"/>
      <c r="H847" s="194" t="n"/>
      <c r="I847" s="180" t="n"/>
      <c r="J847" s="194" t="n"/>
      <c r="K847" s="182" t="n"/>
      <c r="L847" s="182" t="n"/>
      <c r="M847" s="278" t="n"/>
      <c r="N847" s="181" t="n"/>
      <c r="O847" s="181" t="n"/>
      <c r="P847" s="194" t="n"/>
      <c r="Q847" s="180" t="n"/>
      <c r="R847" s="180" t="n"/>
      <c r="S847" s="182" t="n"/>
      <c r="T847" s="57" t="n"/>
      <c r="U847" s="529" t="n"/>
      <c r="V847" s="55" t="n"/>
    </row>
    <row r="848" ht="14.5" customHeight="1" s="344">
      <c r="A848" s="180" t="n"/>
      <c r="B848" s="182" t="n"/>
      <c r="C848" s="278" t="n"/>
      <c r="D848" s="181" t="n"/>
      <c r="E848" s="182" t="n"/>
      <c r="F848" s="278" t="n"/>
      <c r="G848" s="182" t="n"/>
      <c r="H848" s="194" t="n"/>
      <c r="I848" s="180" t="n"/>
      <c r="J848" s="194" t="n"/>
      <c r="K848" s="182" t="n"/>
      <c r="L848" s="182" t="n"/>
      <c r="M848" s="278" t="n"/>
      <c r="N848" s="181" t="n"/>
      <c r="O848" s="181" t="n"/>
      <c r="P848" s="194" t="n"/>
      <c r="Q848" s="180" t="n"/>
      <c r="R848" s="180" t="n"/>
      <c r="S848" s="182" t="n"/>
      <c r="T848" s="57" t="n"/>
      <c r="U848" s="529" t="n"/>
      <c r="V848" s="55" t="n"/>
    </row>
    <row r="849" ht="14.5" customHeight="1" s="344">
      <c r="A849" s="180" t="n"/>
      <c r="B849" s="182" t="n"/>
      <c r="C849" s="278" t="n"/>
      <c r="D849" s="181" t="n"/>
      <c r="E849" s="182" t="n"/>
      <c r="F849" s="278" t="n"/>
      <c r="G849" s="182" t="n"/>
      <c r="H849" s="194" t="n"/>
      <c r="I849" s="180" t="n"/>
      <c r="J849" s="194" t="n"/>
      <c r="K849" s="182" t="n"/>
      <c r="L849" s="182" t="n"/>
      <c r="M849" s="278" t="n"/>
      <c r="N849" s="181" t="n"/>
      <c r="O849" s="181" t="n"/>
      <c r="P849" s="194" t="n"/>
      <c r="Q849" s="180" t="n"/>
      <c r="R849" s="180" t="n"/>
      <c r="S849" s="182" t="n"/>
      <c r="T849" s="57" t="n"/>
      <c r="U849" s="529" t="n"/>
      <c r="V849" s="55" t="n"/>
    </row>
    <row r="850" ht="14.5" customHeight="1" s="344">
      <c r="A850" s="180" t="n"/>
      <c r="B850" s="182" t="n"/>
      <c r="C850" s="278" t="n"/>
      <c r="D850" s="181" t="n"/>
      <c r="E850" s="182" t="n"/>
      <c r="F850" s="278" t="n"/>
      <c r="G850" s="182" t="n"/>
      <c r="H850" s="194" t="n"/>
      <c r="I850" s="180" t="n"/>
      <c r="J850" s="194" t="n"/>
      <c r="K850" s="182" t="n"/>
      <c r="L850" s="182" t="n"/>
      <c r="M850" s="278" t="n"/>
      <c r="N850" s="181" t="n"/>
      <c r="O850" s="181" t="n"/>
      <c r="P850" s="194" t="n"/>
      <c r="Q850" s="180" t="n"/>
      <c r="R850" s="180" t="n"/>
      <c r="S850" s="182" t="n"/>
      <c r="T850" s="57" t="n"/>
      <c r="U850" s="529" t="n"/>
      <c r="V850" s="55" t="n"/>
    </row>
    <row r="851" ht="14.5" customHeight="1" s="344">
      <c r="A851" s="180" t="n"/>
      <c r="B851" s="182" t="n"/>
      <c r="C851" s="278" t="n"/>
      <c r="D851" s="181" t="n"/>
      <c r="E851" s="182" t="n"/>
      <c r="F851" s="278" t="n"/>
      <c r="G851" s="182" t="n"/>
      <c r="H851" s="194" t="n"/>
      <c r="I851" s="180" t="n"/>
      <c r="J851" s="194" t="n"/>
      <c r="K851" s="182" t="n"/>
      <c r="L851" s="182" t="n"/>
      <c r="M851" s="278" t="n"/>
      <c r="N851" s="181" t="n"/>
      <c r="O851" s="181" t="n"/>
      <c r="P851" s="194" t="n"/>
      <c r="Q851" s="180" t="n"/>
      <c r="R851" s="180" t="n"/>
      <c r="S851" s="182" t="n"/>
      <c r="T851" s="57" t="n"/>
      <c r="U851" s="529" t="n"/>
      <c r="V851" s="55" t="n"/>
    </row>
    <row r="852" ht="14.5" customHeight="1" s="344">
      <c r="A852" s="180" t="n"/>
      <c r="B852" s="182" t="n"/>
      <c r="C852" s="278" t="n"/>
      <c r="D852" s="181" t="n"/>
      <c r="E852" s="182" t="n"/>
      <c r="F852" s="278" t="n"/>
      <c r="G852" s="182" t="n"/>
      <c r="H852" s="194" t="n"/>
      <c r="I852" s="180" t="n"/>
      <c r="J852" s="194" t="n"/>
      <c r="K852" s="182" t="n"/>
      <c r="L852" s="182" t="n"/>
      <c r="M852" s="278" t="n"/>
      <c r="N852" s="181" t="n"/>
      <c r="O852" s="181" t="n"/>
      <c r="P852" s="194" t="n"/>
      <c r="Q852" s="180" t="n"/>
      <c r="R852" s="180" t="n"/>
      <c r="S852" s="182" t="n"/>
      <c r="T852" s="57" t="n"/>
      <c r="U852" s="529" t="n"/>
      <c r="V852" s="55" t="n"/>
    </row>
    <row r="853" ht="14.5" customHeight="1" s="344">
      <c r="A853" s="180" t="n"/>
      <c r="B853" s="182" t="n"/>
      <c r="C853" s="278" t="n"/>
      <c r="D853" s="181" t="n"/>
      <c r="E853" s="182" t="n"/>
      <c r="F853" s="278" t="n"/>
      <c r="G853" s="182" t="n"/>
      <c r="H853" s="194" t="n"/>
      <c r="I853" s="180" t="n"/>
      <c r="J853" s="194" t="n"/>
      <c r="K853" s="182" t="n"/>
      <c r="L853" s="182" t="n"/>
      <c r="M853" s="278" t="n"/>
      <c r="N853" s="181" t="n"/>
      <c r="O853" s="181" t="n"/>
      <c r="P853" s="194" t="n"/>
      <c r="Q853" s="180" t="n"/>
      <c r="R853" s="180" t="n"/>
      <c r="S853" s="182" t="n"/>
      <c r="T853" s="57" t="n"/>
      <c r="U853" s="529" t="n"/>
      <c r="V853" s="55" t="n"/>
    </row>
    <row r="854" ht="14.5" customHeight="1" s="344">
      <c r="A854" s="180" t="n"/>
      <c r="B854" s="182" t="n"/>
      <c r="C854" s="278" t="n"/>
      <c r="D854" s="181" t="n"/>
      <c r="E854" s="182" t="n"/>
      <c r="F854" s="278" t="n"/>
      <c r="G854" s="182" t="n"/>
      <c r="H854" s="194" t="n"/>
      <c r="I854" s="180" t="n"/>
      <c r="J854" s="194" t="n"/>
      <c r="K854" s="182" t="n"/>
      <c r="L854" s="182" t="n"/>
      <c r="M854" s="278" t="n"/>
      <c r="N854" s="181" t="n"/>
      <c r="O854" s="181" t="n"/>
      <c r="P854" s="194" t="n"/>
      <c r="Q854" s="180" t="n"/>
      <c r="R854" s="180" t="n"/>
      <c r="S854" s="182" t="n"/>
      <c r="T854" s="57" t="n"/>
      <c r="U854" s="529" t="n"/>
      <c r="V854" s="55" t="n"/>
    </row>
    <row r="855" ht="14.5" customHeight="1" s="344">
      <c r="A855" s="180" t="n"/>
      <c r="B855" s="182" t="n"/>
      <c r="C855" s="278" t="n"/>
      <c r="D855" s="181" t="n"/>
      <c r="E855" s="182" t="n"/>
      <c r="F855" s="278" t="n"/>
      <c r="G855" s="182" t="n"/>
      <c r="H855" s="194" t="n"/>
      <c r="I855" s="180" t="n"/>
      <c r="J855" s="194" t="n"/>
      <c r="K855" s="182" t="n"/>
      <c r="L855" s="182" t="n"/>
      <c r="M855" s="278" t="n"/>
      <c r="N855" s="181" t="n"/>
      <c r="O855" s="181" t="n"/>
      <c r="P855" s="194" t="n"/>
      <c r="Q855" s="180" t="n"/>
      <c r="R855" s="180" t="n"/>
      <c r="S855" s="182" t="n"/>
      <c r="T855" s="57" t="n"/>
      <c r="U855" s="529" t="n"/>
      <c r="V855" s="55" t="n"/>
    </row>
    <row r="856" ht="14.5" customHeight="1" s="344">
      <c r="A856" s="180" t="n"/>
      <c r="B856" s="182" t="n"/>
      <c r="C856" s="278" t="n"/>
      <c r="D856" s="181" t="n"/>
      <c r="E856" s="182" t="n"/>
      <c r="F856" s="278" t="n"/>
      <c r="G856" s="182" t="n"/>
      <c r="H856" s="194" t="n"/>
      <c r="I856" s="180" t="n"/>
      <c r="J856" s="194" t="n"/>
      <c r="K856" s="182" t="n"/>
      <c r="L856" s="182" t="n"/>
      <c r="M856" s="278" t="n"/>
      <c r="N856" s="181" t="n"/>
      <c r="O856" s="181" t="n"/>
      <c r="P856" s="194" t="n"/>
      <c r="Q856" s="180" t="n"/>
      <c r="R856" s="180" t="n"/>
      <c r="S856" s="182" t="n"/>
      <c r="T856" s="57" t="n"/>
      <c r="U856" s="529" t="n"/>
      <c r="V856" s="55" t="n"/>
    </row>
    <row r="857" ht="14.5" customHeight="1" s="344">
      <c r="A857" s="180" t="n"/>
      <c r="B857" s="182" t="n"/>
      <c r="C857" s="278" t="n"/>
      <c r="D857" s="181" t="n"/>
      <c r="E857" s="182" t="n"/>
      <c r="F857" s="278" t="n"/>
      <c r="G857" s="182" t="n"/>
      <c r="H857" s="194" t="n"/>
      <c r="I857" s="180" t="n"/>
      <c r="J857" s="194" t="n"/>
      <c r="K857" s="182" t="n"/>
      <c r="L857" s="182" t="n"/>
      <c r="M857" s="278" t="n"/>
      <c r="N857" s="181" t="n"/>
      <c r="O857" s="181" t="n"/>
      <c r="P857" s="194" t="n"/>
      <c r="Q857" s="180" t="n"/>
      <c r="R857" s="180" t="n"/>
      <c r="S857" s="182" t="n"/>
      <c r="T857" s="57" t="n"/>
      <c r="U857" s="529" t="n"/>
      <c r="V857" s="55" t="n"/>
    </row>
    <row r="858" ht="14.5" customHeight="1" s="344">
      <c r="A858" s="180" t="n"/>
      <c r="B858" s="182" t="n"/>
      <c r="C858" s="278" t="n"/>
      <c r="D858" s="181" t="n"/>
      <c r="E858" s="182" t="n"/>
      <c r="F858" s="278" t="n"/>
      <c r="G858" s="182" t="n"/>
      <c r="H858" s="194" t="n"/>
      <c r="I858" s="180" t="n"/>
      <c r="J858" s="194" t="n"/>
      <c r="K858" s="182" t="n"/>
      <c r="L858" s="182" t="n"/>
      <c r="M858" s="278" t="n"/>
      <c r="N858" s="181" t="n"/>
      <c r="O858" s="181" t="n"/>
      <c r="P858" s="194" t="n"/>
      <c r="Q858" s="180" t="n"/>
      <c r="R858" s="180" t="n"/>
      <c r="S858" s="182" t="n"/>
      <c r="T858" s="57" t="n"/>
      <c r="U858" s="529" t="n"/>
      <c r="V858" s="55" t="n"/>
    </row>
    <row r="859" ht="14.5" customHeight="1" s="344">
      <c r="A859" s="180" t="n"/>
      <c r="B859" s="182" t="n"/>
      <c r="C859" s="278" t="n"/>
      <c r="D859" s="181" t="n"/>
      <c r="E859" s="182" t="n"/>
      <c r="F859" s="278" t="n"/>
      <c r="G859" s="182" t="n"/>
      <c r="H859" s="194" t="n"/>
      <c r="I859" s="180" t="n"/>
      <c r="J859" s="194" t="n"/>
      <c r="K859" s="182" t="n"/>
      <c r="L859" s="182" t="n"/>
      <c r="M859" s="278" t="n"/>
      <c r="N859" s="181" t="n"/>
      <c r="O859" s="181" t="n"/>
      <c r="P859" s="194" t="n"/>
      <c r="Q859" s="180" t="n"/>
      <c r="R859" s="180" t="n"/>
      <c r="S859" s="182" t="n"/>
      <c r="T859" s="57" t="n"/>
      <c r="U859" s="529" t="n"/>
      <c r="V859" s="55" t="n"/>
    </row>
    <row r="860" ht="14.5" customHeight="1" s="344">
      <c r="A860" s="180" t="n"/>
      <c r="B860" s="182" t="n"/>
      <c r="C860" s="278" t="n"/>
      <c r="D860" s="181" t="n"/>
      <c r="E860" s="182" t="n"/>
      <c r="F860" s="278" t="n"/>
      <c r="G860" s="182" t="n"/>
      <c r="H860" s="194" t="n"/>
      <c r="I860" s="180" t="n"/>
      <c r="J860" s="194" t="n"/>
      <c r="K860" s="182" t="n"/>
      <c r="L860" s="182" t="n"/>
      <c r="M860" s="278" t="n"/>
      <c r="N860" s="181" t="n"/>
      <c r="O860" s="181" t="n"/>
      <c r="P860" s="194" t="n"/>
      <c r="Q860" s="180" t="n"/>
      <c r="R860" s="180" t="n"/>
      <c r="S860" s="182" t="n"/>
      <c r="T860" s="57" t="n"/>
      <c r="U860" s="529" t="n"/>
      <c r="V860" s="55" t="n"/>
    </row>
    <row r="861" ht="14.5" customHeight="1" s="344">
      <c r="A861" s="180" t="n"/>
      <c r="B861" s="182" t="n"/>
      <c r="C861" s="278" t="n"/>
      <c r="D861" s="181" t="n"/>
      <c r="E861" s="182" t="n"/>
      <c r="F861" s="278" t="n"/>
      <c r="G861" s="182" t="n"/>
      <c r="H861" s="194" t="n"/>
      <c r="I861" s="180" t="n"/>
      <c r="J861" s="194" t="n"/>
      <c r="K861" s="182" t="n"/>
      <c r="L861" s="182" t="n"/>
      <c r="M861" s="278" t="n"/>
      <c r="N861" s="181" t="n"/>
      <c r="O861" s="181" t="n"/>
      <c r="P861" s="194" t="n"/>
      <c r="Q861" s="180" t="n"/>
      <c r="R861" s="180" t="n"/>
      <c r="S861" s="182" t="n"/>
      <c r="T861" s="57" t="n"/>
      <c r="U861" s="529" t="n"/>
      <c r="V861" s="55" t="n"/>
    </row>
    <row r="862" ht="14.5" customHeight="1" s="344">
      <c r="A862" s="180" t="n"/>
      <c r="B862" s="182" t="n"/>
      <c r="C862" s="278" t="n"/>
      <c r="D862" s="181" t="n"/>
      <c r="E862" s="182" t="n"/>
      <c r="F862" s="278" t="n"/>
      <c r="G862" s="182" t="n"/>
      <c r="H862" s="194" t="n"/>
      <c r="I862" s="180" t="n"/>
      <c r="J862" s="194" t="n"/>
      <c r="K862" s="182" t="n"/>
      <c r="L862" s="182" t="n"/>
      <c r="M862" s="278" t="n"/>
      <c r="N862" s="181" t="n"/>
      <c r="O862" s="181" t="n"/>
      <c r="P862" s="194" t="n"/>
      <c r="Q862" s="180" t="n"/>
      <c r="R862" s="180" t="n"/>
      <c r="S862" s="182" t="n"/>
      <c r="T862" s="57" t="n"/>
      <c r="U862" s="529" t="n"/>
      <c r="V862" s="55" t="n"/>
    </row>
    <row r="863" ht="14.5" customHeight="1" s="344">
      <c r="A863" s="180" t="n"/>
      <c r="B863" s="182" t="n"/>
      <c r="C863" s="278" t="n"/>
      <c r="D863" s="181" t="n"/>
      <c r="E863" s="182" t="n"/>
      <c r="F863" s="278" t="n"/>
      <c r="G863" s="182" t="n"/>
      <c r="H863" s="194" t="n"/>
      <c r="I863" s="180" t="n"/>
      <c r="J863" s="194" t="n"/>
      <c r="K863" s="182" t="n"/>
      <c r="L863" s="182" t="n"/>
      <c r="M863" s="278" t="n"/>
      <c r="N863" s="181" t="n"/>
      <c r="O863" s="181" t="n"/>
      <c r="P863" s="194" t="n"/>
      <c r="Q863" s="180" t="n"/>
      <c r="R863" s="180" t="n"/>
      <c r="S863" s="182" t="n"/>
      <c r="T863" s="57" t="n"/>
      <c r="U863" s="529" t="n"/>
      <c r="V863" s="55" t="n"/>
    </row>
    <row r="864" ht="14.5" customHeight="1" s="344">
      <c r="A864" s="180" t="n"/>
      <c r="B864" s="182" t="n"/>
      <c r="C864" s="278" t="n"/>
      <c r="D864" s="181" t="n"/>
      <c r="E864" s="182" t="n"/>
      <c r="F864" s="278" t="n"/>
      <c r="G864" s="182" t="n"/>
      <c r="H864" s="194" t="n"/>
      <c r="I864" s="180" t="n"/>
      <c r="J864" s="194" t="n"/>
      <c r="K864" s="182" t="n"/>
      <c r="L864" s="182" t="n"/>
      <c r="M864" s="278" t="n"/>
      <c r="N864" s="181" t="n"/>
      <c r="O864" s="181" t="n"/>
      <c r="P864" s="194" t="n"/>
      <c r="Q864" s="180" t="n"/>
      <c r="R864" s="180" t="n"/>
      <c r="S864" s="182" t="n"/>
      <c r="T864" s="57" t="n"/>
      <c r="U864" s="529" t="n"/>
      <c r="V864" s="55" t="n"/>
    </row>
    <row r="865" ht="14.5" customHeight="1" s="344">
      <c r="A865" s="180" t="n"/>
      <c r="B865" s="182" t="n"/>
      <c r="C865" s="278" t="n"/>
      <c r="D865" s="181" t="n"/>
      <c r="E865" s="182" t="n"/>
      <c r="F865" s="278" t="n"/>
      <c r="G865" s="182" t="n"/>
      <c r="H865" s="194" t="n"/>
      <c r="I865" s="180" t="n"/>
      <c r="J865" s="194" t="n"/>
      <c r="K865" s="182" t="n"/>
      <c r="L865" s="182" t="n"/>
      <c r="M865" s="278" t="n"/>
      <c r="N865" s="181" t="n"/>
      <c r="O865" s="181" t="n"/>
      <c r="P865" s="194" t="n"/>
      <c r="Q865" s="180" t="n"/>
      <c r="R865" s="180" t="n"/>
      <c r="S865" s="182" t="n"/>
      <c r="T865" s="57" t="n"/>
      <c r="U865" s="529" t="n"/>
      <c r="V865" s="55" t="n"/>
    </row>
    <row r="866" ht="14.5" customHeight="1" s="344">
      <c r="A866" s="180" t="n"/>
      <c r="B866" s="182" t="n"/>
      <c r="C866" s="278" t="n"/>
      <c r="D866" s="181" t="n"/>
      <c r="E866" s="182" t="n"/>
      <c r="F866" s="278" t="n"/>
      <c r="G866" s="182" t="n"/>
      <c r="H866" s="194" t="n"/>
      <c r="I866" s="180" t="n"/>
      <c r="J866" s="194" t="n"/>
      <c r="K866" s="182" t="n"/>
      <c r="L866" s="182" t="n"/>
      <c r="M866" s="278" t="n"/>
      <c r="N866" s="181" t="n"/>
      <c r="O866" s="181" t="n"/>
      <c r="P866" s="194" t="n"/>
      <c r="Q866" s="180" t="n"/>
      <c r="R866" s="180" t="n"/>
      <c r="S866" s="182" t="n"/>
      <c r="T866" s="57" t="n"/>
      <c r="U866" s="529" t="n"/>
      <c r="V866" s="55" t="n"/>
    </row>
    <row r="867" ht="14.5" customHeight="1" s="344">
      <c r="A867" s="180" t="n"/>
      <c r="B867" s="182" t="n"/>
      <c r="C867" s="278" t="n"/>
      <c r="D867" s="181" t="n"/>
      <c r="E867" s="182" t="n"/>
      <c r="F867" s="278" t="n"/>
      <c r="G867" s="182" t="n"/>
      <c r="H867" s="194" t="n"/>
      <c r="I867" s="180" t="n"/>
      <c r="J867" s="194" t="n"/>
      <c r="K867" s="182" t="n"/>
      <c r="L867" s="182" t="n"/>
      <c r="M867" s="278" t="n"/>
      <c r="N867" s="181" t="n"/>
      <c r="O867" s="181" t="n"/>
      <c r="P867" s="194" t="n"/>
      <c r="Q867" s="180" t="n"/>
      <c r="R867" s="180" t="n"/>
      <c r="S867" s="182" t="n"/>
      <c r="T867" s="57" t="n"/>
      <c r="U867" s="529" t="n"/>
      <c r="V867" s="55" t="n"/>
    </row>
    <row r="868" ht="14.5" customHeight="1" s="344">
      <c r="A868" s="180" t="n"/>
      <c r="B868" s="182" t="n"/>
      <c r="C868" s="278" t="n"/>
      <c r="D868" s="181" t="n"/>
      <c r="E868" s="182" t="n"/>
      <c r="F868" s="278" t="n"/>
      <c r="G868" s="182" t="n"/>
      <c r="H868" s="194" t="n"/>
      <c r="I868" s="180" t="n"/>
      <c r="J868" s="194" t="n"/>
      <c r="K868" s="182" t="n"/>
      <c r="L868" s="182" t="n"/>
      <c r="M868" s="278" t="n"/>
      <c r="N868" s="181" t="n"/>
      <c r="O868" s="181" t="n"/>
      <c r="P868" s="194" t="n"/>
      <c r="Q868" s="180" t="n"/>
      <c r="R868" s="180" t="n"/>
      <c r="S868" s="182" t="n"/>
      <c r="T868" s="57" t="n"/>
      <c r="U868" s="529" t="n"/>
      <c r="V868" s="55" t="n"/>
    </row>
    <row r="869" ht="21.5" customHeight="1" s="344">
      <c r="A869" s="180" t="n"/>
      <c r="B869" s="182" t="n"/>
      <c r="C869" s="278" t="n"/>
      <c r="D869" s="181" t="n"/>
      <c r="E869" s="182" t="n"/>
      <c r="F869" s="278" t="n"/>
      <c r="G869" s="182" t="n"/>
      <c r="H869" s="194" t="n"/>
      <c r="I869" s="180" t="n"/>
      <c r="J869" s="194" t="n"/>
      <c r="K869" s="182" t="n"/>
      <c r="L869" s="182" t="n"/>
      <c r="M869" s="278" t="n"/>
      <c r="N869" s="181" t="n"/>
      <c r="O869" s="181" t="n"/>
      <c r="P869" s="194" t="n"/>
      <c r="Q869" s="180" t="n"/>
      <c r="R869" s="180" t="n"/>
      <c r="S869" s="182" t="n"/>
      <c r="T869" s="57" t="n"/>
      <c r="U869" s="529" t="n"/>
      <c r="V869" s="55" t="n"/>
    </row>
    <row r="870" ht="14.5" customHeight="1" s="344">
      <c r="A870" s="180" t="n"/>
      <c r="B870" s="182" t="n"/>
      <c r="C870" s="278" t="n"/>
      <c r="D870" s="181" t="n"/>
      <c r="E870" s="182" t="n"/>
      <c r="F870" s="278" t="n"/>
      <c r="G870" s="182" t="n"/>
      <c r="H870" s="194" t="n"/>
      <c r="I870" s="180" t="n"/>
      <c r="J870" s="194" t="n"/>
      <c r="K870" s="182" t="n"/>
      <c r="L870" s="182" t="n"/>
      <c r="M870" s="278" t="n"/>
      <c r="N870" s="181" t="n"/>
      <c r="O870" s="181" t="n"/>
      <c r="P870" s="194" t="n"/>
      <c r="Q870" s="180" t="n"/>
      <c r="R870" s="180" t="n"/>
      <c r="S870" s="182" t="n"/>
      <c r="T870" s="57" t="n"/>
      <c r="U870" s="529" t="n"/>
      <c r="V870" s="55" t="n"/>
    </row>
    <row r="871" ht="14.5" customHeight="1" s="344">
      <c r="A871" s="180" t="n"/>
      <c r="B871" s="182" t="n"/>
      <c r="C871" s="278" t="n"/>
      <c r="D871" s="181" t="n"/>
      <c r="E871" s="182" t="n"/>
      <c r="F871" s="278" t="n"/>
      <c r="G871" s="182" t="n"/>
      <c r="H871" s="194" t="n"/>
      <c r="I871" s="180" t="n"/>
      <c r="J871" s="194" t="n"/>
      <c r="K871" s="182" t="n"/>
      <c r="L871" s="182" t="n"/>
      <c r="M871" s="278" t="n"/>
      <c r="N871" s="181" t="n"/>
      <c r="O871" s="181" t="n"/>
      <c r="P871" s="194" t="n"/>
      <c r="Q871" s="180" t="n"/>
      <c r="R871" s="180" t="n"/>
      <c r="S871" s="182" t="n"/>
      <c r="T871" s="57" t="n"/>
      <c r="U871" s="529" t="n"/>
      <c r="V871" s="55" t="n"/>
    </row>
    <row r="872" ht="14.5" customHeight="1" s="344">
      <c r="A872" s="180" t="n"/>
      <c r="B872" s="182" t="n"/>
      <c r="C872" s="278" t="n"/>
      <c r="D872" s="181" t="n"/>
      <c r="E872" s="182" t="n"/>
      <c r="F872" s="278" t="n"/>
      <c r="G872" s="182" t="n"/>
      <c r="H872" s="194" t="n"/>
      <c r="I872" s="180" t="n"/>
      <c r="J872" s="194" t="n"/>
      <c r="K872" s="182" t="n"/>
      <c r="L872" s="182" t="n"/>
      <c r="M872" s="278" t="n"/>
      <c r="N872" s="181" t="n"/>
      <c r="O872" s="181" t="n"/>
      <c r="P872" s="194" t="n"/>
      <c r="Q872" s="180" t="n"/>
      <c r="R872" s="180" t="n"/>
      <c r="S872" s="182" t="n"/>
      <c r="T872" s="57" t="n"/>
      <c r="U872" s="529" t="n"/>
      <c r="V872" s="55" t="n"/>
    </row>
    <row r="873" ht="14.5" customHeight="1" s="344">
      <c r="A873" s="180" t="n"/>
      <c r="B873" s="182" t="n"/>
      <c r="C873" s="278" t="n"/>
      <c r="D873" s="181" t="n"/>
      <c r="E873" s="182" t="n"/>
      <c r="F873" s="278" t="n"/>
      <c r="G873" s="182" t="n"/>
      <c r="H873" s="194" t="n"/>
      <c r="I873" s="180" t="n"/>
      <c r="J873" s="194" t="n"/>
      <c r="K873" s="182" t="n"/>
      <c r="L873" s="182" t="n"/>
      <c r="M873" s="278" t="n"/>
      <c r="N873" s="181" t="n"/>
      <c r="O873" s="181" t="n"/>
      <c r="P873" s="194" t="n"/>
      <c r="Q873" s="180" t="n"/>
      <c r="R873" s="180" t="n"/>
      <c r="S873" s="182" t="n"/>
      <c r="T873" s="57" t="n"/>
      <c r="U873" s="529" t="n"/>
      <c r="V873" s="55" t="n"/>
    </row>
    <row r="874" ht="14.5" customHeight="1" s="344">
      <c r="A874" s="180" t="n"/>
      <c r="B874" s="182" t="n"/>
      <c r="C874" s="278" t="n"/>
      <c r="D874" s="181" t="n"/>
      <c r="E874" s="182" t="n"/>
      <c r="F874" s="278" t="n"/>
      <c r="G874" s="182" t="n"/>
      <c r="H874" s="194" t="n"/>
      <c r="I874" s="180" t="n"/>
      <c r="J874" s="194" t="n"/>
      <c r="K874" s="182" t="n"/>
      <c r="L874" s="182" t="n"/>
      <c r="M874" s="278" t="n"/>
      <c r="N874" s="181" t="n"/>
      <c r="O874" s="181" t="n"/>
      <c r="P874" s="194" t="n"/>
      <c r="Q874" s="180" t="n"/>
      <c r="R874" s="180" t="n"/>
      <c r="S874" s="182" t="n"/>
      <c r="T874" s="57" t="n"/>
      <c r="U874" s="529" t="n"/>
      <c r="V874" s="55" t="n"/>
    </row>
    <row r="875" ht="14.5" customHeight="1" s="344">
      <c r="A875" s="180" t="n"/>
      <c r="B875" s="182" t="n"/>
      <c r="C875" s="278" t="n"/>
      <c r="D875" s="181" t="n"/>
      <c r="E875" s="182" t="n"/>
      <c r="F875" s="278" t="n"/>
      <c r="G875" s="182" t="n"/>
      <c r="H875" s="194" t="n"/>
      <c r="I875" s="180" t="n"/>
      <c r="J875" s="194" t="n"/>
      <c r="K875" s="182" t="n"/>
      <c r="L875" s="182" t="n"/>
      <c r="M875" s="278" t="n"/>
      <c r="N875" s="181" t="n"/>
      <c r="O875" s="181" t="n"/>
      <c r="P875" s="194" t="n"/>
      <c r="Q875" s="180" t="n"/>
      <c r="R875" s="180" t="n"/>
      <c r="S875" s="182" t="n"/>
      <c r="T875" s="57" t="n"/>
      <c r="U875" s="529" t="n"/>
      <c r="V875" s="55" t="n"/>
    </row>
    <row r="876" ht="14.5" customHeight="1" s="344">
      <c r="A876" s="180" t="n"/>
      <c r="B876" s="182" t="n"/>
      <c r="C876" s="278" t="n"/>
      <c r="D876" s="181" t="n"/>
      <c r="E876" s="182" t="n"/>
      <c r="F876" s="278" t="n"/>
      <c r="G876" s="182" t="n"/>
      <c r="H876" s="194" t="n"/>
      <c r="I876" s="180" t="n"/>
      <c r="J876" s="194" t="n"/>
      <c r="K876" s="182" t="n"/>
      <c r="L876" s="182" t="n"/>
      <c r="M876" s="278" t="n"/>
      <c r="N876" s="181" t="n"/>
      <c r="O876" s="181" t="n"/>
      <c r="P876" s="194" t="n"/>
      <c r="Q876" s="180" t="n"/>
      <c r="R876" s="180" t="n"/>
      <c r="S876" s="182" t="n"/>
      <c r="T876" s="57" t="n"/>
      <c r="U876" s="529" t="n"/>
      <c r="V876" s="55" t="n"/>
    </row>
    <row r="877" ht="14.5" customHeight="1" s="344">
      <c r="A877" s="180" t="n"/>
      <c r="B877" s="182" t="n"/>
      <c r="C877" s="278" t="n"/>
      <c r="D877" s="181" t="n"/>
      <c r="E877" s="182" t="n"/>
      <c r="F877" s="278" t="n"/>
      <c r="G877" s="182" t="n"/>
      <c r="H877" s="194" t="n"/>
      <c r="I877" s="180" t="n"/>
      <c r="J877" s="194" t="n"/>
      <c r="K877" s="182" t="n"/>
      <c r="L877" s="182" t="n"/>
      <c r="M877" s="278" t="n"/>
      <c r="N877" s="181" t="n"/>
      <c r="O877" s="181" t="n"/>
      <c r="P877" s="194" t="n"/>
      <c r="Q877" s="180" t="n"/>
      <c r="R877" s="180" t="n"/>
      <c r="S877" s="182" t="n"/>
      <c r="T877" s="57" t="n"/>
      <c r="U877" s="529" t="n"/>
      <c r="V877" s="55" t="n"/>
    </row>
    <row r="878" ht="14.5" customHeight="1" s="344">
      <c r="A878" s="180" t="n"/>
      <c r="B878" s="182" t="n"/>
      <c r="C878" s="278" t="n"/>
      <c r="D878" s="181" t="n"/>
      <c r="E878" s="182" t="n"/>
      <c r="F878" s="278" t="n"/>
      <c r="G878" s="182" t="n"/>
      <c r="H878" s="194" t="n"/>
      <c r="I878" s="180" t="n"/>
      <c r="J878" s="194" t="n"/>
      <c r="K878" s="182" t="n"/>
      <c r="L878" s="182" t="n"/>
      <c r="M878" s="278" t="n"/>
      <c r="N878" s="181" t="n"/>
      <c r="O878" s="181" t="n"/>
      <c r="P878" s="194" t="n"/>
      <c r="Q878" s="180" t="n"/>
      <c r="R878" s="180" t="n"/>
      <c r="S878" s="182" t="n"/>
      <c r="T878" s="57" t="n"/>
      <c r="U878" s="529" t="n"/>
      <c r="V878" s="55" t="n"/>
    </row>
    <row r="879" ht="14.5" customHeight="1" s="344">
      <c r="A879" s="180" t="n"/>
      <c r="B879" s="182" t="n"/>
      <c r="C879" s="278" t="n"/>
      <c r="D879" s="181" t="n"/>
      <c r="E879" s="182" t="n"/>
      <c r="F879" s="278" t="n"/>
      <c r="G879" s="182" t="n"/>
      <c r="H879" s="194" t="n"/>
      <c r="I879" s="180" t="n"/>
      <c r="J879" s="194" t="n"/>
      <c r="K879" s="182" t="n"/>
      <c r="L879" s="182" t="n"/>
      <c r="M879" s="278" t="n"/>
      <c r="N879" s="181" t="n"/>
      <c r="O879" s="181" t="n"/>
      <c r="P879" s="194" t="n"/>
      <c r="Q879" s="180" t="n"/>
      <c r="R879" s="180" t="n"/>
      <c r="S879" s="182" t="n"/>
      <c r="T879" s="57" t="n"/>
      <c r="U879" s="529" t="n"/>
      <c r="V879" s="55" t="n"/>
    </row>
    <row r="880" ht="14.4" customHeight="1" s="344">
      <c r="A880" s="180" t="n"/>
      <c r="B880" s="182" t="n"/>
      <c r="C880" s="278" t="n"/>
      <c r="D880" s="181" t="n"/>
      <c r="E880" s="182" t="n"/>
      <c r="F880" s="278" t="n"/>
      <c r="G880" s="182" t="n"/>
      <c r="H880" s="194" t="n"/>
      <c r="I880" s="180" t="n"/>
      <c r="J880" s="194" t="n"/>
      <c r="K880" s="182" t="n"/>
      <c r="L880" s="182" t="n"/>
      <c r="M880" s="278" t="n"/>
      <c r="N880" s="181" t="n"/>
      <c r="O880" s="181" t="n"/>
      <c r="P880" s="194" t="n"/>
      <c r="Q880" s="180" t="n"/>
      <c r="R880" s="180" t="n"/>
      <c r="S880" s="182" t="n"/>
      <c r="T880" s="57" t="n"/>
      <c r="U880" s="529" t="n"/>
      <c r="V880" s="55" t="n"/>
    </row>
    <row r="881" ht="14.5" customHeight="1" s="344">
      <c r="A881" s="180" t="n"/>
      <c r="B881" s="182" t="n"/>
      <c r="C881" s="278" t="n"/>
      <c r="D881" s="181" t="n"/>
      <c r="E881" s="182" t="n"/>
      <c r="F881" s="278" t="n"/>
      <c r="G881" s="182" t="n"/>
      <c r="H881" s="194" t="n"/>
      <c r="I881" s="180" t="n"/>
      <c r="J881" s="194" t="n"/>
      <c r="K881" s="182" t="n"/>
      <c r="L881" s="182" t="n"/>
      <c r="M881" s="278" t="n"/>
      <c r="N881" s="181" t="n"/>
      <c r="O881" s="181" t="n"/>
      <c r="P881" s="194" t="n"/>
      <c r="Q881" s="180" t="n"/>
      <c r="R881" s="180" t="n"/>
      <c r="S881" s="182" t="n"/>
      <c r="T881" s="57" t="n"/>
      <c r="U881" s="529" t="n"/>
      <c r="V881" s="55" t="n"/>
    </row>
    <row r="882" ht="14.5" customHeight="1" s="344">
      <c r="A882" s="180" t="n"/>
      <c r="B882" s="182" t="n"/>
      <c r="C882" s="278" t="n"/>
      <c r="D882" s="181" t="n"/>
      <c r="E882" s="182" t="n"/>
      <c r="F882" s="278" t="n"/>
      <c r="G882" s="182" t="n"/>
      <c r="H882" s="194" t="n"/>
      <c r="I882" s="180" t="n"/>
      <c r="J882" s="194" t="n"/>
      <c r="K882" s="182" t="n"/>
      <c r="L882" s="182" t="n"/>
      <c r="M882" s="278" t="n"/>
      <c r="N882" s="181" t="n"/>
      <c r="O882" s="181" t="n"/>
      <c r="P882" s="194" t="n"/>
      <c r="Q882" s="180" t="n"/>
      <c r="R882" s="180" t="n"/>
      <c r="S882" s="182" t="n"/>
      <c r="T882" s="57" t="n"/>
      <c r="U882" s="529" t="n"/>
      <c r="V882" s="55" t="n"/>
    </row>
    <row r="883" ht="14.4" customHeight="1" s="344">
      <c r="A883" s="180" t="n"/>
      <c r="B883" s="182" t="n"/>
      <c r="C883" s="278" t="n"/>
      <c r="D883" s="181" t="n"/>
      <c r="E883" s="182" t="n"/>
      <c r="F883" s="278" t="n"/>
      <c r="G883" s="182" t="n"/>
      <c r="H883" s="194" t="n"/>
      <c r="I883" s="180" t="n"/>
      <c r="J883" s="194" t="n"/>
      <c r="K883" s="182" t="n"/>
      <c r="L883" s="182" t="n"/>
      <c r="M883" s="278" t="n"/>
      <c r="N883" s="181" t="n"/>
      <c r="O883" s="181" t="n"/>
      <c r="P883" s="194" t="n"/>
      <c r="Q883" s="180" t="n"/>
      <c r="R883" s="180" t="n"/>
      <c r="S883" s="182" t="n"/>
      <c r="T883" s="57" t="n"/>
      <c r="U883" s="529" t="n"/>
      <c r="V883" s="55" t="n"/>
    </row>
    <row r="884" ht="21.5" customHeight="1" s="344">
      <c r="A884" s="180" t="n"/>
      <c r="B884" s="182" t="n"/>
      <c r="C884" s="278" t="n"/>
      <c r="D884" s="181" t="n"/>
      <c r="E884" s="182" t="n"/>
      <c r="F884" s="278" t="n"/>
      <c r="G884" s="182" t="n"/>
      <c r="H884" s="194" t="n"/>
      <c r="I884" s="180" t="n"/>
      <c r="J884" s="194" t="n"/>
      <c r="K884" s="182" t="n"/>
      <c r="L884" s="182" t="n"/>
      <c r="M884" s="278" t="n"/>
      <c r="N884" s="181" t="n"/>
      <c r="O884" s="181" t="n"/>
      <c r="P884" s="194" t="n"/>
      <c r="Q884" s="180" t="n"/>
      <c r="R884" s="180" t="n"/>
      <c r="S884" s="182" t="n"/>
      <c r="T884" s="57" t="n"/>
      <c r="U884" s="529" t="n"/>
      <c r="V884" s="55" t="n"/>
    </row>
    <row r="885" ht="21.5" customHeight="1" s="344">
      <c r="A885" s="180" t="n"/>
      <c r="B885" s="182" t="n"/>
      <c r="C885" s="278" t="n"/>
      <c r="D885" s="181" t="n"/>
      <c r="E885" s="182" t="n"/>
      <c r="F885" s="278" t="n"/>
      <c r="G885" s="182" t="n"/>
      <c r="H885" s="194" t="n"/>
      <c r="I885" s="180" t="n"/>
      <c r="J885" s="194" t="n"/>
      <c r="K885" s="182" t="n"/>
      <c r="L885" s="182" t="n"/>
      <c r="M885" s="278" t="n"/>
      <c r="N885" s="181" t="n"/>
      <c r="O885" s="181" t="n"/>
      <c r="P885" s="194" t="n"/>
      <c r="Q885" s="180" t="n"/>
      <c r="R885" s="180" t="n"/>
      <c r="S885" s="182" t="n"/>
      <c r="T885" s="57" t="n"/>
      <c r="U885" s="529" t="n"/>
      <c r="V885" s="55" t="n"/>
    </row>
    <row r="886" ht="14.4" customHeight="1" s="344">
      <c r="A886" s="180" t="n"/>
      <c r="B886" s="182" t="n"/>
      <c r="C886" s="278" t="n"/>
      <c r="D886" s="181" t="n"/>
      <c r="E886" s="182" t="n"/>
      <c r="F886" s="278" t="n"/>
      <c r="G886" s="182" t="n"/>
      <c r="H886" s="194" t="n"/>
      <c r="I886" s="180" t="n"/>
      <c r="J886" s="194" t="n"/>
      <c r="K886" s="182" t="n"/>
      <c r="L886" s="182" t="n"/>
      <c r="M886" s="278" t="n"/>
      <c r="N886" s="181" t="n"/>
      <c r="O886" s="181" t="n"/>
      <c r="P886" s="194" t="n"/>
      <c r="Q886" s="180" t="n"/>
      <c r="R886" s="180" t="n"/>
      <c r="S886" s="182" t="n"/>
      <c r="T886" s="57" t="n"/>
      <c r="U886" s="529" t="n"/>
      <c r="V886" s="55" t="n"/>
    </row>
    <row r="887" ht="14.5" customHeight="1" s="344">
      <c r="A887" s="180" t="n"/>
      <c r="B887" s="182" t="n"/>
      <c r="C887" s="278" t="n"/>
      <c r="D887" s="181" t="n"/>
      <c r="E887" s="182" t="n"/>
      <c r="F887" s="278" t="n"/>
      <c r="G887" s="182" t="n"/>
      <c r="H887" s="194" t="n"/>
      <c r="I887" s="180" t="n"/>
      <c r="J887" s="194" t="n"/>
      <c r="K887" s="182" t="n"/>
      <c r="L887" s="182" t="n"/>
      <c r="M887" s="278" t="n"/>
      <c r="N887" s="181" t="n"/>
      <c r="O887" s="181" t="n"/>
      <c r="P887" s="194" t="n"/>
      <c r="Q887" s="180" t="n"/>
      <c r="R887" s="180" t="n"/>
      <c r="S887" s="182" t="n"/>
      <c r="T887" s="57" t="n"/>
      <c r="U887" s="529" t="n"/>
      <c r="V887" s="55" t="n"/>
    </row>
    <row r="888" ht="14.5" customHeight="1" s="344">
      <c r="A888" s="180" t="n"/>
      <c r="B888" s="182" t="n"/>
      <c r="C888" s="278" t="n"/>
      <c r="D888" s="181" t="n"/>
      <c r="E888" s="182" t="n"/>
      <c r="F888" s="278" t="n"/>
      <c r="G888" s="182" t="n"/>
      <c r="H888" s="194" t="n"/>
      <c r="I888" s="180" t="n"/>
      <c r="J888" s="194" t="n"/>
      <c r="K888" s="182" t="n"/>
      <c r="L888" s="182" t="n"/>
      <c r="M888" s="278" t="n"/>
      <c r="N888" s="181" t="n"/>
      <c r="O888" s="181" t="n"/>
      <c r="P888" s="194" t="n"/>
      <c r="Q888" s="180" t="n"/>
      <c r="R888" s="180" t="n"/>
      <c r="S888" s="182" t="n"/>
      <c r="T888" s="57" t="n"/>
      <c r="U888" s="529" t="n"/>
      <c r="V888" s="55" t="n"/>
    </row>
    <row r="889" ht="14.4" customHeight="1" s="344">
      <c r="A889" s="180" t="n"/>
      <c r="B889" s="182" t="n"/>
      <c r="C889" s="278" t="n"/>
      <c r="D889" s="181" t="n"/>
      <c r="E889" s="182" t="n"/>
      <c r="F889" s="278" t="n"/>
      <c r="G889" s="182" t="n"/>
      <c r="H889" s="194" t="n"/>
      <c r="I889" s="180" t="n"/>
      <c r="J889" s="194" t="n"/>
      <c r="K889" s="182" t="n"/>
      <c r="L889" s="182" t="n"/>
      <c r="M889" s="278" t="n"/>
      <c r="N889" s="181" t="n"/>
      <c r="O889" s="181" t="n"/>
      <c r="P889" s="194" t="n"/>
      <c r="Q889" s="180" t="n"/>
      <c r="R889" s="180" t="n"/>
      <c r="S889" s="182" t="n"/>
      <c r="T889" s="57" t="n"/>
      <c r="U889" s="529" t="n"/>
      <c r="V889" s="55" t="n"/>
    </row>
    <row r="890" ht="21.5" customHeight="1" s="344">
      <c r="A890" s="180" t="n"/>
      <c r="B890" s="182" t="n"/>
      <c r="C890" s="278" t="n"/>
      <c r="D890" s="181" t="n"/>
      <c r="E890" s="182" t="n"/>
      <c r="F890" s="278" t="n"/>
      <c r="G890" s="182" t="n"/>
      <c r="H890" s="194" t="n"/>
      <c r="I890" s="180" t="n"/>
      <c r="J890" s="194" t="n"/>
      <c r="K890" s="182" t="n"/>
      <c r="L890" s="182" t="n"/>
      <c r="M890" s="278" t="n"/>
      <c r="N890" s="181" t="n"/>
      <c r="O890" s="181" t="n"/>
      <c r="P890" s="194" t="n"/>
      <c r="Q890" s="180" t="n"/>
      <c r="R890" s="180" t="n"/>
      <c r="S890" s="182" t="n"/>
      <c r="T890" s="57" t="n"/>
      <c r="U890" s="529" t="n"/>
      <c r="V890" s="55" t="n"/>
    </row>
    <row r="891" ht="21.5" customHeight="1" s="344">
      <c r="A891" s="180" t="n"/>
      <c r="B891" s="182" t="n"/>
      <c r="C891" s="278" t="n"/>
      <c r="D891" s="181" t="n"/>
      <c r="E891" s="182" t="n"/>
      <c r="F891" s="278" t="n"/>
      <c r="G891" s="182" t="n"/>
      <c r="H891" s="194" t="n"/>
      <c r="I891" s="180" t="n"/>
      <c r="J891" s="194" t="n"/>
      <c r="K891" s="182" t="n"/>
      <c r="L891" s="182" t="n"/>
      <c r="M891" s="278" t="n"/>
      <c r="N891" s="181" t="n"/>
      <c r="O891" s="181" t="n"/>
      <c r="P891" s="194" t="n"/>
      <c r="Q891" s="180" t="n"/>
      <c r="R891" s="180" t="n"/>
      <c r="S891" s="182" t="n"/>
      <c r="T891" s="57" t="n"/>
      <c r="U891" s="529" t="n"/>
      <c r="V891" s="55" t="n"/>
    </row>
    <row r="892" ht="14.4" customHeight="1" s="344">
      <c r="A892" s="180" t="n"/>
      <c r="B892" s="182" t="n"/>
      <c r="C892" s="278" t="n"/>
      <c r="D892" s="181" t="n"/>
      <c r="E892" s="182" t="n"/>
      <c r="F892" s="278" t="n"/>
      <c r="G892" s="182" t="n"/>
      <c r="H892" s="194" t="n"/>
      <c r="I892" s="180" t="n"/>
      <c r="J892" s="194" t="n"/>
      <c r="K892" s="182" t="n"/>
      <c r="L892" s="182" t="n"/>
      <c r="M892" s="278" t="n"/>
      <c r="N892" s="181" t="n"/>
      <c r="O892" s="181" t="n"/>
      <c r="P892" s="194" t="n"/>
      <c r="Q892" s="180" t="n"/>
      <c r="R892" s="180" t="n"/>
      <c r="S892" s="182" t="n"/>
      <c r="T892" s="57" t="n"/>
      <c r="U892" s="529" t="n"/>
      <c r="V892" s="55" t="n"/>
    </row>
    <row r="893" ht="21.5" customHeight="1" s="344">
      <c r="A893" s="180" t="n"/>
      <c r="B893" s="182" t="n"/>
      <c r="C893" s="278" t="n"/>
      <c r="D893" s="181" t="n"/>
      <c r="E893" s="182" t="n"/>
      <c r="F893" s="278" t="n"/>
      <c r="G893" s="182" t="n"/>
      <c r="H893" s="194" t="n"/>
      <c r="I893" s="180" t="n"/>
      <c r="J893" s="194" t="n"/>
      <c r="K893" s="182" t="n"/>
      <c r="L893" s="182" t="n"/>
      <c r="M893" s="278" t="n"/>
      <c r="N893" s="181" t="n"/>
      <c r="O893" s="181" t="n"/>
      <c r="P893" s="194" t="n"/>
      <c r="Q893" s="180" t="n"/>
      <c r="R893" s="180" t="n"/>
      <c r="S893" s="182" t="n"/>
      <c r="T893" s="57" t="n"/>
      <c r="U893" s="529" t="n"/>
      <c r="V893" s="55" t="n"/>
    </row>
    <row r="894" ht="21.5" customHeight="1" s="344">
      <c r="A894" s="180" t="n"/>
      <c r="B894" s="182" t="n"/>
      <c r="C894" s="278" t="n"/>
      <c r="D894" s="181" t="n"/>
      <c r="E894" s="182" t="n"/>
      <c r="F894" s="278" t="n"/>
      <c r="G894" s="182" t="n"/>
      <c r="H894" s="194" t="n"/>
      <c r="I894" s="180" t="n"/>
      <c r="J894" s="194" t="n"/>
      <c r="K894" s="182" t="n"/>
      <c r="L894" s="182" t="n"/>
      <c r="M894" s="278" t="n"/>
      <c r="N894" s="181" t="n"/>
      <c r="O894" s="181" t="n"/>
      <c r="P894" s="194" t="n"/>
      <c r="Q894" s="180" t="n"/>
      <c r="R894" s="180" t="n"/>
      <c r="S894" s="182" t="n"/>
      <c r="T894" s="57" t="n"/>
      <c r="U894" s="529" t="n"/>
      <c r="V894" s="55" t="n"/>
    </row>
    <row r="895" ht="21.5" customHeight="1" s="344">
      <c r="A895" s="180" t="n"/>
      <c r="B895" s="182" t="n"/>
      <c r="C895" s="278" t="n"/>
      <c r="D895" s="181" t="n"/>
      <c r="E895" s="182" t="n"/>
      <c r="F895" s="278" t="n"/>
      <c r="G895" s="182" t="n"/>
      <c r="H895" s="194" t="n"/>
      <c r="I895" s="180" t="n"/>
      <c r="J895" s="194" t="n"/>
      <c r="K895" s="182" t="n"/>
      <c r="L895" s="182" t="n"/>
      <c r="M895" s="278" t="n"/>
      <c r="N895" s="181" t="n"/>
      <c r="O895" s="181" t="n"/>
      <c r="P895" s="194" t="n"/>
      <c r="Q895" s="180" t="n"/>
      <c r="R895" s="180" t="n"/>
      <c r="S895" s="182" t="n"/>
      <c r="T895" s="57" t="n"/>
      <c r="U895" s="529" t="n"/>
      <c r="V895" s="55" t="n"/>
    </row>
    <row r="896" ht="21.5" customHeight="1" s="344">
      <c r="A896" s="180" t="n"/>
      <c r="B896" s="182" t="n"/>
      <c r="C896" s="278" t="n"/>
      <c r="D896" s="181" t="n"/>
      <c r="E896" s="182" t="n"/>
      <c r="F896" s="278" t="n"/>
      <c r="G896" s="182" t="n"/>
      <c r="H896" s="194" t="n"/>
      <c r="I896" s="180" t="n"/>
      <c r="J896" s="194" t="n"/>
      <c r="K896" s="182" t="n"/>
      <c r="L896" s="182" t="n"/>
      <c r="M896" s="278" t="n"/>
      <c r="N896" s="181" t="n"/>
      <c r="O896" s="181" t="n"/>
      <c r="P896" s="194" t="n"/>
      <c r="Q896" s="180" t="n"/>
      <c r="R896" s="180" t="n"/>
      <c r="S896" s="182" t="n"/>
      <c r="T896" s="57" t="n"/>
      <c r="U896" s="529" t="n"/>
      <c r="V896" s="55" t="n"/>
    </row>
    <row r="897" ht="21.5" customHeight="1" s="344">
      <c r="A897" s="180" t="n"/>
      <c r="B897" s="182" t="n"/>
      <c r="C897" s="278" t="n"/>
      <c r="D897" s="181" t="n"/>
      <c r="E897" s="182" t="n"/>
      <c r="F897" s="278" t="n"/>
      <c r="G897" s="182" t="n"/>
      <c r="H897" s="194" t="n"/>
      <c r="I897" s="180" t="n"/>
      <c r="J897" s="194" t="n"/>
      <c r="K897" s="182" t="n"/>
      <c r="L897" s="182" t="n"/>
      <c r="M897" s="278" t="n"/>
      <c r="N897" s="181" t="n"/>
      <c r="O897" s="181" t="n"/>
      <c r="P897" s="194" t="n"/>
      <c r="Q897" s="180" t="n"/>
      <c r="R897" s="180" t="n"/>
      <c r="S897" s="182" t="n"/>
      <c r="T897" s="57" t="n"/>
      <c r="U897" s="529" t="n"/>
      <c r="V897" s="55" t="n"/>
    </row>
    <row r="898" ht="21.5" customHeight="1" s="344">
      <c r="A898" s="180" t="n"/>
      <c r="B898" s="182" t="n"/>
      <c r="C898" s="278" t="n"/>
      <c r="D898" s="181" t="n"/>
      <c r="E898" s="182" t="n"/>
      <c r="F898" s="278" t="n"/>
      <c r="G898" s="182" t="n"/>
      <c r="H898" s="194" t="n"/>
      <c r="I898" s="180" t="n"/>
      <c r="J898" s="194" t="n"/>
      <c r="K898" s="182" t="n"/>
      <c r="L898" s="182" t="n"/>
      <c r="M898" s="278" t="n"/>
      <c r="N898" s="181" t="n"/>
      <c r="O898" s="181" t="n"/>
      <c r="P898" s="194" t="n"/>
      <c r="Q898" s="180" t="n"/>
      <c r="R898" s="180" t="n"/>
      <c r="S898" s="182" t="n"/>
      <c r="T898" s="57" t="n"/>
      <c r="U898" s="529" t="n"/>
      <c r="V898" s="55" t="n"/>
    </row>
    <row r="899" ht="21.5" customHeight="1" s="344">
      <c r="A899" s="180" t="n"/>
      <c r="B899" s="182" t="n"/>
      <c r="C899" s="278" t="n"/>
      <c r="D899" s="181" t="n"/>
      <c r="E899" s="182" t="n"/>
      <c r="F899" s="278" t="n"/>
      <c r="G899" s="182" t="n"/>
      <c r="H899" s="194" t="n"/>
      <c r="I899" s="180" t="n"/>
      <c r="J899" s="194" t="n"/>
      <c r="K899" s="182" t="n"/>
      <c r="L899" s="182" t="n"/>
      <c r="M899" s="278" t="n"/>
      <c r="N899" s="181" t="n"/>
      <c r="O899" s="181" t="n"/>
      <c r="P899" s="194" t="n"/>
      <c r="Q899" s="180" t="n"/>
      <c r="R899" s="180" t="n"/>
      <c r="S899" s="182" t="n"/>
      <c r="T899" s="57" t="n"/>
      <c r="U899" s="529" t="n"/>
      <c r="V899" s="55" t="n"/>
    </row>
    <row r="900" ht="15.65" customHeight="1" s="344">
      <c r="A900" s="180" t="n"/>
      <c r="B900" s="182" t="n"/>
      <c r="C900" s="278" t="n"/>
      <c r="D900" s="181" t="n"/>
      <c r="E900" s="182" t="n"/>
      <c r="F900" s="278" t="n"/>
      <c r="G900" s="182" t="n"/>
      <c r="H900" s="194" t="n"/>
      <c r="I900" s="180" t="n"/>
      <c r="J900" s="194" t="n"/>
      <c r="K900" s="182" t="n"/>
      <c r="L900" s="182" t="n"/>
      <c r="M900" s="278" t="n"/>
      <c r="N900" s="181" t="n"/>
      <c r="O900" s="181" t="n"/>
      <c r="P900" s="194" t="n"/>
      <c r="Q900" s="180" t="n"/>
      <c r="R900" s="180" t="n"/>
      <c r="S900" s="182" t="n"/>
      <c r="T900" s="57" t="n"/>
      <c r="U900" s="529" t="n"/>
      <c r="V900" s="55" t="n"/>
    </row>
    <row r="901" ht="15.65" customHeight="1" s="344">
      <c r="A901" s="180" t="n"/>
      <c r="B901" s="182" t="n"/>
      <c r="C901" s="278" t="n"/>
      <c r="D901" s="181" t="n"/>
      <c r="E901" s="182" t="n"/>
      <c r="F901" s="278" t="n"/>
      <c r="G901" s="182" t="n"/>
      <c r="H901" s="194" t="n"/>
      <c r="I901" s="180" t="n"/>
      <c r="J901" s="194" t="n"/>
      <c r="K901" s="182" t="n"/>
      <c r="L901" s="182" t="n"/>
      <c r="M901" s="278" t="n"/>
      <c r="N901" s="181" t="n"/>
      <c r="O901" s="181" t="n"/>
      <c r="P901" s="194" t="n"/>
      <c r="Q901" s="180" t="n"/>
      <c r="R901" s="180" t="n"/>
      <c r="S901" s="182" t="n"/>
      <c r="T901" s="57" t="n"/>
      <c r="U901" s="529" t="n"/>
      <c r="V901" s="55" t="n"/>
    </row>
    <row r="902" ht="15.65" customHeight="1" s="344">
      <c r="A902" s="180" t="n"/>
      <c r="B902" s="182" t="n"/>
      <c r="C902" s="278" t="n"/>
      <c r="D902" s="181" t="n"/>
      <c r="E902" s="182" t="n"/>
      <c r="F902" s="278" t="n"/>
      <c r="G902" s="182" t="n"/>
      <c r="H902" s="194" t="n"/>
      <c r="I902" s="180" t="n"/>
      <c r="J902" s="194" t="n"/>
      <c r="K902" s="182" t="n"/>
      <c r="L902" s="182" t="n"/>
      <c r="M902" s="278" t="n"/>
      <c r="N902" s="181" t="n"/>
      <c r="O902" s="181" t="n"/>
      <c r="P902" s="194" t="n"/>
      <c r="Q902" s="180" t="n"/>
      <c r="R902" s="180" t="n"/>
      <c r="S902" s="182" t="n"/>
      <c r="T902" s="57" t="n"/>
      <c r="U902" s="529" t="n"/>
      <c r="V902" s="55" t="n"/>
    </row>
    <row r="903" ht="15.65" customHeight="1" s="344">
      <c r="A903" s="180" t="n"/>
      <c r="B903" s="182" t="n"/>
      <c r="C903" s="278" t="n"/>
      <c r="D903" s="181" t="n"/>
      <c r="E903" s="182" t="n"/>
      <c r="F903" s="278" t="n"/>
      <c r="G903" s="182" t="n"/>
      <c r="H903" s="194" t="n"/>
      <c r="I903" s="180" t="n"/>
      <c r="J903" s="194" t="n"/>
      <c r="K903" s="182" t="n"/>
      <c r="L903" s="182" t="n"/>
      <c r="M903" s="278" t="n"/>
      <c r="N903" s="181" t="n"/>
      <c r="O903" s="181" t="n"/>
      <c r="P903" s="194" t="n"/>
      <c r="Q903" s="180" t="n"/>
      <c r="R903" s="180" t="n"/>
      <c r="S903" s="182" t="n"/>
      <c r="T903" s="57" t="n"/>
      <c r="U903" s="529" t="n"/>
      <c r="V903" s="55" t="n"/>
    </row>
    <row r="904" ht="21.5" customHeight="1" s="344">
      <c r="A904" s="180" t="n"/>
      <c r="B904" s="182" t="n"/>
      <c r="C904" s="278" t="n"/>
      <c r="D904" s="181" t="n"/>
      <c r="E904" s="182" t="n"/>
      <c r="F904" s="278" t="n"/>
      <c r="G904" s="182" t="n"/>
      <c r="H904" s="194" t="n"/>
      <c r="I904" s="180" t="n"/>
      <c r="J904" s="194" t="n"/>
      <c r="K904" s="182" t="n"/>
      <c r="L904" s="182" t="n"/>
      <c r="M904" s="278" t="n"/>
      <c r="N904" s="181" t="n"/>
      <c r="O904" s="181" t="n"/>
      <c r="P904" s="194" t="n"/>
      <c r="Q904" s="180" t="n"/>
      <c r="R904" s="180" t="n"/>
      <c r="S904" s="182" t="n"/>
      <c r="T904" s="57" t="n"/>
      <c r="U904" s="529" t="n"/>
      <c r="V904" s="55" t="n"/>
    </row>
    <row r="905" ht="21.5" customHeight="1" s="344">
      <c r="A905" s="180" t="n"/>
      <c r="B905" s="182" t="n"/>
      <c r="C905" s="278" t="n"/>
      <c r="D905" s="181" t="n"/>
      <c r="E905" s="182" t="n"/>
      <c r="F905" s="278" t="n"/>
      <c r="G905" s="182" t="n"/>
      <c r="H905" s="194" t="n"/>
      <c r="I905" s="180" t="n"/>
      <c r="J905" s="194" t="n"/>
      <c r="K905" s="182" t="n"/>
      <c r="L905" s="182" t="n"/>
      <c r="M905" s="278" t="n"/>
      <c r="N905" s="181" t="n"/>
      <c r="O905" s="181" t="n"/>
      <c r="P905" s="194" t="n"/>
      <c r="Q905" s="180" t="n"/>
      <c r="R905" s="180" t="n"/>
      <c r="S905" s="182" t="n"/>
      <c r="T905" s="57" t="n"/>
      <c r="U905" s="529" t="n"/>
      <c r="V905" s="55" t="n"/>
    </row>
    <row r="906" ht="21.5" customHeight="1" s="344">
      <c r="A906" s="180" t="n"/>
      <c r="B906" s="182" t="n"/>
      <c r="C906" s="278" t="n"/>
      <c r="D906" s="181" t="n"/>
      <c r="E906" s="182" t="n"/>
      <c r="F906" s="278" t="n"/>
      <c r="G906" s="182" t="n"/>
      <c r="H906" s="194" t="n"/>
      <c r="I906" s="180" t="n"/>
      <c r="J906" s="194" t="n"/>
      <c r="K906" s="182" t="n"/>
      <c r="L906" s="182" t="n"/>
      <c r="M906" s="278" t="n"/>
      <c r="N906" s="181" t="n"/>
      <c r="O906" s="181" t="n"/>
      <c r="P906" s="194" t="n"/>
      <c r="Q906" s="180" t="n"/>
      <c r="R906" s="180" t="n"/>
      <c r="S906" s="182" t="n"/>
      <c r="T906" s="57" t="n"/>
      <c r="U906" s="529" t="n"/>
      <c r="V906" s="55" t="n"/>
    </row>
    <row r="907" ht="21.5" customHeight="1" s="344">
      <c r="A907" s="180" t="n"/>
      <c r="B907" s="182" t="n"/>
      <c r="C907" s="278" t="n"/>
      <c r="D907" s="181" t="n"/>
      <c r="E907" s="182" t="n"/>
      <c r="F907" s="278" t="n"/>
      <c r="G907" s="182" t="n"/>
      <c r="H907" s="194" t="n"/>
      <c r="I907" s="180" t="n"/>
      <c r="J907" s="194" t="n"/>
      <c r="K907" s="182" t="n"/>
      <c r="L907" s="182" t="n"/>
      <c r="M907" s="278" t="n"/>
      <c r="N907" s="181" t="n"/>
      <c r="O907" s="181" t="n"/>
      <c r="P907" s="194" t="n"/>
      <c r="Q907" s="180" t="n"/>
      <c r="R907" s="180" t="n"/>
      <c r="S907" s="182" t="n"/>
      <c r="T907" s="57" t="n"/>
      <c r="U907" s="529" t="n"/>
      <c r="V907" s="55" t="n"/>
    </row>
    <row r="908" ht="21.5" customHeight="1" s="344">
      <c r="A908" s="180" t="n"/>
      <c r="B908" s="182" t="n"/>
      <c r="C908" s="278" t="n"/>
      <c r="D908" s="181" t="n"/>
      <c r="E908" s="182" t="n"/>
      <c r="F908" s="278" t="n"/>
      <c r="G908" s="182" t="n"/>
      <c r="H908" s="194" t="n"/>
      <c r="I908" s="180" t="n"/>
      <c r="J908" s="194" t="n"/>
      <c r="K908" s="182" t="n"/>
      <c r="L908" s="182" t="n"/>
      <c r="M908" s="278" t="n"/>
      <c r="N908" s="181" t="n"/>
      <c r="O908" s="181" t="n"/>
      <c r="P908" s="194" t="n"/>
      <c r="Q908" s="180" t="n"/>
      <c r="R908" s="180" t="n"/>
      <c r="S908" s="182" t="n"/>
      <c r="T908" s="57" t="n"/>
      <c r="U908" s="529" t="n"/>
      <c r="V908" s="55" t="n"/>
    </row>
    <row r="909" ht="21.5" customHeight="1" s="344">
      <c r="A909" s="180" t="n"/>
      <c r="B909" s="182" t="n"/>
      <c r="C909" s="278" t="n"/>
      <c r="D909" s="181" t="n"/>
      <c r="E909" s="182" t="n"/>
      <c r="F909" s="278" t="n"/>
      <c r="G909" s="182" t="n"/>
      <c r="H909" s="194" t="n"/>
      <c r="I909" s="180" t="n"/>
      <c r="J909" s="194" t="n"/>
      <c r="K909" s="182" t="n"/>
      <c r="L909" s="182" t="n"/>
      <c r="M909" s="278" t="n"/>
      <c r="N909" s="181" t="n"/>
      <c r="O909" s="181" t="n"/>
      <c r="P909" s="194" t="n"/>
      <c r="Q909" s="180" t="n"/>
      <c r="R909" s="180" t="n"/>
      <c r="S909" s="182" t="n"/>
      <c r="T909" s="57" t="n"/>
      <c r="U909" s="529" t="n"/>
      <c r="V909" s="55" t="n"/>
    </row>
    <row r="910" ht="21.5" customHeight="1" s="344">
      <c r="A910" s="180" t="n"/>
      <c r="B910" s="182" t="n"/>
      <c r="C910" s="278" t="n"/>
      <c r="D910" s="181" t="n"/>
      <c r="E910" s="182" t="n"/>
      <c r="F910" s="278" t="n"/>
      <c r="G910" s="182" t="n"/>
      <c r="H910" s="194" t="n"/>
      <c r="I910" s="180" t="n"/>
      <c r="J910" s="194" t="n"/>
      <c r="K910" s="182" t="n"/>
      <c r="L910" s="182" t="n"/>
      <c r="M910" s="278" t="n"/>
      <c r="N910" s="181" t="n"/>
      <c r="O910" s="181" t="n"/>
      <c r="P910" s="194" t="n"/>
      <c r="Q910" s="180" t="n"/>
      <c r="R910" s="180" t="n"/>
      <c r="S910" s="182" t="n"/>
      <c r="T910" s="57" t="n"/>
      <c r="U910" s="529" t="n"/>
      <c r="V910" s="55" t="n"/>
    </row>
    <row r="911" ht="21.5" customHeight="1" s="344">
      <c r="A911" s="180" t="n"/>
      <c r="B911" s="182" t="n"/>
      <c r="C911" s="278" t="n"/>
      <c r="D911" s="181" t="n"/>
      <c r="E911" s="182" t="n"/>
      <c r="F911" s="278" t="n"/>
      <c r="G911" s="182" t="n"/>
      <c r="H911" s="194" t="n"/>
      <c r="I911" s="180" t="n"/>
      <c r="J911" s="194" t="n"/>
      <c r="K911" s="182" t="n"/>
      <c r="L911" s="182" t="n"/>
      <c r="M911" s="278" t="n"/>
      <c r="N911" s="181" t="n"/>
      <c r="O911" s="181" t="n"/>
      <c r="P911" s="194" t="n"/>
      <c r="Q911" s="180" t="n"/>
      <c r="R911" s="180" t="n"/>
      <c r="S911" s="182" t="n"/>
      <c r="T911" s="57" t="n"/>
      <c r="U911" s="529" t="n"/>
      <c r="V911" s="55" t="n"/>
    </row>
    <row r="912" ht="21.5" customHeight="1" s="344">
      <c r="A912" s="180" t="n"/>
      <c r="B912" s="182" t="n"/>
      <c r="C912" s="278" t="n"/>
      <c r="D912" s="181" t="n"/>
      <c r="E912" s="182" t="n"/>
      <c r="F912" s="278" t="n"/>
      <c r="G912" s="182" t="n"/>
      <c r="H912" s="194" t="n"/>
      <c r="I912" s="180" t="n"/>
      <c r="J912" s="194" t="n"/>
      <c r="K912" s="182" t="n"/>
      <c r="L912" s="182" t="n"/>
      <c r="M912" s="278" t="n"/>
      <c r="N912" s="181" t="n"/>
      <c r="O912" s="181" t="n"/>
      <c r="P912" s="194" t="n"/>
      <c r="Q912" s="180" t="n"/>
      <c r="R912" s="180" t="n"/>
      <c r="S912" s="182" t="n"/>
      <c r="T912" s="57" t="n"/>
      <c r="U912" s="529" t="n"/>
      <c r="V912" s="55" t="n"/>
    </row>
    <row r="913" ht="21.5" customHeight="1" s="344">
      <c r="A913" s="180" t="n"/>
      <c r="B913" s="182" t="n"/>
      <c r="C913" s="278" t="n"/>
      <c r="D913" s="181" t="n"/>
      <c r="E913" s="182" t="n"/>
      <c r="F913" s="278" t="n"/>
      <c r="G913" s="182" t="n"/>
      <c r="H913" s="194" t="n"/>
      <c r="I913" s="180" t="n"/>
      <c r="J913" s="194" t="n"/>
      <c r="K913" s="182" t="n"/>
      <c r="L913" s="182" t="n"/>
      <c r="M913" s="278" t="n"/>
      <c r="N913" s="181" t="n"/>
      <c r="O913" s="181" t="n"/>
      <c r="P913" s="194" t="n"/>
      <c r="Q913" s="180" t="n"/>
      <c r="R913" s="180" t="n"/>
      <c r="S913" s="182" t="n"/>
      <c r="T913" s="57" t="n"/>
      <c r="U913" s="529" t="n"/>
      <c r="V913" s="55" t="n"/>
    </row>
    <row r="914" ht="21.5" customHeight="1" s="344">
      <c r="A914" s="180" t="n"/>
      <c r="B914" s="182" t="n"/>
      <c r="C914" s="278" t="n"/>
      <c r="D914" s="181" t="n"/>
      <c r="E914" s="182" t="n"/>
      <c r="F914" s="278" t="n"/>
      <c r="G914" s="182" t="n"/>
      <c r="H914" s="194" t="n"/>
      <c r="I914" s="180" t="n"/>
      <c r="J914" s="194" t="n"/>
      <c r="K914" s="182" t="n"/>
      <c r="L914" s="182" t="n"/>
      <c r="M914" s="278" t="n"/>
      <c r="N914" s="181" t="n"/>
      <c r="O914" s="181" t="n"/>
      <c r="P914" s="194" t="n"/>
      <c r="Q914" s="180" t="n"/>
      <c r="R914" s="180" t="n"/>
      <c r="S914" s="182" t="n"/>
      <c r="T914" s="57" t="n"/>
      <c r="U914" s="529" t="n"/>
      <c r="V914" s="55" t="n"/>
    </row>
    <row r="915" ht="21.5" customHeight="1" s="344">
      <c r="A915" s="180" t="n"/>
      <c r="B915" s="182" t="n"/>
      <c r="C915" s="278" t="n"/>
      <c r="D915" s="181" t="n"/>
      <c r="E915" s="182" t="n"/>
      <c r="F915" s="278" t="n"/>
      <c r="G915" s="182" t="n"/>
      <c r="H915" s="194" t="n"/>
      <c r="I915" s="180" t="n"/>
      <c r="J915" s="194" t="n"/>
      <c r="K915" s="182" t="n"/>
      <c r="L915" s="182" t="n"/>
      <c r="M915" s="278" t="n"/>
      <c r="N915" s="181" t="n"/>
      <c r="O915" s="181" t="n"/>
      <c r="P915" s="194" t="n"/>
      <c r="Q915" s="180" t="n"/>
      <c r="R915" s="180" t="n"/>
      <c r="S915" s="182" t="n"/>
      <c r="T915" s="57" t="n"/>
      <c r="U915" s="529" t="n"/>
      <c r="V915" s="55" t="n"/>
    </row>
    <row r="916" ht="21.5" customHeight="1" s="344">
      <c r="A916" s="180" t="n"/>
      <c r="B916" s="182" t="n"/>
      <c r="C916" s="278" t="n"/>
      <c r="D916" s="181" t="n"/>
      <c r="E916" s="182" t="n"/>
      <c r="F916" s="278" t="n"/>
      <c r="G916" s="182" t="n"/>
      <c r="H916" s="194" t="n"/>
      <c r="I916" s="180" t="n"/>
      <c r="J916" s="194" t="n"/>
      <c r="K916" s="182" t="n"/>
      <c r="L916" s="182" t="n"/>
      <c r="M916" s="278" t="n"/>
      <c r="N916" s="181" t="n"/>
      <c r="O916" s="181" t="n"/>
      <c r="P916" s="194" t="n"/>
      <c r="Q916" s="180" t="n"/>
      <c r="R916" s="180" t="n"/>
      <c r="S916" s="182" t="n"/>
      <c r="T916" s="57" t="n"/>
      <c r="U916" s="529" t="n"/>
      <c r="V916" s="55" t="n"/>
    </row>
    <row r="917" ht="21.5" customHeight="1" s="344">
      <c r="A917" s="180" t="n"/>
      <c r="B917" s="182" t="n"/>
      <c r="C917" s="278" t="n"/>
      <c r="D917" s="181" t="n"/>
      <c r="E917" s="182" t="n"/>
      <c r="F917" s="278" t="n"/>
      <c r="G917" s="182" t="n"/>
      <c r="H917" s="194" t="n"/>
      <c r="I917" s="180" t="n"/>
      <c r="J917" s="194" t="n"/>
      <c r="K917" s="182" t="n"/>
      <c r="L917" s="182" t="n"/>
      <c r="M917" s="278" t="n"/>
      <c r="N917" s="181" t="n"/>
      <c r="O917" s="181" t="n"/>
      <c r="P917" s="194" t="n"/>
      <c r="Q917" s="180" t="n"/>
      <c r="R917" s="180" t="n"/>
      <c r="S917" s="182" t="n"/>
      <c r="T917" s="57" t="n"/>
      <c r="U917" s="529" t="n"/>
      <c r="V917" s="55" t="n"/>
    </row>
    <row r="918" ht="21.5" customHeight="1" s="344">
      <c r="A918" s="180" t="n"/>
      <c r="B918" s="182" t="n"/>
      <c r="C918" s="278" t="n"/>
      <c r="D918" s="181" t="n"/>
      <c r="E918" s="182" t="n"/>
      <c r="F918" s="278" t="n"/>
      <c r="G918" s="182" t="n"/>
      <c r="H918" s="194" t="n"/>
      <c r="I918" s="180" t="n"/>
      <c r="J918" s="194" t="n"/>
      <c r="K918" s="182" t="n"/>
      <c r="L918" s="182" t="n"/>
      <c r="M918" s="278" t="n"/>
      <c r="N918" s="181" t="n"/>
      <c r="O918" s="181" t="n"/>
      <c r="P918" s="194" t="n"/>
      <c r="Q918" s="180" t="n"/>
      <c r="R918" s="180" t="n"/>
      <c r="S918" s="182" t="n"/>
      <c r="T918" s="57" t="n"/>
      <c r="U918" s="529" t="n"/>
      <c r="V918" s="55" t="n"/>
    </row>
    <row r="919" ht="21.5" customHeight="1" s="344">
      <c r="A919" s="180" t="n"/>
      <c r="B919" s="182" t="n"/>
      <c r="C919" s="278" t="n"/>
      <c r="D919" s="181" t="n"/>
      <c r="E919" s="182" t="n"/>
      <c r="F919" s="278" t="n"/>
      <c r="G919" s="182" t="n"/>
      <c r="H919" s="194" t="n"/>
      <c r="I919" s="180" t="n"/>
      <c r="J919" s="194" t="n"/>
      <c r="K919" s="182" t="n"/>
      <c r="L919" s="182" t="n"/>
      <c r="M919" s="278" t="n"/>
      <c r="N919" s="181" t="n"/>
      <c r="O919" s="181" t="n"/>
      <c r="P919" s="194" t="n"/>
      <c r="Q919" s="180" t="n"/>
      <c r="R919" s="180" t="n"/>
      <c r="S919" s="182" t="n"/>
      <c r="T919" s="57" t="n"/>
      <c r="U919" s="529" t="n"/>
      <c r="V919" s="55" t="n"/>
    </row>
    <row r="920" ht="21.5" customHeight="1" s="344">
      <c r="A920" s="180" t="n"/>
      <c r="B920" s="182" t="n"/>
      <c r="C920" s="278" t="n"/>
      <c r="D920" s="181" t="n"/>
      <c r="E920" s="182" t="n"/>
      <c r="F920" s="278" t="n"/>
      <c r="G920" s="182" t="n"/>
      <c r="H920" s="194" t="n"/>
      <c r="I920" s="180" t="n"/>
      <c r="J920" s="194" t="n"/>
      <c r="K920" s="182" t="n"/>
      <c r="L920" s="182" t="n"/>
      <c r="M920" s="278" t="n"/>
      <c r="N920" s="181" t="n"/>
      <c r="O920" s="181" t="n"/>
      <c r="P920" s="194" t="n"/>
      <c r="Q920" s="180" t="n"/>
      <c r="R920" s="180" t="n"/>
      <c r="S920" s="182" t="n"/>
      <c r="T920" s="57" t="n"/>
      <c r="U920" s="529" t="n"/>
      <c r="V920" s="55" t="n"/>
    </row>
    <row r="921" ht="21.5" customHeight="1" s="344">
      <c r="A921" s="180" t="n"/>
      <c r="B921" s="182" t="n"/>
      <c r="C921" s="278" t="n"/>
      <c r="D921" s="181" t="n"/>
      <c r="E921" s="182" t="n"/>
      <c r="F921" s="278" t="n"/>
      <c r="G921" s="182" t="n"/>
      <c r="H921" s="194" t="n"/>
      <c r="I921" s="180" t="n"/>
      <c r="J921" s="194" t="n"/>
      <c r="K921" s="182" t="n"/>
      <c r="L921" s="182" t="n"/>
      <c r="M921" s="278" t="n"/>
      <c r="N921" s="181" t="n"/>
      <c r="O921" s="181" t="n"/>
      <c r="P921" s="194" t="n"/>
      <c r="Q921" s="180" t="n"/>
      <c r="R921" s="180" t="n"/>
      <c r="S921" s="182" t="n"/>
      <c r="T921" s="57" t="n"/>
      <c r="U921" s="529" t="n"/>
      <c r="V921" s="55" t="n"/>
    </row>
    <row r="922" ht="21.5" customHeight="1" s="344">
      <c r="A922" s="180" t="n"/>
      <c r="B922" s="182" t="n"/>
      <c r="C922" s="278" t="n"/>
      <c r="D922" s="181" t="n"/>
      <c r="E922" s="182" t="n"/>
      <c r="F922" s="278" t="n"/>
      <c r="G922" s="182" t="n"/>
      <c r="H922" s="194" t="n"/>
      <c r="I922" s="180" t="n"/>
      <c r="J922" s="194" t="n"/>
      <c r="K922" s="182" t="n"/>
      <c r="L922" s="182" t="n"/>
      <c r="M922" s="278" t="n"/>
      <c r="N922" s="181" t="n"/>
      <c r="O922" s="181" t="n"/>
      <c r="P922" s="194" t="n"/>
      <c r="Q922" s="180" t="n"/>
      <c r="R922" s="180" t="n"/>
      <c r="S922" s="182" t="n"/>
      <c r="T922" s="57" t="n"/>
      <c r="U922" s="529" t="n"/>
      <c r="V922" s="55" t="n"/>
    </row>
    <row r="923" ht="21.5" customHeight="1" s="344">
      <c r="A923" s="180" t="n"/>
      <c r="B923" s="182" t="n"/>
      <c r="C923" s="278" t="n"/>
      <c r="D923" s="181" t="n"/>
      <c r="E923" s="182" t="n"/>
      <c r="F923" s="278" t="n"/>
      <c r="G923" s="182" t="n"/>
      <c r="H923" s="194" t="n"/>
      <c r="I923" s="180" t="n"/>
      <c r="J923" s="194" t="n"/>
      <c r="K923" s="182" t="n"/>
      <c r="L923" s="182" t="n"/>
      <c r="M923" s="278" t="n"/>
      <c r="N923" s="181" t="n"/>
      <c r="O923" s="181" t="n"/>
      <c r="P923" s="194" t="n"/>
      <c r="Q923" s="180" t="n"/>
      <c r="R923" s="180" t="n"/>
      <c r="S923" s="182" t="n"/>
      <c r="T923" s="57" t="n"/>
      <c r="U923" s="529" t="n"/>
      <c r="V923" s="55" t="n"/>
    </row>
    <row r="924" ht="21.5" customHeight="1" s="344">
      <c r="A924" s="180" t="n"/>
      <c r="B924" s="182" t="n"/>
      <c r="C924" s="278" t="n"/>
      <c r="D924" s="181" t="n"/>
      <c r="E924" s="182" t="n"/>
      <c r="F924" s="278" t="n"/>
      <c r="G924" s="182" t="n"/>
      <c r="H924" s="194" t="n"/>
      <c r="I924" s="180" t="n"/>
      <c r="J924" s="194" t="n"/>
      <c r="K924" s="182" t="n"/>
      <c r="L924" s="182" t="n"/>
      <c r="M924" s="278" t="n"/>
      <c r="N924" s="181" t="n"/>
      <c r="O924" s="181" t="n"/>
      <c r="P924" s="194" t="n"/>
      <c r="Q924" s="180" t="n"/>
      <c r="R924" s="180" t="n"/>
      <c r="S924" s="182" t="n"/>
      <c r="T924" s="57" t="n"/>
      <c r="U924" s="529" t="n"/>
      <c r="V924" s="55" t="n"/>
    </row>
    <row r="925" ht="21.5" customHeight="1" s="344">
      <c r="A925" s="180" t="n"/>
      <c r="B925" s="182" t="n"/>
      <c r="C925" s="278" t="n"/>
      <c r="D925" s="181" t="n"/>
      <c r="E925" s="182" t="n"/>
      <c r="F925" s="278" t="n"/>
      <c r="G925" s="182" t="n"/>
      <c r="H925" s="194" t="n"/>
      <c r="I925" s="180" t="n"/>
      <c r="J925" s="194" t="n"/>
      <c r="K925" s="182" t="n"/>
      <c r="L925" s="182" t="n"/>
      <c r="M925" s="278" t="n"/>
      <c r="N925" s="181" t="n"/>
      <c r="O925" s="181" t="n"/>
      <c r="P925" s="194" t="n"/>
      <c r="Q925" s="180" t="n"/>
      <c r="R925" s="180" t="n"/>
      <c r="S925" s="182" t="n"/>
      <c r="T925" s="57" t="n"/>
      <c r="U925" s="529" t="n"/>
      <c r="V925" s="55" t="n"/>
    </row>
    <row r="926" ht="21.5" customHeight="1" s="344">
      <c r="A926" s="180" t="n"/>
      <c r="B926" s="182" t="n"/>
      <c r="C926" s="278" t="n"/>
      <c r="D926" s="181" t="n"/>
      <c r="E926" s="182" t="n"/>
      <c r="F926" s="278" t="n"/>
      <c r="G926" s="182" t="n"/>
      <c r="H926" s="194" t="n"/>
      <c r="I926" s="180" t="n"/>
      <c r="J926" s="194" t="n"/>
      <c r="K926" s="182" t="n"/>
      <c r="L926" s="182" t="n"/>
      <c r="M926" s="278" t="n"/>
      <c r="N926" s="181" t="n"/>
      <c r="O926" s="181" t="n"/>
      <c r="P926" s="194" t="n"/>
      <c r="Q926" s="180" t="n"/>
      <c r="R926" s="180" t="n"/>
      <c r="S926" s="182" t="n"/>
      <c r="T926" s="57" t="n"/>
      <c r="U926" s="529" t="n"/>
      <c r="V926" s="55" t="n"/>
    </row>
    <row r="927" ht="21.5" customHeight="1" s="344">
      <c r="A927" s="180" t="n"/>
      <c r="B927" s="182" t="n"/>
      <c r="C927" s="278" t="n"/>
      <c r="D927" s="181" t="n"/>
      <c r="E927" s="182" t="n"/>
      <c r="F927" s="278" t="n"/>
      <c r="G927" s="182" t="n"/>
      <c r="H927" s="194" t="n"/>
      <c r="I927" s="180" t="n"/>
      <c r="J927" s="194" t="n"/>
      <c r="K927" s="182" t="n"/>
      <c r="L927" s="182" t="n"/>
      <c r="M927" s="278" t="n"/>
      <c r="N927" s="181" t="n"/>
      <c r="O927" s="181" t="n"/>
      <c r="P927" s="194" t="n"/>
      <c r="Q927" s="180" t="n"/>
      <c r="R927" s="180" t="n"/>
      <c r="S927" s="182" t="n"/>
      <c r="T927" s="57" t="n"/>
      <c r="U927" s="529" t="n"/>
      <c r="V927" s="55" t="n"/>
    </row>
    <row r="928" ht="21.5" customHeight="1" s="344">
      <c r="A928" s="180" t="n"/>
      <c r="B928" s="182" t="n"/>
      <c r="C928" s="278" t="n"/>
      <c r="D928" s="181" t="n"/>
      <c r="E928" s="182" t="n"/>
      <c r="F928" s="278" t="n"/>
      <c r="G928" s="182" t="n"/>
      <c r="H928" s="194" t="n"/>
      <c r="I928" s="180" t="n"/>
      <c r="J928" s="194" t="n"/>
      <c r="K928" s="182" t="n"/>
      <c r="L928" s="182" t="n"/>
      <c r="M928" s="278" t="n"/>
      <c r="N928" s="181" t="n"/>
      <c r="O928" s="181" t="n"/>
      <c r="P928" s="194" t="n"/>
      <c r="Q928" s="180" t="n"/>
      <c r="R928" s="180" t="n"/>
      <c r="S928" s="182" t="n"/>
      <c r="T928" s="57" t="n"/>
      <c r="U928" s="529" t="n"/>
      <c r="V928" s="55" t="n"/>
    </row>
    <row r="929" ht="21.5" customHeight="1" s="344">
      <c r="A929" s="180" t="n"/>
      <c r="B929" s="182" t="n"/>
      <c r="C929" s="278" t="n"/>
      <c r="D929" s="181" t="n"/>
      <c r="E929" s="182" t="n"/>
      <c r="F929" s="278" t="n"/>
      <c r="G929" s="182" t="n"/>
      <c r="H929" s="194" t="n"/>
      <c r="I929" s="180" t="n"/>
      <c r="J929" s="194" t="n"/>
      <c r="K929" s="182" t="n"/>
      <c r="L929" s="182" t="n"/>
      <c r="M929" s="278" t="n"/>
      <c r="N929" s="181" t="n"/>
      <c r="O929" s="181" t="n"/>
      <c r="P929" s="194" t="n"/>
      <c r="Q929" s="180" t="n"/>
      <c r="R929" s="180" t="n"/>
      <c r="S929" s="182" t="n"/>
      <c r="T929" s="57" t="n"/>
      <c r="U929" s="529" t="n"/>
      <c r="V929" s="55" t="n"/>
    </row>
    <row r="930" ht="21.5" customHeight="1" s="344">
      <c r="A930" s="180" t="n"/>
      <c r="B930" s="182" t="n"/>
      <c r="C930" s="278" t="n"/>
      <c r="D930" s="181" t="n"/>
      <c r="E930" s="182" t="n"/>
      <c r="F930" s="278" t="n"/>
      <c r="G930" s="182" t="n"/>
      <c r="H930" s="194" t="n"/>
      <c r="I930" s="180" t="n"/>
      <c r="J930" s="194" t="n"/>
      <c r="K930" s="182" t="n"/>
      <c r="L930" s="182" t="n"/>
      <c r="M930" s="278" t="n"/>
      <c r="N930" s="181" t="n"/>
      <c r="O930" s="181" t="n"/>
      <c r="P930" s="194" t="n"/>
      <c r="Q930" s="180" t="n"/>
      <c r="R930" s="180" t="n"/>
      <c r="S930" s="182" t="n"/>
      <c r="T930" s="57" t="n"/>
      <c r="U930" s="529" t="n"/>
      <c r="V930" s="55" t="n"/>
    </row>
    <row r="931" ht="21.5" customHeight="1" s="344">
      <c r="A931" s="180" t="n"/>
      <c r="B931" s="182" t="n"/>
      <c r="C931" s="278" t="n"/>
      <c r="D931" s="181" t="n"/>
      <c r="E931" s="182" t="n"/>
      <c r="F931" s="278" t="n"/>
      <c r="G931" s="182" t="n"/>
      <c r="H931" s="194" t="n"/>
      <c r="I931" s="180" t="n"/>
      <c r="J931" s="194" t="n"/>
      <c r="K931" s="182" t="n"/>
      <c r="L931" s="182" t="n"/>
      <c r="M931" s="278" t="n"/>
      <c r="N931" s="181" t="n"/>
      <c r="O931" s="181" t="n"/>
      <c r="P931" s="194" t="n"/>
      <c r="Q931" s="180" t="n"/>
      <c r="R931" s="180" t="n"/>
      <c r="S931" s="182" t="n"/>
      <c r="T931" s="57" t="n"/>
      <c r="U931" s="529" t="n"/>
      <c r="V931" s="55" t="n"/>
    </row>
    <row r="932" ht="21.5" customHeight="1" s="344">
      <c r="A932" s="180" t="n"/>
      <c r="B932" s="182" t="n"/>
      <c r="C932" s="278" t="n"/>
      <c r="D932" s="181" t="n"/>
      <c r="E932" s="182" t="n"/>
      <c r="F932" s="278" t="n"/>
      <c r="G932" s="182" t="n"/>
      <c r="H932" s="194" t="n"/>
      <c r="I932" s="180" t="n"/>
      <c r="J932" s="194" t="n"/>
      <c r="K932" s="182" t="n"/>
      <c r="L932" s="182" t="n"/>
      <c r="M932" s="278" t="n"/>
      <c r="N932" s="181" t="n"/>
      <c r="O932" s="181" t="n"/>
      <c r="P932" s="194" t="n"/>
      <c r="Q932" s="180" t="n"/>
      <c r="R932" s="180" t="n"/>
      <c r="S932" s="182" t="n"/>
      <c r="T932" s="57" t="n"/>
      <c r="U932" s="529" t="n"/>
      <c r="V932" s="55" t="n"/>
    </row>
    <row r="933" ht="14.5" customHeight="1" s="344">
      <c r="A933" s="180" t="n"/>
      <c r="B933" s="182" t="n"/>
      <c r="C933" s="278" t="n"/>
      <c r="D933" s="181" t="n"/>
      <c r="E933" s="182" t="n"/>
      <c r="F933" s="278" t="n"/>
      <c r="G933" s="182" t="n"/>
      <c r="H933" s="194" t="n"/>
      <c r="I933" s="180" t="n"/>
      <c r="J933" s="194" t="n"/>
      <c r="K933" s="182" t="n"/>
      <c r="L933" s="182" t="n"/>
      <c r="M933" s="278" t="n"/>
      <c r="N933" s="181" t="n"/>
      <c r="O933" s="181" t="n"/>
      <c r="P933" s="194" t="n"/>
      <c r="Q933" s="180" t="n"/>
      <c r="R933" s="180" t="n"/>
      <c r="S933" s="182" t="n"/>
      <c r="T933" s="57" t="n"/>
      <c r="U933" s="529" t="n"/>
      <c r="V933" s="55" t="n"/>
    </row>
    <row r="934" ht="31.5" customHeight="1" s="344">
      <c r="A934" s="180" t="n"/>
      <c r="B934" s="182" t="n"/>
      <c r="C934" s="278" t="n"/>
      <c r="D934" s="181" t="n"/>
      <c r="E934" s="182" t="n"/>
      <c r="F934" s="278" t="n"/>
      <c r="G934" s="182" t="n"/>
      <c r="H934" s="194" t="n"/>
      <c r="I934" s="180" t="n"/>
      <c r="J934" s="194" t="n"/>
      <c r="K934" s="182" t="n"/>
      <c r="L934" s="182" t="n"/>
      <c r="M934" s="278" t="n"/>
      <c r="N934" s="181" t="n"/>
      <c r="O934" s="181" t="n"/>
      <c r="P934" s="194" t="n"/>
      <c r="Q934" s="180" t="n"/>
      <c r="R934" s="180" t="n"/>
      <c r="S934" s="182" t="n"/>
      <c r="T934" s="57" t="n"/>
      <c r="U934" s="529" t="n"/>
      <c r="V934" s="55" t="n"/>
    </row>
    <row r="935" ht="31.5" customHeight="1" s="344">
      <c r="A935" s="180" t="n"/>
      <c r="B935" s="182" t="n"/>
      <c r="C935" s="278" t="n"/>
      <c r="D935" s="181" t="n"/>
      <c r="E935" s="182" t="n"/>
      <c r="F935" s="278" t="n"/>
      <c r="G935" s="182" t="n"/>
      <c r="H935" s="194" t="n"/>
      <c r="I935" s="180" t="n"/>
      <c r="J935" s="194" t="n"/>
      <c r="K935" s="182" t="n"/>
      <c r="L935" s="182" t="n"/>
      <c r="M935" s="278" t="n"/>
      <c r="N935" s="181" t="n"/>
      <c r="O935" s="181" t="n"/>
      <c r="P935" s="194" t="n"/>
      <c r="Q935" s="180" t="n"/>
      <c r="R935" s="180" t="n"/>
      <c r="S935" s="182" t="n"/>
      <c r="T935" s="57" t="n"/>
      <c r="U935" s="529" t="n"/>
      <c r="V935" s="55" t="n"/>
    </row>
    <row r="936" ht="31.5" customHeight="1" s="344">
      <c r="A936" s="180" t="n"/>
      <c r="B936" s="182" t="n"/>
      <c r="C936" s="278" t="n"/>
      <c r="D936" s="181" t="n"/>
      <c r="E936" s="182" t="n"/>
      <c r="F936" s="278" t="n"/>
      <c r="G936" s="182" t="n"/>
      <c r="H936" s="194" t="n"/>
      <c r="I936" s="180" t="n"/>
      <c r="J936" s="194" t="n"/>
      <c r="K936" s="182" t="n"/>
      <c r="L936" s="182" t="n"/>
      <c r="M936" s="278" t="n"/>
      <c r="N936" s="181" t="n"/>
      <c r="O936" s="181" t="n"/>
      <c r="P936" s="194" t="n"/>
      <c r="Q936" s="180" t="n"/>
      <c r="R936" s="180" t="n"/>
      <c r="S936" s="182" t="n"/>
      <c r="T936" s="57" t="n"/>
      <c r="U936" s="529" t="n"/>
      <c r="V936" s="55" t="n"/>
    </row>
    <row r="937" ht="31.5" customHeight="1" s="344">
      <c r="A937" s="180" t="n"/>
      <c r="B937" s="182" t="n"/>
      <c r="C937" s="278" t="n"/>
      <c r="D937" s="181" t="n"/>
      <c r="E937" s="182" t="n"/>
      <c r="F937" s="278" t="n"/>
      <c r="G937" s="182" t="n"/>
      <c r="H937" s="194" t="n"/>
      <c r="I937" s="180" t="n"/>
      <c r="J937" s="194" t="n"/>
      <c r="K937" s="182" t="n"/>
      <c r="L937" s="182" t="n"/>
      <c r="M937" s="278" t="n"/>
      <c r="N937" s="181" t="n"/>
      <c r="O937" s="181" t="n"/>
      <c r="P937" s="194" t="n"/>
      <c r="Q937" s="180" t="n"/>
      <c r="R937" s="180" t="n"/>
      <c r="S937" s="182" t="n"/>
      <c r="T937" s="57" t="n"/>
      <c r="U937" s="529" t="n"/>
      <c r="V937" s="55" t="n"/>
    </row>
    <row r="938" ht="31.5" customHeight="1" s="344">
      <c r="A938" s="180" t="n"/>
      <c r="B938" s="182" t="n"/>
      <c r="C938" s="278" t="n"/>
      <c r="D938" s="181" t="n"/>
      <c r="E938" s="182" t="n"/>
      <c r="F938" s="278" t="n"/>
      <c r="G938" s="182" t="n"/>
      <c r="H938" s="194" t="n"/>
      <c r="I938" s="180" t="n"/>
      <c r="J938" s="194" t="n"/>
      <c r="K938" s="182" t="n"/>
      <c r="L938" s="182" t="n"/>
      <c r="M938" s="278" t="n"/>
      <c r="N938" s="181" t="n"/>
      <c r="O938" s="181" t="n"/>
      <c r="P938" s="194" t="n"/>
      <c r="Q938" s="180" t="n"/>
      <c r="R938" s="180" t="n"/>
      <c r="S938" s="182" t="n"/>
      <c r="T938" s="57" t="n"/>
      <c r="U938" s="529" t="n"/>
      <c r="V938" s="55" t="n"/>
    </row>
    <row r="939" ht="31.5" customHeight="1" s="344">
      <c r="A939" s="180" t="n"/>
      <c r="B939" s="182" t="n"/>
      <c r="C939" s="278" t="n"/>
      <c r="D939" s="181" t="n"/>
      <c r="E939" s="182" t="n"/>
      <c r="F939" s="278" t="n"/>
      <c r="G939" s="182" t="n"/>
      <c r="H939" s="194" t="n"/>
      <c r="I939" s="180" t="n"/>
      <c r="J939" s="194" t="n"/>
      <c r="K939" s="182" t="n"/>
      <c r="L939" s="182" t="n"/>
      <c r="M939" s="278" t="n"/>
      <c r="N939" s="181" t="n"/>
      <c r="O939" s="181" t="n"/>
      <c r="P939" s="194" t="n"/>
      <c r="Q939" s="180" t="n"/>
      <c r="R939" s="180" t="n"/>
      <c r="S939" s="182" t="n"/>
      <c r="T939" s="57" t="n"/>
      <c r="U939" s="529" t="n"/>
      <c r="V939" s="55" t="n"/>
    </row>
    <row r="940" ht="31.5" customHeight="1" s="344">
      <c r="A940" s="180" t="n"/>
      <c r="B940" s="182" t="n"/>
      <c r="C940" s="278" t="n"/>
      <c r="D940" s="181" t="n"/>
      <c r="E940" s="182" t="n"/>
      <c r="F940" s="278" t="n"/>
      <c r="G940" s="182" t="n"/>
      <c r="H940" s="194" t="n"/>
      <c r="I940" s="180" t="n"/>
      <c r="J940" s="194" t="n"/>
      <c r="K940" s="182" t="n"/>
      <c r="L940" s="182" t="n"/>
      <c r="M940" s="278" t="n"/>
      <c r="N940" s="181" t="n"/>
      <c r="O940" s="181" t="n"/>
      <c r="P940" s="194" t="n"/>
      <c r="Q940" s="180" t="n"/>
      <c r="R940" s="180" t="n"/>
      <c r="S940" s="182" t="n"/>
      <c r="T940" s="57" t="n"/>
      <c r="U940" s="529" t="n"/>
      <c r="V940" s="55" t="n"/>
    </row>
    <row r="941" ht="31.5" customHeight="1" s="344">
      <c r="A941" s="180" t="n"/>
      <c r="B941" s="182" t="n"/>
      <c r="C941" s="278" t="n"/>
      <c r="D941" s="181" t="n"/>
      <c r="E941" s="182" t="n"/>
      <c r="F941" s="278" t="n"/>
      <c r="G941" s="182" t="n"/>
      <c r="H941" s="194" t="n"/>
      <c r="I941" s="180" t="n"/>
      <c r="J941" s="194" t="n"/>
      <c r="K941" s="182" t="n"/>
      <c r="L941" s="182" t="n"/>
      <c r="M941" s="278" t="n"/>
      <c r="N941" s="181" t="n"/>
      <c r="O941" s="181" t="n"/>
      <c r="P941" s="194" t="n"/>
      <c r="Q941" s="180" t="n"/>
      <c r="R941" s="180" t="n"/>
      <c r="S941" s="182" t="n"/>
      <c r="T941" s="57" t="n"/>
      <c r="U941" s="529" t="n"/>
      <c r="V941" s="55" t="n"/>
    </row>
    <row r="942" ht="21.5" customHeight="1" s="344">
      <c r="A942" s="180" t="n"/>
      <c r="B942" s="182" t="n"/>
      <c r="C942" s="278" t="n"/>
      <c r="D942" s="181" t="n"/>
      <c r="E942" s="182" t="n"/>
      <c r="F942" s="278" t="n"/>
      <c r="G942" s="182" t="n"/>
      <c r="H942" s="194" t="n"/>
      <c r="I942" s="180" t="n"/>
      <c r="J942" s="194" t="n"/>
      <c r="K942" s="182" t="n"/>
      <c r="L942" s="182" t="n"/>
      <c r="M942" s="278" t="n"/>
      <c r="N942" s="181" t="n"/>
      <c r="O942" s="181" t="n"/>
      <c r="P942" s="194" t="n"/>
      <c r="Q942" s="180" t="n"/>
      <c r="R942" s="180" t="n"/>
      <c r="S942" s="182" t="n"/>
      <c r="T942" s="57" t="n"/>
      <c r="U942" s="529" t="n"/>
      <c r="V942" s="55" t="n"/>
    </row>
    <row r="943" ht="31.5" customHeight="1" s="344">
      <c r="A943" s="180" t="n"/>
      <c r="B943" s="182" t="n"/>
      <c r="C943" s="278" t="n"/>
      <c r="D943" s="181" t="n"/>
      <c r="E943" s="182" t="n"/>
      <c r="F943" s="278" t="n"/>
      <c r="G943" s="182" t="n"/>
      <c r="H943" s="194" t="n"/>
      <c r="I943" s="180" t="n"/>
      <c r="J943" s="194" t="n"/>
      <c r="K943" s="182" t="n"/>
      <c r="L943" s="182" t="n"/>
      <c r="M943" s="278" t="n"/>
      <c r="N943" s="181" t="n"/>
      <c r="O943" s="181" t="n"/>
      <c r="P943" s="194" t="n"/>
      <c r="Q943" s="180" t="n"/>
      <c r="R943" s="180" t="n"/>
      <c r="S943" s="182" t="n"/>
      <c r="T943" s="57" t="n"/>
      <c r="U943" s="529" t="n"/>
      <c r="V943" s="55" t="n"/>
    </row>
    <row r="944" ht="31.5" customHeight="1" s="344">
      <c r="A944" s="180" t="n"/>
      <c r="B944" s="182" t="n"/>
      <c r="C944" s="278" t="n"/>
      <c r="D944" s="181" t="n"/>
      <c r="E944" s="182" t="n"/>
      <c r="F944" s="278" t="n"/>
      <c r="G944" s="182" t="n"/>
      <c r="H944" s="194" t="n"/>
      <c r="I944" s="180" t="n"/>
      <c r="J944" s="194" t="n"/>
      <c r="K944" s="182" t="n"/>
      <c r="L944" s="182" t="n"/>
      <c r="M944" s="278" t="n"/>
      <c r="N944" s="181" t="n"/>
      <c r="O944" s="181" t="n"/>
      <c r="P944" s="194" t="n"/>
      <c r="Q944" s="180" t="n"/>
      <c r="R944" s="180" t="n"/>
      <c r="S944" s="182" t="n"/>
      <c r="T944" s="57" t="n"/>
      <c r="U944" s="529" t="n"/>
      <c r="V944" s="55" t="n"/>
    </row>
    <row r="945" ht="31.5" customHeight="1" s="344">
      <c r="A945" s="180" t="n"/>
      <c r="B945" s="182" t="n"/>
      <c r="C945" s="278" t="n"/>
      <c r="D945" s="181" t="n"/>
      <c r="E945" s="182" t="n"/>
      <c r="F945" s="278" t="n"/>
      <c r="G945" s="182" t="n"/>
      <c r="H945" s="194" t="n"/>
      <c r="I945" s="180" t="n"/>
      <c r="J945" s="194" t="n"/>
      <c r="K945" s="182" t="n"/>
      <c r="L945" s="182" t="n"/>
      <c r="M945" s="278" t="n"/>
      <c r="N945" s="181" t="n"/>
      <c r="O945" s="181" t="n"/>
      <c r="P945" s="194" t="n"/>
      <c r="Q945" s="180" t="n"/>
      <c r="R945" s="180" t="n"/>
      <c r="S945" s="182" t="n"/>
      <c r="T945" s="57" t="n"/>
      <c r="U945" s="529" t="n"/>
      <c r="V945" s="55" t="n"/>
    </row>
    <row r="946" ht="31.5" customHeight="1" s="344">
      <c r="A946" s="180" t="n"/>
      <c r="B946" s="182" t="n"/>
      <c r="C946" s="278" t="n"/>
      <c r="D946" s="181" t="n"/>
      <c r="E946" s="182" t="n"/>
      <c r="F946" s="278" t="n"/>
      <c r="G946" s="182" t="n"/>
      <c r="H946" s="194" t="n"/>
      <c r="I946" s="180" t="n"/>
      <c r="J946" s="194" t="n"/>
      <c r="K946" s="182" t="n"/>
      <c r="L946" s="182" t="n"/>
      <c r="M946" s="278" t="n"/>
      <c r="N946" s="181" t="n"/>
      <c r="O946" s="181" t="n"/>
      <c r="P946" s="194" t="n"/>
      <c r="Q946" s="180" t="n"/>
      <c r="R946" s="180" t="n"/>
      <c r="S946" s="182" t="n"/>
      <c r="T946" s="57" t="n"/>
      <c r="U946" s="529" t="n"/>
      <c r="V946" s="55" t="n"/>
    </row>
    <row r="947" ht="31.5" customHeight="1" s="344">
      <c r="A947" s="180" t="n"/>
      <c r="B947" s="182" t="n"/>
      <c r="C947" s="278" t="n"/>
      <c r="D947" s="181" t="n"/>
      <c r="E947" s="182" t="n"/>
      <c r="F947" s="278" t="n"/>
      <c r="G947" s="182" t="n"/>
      <c r="H947" s="194" t="n"/>
      <c r="I947" s="180" t="n"/>
      <c r="J947" s="194" t="n"/>
      <c r="K947" s="182" t="n"/>
      <c r="L947" s="182" t="n"/>
      <c r="M947" s="278" t="n"/>
      <c r="N947" s="181" t="n"/>
      <c r="O947" s="181" t="n"/>
      <c r="P947" s="194" t="n"/>
      <c r="Q947" s="180" t="n"/>
      <c r="R947" s="180" t="n"/>
      <c r="S947" s="182" t="n"/>
      <c r="T947" s="57" t="n"/>
      <c r="U947" s="529" t="n"/>
      <c r="V947" s="55" t="n"/>
    </row>
    <row r="948" ht="31.5" customHeight="1" s="344">
      <c r="A948" s="180" t="n"/>
      <c r="B948" s="182" t="n"/>
      <c r="C948" s="278" t="n"/>
      <c r="D948" s="181" t="n"/>
      <c r="E948" s="182" t="n"/>
      <c r="F948" s="278" t="n"/>
      <c r="G948" s="182" t="n"/>
      <c r="H948" s="194" t="n"/>
      <c r="I948" s="180" t="n"/>
      <c r="J948" s="194" t="n"/>
      <c r="K948" s="182" t="n"/>
      <c r="L948" s="182" t="n"/>
      <c r="M948" s="278" t="n"/>
      <c r="N948" s="181" t="n"/>
      <c r="O948" s="181" t="n"/>
      <c r="P948" s="194" t="n"/>
      <c r="Q948" s="180" t="n"/>
      <c r="R948" s="180" t="n"/>
      <c r="S948" s="182" t="n"/>
      <c r="T948" s="57" t="n"/>
      <c r="U948" s="529" t="n"/>
      <c r="V948" s="55" t="n"/>
    </row>
    <row r="949" ht="31.5" customHeight="1" s="344">
      <c r="A949" s="180" t="n"/>
      <c r="B949" s="182" t="n"/>
      <c r="C949" s="278" t="n"/>
      <c r="D949" s="181" t="n"/>
      <c r="E949" s="182" t="n"/>
      <c r="F949" s="278" t="n"/>
      <c r="G949" s="182" t="n"/>
      <c r="H949" s="194" t="n"/>
      <c r="I949" s="180" t="n"/>
      <c r="J949" s="194" t="n"/>
      <c r="K949" s="182" t="n"/>
      <c r="L949" s="182" t="n"/>
      <c r="M949" s="278" t="n"/>
      <c r="N949" s="181" t="n"/>
      <c r="O949" s="181" t="n"/>
      <c r="P949" s="194" t="n"/>
      <c r="Q949" s="180" t="n"/>
      <c r="R949" s="180" t="n"/>
      <c r="S949" s="182" t="n"/>
      <c r="T949" s="57" t="n"/>
      <c r="U949" s="529" t="n"/>
      <c r="V949" s="55" t="n"/>
    </row>
    <row r="950" ht="31.5" customHeight="1" s="344">
      <c r="A950" s="180" t="n"/>
      <c r="B950" s="182" t="n"/>
      <c r="C950" s="278" t="n"/>
      <c r="D950" s="181" t="n"/>
      <c r="E950" s="182" t="n"/>
      <c r="F950" s="278" t="n"/>
      <c r="G950" s="182" t="n"/>
      <c r="H950" s="194" t="n"/>
      <c r="I950" s="180" t="n"/>
      <c r="J950" s="194" t="n"/>
      <c r="K950" s="182" t="n"/>
      <c r="L950" s="182" t="n"/>
      <c r="M950" s="278" t="n"/>
      <c r="N950" s="181" t="n"/>
      <c r="O950" s="181" t="n"/>
      <c r="P950" s="194" t="n"/>
      <c r="Q950" s="180" t="n"/>
      <c r="R950" s="180" t="n"/>
      <c r="S950" s="182" t="n"/>
      <c r="T950" s="57" t="n"/>
      <c r="U950" s="529" t="n"/>
      <c r="V950" s="55" t="n"/>
    </row>
    <row r="951" ht="31.5" customHeight="1" s="344">
      <c r="A951" s="180" t="n"/>
      <c r="B951" s="182" t="n"/>
      <c r="C951" s="278" t="n"/>
      <c r="D951" s="181" t="n"/>
      <c r="E951" s="182" t="n"/>
      <c r="F951" s="278" t="n"/>
      <c r="G951" s="182" t="n"/>
      <c r="H951" s="194" t="n"/>
      <c r="I951" s="180" t="n"/>
      <c r="J951" s="194" t="n"/>
      <c r="K951" s="182" t="n"/>
      <c r="L951" s="182" t="n"/>
      <c r="M951" s="278" t="n"/>
      <c r="N951" s="181" t="n"/>
      <c r="O951" s="181" t="n"/>
      <c r="P951" s="194" t="n"/>
      <c r="Q951" s="180" t="n"/>
      <c r="R951" s="180" t="n"/>
      <c r="S951" s="182" t="n"/>
      <c r="T951" s="57" t="n"/>
      <c r="U951" s="529" t="n"/>
      <c r="V951" s="55" t="n"/>
    </row>
    <row r="952" ht="31.5" customHeight="1" s="344">
      <c r="A952" s="180" t="n"/>
      <c r="B952" s="182" t="n"/>
      <c r="C952" s="278" t="n"/>
      <c r="D952" s="181" t="n"/>
      <c r="E952" s="182" t="n"/>
      <c r="F952" s="278" t="n"/>
      <c r="G952" s="182" t="n"/>
      <c r="H952" s="194" t="n"/>
      <c r="I952" s="180" t="n"/>
      <c r="J952" s="194" t="n"/>
      <c r="K952" s="182" t="n"/>
      <c r="L952" s="182" t="n"/>
      <c r="M952" s="278" t="n"/>
      <c r="N952" s="181" t="n"/>
      <c r="O952" s="181" t="n"/>
      <c r="P952" s="194" t="n"/>
      <c r="Q952" s="180" t="n"/>
      <c r="R952" s="180" t="n"/>
      <c r="S952" s="182" t="n"/>
      <c r="T952" s="57" t="n"/>
      <c r="U952" s="529" t="n"/>
      <c r="V952" s="55" t="n"/>
    </row>
    <row r="953" ht="31.5" customHeight="1" s="344">
      <c r="A953" s="180" t="n"/>
      <c r="B953" s="182" t="n"/>
      <c r="C953" s="278" t="n"/>
      <c r="D953" s="181" t="n"/>
      <c r="E953" s="182" t="n"/>
      <c r="F953" s="278" t="n"/>
      <c r="G953" s="182" t="n"/>
      <c r="H953" s="194" t="n"/>
      <c r="I953" s="180" t="n"/>
      <c r="J953" s="194" t="n"/>
      <c r="K953" s="182" t="n"/>
      <c r="L953" s="182" t="n"/>
      <c r="M953" s="278" t="n"/>
      <c r="N953" s="181" t="n"/>
      <c r="O953" s="181" t="n"/>
      <c r="P953" s="194" t="n"/>
      <c r="Q953" s="180" t="n"/>
      <c r="R953" s="180" t="n"/>
      <c r="S953" s="182" t="n"/>
      <c r="T953" s="57" t="n"/>
      <c r="U953" s="529" t="n"/>
      <c r="V953" s="55" t="n"/>
    </row>
    <row r="954" ht="31.5" customHeight="1" s="344">
      <c r="A954" s="180" t="n"/>
      <c r="B954" s="182" t="n"/>
      <c r="C954" s="278" t="n"/>
      <c r="D954" s="181" t="n"/>
      <c r="E954" s="182" t="n"/>
      <c r="F954" s="278" t="n"/>
      <c r="G954" s="182" t="n"/>
      <c r="H954" s="194" t="n"/>
      <c r="I954" s="180" t="n"/>
      <c r="J954" s="194" t="n"/>
      <c r="K954" s="182" t="n"/>
      <c r="L954" s="182" t="n"/>
      <c r="M954" s="278" t="n"/>
      <c r="N954" s="181" t="n"/>
      <c r="O954" s="181" t="n"/>
      <c r="P954" s="194" t="n"/>
      <c r="Q954" s="180" t="n"/>
      <c r="R954" s="180" t="n"/>
      <c r="S954" s="182" t="n"/>
      <c r="T954" s="57" t="n"/>
      <c r="U954" s="529" t="n"/>
      <c r="V954" s="55" t="n"/>
    </row>
    <row r="955" ht="31.5" customHeight="1" s="344">
      <c r="A955" s="180" t="n"/>
      <c r="B955" s="182" t="n"/>
      <c r="C955" s="278" t="n"/>
      <c r="D955" s="181" t="n"/>
      <c r="E955" s="182" t="n"/>
      <c r="F955" s="278" t="n"/>
      <c r="G955" s="182" t="n"/>
      <c r="H955" s="194" t="n"/>
      <c r="I955" s="180" t="n"/>
      <c r="J955" s="194" t="n"/>
      <c r="K955" s="182" t="n"/>
      <c r="L955" s="182" t="n"/>
      <c r="M955" s="278" t="n"/>
      <c r="N955" s="181" t="n"/>
      <c r="O955" s="181" t="n"/>
      <c r="P955" s="194" t="n"/>
      <c r="Q955" s="180" t="n"/>
      <c r="R955" s="180" t="n"/>
      <c r="S955" s="182" t="n"/>
      <c r="T955" s="57" t="n"/>
      <c r="U955" s="529" t="n"/>
      <c r="V955" s="55" t="n"/>
    </row>
    <row r="956" ht="31.5" customHeight="1" s="344">
      <c r="A956" s="180" t="n"/>
      <c r="B956" s="182" t="n"/>
      <c r="C956" s="278" t="n"/>
      <c r="D956" s="181" t="n"/>
      <c r="E956" s="182" t="n"/>
      <c r="F956" s="278" t="n"/>
      <c r="G956" s="182" t="n"/>
      <c r="H956" s="194" t="n"/>
      <c r="I956" s="180" t="n"/>
      <c r="J956" s="194" t="n"/>
      <c r="K956" s="182" t="n"/>
      <c r="L956" s="182" t="n"/>
      <c r="M956" s="278" t="n"/>
      <c r="N956" s="181" t="n"/>
      <c r="O956" s="181" t="n"/>
      <c r="P956" s="194" t="n"/>
      <c r="Q956" s="180" t="n"/>
      <c r="R956" s="180" t="n"/>
      <c r="S956" s="182" t="n"/>
      <c r="T956" s="57" t="n"/>
      <c r="U956" s="529" t="n"/>
      <c r="V956" s="55" t="n"/>
    </row>
    <row r="957" ht="21.5" customHeight="1" s="344">
      <c r="A957" s="180" t="n"/>
      <c r="B957" s="182" t="n"/>
      <c r="C957" s="278" t="n"/>
      <c r="D957" s="181" t="n"/>
      <c r="E957" s="182" t="n"/>
      <c r="F957" s="278" t="n"/>
      <c r="G957" s="182" t="n"/>
      <c r="H957" s="194" t="n"/>
      <c r="I957" s="180" t="n"/>
      <c r="J957" s="194" t="n"/>
      <c r="K957" s="182" t="n"/>
      <c r="L957" s="182" t="n"/>
      <c r="M957" s="278" t="n"/>
      <c r="N957" s="181" t="n"/>
      <c r="O957" s="181" t="n"/>
      <c r="P957" s="194" t="n"/>
      <c r="Q957" s="180" t="n"/>
      <c r="R957" s="180" t="n"/>
      <c r="S957" s="182" t="n"/>
      <c r="T957" s="57" t="n"/>
      <c r="U957" s="529" t="n"/>
      <c r="V957" s="55" t="n"/>
    </row>
    <row r="958" ht="14.5" customHeight="1" s="344">
      <c r="A958" s="180" t="n"/>
      <c r="B958" s="182" t="n"/>
      <c r="C958" s="278" t="n"/>
      <c r="D958" s="181" t="n"/>
      <c r="E958" s="182" t="n"/>
      <c r="F958" s="278" t="n"/>
      <c r="G958" s="182" t="n"/>
      <c r="H958" s="194" t="n"/>
      <c r="I958" s="180" t="n"/>
      <c r="J958" s="194" t="n"/>
      <c r="K958" s="182" t="n"/>
      <c r="L958" s="182" t="n"/>
      <c r="M958" s="278" t="n"/>
      <c r="N958" s="181" t="n"/>
      <c r="O958" s="181" t="n"/>
      <c r="P958" s="194" t="n"/>
      <c r="Q958" s="180" t="n"/>
      <c r="R958" s="180" t="n"/>
      <c r="S958" s="182" t="n"/>
      <c r="T958" s="57" t="n"/>
      <c r="U958" s="529" t="n"/>
      <c r="V958" s="55" t="n"/>
    </row>
    <row r="959" ht="14.5" customHeight="1" s="344">
      <c r="A959" s="180" t="n"/>
      <c r="B959" s="182" t="n"/>
      <c r="C959" s="278" t="n"/>
      <c r="D959" s="181" t="n"/>
      <c r="E959" s="182" t="n"/>
      <c r="F959" s="278" t="n"/>
      <c r="G959" s="182" t="n"/>
      <c r="H959" s="194" t="n"/>
      <c r="I959" s="180" t="n"/>
      <c r="J959" s="194" t="n"/>
      <c r="K959" s="182" t="n"/>
      <c r="L959" s="182" t="n"/>
      <c r="M959" s="278" t="n"/>
      <c r="N959" s="181" t="n"/>
      <c r="O959" s="181" t="n"/>
      <c r="P959" s="194" t="n"/>
      <c r="Q959" s="180" t="n"/>
      <c r="R959" s="180" t="n"/>
      <c r="S959" s="182" t="n"/>
      <c r="T959" s="57" t="n"/>
      <c r="U959" s="529" t="n"/>
      <c r="V959" s="55" t="n"/>
    </row>
    <row r="960" ht="21.5" customHeight="1" s="344">
      <c r="A960" s="180" t="n"/>
      <c r="B960" s="182" t="n"/>
      <c r="C960" s="278" t="n"/>
      <c r="D960" s="181" t="n"/>
      <c r="E960" s="182" t="n"/>
      <c r="F960" s="278" t="n"/>
      <c r="G960" s="182" t="n"/>
      <c r="H960" s="194" t="n"/>
      <c r="I960" s="180" t="n"/>
      <c r="J960" s="194" t="n"/>
      <c r="K960" s="182" t="n"/>
      <c r="L960" s="182" t="n"/>
      <c r="M960" s="278" t="n"/>
      <c r="N960" s="181" t="n"/>
      <c r="O960" s="181" t="n"/>
      <c r="P960" s="194" t="n"/>
      <c r="Q960" s="180" t="n"/>
      <c r="R960" s="180" t="n"/>
      <c r="S960" s="182" t="n"/>
      <c r="T960" s="57" t="n"/>
      <c r="U960" s="529" t="n"/>
      <c r="V960" s="55" t="n"/>
    </row>
    <row r="961" ht="14.5" customHeight="1" s="344">
      <c r="A961" s="180" t="n"/>
      <c r="B961" s="182" t="n"/>
      <c r="C961" s="278" t="n"/>
      <c r="D961" s="181" t="n"/>
      <c r="E961" s="182" t="n"/>
      <c r="F961" s="278" t="n"/>
      <c r="G961" s="182" t="n"/>
      <c r="H961" s="194" t="n"/>
      <c r="I961" s="180" t="n"/>
      <c r="J961" s="194" t="n"/>
      <c r="K961" s="182" t="n"/>
      <c r="L961" s="182" t="n"/>
      <c r="M961" s="278" t="n"/>
      <c r="N961" s="181" t="n"/>
      <c r="O961" s="181" t="n"/>
      <c r="P961" s="194" t="n"/>
      <c r="Q961" s="180" t="n"/>
      <c r="R961" s="180" t="n"/>
      <c r="S961" s="182" t="n"/>
      <c r="T961" s="57" t="n"/>
      <c r="U961" s="529" t="n"/>
      <c r="V961" s="55" t="n"/>
    </row>
    <row r="962" ht="14.5" customHeight="1" s="344">
      <c r="A962" s="180" t="n"/>
      <c r="B962" s="182" t="n"/>
      <c r="C962" s="278" t="n"/>
      <c r="D962" s="181" t="n"/>
      <c r="E962" s="182" t="n"/>
      <c r="F962" s="278" t="n"/>
      <c r="G962" s="182" t="n"/>
      <c r="H962" s="194" t="n"/>
      <c r="I962" s="180" t="n"/>
      <c r="J962" s="194" t="n"/>
      <c r="K962" s="182" t="n"/>
      <c r="L962" s="182" t="n"/>
      <c r="M962" s="278" t="n"/>
      <c r="N962" s="181" t="n"/>
      <c r="O962" s="181" t="n"/>
      <c r="P962" s="194" t="n"/>
      <c r="Q962" s="180" t="n"/>
      <c r="R962" s="180" t="n"/>
      <c r="S962" s="182" t="n"/>
      <c r="T962" s="57" t="n"/>
      <c r="U962" s="529" t="n"/>
      <c r="V962" s="55" t="n"/>
    </row>
    <row r="963" ht="21.5" customHeight="1" s="344">
      <c r="A963" s="180" t="n"/>
      <c r="B963" s="182" t="n"/>
      <c r="C963" s="278" t="n"/>
      <c r="D963" s="181" t="n"/>
      <c r="E963" s="182" t="n"/>
      <c r="F963" s="278" t="n"/>
      <c r="G963" s="182" t="n"/>
      <c r="H963" s="194" t="n"/>
      <c r="I963" s="180" t="n"/>
      <c r="J963" s="194" t="n"/>
      <c r="K963" s="182" t="n"/>
      <c r="L963" s="182" t="n"/>
      <c r="M963" s="278" t="n"/>
      <c r="N963" s="181" t="n"/>
      <c r="O963" s="181" t="n"/>
      <c r="P963" s="194" t="n"/>
      <c r="Q963" s="180" t="n"/>
      <c r="R963" s="180" t="n"/>
      <c r="S963" s="182" t="n"/>
      <c r="T963" s="57" t="n"/>
      <c r="U963" s="529" t="n"/>
      <c r="V963" s="55" t="n"/>
    </row>
    <row r="964" ht="31.5" customHeight="1" s="344">
      <c r="A964" s="180" t="n"/>
      <c r="B964" s="182" t="n"/>
      <c r="C964" s="278" t="n"/>
      <c r="D964" s="181" t="n"/>
      <c r="E964" s="182" t="n"/>
      <c r="F964" s="278" t="n"/>
      <c r="G964" s="182" t="n"/>
      <c r="H964" s="194" t="n"/>
      <c r="I964" s="180" t="n"/>
      <c r="J964" s="194" t="n"/>
      <c r="K964" s="182" t="n"/>
      <c r="L964" s="182" t="n"/>
      <c r="M964" s="278" t="n"/>
      <c r="N964" s="181" t="n"/>
      <c r="O964" s="181" t="n"/>
      <c r="P964" s="194" t="n"/>
      <c r="Q964" s="180" t="n"/>
      <c r="R964" s="180" t="n"/>
      <c r="S964" s="182" t="n"/>
      <c r="T964" s="57" t="n"/>
      <c r="U964" s="529" t="n"/>
      <c r="V964" s="55" t="n"/>
    </row>
    <row r="965" ht="31.5" customHeight="1" s="344">
      <c r="A965" s="180" t="n"/>
      <c r="B965" s="182" t="n"/>
      <c r="C965" s="278" t="n"/>
      <c r="D965" s="181" t="n"/>
      <c r="E965" s="182" t="n"/>
      <c r="F965" s="278" t="n"/>
      <c r="G965" s="182" t="n"/>
      <c r="H965" s="194" t="n"/>
      <c r="I965" s="180" t="n"/>
      <c r="J965" s="194" t="n"/>
      <c r="K965" s="182" t="n"/>
      <c r="L965" s="182" t="n"/>
      <c r="M965" s="278" t="n"/>
      <c r="N965" s="181" t="n"/>
      <c r="O965" s="181" t="n"/>
      <c r="P965" s="194" t="n"/>
      <c r="Q965" s="180" t="n"/>
      <c r="R965" s="180" t="n"/>
      <c r="S965" s="182" t="n"/>
      <c r="T965" s="57" t="n"/>
      <c r="U965" s="529" t="n"/>
      <c r="V965" s="55" t="n"/>
    </row>
    <row r="966" ht="31.5" customHeight="1" s="344">
      <c r="A966" s="180" t="n"/>
      <c r="B966" s="182" t="n"/>
      <c r="C966" s="278" t="n"/>
      <c r="D966" s="181" t="n"/>
      <c r="E966" s="182" t="n"/>
      <c r="F966" s="278" t="n"/>
      <c r="G966" s="182" t="n"/>
      <c r="H966" s="194" t="n"/>
      <c r="I966" s="180" t="n"/>
      <c r="J966" s="194" t="n"/>
      <c r="K966" s="182" t="n"/>
      <c r="L966" s="182" t="n"/>
      <c r="M966" s="278" t="n"/>
      <c r="N966" s="181" t="n"/>
      <c r="O966" s="181" t="n"/>
      <c r="P966" s="194" t="n"/>
      <c r="Q966" s="180" t="n"/>
      <c r="R966" s="180" t="n"/>
      <c r="S966" s="182" t="n"/>
      <c r="T966" s="57" t="n"/>
      <c r="U966" s="529" t="n"/>
      <c r="V966" s="55" t="n"/>
    </row>
    <row r="967" ht="31.5" customHeight="1" s="344">
      <c r="A967" s="180" t="n"/>
      <c r="B967" s="182" t="n"/>
      <c r="C967" s="278" t="n"/>
      <c r="D967" s="181" t="n"/>
      <c r="E967" s="182" t="n"/>
      <c r="F967" s="278" t="n"/>
      <c r="G967" s="182" t="n"/>
      <c r="H967" s="194" t="n"/>
      <c r="I967" s="180" t="n"/>
      <c r="J967" s="194" t="n"/>
      <c r="K967" s="182" t="n"/>
      <c r="L967" s="182" t="n"/>
      <c r="M967" s="278" t="n"/>
      <c r="N967" s="181" t="n"/>
      <c r="O967" s="181" t="n"/>
      <c r="P967" s="194" t="n"/>
      <c r="Q967" s="180" t="n"/>
      <c r="R967" s="180" t="n"/>
      <c r="S967" s="182" t="n"/>
      <c r="T967" s="57" t="n"/>
      <c r="U967" s="529" t="n"/>
      <c r="V967" s="55" t="n"/>
    </row>
    <row r="968" ht="14.5" customHeight="1" s="344">
      <c r="A968" s="180" t="n"/>
      <c r="B968" s="182" t="n"/>
      <c r="C968" s="278" t="n"/>
      <c r="D968" s="181" t="n"/>
      <c r="E968" s="182" t="n"/>
      <c r="F968" s="278" t="n"/>
      <c r="G968" s="182" t="n"/>
      <c r="H968" s="194" t="n"/>
      <c r="I968" s="180" t="n"/>
      <c r="J968" s="194" t="n"/>
      <c r="K968" s="182" t="n"/>
      <c r="L968" s="182" t="n"/>
      <c r="M968" s="278" t="n"/>
      <c r="N968" s="181" t="n"/>
      <c r="O968" s="181" t="n"/>
      <c r="P968" s="194" t="n"/>
      <c r="Q968" s="180" t="n"/>
      <c r="R968" s="180" t="n"/>
      <c r="S968" s="182" t="n"/>
      <c r="T968" s="57" t="n"/>
      <c r="U968" s="529" t="n"/>
      <c r="V968" s="55" t="n"/>
    </row>
    <row r="969" ht="14.5" customHeight="1" s="344">
      <c r="A969" s="180" t="n"/>
      <c r="B969" s="182" t="n"/>
      <c r="C969" s="278" t="n"/>
      <c r="D969" s="181" t="n"/>
      <c r="E969" s="182" t="n"/>
      <c r="F969" s="278" t="n"/>
      <c r="G969" s="182" t="n"/>
      <c r="H969" s="194" t="n"/>
      <c r="I969" s="180" t="n"/>
      <c r="J969" s="194" t="n"/>
      <c r="K969" s="182" t="n"/>
      <c r="L969" s="182" t="n"/>
      <c r="M969" s="278" t="n"/>
      <c r="N969" s="181" t="n"/>
      <c r="O969" s="181" t="n"/>
      <c r="P969" s="194" t="n"/>
      <c r="Q969" s="180" t="n"/>
      <c r="R969" s="180" t="n"/>
      <c r="S969" s="182" t="n"/>
      <c r="T969" s="57" t="n"/>
      <c r="U969" s="529" t="n"/>
      <c r="V969" s="55" t="n"/>
    </row>
    <row r="970" ht="14.5" customHeight="1" s="344">
      <c r="A970" s="180" t="n"/>
      <c r="B970" s="182" t="n"/>
      <c r="C970" s="278" t="n"/>
      <c r="D970" s="181" t="n"/>
      <c r="E970" s="182" t="n"/>
      <c r="F970" s="278" t="n"/>
      <c r="G970" s="182" t="n"/>
      <c r="H970" s="194" t="n"/>
      <c r="I970" s="180" t="n"/>
      <c r="J970" s="194" t="n"/>
      <c r="K970" s="182" t="n"/>
      <c r="L970" s="182" t="n"/>
      <c r="M970" s="278" t="n"/>
      <c r="N970" s="181" t="n"/>
      <c r="O970" s="181" t="n"/>
      <c r="P970" s="194" t="n"/>
      <c r="Q970" s="180" t="n"/>
      <c r="R970" s="180" t="n"/>
      <c r="S970" s="182" t="n"/>
      <c r="T970" s="57" t="n"/>
      <c r="U970" s="529" t="n"/>
      <c r="V970" s="55" t="n"/>
    </row>
    <row r="971" ht="14.5" customHeight="1" s="344">
      <c r="A971" s="180" t="n"/>
      <c r="B971" s="182" t="n"/>
      <c r="C971" s="278" t="n"/>
      <c r="D971" s="181" t="n"/>
      <c r="E971" s="182" t="n"/>
      <c r="F971" s="278" t="n"/>
      <c r="G971" s="182" t="n"/>
      <c r="H971" s="194" t="n"/>
      <c r="I971" s="180" t="n"/>
      <c r="J971" s="194" t="n"/>
      <c r="K971" s="182" t="n"/>
      <c r="L971" s="182" t="n"/>
      <c r="M971" s="278" t="n"/>
      <c r="N971" s="181" t="n"/>
      <c r="O971" s="181" t="n"/>
      <c r="P971" s="194" t="n"/>
      <c r="Q971" s="180" t="n"/>
      <c r="R971" s="180" t="n"/>
      <c r="S971" s="182" t="n"/>
      <c r="T971" s="57" t="n"/>
      <c r="U971" s="529" t="n"/>
      <c r="V971" s="55" t="n"/>
    </row>
    <row r="972" ht="14.5" customHeight="1" s="344">
      <c r="A972" s="180" t="n"/>
      <c r="B972" s="182" t="n"/>
      <c r="C972" s="278" t="n"/>
      <c r="D972" s="181" t="n"/>
      <c r="E972" s="182" t="n"/>
      <c r="F972" s="278" t="n"/>
      <c r="G972" s="182" t="n"/>
      <c r="H972" s="194" t="n"/>
      <c r="I972" s="180" t="n"/>
      <c r="J972" s="194" t="n"/>
      <c r="K972" s="182" t="n"/>
      <c r="L972" s="182" t="n"/>
      <c r="M972" s="278" t="n"/>
      <c r="N972" s="181" t="n"/>
      <c r="O972" s="181" t="n"/>
      <c r="P972" s="194" t="n"/>
      <c r="Q972" s="180" t="n"/>
      <c r="R972" s="180" t="n"/>
      <c r="S972" s="182" t="n"/>
      <c r="T972" s="57" t="n"/>
      <c r="U972" s="529" t="n"/>
      <c r="V972" s="55" t="n"/>
    </row>
    <row r="973" ht="21.5" customHeight="1" s="344">
      <c r="A973" s="180" t="n"/>
      <c r="B973" s="182" t="n"/>
      <c r="C973" s="278" t="n"/>
      <c r="D973" s="181" t="n"/>
      <c r="E973" s="182" t="n"/>
      <c r="F973" s="278" t="n"/>
      <c r="G973" s="182" t="n"/>
      <c r="H973" s="194" t="n"/>
      <c r="I973" s="180" t="n"/>
      <c r="J973" s="194" t="n"/>
      <c r="K973" s="182" t="n"/>
      <c r="L973" s="182" t="n"/>
      <c r="M973" s="278" t="n"/>
      <c r="N973" s="181" t="n"/>
      <c r="O973" s="181" t="n"/>
      <c r="P973" s="194" t="n"/>
      <c r="Q973" s="180" t="n"/>
      <c r="R973" s="180" t="n"/>
      <c r="S973" s="182" t="n"/>
      <c r="T973" s="57" t="n"/>
      <c r="U973" s="529" t="n"/>
      <c r="V973" s="55" t="n"/>
    </row>
    <row r="974" ht="21.5" customHeight="1" s="344">
      <c r="A974" s="180" t="n"/>
      <c r="B974" s="182" t="n"/>
      <c r="C974" s="278" t="n"/>
      <c r="D974" s="181" t="n"/>
      <c r="E974" s="182" t="n"/>
      <c r="F974" s="278" t="n"/>
      <c r="G974" s="182" t="n"/>
      <c r="H974" s="194" t="n"/>
      <c r="I974" s="180" t="n"/>
      <c r="J974" s="194" t="n"/>
      <c r="K974" s="182" t="n"/>
      <c r="L974" s="182" t="n"/>
      <c r="M974" s="278" t="n"/>
      <c r="N974" s="181" t="n"/>
      <c r="O974" s="181" t="n"/>
      <c r="P974" s="194" t="n"/>
      <c r="Q974" s="180" t="n"/>
      <c r="R974" s="180" t="n"/>
      <c r="S974" s="182" t="n"/>
      <c r="T974" s="57" t="n"/>
      <c r="U974" s="529" t="n"/>
      <c r="V974" s="55" t="n"/>
    </row>
    <row r="975" ht="14.5" customHeight="1" s="344">
      <c r="A975" s="180" t="n"/>
      <c r="B975" s="182" t="n"/>
      <c r="C975" s="278" t="n"/>
      <c r="D975" s="181" t="n"/>
      <c r="E975" s="182" t="n"/>
      <c r="F975" s="278" t="n"/>
      <c r="G975" s="182" t="n"/>
      <c r="H975" s="194" t="n"/>
      <c r="I975" s="180" t="n"/>
      <c r="J975" s="194" t="n"/>
      <c r="K975" s="182" t="n"/>
      <c r="L975" s="182" t="n"/>
      <c r="M975" s="278" t="n"/>
      <c r="N975" s="181" t="n"/>
      <c r="O975" s="181" t="n"/>
      <c r="P975" s="194" t="n"/>
      <c r="Q975" s="180" t="n"/>
      <c r="R975" s="180" t="n"/>
      <c r="S975" s="182" t="n"/>
      <c r="T975" s="57" t="n"/>
      <c r="U975" s="529" t="n"/>
      <c r="V975" s="55" t="n"/>
    </row>
    <row r="976" ht="21.5" customHeight="1" s="344">
      <c r="A976" s="180" t="n"/>
      <c r="B976" s="182" t="n"/>
      <c r="C976" s="278" t="n"/>
      <c r="D976" s="181" t="n"/>
      <c r="E976" s="182" t="n"/>
      <c r="F976" s="278" t="n"/>
      <c r="G976" s="182" t="n"/>
      <c r="H976" s="194" t="n"/>
      <c r="I976" s="180" t="n"/>
      <c r="J976" s="194" t="n"/>
      <c r="K976" s="182" t="n"/>
      <c r="L976" s="182" t="n"/>
      <c r="M976" s="278" t="n"/>
      <c r="N976" s="181" t="n"/>
      <c r="O976" s="181" t="n"/>
      <c r="P976" s="194" t="n"/>
      <c r="Q976" s="180" t="n"/>
      <c r="R976" s="180" t="n"/>
      <c r="S976" s="182" t="n"/>
      <c r="T976" s="57" t="n"/>
      <c r="U976" s="529" t="n"/>
      <c r="V976" s="55" t="n"/>
    </row>
    <row r="977" ht="21.5" customHeight="1" s="344">
      <c r="A977" s="180" t="n"/>
      <c r="B977" s="182" t="n"/>
      <c r="C977" s="278" t="n"/>
      <c r="D977" s="181" t="n"/>
      <c r="E977" s="182" t="n"/>
      <c r="F977" s="278" t="n"/>
      <c r="G977" s="182" t="n"/>
      <c r="H977" s="194" t="n"/>
      <c r="I977" s="180" t="n"/>
      <c r="J977" s="194" t="n"/>
      <c r="K977" s="182" t="n"/>
      <c r="L977" s="182" t="n"/>
      <c r="M977" s="278" t="n"/>
      <c r="N977" s="181" t="n"/>
      <c r="O977" s="181" t="n"/>
      <c r="P977" s="194" t="n"/>
      <c r="Q977" s="180" t="n"/>
      <c r="R977" s="180" t="n"/>
      <c r="S977" s="182" t="n"/>
      <c r="T977" s="57" t="n"/>
      <c r="U977" s="529" t="n"/>
      <c r="V977" s="55" t="n"/>
    </row>
    <row r="978" ht="14.5" customHeight="1" s="344">
      <c r="A978" s="180" t="n"/>
      <c r="B978" s="182" t="n"/>
      <c r="C978" s="278" t="n"/>
      <c r="D978" s="181" t="n"/>
      <c r="E978" s="182" t="n"/>
      <c r="F978" s="278" t="n"/>
      <c r="G978" s="182" t="n"/>
      <c r="H978" s="194" t="n"/>
      <c r="I978" s="180" t="n"/>
      <c r="J978" s="194" t="n"/>
      <c r="K978" s="182" t="n"/>
      <c r="L978" s="182" t="n"/>
      <c r="M978" s="278" t="n"/>
      <c r="N978" s="181" t="n"/>
      <c r="O978" s="181" t="n"/>
      <c r="P978" s="194" t="n"/>
      <c r="Q978" s="180" t="n"/>
      <c r="R978" s="180" t="n"/>
      <c r="S978" s="182" t="n"/>
      <c r="T978" s="57" t="n"/>
      <c r="U978" s="529" t="n"/>
      <c r="V978" s="55" t="n"/>
    </row>
    <row r="979" ht="21.5" customHeight="1" s="344">
      <c r="A979" s="180" t="n"/>
      <c r="B979" s="182" t="n"/>
      <c r="C979" s="278" t="n"/>
      <c r="D979" s="181" t="n"/>
      <c r="E979" s="182" t="n"/>
      <c r="F979" s="278" t="n"/>
      <c r="G979" s="182" t="n"/>
      <c r="H979" s="194" t="n"/>
      <c r="I979" s="180" t="n"/>
      <c r="J979" s="194" t="n"/>
      <c r="K979" s="182" t="n"/>
      <c r="L979" s="182" t="n"/>
      <c r="M979" s="278" t="n"/>
      <c r="N979" s="181" t="n"/>
      <c r="O979" s="181" t="n"/>
      <c r="P979" s="194" t="n"/>
      <c r="Q979" s="180" t="n"/>
      <c r="R979" s="180" t="n"/>
      <c r="S979" s="182" t="n"/>
      <c r="T979" s="57" t="n"/>
      <c r="U979" s="529" t="n"/>
      <c r="V979" s="55" t="n"/>
    </row>
    <row r="980" ht="21.5" customHeight="1" s="344">
      <c r="A980" s="180" t="n"/>
      <c r="B980" s="182" t="n"/>
      <c r="C980" s="278" t="n"/>
      <c r="D980" s="181" t="n"/>
      <c r="E980" s="182" t="n"/>
      <c r="F980" s="278" t="n"/>
      <c r="G980" s="182" t="n"/>
      <c r="H980" s="194" t="n"/>
      <c r="I980" s="180" t="n"/>
      <c r="J980" s="194" t="n"/>
      <c r="K980" s="182" t="n"/>
      <c r="L980" s="182" t="n"/>
      <c r="M980" s="278" t="n"/>
      <c r="N980" s="181" t="n"/>
      <c r="O980" s="181" t="n"/>
      <c r="P980" s="194" t="n"/>
      <c r="Q980" s="180" t="n"/>
      <c r="R980" s="180" t="n"/>
      <c r="S980" s="182" t="n"/>
      <c r="T980" s="57" t="n"/>
      <c r="U980" s="529" t="n"/>
      <c r="V980" s="55" t="n"/>
    </row>
    <row r="981" ht="21.5" customHeight="1" s="344">
      <c r="A981" s="180" t="n"/>
      <c r="B981" s="182" t="n"/>
      <c r="C981" s="278" t="n"/>
      <c r="D981" s="181" t="n"/>
      <c r="E981" s="182" t="n"/>
      <c r="F981" s="278" t="n"/>
      <c r="G981" s="182" t="n"/>
      <c r="H981" s="194" t="n"/>
      <c r="I981" s="180" t="n"/>
      <c r="J981" s="194" t="n"/>
      <c r="K981" s="182" t="n"/>
      <c r="L981" s="182" t="n"/>
      <c r="M981" s="278" t="n"/>
      <c r="N981" s="181" t="n"/>
      <c r="O981" s="181" t="n"/>
      <c r="P981" s="194" t="n"/>
      <c r="Q981" s="180" t="n"/>
      <c r="R981" s="180" t="n"/>
      <c r="S981" s="182" t="n"/>
      <c r="T981" s="57" t="n"/>
      <c r="U981" s="529" t="n"/>
      <c r="V981" s="55" t="n"/>
    </row>
    <row r="982" ht="21.5" customHeight="1" s="344">
      <c r="A982" s="180" t="n"/>
      <c r="B982" s="182" t="n"/>
      <c r="C982" s="278" t="n"/>
      <c r="D982" s="181" t="n"/>
      <c r="E982" s="182" t="n"/>
      <c r="F982" s="278" t="n"/>
      <c r="G982" s="182" t="n"/>
      <c r="H982" s="194" t="n"/>
      <c r="I982" s="180" t="n"/>
      <c r="J982" s="194" t="n"/>
      <c r="K982" s="182" t="n"/>
      <c r="L982" s="182" t="n"/>
      <c r="M982" s="278" t="n"/>
      <c r="N982" s="181" t="n"/>
      <c r="O982" s="181" t="n"/>
      <c r="P982" s="194" t="n"/>
      <c r="Q982" s="180" t="n"/>
      <c r="R982" s="180" t="n"/>
      <c r="S982" s="182" t="n"/>
      <c r="T982" s="57" t="n"/>
      <c r="U982" s="529" t="n"/>
      <c r="V982" s="55" t="n"/>
    </row>
    <row r="983" ht="21.5" customHeight="1" s="344">
      <c r="A983" s="180" t="n"/>
      <c r="B983" s="182" t="n"/>
      <c r="C983" s="278" t="n"/>
      <c r="D983" s="181" t="n"/>
      <c r="E983" s="182" t="n"/>
      <c r="F983" s="278" t="n"/>
      <c r="G983" s="182" t="n"/>
      <c r="H983" s="194" t="n"/>
      <c r="I983" s="180" t="n"/>
      <c r="J983" s="194" t="n"/>
      <c r="K983" s="182" t="n"/>
      <c r="L983" s="182" t="n"/>
      <c r="M983" s="278" t="n"/>
      <c r="N983" s="181" t="n"/>
      <c r="O983" s="181" t="n"/>
      <c r="P983" s="194" t="n"/>
      <c r="Q983" s="180" t="n"/>
      <c r="R983" s="180" t="n"/>
      <c r="S983" s="182" t="n"/>
      <c r="T983" s="57" t="n"/>
      <c r="U983" s="529" t="n"/>
      <c r="V983" s="55" t="n"/>
    </row>
    <row r="984" ht="21.5" customHeight="1" s="344">
      <c r="A984" s="180" t="n"/>
      <c r="B984" s="182" t="n"/>
      <c r="C984" s="278" t="n"/>
      <c r="D984" s="181" t="n"/>
      <c r="E984" s="182" t="n"/>
      <c r="F984" s="278" t="n"/>
      <c r="G984" s="182" t="n"/>
      <c r="H984" s="194" t="n"/>
      <c r="I984" s="180" t="n"/>
      <c r="J984" s="194" t="n"/>
      <c r="K984" s="182" t="n"/>
      <c r="L984" s="182" t="n"/>
      <c r="M984" s="278" t="n"/>
      <c r="N984" s="181" t="n"/>
      <c r="O984" s="181" t="n"/>
      <c r="P984" s="194" t="n"/>
      <c r="Q984" s="180" t="n"/>
      <c r="R984" s="180" t="n"/>
      <c r="S984" s="182" t="n"/>
      <c r="T984" s="57" t="n"/>
      <c r="U984" s="529" t="n"/>
      <c r="V984" s="55" t="n"/>
    </row>
    <row r="985" ht="21.5" customHeight="1" s="344">
      <c r="A985" s="180" t="n"/>
      <c r="B985" s="182" t="n"/>
      <c r="C985" s="278" t="n"/>
      <c r="D985" s="181" t="n"/>
      <c r="E985" s="182" t="n"/>
      <c r="F985" s="278" t="n"/>
      <c r="G985" s="182" t="n"/>
      <c r="H985" s="194" t="n"/>
      <c r="I985" s="180" t="n"/>
      <c r="J985" s="194" t="n"/>
      <c r="K985" s="182" t="n"/>
      <c r="L985" s="182" t="n"/>
      <c r="M985" s="278" t="n"/>
      <c r="N985" s="181" t="n"/>
      <c r="O985" s="181" t="n"/>
      <c r="P985" s="194" t="n"/>
      <c r="Q985" s="180" t="n"/>
      <c r="R985" s="180" t="n"/>
      <c r="S985" s="182" t="n"/>
      <c r="T985" s="57" t="n"/>
      <c r="U985" s="529" t="n"/>
      <c r="V985" s="55" t="n"/>
    </row>
    <row r="986" ht="21.5" customHeight="1" s="344">
      <c r="A986" s="180" t="n"/>
      <c r="B986" s="182" t="n"/>
      <c r="C986" s="278" t="n"/>
      <c r="D986" s="181" t="n"/>
      <c r="E986" s="182" t="n"/>
      <c r="F986" s="278" t="n"/>
      <c r="G986" s="182" t="n"/>
      <c r="H986" s="194" t="n"/>
      <c r="I986" s="180" t="n"/>
      <c r="J986" s="194" t="n"/>
      <c r="K986" s="182" t="n"/>
      <c r="L986" s="182" t="n"/>
      <c r="M986" s="278" t="n"/>
      <c r="N986" s="181" t="n"/>
      <c r="O986" s="181" t="n"/>
      <c r="P986" s="194" t="n"/>
      <c r="Q986" s="180" t="n"/>
      <c r="R986" s="180" t="n"/>
      <c r="S986" s="182" t="n"/>
      <c r="T986" s="57" t="n"/>
      <c r="U986" s="529" t="n"/>
      <c r="V986" s="55" t="n"/>
    </row>
    <row r="987" ht="21.5" customHeight="1" s="344">
      <c r="A987" s="180" t="n"/>
      <c r="B987" s="182" t="n"/>
      <c r="C987" s="278" t="n"/>
      <c r="D987" s="181" t="n"/>
      <c r="E987" s="182" t="n"/>
      <c r="F987" s="278" t="n"/>
      <c r="G987" s="182" t="n"/>
      <c r="H987" s="194" t="n"/>
      <c r="I987" s="180" t="n"/>
      <c r="J987" s="194" t="n"/>
      <c r="K987" s="182" t="n"/>
      <c r="L987" s="182" t="n"/>
      <c r="M987" s="278" t="n"/>
      <c r="N987" s="181" t="n"/>
      <c r="O987" s="181" t="n"/>
      <c r="P987" s="194" t="n"/>
      <c r="Q987" s="180" t="n"/>
      <c r="R987" s="180" t="n"/>
      <c r="S987" s="182" t="n"/>
      <c r="T987" s="57" t="n"/>
      <c r="U987" s="529" t="n"/>
      <c r="V987" s="55" t="n"/>
    </row>
    <row r="988" ht="21.5" customHeight="1" s="344">
      <c r="A988" s="180" t="n"/>
      <c r="B988" s="182" t="n"/>
      <c r="C988" s="278" t="n"/>
      <c r="D988" s="181" t="n"/>
      <c r="E988" s="182" t="n"/>
      <c r="F988" s="278" t="n"/>
      <c r="G988" s="182" t="n"/>
      <c r="H988" s="194" t="n"/>
      <c r="I988" s="180" t="n"/>
      <c r="J988" s="194" t="n"/>
      <c r="K988" s="182" t="n"/>
      <c r="L988" s="182" t="n"/>
      <c r="M988" s="278" t="n"/>
      <c r="N988" s="181" t="n"/>
      <c r="O988" s="181" t="n"/>
      <c r="P988" s="194" t="n"/>
      <c r="Q988" s="180" t="n"/>
      <c r="R988" s="180" t="n"/>
      <c r="S988" s="182" t="n"/>
      <c r="T988" s="57" t="n"/>
      <c r="U988" s="529" t="n"/>
      <c r="V988" s="55" t="n"/>
    </row>
    <row r="989" ht="14.5" customHeight="1" s="344">
      <c r="A989" s="180" t="n"/>
      <c r="B989" s="182" t="n"/>
      <c r="C989" s="278" t="n"/>
      <c r="D989" s="181" t="n"/>
      <c r="E989" s="182" t="n"/>
      <c r="F989" s="278" t="n"/>
      <c r="G989" s="182" t="n"/>
      <c r="H989" s="194" t="n"/>
      <c r="I989" s="180" t="n"/>
      <c r="J989" s="194" t="n"/>
      <c r="K989" s="182" t="n"/>
      <c r="L989" s="182" t="n"/>
      <c r="M989" s="278" t="n"/>
      <c r="N989" s="181" t="n"/>
      <c r="O989" s="181" t="n"/>
      <c r="P989" s="194" t="n"/>
      <c r="Q989" s="180" t="n"/>
      <c r="R989" s="180" t="n"/>
      <c r="S989" s="182" t="n"/>
      <c r="T989" s="57" t="n"/>
      <c r="U989" s="529" t="n"/>
      <c r="V989" s="55" t="n"/>
    </row>
    <row r="990" ht="21.5" customHeight="1" s="344">
      <c r="A990" s="180" t="n"/>
      <c r="B990" s="182" t="n"/>
      <c r="C990" s="278" t="n"/>
      <c r="D990" s="181" t="n"/>
      <c r="E990" s="182" t="n"/>
      <c r="F990" s="278" t="n"/>
      <c r="G990" s="182" t="n"/>
      <c r="H990" s="194" t="n"/>
      <c r="I990" s="180" t="n"/>
      <c r="J990" s="194" t="n"/>
      <c r="K990" s="182" t="n"/>
      <c r="L990" s="182" t="n"/>
      <c r="M990" s="278" t="n"/>
      <c r="N990" s="181" t="n"/>
      <c r="O990" s="181" t="n"/>
      <c r="P990" s="194" t="n"/>
      <c r="Q990" s="180" t="n"/>
      <c r="R990" s="180" t="n"/>
      <c r="S990" s="182" t="n"/>
      <c r="T990" s="57" t="n"/>
      <c r="U990" s="529" t="n"/>
      <c r="V990" s="55" t="n"/>
    </row>
    <row r="991" ht="14.5" customHeight="1" s="344">
      <c r="A991" s="180" t="n"/>
      <c r="B991" s="182" t="n"/>
      <c r="C991" s="278" t="n"/>
      <c r="D991" s="181" t="n"/>
      <c r="E991" s="182" t="n"/>
      <c r="F991" s="278" t="n"/>
      <c r="G991" s="182" t="n"/>
      <c r="H991" s="194" t="n"/>
      <c r="I991" s="180" t="n"/>
      <c r="J991" s="194" t="n"/>
      <c r="K991" s="182" t="n"/>
      <c r="L991" s="182" t="n"/>
      <c r="M991" s="278" t="n"/>
      <c r="N991" s="181" t="n"/>
      <c r="O991" s="181" t="n"/>
      <c r="P991" s="194" t="n"/>
      <c r="Q991" s="180" t="n"/>
      <c r="R991" s="180" t="n"/>
      <c r="S991" s="182" t="n"/>
      <c r="T991" s="57" t="n"/>
      <c r="U991" s="529" t="n"/>
      <c r="V991" s="55" t="n"/>
    </row>
    <row r="992" ht="14.5" customHeight="1" s="344">
      <c r="A992" s="180" t="n"/>
      <c r="B992" s="182" t="n"/>
      <c r="C992" s="278" t="n"/>
      <c r="D992" s="181" t="n"/>
      <c r="E992" s="182" t="n"/>
      <c r="F992" s="278" t="n"/>
      <c r="G992" s="182" t="n"/>
      <c r="H992" s="194" t="n"/>
      <c r="I992" s="180" t="n"/>
      <c r="J992" s="194" t="n"/>
      <c r="K992" s="182" t="n"/>
      <c r="L992" s="182" t="n"/>
      <c r="M992" s="278" t="n"/>
      <c r="N992" s="181" t="n"/>
      <c r="O992" s="181" t="n"/>
      <c r="P992" s="194" t="n"/>
      <c r="Q992" s="180" t="n"/>
      <c r="R992" s="180" t="n"/>
      <c r="S992" s="182" t="n"/>
      <c r="T992" s="57" t="n"/>
      <c r="U992" s="529" t="n"/>
      <c r="V992" s="55" t="n"/>
    </row>
    <row r="993" ht="14.5" customHeight="1" s="344">
      <c r="A993" s="180" t="n"/>
      <c r="B993" s="182" t="n"/>
      <c r="C993" s="278" t="n"/>
      <c r="D993" s="181" t="n"/>
      <c r="E993" s="182" t="n"/>
      <c r="F993" s="278" t="n"/>
      <c r="G993" s="182" t="n"/>
      <c r="H993" s="194" t="n"/>
      <c r="I993" s="180" t="n"/>
      <c r="J993" s="194" t="n"/>
      <c r="K993" s="182" t="n"/>
      <c r="L993" s="182" t="n"/>
      <c r="M993" s="278" t="n"/>
      <c r="N993" s="181" t="n"/>
      <c r="O993" s="181" t="n"/>
      <c r="P993" s="194" t="n"/>
      <c r="Q993" s="180" t="n"/>
      <c r="R993" s="180" t="n"/>
      <c r="S993" s="182" t="n"/>
      <c r="T993" s="57" t="n"/>
      <c r="U993" s="529" t="n"/>
      <c r="V993" s="55" t="n"/>
    </row>
    <row r="994" ht="14.5" customHeight="1" s="344">
      <c r="A994" s="180" t="n"/>
      <c r="B994" s="182" t="n"/>
      <c r="C994" s="278" t="n"/>
      <c r="D994" s="181" t="n"/>
      <c r="E994" s="182" t="n"/>
      <c r="F994" s="278" t="n"/>
      <c r="G994" s="182" t="n"/>
      <c r="H994" s="194" t="n"/>
      <c r="I994" s="180" t="n"/>
      <c r="J994" s="194" t="n"/>
      <c r="K994" s="182" t="n"/>
      <c r="L994" s="182" t="n"/>
      <c r="M994" s="278" t="n"/>
      <c r="N994" s="181" t="n"/>
      <c r="O994" s="181" t="n"/>
      <c r="P994" s="194" t="n"/>
      <c r="Q994" s="180" t="n"/>
      <c r="R994" s="180" t="n"/>
      <c r="S994" s="182" t="n"/>
      <c r="T994" s="57" t="n"/>
      <c r="U994" s="529" t="n"/>
      <c r="V994" s="55" t="n"/>
    </row>
    <row r="995" ht="14.5" customHeight="1" s="344">
      <c r="A995" s="180" t="n"/>
      <c r="B995" s="182" t="n"/>
      <c r="C995" s="278" t="n"/>
      <c r="D995" s="181" t="n"/>
      <c r="E995" s="182" t="n"/>
      <c r="F995" s="278" t="n"/>
      <c r="G995" s="182" t="n"/>
      <c r="H995" s="194" t="n"/>
      <c r="I995" s="180" t="n"/>
      <c r="J995" s="194" t="n"/>
      <c r="K995" s="182" t="n"/>
      <c r="L995" s="182" t="n"/>
      <c r="M995" s="278" t="n"/>
      <c r="N995" s="181" t="n"/>
      <c r="O995" s="181" t="n"/>
      <c r="P995" s="194" t="n"/>
      <c r="Q995" s="180" t="n"/>
      <c r="R995" s="180" t="n"/>
      <c r="S995" s="182" t="n"/>
      <c r="T995" s="57" t="n"/>
      <c r="U995" s="529" t="n"/>
      <c r="V995" s="55" t="n"/>
    </row>
    <row r="996" ht="14.5" customHeight="1" s="344">
      <c r="A996" s="180" t="n"/>
      <c r="B996" s="182" t="n"/>
      <c r="C996" s="278" t="n"/>
      <c r="D996" s="181" t="n"/>
      <c r="E996" s="182" t="n"/>
      <c r="F996" s="278" t="n"/>
      <c r="G996" s="182" t="n"/>
      <c r="H996" s="194" t="n"/>
      <c r="I996" s="180" t="n"/>
      <c r="J996" s="194" t="n"/>
      <c r="K996" s="182" t="n"/>
      <c r="L996" s="182" t="n"/>
      <c r="M996" s="278" t="n"/>
      <c r="N996" s="181" t="n"/>
      <c r="O996" s="181" t="n"/>
      <c r="P996" s="194" t="n"/>
      <c r="Q996" s="180" t="n"/>
      <c r="R996" s="180" t="n"/>
      <c r="S996" s="182" t="n"/>
      <c r="T996" s="57" t="n"/>
      <c r="U996" s="529" t="n"/>
      <c r="V996" s="55" t="n"/>
    </row>
    <row r="997" ht="14.5" customHeight="1" s="344">
      <c r="A997" s="180" t="n"/>
      <c r="B997" s="182" t="n"/>
      <c r="C997" s="278" t="n"/>
      <c r="D997" s="181" t="n"/>
      <c r="E997" s="182" t="n"/>
      <c r="F997" s="278" t="n"/>
      <c r="G997" s="182" t="n"/>
      <c r="H997" s="194" t="n"/>
      <c r="I997" s="180" t="n"/>
      <c r="J997" s="194" t="n"/>
      <c r="K997" s="182" t="n"/>
      <c r="L997" s="182" t="n"/>
      <c r="M997" s="278" t="n"/>
      <c r="N997" s="181" t="n"/>
      <c r="O997" s="181" t="n"/>
      <c r="P997" s="194" t="n"/>
      <c r="Q997" s="180" t="n"/>
      <c r="R997" s="180" t="n"/>
      <c r="S997" s="182" t="n"/>
      <c r="T997" s="57" t="n"/>
      <c r="U997" s="529" t="n"/>
      <c r="V997" s="55" t="n"/>
    </row>
    <row r="998" ht="14.5" customHeight="1" s="344">
      <c r="A998" s="180" t="n"/>
      <c r="B998" s="182" t="n"/>
      <c r="C998" s="278" t="n"/>
      <c r="D998" s="181" t="n"/>
      <c r="E998" s="182" t="n"/>
      <c r="F998" s="278" t="n"/>
      <c r="G998" s="182" t="n"/>
      <c r="H998" s="194" t="n"/>
      <c r="I998" s="180" t="n"/>
      <c r="J998" s="194" t="n"/>
      <c r="K998" s="182" t="n"/>
      <c r="L998" s="182" t="n"/>
      <c r="M998" s="278" t="n"/>
      <c r="N998" s="181" t="n"/>
      <c r="O998" s="181" t="n"/>
      <c r="P998" s="194" t="n"/>
      <c r="Q998" s="180" t="n"/>
      <c r="R998" s="180" t="n"/>
      <c r="S998" s="182" t="n"/>
      <c r="T998" s="57" t="n"/>
      <c r="U998" s="529" t="n"/>
      <c r="V998" s="55" t="n"/>
    </row>
    <row r="999" ht="14.5" customHeight="1" s="344">
      <c r="A999" s="180" t="n"/>
      <c r="B999" s="182" t="n"/>
      <c r="C999" s="278" t="n"/>
      <c r="D999" s="181" t="n"/>
      <c r="E999" s="182" t="n"/>
      <c r="F999" s="278" t="n"/>
      <c r="G999" s="182" t="n"/>
      <c r="H999" s="194" t="n"/>
      <c r="I999" s="180" t="n"/>
      <c r="J999" s="194" t="n"/>
      <c r="K999" s="182" t="n"/>
      <c r="L999" s="182" t="n"/>
      <c r="M999" s="278" t="n"/>
      <c r="N999" s="181" t="n"/>
      <c r="O999" s="181" t="n"/>
      <c r="P999" s="194" t="n"/>
      <c r="Q999" s="180" t="n"/>
      <c r="R999" s="180" t="n"/>
      <c r="S999" s="182" t="n"/>
      <c r="T999" s="57" t="n"/>
      <c r="U999" s="529" t="n"/>
      <c r="V999" s="55" t="n"/>
    </row>
    <row r="1000" ht="21.5" customHeight="1" s="344">
      <c r="A1000" s="180" t="n"/>
      <c r="B1000" s="182" t="n"/>
      <c r="C1000" s="278" t="n"/>
      <c r="D1000" s="181" t="n"/>
      <c r="E1000" s="182" t="n"/>
      <c r="F1000" s="278" t="n"/>
      <c r="G1000" s="182" t="n"/>
      <c r="H1000" s="194" t="n"/>
      <c r="I1000" s="180" t="n"/>
      <c r="J1000" s="194" t="n"/>
      <c r="K1000" s="182" t="n"/>
      <c r="L1000" s="182" t="n"/>
      <c r="M1000" s="278" t="n"/>
      <c r="N1000" s="181" t="n"/>
      <c r="O1000" s="181" t="n"/>
      <c r="P1000" s="194" t="n"/>
      <c r="Q1000" s="180" t="n"/>
      <c r="R1000" s="180" t="n"/>
      <c r="S1000" s="182" t="n"/>
      <c r="T1000" s="57" t="n"/>
      <c r="U1000" s="529" t="n"/>
      <c r="V1000" s="55" t="n"/>
    </row>
    <row r="1001" ht="21.5" customHeight="1" s="344">
      <c r="A1001" s="180" t="n"/>
      <c r="B1001" s="182" t="n"/>
      <c r="C1001" s="278" t="n"/>
      <c r="D1001" s="181" t="n"/>
      <c r="E1001" s="182" t="n"/>
      <c r="F1001" s="278" t="n"/>
      <c r="G1001" s="182" t="n"/>
      <c r="H1001" s="194" t="n"/>
      <c r="I1001" s="180" t="n"/>
      <c r="J1001" s="194" t="n"/>
      <c r="K1001" s="182" t="n"/>
      <c r="L1001" s="182" t="n"/>
      <c r="M1001" s="278" t="n"/>
      <c r="N1001" s="181" t="n"/>
      <c r="O1001" s="181" t="n"/>
      <c r="P1001" s="194" t="n"/>
      <c r="Q1001" s="180" t="n"/>
      <c r="R1001" s="180" t="n"/>
      <c r="S1001" s="182" t="n"/>
      <c r="T1001" s="57" t="n"/>
      <c r="U1001" s="529" t="n"/>
      <c r="V1001" s="55" t="n"/>
    </row>
    <row r="1002" ht="21.5" customHeight="1" s="344">
      <c r="A1002" s="180" t="n"/>
      <c r="B1002" s="182" t="n"/>
      <c r="C1002" s="278" t="n"/>
      <c r="D1002" s="181" t="n"/>
      <c r="E1002" s="182" t="n"/>
      <c r="F1002" s="278" t="n"/>
      <c r="G1002" s="182" t="n"/>
      <c r="H1002" s="194" t="n"/>
      <c r="I1002" s="180" t="n"/>
      <c r="J1002" s="194" t="n"/>
      <c r="K1002" s="182" t="n"/>
      <c r="L1002" s="182" t="n"/>
      <c r="M1002" s="278" t="n"/>
      <c r="N1002" s="181" t="n"/>
      <c r="O1002" s="181" t="n"/>
      <c r="P1002" s="194" t="n"/>
      <c r="Q1002" s="180" t="n"/>
      <c r="R1002" s="180" t="n"/>
      <c r="S1002" s="182" t="n"/>
      <c r="T1002" s="57" t="n"/>
      <c r="U1002" s="529" t="n"/>
      <c r="V1002" s="55" t="n"/>
    </row>
    <row r="1003" ht="14.5" customHeight="1" s="344">
      <c r="A1003" s="180" t="n"/>
      <c r="B1003" s="182" t="n"/>
      <c r="C1003" s="278" t="n"/>
      <c r="D1003" s="181" t="n"/>
      <c r="E1003" s="182" t="n"/>
      <c r="F1003" s="278" t="n"/>
      <c r="G1003" s="182" t="n"/>
      <c r="H1003" s="194" t="n"/>
      <c r="I1003" s="180" t="n"/>
      <c r="J1003" s="194" t="n"/>
      <c r="K1003" s="182" t="n"/>
      <c r="L1003" s="182" t="n"/>
      <c r="M1003" s="278" t="n"/>
      <c r="N1003" s="181" t="n"/>
      <c r="O1003" s="181" t="n"/>
      <c r="P1003" s="194" t="n"/>
      <c r="Q1003" s="180" t="n"/>
      <c r="R1003" s="180" t="n"/>
      <c r="S1003" s="182" t="n"/>
      <c r="T1003" s="57" t="n"/>
      <c r="U1003" s="529" t="n"/>
      <c r="V1003" s="55" t="n"/>
    </row>
    <row r="1004" ht="14.5" customHeight="1" s="344">
      <c r="A1004" s="180" t="n"/>
      <c r="B1004" s="182" t="n"/>
      <c r="C1004" s="278" t="n"/>
      <c r="D1004" s="181" t="n"/>
      <c r="E1004" s="182" t="n"/>
      <c r="F1004" s="278" t="n"/>
      <c r="G1004" s="182" t="n"/>
      <c r="H1004" s="194" t="n"/>
      <c r="I1004" s="180" t="n"/>
      <c r="J1004" s="194" t="n"/>
      <c r="K1004" s="182" t="n"/>
      <c r="L1004" s="182" t="n"/>
      <c r="M1004" s="278" t="n"/>
      <c r="N1004" s="181" t="n"/>
      <c r="O1004" s="181" t="n"/>
      <c r="P1004" s="194" t="n"/>
      <c r="Q1004" s="180" t="n"/>
      <c r="R1004" s="180" t="n"/>
      <c r="S1004" s="182" t="n"/>
      <c r="T1004" s="57" t="n"/>
      <c r="U1004" s="529" t="n"/>
      <c r="V1004" s="55" t="n"/>
    </row>
    <row r="1005" ht="14.5" customHeight="1" s="344">
      <c r="A1005" s="180" t="n"/>
      <c r="B1005" s="182" t="n"/>
      <c r="C1005" s="278" t="n"/>
      <c r="D1005" s="181" t="n"/>
      <c r="E1005" s="182" t="n"/>
      <c r="F1005" s="278" t="n"/>
      <c r="G1005" s="182" t="n"/>
      <c r="H1005" s="194" t="n"/>
      <c r="I1005" s="180" t="n"/>
      <c r="J1005" s="194" t="n"/>
      <c r="K1005" s="182" t="n"/>
      <c r="L1005" s="182" t="n"/>
      <c r="M1005" s="278" t="n"/>
      <c r="N1005" s="181" t="n"/>
      <c r="O1005" s="181" t="n"/>
      <c r="P1005" s="194" t="n"/>
      <c r="Q1005" s="180" t="n"/>
      <c r="R1005" s="180" t="n"/>
      <c r="S1005" s="182" t="n"/>
      <c r="T1005" s="57" t="n"/>
      <c r="U1005" s="529" t="n"/>
      <c r="V1005" s="55" t="n"/>
    </row>
    <row r="1006" ht="14.5" customHeight="1" s="344">
      <c r="A1006" s="180" t="n"/>
      <c r="B1006" s="182" t="n"/>
      <c r="C1006" s="278" t="n"/>
      <c r="D1006" s="181" t="n"/>
      <c r="E1006" s="182" t="n"/>
      <c r="F1006" s="278" t="n"/>
      <c r="G1006" s="182" t="n"/>
      <c r="H1006" s="194" t="n"/>
      <c r="I1006" s="180" t="n"/>
      <c r="J1006" s="194" t="n"/>
      <c r="K1006" s="182" t="n"/>
      <c r="L1006" s="182" t="n"/>
      <c r="M1006" s="278" t="n"/>
      <c r="N1006" s="181" t="n"/>
      <c r="O1006" s="181" t="n"/>
      <c r="P1006" s="194" t="n"/>
      <c r="Q1006" s="180" t="n"/>
      <c r="R1006" s="180" t="n"/>
      <c r="S1006" s="182" t="n"/>
      <c r="T1006" s="57" t="n"/>
      <c r="U1006" s="529" t="n"/>
      <c r="V1006" s="55" t="n"/>
    </row>
    <row r="1007" ht="14.5" customHeight="1" s="344">
      <c r="A1007" s="180" t="n"/>
      <c r="B1007" s="182" t="n"/>
      <c r="C1007" s="278" t="n"/>
      <c r="D1007" s="181" t="n"/>
      <c r="E1007" s="182" t="n"/>
      <c r="F1007" s="278" t="n"/>
      <c r="G1007" s="182" t="n"/>
      <c r="H1007" s="194" t="n"/>
      <c r="I1007" s="180" t="n"/>
      <c r="J1007" s="194" t="n"/>
      <c r="K1007" s="182" t="n"/>
      <c r="L1007" s="182" t="n"/>
      <c r="M1007" s="278" t="n"/>
      <c r="N1007" s="181" t="n"/>
      <c r="O1007" s="181" t="n"/>
      <c r="P1007" s="194" t="n"/>
      <c r="Q1007" s="180" t="n"/>
      <c r="R1007" s="180" t="n"/>
      <c r="S1007" s="182" t="n"/>
      <c r="T1007" s="57" t="n"/>
      <c r="U1007" s="529" t="n"/>
      <c r="V1007" s="55" t="n"/>
    </row>
    <row r="1008" ht="14.5" customHeight="1" s="344">
      <c r="A1008" s="180" t="n"/>
      <c r="B1008" s="182" t="n"/>
      <c r="C1008" s="278" t="n"/>
      <c r="D1008" s="181" t="n"/>
      <c r="E1008" s="182" t="n"/>
      <c r="F1008" s="278" t="n"/>
      <c r="G1008" s="182" t="n"/>
      <c r="H1008" s="194" t="n"/>
      <c r="I1008" s="180" t="n"/>
      <c r="J1008" s="194" t="n"/>
      <c r="K1008" s="182" t="n"/>
      <c r="L1008" s="182" t="n"/>
      <c r="M1008" s="278" t="n"/>
      <c r="N1008" s="181" t="n"/>
      <c r="O1008" s="181" t="n"/>
      <c r="P1008" s="194" t="n"/>
      <c r="Q1008" s="180" t="n"/>
      <c r="R1008" s="180" t="n"/>
      <c r="S1008" s="182" t="n"/>
      <c r="T1008" s="57" t="n"/>
      <c r="U1008" s="529" t="n"/>
      <c r="V1008" s="55" t="n"/>
    </row>
    <row r="1009" ht="14.5" customHeight="1" s="344">
      <c r="A1009" s="180" t="n"/>
      <c r="B1009" s="182" t="n"/>
      <c r="C1009" s="278" t="n"/>
      <c r="D1009" s="181" t="n"/>
      <c r="E1009" s="182" t="n"/>
      <c r="F1009" s="278" t="n"/>
      <c r="G1009" s="182" t="n"/>
      <c r="H1009" s="194" t="n"/>
      <c r="I1009" s="180" t="n"/>
      <c r="J1009" s="194" t="n"/>
      <c r="K1009" s="182" t="n"/>
      <c r="L1009" s="182" t="n"/>
      <c r="M1009" s="278" t="n"/>
      <c r="N1009" s="181" t="n"/>
      <c r="O1009" s="181" t="n"/>
      <c r="P1009" s="194" t="n"/>
      <c r="Q1009" s="180" t="n"/>
      <c r="R1009" s="180" t="n"/>
      <c r="S1009" s="182" t="n"/>
      <c r="T1009" s="57" t="n"/>
      <c r="U1009" s="529" t="n"/>
      <c r="V1009" s="55" t="n"/>
    </row>
    <row r="1010" ht="14.5" customHeight="1" s="344">
      <c r="A1010" s="180" t="n"/>
      <c r="B1010" s="182" t="n"/>
      <c r="C1010" s="278" t="n"/>
      <c r="D1010" s="181" t="n"/>
      <c r="E1010" s="182" t="n"/>
      <c r="F1010" s="278" t="n"/>
      <c r="G1010" s="182" t="n"/>
      <c r="H1010" s="194" t="n"/>
      <c r="I1010" s="180" t="n"/>
      <c r="J1010" s="194" t="n"/>
      <c r="K1010" s="182" t="n"/>
      <c r="L1010" s="182" t="n"/>
      <c r="M1010" s="278" t="n"/>
      <c r="N1010" s="181" t="n"/>
      <c r="O1010" s="181" t="n"/>
      <c r="P1010" s="194" t="n"/>
      <c r="Q1010" s="180" t="n"/>
      <c r="R1010" s="180" t="n"/>
      <c r="S1010" s="182" t="n"/>
      <c r="T1010" s="57" t="n"/>
      <c r="U1010" s="529" t="n"/>
      <c r="V1010" s="55" t="n"/>
    </row>
    <row r="1011" ht="21.5" customHeight="1" s="344">
      <c r="A1011" s="180" t="n"/>
      <c r="B1011" s="182" t="n"/>
      <c r="C1011" s="278" t="n"/>
      <c r="D1011" s="181" t="n"/>
      <c r="E1011" s="182" t="n"/>
      <c r="F1011" s="278" t="n"/>
      <c r="G1011" s="182" t="n"/>
      <c r="H1011" s="194" t="n"/>
      <c r="I1011" s="180" t="n"/>
      <c r="J1011" s="194" t="n"/>
      <c r="K1011" s="182" t="n"/>
      <c r="L1011" s="182" t="n"/>
      <c r="M1011" s="278" t="n"/>
      <c r="N1011" s="181" t="n"/>
      <c r="O1011" s="181" t="n"/>
      <c r="P1011" s="194" t="n"/>
      <c r="Q1011" s="180" t="n"/>
      <c r="R1011" s="180" t="n"/>
      <c r="S1011" s="182" t="n"/>
      <c r="T1011" s="57" t="n"/>
      <c r="U1011" s="529" t="n"/>
      <c r="V1011" s="55" t="n"/>
    </row>
    <row r="1012" ht="21.5" customHeight="1" s="344">
      <c r="A1012" s="180" t="n"/>
      <c r="B1012" s="182" t="n"/>
      <c r="C1012" s="278" t="n"/>
      <c r="D1012" s="181" t="n"/>
      <c r="E1012" s="182" t="n"/>
      <c r="F1012" s="278" t="n"/>
      <c r="G1012" s="182" t="n"/>
      <c r="H1012" s="194" t="n"/>
      <c r="I1012" s="180" t="n"/>
      <c r="J1012" s="194" t="n"/>
      <c r="K1012" s="182" t="n"/>
      <c r="L1012" s="182" t="n"/>
      <c r="M1012" s="278" t="n"/>
      <c r="N1012" s="181" t="n"/>
      <c r="O1012" s="181" t="n"/>
      <c r="P1012" s="194" t="n"/>
      <c r="Q1012" s="180" t="n"/>
      <c r="R1012" s="180" t="n"/>
      <c r="S1012" s="182" t="n"/>
      <c r="T1012" s="57" t="n"/>
      <c r="U1012" s="529" t="n"/>
      <c r="V1012" s="55" t="n"/>
    </row>
    <row r="1013" ht="21.5" customHeight="1" s="344">
      <c r="A1013" s="180" t="n"/>
      <c r="B1013" s="182" t="n"/>
      <c r="C1013" s="278" t="n"/>
      <c r="D1013" s="181" t="n"/>
      <c r="E1013" s="182" t="n"/>
      <c r="F1013" s="278" t="n"/>
      <c r="G1013" s="182" t="n"/>
      <c r="H1013" s="194" t="n"/>
      <c r="I1013" s="180" t="n"/>
      <c r="J1013" s="194" t="n"/>
      <c r="K1013" s="182" t="n"/>
      <c r="L1013" s="182" t="n"/>
      <c r="M1013" s="278" t="n"/>
      <c r="N1013" s="181" t="n"/>
      <c r="O1013" s="181" t="n"/>
      <c r="P1013" s="194" t="n"/>
      <c r="Q1013" s="180" t="n"/>
      <c r="R1013" s="180" t="n"/>
      <c r="S1013" s="182" t="n"/>
      <c r="T1013" s="57" t="n"/>
      <c r="U1013" s="529" t="n"/>
      <c r="V1013" s="55" t="n"/>
    </row>
    <row r="1014" ht="21.5" customHeight="1" s="344">
      <c r="A1014" s="180" t="n"/>
      <c r="B1014" s="182" t="n"/>
      <c r="C1014" s="278" t="n"/>
      <c r="D1014" s="181" t="n"/>
      <c r="E1014" s="182" t="n"/>
      <c r="F1014" s="278" t="n"/>
      <c r="G1014" s="182" t="n"/>
      <c r="H1014" s="194" t="n"/>
      <c r="I1014" s="180" t="n"/>
      <c r="J1014" s="194" t="n"/>
      <c r="K1014" s="182" t="n"/>
      <c r="L1014" s="182" t="n"/>
      <c r="M1014" s="278" t="n"/>
      <c r="N1014" s="181" t="n"/>
      <c r="O1014" s="181" t="n"/>
      <c r="P1014" s="194" t="n"/>
      <c r="Q1014" s="180" t="n"/>
      <c r="R1014" s="180" t="n"/>
      <c r="S1014" s="182" t="n"/>
      <c r="T1014" s="57" t="n"/>
      <c r="U1014" s="529" t="n"/>
      <c r="V1014" s="55" t="n"/>
    </row>
    <row r="1015" ht="14.5" customHeight="1" s="344">
      <c r="A1015" s="180" t="n"/>
      <c r="B1015" s="182" t="n"/>
      <c r="C1015" s="278" t="n"/>
      <c r="D1015" s="181" t="n"/>
      <c r="E1015" s="182" t="n"/>
      <c r="F1015" s="278" t="n"/>
      <c r="G1015" s="182" t="n"/>
      <c r="H1015" s="194" t="n"/>
      <c r="I1015" s="180" t="n"/>
      <c r="J1015" s="194" t="n"/>
      <c r="K1015" s="182" t="n"/>
      <c r="L1015" s="182" t="n"/>
      <c r="M1015" s="278" t="n"/>
      <c r="N1015" s="181" t="n"/>
      <c r="O1015" s="181" t="n"/>
      <c r="P1015" s="194" t="n"/>
      <c r="Q1015" s="180" t="n"/>
      <c r="R1015" s="180" t="n"/>
      <c r="S1015" s="182" t="n"/>
      <c r="T1015" s="57" t="n"/>
      <c r="U1015" s="529" t="n"/>
      <c r="V1015" s="55" t="n"/>
    </row>
    <row r="1016" ht="14.5" customHeight="1" s="344">
      <c r="A1016" s="180" t="n"/>
      <c r="B1016" s="182" t="n"/>
      <c r="C1016" s="278" t="n"/>
      <c r="D1016" s="181" t="n"/>
      <c r="E1016" s="182" t="n"/>
      <c r="F1016" s="278" t="n"/>
      <c r="G1016" s="182" t="n"/>
      <c r="H1016" s="194" t="n"/>
      <c r="I1016" s="180" t="n"/>
      <c r="J1016" s="194" t="n"/>
      <c r="K1016" s="182" t="n"/>
      <c r="L1016" s="182" t="n"/>
      <c r="M1016" s="278" t="n"/>
      <c r="N1016" s="181" t="n"/>
      <c r="O1016" s="181" t="n"/>
      <c r="P1016" s="194" t="n"/>
      <c r="Q1016" s="180" t="n"/>
      <c r="R1016" s="180" t="n"/>
      <c r="S1016" s="182" t="n"/>
      <c r="T1016" s="57" t="n"/>
      <c r="U1016" s="529" t="n"/>
      <c r="V1016" s="55" t="n"/>
    </row>
    <row r="1017" ht="14.5" customHeight="1" s="344">
      <c r="A1017" s="180" t="n"/>
      <c r="B1017" s="182" t="n"/>
      <c r="C1017" s="278" t="n"/>
      <c r="D1017" s="181" t="n"/>
      <c r="E1017" s="182" t="n"/>
      <c r="F1017" s="278" t="n"/>
      <c r="G1017" s="182" t="n"/>
      <c r="H1017" s="194" t="n"/>
      <c r="I1017" s="180" t="n"/>
      <c r="J1017" s="194" t="n"/>
      <c r="K1017" s="182" t="n"/>
      <c r="L1017" s="182" t="n"/>
      <c r="M1017" s="278" t="n"/>
      <c r="N1017" s="181" t="n"/>
      <c r="O1017" s="181" t="n"/>
      <c r="P1017" s="194" t="n"/>
      <c r="Q1017" s="180" t="n"/>
      <c r="R1017" s="180" t="n"/>
      <c r="S1017" s="182" t="n"/>
      <c r="T1017" s="57" t="n"/>
      <c r="U1017" s="529" t="n"/>
      <c r="V1017" s="55" t="n"/>
    </row>
    <row r="1018" ht="14.5" customHeight="1" s="344">
      <c r="A1018" s="180" t="n"/>
      <c r="B1018" s="182" t="n"/>
      <c r="C1018" s="278" t="n"/>
      <c r="D1018" s="181" t="n"/>
      <c r="E1018" s="182" t="n"/>
      <c r="F1018" s="278" t="n"/>
      <c r="G1018" s="182" t="n"/>
      <c r="H1018" s="194" t="n"/>
      <c r="I1018" s="180" t="n"/>
      <c r="J1018" s="194" t="n"/>
      <c r="K1018" s="182" t="n"/>
      <c r="L1018" s="182" t="n"/>
      <c r="M1018" s="278" t="n"/>
      <c r="N1018" s="181" t="n"/>
      <c r="O1018" s="181" t="n"/>
      <c r="P1018" s="194" t="n"/>
      <c r="Q1018" s="180" t="n"/>
      <c r="R1018" s="180" t="n"/>
      <c r="S1018" s="182" t="n"/>
      <c r="T1018" s="57" t="n"/>
      <c r="U1018" s="529" t="n"/>
      <c r="V1018" s="55" t="n"/>
    </row>
    <row r="1019" ht="14.5" customHeight="1" s="344">
      <c r="A1019" s="180" t="n"/>
      <c r="B1019" s="182" t="n"/>
      <c r="C1019" s="278" t="n"/>
      <c r="D1019" s="181" t="n"/>
      <c r="E1019" s="182" t="n"/>
      <c r="F1019" s="278" t="n"/>
      <c r="G1019" s="182" t="n"/>
      <c r="H1019" s="194" t="n"/>
      <c r="I1019" s="180" t="n"/>
      <c r="J1019" s="194" t="n"/>
      <c r="K1019" s="182" t="n"/>
      <c r="L1019" s="182" t="n"/>
      <c r="M1019" s="278" t="n"/>
      <c r="N1019" s="181" t="n"/>
      <c r="O1019" s="181" t="n"/>
      <c r="P1019" s="194" t="n"/>
      <c r="Q1019" s="180" t="n"/>
      <c r="R1019" s="180" t="n"/>
      <c r="S1019" s="182" t="n"/>
      <c r="T1019" s="57" t="n"/>
      <c r="U1019" s="529" t="n"/>
      <c r="V1019" s="55" t="n"/>
    </row>
    <row r="1020" ht="21.5" customHeight="1" s="344">
      <c r="A1020" s="180" t="n"/>
      <c r="B1020" s="182" t="n"/>
      <c r="C1020" s="278" t="n"/>
      <c r="D1020" s="181" t="n"/>
      <c r="E1020" s="182" t="n"/>
      <c r="F1020" s="278" t="n"/>
      <c r="G1020" s="182" t="n"/>
      <c r="H1020" s="194" t="n"/>
      <c r="I1020" s="180" t="n"/>
      <c r="J1020" s="194" t="n"/>
      <c r="K1020" s="182" t="n"/>
      <c r="L1020" s="182" t="n"/>
      <c r="M1020" s="278" t="n"/>
      <c r="N1020" s="181" t="n"/>
      <c r="O1020" s="181" t="n"/>
      <c r="P1020" s="194" t="n"/>
      <c r="Q1020" s="180" t="n"/>
      <c r="R1020" s="180" t="n"/>
      <c r="S1020" s="182" t="n"/>
      <c r="T1020" s="57" t="n"/>
      <c r="U1020" s="529" t="n"/>
      <c r="V1020" s="55" t="n"/>
    </row>
    <row r="1021" ht="14.5" customHeight="1" s="344">
      <c r="A1021" s="180" t="n"/>
      <c r="B1021" s="182" t="n"/>
      <c r="C1021" s="278" t="n"/>
      <c r="D1021" s="181" t="n"/>
      <c r="E1021" s="182" t="n"/>
      <c r="F1021" s="278" t="n"/>
      <c r="G1021" s="182" t="n"/>
      <c r="H1021" s="194" t="n"/>
      <c r="I1021" s="180" t="n"/>
      <c r="J1021" s="194" t="n"/>
      <c r="K1021" s="182" t="n"/>
      <c r="L1021" s="182" t="n"/>
      <c r="M1021" s="278" t="n"/>
      <c r="N1021" s="181" t="n"/>
      <c r="O1021" s="181" t="n"/>
      <c r="P1021" s="194" t="n"/>
      <c r="Q1021" s="180" t="n"/>
      <c r="R1021" s="180" t="n"/>
      <c r="S1021" s="182" t="n"/>
      <c r="T1021" s="57" t="n"/>
      <c r="U1021" s="529" t="n"/>
      <c r="V1021" s="55" t="n"/>
    </row>
    <row r="1022" ht="14.5" customHeight="1" s="344">
      <c r="A1022" s="180" t="n"/>
      <c r="B1022" s="182" t="n"/>
      <c r="C1022" s="278" t="n"/>
      <c r="D1022" s="181" t="n"/>
      <c r="E1022" s="182" t="n"/>
      <c r="F1022" s="278" t="n"/>
      <c r="G1022" s="182" t="n"/>
      <c r="H1022" s="194" t="n"/>
      <c r="I1022" s="180" t="n"/>
      <c r="J1022" s="194" t="n"/>
      <c r="K1022" s="182" t="n"/>
      <c r="L1022" s="182" t="n"/>
      <c r="M1022" s="278" t="n"/>
      <c r="N1022" s="181" t="n"/>
      <c r="O1022" s="181" t="n"/>
      <c r="P1022" s="194" t="n"/>
      <c r="Q1022" s="180" t="n"/>
      <c r="R1022" s="180" t="n"/>
      <c r="S1022" s="182" t="n"/>
      <c r="T1022" s="57" t="n"/>
      <c r="U1022" s="529" t="n"/>
      <c r="V1022" s="55" t="n"/>
    </row>
    <row r="1023" ht="31.5" customHeight="1" s="344">
      <c r="A1023" s="180" t="n"/>
      <c r="B1023" s="182" t="n"/>
      <c r="C1023" s="278" t="n"/>
      <c r="D1023" s="181" t="n"/>
      <c r="E1023" s="182" t="n"/>
      <c r="F1023" s="278" t="n"/>
      <c r="G1023" s="182" t="n"/>
      <c r="H1023" s="194" t="n"/>
      <c r="I1023" s="180" t="n"/>
      <c r="J1023" s="194" t="n"/>
      <c r="K1023" s="182" t="n"/>
      <c r="L1023" s="182" t="n"/>
      <c r="M1023" s="278" t="n"/>
      <c r="N1023" s="181" t="n"/>
      <c r="O1023" s="181" t="n"/>
      <c r="P1023" s="194" t="n"/>
      <c r="Q1023" s="180" t="n"/>
      <c r="R1023" s="180" t="n"/>
      <c r="S1023" s="182" t="n"/>
      <c r="T1023" s="57" t="n"/>
      <c r="U1023" s="529" t="n"/>
      <c r="V1023" s="55" t="n"/>
    </row>
    <row r="1024" ht="21.5" customHeight="1" s="344">
      <c r="A1024" s="180" t="n"/>
      <c r="B1024" s="182" t="n"/>
      <c r="C1024" s="278" t="n"/>
      <c r="D1024" s="181" t="n"/>
      <c r="E1024" s="182" t="n"/>
      <c r="F1024" s="278" t="n"/>
      <c r="G1024" s="182" t="n"/>
      <c r="H1024" s="194" t="n"/>
      <c r="I1024" s="180" t="n"/>
      <c r="J1024" s="194" t="n"/>
      <c r="K1024" s="182" t="n"/>
      <c r="L1024" s="182" t="n"/>
      <c r="M1024" s="278" t="n"/>
      <c r="N1024" s="181" t="n"/>
      <c r="O1024" s="181" t="n"/>
      <c r="P1024" s="194" t="n"/>
      <c r="Q1024" s="180" t="n"/>
      <c r="R1024" s="180" t="n"/>
      <c r="S1024" s="182" t="n"/>
      <c r="T1024" s="57" t="n"/>
      <c r="U1024" s="529" t="n"/>
      <c r="V1024" s="55" t="n"/>
    </row>
    <row r="1025" ht="21.5" customHeight="1" s="344">
      <c r="A1025" s="180" t="n"/>
      <c r="B1025" s="182" t="n"/>
      <c r="C1025" s="278" t="n"/>
      <c r="D1025" s="181" t="n"/>
      <c r="E1025" s="182" t="n"/>
      <c r="F1025" s="278" t="n"/>
      <c r="G1025" s="182" t="n"/>
      <c r="H1025" s="194" t="n"/>
      <c r="I1025" s="180" t="n"/>
      <c r="J1025" s="194" t="n"/>
      <c r="K1025" s="182" t="n"/>
      <c r="L1025" s="182" t="n"/>
      <c r="M1025" s="278" t="n"/>
      <c r="N1025" s="181" t="n"/>
      <c r="O1025" s="181" t="n"/>
      <c r="P1025" s="194" t="n"/>
      <c r="Q1025" s="180" t="n"/>
      <c r="R1025" s="180" t="n"/>
      <c r="S1025" s="182" t="n"/>
      <c r="T1025" s="57" t="n"/>
      <c r="U1025" s="529" t="n"/>
      <c r="V1025" s="55" t="n"/>
    </row>
    <row r="1026" ht="21.5" customHeight="1" s="344">
      <c r="A1026" s="180" t="n"/>
      <c r="B1026" s="182" t="n"/>
      <c r="C1026" s="278" t="n"/>
      <c r="D1026" s="181" t="n"/>
      <c r="E1026" s="182" t="n"/>
      <c r="F1026" s="278" t="n"/>
      <c r="G1026" s="182" t="n"/>
      <c r="H1026" s="194" t="n"/>
      <c r="I1026" s="180" t="n"/>
      <c r="J1026" s="194" t="n"/>
      <c r="K1026" s="182" t="n"/>
      <c r="L1026" s="182" t="n"/>
      <c r="M1026" s="278" t="n"/>
      <c r="N1026" s="181" t="n"/>
      <c r="O1026" s="181" t="n"/>
      <c r="P1026" s="194" t="n"/>
      <c r="Q1026" s="180" t="n"/>
      <c r="R1026" s="180" t="n"/>
      <c r="S1026" s="182" t="n"/>
      <c r="T1026" s="57" t="n"/>
      <c r="U1026" s="529" t="n"/>
      <c r="V1026" s="55" t="n"/>
    </row>
    <row r="1027" ht="14.5" customHeight="1" s="344">
      <c r="A1027" s="180" t="n"/>
      <c r="B1027" s="182" t="n"/>
      <c r="C1027" s="278" t="n"/>
      <c r="D1027" s="181" t="n"/>
      <c r="E1027" s="182" t="n"/>
      <c r="F1027" s="278" t="n"/>
      <c r="G1027" s="182" t="n"/>
      <c r="H1027" s="194" t="n"/>
      <c r="I1027" s="180" t="n"/>
      <c r="J1027" s="194" t="n"/>
      <c r="K1027" s="182" t="n"/>
      <c r="L1027" s="182" t="n"/>
      <c r="M1027" s="278" t="n"/>
      <c r="N1027" s="181" t="n"/>
      <c r="O1027" s="181" t="n"/>
      <c r="P1027" s="194" t="n"/>
      <c r="Q1027" s="180" t="n"/>
      <c r="R1027" s="180" t="n"/>
      <c r="S1027" s="182" t="n"/>
      <c r="T1027" s="57" t="n"/>
      <c r="U1027" s="529" t="n"/>
      <c r="V1027" s="55" t="n"/>
    </row>
    <row r="1028" ht="21.5" customHeight="1" s="344">
      <c r="A1028" s="180" t="n"/>
      <c r="B1028" s="182" t="n"/>
      <c r="C1028" s="278" t="n"/>
      <c r="D1028" s="181" t="n"/>
      <c r="E1028" s="182" t="n"/>
      <c r="F1028" s="278" t="n"/>
      <c r="G1028" s="182" t="n"/>
      <c r="H1028" s="194" t="n"/>
      <c r="I1028" s="180" t="n"/>
      <c r="J1028" s="194" t="n"/>
      <c r="K1028" s="182" t="n"/>
      <c r="L1028" s="182" t="n"/>
      <c r="M1028" s="278" t="n"/>
      <c r="N1028" s="181" t="n"/>
      <c r="O1028" s="181" t="n"/>
      <c r="P1028" s="194" t="n"/>
      <c r="Q1028" s="180" t="n"/>
      <c r="R1028" s="180" t="n"/>
      <c r="S1028" s="182" t="n"/>
      <c r="T1028" s="57" t="n"/>
      <c r="U1028" s="529" t="n"/>
      <c r="V1028" s="55" t="n"/>
    </row>
    <row r="1029" ht="21.5" customHeight="1" s="344">
      <c r="A1029" s="180" t="n"/>
      <c r="B1029" s="182" t="n"/>
      <c r="C1029" s="278" t="n"/>
      <c r="D1029" s="181" t="n"/>
      <c r="E1029" s="182" t="n"/>
      <c r="F1029" s="278" t="n"/>
      <c r="G1029" s="182" t="n"/>
      <c r="H1029" s="194" t="n"/>
      <c r="I1029" s="180" t="n"/>
      <c r="J1029" s="194" t="n"/>
      <c r="K1029" s="182" t="n"/>
      <c r="L1029" s="182" t="n"/>
      <c r="M1029" s="278" t="n"/>
      <c r="N1029" s="181" t="n"/>
      <c r="O1029" s="181" t="n"/>
      <c r="P1029" s="194" t="n"/>
      <c r="Q1029" s="180" t="n"/>
      <c r="R1029" s="180" t="n"/>
      <c r="S1029" s="182" t="n"/>
      <c r="T1029" s="57" t="n"/>
      <c r="U1029" s="529" t="n"/>
      <c r="V1029" s="55" t="n"/>
    </row>
    <row r="1030" ht="21.5" customHeight="1" s="344">
      <c r="A1030" s="180" t="n"/>
      <c r="B1030" s="182" t="n"/>
      <c r="C1030" s="278" t="n"/>
      <c r="D1030" s="181" t="n"/>
      <c r="E1030" s="182" t="n"/>
      <c r="F1030" s="278" t="n"/>
      <c r="G1030" s="182" t="n"/>
      <c r="H1030" s="194" t="n"/>
      <c r="I1030" s="180" t="n"/>
      <c r="J1030" s="194" t="n"/>
      <c r="K1030" s="182" t="n"/>
      <c r="L1030" s="182" t="n"/>
      <c r="M1030" s="278" t="n"/>
      <c r="N1030" s="181" t="n"/>
      <c r="O1030" s="181" t="n"/>
      <c r="P1030" s="194" t="n"/>
      <c r="Q1030" s="180" t="n"/>
      <c r="R1030" s="180" t="n"/>
      <c r="S1030" s="182" t="n"/>
      <c r="T1030" s="57" t="n"/>
      <c r="U1030" s="529" t="n"/>
      <c r="V1030" s="55" t="n"/>
    </row>
    <row r="1031" ht="21.5" customHeight="1" s="344">
      <c r="A1031" s="180" t="n"/>
      <c r="B1031" s="182" t="n"/>
      <c r="C1031" s="278" t="n"/>
      <c r="D1031" s="181" t="n"/>
      <c r="E1031" s="182" t="n"/>
      <c r="F1031" s="278" t="n"/>
      <c r="G1031" s="182" t="n"/>
      <c r="H1031" s="194" t="n"/>
      <c r="I1031" s="180" t="n"/>
      <c r="J1031" s="194" t="n"/>
      <c r="K1031" s="182" t="n"/>
      <c r="L1031" s="182" t="n"/>
      <c r="M1031" s="278" t="n"/>
      <c r="N1031" s="181" t="n"/>
      <c r="O1031" s="181" t="n"/>
      <c r="P1031" s="194" t="n"/>
      <c r="Q1031" s="180" t="n"/>
      <c r="R1031" s="180" t="n"/>
      <c r="S1031" s="182" t="n"/>
      <c r="T1031" s="57" t="n"/>
      <c r="U1031" s="529" t="n"/>
      <c r="V1031" s="55" t="n"/>
    </row>
    <row r="1032" ht="21.5" customHeight="1" s="344">
      <c r="A1032" s="180" t="n"/>
      <c r="B1032" s="182" t="n"/>
      <c r="C1032" s="278" t="n"/>
      <c r="D1032" s="181" t="n"/>
      <c r="E1032" s="182" t="n"/>
      <c r="F1032" s="278" t="n"/>
      <c r="G1032" s="182" t="n"/>
      <c r="H1032" s="194" t="n"/>
      <c r="I1032" s="180" t="n"/>
      <c r="J1032" s="194" t="n"/>
      <c r="K1032" s="182" t="n"/>
      <c r="L1032" s="182" t="n"/>
      <c r="M1032" s="278" t="n"/>
      <c r="N1032" s="181" t="n"/>
      <c r="O1032" s="181" t="n"/>
      <c r="P1032" s="194" t="n"/>
      <c r="Q1032" s="180" t="n"/>
      <c r="R1032" s="180" t="n"/>
      <c r="S1032" s="182" t="n"/>
      <c r="T1032" s="57" t="n"/>
      <c r="U1032" s="529" t="n"/>
      <c r="V1032" s="55" t="n"/>
    </row>
    <row r="1033" ht="14.5" customHeight="1" s="344">
      <c r="A1033" s="180" t="n"/>
      <c r="B1033" s="182" t="n"/>
      <c r="C1033" s="278" t="n"/>
      <c r="D1033" s="181" t="n"/>
      <c r="E1033" s="182" t="n"/>
      <c r="F1033" s="278" t="n"/>
      <c r="G1033" s="182" t="n"/>
      <c r="H1033" s="194" t="n"/>
      <c r="I1033" s="180" t="n"/>
      <c r="J1033" s="194" t="n"/>
      <c r="K1033" s="182" t="n"/>
      <c r="L1033" s="182" t="n"/>
      <c r="M1033" s="278" t="n"/>
      <c r="N1033" s="181" t="n"/>
      <c r="O1033" s="181" t="n"/>
      <c r="P1033" s="194" t="n"/>
      <c r="Q1033" s="180" t="n"/>
      <c r="R1033" s="180" t="n"/>
      <c r="S1033" s="182" t="n"/>
      <c r="T1033" s="57" t="n"/>
      <c r="U1033" s="529" t="n"/>
      <c r="V1033" s="55" t="n"/>
    </row>
    <row r="1034" ht="14.5" customHeight="1" s="344">
      <c r="A1034" s="180" t="n"/>
      <c r="B1034" s="182" t="n"/>
      <c r="C1034" s="278" t="n"/>
      <c r="D1034" s="181" t="n"/>
      <c r="E1034" s="182" t="n"/>
      <c r="F1034" s="278" t="n"/>
      <c r="G1034" s="182" t="n"/>
      <c r="H1034" s="194" t="n"/>
      <c r="I1034" s="180" t="n"/>
      <c r="J1034" s="194" t="n"/>
      <c r="K1034" s="182" t="n"/>
      <c r="L1034" s="182" t="n"/>
      <c r="M1034" s="278" t="n"/>
      <c r="N1034" s="181" t="n"/>
      <c r="O1034" s="181" t="n"/>
      <c r="P1034" s="194" t="n"/>
      <c r="Q1034" s="180" t="n"/>
      <c r="R1034" s="180" t="n"/>
      <c r="S1034" s="182" t="n"/>
      <c r="T1034" s="57" t="n"/>
      <c r="U1034" s="529" t="n"/>
      <c r="V1034" s="55" t="n"/>
    </row>
    <row r="1035" ht="21.5" customHeight="1" s="344">
      <c r="A1035" s="180" t="n"/>
      <c r="B1035" s="182" t="n"/>
      <c r="C1035" s="278" t="n"/>
      <c r="D1035" s="181" t="n"/>
      <c r="E1035" s="182" t="n"/>
      <c r="F1035" s="278" t="n"/>
      <c r="G1035" s="182" t="n"/>
      <c r="H1035" s="194" t="n"/>
      <c r="I1035" s="180" t="n"/>
      <c r="J1035" s="194" t="n"/>
      <c r="K1035" s="182" t="n"/>
      <c r="L1035" s="182" t="n"/>
      <c r="M1035" s="278" t="n"/>
      <c r="N1035" s="181" t="n"/>
      <c r="O1035" s="181" t="n"/>
      <c r="P1035" s="194" t="n"/>
      <c r="Q1035" s="180" t="n"/>
      <c r="R1035" s="180" t="n"/>
      <c r="S1035" s="182" t="n"/>
      <c r="T1035" s="57" t="n"/>
      <c r="U1035" s="529" t="n"/>
      <c r="V1035" s="55" t="n"/>
    </row>
    <row r="1036" ht="21.5" customHeight="1" s="344">
      <c r="A1036" s="180" t="n"/>
      <c r="B1036" s="182" t="n"/>
      <c r="C1036" s="278" t="n"/>
      <c r="D1036" s="181" t="n"/>
      <c r="E1036" s="182" t="n"/>
      <c r="F1036" s="278" t="n"/>
      <c r="G1036" s="182" t="n"/>
      <c r="H1036" s="194" t="n"/>
      <c r="I1036" s="180" t="n"/>
      <c r="J1036" s="194" t="n"/>
      <c r="K1036" s="182" t="n"/>
      <c r="L1036" s="182" t="n"/>
      <c r="M1036" s="278" t="n"/>
      <c r="N1036" s="181" t="n"/>
      <c r="O1036" s="181" t="n"/>
      <c r="P1036" s="194" t="n"/>
      <c r="Q1036" s="180" t="n"/>
      <c r="R1036" s="180" t="n"/>
      <c r="S1036" s="182" t="n"/>
      <c r="T1036" s="57" t="n"/>
      <c r="U1036" s="529" t="n"/>
      <c r="V1036" s="55" t="n"/>
    </row>
    <row r="1037" ht="21.5" customHeight="1" s="344">
      <c r="A1037" s="180" t="n"/>
      <c r="B1037" s="182" t="n"/>
      <c r="C1037" s="278" t="n"/>
      <c r="D1037" s="181" t="n"/>
      <c r="E1037" s="182" t="n"/>
      <c r="F1037" s="278" t="n"/>
      <c r="G1037" s="182" t="n"/>
      <c r="H1037" s="194" t="n"/>
      <c r="I1037" s="180" t="n"/>
      <c r="J1037" s="194" t="n"/>
      <c r="K1037" s="182" t="n"/>
      <c r="L1037" s="182" t="n"/>
      <c r="M1037" s="278" t="n"/>
      <c r="N1037" s="181" t="n"/>
      <c r="O1037" s="181" t="n"/>
      <c r="P1037" s="194" t="n"/>
      <c r="Q1037" s="180" t="n"/>
      <c r="R1037" s="180" t="n"/>
      <c r="S1037" s="182" t="n"/>
      <c r="T1037" s="57" t="n"/>
      <c r="U1037" s="529" t="n"/>
      <c r="V1037" s="55" t="n"/>
    </row>
    <row r="1038" ht="21.5" customHeight="1" s="344">
      <c r="A1038" s="180" t="n"/>
      <c r="B1038" s="182" t="n"/>
      <c r="C1038" s="278" t="n"/>
      <c r="D1038" s="181" t="n"/>
      <c r="E1038" s="182" t="n"/>
      <c r="F1038" s="278" t="n"/>
      <c r="G1038" s="182" t="n"/>
      <c r="H1038" s="194" t="n"/>
      <c r="I1038" s="180" t="n"/>
      <c r="J1038" s="194" t="n"/>
      <c r="K1038" s="182" t="n"/>
      <c r="L1038" s="182" t="n"/>
      <c r="M1038" s="278" t="n"/>
      <c r="N1038" s="181" t="n"/>
      <c r="O1038" s="181" t="n"/>
      <c r="P1038" s="194" t="n"/>
      <c r="Q1038" s="180" t="n"/>
      <c r="R1038" s="180" t="n"/>
      <c r="S1038" s="182" t="n"/>
      <c r="T1038" s="57" t="n"/>
      <c r="U1038" s="529" t="n"/>
      <c r="V1038" s="55" t="n"/>
    </row>
    <row r="1039" ht="14.5" customHeight="1" s="344">
      <c r="A1039" s="180" t="n"/>
      <c r="B1039" s="182" t="n"/>
      <c r="C1039" s="278" t="n"/>
      <c r="D1039" s="181" t="n"/>
      <c r="E1039" s="182" t="n"/>
      <c r="F1039" s="278" t="n"/>
      <c r="G1039" s="182" t="n"/>
      <c r="H1039" s="194" t="n"/>
      <c r="I1039" s="180" t="n"/>
      <c r="J1039" s="194" t="n"/>
      <c r="K1039" s="182" t="n"/>
      <c r="L1039" s="182" t="n"/>
      <c r="M1039" s="278" t="n"/>
      <c r="N1039" s="181" t="n"/>
      <c r="O1039" s="181" t="n"/>
      <c r="P1039" s="194" t="n"/>
      <c r="Q1039" s="180" t="n"/>
      <c r="R1039" s="180" t="n"/>
      <c r="S1039" s="182" t="n"/>
      <c r="T1039" s="57" t="n"/>
      <c r="U1039" s="529" t="n"/>
      <c r="V1039" s="55" t="n"/>
    </row>
    <row r="1040" ht="14.5" customHeight="1" s="344">
      <c r="A1040" s="180" t="n"/>
      <c r="B1040" s="182" t="n"/>
      <c r="C1040" s="278" t="n"/>
      <c r="D1040" s="181" t="n"/>
      <c r="E1040" s="182" t="n"/>
      <c r="F1040" s="278" t="n"/>
      <c r="G1040" s="182" t="n"/>
      <c r="H1040" s="194" t="n"/>
      <c r="I1040" s="180" t="n"/>
      <c r="J1040" s="194" t="n"/>
      <c r="K1040" s="182" t="n"/>
      <c r="L1040" s="182" t="n"/>
      <c r="M1040" s="278" t="n"/>
      <c r="N1040" s="181" t="n"/>
      <c r="O1040" s="181" t="n"/>
      <c r="P1040" s="194" t="n"/>
      <c r="Q1040" s="180" t="n"/>
      <c r="R1040" s="180" t="n"/>
      <c r="S1040" s="182" t="n"/>
      <c r="T1040" s="57" t="n"/>
      <c r="U1040" s="529" t="n"/>
      <c r="V1040" s="55" t="n"/>
    </row>
    <row r="1041" ht="14.5" customHeight="1" s="344">
      <c r="A1041" s="180" t="n"/>
      <c r="B1041" s="182" t="n"/>
      <c r="C1041" s="278" t="n"/>
      <c r="D1041" s="181" t="n"/>
      <c r="E1041" s="182" t="n"/>
      <c r="F1041" s="278" t="n"/>
      <c r="G1041" s="182" t="n"/>
      <c r="H1041" s="194" t="n"/>
      <c r="I1041" s="180" t="n"/>
      <c r="J1041" s="194" t="n"/>
      <c r="K1041" s="182" t="n"/>
      <c r="L1041" s="182" t="n"/>
      <c r="M1041" s="278" t="n"/>
      <c r="N1041" s="181" t="n"/>
      <c r="O1041" s="181" t="n"/>
      <c r="P1041" s="194" t="n"/>
      <c r="Q1041" s="180" t="n"/>
      <c r="R1041" s="180" t="n"/>
      <c r="S1041" s="182" t="n"/>
      <c r="T1041" s="57" t="n"/>
      <c r="U1041" s="529" t="n"/>
      <c r="V1041" s="55" t="n"/>
    </row>
    <row r="1042" ht="14.5" customHeight="1" s="344">
      <c r="A1042" s="180" t="n"/>
      <c r="B1042" s="182" t="n"/>
      <c r="C1042" s="278" t="n"/>
      <c r="D1042" s="181" t="n"/>
      <c r="E1042" s="182" t="n"/>
      <c r="F1042" s="278" t="n"/>
      <c r="G1042" s="182" t="n"/>
      <c r="H1042" s="194" t="n"/>
      <c r="I1042" s="180" t="n"/>
      <c r="J1042" s="194" t="n"/>
      <c r="K1042" s="182" t="n"/>
      <c r="L1042" s="182" t="n"/>
      <c r="M1042" s="278" t="n"/>
      <c r="N1042" s="181" t="n"/>
      <c r="O1042" s="181" t="n"/>
      <c r="P1042" s="194" t="n"/>
      <c r="Q1042" s="180" t="n"/>
      <c r="R1042" s="180" t="n"/>
      <c r="S1042" s="182" t="n"/>
      <c r="T1042" s="57" t="n"/>
      <c r="U1042" s="529" t="n"/>
      <c r="V1042" s="55" t="n"/>
    </row>
    <row r="1043" ht="21.5" customHeight="1" s="344">
      <c r="A1043" s="180" t="n"/>
      <c r="B1043" s="182" t="n"/>
      <c r="C1043" s="278" t="n"/>
      <c r="D1043" s="181" t="n"/>
      <c r="E1043" s="182" t="n"/>
      <c r="F1043" s="278" t="n"/>
      <c r="G1043" s="182" t="n"/>
      <c r="H1043" s="194" t="n"/>
      <c r="I1043" s="180" t="n"/>
      <c r="J1043" s="194" t="n"/>
      <c r="K1043" s="182" t="n"/>
      <c r="L1043" s="182" t="n"/>
      <c r="M1043" s="278" t="n"/>
      <c r="N1043" s="181" t="n"/>
      <c r="O1043" s="181" t="n"/>
      <c r="P1043" s="194" t="n"/>
      <c r="Q1043" s="180" t="n"/>
      <c r="R1043" s="180" t="n"/>
      <c r="S1043" s="182" t="n"/>
      <c r="T1043" s="57" t="n"/>
      <c r="U1043" s="529" t="n"/>
      <c r="V1043" s="55" t="n"/>
    </row>
    <row r="1044" ht="21.5" customHeight="1" s="344">
      <c r="A1044" s="180" t="n"/>
      <c r="B1044" s="182" t="n"/>
      <c r="C1044" s="278" t="n"/>
      <c r="D1044" s="181" t="n"/>
      <c r="E1044" s="182" t="n"/>
      <c r="F1044" s="278" t="n"/>
      <c r="G1044" s="182" t="n"/>
      <c r="H1044" s="194" t="n"/>
      <c r="I1044" s="180" t="n"/>
      <c r="J1044" s="194" t="n"/>
      <c r="K1044" s="182" t="n"/>
      <c r="L1044" s="182" t="n"/>
      <c r="M1044" s="278" t="n"/>
      <c r="N1044" s="181" t="n"/>
      <c r="O1044" s="181" t="n"/>
      <c r="P1044" s="194" t="n"/>
      <c r="Q1044" s="180" t="n"/>
      <c r="R1044" s="180" t="n"/>
      <c r="S1044" s="182" t="n"/>
      <c r="T1044" s="57" t="n"/>
      <c r="U1044" s="529" t="n"/>
      <c r="V1044" s="55" t="n"/>
    </row>
    <row r="1045" ht="21.5" customHeight="1" s="344">
      <c r="A1045" s="180" t="n"/>
      <c r="B1045" s="182" t="n"/>
      <c r="C1045" s="278" t="n"/>
      <c r="D1045" s="181" t="n"/>
      <c r="E1045" s="182" t="n"/>
      <c r="F1045" s="278" t="n"/>
      <c r="G1045" s="182" t="n"/>
      <c r="H1045" s="194" t="n"/>
      <c r="I1045" s="180" t="n"/>
      <c r="J1045" s="194" t="n"/>
      <c r="K1045" s="182" t="n"/>
      <c r="L1045" s="182" t="n"/>
      <c r="M1045" s="278" t="n"/>
      <c r="N1045" s="181" t="n"/>
      <c r="O1045" s="181" t="n"/>
      <c r="P1045" s="194" t="n"/>
      <c r="Q1045" s="180" t="n"/>
      <c r="R1045" s="180" t="n"/>
      <c r="S1045" s="182" t="n"/>
      <c r="T1045" s="57" t="n"/>
      <c r="U1045" s="529" t="n"/>
      <c r="V1045" s="55" t="n"/>
    </row>
    <row r="1046" ht="21.5" customHeight="1" s="344">
      <c r="A1046" s="180" t="n"/>
      <c r="B1046" s="182" t="n"/>
      <c r="C1046" s="278" t="n"/>
      <c r="D1046" s="181" t="n"/>
      <c r="E1046" s="182" t="n"/>
      <c r="F1046" s="278" t="n"/>
      <c r="G1046" s="182" t="n"/>
      <c r="H1046" s="194" t="n"/>
      <c r="I1046" s="180" t="n"/>
      <c r="J1046" s="194" t="n"/>
      <c r="K1046" s="182" t="n"/>
      <c r="L1046" s="182" t="n"/>
      <c r="M1046" s="278" t="n"/>
      <c r="N1046" s="181" t="n"/>
      <c r="O1046" s="181" t="n"/>
      <c r="P1046" s="194" t="n"/>
      <c r="Q1046" s="180" t="n"/>
      <c r="R1046" s="180" t="n"/>
      <c r="S1046" s="182" t="n"/>
      <c r="T1046" s="57" t="n"/>
      <c r="U1046" s="529" t="n"/>
      <c r="V1046" s="55" t="n"/>
    </row>
    <row r="1047" ht="21.5" customHeight="1" s="344">
      <c r="A1047" s="180" t="n"/>
      <c r="B1047" s="182" t="n"/>
      <c r="C1047" s="278" t="n"/>
      <c r="D1047" s="181" t="n"/>
      <c r="E1047" s="182" t="n"/>
      <c r="F1047" s="278" t="n"/>
      <c r="G1047" s="182" t="n"/>
      <c r="H1047" s="194" t="n"/>
      <c r="I1047" s="180" t="n"/>
      <c r="J1047" s="194" t="n"/>
      <c r="K1047" s="182" t="n"/>
      <c r="L1047" s="182" t="n"/>
      <c r="M1047" s="278" t="n"/>
      <c r="N1047" s="181" t="n"/>
      <c r="O1047" s="181" t="n"/>
      <c r="P1047" s="194" t="n"/>
      <c r="Q1047" s="180" t="n"/>
      <c r="R1047" s="180" t="n"/>
      <c r="S1047" s="182" t="n"/>
      <c r="T1047" s="57" t="n"/>
      <c r="U1047" s="529" t="n"/>
      <c r="V1047" s="55" t="n"/>
    </row>
    <row r="1048" ht="21.5" customHeight="1" s="344">
      <c r="A1048" s="180" t="n"/>
      <c r="B1048" s="182" t="n"/>
      <c r="C1048" s="278" t="n"/>
      <c r="D1048" s="181" t="n"/>
      <c r="E1048" s="182" t="n"/>
      <c r="F1048" s="278" t="n"/>
      <c r="G1048" s="182" t="n"/>
      <c r="H1048" s="194" t="n"/>
      <c r="I1048" s="180" t="n"/>
      <c r="J1048" s="194" t="n"/>
      <c r="K1048" s="182" t="n"/>
      <c r="L1048" s="182" t="n"/>
      <c r="M1048" s="278" t="n"/>
      <c r="N1048" s="181" t="n"/>
      <c r="O1048" s="181" t="n"/>
      <c r="P1048" s="194" t="n"/>
      <c r="Q1048" s="180" t="n"/>
      <c r="R1048" s="180" t="n"/>
      <c r="S1048" s="182" t="n"/>
      <c r="T1048" s="57" t="n"/>
      <c r="U1048" s="529" t="n"/>
      <c r="V1048" s="55" t="n"/>
    </row>
    <row r="1049" ht="14.5" customHeight="1" s="344">
      <c r="A1049" s="180" t="n"/>
      <c r="B1049" s="182" t="n"/>
      <c r="C1049" s="278" t="n"/>
      <c r="D1049" s="181" t="n"/>
      <c r="E1049" s="182" t="n"/>
      <c r="F1049" s="278" t="n"/>
      <c r="G1049" s="182" t="n"/>
      <c r="H1049" s="194" t="n"/>
      <c r="I1049" s="180" t="n"/>
      <c r="J1049" s="194" t="n"/>
      <c r="K1049" s="182" t="n"/>
      <c r="L1049" s="182" t="n"/>
      <c r="M1049" s="278" t="n"/>
      <c r="N1049" s="181" t="n"/>
      <c r="O1049" s="181" t="n"/>
      <c r="P1049" s="194" t="n"/>
      <c r="Q1049" s="180" t="n"/>
      <c r="R1049" s="180" t="n"/>
      <c r="S1049" s="182" t="n"/>
      <c r="T1049" s="57" t="n"/>
      <c r="U1049" s="529" t="n"/>
      <c r="V1049" s="55" t="n"/>
    </row>
    <row r="1050" ht="14.5" customHeight="1" s="344">
      <c r="A1050" s="180" t="n"/>
      <c r="B1050" s="182" t="n"/>
      <c r="C1050" s="278" t="n"/>
      <c r="D1050" s="181" t="n"/>
      <c r="E1050" s="182" t="n"/>
      <c r="F1050" s="278" t="n"/>
      <c r="G1050" s="182" t="n"/>
      <c r="H1050" s="194" t="n"/>
      <c r="I1050" s="180" t="n"/>
      <c r="J1050" s="194" t="n"/>
      <c r="K1050" s="182" t="n"/>
      <c r="L1050" s="182" t="n"/>
      <c r="M1050" s="278" t="n"/>
      <c r="N1050" s="181" t="n"/>
      <c r="O1050" s="181" t="n"/>
      <c r="P1050" s="194" t="n"/>
      <c r="Q1050" s="180" t="n"/>
      <c r="R1050" s="180" t="n"/>
      <c r="S1050" s="182" t="n"/>
      <c r="T1050" s="57" t="n"/>
      <c r="U1050" s="529" t="n"/>
      <c r="V1050" s="55" t="n"/>
    </row>
    <row r="1051" ht="21.5" customHeight="1" s="344">
      <c r="A1051" s="180" t="n"/>
      <c r="B1051" s="182" t="n"/>
      <c r="C1051" s="278" t="n"/>
      <c r="D1051" s="181" t="n"/>
      <c r="E1051" s="182" t="n"/>
      <c r="F1051" s="278" t="n"/>
      <c r="G1051" s="182" t="n"/>
      <c r="H1051" s="194" t="n"/>
      <c r="I1051" s="180" t="n"/>
      <c r="J1051" s="194" t="n"/>
      <c r="K1051" s="182" t="n"/>
      <c r="L1051" s="182" t="n"/>
      <c r="M1051" s="278" t="n"/>
      <c r="N1051" s="181" t="n"/>
      <c r="O1051" s="181" t="n"/>
      <c r="P1051" s="194" t="n"/>
      <c r="Q1051" s="180" t="n"/>
      <c r="R1051" s="180" t="n"/>
      <c r="S1051" s="182" t="n"/>
      <c r="T1051" s="57" t="n"/>
      <c r="U1051" s="529" t="n"/>
      <c r="V1051" s="55" t="n"/>
    </row>
    <row r="1052" ht="21.5" customHeight="1" s="344">
      <c r="A1052" s="180" t="n"/>
      <c r="B1052" s="182" t="n"/>
      <c r="C1052" s="278" t="n"/>
      <c r="D1052" s="181" t="n"/>
      <c r="E1052" s="182" t="n"/>
      <c r="F1052" s="278" t="n"/>
      <c r="G1052" s="182" t="n"/>
      <c r="H1052" s="194" t="n"/>
      <c r="I1052" s="180" t="n"/>
      <c r="J1052" s="194" t="n"/>
      <c r="K1052" s="182" t="n"/>
      <c r="L1052" s="182" t="n"/>
      <c r="M1052" s="278" t="n"/>
      <c r="N1052" s="181" t="n"/>
      <c r="O1052" s="181" t="n"/>
      <c r="P1052" s="194" t="n"/>
      <c r="Q1052" s="180" t="n"/>
      <c r="R1052" s="180" t="n"/>
      <c r="S1052" s="182" t="n"/>
      <c r="T1052" s="57" t="n"/>
      <c r="U1052" s="529" t="n"/>
      <c r="V1052" s="55" t="n"/>
    </row>
    <row r="1053" ht="21.5" customHeight="1" s="344">
      <c r="A1053" s="180" t="n"/>
      <c r="B1053" s="182" t="n"/>
      <c r="C1053" s="278" t="n"/>
      <c r="D1053" s="181" t="n"/>
      <c r="E1053" s="182" t="n"/>
      <c r="F1053" s="278" t="n"/>
      <c r="G1053" s="182" t="n"/>
      <c r="H1053" s="194" t="n"/>
      <c r="I1053" s="180" t="n"/>
      <c r="J1053" s="194" t="n"/>
      <c r="K1053" s="182" t="n"/>
      <c r="L1053" s="182" t="n"/>
      <c r="M1053" s="278" t="n"/>
      <c r="N1053" s="181" t="n"/>
      <c r="O1053" s="181" t="n"/>
      <c r="P1053" s="194" t="n"/>
      <c r="Q1053" s="180" t="n"/>
      <c r="R1053" s="180" t="n"/>
      <c r="S1053" s="182" t="n"/>
      <c r="T1053" s="57" t="n"/>
      <c r="U1053" s="529" t="n"/>
      <c r="V1053" s="55" t="n"/>
    </row>
    <row r="1054" ht="21.5" customHeight="1" s="344">
      <c r="A1054" s="180" t="n"/>
      <c r="B1054" s="182" t="n"/>
      <c r="C1054" s="278" t="n"/>
      <c r="D1054" s="181" t="n"/>
      <c r="E1054" s="182" t="n"/>
      <c r="F1054" s="278" t="n"/>
      <c r="G1054" s="182" t="n"/>
      <c r="H1054" s="194" t="n"/>
      <c r="I1054" s="180" t="n"/>
      <c r="J1054" s="194" t="n"/>
      <c r="K1054" s="182" t="n"/>
      <c r="L1054" s="182" t="n"/>
      <c r="M1054" s="278" t="n"/>
      <c r="N1054" s="181" t="n"/>
      <c r="O1054" s="181" t="n"/>
      <c r="P1054" s="194" t="n"/>
      <c r="Q1054" s="180" t="n"/>
      <c r="R1054" s="180" t="n"/>
      <c r="S1054" s="182" t="n"/>
      <c r="T1054" s="57" t="n"/>
      <c r="U1054" s="529" t="n"/>
      <c r="V1054" s="55" t="n"/>
    </row>
    <row r="1055" ht="14.5" customHeight="1" s="344">
      <c r="A1055" s="180" t="n"/>
      <c r="B1055" s="182" t="n"/>
      <c r="C1055" s="278" t="n"/>
      <c r="D1055" s="181" t="n"/>
      <c r="E1055" s="182" t="n"/>
      <c r="F1055" s="278" t="n"/>
      <c r="G1055" s="182" t="n"/>
      <c r="H1055" s="194" t="n"/>
      <c r="I1055" s="180" t="n"/>
      <c r="J1055" s="194" t="n"/>
      <c r="K1055" s="182" t="n"/>
      <c r="L1055" s="182" t="n"/>
      <c r="M1055" s="278" t="n"/>
      <c r="N1055" s="181" t="n"/>
      <c r="O1055" s="181" t="n"/>
      <c r="P1055" s="194" t="n"/>
      <c r="Q1055" s="180" t="n"/>
      <c r="R1055" s="180" t="n"/>
      <c r="S1055" s="182" t="n"/>
      <c r="T1055" s="57" t="n"/>
      <c r="U1055" s="529" t="n"/>
      <c r="V1055" s="55" t="n"/>
    </row>
    <row r="1056" ht="14.5" customHeight="1" s="344">
      <c r="A1056" s="180" t="n"/>
      <c r="B1056" s="182" t="n"/>
      <c r="C1056" s="278" t="n"/>
      <c r="D1056" s="181" t="n"/>
      <c r="E1056" s="182" t="n"/>
      <c r="F1056" s="278" t="n"/>
      <c r="G1056" s="182" t="n"/>
      <c r="H1056" s="194" t="n"/>
      <c r="I1056" s="180" t="n"/>
      <c r="J1056" s="194" t="n"/>
      <c r="K1056" s="182" t="n"/>
      <c r="L1056" s="182" t="n"/>
      <c r="M1056" s="278" t="n"/>
      <c r="N1056" s="181" t="n"/>
      <c r="O1056" s="181" t="n"/>
      <c r="P1056" s="194" t="n"/>
      <c r="Q1056" s="180" t="n"/>
      <c r="R1056" s="180" t="n"/>
      <c r="S1056" s="182" t="n"/>
      <c r="T1056" s="57" t="n"/>
      <c r="U1056" s="529" t="n"/>
      <c r="V1056" s="55" t="n"/>
    </row>
    <row r="1057" ht="14.5" customHeight="1" s="344">
      <c r="A1057" s="180" t="n"/>
      <c r="B1057" s="182" t="n"/>
      <c r="C1057" s="278" t="n"/>
      <c r="D1057" s="181" t="n"/>
      <c r="E1057" s="182" t="n"/>
      <c r="F1057" s="278" t="n"/>
      <c r="G1057" s="182" t="n"/>
      <c r="H1057" s="194" t="n"/>
      <c r="I1057" s="180" t="n"/>
      <c r="J1057" s="194" t="n"/>
      <c r="K1057" s="182" t="n"/>
      <c r="L1057" s="182" t="n"/>
      <c r="M1057" s="278" t="n"/>
      <c r="N1057" s="181" t="n"/>
      <c r="O1057" s="181" t="n"/>
      <c r="P1057" s="194" t="n"/>
      <c r="Q1057" s="180" t="n"/>
      <c r="R1057" s="180" t="n"/>
      <c r="S1057" s="182" t="n"/>
      <c r="T1057" s="57" t="n"/>
      <c r="U1057" s="529" t="n"/>
      <c r="V1057" s="55" t="n"/>
    </row>
    <row r="1058" ht="14.5" customHeight="1" s="344">
      <c r="A1058" s="180" t="n"/>
      <c r="B1058" s="182" t="n"/>
      <c r="C1058" s="278" t="n"/>
      <c r="D1058" s="181" t="n"/>
      <c r="E1058" s="182" t="n"/>
      <c r="F1058" s="278" t="n"/>
      <c r="G1058" s="182" t="n"/>
      <c r="H1058" s="194" t="n"/>
      <c r="I1058" s="180" t="n"/>
      <c r="J1058" s="194" t="n"/>
      <c r="K1058" s="182" t="n"/>
      <c r="L1058" s="182" t="n"/>
      <c r="M1058" s="278" t="n"/>
      <c r="N1058" s="181" t="n"/>
      <c r="O1058" s="181" t="n"/>
      <c r="P1058" s="194" t="n"/>
      <c r="Q1058" s="180" t="n"/>
      <c r="R1058" s="180" t="n"/>
      <c r="S1058" s="182" t="n"/>
      <c r="T1058" s="57" t="n"/>
      <c r="U1058" s="529" t="n"/>
      <c r="V1058" s="55" t="n"/>
    </row>
    <row r="1059" ht="21.5" customHeight="1" s="344">
      <c r="A1059" s="180" t="n"/>
      <c r="B1059" s="182" t="n"/>
      <c r="C1059" s="278" t="n"/>
      <c r="D1059" s="181" t="n"/>
      <c r="E1059" s="182" t="n"/>
      <c r="F1059" s="278" t="n"/>
      <c r="G1059" s="182" t="n"/>
      <c r="H1059" s="194" t="n"/>
      <c r="I1059" s="180" t="n"/>
      <c r="J1059" s="194" t="n"/>
      <c r="K1059" s="182" t="n"/>
      <c r="L1059" s="182" t="n"/>
      <c r="M1059" s="278" t="n"/>
      <c r="N1059" s="181" t="n"/>
      <c r="O1059" s="181" t="n"/>
      <c r="P1059" s="194" t="n"/>
      <c r="Q1059" s="180" t="n"/>
      <c r="R1059" s="180" t="n"/>
      <c r="S1059" s="182" t="n"/>
      <c r="T1059" s="57" t="n"/>
      <c r="U1059" s="529" t="n"/>
      <c r="V1059" s="55" t="n"/>
    </row>
    <row r="1060" ht="21.5" customHeight="1" s="344">
      <c r="A1060" s="180" t="n"/>
      <c r="B1060" s="182" t="n"/>
      <c r="C1060" s="278" t="n"/>
      <c r="D1060" s="181" t="n"/>
      <c r="E1060" s="182" t="n"/>
      <c r="F1060" s="278" t="n"/>
      <c r="G1060" s="182" t="n"/>
      <c r="H1060" s="194" t="n"/>
      <c r="I1060" s="180" t="n"/>
      <c r="J1060" s="194" t="n"/>
      <c r="K1060" s="182" t="n"/>
      <c r="L1060" s="182" t="n"/>
      <c r="M1060" s="278" t="n"/>
      <c r="N1060" s="181" t="n"/>
      <c r="O1060" s="181" t="n"/>
      <c r="P1060" s="194" t="n"/>
      <c r="Q1060" s="180" t="n"/>
      <c r="R1060" s="180" t="n"/>
      <c r="S1060" s="182" t="n"/>
      <c r="T1060" s="57" t="n"/>
      <c r="U1060" s="529" t="n"/>
      <c r="V1060" s="55" t="n"/>
    </row>
    <row r="1061" ht="21.5" customHeight="1" s="344">
      <c r="A1061" s="180" t="n"/>
      <c r="B1061" s="182" t="n"/>
      <c r="C1061" s="278" t="n"/>
      <c r="D1061" s="181" t="n"/>
      <c r="E1061" s="182" t="n"/>
      <c r="F1061" s="278" t="n"/>
      <c r="G1061" s="182" t="n"/>
      <c r="H1061" s="194" t="n"/>
      <c r="I1061" s="180" t="n"/>
      <c r="J1061" s="194" t="n"/>
      <c r="K1061" s="182" t="n"/>
      <c r="L1061" s="182" t="n"/>
      <c r="M1061" s="278" t="n"/>
      <c r="N1061" s="181" t="n"/>
      <c r="O1061" s="181" t="n"/>
      <c r="P1061" s="194" t="n"/>
      <c r="Q1061" s="180" t="n"/>
      <c r="R1061" s="180" t="n"/>
      <c r="S1061" s="182" t="n"/>
      <c r="T1061" s="57" t="n"/>
      <c r="U1061" s="529" t="n"/>
      <c r="V1061" s="55" t="n"/>
    </row>
    <row r="1062" ht="21.5" customHeight="1" s="344">
      <c r="A1062" s="180" t="n"/>
      <c r="B1062" s="182" t="n"/>
      <c r="C1062" s="278" t="n"/>
      <c r="D1062" s="181" t="n"/>
      <c r="E1062" s="182" t="n"/>
      <c r="F1062" s="278" t="n"/>
      <c r="G1062" s="182" t="n"/>
      <c r="H1062" s="194" t="n"/>
      <c r="I1062" s="180" t="n"/>
      <c r="J1062" s="194" t="n"/>
      <c r="K1062" s="182" t="n"/>
      <c r="L1062" s="182" t="n"/>
      <c r="M1062" s="278" t="n"/>
      <c r="N1062" s="181" t="n"/>
      <c r="O1062" s="181" t="n"/>
      <c r="P1062" s="194" t="n"/>
      <c r="Q1062" s="180" t="n"/>
      <c r="R1062" s="180" t="n"/>
      <c r="S1062" s="182" t="n"/>
      <c r="T1062" s="57" t="n"/>
      <c r="U1062" s="529" t="n"/>
      <c r="V1062" s="55" t="n"/>
    </row>
    <row r="1063" ht="21.5" customHeight="1" s="344">
      <c r="A1063" s="180" t="n"/>
      <c r="B1063" s="182" t="n"/>
      <c r="C1063" s="278" t="n"/>
      <c r="D1063" s="181" t="n"/>
      <c r="E1063" s="182" t="n"/>
      <c r="F1063" s="278" t="n"/>
      <c r="G1063" s="182" t="n"/>
      <c r="H1063" s="194" t="n"/>
      <c r="I1063" s="180" t="n"/>
      <c r="J1063" s="194" t="n"/>
      <c r="K1063" s="182" t="n"/>
      <c r="L1063" s="182" t="n"/>
      <c r="M1063" s="278" t="n"/>
      <c r="N1063" s="181" t="n"/>
      <c r="O1063" s="181" t="n"/>
      <c r="P1063" s="194" t="n"/>
      <c r="Q1063" s="180" t="n"/>
      <c r="R1063" s="180" t="n"/>
      <c r="S1063" s="182" t="n"/>
      <c r="T1063" s="57" t="n"/>
      <c r="U1063" s="529" t="n"/>
      <c r="V1063" s="55" t="n"/>
    </row>
    <row r="1064" ht="14.5" customHeight="1" s="344">
      <c r="A1064" s="180" t="n"/>
      <c r="B1064" s="182" t="n"/>
      <c r="C1064" s="278" t="n"/>
      <c r="D1064" s="181" t="n"/>
      <c r="E1064" s="182" t="n"/>
      <c r="F1064" s="278" t="n"/>
      <c r="G1064" s="182" t="n"/>
      <c r="H1064" s="194" t="n"/>
      <c r="I1064" s="180" t="n"/>
      <c r="J1064" s="194" t="n"/>
      <c r="K1064" s="182" t="n"/>
      <c r="L1064" s="182" t="n"/>
      <c r="M1064" s="278" t="n"/>
      <c r="N1064" s="181" t="n"/>
      <c r="O1064" s="181" t="n"/>
      <c r="P1064" s="194" t="n"/>
      <c r="Q1064" s="180" t="n"/>
      <c r="R1064" s="180" t="n"/>
      <c r="S1064" s="182" t="n"/>
      <c r="T1064" s="57" t="n"/>
      <c r="U1064" s="529" t="n"/>
      <c r="V1064" s="55" t="n"/>
    </row>
    <row r="1065" ht="14.5" customHeight="1" s="344">
      <c r="A1065" s="180" t="n"/>
      <c r="B1065" s="182" t="n"/>
      <c r="C1065" s="278" t="n"/>
      <c r="D1065" s="181" t="n"/>
      <c r="E1065" s="182" t="n"/>
      <c r="F1065" s="278" t="n"/>
      <c r="G1065" s="182" t="n"/>
      <c r="H1065" s="194" t="n"/>
      <c r="I1065" s="180" t="n"/>
      <c r="J1065" s="194" t="n"/>
      <c r="K1065" s="182" t="n"/>
      <c r="L1065" s="182" t="n"/>
      <c r="M1065" s="278" t="n"/>
      <c r="N1065" s="181" t="n"/>
      <c r="O1065" s="181" t="n"/>
      <c r="P1065" s="194" t="n"/>
      <c r="Q1065" s="180" t="n"/>
      <c r="R1065" s="180" t="n"/>
      <c r="S1065" s="182" t="n"/>
      <c r="T1065" s="57" t="n"/>
      <c r="U1065" s="529" t="n"/>
      <c r="V1065" s="55" t="n"/>
    </row>
    <row r="1066" ht="14.5" customHeight="1" s="344">
      <c r="A1066" s="180" t="n"/>
      <c r="B1066" s="182" t="n"/>
      <c r="C1066" s="278" t="n"/>
      <c r="D1066" s="181" t="n"/>
      <c r="E1066" s="182" t="n"/>
      <c r="F1066" s="278" t="n"/>
      <c r="G1066" s="182" t="n"/>
      <c r="H1066" s="194" t="n"/>
      <c r="I1066" s="180" t="n"/>
      <c r="J1066" s="194" t="n"/>
      <c r="K1066" s="182" t="n"/>
      <c r="L1066" s="182" t="n"/>
      <c r="M1066" s="278" t="n"/>
      <c r="N1066" s="181" t="n"/>
      <c r="O1066" s="181" t="n"/>
      <c r="P1066" s="194" t="n"/>
      <c r="Q1066" s="180" t="n"/>
      <c r="R1066" s="180" t="n"/>
      <c r="S1066" s="182" t="n"/>
      <c r="T1066" s="57" t="n"/>
      <c r="U1066" s="529" t="n"/>
      <c r="V1066" s="55" t="n"/>
    </row>
    <row r="1067" ht="14.5" customHeight="1" s="344">
      <c r="A1067" s="180" t="n"/>
      <c r="B1067" s="182" t="n"/>
      <c r="C1067" s="278" t="n"/>
      <c r="D1067" s="181" t="n"/>
      <c r="E1067" s="182" t="n"/>
      <c r="F1067" s="278" t="n"/>
      <c r="G1067" s="182" t="n"/>
      <c r="H1067" s="194" t="n"/>
      <c r="I1067" s="180" t="n"/>
      <c r="J1067" s="194" t="n"/>
      <c r="K1067" s="182" t="n"/>
      <c r="L1067" s="182" t="n"/>
      <c r="M1067" s="278" t="n"/>
      <c r="N1067" s="181" t="n"/>
      <c r="O1067" s="181" t="n"/>
      <c r="P1067" s="194" t="n"/>
      <c r="Q1067" s="180" t="n"/>
      <c r="R1067" s="180" t="n"/>
      <c r="S1067" s="182" t="n"/>
      <c r="T1067" s="57" t="n"/>
      <c r="U1067" s="529" t="n"/>
      <c r="V1067" s="55" t="n"/>
    </row>
    <row r="1068" ht="21.5" customHeight="1" s="344">
      <c r="A1068" s="180" t="n"/>
      <c r="B1068" s="182" t="n"/>
      <c r="C1068" s="278" t="n"/>
      <c r="D1068" s="181" t="n"/>
      <c r="E1068" s="182" t="n"/>
      <c r="F1068" s="278" t="n"/>
      <c r="G1068" s="182" t="n"/>
      <c r="H1068" s="194" t="n"/>
      <c r="I1068" s="180" t="n"/>
      <c r="J1068" s="194" t="n"/>
      <c r="K1068" s="182" t="n"/>
      <c r="L1068" s="182" t="n"/>
      <c r="M1068" s="278" t="n"/>
      <c r="N1068" s="181" t="n"/>
      <c r="O1068" s="181" t="n"/>
      <c r="P1068" s="194" t="n"/>
      <c r="Q1068" s="180" t="n"/>
      <c r="R1068" s="180" t="n"/>
      <c r="S1068" s="182" t="n"/>
      <c r="T1068" s="57" t="n"/>
      <c r="U1068" s="529" t="n"/>
      <c r="V1068" s="55" t="n"/>
    </row>
    <row r="1069" ht="14.5" customHeight="1" s="344">
      <c r="A1069" s="180" t="n"/>
      <c r="B1069" s="182" t="n"/>
      <c r="C1069" s="278" t="n"/>
      <c r="D1069" s="181" t="n"/>
      <c r="E1069" s="182" t="n"/>
      <c r="F1069" s="278" t="n"/>
      <c r="G1069" s="182" t="n"/>
      <c r="H1069" s="194" t="n"/>
      <c r="I1069" s="180" t="n"/>
      <c r="J1069" s="194" t="n"/>
      <c r="K1069" s="182" t="n"/>
      <c r="L1069" s="182" t="n"/>
      <c r="M1069" s="278" t="n"/>
      <c r="N1069" s="181" t="n"/>
      <c r="O1069" s="181" t="n"/>
      <c r="P1069" s="194" t="n"/>
      <c r="Q1069" s="180" t="n"/>
      <c r="R1069" s="180" t="n"/>
      <c r="S1069" s="182" t="n"/>
      <c r="T1069" s="57" t="n"/>
      <c r="U1069" s="529" t="n"/>
      <c r="V1069" s="55" t="n"/>
    </row>
    <row r="1070" ht="14.5" customHeight="1" s="344">
      <c r="A1070" s="180" t="n"/>
      <c r="B1070" s="182" t="n"/>
      <c r="C1070" s="278" t="n"/>
      <c r="D1070" s="181" t="n"/>
      <c r="E1070" s="182" t="n"/>
      <c r="F1070" s="278" t="n"/>
      <c r="G1070" s="182" t="n"/>
      <c r="H1070" s="194" t="n"/>
      <c r="I1070" s="180" t="n"/>
      <c r="J1070" s="194" t="n"/>
      <c r="K1070" s="182" t="n"/>
      <c r="L1070" s="182" t="n"/>
      <c r="M1070" s="278" t="n"/>
      <c r="N1070" s="181" t="n"/>
      <c r="O1070" s="181" t="n"/>
      <c r="P1070" s="194" t="n"/>
      <c r="Q1070" s="180" t="n"/>
      <c r="R1070" s="180" t="n"/>
      <c r="S1070" s="182" t="n"/>
      <c r="T1070" s="57" t="n"/>
      <c r="U1070" s="529" t="n"/>
      <c r="V1070" s="55" t="n"/>
    </row>
    <row r="1071" ht="14.5" customHeight="1" s="344">
      <c r="A1071" s="180" t="n"/>
      <c r="B1071" s="182" t="n"/>
      <c r="C1071" s="278" t="n"/>
      <c r="D1071" s="181" t="n"/>
      <c r="E1071" s="182" t="n"/>
      <c r="F1071" s="278" t="n"/>
      <c r="G1071" s="182" t="n"/>
      <c r="H1071" s="194" t="n"/>
      <c r="I1071" s="180" t="n"/>
      <c r="J1071" s="194" t="n"/>
      <c r="K1071" s="182" t="n"/>
      <c r="L1071" s="182" t="n"/>
      <c r="M1071" s="278" t="n"/>
      <c r="N1071" s="181" t="n"/>
      <c r="O1071" s="181" t="n"/>
      <c r="P1071" s="194" t="n"/>
      <c r="Q1071" s="180" t="n"/>
      <c r="R1071" s="180" t="n"/>
      <c r="S1071" s="182" t="n"/>
      <c r="T1071" s="57" t="n"/>
      <c r="U1071" s="529" t="n"/>
      <c r="V1071" s="55" t="n"/>
    </row>
    <row r="1072" ht="21.5" customHeight="1" s="344">
      <c r="A1072" s="180" t="n"/>
      <c r="B1072" s="182" t="n"/>
      <c r="C1072" s="278" t="n"/>
      <c r="D1072" s="181" t="n"/>
      <c r="E1072" s="182" t="n"/>
      <c r="F1072" s="278" t="n"/>
      <c r="G1072" s="182" t="n"/>
      <c r="H1072" s="194" t="n"/>
      <c r="I1072" s="180" t="n"/>
      <c r="J1072" s="194" t="n"/>
      <c r="K1072" s="182" t="n"/>
      <c r="L1072" s="182" t="n"/>
      <c r="M1072" s="278" t="n"/>
      <c r="N1072" s="181" t="n"/>
      <c r="O1072" s="181" t="n"/>
      <c r="P1072" s="194" t="n"/>
      <c r="Q1072" s="180" t="n"/>
      <c r="R1072" s="180" t="n"/>
      <c r="S1072" s="182" t="n"/>
      <c r="T1072" s="57" t="n"/>
      <c r="U1072" s="529" t="n"/>
      <c r="V1072" s="55" t="n"/>
    </row>
    <row r="1073" ht="21.5" customHeight="1" s="344">
      <c r="A1073" s="180" t="n"/>
      <c r="B1073" s="182" t="n"/>
      <c r="C1073" s="278" t="n"/>
      <c r="D1073" s="181" t="n"/>
      <c r="E1073" s="182" t="n"/>
      <c r="F1073" s="278" t="n"/>
      <c r="G1073" s="182" t="n"/>
      <c r="H1073" s="194" t="n"/>
      <c r="I1073" s="180" t="n"/>
      <c r="J1073" s="194" t="n"/>
      <c r="K1073" s="182" t="n"/>
      <c r="L1073" s="182" t="n"/>
      <c r="M1073" s="278" t="n"/>
      <c r="N1073" s="181" t="n"/>
      <c r="O1073" s="181" t="n"/>
      <c r="P1073" s="194" t="n"/>
      <c r="Q1073" s="180" t="n"/>
      <c r="R1073" s="180" t="n"/>
      <c r="S1073" s="182" t="n"/>
      <c r="T1073" s="57" t="n"/>
      <c r="U1073" s="529" t="n"/>
      <c r="V1073" s="55" t="n"/>
    </row>
    <row r="1074" ht="21.5" customHeight="1" s="344">
      <c r="A1074" s="180" t="n"/>
      <c r="B1074" s="182" t="n"/>
      <c r="C1074" s="278" t="n"/>
      <c r="D1074" s="181" t="n"/>
      <c r="E1074" s="182" t="n"/>
      <c r="F1074" s="278" t="n"/>
      <c r="G1074" s="182" t="n"/>
      <c r="H1074" s="194" t="n"/>
      <c r="I1074" s="180" t="n"/>
      <c r="J1074" s="194" t="n"/>
      <c r="K1074" s="182" t="n"/>
      <c r="L1074" s="182" t="n"/>
      <c r="M1074" s="278" t="n"/>
      <c r="N1074" s="181" t="n"/>
      <c r="O1074" s="181" t="n"/>
      <c r="P1074" s="194" t="n"/>
      <c r="Q1074" s="180" t="n"/>
      <c r="R1074" s="180" t="n"/>
      <c r="S1074" s="182" t="n"/>
      <c r="T1074" s="57" t="n"/>
      <c r="U1074" s="529" t="n"/>
      <c r="V1074" s="55" t="n"/>
    </row>
    <row r="1075" ht="21.5" customHeight="1" s="344">
      <c r="A1075" s="180" t="n"/>
      <c r="B1075" s="182" t="n"/>
      <c r="C1075" s="278" t="n"/>
      <c r="D1075" s="181" t="n"/>
      <c r="E1075" s="182" t="n"/>
      <c r="F1075" s="278" t="n"/>
      <c r="G1075" s="182" t="n"/>
      <c r="H1075" s="194" t="n"/>
      <c r="I1075" s="180" t="n"/>
      <c r="J1075" s="194" t="n"/>
      <c r="K1075" s="182" t="n"/>
      <c r="L1075" s="182" t="n"/>
      <c r="M1075" s="278" t="n"/>
      <c r="N1075" s="181" t="n"/>
      <c r="O1075" s="181" t="n"/>
      <c r="P1075" s="194" t="n"/>
      <c r="Q1075" s="180" t="n"/>
      <c r="R1075" s="180" t="n"/>
      <c r="S1075" s="182" t="n"/>
      <c r="T1075" s="57" t="n"/>
      <c r="U1075" s="529" t="n"/>
      <c r="V1075" s="55" t="n"/>
    </row>
    <row r="1076" ht="21.5" customHeight="1" s="344">
      <c r="A1076" s="180" t="n"/>
      <c r="B1076" s="182" t="n"/>
      <c r="C1076" s="278" t="n"/>
      <c r="D1076" s="181" t="n"/>
      <c r="E1076" s="182" t="n"/>
      <c r="F1076" s="278" t="n"/>
      <c r="G1076" s="182" t="n"/>
      <c r="H1076" s="194" t="n"/>
      <c r="I1076" s="180" t="n"/>
      <c r="J1076" s="194" t="n"/>
      <c r="K1076" s="182" t="n"/>
      <c r="L1076" s="182" t="n"/>
      <c r="M1076" s="278" t="n"/>
      <c r="N1076" s="181" t="n"/>
      <c r="O1076" s="181" t="n"/>
      <c r="P1076" s="194" t="n"/>
      <c r="Q1076" s="180" t="n"/>
      <c r="R1076" s="180" t="n"/>
      <c r="S1076" s="182" t="n"/>
      <c r="T1076" s="57" t="n"/>
      <c r="U1076" s="529" t="n"/>
      <c r="V1076" s="55" t="n"/>
    </row>
    <row r="1077" ht="14.5" customHeight="1" s="344">
      <c r="A1077" s="180" t="n"/>
      <c r="B1077" s="182" t="n"/>
      <c r="C1077" s="278" t="n"/>
      <c r="D1077" s="181" t="n"/>
      <c r="E1077" s="182" t="n"/>
      <c r="F1077" s="278" t="n"/>
      <c r="G1077" s="182" t="n"/>
      <c r="H1077" s="194" t="n"/>
      <c r="I1077" s="180" t="n"/>
      <c r="J1077" s="194" t="n"/>
      <c r="K1077" s="182" t="n"/>
      <c r="L1077" s="182" t="n"/>
      <c r="M1077" s="278" t="n"/>
      <c r="N1077" s="181" t="n"/>
      <c r="O1077" s="181" t="n"/>
      <c r="P1077" s="194" t="n"/>
      <c r="Q1077" s="180" t="n"/>
      <c r="R1077" s="180" t="n"/>
      <c r="S1077" s="182" t="n"/>
      <c r="T1077" s="57" t="n"/>
      <c r="U1077" s="529" t="n"/>
      <c r="V1077" s="55" t="n"/>
    </row>
    <row r="1078" ht="14.5" customHeight="1" s="344">
      <c r="A1078" s="180" t="n"/>
      <c r="B1078" s="182" t="n"/>
      <c r="C1078" s="278" t="n"/>
      <c r="D1078" s="181" t="n"/>
      <c r="E1078" s="182" t="n"/>
      <c r="F1078" s="278" t="n"/>
      <c r="G1078" s="182" t="n"/>
      <c r="H1078" s="194" t="n"/>
      <c r="I1078" s="180" t="n"/>
      <c r="J1078" s="194" t="n"/>
      <c r="K1078" s="182" t="n"/>
      <c r="L1078" s="182" t="n"/>
      <c r="M1078" s="278" t="n"/>
      <c r="N1078" s="181" t="n"/>
      <c r="O1078" s="181" t="n"/>
      <c r="P1078" s="194" t="n"/>
      <c r="Q1078" s="180" t="n"/>
      <c r="R1078" s="180" t="n"/>
      <c r="S1078" s="182" t="n"/>
      <c r="T1078" s="57" t="n"/>
      <c r="U1078" s="529" t="n"/>
      <c r="V1078" s="55" t="n"/>
    </row>
    <row r="1079" ht="21.5" customHeight="1" s="344">
      <c r="A1079" s="180" t="n"/>
      <c r="B1079" s="182" t="n"/>
      <c r="C1079" s="278" t="n"/>
      <c r="D1079" s="181" t="n"/>
      <c r="E1079" s="182" t="n"/>
      <c r="F1079" s="278" t="n"/>
      <c r="G1079" s="182" t="n"/>
      <c r="H1079" s="194" t="n"/>
      <c r="I1079" s="180" t="n"/>
      <c r="J1079" s="194" t="n"/>
      <c r="K1079" s="182" t="n"/>
      <c r="L1079" s="182" t="n"/>
      <c r="M1079" s="278" t="n"/>
      <c r="N1079" s="181" t="n"/>
      <c r="O1079" s="181" t="n"/>
      <c r="P1079" s="194" t="n"/>
      <c r="Q1079" s="180" t="n"/>
      <c r="R1079" s="180" t="n"/>
      <c r="S1079" s="182" t="n"/>
      <c r="T1079" s="57" t="n"/>
      <c r="U1079" s="529" t="n"/>
      <c r="V1079" s="55" t="n"/>
    </row>
    <row r="1080" ht="21.5" customHeight="1" s="344">
      <c r="A1080" s="180" t="n"/>
      <c r="B1080" s="182" t="n"/>
      <c r="C1080" s="278" t="n"/>
      <c r="D1080" s="181" t="n"/>
      <c r="E1080" s="182" t="n"/>
      <c r="F1080" s="278" t="n"/>
      <c r="G1080" s="182" t="n"/>
      <c r="H1080" s="194" t="n"/>
      <c r="I1080" s="180" t="n"/>
      <c r="J1080" s="194" t="n"/>
      <c r="K1080" s="182" t="n"/>
      <c r="L1080" s="182" t="n"/>
      <c r="M1080" s="278" t="n"/>
      <c r="N1080" s="181" t="n"/>
      <c r="O1080" s="181" t="n"/>
      <c r="P1080" s="194" t="n"/>
      <c r="Q1080" s="180" t="n"/>
      <c r="R1080" s="180" t="n"/>
      <c r="S1080" s="182" t="n"/>
      <c r="T1080" s="57" t="n"/>
      <c r="U1080" s="529" t="n"/>
      <c r="V1080" s="55" t="n"/>
    </row>
    <row r="1081" ht="14.5" customHeight="1" s="344">
      <c r="A1081" s="180" t="n"/>
      <c r="B1081" s="182" t="n"/>
      <c r="C1081" s="278" t="n"/>
      <c r="D1081" s="181" t="n"/>
      <c r="E1081" s="182" t="n"/>
      <c r="F1081" s="278" t="n"/>
      <c r="G1081" s="182" t="n"/>
      <c r="H1081" s="194" t="n"/>
      <c r="I1081" s="180" t="n"/>
      <c r="J1081" s="194" t="n"/>
      <c r="K1081" s="182" t="n"/>
      <c r="L1081" s="182" t="n"/>
      <c r="M1081" s="278" t="n"/>
      <c r="N1081" s="181" t="n"/>
      <c r="O1081" s="181" t="n"/>
      <c r="P1081" s="194" t="n"/>
      <c r="Q1081" s="180" t="n"/>
      <c r="R1081" s="180" t="n"/>
      <c r="S1081" s="182" t="n"/>
      <c r="T1081" s="57" t="n"/>
      <c r="U1081" s="529" t="n"/>
      <c r="V1081" s="55" t="n"/>
    </row>
    <row r="1082" ht="14.5" customHeight="1" s="344">
      <c r="A1082" s="180" t="n"/>
      <c r="B1082" s="182" t="n"/>
      <c r="C1082" s="278" t="n"/>
      <c r="D1082" s="181" t="n"/>
      <c r="E1082" s="182" t="n"/>
      <c r="F1082" s="278" t="n"/>
      <c r="G1082" s="182" t="n"/>
      <c r="H1082" s="194" t="n"/>
      <c r="I1082" s="180" t="n"/>
      <c r="J1082" s="194" t="n"/>
      <c r="K1082" s="182" t="n"/>
      <c r="L1082" s="182" t="n"/>
      <c r="M1082" s="278" t="n"/>
      <c r="N1082" s="181" t="n"/>
      <c r="O1082" s="181" t="n"/>
      <c r="P1082" s="194" t="n"/>
      <c r="Q1082" s="180" t="n"/>
      <c r="R1082" s="180" t="n"/>
      <c r="S1082" s="182" t="n"/>
      <c r="T1082" s="57" t="n"/>
      <c r="U1082" s="529" t="n"/>
      <c r="V1082" s="55" t="n"/>
    </row>
    <row r="1083" ht="14.5" customHeight="1" s="344">
      <c r="A1083" s="180" t="n"/>
      <c r="B1083" s="182" t="n"/>
      <c r="C1083" s="278" t="n"/>
      <c r="D1083" s="181" t="n"/>
      <c r="E1083" s="182" t="n"/>
      <c r="F1083" s="278" t="n"/>
      <c r="G1083" s="182" t="n"/>
      <c r="H1083" s="194" t="n"/>
      <c r="I1083" s="180" t="n"/>
      <c r="J1083" s="194" t="n"/>
      <c r="K1083" s="182" t="n"/>
      <c r="L1083" s="182" t="n"/>
      <c r="M1083" s="278" t="n"/>
      <c r="N1083" s="181" t="n"/>
      <c r="O1083" s="181" t="n"/>
      <c r="P1083" s="194" t="n"/>
      <c r="Q1083" s="180" t="n"/>
      <c r="R1083" s="180" t="n"/>
      <c r="S1083" s="182" t="n"/>
      <c r="T1083" s="57" t="n"/>
      <c r="U1083" s="529" t="n"/>
      <c r="V1083" s="55" t="n"/>
    </row>
    <row r="1084" ht="21.5" customHeight="1" s="344">
      <c r="A1084" s="180" t="n"/>
      <c r="B1084" s="182" t="n"/>
      <c r="C1084" s="278" t="n"/>
      <c r="D1084" s="181" t="n"/>
      <c r="E1084" s="182" t="n"/>
      <c r="F1084" s="278" t="n"/>
      <c r="G1084" s="182" t="n"/>
      <c r="H1084" s="194" t="n"/>
      <c r="I1084" s="180" t="n"/>
      <c r="J1084" s="194" t="n"/>
      <c r="K1084" s="182" t="n"/>
      <c r="L1084" s="182" t="n"/>
      <c r="M1084" s="278" t="n"/>
      <c r="N1084" s="181" t="n"/>
      <c r="O1084" s="181" t="n"/>
      <c r="P1084" s="194" t="n"/>
      <c r="Q1084" s="180" t="n"/>
      <c r="R1084" s="180" t="n"/>
      <c r="S1084" s="182" t="n"/>
      <c r="T1084" s="57" t="n"/>
      <c r="U1084" s="529" t="n"/>
      <c r="V1084" s="55" t="n"/>
    </row>
    <row r="1085" ht="21.5" customHeight="1" s="344">
      <c r="A1085" s="180" t="n"/>
      <c r="B1085" s="182" t="n"/>
      <c r="C1085" s="278" t="n"/>
      <c r="D1085" s="181" t="n"/>
      <c r="E1085" s="182" t="n"/>
      <c r="F1085" s="278" t="n"/>
      <c r="G1085" s="182" t="n"/>
      <c r="H1085" s="194" t="n"/>
      <c r="I1085" s="180" t="n"/>
      <c r="J1085" s="194" t="n"/>
      <c r="K1085" s="182" t="n"/>
      <c r="L1085" s="182" t="n"/>
      <c r="M1085" s="278" t="n"/>
      <c r="N1085" s="181" t="n"/>
      <c r="O1085" s="181" t="n"/>
      <c r="P1085" s="194" t="n"/>
      <c r="Q1085" s="180" t="n"/>
      <c r="R1085" s="180" t="n"/>
      <c r="S1085" s="182" t="n"/>
      <c r="T1085" s="57" t="n"/>
      <c r="U1085" s="529" t="n"/>
      <c r="V1085" s="55" t="n"/>
    </row>
    <row r="1086" ht="21.5" customHeight="1" s="344">
      <c r="A1086" s="180" t="n"/>
      <c r="B1086" s="182" t="n"/>
      <c r="C1086" s="278" t="n"/>
      <c r="D1086" s="181" t="n"/>
      <c r="E1086" s="182" t="n"/>
      <c r="F1086" s="278" t="n"/>
      <c r="G1086" s="182" t="n"/>
      <c r="H1086" s="194" t="n"/>
      <c r="I1086" s="180" t="n"/>
      <c r="J1086" s="194" t="n"/>
      <c r="K1086" s="182" t="n"/>
      <c r="L1086" s="182" t="n"/>
      <c r="M1086" s="278" t="n"/>
      <c r="N1086" s="181" t="n"/>
      <c r="O1086" s="181" t="n"/>
      <c r="P1086" s="194" t="n"/>
      <c r="Q1086" s="180" t="n"/>
      <c r="R1086" s="180" t="n"/>
      <c r="S1086" s="182" t="n"/>
      <c r="T1086" s="57" t="n"/>
      <c r="U1086" s="529" t="n"/>
      <c r="V1086" s="55" t="n"/>
    </row>
    <row r="1087" ht="21.5" customHeight="1" s="344">
      <c r="A1087" s="180" t="n"/>
      <c r="B1087" s="182" t="n"/>
      <c r="C1087" s="278" t="n"/>
      <c r="D1087" s="181" t="n"/>
      <c r="E1087" s="182" t="n"/>
      <c r="F1087" s="278" t="n"/>
      <c r="G1087" s="182" t="n"/>
      <c r="H1087" s="194" t="n"/>
      <c r="I1087" s="180" t="n"/>
      <c r="J1087" s="194" t="n"/>
      <c r="K1087" s="182" t="n"/>
      <c r="L1087" s="182" t="n"/>
      <c r="M1087" s="278" t="n"/>
      <c r="N1087" s="181" t="n"/>
      <c r="O1087" s="181" t="n"/>
      <c r="P1087" s="194" t="n"/>
      <c r="Q1087" s="180" t="n"/>
      <c r="R1087" s="180" t="n"/>
      <c r="S1087" s="182" t="n"/>
      <c r="T1087" s="57" t="n"/>
      <c r="U1087" s="529" t="n"/>
      <c r="V1087" s="55" t="n"/>
    </row>
    <row r="1088" ht="14.5" customHeight="1" s="344">
      <c r="A1088" s="180" t="n"/>
      <c r="B1088" s="182" t="n"/>
      <c r="C1088" s="278" t="n"/>
      <c r="D1088" s="181" t="n"/>
      <c r="E1088" s="182" t="n"/>
      <c r="F1088" s="278" t="n"/>
      <c r="G1088" s="182" t="n"/>
      <c r="H1088" s="194" t="n"/>
      <c r="I1088" s="180" t="n"/>
      <c r="J1088" s="194" t="n"/>
      <c r="K1088" s="182" t="n"/>
      <c r="L1088" s="182" t="n"/>
      <c r="M1088" s="278" t="n"/>
      <c r="N1088" s="181" t="n"/>
      <c r="O1088" s="181" t="n"/>
      <c r="P1088" s="194" t="n"/>
      <c r="Q1088" s="180" t="n"/>
      <c r="R1088" s="180" t="n"/>
      <c r="S1088" s="182" t="n"/>
      <c r="T1088" s="57" t="n"/>
      <c r="U1088" s="529" t="n"/>
      <c r="V1088" s="55" t="n"/>
    </row>
    <row r="1089" ht="21.5" customHeight="1" s="344">
      <c r="A1089" s="180" t="n"/>
      <c r="B1089" s="182" t="n"/>
      <c r="C1089" s="278" t="n"/>
      <c r="D1089" s="181" t="n"/>
      <c r="E1089" s="182" t="n"/>
      <c r="F1089" s="278" t="n"/>
      <c r="G1089" s="182" t="n"/>
      <c r="H1089" s="194" t="n"/>
      <c r="I1089" s="180" t="n"/>
      <c r="J1089" s="194" t="n"/>
      <c r="K1089" s="182" t="n"/>
      <c r="L1089" s="182" t="n"/>
      <c r="M1089" s="278" t="n"/>
      <c r="N1089" s="181" t="n"/>
      <c r="O1089" s="181" t="n"/>
      <c r="P1089" s="194" t="n"/>
      <c r="Q1089" s="180" t="n"/>
      <c r="R1089" s="180" t="n"/>
      <c r="S1089" s="182" t="n"/>
      <c r="T1089" s="57" t="n"/>
      <c r="U1089" s="529" t="n"/>
      <c r="V1089" s="55" t="n"/>
    </row>
    <row r="1090" ht="14.5" customHeight="1" s="344">
      <c r="A1090" s="180" t="n"/>
      <c r="B1090" s="182" t="n"/>
      <c r="C1090" s="278" t="n"/>
      <c r="D1090" s="181" t="n"/>
      <c r="E1090" s="182" t="n"/>
      <c r="F1090" s="278" t="n"/>
      <c r="G1090" s="182" t="n"/>
      <c r="H1090" s="194" t="n"/>
      <c r="I1090" s="180" t="n"/>
      <c r="J1090" s="194" t="n"/>
      <c r="K1090" s="182" t="n"/>
      <c r="L1090" s="182" t="n"/>
      <c r="M1090" s="278" t="n"/>
      <c r="N1090" s="181" t="n"/>
      <c r="O1090" s="181" t="n"/>
      <c r="P1090" s="194" t="n"/>
      <c r="Q1090" s="180" t="n"/>
      <c r="R1090" s="180" t="n"/>
      <c r="S1090" s="182" t="n"/>
      <c r="T1090" s="57" t="n"/>
      <c r="U1090" s="529" t="n"/>
      <c r="V1090" s="55" t="n"/>
    </row>
    <row r="1091" ht="14.5" customHeight="1" s="344">
      <c r="A1091" s="180" t="n"/>
      <c r="B1091" s="182" t="n"/>
      <c r="C1091" s="278" t="n"/>
      <c r="D1091" s="181" t="n"/>
      <c r="E1091" s="182" t="n"/>
      <c r="F1091" s="278" t="n"/>
      <c r="G1091" s="182" t="n"/>
      <c r="H1091" s="194" t="n"/>
      <c r="I1091" s="180" t="n"/>
      <c r="J1091" s="194" t="n"/>
      <c r="K1091" s="182" t="n"/>
      <c r="L1091" s="182" t="n"/>
      <c r="M1091" s="278" t="n"/>
      <c r="N1091" s="181" t="n"/>
      <c r="O1091" s="181" t="n"/>
      <c r="P1091" s="194" t="n"/>
      <c r="Q1091" s="180" t="n"/>
      <c r="R1091" s="180" t="n"/>
      <c r="S1091" s="182" t="n"/>
      <c r="T1091" s="57" t="n"/>
      <c r="U1091" s="529" t="n"/>
      <c r="V1091" s="55" t="n"/>
    </row>
    <row r="1092" ht="14.5" customHeight="1" s="344">
      <c r="A1092" s="180" t="n"/>
      <c r="B1092" s="182" t="n"/>
      <c r="C1092" s="278" t="n"/>
      <c r="D1092" s="181" t="n"/>
      <c r="E1092" s="182" t="n"/>
      <c r="F1092" s="278" t="n"/>
      <c r="G1092" s="182" t="n"/>
      <c r="H1092" s="194" t="n"/>
      <c r="I1092" s="180" t="n"/>
      <c r="J1092" s="194" t="n"/>
      <c r="K1092" s="182" t="n"/>
      <c r="L1092" s="182" t="n"/>
      <c r="M1092" s="278" t="n"/>
      <c r="N1092" s="181" t="n"/>
      <c r="O1092" s="181" t="n"/>
      <c r="P1092" s="194" t="n"/>
      <c r="Q1092" s="180" t="n"/>
      <c r="R1092" s="180" t="n"/>
      <c r="S1092" s="182" t="n"/>
      <c r="T1092" s="57" t="n"/>
      <c r="U1092" s="529" t="n"/>
      <c r="V1092" s="55" t="n"/>
    </row>
    <row r="1093" ht="14.5" customHeight="1" s="344">
      <c r="A1093" s="180" t="n"/>
      <c r="B1093" s="182" t="n"/>
      <c r="C1093" s="278" t="n"/>
      <c r="D1093" s="181" t="n"/>
      <c r="E1093" s="182" t="n"/>
      <c r="F1093" s="278" t="n"/>
      <c r="G1093" s="182" t="n"/>
      <c r="H1093" s="194" t="n"/>
      <c r="I1093" s="180" t="n"/>
      <c r="J1093" s="194" t="n"/>
      <c r="K1093" s="182" t="n"/>
      <c r="L1093" s="182" t="n"/>
      <c r="M1093" s="278" t="n"/>
      <c r="N1093" s="181" t="n"/>
      <c r="O1093" s="181" t="n"/>
      <c r="P1093" s="194" t="n"/>
      <c r="Q1093" s="180" t="n"/>
      <c r="R1093" s="180" t="n"/>
      <c r="S1093" s="182" t="n"/>
      <c r="T1093" s="57" t="n"/>
      <c r="U1093" s="529" t="n"/>
      <c r="V1093" s="55" t="n"/>
    </row>
    <row r="1094" ht="14.5" customHeight="1" s="344">
      <c r="A1094" s="180" t="n"/>
      <c r="B1094" s="182" t="n"/>
      <c r="C1094" s="278" t="n"/>
      <c r="D1094" s="181" t="n"/>
      <c r="E1094" s="182" t="n"/>
      <c r="F1094" s="278" t="n"/>
      <c r="G1094" s="182" t="n"/>
      <c r="H1094" s="194" t="n"/>
      <c r="I1094" s="180" t="n"/>
      <c r="J1094" s="194" t="n"/>
      <c r="K1094" s="182" t="n"/>
      <c r="L1094" s="182" t="n"/>
      <c r="M1094" s="278" t="n"/>
      <c r="N1094" s="181" t="n"/>
      <c r="O1094" s="181" t="n"/>
      <c r="P1094" s="194" t="n"/>
      <c r="Q1094" s="180" t="n"/>
      <c r="R1094" s="180" t="n"/>
      <c r="S1094" s="182" t="n"/>
      <c r="T1094" s="57" t="n"/>
      <c r="U1094" s="529" t="n"/>
      <c r="V1094" s="55" t="n"/>
    </row>
    <row r="1095" ht="14.5" customHeight="1" s="344">
      <c r="A1095" s="180" t="n"/>
      <c r="B1095" s="182" t="n"/>
      <c r="C1095" s="278" t="n"/>
      <c r="D1095" s="181" t="n"/>
      <c r="E1095" s="182" t="n"/>
      <c r="F1095" s="278" t="n"/>
      <c r="G1095" s="182" t="n"/>
      <c r="H1095" s="194" t="n"/>
      <c r="I1095" s="180" t="n"/>
      <c r="J1095" s="194" t="n"/>
      <c r="K1095" s="182" t="n"/>
      <c r="L1095" s="182" t="n"/>
      <c r="M1095" s="278" t="n"/>
      <c r="N1095" s="181" t="n"/>
      <c r="O1095" s="181" t="n"/>
      <c r="P1095" s="194" t="n"/>
      <c r="Q1095" s="180" t="n"/>
      <c r="R1095" s="180" t="n"/>
      <c r="S1095" s="182" t="n"/>
      <c r="T1095" s="57" t="n"/>
      <c r="U1095" s="529" t="n"/>
      <c r="V1095" s="55" t="n"/>
    </row>
    <row r="1096" ht="14.5" customHeight="1" s="344">
      <c r="A1096" s="180" t="n"/>
      <c r="B1096" s="182" t="n"/>
      <c r="C1096" s="278" t="n"/>
      <c r="D1096" s="181" t="n"/>
      <c r="E1096" s="182" t="n"/>
      <c r="F1096" s="278" t="n"/>
      <c r="G1096" s="182" t="n"/>
      <c r="H1096" s="194" t="n"/>
      <c r="I1096" s="180" t="n"/>
      <c r="J1096" s="194" t="n"/>
      <c r="K1096" s="182" t="n"/>
      <c r="L1096" s="182" t="n"/>
      <c r="M1096" s="278" t="n"/>
      <c r="N1096" s="181" t="n"/>
      <c r="O1096" s="181" t="n"/>
      <c r="P1096" s="194" t="n"/>
      <c r="Q1096" s="180" t="n"/>
      <c r="R1096" s="180" t="n"/>
      <c r="S1096" s="182" t="n"/>
      <c r="T1096" s="57" t="n"/>
      <c r="U1096" s="529" t="n"/>
      <c r="V1096" s="55" t="n"/>
    </row>
    <row r="1097" ht="21.5" customHeight="1" s="344">
      <c r="A1097" s="180" t="n"/>
      <c r="B1097" s="182" t="n"/>
      <c r="C1097" s="278" t="n"/>
      <c r="D1097" s="181" t="n"/>
      <c r="E1097" s="182" t="n"/>
      <c r="F1097" s="278" t="n"/>
      <c r="G1097" s="182" t="n"/>
      <c r="H1097" s="194" t="n"/>
      <c r="I1097" s="180" t="n"/>
      <c r="J1097" s="194" t="n"/>
      <c r="K1097" s="182" t="n"/>
      <c r="L1097" s="182" t="n"/>
      <c r="M1097" s="278" t="n"/>
      <c r="N1097" s="181" t="n"/>
      <c r="O1097" s="181" t="n"/>
      <c r="P1097" s="194" t="n"/>
      <c r="Q1097" s="180" t="n"/>
      <c r="R1097" s="180" t="n"/>
      <c r="S1097" s="182" t="n"/>
      <c r="T1097" s="57" t="n"/>
      <c r="U1097" s="529" t="n"/>
      <c r="V1097" s="55" t="n"/>
    </row>
    <row r="1098" ht="14.5" customHeight="1" s="344">
      <c r="A1098" s="180" t="n"/>
      <c r="B1098" s="182" t="n"/>
      <c r="C1098" s="278" t="n"/>
      <c r="D1098" s="181" t="n"/>
      <c r="E1098" s="182" t="n"/>
      <c r="F1098" s="278" t="n"/>
      <c r="G1098" s="182" t="n"/>
      <c r="H1098" s="194" t="n"/>
      <c r="I1098" s="180" t="n"/>
      <c r="J1098" s="194" t="n"/>
      <c r="K1098" s="182" t="n"/>
      <c r="L1098" s="182" t="n"/>
      <c r="M1098" s="278" t="n"/>
      <c r="N1098" s="181" t="n"/>
      <c r="O1098" s="181" t="n"/>
      <c r="P1098" s="194" t="n"/>
      <c r="Q1098" s="180" t="n"/>
      <c r="R1098" s="180" t="n"/>
      <c r="S1098" s="182" t="n"/>
      <c r="T1098" s="57" t="n"/>
      <c r="U1098" s="529" t="n"/>
      <c r="V1098" s="55" t="n"/>
    </row>
    <row r="1099" ht="21.5" customHeight="1" s="344">
      <c r="A1099" s="180" t="n"/>
      <c r="B1099" s="182" t="n"/>
      <c r="C1099" s="278" t="n"/>
      <c r="D1099" s="181" t="n"/>
      <c r="E1099" s="182" t="n"/>
      <c r="F1099" s="278" t="n"/>
      <c r="G1099" s="182" t="n"/>
      <c r="H1099" s="194" t="n"/>
      <c r="I1099" s="180" t="n"/>
      <c r="J1099" s="194" t="n"/>
      <c r="K1099" s="182" t="n"/>
      <c r="L1099" s="182" t="n"/>
      <c r="M1099" s="278" t="n"/>
      <c r="N1099" s="181" t="n"/>
      <c r="O1099" s="181" t="n"/>
      <c r="P1099" s="194" t="n"/>
      <c r="Q1099" s="180" t="n"/>
      <c r="R1099" s="180" t="n"/>
      <c r="S1099" s="182" t="n"/>
      <c r="T1099" s="57" t="n"/>
      <c r="U1099" s="529" t="n"/>
      <c r="V1099" s="55" t="n"/>
    </row>
    <row r="1100" ht="14.5" customHeight="1" s="344">
      <c r="A1100" s="180" t="n"/>
      <c r="B1100" s="182" t="n"/>
      <c r="C1100" s="278" t="n"/>
      <c r="D1100" s="181" t="n"/>
      <c r="E1100" s="182" t="n"/>
      <c r="F1100" s="278" t="n"/>
      <c r="G1100" s="182" t="n"/>
      <c r="H1100" s="194" t="n"/>
      <c r="I1100" s="180" t="n"/>
      <c r="J1100" s="194" t="n"/>
      <c r="K1100" s="182" t="n"/>
      <c r="L1100" s="182" t="n"/>
      <c r="M1100" s="278" t="n"/>
      <c r="N1100" s="181" t="n"/>
      <c r="O1100" s="181" t="n"/>
      <c r="P1100" s="194" t="n"/>
      <c r="Q1100" s="180" t="n"/>
      <c r="R1100" s="180" t="n"/>
      <c r="S1100" s="182" t="n"/>
      <c r="T1100" s="57" t="n"/>
      <c r="U1100" s="529" t="n"/>
      <c r="V1100" s="55" t="n"/>
    </row>
    <row r="1101" ht="21.5" customHeight="1" s="344">
      <c r="A1101" s="180" t="n"/>
      <c r="B1101" s="182" t="n"/>
      <c r="C1101" s="278" t="n"/>
      <c r="D1101" s="181" t="n"/>
      <c r="E1101" s="182" t="n"/>
      <c r="F1101" s="278" t="n"/>
      <c r="G1101" s="182" t="n"/>
      <c r="H1101" s="194" t="n"/>
      <c r="I1101" s="180" t="n"/>
      <c r="J1101" s="194" t="n"/>
      <c r="K1101" s="182" t="n"/>
      <c r="L1101" s="182" t="n"/>
      <c r="M1101" s="278" t="n"/>
      <c r="N1101" s="181" t="n"/>
      <c r="O1101" s="181" t="n"/>
      <c r="P1101" s="194" t="n"/>
      <c r="Q1101" s="180" t="n"/>
      <c r="R1101" s="180" t="n"/>
      <c r="S1101" s="182" t="n"/>
      <c r="T1101" s="57" t="n"/>
      <c r="U1101" s="529" t="n"/>
      <c r="V1101" s="55" t="n"/>
    </row>
    <row r="1102" ht="21.5" customHeight="1" s="344">
      <c r="A1102" s="180" t="n"/>
      <c r="B1102" s="182" t="n"/>
      <c r="C1102" s="278" t="n"/>
      <c r="D1102" s="181" t="n"/>
      <c r="E1102" s="182" t="n"/>
      <c r="F1102" s="278" t="n"/>
      <c r="G1102" s="182" t="n"/>
      <c r="H1102" s="194" t="n"/>
      <c r="I1102" s="180" t="n"/>
      <c r="J1102" s="194" t="n"/>
      <c r="K1102" s="182" t="n"/>
      <c r="L1102" s="182" t="n"/>
      <c r="M1102" s="278" t="n"/>
      <c r="N1102" s="181" t="n"/>
      <c r="O1102" s="181" t="n"/>
      <c r="P1102" s="194" t="n"/>
      <c r="Q1102" s="180" t="n"/>
      <c r="R1102" s="180" t="n"/>
      <c r="S1102" s="182" t="n"/>
      <c r="T1102" s="57" t="n"/>
      <c r="U1102" s="529" t="n"/>
      <c r="V1102" s="55" t="n"/>
    </row>
    <row r="1103" ht="14.5" customHeight="1" s="344">
      <c r="A1103" s="180" t="n"/>
      <c r="B1103" s="182" t="n"/>
      <c r="C1103" s="278" t="n"/>
      <c r="D1103" s="181" t="n"/>
      <c r="E1103" s="182" t="n"/>
      <c r="F1103" s="278" t="n"/>
      <c r="G1103" s="182" t="n"/>
      <c r="H1103" s="194" t="n"/>
      <c r="I1103" s="180" t="n"/>
      <c r="J1103" s="194" t="n"/>
      <c r="K1103" s="182" t="n"/>
      <c r="L1103" s="182" t="n"/>
      <c r="M1103" s="278" t="n"/>
      <c r="N1103" s="181" t="n"/>
      <c r="O1103" s="181" t="n"/>
      <c r="P1103" s="194" t="n"/>
      <c r="Q1103" s="180" t="n"/>
      <c r="R1103" s="180" t="n"/>
      <c r="S1103" s="182" t="n"/>
      <c r="T1103" s="57" t="n"/>
      <c r="U1103" s="529" t="n"/>
      <c r="V1103" s="55" t="n"/>
    </row>
    <row r="1104" ht="21.5" customHeight="1" s="344">
      <c r="A1104" s="180" t="n"/>
      <c r="B1104" s="182" t="n"/>
      <c r="C1104" s="278" t="n"/>
      <c r="D1104" s="181" t="n"/>
      <c r="E1104" s="182" t="n"/>
      <c r="F1104" s="278" t="n"/>
      <c r="G1104" s="182" t="n"/>
      <c r="H1104" s="194" t="n"/>
      <c r="I1104" s="180" t="n"/>
      <c r="J1104" s="194" t="n"/>
      <c r="K1104" s="182" t="n"/>
      <c r="L1104" s="182" t="n"/>
      <c r="M1104" s="278" t="n"/>
      <c r="N1104" s="181" t="n"/>
      <c r="O1104" s="181" t="n"/>
      <c r="P1104" s="194" t="n"/>
      <c r="Q1104" s="180" t="n"/>
      <c r="R1104" s="180" t="n"/>
      <c r="S1104" s="182" t="n"/>
      <c r="T1104" s="57" t="n"/>
      <c r="U1104" s="529" t="n"/>
      <c r="V1104" s="55" t="n"/>
    </row>
    <row r="1105" ht="21.5" customHeight="1" s="344">
      <c r="A1105" s="180" t="n"/>
      <c r="B1105" s="182" t="n"/>
      <c r="C1105" s="278" t="n"/>
      <c r="D1105" s="181" t="n"/>
      <c r="E1105" s="182" t="n"/>
      <c r="F1105" s="278" t="n"/>
      <c r="G1105" s="182" t="n"/>
      <c r="H1105" s="194" t="n"/>
      <c r="I1105" s="180" t="n"/>
      <c r="J1105" s="194" t="n"/>
      <c r="K1105" s="182" t="n"/>
      <c r="L1105" s="182" t="n"/>
      <c r="M1105" s="278" t="n"/>
      <c r="N1105" s="181" t="n"/>
      <c r="O1105" s="181" t="n"/>
      <c r="P1105" s="194" t="n"/>
      <c r="Q1105" s="180" t="n"/>
      <c r="R1105" s="180" t="n"/>
      <c r="S1105" s="182" t="n"/>
      <c r="T1105" s="57" t="n"/>
      <c r="U1105" s="529" t="n"/>
      <c r="V1105" s="55" t="n"/>
    </row>
    <row r="1106" ht="21.5" customHeight="1" s="344">
      <c r="A1106" s="180" t="n"/>
      <c r="B1106" s="182" t="n"/>
      <c r="C1106" s="278" t="n"/>
      <c r="D1106" s="181" t="n"/>
      <c r="E1106" s="182" t="n"/>
      <c r="F1106" s="278" t="n"/>
      <c r="G1106" s="182" t="n"/>
      <c r="H1106" s="194" t="n"/>
      <c r="I1106" s="180" t="n"/>
      <c r="J1106" s="194" t="n"/>
      <c r="K1106" s="182" t="n"/>
      <c r="L1106" s="182" t="n"/>
      <c r="M1106" s="278" t="n"/>
      <c r="N1106" s="181" t="n"/>
      <c r="O1106" s="181" t="n"/>
      <c r="P1106" s="194" t="n"/>
      <c r="Q1106" s="180" t="n"/>
      <c r="R1106" s="180" t="n"/>
      <c r="S1106" s="182" t="n"/>
      <c r="T1106" s="57" t="n"/>
      <c r="U1106" s="529" t="n"/>
      <c r="V1106" s="55" t="n"/>
    </row>
    <row r="1107" ht="14.5" customHeight="1" s="344">
      <c r="A1107" s="180" t="n"/>
      <c r="B1107" s="182" t="n"/>
      <c r="C1107" s="278" t="n"/>
      <c r="D1107" s="181" t="n"/>
      <c r="E1107" s="182" t="n"/>
      <c r="F1107" s="278" t="n"/>
      <c r="G1107" s="182" t="n"/>
      <c r="H1107" s="194" t="n"/>
      <c r="I1107" s="180" t="n"/>
      <c r="J1107" s="194" t="n"/>
      <c r="K1107" s="182" t="n"/>
      <c r="L1107" s="182" t="n"/>
      <c r="M1107" s="278" t="n"/>
      <c r="N1107" s="181" t="n"/>
      <c r="O1107" s="181" t="n"/>
      <c r="P1107" s="194" t="n"/>
      <c r="Q1107" s="180" t="n"/>
      <c r="R1107" s="180" t="n"/>
      <c r="S1107" s="182" t="n"/>
      <c r="T1107" s="57" t="n"/>
      <c r="U1107" s="529" t="n"/>
      <c r="V1107" s="55" t="n"/>
    </row>
    <row r="1108" ht="14.5" customHeight="1" s="344">
      <c r="A1108" s="180" t="n"/>
      <c r="B1108" s="182" t="n"/>
      <c r="C1108" s="278" t="n"/>
      <c r="D1108" s="181" t="n"/>
      <c r="E1108" s="182" t="n"/>
      <c r="F1108" s="278" t="n"/>
      <c r="G1108" s="182" t="n"/>
      <c r="H1108" s="194" t="n"/>
      <c r="I1108" s="180" t="n"/>
      <c r="J1108" s="194" t="n"/>
      <c r="K1108" s="182" t="n"/>
      <c r="L1108" s="182" t="n"/>
      <c r="M1108" s="278" t="n"/>
      <c r="N1108" s="181" t="n"/>
      <c r="O1108" s="181" t="n"/>
      <c r="P1108" s="194" t="n"/>
      <c r="Q1108" s="180" t="n"/>
      <c r="R1108" s="180" t="n"/>
      <c r="S1108" s="182" t="n"/>
      <c r="T1108" s="57" t="n"/>
      <c r="U1108" s="529" t="n"/>
      <c r="V1108" s="55" t="n"/>
    </row>
    <row r="1109" ht="14.5" customHeight="1" s="344">
      <c r="A1109" s="180" t="n"/>
      <c r="B1109" s="182" t="n"/>
      <c r="C1109" s="278" t="n"/>
      <c r="D1109" s="181" t="n"/>
      <c r="E1109" s="182" t="n"/>
      <c r="F1109" s="278" t="n"/>
      <c r="G1109" s="182" t="n"/>
      <c r="H1109" s="194" t="n"/>
      <c r="I1109" s="180" t="n"/>
      <c r="J1109" s="194" t="n"/>
      <c r="K1109" s="182" t="n"/>
      <c r="L1109" s="182" t="n"/>
      <c r="M1109" s="278" t="n"/>
      <c r="N1109" s="181" t="n"/>
      <c r="O1109" s="181" t="n"/>
      <c r="P1109" s="194" t="n"/>
      <c r="Q1109" s="180" t="n"/>
      <c r="R1109" s="180" t="n"/>
      <c r="S1109" s="182" t="n"/>
      <c r="T1109" s="57" t="n"/>
      <c r="U1109" s="529" t="n"/>
      <c r="V1109" s="55" t="n"/>
    </row>
    <row r="1110" ht="14.5" customHeight="1" s="344">
      <c r="A1110" s="180" t="n"/>
      <c r="B1110" s="182" t="n"/>
      <c r="C1110" s="278" t="n"/>
      <c r="D1110" s="181" t="n"/>
      <c r="E1110" s="182" t="n"/>
      <c r="F1110" s="278" t="n"/>
      <c r="G1110" s="182" t="n"/>
      <c r="H1110" s="194" t="n"/>
      <c r="I1110" s="180" t="n"/>
      <c r="J1110" s="194" t="n"/>
      <c r="K1110" s="182" t="n"/>
      <c r="L1110" s="182" t="n"/>
      <c r="M1110" s="278" t="n"/>
      <c r="N1110" s="181" t="n"/>
      <c r="O1110" s="181" t="n"/>
      <c r="P1110" s="194" t="n"/>
      <c r="Q1110" s="180" t="n"/>
      <c r="R1110" s="180" t="n"/>
      <c r="S1110" s="182" t="n"/>
      <c r="T1110" s="57" t="n"/>
      <c r="U1110" s="529" t="n"/>
      <c r="V1110" s="55" t="n"/>
    </row>
    <row r="1111" ht="14.5" customHeight="1" s="344">
      <c r="A1111" s="180" t="n"/>
      <c r="B1111" s="182" t="n"/>
      <c r="C1111" s="278" t="n"/>
      <c r="D1111" s="181" t="n"/>
      <c r="E1111" s="182" t="n"/>
      <c r="F1111" s="278" t="n"/>
      <c r="G1111" s="182" t="n"/>
      <c r="H1111" s="194" t="n"/>
      <c r="I1111" s="180" t="n"/>
      <c r="J1111" s="194" t="n"/>
      <c r="K1111" s="182" t="n"/>
      <c r="L1111" s="182" t="n"/>
      <c r="M1111" s="278" t="n"/>
      <c r="N1111" s="181" t="n"/>
      <c r="O1111" s="181" t="n"/>
      <c r="P1111" s="194" t="n"/>
      <c r="Q1111" s="180" t="n"/>
      <c r="R1111" s="180" t="n"/>
      <c r="S1111" s="182" t="n"/>
      <c r="T1111" s="57" t="n"/>
      <c r="U1111" s="529" t="n"/>
      <c r="V1111" s="55" t="n"/>
    </row>
    <row r="1112" ht="21.5" customHeight="1" s="344">
      <c r="A1112" s="180" t="n"/>
      <c r="B1112" s="182" t="n"/>
      <c r="C1112" s="278" t="n"/>
      <c r="D1112" s="181" t="n"/>
      <c r="E1112" s="182" t="n"/>
      <c r="F1112" s="278" t="n"/>
      <c r="G1112" s="182" t="n"/>
      <c r="H1112" s="194" t="n"/>
      <c r="I1112" s="180" t="n"/>
      <c r="J1112" s="194" t="n"/>
      <c r="K1112" s="182" t="n"/>
      <c r="L1112" s="182" t="n"/>
      <c r="M1112" s="278" t="n"/>
      <c r="N1112" s="181" t="n"/>
      <c r="O1112" s="181" t="n"/>
      <c r="P1112" s="194" t="n"/>
      <c r="Q1112" s="180" t="n"/>
      <c r="R1112" s="180" t="n"/>
      <c r="S1112" s="182" t="n"/>
      <c r="T1112" s="57" t="n"/>
      <c r="U1112" s="529" t="n"/>
      <c r="V1112" s="55" t="n"/>
    </row>
    <row r="1113" ht="21.5" customHeight="1" s="344">
      <c r="A1113" s="180" t="n"/>
      <c r="B1113" s="182" t="n"/>
      <c r="C1113" s="278" t="n"/>
      <c r="D1113" s="181" t="n"/>
      <c r="E1113" s="182" t="n"/>
      <c r="F1113" s="278" t="n"/>
      <c r="G1113" s="182" t="n"/>
      <c r="H1113" s="194" t="n"/>
      <c r="I1113" s="180" t="n"/>
      <c r="J1113" s="194" t="n"/>
      <c r="K1113" s="182" t="n"/>
      <c r="L1113" s="182" t="n"/>
      <c r="M1113" s="278" t="n"/>
      <c r="N1113" s="181" t="n"/>
      <c r="O1113" s="181" t="n"/>
      <c r="P1113" s="194" t="n"/>
      <c r="Q1113" s="180" t="n"/>
      <c r="R1113" s="180" t="n"/>
      <c r="S1113" s="182" t="n"/>
      <c r="T1113" s="57" t="n"/>
      <c r="U1113" s="529" t="n"/>
      <c r="V1113" s="55" t="n"/>
    </row>
    <row r="1114" ht="21.5" customHeight="1" s="344">
      <c r="A1114" s="180" t="n"/>
      <c r="B1114" s="182" t="n"/>
      <c r="C1114" s="278" t="n"/>
      <c r="D1114" s="181" t="n"/>
      <c r="E1114" s="182" t="n"/>
      <c r="F1114" s="278" t="n"/>
      <c r="G1114" s="182" t="n"/>
      <c r="H1114" s="194" t="n"/>
      <c r="I1114" s="180" t="n"/>
      <c r="J1114" s="194" t="n"/>
      <c r="K1114" s="182" t="n"/>
      <c r="L1114" s="182" t="n"/>
      <c r="M1114" s="278" t="n"/>
      <c r="N1114" s="181" t="n"/>
      <c r="O1114" s="181" t="n"/>
      <c r="P1114" s="194" t="n"/>
      <c r="Q1114" s="180" t="n"/>
      <c r="R1114" s="180" t="n"/>
      <c r="S1114" s="182" t="n"/>
      <c r="T1114" s="57" t="n"/>
      <c r="U1114" s="529" t="n"/>
      <c r="V1114" s="55" t="n"/>
    </row>
    <row r="1115" ht="21.5" customHeight="1" s="344">
      <c r="A1115" s="180" t="n"/>
      <c r="B1115" s="182" t="n"/>
      <c r="C1115" s="278" t="n"/>
      <c r="D1115" s="181" t="n"/>
      <c r="E1115" s="182" t="n"/>
      <c r="F1115" s="278" t="n"/>
      <c r="G1115" s="182" t="n"/>
      <c r="H1115" s="194" t="n"/>
      <c r="I1115" s="180" t="n"/>
      <c r="J1115" s="194" t="n"/>
      <c r="K1115" s="182" t="n"/>
      <c r="L1115" s="182" t="n"/>
      <c r="M1115" s="278" t="n"/>
      <c r="N1115" s="181" t="n"/>
      <c r="O1115" s="181" t="n"/>
      <c r="P1115" s="194" t="n"/>
      <c r="Q1115" s="180" t="n"/>
      <c r="R1115" s="180" t="n"/>
      <c r="S1115" s="182" t="n"/>
      <c r="T1115" s="57" t="n"/>
      <c r="U1115" s="529" t="n"/>
      <c r="V1115" s="55" t="n"/>
    </row>
    <row r="1116" ht="21.5" customHeight="1" s="344">
      <c r="A1116" s="180" t="n"/>
      <c r="B1116" s="182" t="n"/>
      <c r="C1116" s="278" t="n"/>
      <c r="D1116" s="181" t="n"/>
      <c r="E1116" s="182" t="n"/>
      <c r="F1116" s="278" t="n"/>
      <c r="G1116" s="182" t="n"/>
      <c r="H1116" s="194" t="n"/>
      <c r="I1116" s="180" t="n"/>
      <c r="J1116" s="194" t="n"/>
      <c r="K1116" s="182" t="n"/>
      <c r="L1116" s="182" t="n"/>
      <c r="M1116" s="278" t="n"/>
      <c r="N1116" s="181" t="n"/>
      <c r="O1116" s="181" t="n"/>
      <c r="P1116" s="194" t="n"/>
      <c r="Q1116" s="180" t="n"/>
      <c r="R1116" s="180" t="n"/>
      <c r="S1116" s="182" t="n"/>
      <c r="T1116" s="57" t="n"/>
      <c r="U1116" s="529" t="n"/>
      <c r="V1116" s="55" t="n"/>
    </row>
    <row r="1117" ht="21.5" customHeight="1" s="344">
      <c r="A1117" s="180" t="n"/>
      <c r="B1117" s="182" t="n"/>
      <c r="C1117" s="278" t="n"/>
      <c r="D1117" s="181" t="n"/>
      <c r="E1117" s="182" t="n"/>
      <c r="F1117" s="278" t="n"/>
      <c r="G1117" s="182" t="n"/>
      <c r="H1117" s="194" t="n"/>
      <c r="I1117" s="180" t="n"/>
      <c r="J1117" s="194" t="n"/>
      <c r="K1117" s="182" t="n"/>
      <c r="L1117" s="182" t="n"/>
      <c r="M1117" s="278" t="n"/>
      <c r="N1117" s="181" t="n"/>
      <c r="O1117" s="181" t="n"/>
      <c r="P1117" s="194" t="n"/>
      <c r="Q1117" s="180" t="n"/>
      <c r="R1117" s="180" t="n"/>
      <c r="S1117" s="182" t="n"/>
      <c r="T1117" s="57" t="n"/>
      <c r="U1117" s="529" t="n"/>
      <c r="V1117" s="55" t="n"/>
    </row>
    <row r="1118">
      <c r="A1118" s="179" t="n"/>
      <c r="B1118" s="166" t="n"/>
      <c r="C1118" s="166" t="n"/>
      <c r="D1118" s="166" t="n"/>
      <c r="E1118" s="166" t="n"/>
      <c r="F1118" s="166" t="n"/>
      <c r="G1118" s="166" t="n"/>
      <c r="H1118" s="195" t="n"/>
      <c r="I1118" s="166" t="n"/>
      <c r="J1118" s="195" t="n"/>
      <c r="K1118" s="166" t="n"/>
      <c r="L1118" s="166" t="n"/>
      <c r="M1118" s="166" t="n"/>
      <c r="N1118" s="166" t="n"/>
      <c r="O1118" s="166" t="n"/>
      <c r="P1118" s="195" t="n"/>
      <c r="Q1118" s="166" t="n"/>
      <c r="R1118" s="166" t="n"/>
      <c r="S1118" s="166" t="n"/>
    </row>
    <row r="1119" ht="14.5" customHeight="1" s="344">
      <c r="A1119" s="494" t="n"/>
      <c r="B1119" s="491" t="n"/>
      <c r="C1119" s="491" t="n"/>
      <c r="D1119" s="491" t="n"/>
      <c r="E1119" s="491" t="n"/>
      <c r="F1119" s="491" t="n"/>
      <c r="G1119" s="491" t="n"/>
      <c r="H1119" s="491" t="n"/>
      <c r="I1119" s="491" t="n"/>
      <c r="J1119" s="491" t="n"/>
      <c r="K1119" s="491" t="n"/>
      <c r="L1119" s="491" t="n"/>
      <c r="M1119" s="491" t="n"/>
      <c r="N1119" s="491" t="n"/>
      <c r="O1119" s="491" t="n"/>
      <c r="P1119" s="491" t="n"/>
      <c r="Q1119" s="491" t="n"/>
      <c r="R1119" s="491" t="n"/>
      <c r="S1119" s="492" t="n"/>
    </row>
    <row r="1120">
      <c r="A1120" s="180" t="n"/>
      <c r="B1120" s="166" t="n"/>
      <c r="C1120" s="278" t="n"/>
      <c r="D1120" s="166" t="n"/>
      <c r="E1120" s="166" t="n"/>
      <c r="F1120" s="278" t="n"/>
      <c r="G1120" s="166" t="n"/>
      <c r="H1120" s="194" t="n"/>
      <c r="I1120" s="166" t="n"/>
      <c r="J1120" s="166" t="n"/>
      <c r="K1120" s="166" t="n"/>
      <c r="L1120" s="166" t="n"/>
      <c r="M1120" s="278" t="n"/>
      <c r="N1120" s="166" t="n"/>
      <c r="O1120" s="166" t="n"/>
      <c r="P1120" s="166" t="n"/>
      <c r="Q1120" s="166" t="n"/>
      <c r="R1120" s="166" t="n"/>
      <c r="S1120" s="166" t="n"/>
    </row>
    <row r="1121">
      <c r="A1121" s="179" t="n"/>
      <c r="B1121" s="166" t="n"/>
      <c r="C1121" s="166" t="n"/>
      <c r="D1121" s="166" t="n"/>
      <c r="E1121" s="166" t="n"/>
      <c r="F1121" s="166" t="n"/>
      <c r="G1121" s="166" t="n"/>
      <c r="H1121" s="195" t="n"/>
      <c r="I1121" s="166" t="n"/>
      <c r="J1121" s="166" t="n"/>
      <c r="K1121" s="166" t="n"/>
      <c r="L1121" s="166" t="n"/>
      <c r="M1121" s="166" t="n"/>
      <c r="N1121" s="166" t="n"/>
      <c r="O1121" s="166" t="n"/>
      <c r="P1121" s="166" t="n"/>
      <c r="Q1121" s="166" t="n"/>
      <c r="R1121" s="166" t="n"/>
      <c r="S1121" s="166" t="n"/>
    </row>
    <row r="1122" ht="14.5" customHeight="1" s="344">
      <c r="A1122" s="494" t="n"/>
      <c r="B1122" s="491" t="n"/>
      <c r="C1122" s="491" t="n"/>
      <c r="D1122" s="491" t="n"/>
      <c r="E1122" s="491" t="n"/>
      <c r="F1122" s="491" t="n"/>
      <c r="G1122" s="491" t="n"/>
      <c r="H1122" s="491" t="n"/>
      <c r="I1122" s="491" t="n"/>
      <c r="J1122" s="491" t="n"/>
      <c r="K1122" s="491" t="n"/>
      <c r="L1122" s="491" t="n"/>
      <c r="M1122" s="491" t="n"/>
      <c r="N1122" s="491" t="n"/>
      <c r="O1122" s="491" t="n"/>
      <c r="P1122" s="491" t="n"/>
      <c r="Q1122" s="491" t="n"/>
      <c r="R1122" s="491" t="n"/>
      <c r="S1122" s="492" t="n"/>
    </row>
    <row r="1123">
      <c r="A1123" s="180" t="n"/>
      <c r="B1123" s="166" t="n"/>
      <c r="C1123" s="278" t="n"/>
      <c r="D1123" s="166" t="n"/>
      <c r="E1123" s="166" t="n"/>
      <c r="F1123" s="278" t="n"/>
      <c r="G1123" s="166" t="n"/>
      <c r="H1123" s="194" t="n"/>
      <c r="I1123" s="166" t="n"/>
      <c r="J1123" s="166" t="n"/>
      <c r="K1123" s="166" t="n"/>
      <c r="L1123" s="166" t="n"/>
      <c r="M1123" s="278" t="n"/>
      <c r="N1123" s="166" t="n"/>
      <c r="O1123" s="166" t="n"/>
      <c r="P1123" s="166" t="n"/>
      <c r="Q1123" s="166" t="n"/>
      <c r="R1123" s="166" t="n"/>
      <c r="S1123" s="166" t="n"/>
    </row>
    <row r="1124">
      <c r="A1124" s="179" t="n"/>
      <c r="B1124" s="166" t="n"/>
      <c r="C1124" s="166" t="n"/>
      <c r="D1124" s="166" t="n"/>
      <c r="E1124" s="166" t="n"/>
      <c r="F1124" s="166" t="n"/>
      <c r="G1124" s="166" t="n"/>
      <c r="H1124" s="195" t="n"/>
      <c r="I1124" s="166" t="n"/>
      <c r="J1124" s="166" t="n"/>
      <c r="K1124" s="166" t="n"/>
      <c r="L1124" s="166" t="n"/>
      <c r="M1124" s="166" t="n"/>
      <c r="N1124" s="166" t="n"/>
      <c r="O1124" s="166" t="n"/>
      <c r="P1124" s="166" t="n"/>
      <c r="Q1124" s="166" t="n"/>
      <c r="R1124" s="166" t="n"/>
      <c r="S1124" s="166" t="n"/>
    </row>
    <row r="1125" ht="14.5" customHeight="1" s="344">
      <c r="A1125" s="494" t="n"/>
      <c r="B1125" s="491" t="n"/>
      <c r="C1125" s="491" t="n"/>
      <c r="D1125" s="491" t="n"/>
      <c r="E1125" s="491" t="n"/>
      <c r="F1125" s="491" t="n"/>
      <c r="G1125" s="491" t="n"/>
      <c r="H1125" s="491" t="n"/>
      <c r="I1125" s="491" t="n"/>
      <c r="J1125" s="491" t="n"/>
      <c r="K1125" s="491" t="n"/>
      <c r="L1125" s="491" t="n"/>
      <c r="M1125" s="491" t="n"/>
      <c r="N1125" s="491" t="n"/>
      <c r="O1125" s="491" t="n"/>
      <c r="P1125" s="491" t="n"/>
      <c r="Q1125" s="491" t="n"/>
      <c r="R1125" s="491" t="n"/>
      <c r="S1125" s="492" t="n"/>
    </row>
    <row r="1126">
      <c r="A1126" s="180" t="n"/>
      <c r="B1126" s="166" t="n"/>
      <c r="C1126" s="278" t="n"/>
      <c r="D1126" s="166" t="n"/>
      <c r="E1126" s="166" t="n"/>
      <c r="F1126" s="278" t="n"/>
      <c r="G1126" s="166" t="n"/>
      <c r="H1126" s="194" t="n"/>
      <c r="I1126" s="166" t="n"/>
      <c r="J1126" s="166" t="n"/>
      <c r="K1126" s="166" t="n"/>
      <c r="L1126" s="166" t="n"/>
      <c r="M1126" s="278" t="n"/>
      <c r="N1126" s="166" t="n"/>
      <c r="O1126" s="166" t="n"/>
      <c r="P1126" s="166" t="n"/>
      <c r="Q1126" s="166" t="n"/>
      <c r="R1126" s="166" t="n"/>
      <c r="S1126" s="166" t="n"/>
    </row>
    <row r="1127">
      <c r="A1127" s="179" t="n"/>
      <c r="B1127" s="166" t="n"/>
      <c r="C1127" s="166" t="n"/>
      <c r="D1127" s="166" t="n"/>
      <c r="E1127" s="166" t="n"/>
      <c r="F1127" s="166" t="n"/>
      <c r="G1127" s="166" t="n"/>
      <c r="H1127" s="195" t="n"/>
      <c r="I1127" s="166" t="n"/>
      <c r="J1127" s="166" t="n"/>
      <c r="K1127" s="166" t="n"/>
      <c r="L1127" s="166" t="n"/>
      <c r="M1127" s="166" t="n"/>
      <c r="N1127" s="166" t="n"/>
      <c r="O1127" s="166" t="n"/>
      <c r="P1127" s="166" t="n"/>
      <c r="Q1127" s="166" t="n"/>
      <c r="R1127" s="166" t="n"/>
      <c r="S1127" s="166" t="n"/>
    </row>
    <row r="1128" ht="14.5" customHeight="1" s="344">
      <c r="A1128" s="494" t="n"/>
      <c r="B1128" s="491" t="n"/>
      <c r="C1128" s="491" t="n"/>
      <c r="D1128" s="491" t="n"/>
      <c r="E1128" s="491" t="n"/>
      <c r="F1128" s="491" t="n"/>
      <c r="G1128" s="491" t="n"/>
      <c r="H1128" s="491" t="n"/>
      <c r="I1128" s="491" t="n"/>
      <c r="J1128" s="491" t="n"/>
      <c r="K1128" s="491" t="n"/>
      <c r="L1128" s="491" t="n"/>
      <c r="M1128" s="491" t="n"/>
      <c r="N1128" s="491" t="n"/>
      <c r="O1128" s="491" t="n"/>
      <c r="P1128" s="491" t="n"/>
      <c r="Q1128" s="491" t="n"/>
      <c r="R1128" s="491" t="n"/>
      <c r="S1128" s="492" t="n"/>
    </row>
    <row r="1129">
      <c r="A1129" s="180" t="n"/>
      <c r="B1129" s="166" t="n"/>
      <c r="C1129" s="278" t="n"/>
      <c r="D1129" s="166" t="n"/>
      <c r="E1129" s="166" t="n"/>
      <c r="F1129" s="278" t="n"/>
      <c r="G1129" s="166" t="n"/>
      <c r="H1129" s="194" t="n"/>
      <c r="I1129" s="166" t="n"/>
      <c r="J1129" s="166" t="n"/>
      <c r="K1129" s="166" t="n"/>
      <c r="L1129" s="166" t="n"/>
      <c r="M1129" s="278" t="n"/>
      <c r="N1129" s="166" t="n"/>
      <c r="O1129" s="166" t="n"/>
      <c r="P1129" s="166" t="n"/>
      <c r="Q1129" s="166" t="n"/>
      <c r="R1129" s="166" t="n"/>
      <c r="S1129" s="166" t="n"/>
    </row>
    <row r="1130">
      <c r="A1130" s="179" t="n"/>
      <c r="B1130" s="166" t="n"/>
      <c r="C1130" s="166" t="n"/>
      <c r="D1130" s="166" t="n"/>
      <c r="E1130" s="166" t="n"/>
      <c r="F1130" s="166" t="n"/>
      <c r="G1130" s="166" t="n"/>
      <c r="H1130" s="195" t="n"/>
      <c r="I1130" s="166" t="n"/>
      <c r="J1130" s="166" t="n"/>
      <c r="K1130" s="166" t="n"/>
      <c r="L1130" s="166" t="n"/>
      <c r="M1130" s="166" t="n"/>
      <c r="N1130" s="166" t="n"/>
      <c r="O1130" s="166" t="n"/>
      <c r="P1130" s="166" t="n"/>
      <c r="Q1130" s="166" t="n"/>
      <c r="R1130" s="166" t="n"/>
      <c r="S1130" s="166" t="n"/>
    </row>
    <row r="1131" ht="14.5" customHeight="1" s="344">
      <c r="A1131" s="494" t="n"/>
      <c r="B1131" s="491" t="n"/>
      <c r="C1131" s="491" t="n"/>
      <c r="D1131" s="491" t="n"/>
      <c r="E1131" s="491" t="n"/>
      <c r="F1131" s="491" t="n"/>
      <c r="G1131" s="491" t="n"/>
      <c r="H1131" s="491" t="n"/>
      <c r="I1131" s="491" t="n"/>
      <c r="J1131" s="491" t="n"/>
      <c r="K1131" s="491" t="n"/>
      <c r="L1131" s="491" t="n"/>
      <c r="M1131" s="491" t="n"/>
      <c r="N1131" s="491" t="n"/>
      <c r="O1131" s="491" t="n"/>
      <c r="P1131" s="491" t="n"/>
      <c r="Q1131" s="491" t="n"/>
      <c r="R1131" s="491" t="n"/>
      <c r="S1131" s="492" t="n"/>
    </row>
    <row r="1132">
      <c r="A1132" s="180" t="n"/>
      <c r="B1132" s="166" t="n"/>
      <c r="C1132" s="278" t="n"/>
      <c r="D1132" s="166" t="n"/>
      <c r="E1132" s="166" t="n"/>
      <c r="F1132" s="278" t="n"/>
      <c r="G1132" s="166" t="n"/>
      <c r="H1132" s="194" t="n"/>
      <c r="I1132" s="166" t="n"/>
      <c r="J1132" s="166" t="n"/>
      <c r="K1132" s="166" t="n"/>
      <c r="L1132" s="166" t="n"/>
      <c r="M1132" s="278" t="n"/>
      <c r="N1132" s="166" t="n"/>
      <c r="O1132" s="166" t="n"/>
      <c r="P1132" s="166" t="n"/>
      <c r="Q1132" s="166" t="n"/>
      <c r="R1132" s="166" t="n"/>
      <c r="S1132" s="166" t="n"/>
    </row>
    <row r="1133">
      <c r="A1133" s="179" t="n"/>
      <c r="B1133" s="166" t="n"/>
      <c r="C1133" s="166" t="n"/>
      <c r="D1133" s="166" t="n"/>
      <c r="E1133" s="166" t="n"/>
      <c r="F1133" s="166" t="n"/>
      <c r="G1133" s="166" t="n"/>
      <c r="H1133" s="195" t="n"/>
      <c r="I1133" s="166" t="n"/>
      <c r="J1133" s="166" t="n"/>
      <c r="K1133" s="166" t="n"/>
      <c r="L1133" s="166" t="n"/>
      <c r="M1133" s="166" t="n"/>
      <c r="N1133" s="166" t="n"/>
      <c r="O1133" s="166" t="n"/>
      <c r="P1133" s="166" t="n"/>
      <c r="Q1133" s="166" t="n"/>
      <c r="R1133" s="166" t="n"/>
      <c r="S1133" s="166" t="n"/>
    </row>
    <row r="1134">
      <c r="A1134" s="179" t="n"/>
      <c r="B1134" s="166" t="n"/>
      <c r="C1134" s="166" t="n"/>
      <c r="D1134" s="166" t="n"/>
      <c r="E1134" s="166" t="n"/>
      <c r="F1134" s="166" t="n"/>
      <c r="G1134" s="166" t="n"/>
      <c r="H1134" s="279" t="n"/>
      <c r="I1134" s="166" t="n"/>
      <c r="J1134" s="279" t="n"/>
      <c r="K1134" s="166" t="n"/>
      <c r="L1134" s="166" t="n"/>
      <c r="M1134" s="166" t="n"/>
      <c r="N1134" s="166" t="n"/>
      <c r="O1134" s="166" t="n"/>
      <c r="P1134" s="166" t="n"/>
      <c r="Q1134" s="166" t="n"/>
      <c r="R1134" s="166" t="n"/>
      <c r="S1134" s="166" t="n"/>
    </row>
    <row r="1135"/>
    <row r="1136"/>
    <row r="1137"/>
    <row r="1138">
      <c r="A1138" s="321" t="n"/>
      <c r="B1138" s="321" t="n"/>
      <c r="C1138" s="321" t="n"/>
      <c r="D1138" s="321" t="n"/>
      <c r="E1138" s="321" t="n"/>
      <c r="F1138" s="321" t="n"/>
      <c r="G1138" s="321" t="n"/>
      <c r="H1138" s="321" t="n"/>
      <c r="I1138" s="321" t="n"/>
      <c r="J1138" s="321" t="n"/>
      <c r="K1138" s="321" t="n"/>
      <c r="L1138" s="321" t="n"/>
      <c r="M1138" s="321" t="n"/>
      <c r="N1138" s="321" t="n"/>
      <c r="O1138" s="321" t="n"/>
      <c r="P1138" s="321" t="n"/>
      <c r="Q1138" s="321" t="n"/>
      <c r="R1138" s="321" t="n"/>
      <c r="S1138" s="321" t="n"/>
    </row>
    <row r="1139">
      <c r="A1139" s="382" t="n"/>
      <c r="G1139" s="321" t="n"/>
      <c r="H1139" s="321" t="n"/>
      <c r="I1139" s="321" t="n"/>
      <c r="J1139" s="321" t="n"/>
      <c r="K1139" s="330" t="n"/>
      <c r="P1139" s="321" t="n"/>
      <c r="Q1139" s="321" t="n"/>
      <c r="R1139" s="321" t="n"/>
      <c r="S1139" s="321" t="n"/>
    </row>
    <row r="1140">
      <c r="A1140" s="382" t="n"/>
      <c r="G1140" s="321" t="n"/>
      <c r="H1140" s="321" t="n"/>
      <c r="I1140" s="321" t="n"/>
      <c r="J1140" s="321" t="n"/>
      <c r="K1140" s="327" t="n"/>
      <c r="P1140" s="321" t="n"/>
      <c r="Q1140" s="321" t="n"/>
      <c r="R1140" s="321" t="n"/>
      <c r="S1140" s="321" t="n"/>
    </row>
    <row r="1141">
      <c r="A1141" s="321" t="n"/>
      <c r="B1141" s="321" t="n"/>
      <c r="C1141" s="321" t="n"/>
      <c r="D1141" s="321" t="n"/>
      <c r="E1141" s="321" t="n"/>
      <c r="F1141" s="321" t="n"/>
      <c r="G1141" s="321" t="n"/>
      <c r="H1141" s="321" t="n"/>
      <c r="I1141" s="321" t="n"/>
      <c r="J1141" s="321" t="n"/>
      <c r="K1141" s="327" t="n"/>
      <c r="P1141" s="321" t="n"/>
      <c r="Q1141" s="321" t="n"/>
      <c r="R1141" s="321" t="n"/>
      <c r="S1141" s="321" t="n"/>
    </row>
    <row r="1142">
      <c r="A1142" s="321" t="n"/>
      <c r="B1142" s="321" t="n"/>
      <c r="C1142" s="321" t="n"/>
      <c r="D1142" s="321" t="n"/>
      <c r="E1142" s="321" t="n"/>
      <c r="F1142" s="321" t="n"/>
      <c r="G1142" s="321" t="n"/>
      <c r="H1142" s="321" t="n"/>
      <c r="I1142" s="321" t="n"/>
      <c r="J1142" s="321" t="n"/>
      <c r="K1142" s="330" t="n"/>
      <c r="P1142" s="321" t="n"/>
      <c r="Q1142" s="321" t="n"/>
      <c r="R1142" s="321" t="n"/>
      <c r="S1142" s="321" t="n"/>
    </row>
    <row r="1143">
      <c r="A1143" s="321" t="n"/>
      <c r="B1143" s="321" t="n"/>
      <c r="C1143" s="321" t="n"/>
      <c r="D1143" s="321" t="n"/>
      <c r="E1143" s="321" t="n"/>
      <c r="F1143" s="321" t="n"/>
      <c r="G1143" s="321" t="n"/>
      <c r="H1143" s="321" t="n"/>
      <c r="I1143" s="321" t="n"/>
      <c r="J1143" s="321" t="n"/>
      <c r="K1143" s="321" t="n"/>
      <c r="L1143" s="321" t="n"/>
      <c r="M1143" s="321" t="n"/>
      <c r="N1143" s="321" t="n"/>
      <c r="O1143" s="321" t="n"/>
      <c r="P1143" s="321" t="n"/>
      <c r="Q1143" s="321" t="n"/>
      <c r="R1143" s="321" t="n"/>
      <c r="S1143" s="321" t="n"/>
    </row>
  </sheetData>
  <mergeCells count="40">
    <mergeCell ref="B14:D14"/>
    <mergeCell ref="B11:M11"/>
    <mergeCell ref="Q14:Q15"/>
    <mergeCell ref="S14:S15"/>
    <mergeCell ref="A17:S17"/>
    <mergeCell ref="J1:K1"/>
    <mergeCell ref="B8:M8"/>
    <mergeCell ref="A1140:F1140"/>
    <mergeCell ref="A1122:S1122"/>
    <mergeCell ref="K1141:O1141"/>
    <mergeCell ref="L14:L15"/>
    <mergeCell ref="B10:M10"/>
    <mergeCell ref="N14:N15"/>
    <mergeCell ref="A1125:S1125"/>
    <mergeCell ref="A1128:S1128"/>
    <mergeCell ref="A1119:S1119"/>
    <mergeCell ref="B9:M9"/>
    <mergeCell ref="A14:A15"/>
    <mergeCell ref="G14:G15"/>
    <mergeCell ref="B6:M6"/>
    <mergeCell ref="I14:I15"/>
    <mergeCell ref="K1140:O1140"/>
    <mergeCell ref="J4:K4"/>
    <mergeCell ref="K14:K15"/>
    <mergeCell ref="M14:M15"/>
    <mergeCell ref="K1142:O1142"/>
    <mergeCell ref="O14:O15"/>
    <mergeCell ref="F14:F15"/>
    <mergeCell ref="A1139:F1139"/>
    <mergeCell ref="H14:H15"/>
    <mergeCell ref="J3:K3"/>
    <mergeCell ref="J14:J15"/>
    <mergeCell ref="B7:M7"/>
    <mergeCell ref="P14:P15"/>
    <mergeCell ref="R14:R15"/>
    <mergeCell ref="K1139:O1139"/>
    <mergeCell ref="J2:K2"/>
    <mergeCell ref="A1131:S1131"/>
    <mergeCell ref="B12:M12"/>
    <mergeCell ref="E14:E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L1128"/>
  <sheetViews>
    <sheetView showGridLines="0" zoomScale="90" zoomScaleNormal="90" workbookViewId="0">
      <pane xSplit="3" ySplit="15" topLeftCell="D1108" activePane="bottomRight" state="frozen"/>
      <selection activeCell="S16" sqref="S16"/>
      <selection pane="topRight" activeCell="S16" sqref="S16"/>
      <selection pane="bottomLeft" activeCell="S16" sqref="S16"/>
      <selection pane="bottomRight" activeCell="K5" sqref="K5"/>
    </sheetView>
  </sheetViews>
  <sheetFormatPr baseColWidth="8" defaultColWidth="9" defaultRowHeight="15.5"/>
  <cols>
    <col width="32" bestFit="1" customWidth="1" style="344" min="1" max="1"/>
    <col width="11.25" bestFit="1" customWidth="1" style="344" min="2" max="2"/>
    <col width="11.33203125" bestFit="1" customWidth="1" style="344" min="3" max="3"/>
    <col width="32" bestFit="1" customWidth="1" style="344" min="4" max="4"/>
    <col width="13.83203125" bestFit="1" customWidth="1" style="450" min="5" max="6"/>
    <col width="16.25" bestFit="1" customWidth="1" style="344" min="7" max="7"/>
    <col width="8.75" bestFit="1" customWidth="1" style="344" min="8" max="8"/>
    <col width="15.9140625" customWidth="1" style="530" min="9" max="9"/>
    <col width="6.5" bestFit="1" customWidth="1" style="531" min="10" max="10"/>
    <col width="25.9140625" bestFit="1" customWidth="1" style="35" min="11" max="11"/>
    <col width="17.58203125" bestFit="1" customWidth="1" style="528" min="12" max="12"/>
    <col width="14.08203125" bestFit="1" customWidth="1" style="35" min="13" max="13"/>
    <col width="9" customWidth="1" style="35" min="14" max="16384"/>
  </cols>
  <sheetData>
    <row r="1" ht="26.5" customHeight="1" s="344">
      <c r="A1" s="339" t="inlineStr">
        <is>
          <t>TỔNG CÔNG TY ĐIỆN LỰC THÀNH PHỐ HỒ CHÍ MINH TNHH</t>
        </is>
      </c>
      <c r="I1" s="532" t="n"/>
      <c r="K1" s="43" t="inlineStr">
        <is>
          <t xml:space="preserve">Tài khoản: </t>
        </is>
      </c>
    </row>
    <row r="2" ht="52.5" customHeight="1" s="344">
      <c r="A2" s="339" t="inlineStr">
        <is>
          <t>CHI NHÁNH TỔNG CÔNG TY ĐIỆN LỰC THÀNH PHỐ HỒ CHÍ MINH TNHH - CÔNG TY ĐIỆN LỰC VŨNG TÀU</t>
        </is>
      </c>
      <c r="I2" s="533" t="n"/>
      <c r="K2" s="35" t="inlineStr">
        <is>
          <t>13311</t>
        </is>
      </c>
      <c r="L2" s="528">
        <f>SUMIF($J:$J,$K2,$I:$I)</f>
        <v/>
      </c>
    </row>
    <row r="3" ht="41.4" customHeight="1" s="344">
      <c r="A3" s="335" t="inlineStr">
        <is>
          <t>SỔ CHI TIẾT THEO TÀI KHOẢN THUẾ</t>
        </is>
      </c>
      <c r="K3" s="35" t="inlineStr">
        <is>
          <t>13313</t>
        </is>
      </c>
      <c r="L3" s="528">
        <f>SUMIF($J:$J,$K3,$I:$I)</f>
        <v/>
      </c>
    </row>
    <row r="4" ht="39.5" customHeight="1" s="344">
      <c r="A4" s="162" t="inlineStr">
        <is>
          <t>Tài khoản: 1331 - Thuế GTGT được khấu trừ – Thuế GTGT được khấu trừ của hàng hoá, dịch vụ</t>
        </is>
      </c>
      <c r="I4" s="534" t="n"/>
      <c r="K4" s="285" t="inlineStr">
        <is>
          <t>cuối kỳ 1331</t>
        </is>
      </c>
      <c r="L4" s="531">
        <f>SUM(L2:L3)</f>
        <v/>
      </c>
    </row>
    <row r="5">
      <c r="A5" s="162" t="inlineStr">
        <is>
          <t xml:space="preserve">Loại hình:  - </t>
        </is>
      </c>
    </row>
    <row r="6">
      <c r="A6" s="162" t="inlineStr">
        <is>
          <t>Từ ngày: 01/09/2026 đến ngày: 30/09/2026</t>
        </is>
      </c>
    </row>
    <row r="7">
      <c r="A7" s="321" t="n"/>
    </row>
    <row r="8"/>
    <row r="9" ht="14.4" customHeight="1" s="344">
      <c r="A9" s="164" t="inlineStr">
        <is>
          <t>CHỨNG TỪ</t>
        </is>
      </c>
      <c r="B9" s="491" t="n"/>
      <c r="C9" s="492" t="n"/>
      <c r="D9" s="164" t="inlineStr">
        <is>
          <t>DIỄN GIẢI</t>
        </is>
      </c>
      <c r="E9" s="497" t="inlineStr">
        <is>
          <t>PHÁT SINH NỢ</t>
        </is>
      </c>
      <c r="F9" s="497" t="inlineStr">
        <is>
          <t>PHÁT SINH CÓ</t>
        </is>
      </c>
      <c r="G9" s="164" t="inlineStr">
        <is>
          <t>Người hạch toán</t>
        </is>
      </c>
      <c r="H9" s="164" t="inlineStr">
        <is>
          <t>Trạng thái</t>
        </is>
      </c>
      <c r="I9" s="530" t="n"/>
    </row>
    <row r="10" ht="14.5" customHeight="1" s="344">
      <c r="A10" s="164" t="inlineStr">
        <is>
          <t>Ngày chứng từ</t>
        </is>
      </c>
      <c r="B10" s="164" t="inlineStr">
        <is>
          <t>Số chứng từ</t>
        </is>
      </c>
      <c r="C10" s="164" t="inlineStr">
        <is>
          <t>Nguồn chứng từ</t>
        </is>
      </c>
      <c r="D10" s="493" t="n"/>
      <c r="E10" s="493" t="n"/>
      <c r="F10" s="493" t="n"/>
      <c r="G10" s="493" t="n"/>
      <c r="H10" s="493" t="n"/>
      <c r="I10" s="530" t="n"/>
    </row>
    <row r="11">
      <c r="A11" s="165" t="inlineStr">
        <is>
          <t>Tài khoản: 13311000000</t>
        </is>
      </c>
      <c r="B11" s="491" t="n"/>
      <c r="C11" s="492" t="n"/>
      <c r="D11" s="165" t="inlineStr">
        <is>
          <t xml:space="preserve">Dư đầu kỳ </t>
        </is>
      </c>
      <c r="E11" s="498" t="n">
        <v>60549888887</v>
      </c>
      <c r="F11" s="499" t="n"/>
      <c r="G11" s="166" t="n"/>
      <c r="H11" s="166" t="n"/>
      <c r="I11">
        <f>IF(LEN(A11)=5,E11,0)</f>
        <v/>
      </c>
      <c r="J11" s="531">
        <f>IF(LEFT(A11,11)="Tài khoản: ",MID(A11,12,5),J10)</f>
        <v/>
      </c>
    </row>
    <row r="12" ht="24" customHeight="1" s="344">
      <c r="A12" s="30" t="n">
        <v>46272</v>
      </c>
      <c r="B12" s="31" t="inlineStr">
        <is>
          <t>'R0926ĐTT0584</t>
        </is>
      </c>
      <c r="C12" s="32" t="inlineStr">
        <is>
          <t>AR_REC</t>
        </is>
      </c>
      <c r="D12" s="19" t="inlineStr">
        <is>
          <t>Chuyển trả phí chuyển tiền T09/2026 BIDV HĐS 00025893-07/09/2026</t>
        </is>
      </c>
      <c r="E12" s="500" t="n">
        <v>70000</v>
      </c>
      <c r="F12" s="499" t="n"/>
      <c r="G12" s="32" t="inlineStr">
        <is>
          <t>QUYENNN.HCM.VTA</t>
        </is>
      </c>
      <c r="H12" s="32" t="inlineStr">
        <is>
          <t xml:space="preserve">Final to Post </t>
        </is>
      </c>
      <c r="I12" s="530">
        <f>IF(LEN(A12)=5,E12,0)</f>
        <v/>
      </c>
      <c r="J12" s="531">
        <f>IF(LEFT(A12,11)="Tài khoản: ",MID(A12,12,5),J11)</f>
        <v/>
      </c>
    </row>
    <row r="13" ht="24" customHeight="1" s="344">
      <c r="A13" s="30" t="n">
        <v>46273</v>
      </c>
      <c r="B13" s="31" t="inlineStr">
        <is>
          <t>'R0926ĐTT0588</t>
        </is>
      </c>
      <c r="C13" s="32" t="inlineStr">
        <is>
          <t>AR_REC</t>
        </is>
      </c>
      <c r="D13" s="19" t="inlineStr">
        <is>
          <t>Chuyển trả phí chuyển tiền T09/2026+duy trì dịch vụ T08/2026 BIDV HĐS 00026077-08/09/2026</t>
        </is>
      </c>
      <c r="E13" s="500" t="n">
        <v>75000</v>
      </c>
      <c r="F13" s="499" t="n"/>
      <c r="G13" s="32" t="inlineStr">
        <is>
          <t>QUYENNN.HCM.VTA</t>
        </is>
      </c>
      <c r="H13" s="32" t="inlineStr">
        <is>
          <t xml:space="preserve">Final to Post </t>
        </is>
      </c>
      <c r="I13" s="530">
        <f>IF(LEN(A13)=5,E13,0)</f>
        <v/>
      </c>
      <c r="J13" s="531">
        <f>IF(LEFT(A13,11)="Tài khoản: ",MID(A13,12,5),J12)</f>
        <v/>
      </c>
    </row>
    <row r="14" ht="24" customHeight="1" s="344">
      <c r="A14" s="30" t="n">
        <v>46279</v>
      </c>
      <c r="B14" s="31" t="inlineStr">
        <is>
          <t>'R0926SC1051</t>
        </is>
      </c>
      <c r="C14" s="32" t="inlineStr">
        <is>
          <t>AR_REC</t>
        </is>
      </c>
      <c r="D14" s="19" t="inlineStr">
        <is>
          <t>Chuyển TT tiền bảo vệ T8/26 cho CTy Chính Tín Nghĩa theo HĐơn 92-31/08/26</t>
        </is>
      </c>
      <c r="E14" s="500" t="n">
        <v>10240000</v>
      </c>
      <c r="F14" s="499" t="n"/>
      <c r="G14" s="32" t="inlineStr">
        <is>
          <t>HUENT.HCM.VTA</t>
        </is>
      </c>
      <c r="H14" s="32" t="inlineStr">
        <is>
          <t xml:space="preserve">Final to Post </t>
        </is>
      </c>
      <c r="I14" s="530">
        <f>IF(LEN(A14)=5,E14,0)</f>
        <v/>
      </c>
      <c r="J14" s="531">
        <f>IF(LEFT(A14,11)="Tài khoản: ",MID(A14,12,5),J13)</f>
        <v/>
      </c>
    </row>
    <row r="15" ht="24" customHeight="1" s="344">
      <c r="A15" s="30" t="n">
        <v>46279</v>
      </c>
      <c r="B15" s="31" t="inlineStr">
        <is>
          <t>'R0926ĐTT0602</t>
        </is>
      </c>
      <c r="C15" s="32" t="inlineStr">
        <is>
          <t>AR_REC</t>
        </is>
      </c>
      <c r="D15" s="19" t="inlineStr">
        <is>
          <t>Chuyển trả phí quản lý tài khoản T09/2026 TK 7600265128 BIDV HĐS 00026747-14/09/2026</t>
        </is>
      </c>
      <c r="E15" s="500" t="n">
        <v>5000</v>
      </c>
      <c r="F15" s="499" t="n"/>
      <c r="G15" s="32" t="inlineStr">
        <is>
          <t>QUYENNN.HCM.VTA</t>
        </is>
      </c>
      <c r="H15" s="32" t="inlineStr">
        <is>
          <t xml:space="preserve">Final to Post </t>
        </is>
      </c>
      <c r="I15" s="530">
        <f>IF(LEN(A15)=5,E15,0)</f>
        <v/>
      </c>
      <c r="J15" s="531">
        <f>IF(LEFT(A15,11)="Tài khoản: ",MID(A15,12,5),J14)</f>
        <v/>
      </c>
    </row>
    <row r="16" ht="24" customHeight="1" s="344">
      <c r="A16" s="30" t="n">
        <v>46280</v>
      </c>
      <c r="B16" s="31" t="inlineStr">
        <is>
          <t>'C0926C265</t>
        </is>
      </c>
      <c r="C16" s="32" t="inlineStr">
        <is>
          <t>AR_REC</t>
        </is>
      </c>
      <c r="D16" s="19" t="inlineStr">
        <is>
          <t>Thanh toán tiền rửa xe ôtô T08-2026 - Hóa đơn 786/28.08.26</t>
        </is>
      </c>
      <c r="E16" s="500" t="n">
        <v>249600</v>
      </c>
      <c r="F16" s="499" t="n"/>
      <c r="G16" s="32" t="inlineStr">
        <is>
          <t>THAOPTT.HCM.VTA</t>
        </is>
      </c>
      <c r="H16" s="32" t="inlineStr">
        <is>
          <t xml:space="preserve">Final to Post </t>
        </is>
      </c>
      <c r="I16" s="530">
        <f>IF(LEN(A16)=5,E16,0)</f>
        <v/>
      </c>
      <c r="J16" s="531">
        <f>IF(LEFT(A16,11)="Tài khoản: ",MID(A16,12,5),J15)</f>
        <v/>
      </c>
    </row>
    <row r="17" ht="35.5" customHeight="1" s="344">
      <c r="A17" s="30" t="n">
        <v>46280</v>
      </c>
      <c r="B17" s="31" t="inlineStr">
        <is>
          <t>'C0926C268</t>
        </is>
      </c>
      <c r="C17" s="32" t="inlineStr">
        <is>
          <t>AR_REC</t>
        </is>
      </c>
      <c r="D17" s="19" t="inlineStr">
        <is>
          <t>Thanh toán tiền đặt ăn SXKD - Hóa đơn 64582/31.08.26</t>
        </is>
      </c>
      <c r="E17" s="500" t="n">
        <v>285028</v>
      </c>
      <c r="F17" s="499" t="n"/>
      <c r="G17" s="32" t="inlineStr">
        <is>
          <t>THAOPTT.HCM.VTA</t>
        </is>
      </c>
      <c r="H17" s="32" t="inlineStr">
        <is>
          <t xml:space="preserve">Final to Post </t>
        </is>
      </c>
      <c r="I17" s="530">
        <f>IF(LEN(A17)=5,E17,0)</f>
        <v/>
      </c>
      <c r="J17" s="531">
        <f>IF(LEFT(A17,11)="Tài khoản: ",MID(A17,12,5),J16)</f>
        <v/>
      </c>
    </row>
    <row r="18">
      <c r="A18" s="30" t="n">
        <v>46280</v>
      </c>
      <c r="B18" s="31" t="inlineStr">
        <is>
          <t>'C0926C269</t>
        </is>
      </c>
      <c r="C18" s="32" t="inlineStr">
        <is>
          <t>AR_REC</t>
        </is>
      </c>
      <c r="D18" s="19" t="inlineStr">
        <is>
          <t>Thanh toán tiền thuê máy cuốc xử lý cáp ngầm  hẻm 563 Ng An Ninh, P.Tam Thắng - Hóa đơn 24/26.08.26</t>
        </is>
      </c>
      <c r="E18" s="500" t="n">
        <v>222222</v>
      </c>
      <c r="F18" s="499" t="n"/>
      <c r="G18" s="32" t="inlineStr">
        <is>
          <t>THAOPTT.HCM.VTA</t>
        </is>
      </c>
      <c r="H18" s="32" t="inlineStr">
        <is>
          <t xml:space="preserve">Final to Post </t>
        </is>
      </c>
      <c r="I18" s="530">
        <f>IF(LEN(A18)=5,E18,0)</f>
        <v/>
      </c>
      <c r="J18" s="531">
        <f>IF(LEFT(A18,11)="Tài khoản: ",MID(A18,12,5),J17)</f>
        <v/>
      </c>
    </row>
    <row r="19">
      <c r="A19" s="30" t="n">
        <v>46280</v>
      </c>
      <c r="B19" s="31" t="inlineStr">
        <is>
          <t>'C0926C271</t>
        </is>
      </c>
      <c r="C19" s="32" t="inlineStr">
        <is>
          <t>AR_REC</t>
        </is>
      </c>
      <c r="D19" s="19" t="inlineStr">
        <is>
          <t>Thanh toán tiền thuê máy cuốc xử lý cáp ngầm  cổng CC Gateway; P.Tam Thắng - Hóa đơn 25/27.0.26</t>
        </is>
      </c>
      <c r="E19" s="500" t="n">
        <v>222222</v>
      </c>
      <c r="F19" s="499" t="n"/>
      <c r="G19" s="32" t="inlineStr">
        <is>
          <t>THAOPTT.HCM.VTA</t>
        </is>
      </c>
      <c r="H19" s="32" t="inlineStr">
        <is>
          <t xml:space="preserve">Final to Post </t>
        </is>
      </c>
      <c r="I19" s="530">
        <f>IF(LEN(A19)=5,E19,0)</f>
        <v/>
      </c>
      <c r="J19" s="531">
        <f>IF(LEFT(A19,11)="Tài khoản: ",MID(A19,12,5),J18)</f>
        <v/>
      </c>
    </row>
    <row r="20">
      <c r="A20" s="30" t="n">
        <v>46281</v>
      </c>
      <c r="B20" s="31" t="inlineStr">
        <is>
          <t>'R0926ĐTT0607</t>
        </is>
      </c>
      <c r="C20" s="32" t="inlineStr">
        <is>
          <t>AR_REC</t>
        </is>
      </c>
      <c r="D20" s="19" t="inlineStr">
        <is>
          <t>Chuyển trả phí chuyển tiền T09/2026 BIDV HĐS 00026905-16/09/2026</t>
        </is>
      </c>
      <c r="E20" s="500" t="n">
        <v>10000</v>
      </c>
      <c r="F20" s="499" t="n"/>
      <c r="G20" s="32" t="inlineStr">
        <is>
          <t>QUYENNN.HCM.VTA</t>
        </is>
      </c>
      <c r="H20" s="32" t="inlineStr">
        <is>
          <t xml:space="preserve">Final to Post </t>
        </is>
      </c>
      <c r="I20" s="530">
        <f>IF(LEN(A20)=5,E20,0)</f>
        <v/>
      </c>
      <c r="J20" s="531">
        <f>IF(LEFT(A20,11)="Tài khoản: ",MID(A20,12,5),J19)</f>
        <v/>
      </c>
    </row>
    <row r="21">
      <c r="A21" s="30" t="n">
        <v>46288</v>
      </c>
      <c r="B21" s="31" t="inlineStr">
        <is>
          <t>'R0926AG056</t>
        </is>
      </c>
      <c r="C21" s="32" t="inlineStr">
        <is>
          <t>AR_REC</t>
        </is>
      </c>
      <c r="D21" s="19" t="inlineStr">
        <is>
          <t>Thanh toán phí QLTK AGR T09-2026</t>
        </is>
      </c>
      <c r="E21" s="500" t="n">
        <v>1500</v>
      </c>
      <c r="F21" s="499" t="n"/>
      <c r="G21" s="32" t="inlineStr">
        <is>
          <t>THAOPTT.HCM.VTA</t>
        </is>
      </c>
      <c r="H21" s="32" t="inlineStr">
        <is>
          <t xml:space="preserve">Final to Post </t>
        </is>
      </c>
      <c r="I21" s="530">
        <f>IF(LEN(A21)=5,E21,0)</f>
        <v/>
      </c>
      <c r="J21" s="531">
        <f>IF(LEFT(A21,11)="Tài khoản: ",MID(A21,12,5),J20)</f>
        <v/>
      </c>
    </row>
    <row r="22">
      <c r="A22" s="30" t="n">
        <v>46288</v>
      </c>
      <c r="B22" s="31" t="inlineStr">
        <is>
          <t>'R0926NNT0623</t>
        </is>
      </c>
      <c r="C22" s="32" t="inlineStr">
        <is>
          <t>AR_REC</t>
        </is>
      </c>
      <c r="D22" s="19" t="inlineStr">
        <is>
          <t>Chuyển trả phí quản lý tài khoản T09/2026 NH Nông Nghiệp HĐS 00447438-23/09/2026</t>
        </is>
      </c>
      <c r="E22" s="500" t="n">
        <v>1500</v>
      </c>
      <c r="F22" s="499" t="n"/>
      <c r="G22" s="32" t="inlineStr">
        <is>
          <t>QUYENNN.HCM.VTA</t>
        </is>
      </c>
      <c r="H22" s="32" t="inlineStr">
        <is>
          <t xml:space="preserve">Final to Post </t>
        </is>
      </c>
      <c r="I22" s="530">
        <f>IF(LEN(A22)=5,E22,0)</f>
        <v/>
      </c>
      <c r="J22" s="531">
        <f>IF(LEFT(A22,11)="Tài khoản: ",MID(A22,12,5),J21)</f>
        <v/>
      </c>
    </row>
    <row r="23">
      <c r="A23" s="30" t="n">
        <v>46290</v>
      </c>
      <c r="B23" s="31" t="inlineStr">
        <is>
          <t>'R0926ĐTT0629</t>
        </is>
      </c>
      <c r="C23" s="32" t="inlineStr">
        <is>
          <t>AR_REC</t>
        </is>
      </c>
      <c r="D23" s="19" t="inlineStr">
        <is>
          <t>Chuyển trả phí chuyển tiền T09/2026 BIDV HĐS 00027547-25/09/2026</t>
        </is>
      </c>
      <c r="E23" s="500" t="n">
        <v>40000</v>
      </c>
      <c r="F23" s="499" t="n"/>
      <c r="G23" s="32" t="inlineStr">
        <is>
          <t>QUYENNN.HCM.VTA</t>
        </is>
      </c>
      <c r="H23" s="32" t="inlineStr">
        <is>
          <t xml:space="preserve">Final to Post </t>
        </is>
      </c>
      <c r="I23" s="530">
        <f>IF(LEN(A23)=5,E23,0)</f>
        <v/>
      </c>
      <c r="J23" s="531">
        <f>IF(LEFT(A23,11)="Tài khoản: ",MID(A23,12,5),J22)</f>
        <v/>
      </c>
    </row>
    <row r="24">
      <c r="A24" s="30" t="n">
        <v>46293</v>
      </c>
      <c r="B24" s="31" t="inlineStr">
        <is>
          <t>'C0926C280</t>
        </is>
      </c>
      <c r="C24" s="32" t="inlineStr">
        <is>
          <t>AR_REC</t>
        </is>
      </c>
      <c r="D24" s="19" t="inlineStr">
        <is>
          <t>TCKT_Thanh toán tiền đặt ăn SXKD - Hóa đơn 528/12.09.26</t>
        </is>
      </c>
      <c r="E24" s="500" t="n">
        <v>297481</v>
      </c>
      <c r="F24" s="499" t="n"/>
      <c r="G24" s="32" t="inlineStr">
        <is>
          <t>THAOPTT.HCM.VTA</t>
        </is>
      </c>
      <c r="H24" s="32" t="inlineStr">
        <is>
          <t xml:space="preserve">Final to Post </t>
        </is>
      </c>
      <c r="I24" s="530">
        <f>IF(LEN(A24)=5,E24,0)</f>
        <v/>
      </c>
      <c r="J24" s="531">
        <f>IF(LEFT(A24,11)="Tài khoản: ",MID(A24,12,5),J23)</f>
        <v/>
      </c>
    </row>
    <row r="25">
      <c r="A25" s="30" t="n">
        <v>46293</v>
      </c>
      <c r="B25" s="31" t="inlineStr">
        <is>
          <t>'R0926SC1140</t>
        </is>
      </c>
      <c r="C25" s="32" t="inlineStr">
        <is>
          <t>AR_REC</t>
        </is>
      </c>
      <c r="D25" s="19" t="inlineStr">
        <is>
          <t>Trích phí QLTK T9/26 NH Sacombank TK050160456868</t>
        </is>
      </c>
      <c r="E25" s="500" t="n">
        <v>5000</v>
      </c>
      <c r="F25" s="499" t="n"/>
      <c r="G25" s="32" t="inlineStr">
        <is>
          <t>HUENT.HCM.VTA</t>
        </is>
      </c>
      <c r="H25" s="32" t="inlineStr">
        <is>
          <t xml:space="preserve">Final to Post </t>
        </is>
      </c>
      <c r="I25" s="530">
        <f>IF(LEN(A25)=5,E25,0)</f>
        <v/>
      </c>
      <c r="J25" s="531">
        <f>IF(LEFT(A25,11)="Tài khoản: ",MID(A25,12,5),J24)</f>
        <v/>
      </c>
    </row>
    <row r="26">
      <c r="A26" s="30" t="n">
        <v>46293</v>
      </c>
      <c r="B26" s="31" t="inlineStr">
        <is>
          <t>'R0926SK0044</t>
        </is>
      </c>
      <c r="C26" s="32" t="inlineStr">
        <is>
          <t>AR_REC</t>
        </is>
      </c>
      <c r="D26" s="19" t="inlineStr">
        <is>
          <t>Phí ngân hàng Tháng 09/2026 (Hđơn 0259183/28.09.2026)</t>
        </is>
      </c>
      <c r="E26" s="500" t="n">
        <v>20000</v>
      </c>
      <c r="F26" s="499" t="n"/>
      <c r="G26" s="32" t="inlineStr">
        <is>
          <t>CHAULTN.HCM.VTA</t>
        </is>
      </c>
      <c r="H26" s="32" t="inlineStr">
        <is>
          <t xml:space="preserve">Final to Post </t>
        </is>
      </c>
      <c r="I26" s="530">
        <f>IF(LEN(A26)=5,E26,0)</f>
        <v/>
      </c>
      <c r="J26" s="531">
        <f>IF(LEFT(A26,11)="Tài khoản: ",MID(A26,12,5),J25)</f>
        <v/>
      </c>
    </row>
    <row r="27">
      <c r="A27" s="30" t="n">
        <v>46293</v>
      </c>
      <c r="B27" s="31" t="inlineStr">
        <is>
          <t>'R0926SQ0165</t>
        </is>
      </c>
      <c r="C27" s="32" t="inlineStr">
        <is>
          <t>AR_REC</t>
        </is>
      </c>
      <c r="D27" s="19" t="inlineStr">
        <is>
          <t>TT tiền phí quản lý TK T9/26 NH Sacombank TK050160898989</t>
        </is>
      </c>
      <c r="E27" s="500" t="n">
        <v>5000</v>
      </c>
      <c r="F27" s="499" t="n"/>
      <c r="G27" s="32" t="inlineStr">
        <is>
          <t>HUENT.HCM.VTA</t>
        </is>
      </c>
      <c r="H27" s="32" t="inlineStr">
        <is>
          <t xml:space="preserve">Final to Post </t>
        </is>
      </c>
      <c r="I27" s="530">
        <f>IF(LEN(A27)=5,E27,0)</f>
        <v/>
      </c>
      <c r="J27" s="531">
        <f>IF(LEFT(A27,11)="Tài khoản: ",MID(A27,12,5),J26)</f>
        <v/>
      </c>
    </row>
    <row r="28" ht="28.75" customHeight="1" s="344">
      <c r="A28" s="30" t="n">
        <v>46293</v>
      </c>
      <c r="B28" s="31" t="inlineStr">
        <is>
          <t>'R0926ST022</t>
        </is>
      </c>
      <c r="C28" s="32" t="inlineStr">
        <is>
          <t>AR_REC</t>
        </is>
      </c>
      <c r="D28" s="19" t="inlineStr">
        <is>
          <t>Phí ngân hàng tháng 09/2026 TK 050160841009 (Hđơn 0259404 ngày 28/09/2026)</t>
        </is>
      </c>
      <c r="E28" s="500" t="n">
        <v>5000</v>
      </c>
      <c r="F28" s="499" t="n"/>
      <c r="G28" s="32" t="inlineStr">
        <is>
          <t>CHAULTN.HCM.VTA</t>
        </is>
      </c>
      <c r="H28" s="32" t="inlineStr">
        <is>
          <t xml:space="preserve">Final to Post </t>
        </is>
      </c>
      <c r="I28" s="530">
        <f>IF(LEN(A28)=5,E28,0)</f>
        <v/>
      </c>
      <c r="J28" s="531">
        <f>IF(LEFT(A28,11)="Tài khoản: ",MID(A28,12,5),J27)</f>
        <v/>
      </c>
    </row>
    <row r="29">
      <c r="A29" s="30" t="n">
        <v>46294</v>
      </c>
      <c r="B29" s="31" t="inlineStr">
        <is>
          <t>'2853</t>
        </is>
      </c>
      <c r="C29" s="32" t="inlineStr">
        <is>
          <t>GL</t>
        </is>
      </c>
      <c r="D29" s="19" t="inlineStr">
        <is>
          <t>Thuế GTGT VTĐĐ- hđơn 1435-18.09.26-TỔNG CÔNG TY ĐIỆN LỰC THÀNH PHỐ HỒ CHÍ MINH</t>
        </is>
      </c>
      <c r="E29" s="500" t="n">
        <v>74688000</v>
      </c>
      <c r="F29" s="499" t="n"/>
      <c r="G29" s="32" t="inlineStr">
        <is>
          <t>THANH5DT.HCM.VTA</t>
        </is>
      </c>
      <c r="H29" s="32" t="inlineStr">
        <is>
          <t xml:space="preserve">Post </t>
        </is>
      </c>
      <c r="I29" s="530">
        <f>IF(LEN(A29)=5,E29,0)</f>
        <v/>
      </c>
      <c r="J29" s="531">
        <f>IF(LEFT(A29,11)="Tài khoản: ",MID(A29,12,5),J28)</f>
        <v/>
      </c>
    </row>
    <row r="30">
      <c r="A30" s="30" t="n">
        <v>46294</v>
      </c>
      <c r="B30" s="31" t="inlineStr">
        <is>
          <t>'2853</t>
        </is>
      </c>
      <c r="C30" s="32" t="inlineStr">
        <is>
          <t>GL</t>
        </is>
      </c>
      <c r="D30" s="19" t="inlineStr">
        <is>
          <t>Thuế GTGT VTĐĐ- hđơn 1436-18.09.26-TỔNG CÔNG TY ĐIỆN LỰC THÀNH PHỐ HỒ CHÍ MINH</t>
        </is>
      </c>
      <c r="E30" s="500" t="n">
        <v>17872000</v>
      </c>
      <c r="F30" s="499" t="n"/>
      <c r="G30" s="32" t="inlineStr">
        <is>
          <t>THANH5DT.HCM.VTA</t>
        </is>
      </c>
      <c r="H30" s="32" t="inlineStr">
        <is>
          <t xml:space="preserve">Post </t>
        </is>
      </c>
      <c r="I30" s="530">
        <f>IF(LEN(A30)=5,E30,0)</f>
        <v/>
      </c>
      <c r="J30" s="531">
        <f>IF(LEFT(A30,11)="Tài khoản: ",MID(A30,12,5),J29)</f>
        <v/>
      </c>
    </row>
    <row r="31">
      <c r="A31" s="30" t="n">
        <v>46294</v>
      </c>
      <c r="B31" s="31" t="inlineStr">
        <is>
          <t>'2853</t>
        </is>
      </c>
      <c r="C31" s="32" t="inlineStr">
        <is>
          <t>GL</t>
        </is>
      </c>
      <c r="D31" s="19" t="inlineStr">
        <is>
          <t>Thuế GTGT VTĐĐ- hđơn 1368-08.09.26-TỔNG CÔNG TY ĐIỆN LỰC THÀNH PHỐ HỒ CHÍ MINH</t>
        </is>
      </c>
      <c r="E31" s="500" t="n">
        <v>13416000</v>
      </c>
      <c r="F31" s="499" t="n"/>
      <c r="G31" s="32" t="inlineStr">
        <is>
          <t>THANH5DT.HCM.VTA</t>
        </is>
      </c>
      <c r="H31" s="32" t="inlineStr">
        <is>
          <t xml:space="preserve">Post </t>
        </is>
      </c>
      <c r="I31" s="530">
        <f>IF(LEN(A31)=5,E31,0)</f>
        <v/>
      </c>
      <c r="J31" s="531">
        <f>IF(LEFT(A31,11)="Tài khoản: ",MID(A31,12,5),J30)</f>
        <v/>
      </c>
    </row>
    <row r="32">
      <c r="A32" s="30" t="n">
        <v>46294</v>
      </c>
      <c r="B32" s="31" t="inlineStr">
        <is>
          <t>'2853</t>
        </is>
      </c>
      <c r="C32" s="32" t="inlineStr">
        <is>
          <t>GL</t>
        </is>
      </c>
      <c r="D32" s="19" t="inlineStr">
        <is>
          <t>Thuế GTGT VTĐĐ- hđơn 1325-03.09.26-TỔNG CÔNG TY ĐIỆN LỰC THÀNH PHỐ HỒ CHÍ MINH</t>
        </is>
      </c>
      <c r="E32" s="500" t="n">
        <v>64176000</v>
      </c>
      <c r="F32" s="499" t="n"/>
      <c r="G32" s="32" t="inlineStr">
        <is>
          <t>THANH5DT.HCM.VTA</t>
        </is>
      </c>
      <c r="H32" s="32" t="inlineStr">
        <is>
          <t xml:space="preserve">Post </t>
        </is>
      </c>
      <c r="I32" s="530">
        <f>IF(LEN(A32)=5,E32,0)</f>
        <v/>
      </c>
      <c r="J32" s="531">
        <f>IF(LEFT(A32,11)="Tài khoản: ",MID(A32,12,5),J31)</f>
        <v/>
      </c>
    </row>
    <row r="33">
      <c r="A33" s="30" t="n">
        <v>46294</v>
      </c>
      <c r="B33" s="31" t="inlineStr">
        <is>
          <t>'2853</t>
        </is>
      </c>
      <c r="C33" s="32" t="inlineStr">
        <is>
          <t>GL</t>
        </is>
      </c>
      <c r="D33" s="19" t="inlineStr">
        <is>
          <t>Thuế GTGT VTĐĐ- hđơn 1415-16.09.26-TỔNG CÔNG TY ĐIỆN LỰC THÀNH PHỐ HỒ CHÍ MINH</t>
        </is>
      </c>
      <c r="E33" s="500" t="n">
        <v>11764800</v>
      </c>
      <c r="F33" s="499" t="n"/>
      <c r="G33" s="32" t="inlineStr">
        <is>
          <t>THANH5DT.HCM.VTA</t>
        </is>
      </c>
      <c r="H33" s="32" t="inlineStr">
        <is>
          <t xml:space="preserve">Post </t>
        </is>
      </c>
      <c r="I33" s="530">
        <f>IF(LEN(A33)=5,E33,0)</f>
        <v/>
      </c>
      <c r="J33" s="531">
        <f>IF(LEFT(A33,11)="Tài khoản: ",MID(A33,12,5),J32)</f>
        <v/>
      </c>
    </row>
    <row r="34">
      <c r="A34" s="30" t="n">
        <v>46294</v>
      </c>
      <c r="B34" s="31" t="inlineStr">
        <is>
          <t>'2853</t>
        </is>
      </c>
      <c r="C34" s="32" t="inlineStr">
        <is>
          <t>GL</t>
        </is>
      </c>
      <c r="D34" s="19" t="inlineStr">
        <is>
          <t>Thuế GTGT VTĐĐ- hđơn 1329-04.09.26-TỔNG CÔNG TY ĐIỆN LỰC THÀNH PHỐ HỒ CHÍ MINH</t>
        </is>
      </c>
      <c r="E34" s="500" t="n">
        <v>14035200</v>
      </c>
      <c r="F34" s="499" t="n"/>
      <c r="G34" s="32" t="inlineStr">
        <is>
          <t>THANH5DT.HCM.VTA</t>
        </is>
      </c>
      <c r="H34" s="32" t="inlineStr">
        <is>
          <t xml:space="preserve">Post </t>
        </is>
      </c>
      <c r="I34" s="530">
        <f>IF(LEN(A34)=5,E34,0)</f>
        <v/>
      </c>
      <c r="J34" s="531">
        <f>IF(LEFT(A34,11)="Tài khoản: ",MID(A34,12,5),J33)</f>
        <v/>
      </c>
    </row>
    <row r="35">
      <c r="A35" s="30" t="n">
        <v>46295</v>
      </c>
      <c r="B35" s="31" t="inlineStr">
        <is>
          <t>'2903</t>
        </is>
      </c>
      <c r="C35" s="32" t="inlineStr">
        <is>
          <t>GL</t>
        </is>
      </c>
      <c r="D35" s="19" t="inlineStr">
        <is>
          <t>Thuế GTGT phí chuyển tiền T09/2026 BIDV HĐS 00000034-30/09/2026</t>
        </is>
      </c>
      <c r="E35" s="500" t="n">
        <v>568245</v>
      </c>
      <c r="F35" s="499" t="n"/>
      <c r="G35" s="32" t="inlineStr">
        <is>
          <t>QUYENNN.HCM.VTA</t>
        </is>
      </c>
      <c r="H35" s="32" t="inlineStr">
        <is>
          <t xml:space="preserve">Post </t>
        </is>
      </c>
      <c r="I35" s="530">
        <f>IF(LEN(A35)=5,E35,0)</f>
        <v/>
      </c>
      <c r="J35" s="531">
        <f>IF(LEFT(A35,11)="Tài khoản: ",MID(A35,12,5),J34)</f>
        <v/>
      </c>
    </row>
    <row r="36">
      <c r="A36" s="30" t="n">
        <v>46295</v>
      </c>
      <c r="B36" s="31" t="inlineStr">
        <is>
          <t>'2903</t>
        </is>
      </c>
      <c r="C36" s="32" t="inlineStr">
        <is>
          <t>GL</t>
        </is>
      </c>
      <c r="D36" s="19" t="inlineStr">
        <is>
          <t>Thuế GTGT phí chuyển tiền T09/2026 BIDV HĐS 00000032-30/09/2026</t>
        </is>
      </c>
      <c r="E36" s="500" t="n">
        <v>570975</v>
      </c>
      <c r="F36" s="499" t="n"/>
      <c r="G36" s="32" t="inlineStr">
        <is>
          <t>QUYENNN.HCM.VTA</t>
        </is>
      </c>
      <c r="H36" s="32" t="inlineStr">
        <is>
          <t xml:space="preserve">Post </t>
        </is>
      </c>
      <c r="I36" s="530">
        <f>IF(LEN(A36)=5,E36,0)</f>
        <v/>
      </c>
      <c r="J36" s="531">
        <f>IF(LEFT(A36,11)="Tài khoản: ",MID(A36,12,5),J35)</f>
        <v/>
      </c>
    </row>
    <row r="37">
      <c r="A37" s="30" t="n">
        <v>46295</v>
      </c>
      <c r="B37" s="31" t="inlineStr">
        <is>
          <t>'2903</t>
        </is>
      </c>
      <c r="C37" s="32" t="inlineStr">
        <is>
          <t>GL</t>
        </is>
      </c>
      <c r="D37" s="19" t="inlineStr">
        <is>
          <t>Thuế GTGT phí chuyển tiền T09/2026 BIDV HĐS 00000033-30/09/2026</t>
        </is>
      </c>
      <c r="E37" s="500" t="n">
        <v>330001</v>
      </c>
      <c r="F37" s="499" t="n"/>
      <c r="G37" s="32" t="inlineStr">
        <is>
          <t>QUYENNN.HCM.VTA</t>
        </is>
      </c>
      <c r="H37" s="32" t="inlineStr">
        <is>
          <t xml:space="preserve">Post </t>
        </is>
      </c>
      <c r="I37" s="530">
        <f>IF(LEN(A37)=5,E37,0)</f>
        <v/>
      </c>
      <c r="J37" s="531">
        <f>IF(LEFT(A37,11)="Tài khoản: ",MID(A37,12,5),J36)</f>
        <v/>
      </c>
    </row>
    <row r="38">
      <c r="A38" s="30" t="n">
        <v>46295</v>
      </c>
      <c r="B38" s="31" t="inlineStr">
        <is>
          <t>'2905</t>
        </is>
      </c>
      <c r="C38" s="32" t="inlineStr">
        <is>
          <t>GL</t>
        </is>
      </c>
      <c r="D38" s="19" t="inlineStr">
        <is>
          <t>Khai thuế GTGT điện mua nội bộ Tháng 8/2026 (HĐ1335_06/09/2026)</t>
        </is>
      </c>
      <c r="E38" s="500" t="n">
        <v>100431061371</v>
      </c>
      <c r="F38" s="499" t="n"/>
      <c r="G38" s="32" t="inlineStr">
        <is>
          <t>TUAN2HM.HCM.VTA</t>
        </is>
      </c>
      <c r="H38" s="32" t="inlineStr">
        <is>
          <t xml:space="preserve">Post </t>
        </is>
      </c>
      <c r="I38" s="530">
        <f>IF(LEN(A38)=5,E38,0)</f>
        <v/>
      </c>
      <c r="J38" s="531">
        <f>IF(LEFT(A38,11)="Tài khoản: ",MID(A38,12,5),J37)</f>
        <v/>
      </c>
    </row>
    <row r="39">
      <c r="A39" s="30" t="n">
        <v>46295</v>
      </c>
      <c r="B39" s="31" t="inlineStr">
        <is>
          <t>'3124</t>
        </is>
      </c>
      <c r="C39" s="32" t="inlineStr">
        <is>
          <t>GL</t>
        </is>
      </c>
      <c r="D39" s="19" t="inlineStr">
        <is>
          <t>Khai thuế GTGT điện mua NB T7/2026 (HĐ 1104_06/08/2026) điều chỉnh</t>
        </is>
      </c>
      <c r="E39" s="500" t="n">
        <v>98846181798</v>
      </c>
      <c r="F39" s="499" t="n"/>
      <c r="G39" s="32" t="inlineStr">
        <is>
          <t>TUAN2HM.HCM.VTA</t>
        </is>
      </c>
      <c r="H39" s="32" t="inlineStr">
        <is>
          <t xml:space="preserve">Unpost </t>
        </is>
      </c>
      <c r="I39" s="530">
        <f>IF(LEN(A39)=5,E39,0)</f>
        <v/>
      </c>
      <c r="J39" s="531">
        <f>IF(LEFT(A39,11)="Tài khoản: ",MID(A39,12,5),J38)</f>
        <v/>
      </c>
    </row>
    <row r="40">
      <c r="A40" s="30" t="n">
        <v>46295</v>
      </c>
      <c r="B40" s="31" t="inlineStr">
        <is>
          <t>'3124</t>
        </is>
      </c>
      <c r="C40" s="32" t="inlineStr">
        <is>
          <t>GL</t>
        </is>
      </c>
      <c r="D40" s="19" t="inlineStr">
        <is>
          <t>Khai thuế GTGT điện mua NB T7/2026 (HĐ 1104_06/08/2026) điều chỉnh</t>
        </is>
      </c>
      <c r="E40" s="500" t="n">
        <v>-98846181798</v>
      </c>
      <c r="F40" s="499" t="n"/>
      <c r="G40" s="32" t="inlineStr">
        <is>
          <t>TUAN2HM.HCM.VTA</t>
        </is>
      </c>
      <c r="H40" s="32" t="inlineStr">
        <is>
          <t xml:space="preserve">Unpost </t>
        </is>
      </c>
      <c r="I40" s="530">
        <f>IF(LEN(A40)=5,E40,0)</f>
        <v/>
      </c>
      <c r="J40" s="531">
        <f>IF(LEFT(A40,11)="Tài khoản: ",MID(A40,12,5),J39)</f>
        <v/>
      </c>
    </row>
    <row r="41">
      <c r="A41" s="30" t="n">
        <v>46295</v>
      </c>
      <c r="B41" s="31" t="inlineStr">
        <is>
          <t>'3125</t>
        </is>
      </c>
      <c r="C41" s="32" t="inlineStr">
        <is>
          <t>GL</t>
        </is>
      </c>
      <c r="D41" s="19" t="inlineStr">
        <is>
          <t>Khai thuế GTGT điện mua nội bộ Tháng 8/2026 (HĐ1335_06/09/2026)</t>
        </is>
      </c>
      <c r="E41" s="500" t="n">
        <v>100431061371</v>
      </c>
      <c r="F41" s="499" t="n"/>
      <c r="G41" s="32" t="inlineStr">
        <is>
          <t>TUAN2HM.HCM.VTA</t>
        </is>
      </c>
      <c r="H41" s="32" t="inlineStr">
        <is>
          <t xml:space="preserve">Unpost </t>
        </is>
      </c>
      <c r="I41" s="530">
        <f>IF(LEN(A41)=5,E41,0)</f>
        <v/>
      </c>
      <c r="J41" s="531">
        <f>IF(LEFT(A41,11)="Tài khoản: ",MID(A41,12,5),J40)</f>
        <v/>
      </c>
    </row>
    <row r="42">
      <c r="A42" s="30" t="n">
        <v>46295</v>
      </c>
      <c r="B42" s="31" t="inlineStr">
        <is>
          <t>'3126</t>
        </is>
      </c>
      <c r="C42" s="32" t="inlineStr">
        <is>
          <t>GL_REV</t>
        </is>
      </c>
      <c r="D42" s="19" t="inlineStr">
        <is>
          <t>Khai thuế GTGT điện mua nội bộ Tháng 8/2026 (HĐ1335_06/09/2026)</t>
        </is>
      </c>
      <c r="E42" s="500" t="n">
        <v>-100431061371</v>
      </c>
      <c r="F42" s="499" t="n"/>
      <c r="G42" s="32" t="inlineStr">
        <is>
          <t>TUAN2HM.HCM.VTA</t>
        </is>
      </c>
      <c r="H42" s="32" t="inlineStr">
        <is>
          <t xml:space="preserve">Post </t>
        </is>
      </c>
      <c r="I42" s="530">
        <f>IF(LEN(A42)=5,E42,0)</f>
        <v/>
      </c>
      <c r="J42" s="531">
        <f>IF(LEFT(A42,11)="Tài khoản: ",MID(A42,12,5),J41)</f>
        <v/>
      </c>
    </row>
    <row r="43">
      <c r="A43" s="30" t="n">
        <v>46295</v>
      </c>
      <c r="B43" s="31" t="inlineStr">
        <is>
          <t>'3164</t>
        </is>
      </c>
      <c r="C43" s="32" t="inlineStr">
        <is>
          <t>GL</t>
        </is>
      </c>
      <c r="D43" s="19" t="inlineStr">
        <is>
          <t>Giải trừ thuế 13895 T9-26 mua VTTB CTy Diệu Hiền, R0926SC1134-25/09/26, HĐơn 385-08/09/26</t>
        </is>
      </c>
      <c r="E43" s="500" t="n">
        <v>1690000</v>
      </c>
      <c r="F43" s="499" t="n"/>
      <c r="G43" s="32" t="inlineStr">
        <is>
          <t>HUENT.HCM.VTA</t>
        </is>
      </c>
      <c r="H43" s="32" t="inlineStr">
        <is>
          <t xml:space="preserve">Post </t>
        </is>
      </c>
      <c r="I43" s="530">
        <f>IF(LEN(A43)=5,E43,0)</f>
        <v/>
      </c>
      <c r="J43" s="531">
        <f>IF(LEFT(A43,11)="Tài khoản: ",MID(A43,12,5),J42)</f>
        <v/>
      </c>
    </row>
    <row r="44">
      <c r="A44" s="30" t="n">
        <v>46295</v>
      </c>
      <c r="B44" s="31" t="inlineStr">
        <is>
          <t>'3164</t>
        </is>
      </c>
      <c r="C44" s="32" t="inlineStr">
        <is>
          <t>GL</t>
        </is>
      </c>
      <c r="D44" s="19" t="inlineStr">
        <is>
          <t>Giải trừ thuế 13895 T9-26 VTTB điều động CT Điện Lực Đất Đỏ, R0926SC1152-30/09/26, HĐơn 108-12/08/26</t>
        </is>
      </c>
      <c r="E44" s="500" t="n">
        <v>2486400</v>
      </c>
      <c r="F44" s="499" t="n"/>
      <c r="G44" s="32" t="inlineStr">
        <is>
          <t>HUENT.HCM.VTA</t>
        </is>
      </c>
      <c r="H44" s="32" t="inlineStr">
        <is>
          <t xml:space="preserve">Post </t>
        </is>
      </c>
      <c r="I44" s="530">
        <f>IF(LEN(A44)=5,E44,0)</f>
        <v/>
      </c>
      <c r="J44" s="531">
        <f>IF(LEFT(A44,11)="Tài khoản: ",MID(A44,12,5),J43)</f>
        <v/>
      </c>
    </row>
    <row r="45">
      <c r="A45" s="30" t="n">
        <v>46295</v>
      </c>
      <c r="B45" s="31" t="inlineStr">
        <is>
          <t>'3164</t>
        </is>
      </c>
      <c r="C45" s="32" t="inlineStr">
        <is>
          <t>GL</t>
        </is>
      </c>
      <c r="D45" s="19" t="inlineStr">
        <is>
          <t>Giải trừ thuế 13895 T9-26 VTTB điều động CT Điện Lực Đất Đỏ, R0926SC1152-30/09/26, HĐơn 112-24/08/26</t>
        </is>
      </c>
      <c r="E45" s="500" t="n">
        <v>2939211</v>
      </c>
      <c r="F45" s="499" t="n"/>
      <c r="G45" s="32" t="inlineStr">
        <is>
          <t>HUENT.HCM.VTA</t>
        </is>
      </c>
      <c r="H45" s="32" t="inlineStr">
        <is>
          <t xml:space="preserve">Post </t>
        </is>
      </c>
      <c r="I45" s="530">
        <f>IF(LEN(A45)=5,E45,0)</f>
        <v/>
      </c>
      <c r="J45" s="531">
        <f>IF(LEFT(A45,11)="Tài khoản: ",MID(A45,12,5),J44)</f>
        <v/>
      </c>
    </row>
    <row r="46">
      <c r="A46" s="30" t="n">
        <v>46295</v>
      </c>
      <c r="B46" s="31" t="inlineStr">
        <is>
          <t>'3164</t>
        </is>
      </c>
      <c r="C46" s="32" t="inlineStr">
        <is>
          <t>GL</t>
        </is>
      </c>
      <c r="D46" s="19" t="inlineStr">
        <is>
          <t>Giải trừ thuế 13895 T9-26 VTTB điều động CT Điện Lực Đất Đỏ, R0926SC1152-30/09/26, HĐơn 110-24/08/26</t>
        </is>
      </c>
      <c r="E46" s="500" t="n">
        <v>554074</v>
      </c>
      <c r="F46" s="499" t="n"/>
      <c r="G46" s="32" t="inlineStr">
        <is>
          <t>HUENT.HCM.VTA</t>
        </is>
      </c>
      <c r="H46" s="32" t="inlineStr">
        <is>
          <t xml:space="preserve">Post </t>
        </is>
      </c>
      <c r="I46" s="530">
        <f>IF(LEN(A46)=5,E46,0)</f>
        <v/>
      </c>
      <c r="J46" s="531">
        <f>IF(LEFT(A46,11)="Tài khoản: ",MID(A46,12,5),J45)</f>
        <v/>
      </c>
    </row>
    <row r="47">
      <c r="A47" s="30" t="n">
        <v>46295</v>
      </c>
      <c r="B47" s="31" t="inlineStr">
        <is>
          <t>'3164</t>
        </is>
      </c>
      <c r="C47" s="32" t="inlineStr">
        <is>
          <t>GL</t>
        </is>
      </c>
      <c r="D47" s="19" t="inlineStr">
        <is>
          <t>Giải trừ thuế 13895 T9-26 VTTB điều động CT Điện Lực Đất Đỏ, R0926SC1152-30/09/26, HĐơn 111-24/08/26</t>
        </is>
      </c>
      <c r="E47" s="500" t="n">
        <v>4244160</v>
      </c>
      <c r="F47" s="499" t="n"/>
      <c r="G47" s="32" t="inlineStr">
        <is>
          <t>HUENT.HCM.VTA</t>
        </is>
      </c>
      <c r="H47" s="32" t="inlineStr">
        <is>
          <t xml:space="preserve">Post </t>
        </is>
      </c>
      <c r="I47" s="530">
        <f>IF(LEN(A47)=5,E47,0)</f>
        <v/>
      </c>
      <c r="J47" s="531">
        <f>IF(LEFT(A47,11)="Tài khoản: ",MID(A47,12,5),J46)</f>
        <v/>
      </c>
    </row>
    <row r="48">
      <c r="A48" s="30" t="n">
        <v>46295</v>
      </c>
      <c r="B48" s="31" t="inlineStr">
        <is>
          <t>'3164</t>
        </is>
      </c>
      <c r="C48" s="32" t="inlineStr">
        <is>
          <t>GL</t>
        </is>
      </c>
      <c r="D48" s="19" t="inlineStr">
        <is>
          <t>Giải trừ thuế 13895 T9-26 VTTB điều động CT Điện Lực Thuận An, R0926SC1153-30/09/26, HĐơn 221-30/07/26</t>
        </is>
      </c>
      <c r="E48" s="500" t="n">
        <v>131164</v>
      </c>
      <c r="F48" s="499" t="n"/>
      <c r="G48" s="32" t="inlineStr">
        <is>
          <t>HUENT.HCM.VTA</t>
        </is>
      </c>
      <c r="H48" s="32" t="inlineStr">
        <is>
          <t xml:space="preserve">Post </t>
        </is>
      </c>
      <c r="I48" s="530">
        <f>IF(LEN(A48)=5,E48,0)</f>
        <v/>
      </c>
      <c r="J48" s="531">
        <f>IF(LEFT(A48,11)="Tài khoản: ",MID(A48,12,5),J47)</f>
        <v/>
      </c>
      <c r="K48" s="47" t="n"/>
    </row>
    <row r="49">
      <c r="A49" s="30" t="n">
        <v>46295</v>
      </c>
      <c r="B49" s="31" t="inlineStr">
        <is>
          <t>'3164</t>
        </is>
      </c>
      <c r="C49" s="32" t="inlineStr">
        <is>
          <t>GL</t>
        </is>
      </c>
      <c r="D49" s="19" t="inlineStr">
        <is>
          <t>Giải trừ thuế 13895 T9-26 VTTB điều động CT Điện Lực Đất Đỏ, R0926SC1154-30/09/26, Hđơn 125-15/09/26</t>
        </is>
      </c>
      <c r="E49" s="500" t="n">
        <v>2919144</v>
      </c>
      <c r="F49" s="499" t="n"/>
      <c r="G49" s="32" t="inlineStr">
        <is>
          <t>HUENT.HCM.VTA</t>
        </is>
      </c>
      <c r="H49" s="32" t="inlineStr">
        <is>
          <t xml:space="preserve">Post </t>
        </is>
      </c>
      <c r="I49" s="530">
        <f>IF(LEN(A49)=5,E49,0)</f>
        <v/>
      </c>
      <c r="J49" s="531">
        <f>IF(LEFT(A49,11)="Tài khoản: ",MID(A49,12,5),J48)</f>
        <v/>
      </c>
      <c r="K49" s="535" t="n"/>
    </row>
    <row r="50">
      <c r="A50" s="30" t="n">
        <v>46295</v>
      </c>
      <c r="B50" s="31" t="inlineStr">
        <is>
          <t>'3164</t>
        </is>
      </c>
      <c r="C50" s="32" t="inlineStr">
        <is>
          <t>GL</t>
        </is>
      </c>
      <c r="D50" s="19" t="inlineStr">
        <is>
          <t>Giải trừ thuế 13895 T9-26 VTTB điều động CT Điện Lực Đất Đỏ, R0926SC1154-30/09/26, Hđơn 122-14/09/26</t>
        </is>
      </c>
      <c r="E50" s="500" t="n">
        <v>155840</v>
      </c>
      <c r="F50" s="499" t="n"/>
      <c r="G50" s="32" t="inlineStr">
        <is>
          <t>HUENT.HCM.VTA</t>
        </is>
      </c>
      <c r="H50" s="32" t="inlineStr">
        <is>
          <t xml:space="preserve">Post </t>
        </is>
      </c>
      <c r="I50" s="530">
        <f>IF(LEN(A50)=5,E50,0)</f>
        <v/>
      </c>
      <c r="J50" s="531">
        <f>IF(LEFT(A50,11)="Tài khoản: ",MID(A50,12,5),J49)</f>
        <v/>
      </c>
      <c r="K50" s="47" t="n"/>
    </row>
    <row r="51">
      <c r="A51" s="30" t="n">
        <v>46295</v>
      </c>
      <c r="B51" s="31" t="inlineStr">
        <is>
          <t>'3164</t>
        </is>
      </c>
      <c r="C51" s="32" t="inlineStr">
        <is>
          <t>GL</t>
        </is>
      </c>
      <c r="D51" s="19" t="inlineStr">
        <is>
          <t>Giải trừ thuế 13895 T9-26 VTTB điều động CT Điện Lực Bình Phú, R0926SC1156-30/09/26, HĐơn 1725-23/09/26</t>
        </is>
      </c>
      <c r="E51" s="500" t="n">
        <v>87571</v>
      </c>
      <c r="F51" s="499" t="n"/>
      <c r="G51" s="32" t="inlineStr">
        <is>
          <t>HUENT.HCM.VTA</t>
        </is>
      </c>
      <c r="H51" s="32" t="inlineStr">
        <is>
          <t xml:space="preserve">Post </t>
        </is>
      </c>
      <c r="I51" s="530">
        <f>IF(LEN(A51)=5,E51,0)</f>
        <v/>
      </c>
      <c r="J51" s="531">
        <f>IF(LEFT(A51,11)="Tài khoản: ",MID(A51,12,5),J50)</f>
        <v/>
      </c>
      <c r="K51" s="49" t="n"/>
    </row>
    <row r="52">
      <c r="A52" s="30" t="n">
        <v>46295</v>
      </c>
      <c r="B52" s="31" t="inlineStr">
        <is>
          <t>'3164</t>
        </is>
      </c>
      <c r="C52" s="32" t="inlineStr">
        <is>
          <t>GL</t>
        </is>
      </c>
      <c r="D52" s="19" t="inlineStr">
        <is>
          <t>Giải trừ thuế 13895 T9-26 VTTB điều động CT Thí Nghiệm Điện Lực TPHCM, R0926SC1157-30/09/26, HĐơn 849-25/09/26</t>
        </is>
      </c>
      <c r="E52" s="500" t="n">
        <v>227408</v>
      </c>
      <c r="F52" s="499" t="n"/>
      <c r="G52" s="32" t="inlineStr">
        <is>
          <t>HUENT.HCM.VTA</t>
        </is>
      </c>
      <c r="H52" s="32" t="inlineStr">
        <is>
          <t xml:space="preserve">Post </t>
        </is>
      </c>
      <c r="I52" s="530">
        <f>IF(LEN(A52)=5,E52,0)</f>
        <v/>
      </c>
      <c r="J52" s="531">
        <f>IF(LEFT(A52,11)="Tài khoản: ",MID(A52,12,5),J51)</f>
        <v/>
      </c>
    </row>
    <row r="53">
      <c r="A53" s="30" t="n">
        <v>46295</v>
      </c>
      <c r="B53" s="31" t="inlineStr">
        <is>
          <t>'3164</t>
        </is>
      </c>
      <c r="C53" s="32" t="inlineStr">
        <is>
          <t>GL</t>
        </is>
      </c>
      <c r="D53" s="19" t="inlineStr">
        <is>
          <t>Giải trừ thuế 13895 T9-26 VTTB điều động CT Điện Lực Bến Cát, R0926SC1158-30/09/26, HĐơn 343-17/09/26</t>
        </is>
      </c>
      <c r="E53" s="500" t="n">
        <v>1925852</v>
      </c>
      <c r="F53" s="499" t="n"/>
      <c r="G53" s="32" t="inlineStr">
        <is>
          <t>HUENT.HCM.VTA</t>
        </is>
      </c>
      <c r="H53" s="32" t="inlineStr">
        <is>
          <t xml:space="preserve">Post </t>
        </is>
      </c>
      <c r="I53" s="530">
        <f>IF(LEN(A53)=5,E53,0)</f>
        <v/>
      </c>
      <c r="J53" s="531">
        <f>IF(LEFT(A53,11)="Tài khoản: ",MID(A53,12,5),J52)</f>
        <v/>
      </c>
    </row>
    <row r="54" customFormat="1" s="36">
      <c r="A54" s="30" t="n">
        <v>46295</v>
      </c>
      <c r="B54" s="31" t="inlineStr">
        <is>
          <t>'3164</t>
        </is>
      </c>
      <c r="C54" s="32" t="inlineStr">
        <is>
          <t>GL</t>
        </is>
      </c>
      <c r="D54" s="19" t="inlineStr">
        <is>
          <t>Giải trừ thuế 13895 T9-26 TT thiết bị giám sát hành trình CT Bản Đồ Việt, R0926SC1085-17/09/26, HĐơn 35902-28/08/26</t>
        </is>
      </c>
      <c r="E54" s="500" t="n">
        <v>3100000</v>
      </c>
      <c r="F54" s="499" t="n"/>
      <c r="G54" s="32" t="inlineStr">
        <is>
          <t>HUENT.HCM.VTA</t>
        </is>
      </c>
      <c r="H54" s="32" t="inlineStr">
        <is>
          <t xml:space="preserve">Post </t>
        </is>
      </c>
      <c r="I54" s="530">
        <f>IF(LEN(A54)=5,E54,0)</f>
        <v/>
      </c>
      <c r="J54" s="531">
        <f>IF(LEFT(A54,11)="Tài khoản: ",MID(A54,12,5),J53)</f>
        <v/>
      </c>
      <c r="L54" s="536" t="n"/>
    </row>
    <row r="55">
      <c r="A55" s="30" t="n">
        <v>46295</v>
      </c>
      <c r="B55" s="31" t="inlineStr">
        <is>
          <t>'3164</t>
        </is>
      </c>
      <c r="C55" s="32" t="inlineStr">
        <is>
          <t>GL</t>
        </is>
      </c>
      <c r="D55" s="19" t="inlineStr">
        <is>
          <t>Giải trừ thuế 13895 T9-26 TT thiết bị giám sát hành trình CT Bản Đồ Việt, R0926SC1085-17/09/26, HĐơn 35902-28/08/26</t>
        </is>
      </c>
      <c r="E55" s="500" t="n">
        <v>320000</v>
      </c>
      <c r="F55" s="499" t="n"/>
      <c r="G55" s="32" t="inlineStr">
        <is>
          <t>HUENT.HCM.VTA</t>
        </is>
      </c>
      <c r="H55" s="32" t="inlineStr">
        <is>
          <t xml:space="preserve">Post </t>
        </is>
      </c>
      <c r="I55" s="530">
        <f>IF(LEN(A55)=5,E55,0)</f>
        <v/>
      </c>
      <c r="J55" s="531">
        <f>IF(LEFT(A55,11)="Tài khoản: ",MID(A55,12,5),J54)</f>
        <v/>
      </c>
    </row>
    <row r="56">
      <c r="A56" s="30" t="n">
        <v>46295</v>
      </c>
      <c r="B56" s="31" t="inlineStr">
        <is>
          <t>'3164</t>
        </is>
      </c>
      <c r="C56" s="32" t="inlineStr">
        <is>
          <t>GL</t>
        </is>
      </c>
      <c r="D56" s="19" t="inlineStr">
        <is>
          <t>Giải trừ thuế 13895 T9-26 VTTB CT Dịch Vụ Điện Lực TPHCM, R0926SC1070-15/09/26, HĐơn 435-12/08/26</t>
        </is>
      </c>
      <c r="E56" s="500" t="n">
        <v>4341460</v>
      </c>
      <c r="F56" s="499" t="n"/>
      <c r="G56" s="32" t="inlineStr">
        <is>
          <t>HUENT.HCM.VTA</t>
        </is>
      </c>
      <c r="H56" s="32" t="inlineStr">
        <is>
          <t xml:space="preserve">Post </t>
        </is>
      </c>
      <c r="I56" s="530">
        <f>IF(LEN(A56)=5,E56,0)</f>
        <v/>
      </c>
      <c r="J56" s="531">
        <f>IF(LEFT(A56,11)="Tài khoản: ",MID(A56,12,5),J55)</f>
        <v/>
      </c>
    </row>
    <row r="57">
      <c r="A57" s="30" t="n">
        <v>46295</v>
      </c>
      <c r="B57" s="31" t="inlineStr">
        <is>
          <t>'3164</t>
        </is>
      </c>
      <c r="C57" s="32" t="inlineStr">
        <is>
          <t>GL</t>
        </is>
      </c>
      <c r="D57" s="19" t="inlineStr">
        <is>
          <t>Giải trừ thuế 13895 T9-26 VTTB CT Dịch Vụ Điện Lực TPHCM, R0926SC1070-15/09/26, Hđơn 436-12/08/26</t>
        </is>
      </c>
      <c r="E57" s="500" t="n">
        <v>4064108</v>
      </c>
      <c r="F57" s="499" t="n"/>
      <c r="G57" s="32" t="inlineStr">
        <is>
          <t>HUENT.HCM.VTA</t>
        </is>
      </c>
      <c r="H57" s="32" t="inlineStr">
        <is>
          <t xml:space="preserve">Post </t>
        </is>
      </c>
      <c r="I57" s="530">
        <f>IF(LEN(A57)=5,E57,0)</f>
        <v/>
      </c>
      <c r="J57" s="531">
        <f>IF(LEFT(A57,11)="Tài khoản: ",MID(A57,12,5),J56)</f>
        <v/>
      </c>
    </row>
    <row r="58">
      <c r="A58" s="30" t="n">
        <v>46295</v>
      </c>
      <c r="B58" s="31" t="inlineStr">
        <is>
          <t>'3164</t>
        </is>
      </c>
      <c r="C58" s="32" t="inlineStr">
        <is>
          <t>GL</t>
        </is>
      </c>
      <c r="D58" s="19" t="inlineStr">
        <is>
          <t>Giải trừ thuế 13895 T9-26 tiền ĐTDĐ CTy Duy Lộc, R0926SC1050-14/09/26, Hđơn 1-24/08/26</t>
        </is>
      </c>
      <c r="E58" s="500" t="n">
        <v>503704</v>
      </c>
      <c r="F58" s="499" t="n"/>
      <c r="G58" s="32" t="inlineStr">
        <is>
          <t>HUENT.HCM.VTA</t>
        </is>
      </c>
      <c r="H58" s="32" t="inlineStr">
        <is>
          <t xml:space="preserve">Post </t>
        </is>
      </c>
      <c r="I58" s="530">
        <f>IF(LEN(A58)=5,E58,0)</f>
        <v/>
      </c>
      <c r="J58" s="531">
        <f>IF(LEFT(A58,11)="Tài khoản: ",MID(A58,12,5),J57)</f>
        <v/>
      </c>
    </row>
    <row r="59">
      <c r="A59" s="30" t="n">
        <v>46295</v>
      </c>
      <c r="B59" s="31" t="inlineStr">
        <is>
          <t>'3164</t>
        </is>
      </c>
      <c r="C59" s="32" t="inlineStr">
        <is>
          <t>GL</t>
        </is>
      </c>
      <c r="D59" s="19" t="inlineStr">
        <is>
          <t>Giải trừ thuế 13895 T9-26 TT tiền thùng carton CT TN Điện Lực TPHCM, R0926SC1048-14/09/26, HĐơn 720-25/08/26</t>
        </is>
      </c>
      <c r="E59" s="500" t="n">
        <v>132260</v>
      </c>
      <c r="F59" s="499" t="n"/>
      <c r="G59" s="32" t="inlineStr">
        <is>
          <t>HUENT.HCM.VTA</t>
        </is>
      </c>
      <c r="H59" s="32" t="inlineStr">
        <is>
          <t xml:space="preserve">Post </t>
        </is>
      </c>
      <c r="I59" s="530">
        <f>IF(LEN(A59)=5,E59,0)</f>
        <v/>
      </c>
      <c r="J59" s="531">
        <f>IF(LEFT(A59,11)="Tài khoản: ",MID(A59,12,5),J58)</f>
        <v/>
      </c>
    </row>
    <row r="60">
      <c r="A60" s="30" t="n">
        <v>46295</v>
      </c>
      <c r="B60" s="31" t="inlineStr">
        <is>
          <t>'3164</t>
        </is>
      </c>
      <c r="C60" s="32" t="inlineStr">
        <is>
          <t>GL</t>
        </is>
      </c>
      <c r="D60" s="19" t="inlineStr">
        <is>
          <t>Giải trừ thuế 13895 T9-26 TT tiền thuế GTGT cho CT CNTT Điện Lực TPHCM, R0926SC1047-14/09/26, HĐơn 124-26/08/26</t>
        </is>
      </c>
      <c r="E60" s="500" t="n">
        <v>10890969</v>
      </c>
      <c r="F60" s="499" t="n"/>
      <c r="G60" s="32" t="inlineStr">
        <is>
          <t>HUENT.HCM.VTA</t>
        </is>
      </c>
      <c r="H60" s="32" t="inlineStr">
        <is>
          <t xml:space="preserve">Post </t>
        </is>
      </c>
      <c r="I60" s="530">
        <f>IF(LEN(A60)=5,E60,0)</f>
        <v/>
      </c>
      <c r="J60" s="531">
        <f>IF(LEFT(A60,11)="Tài khoản: ",MID(A60,12,5),J59)</f>
        <v/>
      </c>
    </row>
    <row r="61">
      <c r="A61" s="30" t="n">
        <v>46295</v>
      </c>
      <c r="B61" s="31" t="inlineStr">
        <is>
          <t>'3164</t>
        </is>
      </c>
      <c r="C61" s="32" t="inlineStr">
        <is>
          <t>GL</t>
        </is>
      </c>
      <c r="D61" s="19" t="inlineStr">
        <is>
          <t>Giải trừ thuế 13895 T9-26 CT TMDV Viễn Thông Hai Kết Nối, R0926SC1033-11/09/26, HĐơn 43-21/07/26</t>
        </is>
      </c>
      <c r="E61" s="500" t="n">
        <v>1694400</v>
      </c>
      <c r="F61" s="499" t="n"/>
      <c r="G61" s="32" t="inlineStr">
        <is>
          <t>HUENT.HCM.VTA</t>
        </is>
      </c>
      <c r="H61" s="32" t="inlineStr">
        <is>
          <t xml:space="preserve">Post </t>
        </is>
      </c>
      <c r="I61" s="530">
        <f>IF(LEN(A61)=5,E61,0)</f>
        <v/>
      </c>
      <c r="J61" s="531">
        <f>IF(LEFT(A61,11)="Tài khoản: ",MID(A61,12,5),J60)</f>
        <v/>
      </c>
    </row>
    <row r="62">
      <c r="A62" s="30" t="n">
        <v>46295</v>
      </c>
      <c r="B62" s="31" t="inlineStr">
        <is>
          <t>'3164</t>
        </is>
      </c>
      <c r="C62" s="32" t="inlineStr">
        <is>
          <t>GL</t>
        </is>
      </c>
      <c r="D62" s="19" t="inlineStr">
        <is>
          <t>Giải trừ thuế 13895 T9-26 mua VTTB CTy Diệu Hiền, R0926SC1134-25/09/26, HĐơn 385-08/09/26</t>
        </is>
      </c>
      <c r="E62" s="500" t="n">
        <v>1391680</v>
      </c>
      <c r="F62" s="499" t="n"/>
      <c r="G62" s="32" t="inlineStr">
        <is>
          <t>HUENT.HCM.VTA</t>
        </is>
      </c>
      <c r="H62" s="32" t="inlineStr">
        <is>
          <t xml:space="preserve">Post </t>
        </is>
      </c>
      <c r="I62" s="530">
        <f>IF(LEN(A62)=5,E62,0)</f>
        <v/>
      </c>
      <c r="J62" s="531">
        <f>IF(LEFT(A62,11)="Tài khoản: ",MID(A62,12,5),J61)</f>
        <v/>
      </c>
    </row>
    <row r="63">
      <c r="A63" s="30" t="n">
        <v>46295</v>
      </c>
      <c r="B63" s="31" t="inlineStr">
        <is>
          <t>'3164</t>
        </is>
      </c>
      <c r="C63" s="32" t="inlineStr">
        <is>
          <t>GL</t>
        </is>
      </c>
      <c r="D63" s="19" t="inlineStr">
        <is>
          <t>Giải trừ thuế 13895 T9-26 mua bình a81cquy CTy Chấn Huỳnh, R0926SC1133-25/09/26, HĐơn 131-07/09/26</t>
        </is>
      </c>
      <c r="E63" s="500" t="n">
        <v>9503776</v>
      </c>
      <c r="F63" s="499" t="n"/>
      <c r="G63" s="32" t="inlineStr">
        <is>
          <t>HUENT.HCM.VTA</t>
        </is>
      </c>
      <c r="H63" s="32" t="inlineStr">
        <is>
          <t xml:space="preserve">Post </t>
        </is>
      </c>
      <c r="I63" s="530">
        <f>IF(LEN(A63)=5,E63,0)</f>
        <v/>
      </c>
      <c r="J63" s="531">
        <f>IF(LEFT(A63,11)="Tài khoản: ",MID(A63,12,5),J62)</f>
        <v/>
      </c>
      <c r="K63" s="537" t="n"/>
    </row>
    <row r="64">
      <c r="A64" s="30" t="n">
        <v>46295</v>
      </c>
      <c r="B64" s="31" t="inlineStr">
        <is>
          <t>'3164</t>
        </is>
      </c>
      <c r="C64" s="32" t="inlineStr">
        <is>
          <t>GL</t>
        </is>
      </c>
      <c r="D64" s="19" t="inlineStr">
        <is>
          <t>Giải trừ thuế 13895 T9-26 TT tiền cáp muller CT CP Dây Cáp Điện Việt Nam, R0926SC1086-17/09/26, HĐơn 2951-17/09/26</t>
        </is>
      </c>
      <c r="E64" s="500" t="n">
        <v>57408000</v>
      </c>
      <c r="F64" s="499" t="n"/>
      <c r="G64" s="32" t="inlineStr">
        <is>
          <t>HUENT.HCM.VTA</t>
        </is>
      </c>
      <c r="H64" s="32" t="inlineStr">
        <is>
          <t xml:space="preserve">Post </t>
        </is>
      </c>
      <c r="I64" s="530">
        <f>IF(LEN(A64)=5,E64,0)</f>
        <v/>
      </c>
      <c r="J64" s="531">
        <f>IF(LEFT(A64,11)="Tài khoản: ",MID(A64,12,5),J63)</f>
        <v/>
      </c>
      <c r="K64" s="537" t="n"/>
    </row>
    <row r="65">
      <c r="A65" s="30" t="n">
        <v>46295</v>
      </c>
      <c r="B65" s="31" t="inlineStr">
        <is>
          <t>'3164</t>
        </is>
      </c>
      <c r="C65" s="32" t="inlineStr">
        <is>
          <t>GL</t>
        </is>
      </c>
      <c r="D65" s="19" t="inlineStr">
        <is>
          <t>Giải trừ thuế 13895 T9-26 TT tiền mua bột nở foarm CTy Điệu Hiền, R0926SC1101-22/09/26, HĐơn 340-06/08/26</t>
        </is>
      </c>
      <c r="E65" s="500" t="n">
        <v>694400</v>
      </c>
      <c r="F65" s="499" t="n"/>
      <c r="G65" s="32" t="inlineStr">
        <is>
          <t>HUENT.HCM.VTA</t>
        </is>
      </c>
      <c r="H65" s="32" t="inlineStr">
        <is>
          <t xml:space="preserve">Post </t>
        </is>
      </c>
      <c r="I65" s="530">
        <f>IF(LEN(A65)=5,E65,0)</f>
        <v/>
      </c>
      <c r="J65" s="531">
        <f>IF(LEFT(A65,11)="Tài khoản: ",MID(A65,12,5),J64)</f>
        <v/>
      </c>
      <c r="K65" s="537" t="n"/>
    </row>
    <row r="66">
      <c r="A66" s="30" t="n">
        <v>46295</v>
      </c>
      <c r="B66" s="31" t="inlineStr">
        <is>
          <t>'3164</t>
        </is>
      </c>
      <c r="C66" s="32" t="inlineStr">
        <is>
          <t>GL</t>
        </is>
      </c>
      <c r="D66" s="19" t="inlineStr">
        <is>
          <t>Giải trừ thuế 13895 T9-26 tiền mua tủ lạnh CTy Cao Phong, R0926SC1107-22/09/26, HĐơn 53886-22/07/26</t>
        </is>
      </c>
      <c r="E66" s="500" t="n">
        <v>406667</v>
      </c>
      <c r="F66" s="499" t="n"/>
      <c r="G66" s="32" t="inlineStr">
        <is>
          <t>HUENT.HCM.VTA</t>
        </is>
      </c>
      <c r="H66" s="32" t="inlineStr">
        <is>
          <t xml:space="preserve">Post </t>
        </is>
      </c>
      <c r="I66" s="530">
        <f>IF(LEN(A66)=5,E66,0)</f>
        <v/>
      </c>
      <c r="J66" s="531">
        <f>IF(LEFT(A66,11)="Tài khoản: ",MID(A66,12,5),J65)</f>
        <v/>
      </c>
    </row>
    <row r="67">
      <c r="A67" s="30" t="n">
        <v>46295</v>
      </c>
      <c r="B67" s="31" t="inlineStr">
        <is>
          <t>'3173</t>
        </is>
      </c>
      <c r="C67" s="32" t="inlineStr">
        <is>
          <t>GL</t>
        </is>
      </c>
      <c r="D67" s="19" t="inlineStr">
        <is>
          <t>cước viễn thông VNPT Côn Đảo T8-2026</t>
        </is>
      </c>
      <c r="E67" s="500" t="n">
        <v>79091</v>
      </c>
      <c r="F67" s="499" t="n"/>
      <c r="G67" s="32" t="inlineStr">
        <is>
          <t>THAOPTT.HCM.VTA</t>
        </is>
      </c>
      <c r="H67" s="32" t="inlineStr">
        <is>
          <t xml:space="preserve">Post </t>
        </is>
      </c>
      <c r="I67" s="530">
        <f>IF(LEN(A67)=5,E67,0)</f>
        <v/>
      </c>
      <c r="J67" s="531">
        <f>IF(LEFT(A67,11)="Tài khoản: ",MID(A67,12,5),J66)</f>
        <v/>
      </c>
    </row>
    <row r="68">
      <c r="A68" s="30" t="n">
        <v>46295</v>
      </c>
      <c r="B68" s="31" t="inlineStr">
        <is>
          <t>'3173</t>
        </is>
      </c>
      <c r="C68" s="32" t="inlineStr">
        <is>
          <t>GL</t>
        </is>
      </c>
      <c r="D68" s="19" t="inlineStr">
        <is>
          <t>cước viễn thông VNPT T8-2026</t>
        </is>
      </c>
      <c r="E68" s="500" t="n">
        <v>54740</v>
      </c>
      <c r="F68" s="499" t="n"/>
      <c r="G68" s="32" t="inlineStr">
        <is>
          <t>THAOPTT.HCM.VTA</t>
        </is>
      </c>
      <c r="H68" s="32" t="inlineStr">
        <is>
          <t xml:space="preserve">Post </t>
        </is>
      </c>
      <c r="I68" s="530">
        <f>IF(LEN(A68)=5,E68,0)</f>
        <v/>
      </c>
      <c r="J68" s="531">
        <f>IF(LEFT(A68,11)="Tài khoản: ",MID(A68,12,5),J67)</f>
        <v/>
      </c>
    </row>
    <row r="69">
      <c r="A69" s="30" t="n">
        <v>46295</v>
      </c>
      <c r="B69" s="31" t="inlineStr">
        <is>
          <t>'3173</t>
        </is>
      </c>
      <c r="C69" s="32" t="inlineStr">
        <is>
          <t>GL</t>
        </is>
      </c>
      <c r="D69" s="19" t="inlineStr">
        <is>
          <t>cước viễn thông VNPT T8-2026</t>
        </is>
      </c>
      <c r="E69" s="500" t="n">
        <v>2000</v>
      </c>
      <c r="F69" s="499" t="n"/>
      <c r="G69" s="32" t="inlineStr">
        <is>
          <t>THAOPTT.HCM.VTA</t>
        </is>
      </c>
      <c r="H69" s="32" t="inlineStr">
        <is>
          <t xml:space="preserve">Post </t>
        </is>
      </c>
      <c r="I69" s="530">
        <f>IF(LEN(A69)=5,E69,0)</f>
        <v/>
      </c>
      <c r="J69" s="531">
        <f>IF(LEFT(A69,11)="Tài khoản: ",MID(A69,12,5),J68)</f>
        <v/>
      </c>
    </row>
    <row r="70">
      <c r="A70" s="30" t="n">
        <v>46295</v>
      </c>
      <c r="B70" s="31" t="inlineStr">
        <is>
          <t>'3173</t>
        </is>
      </c>
      <c r="C70" s="32" t="inlineStr">
        <is>
          <t>GL</t>
        </is>
      </c>
      <c r="D70" s="19" t="inlineStr">
        <is>
          <t>cước viễn thông VNPT T8-2026</t>
        </is>
      </c>
      <c r="E70" s="500" t="n">
        <v>321273</v>
      </c>
      <c r="F70" s="499" t="n"/>
      <c r="G70" s="32" t="inlineStr">
        <is>
          <t>THAOPTT.HCM.VTA</t>
        </is>
      </c>
      <c r="H70" s="32" t="inlineStr">
        <is>
          <t xml:space="preserve">Post </t>
        </is>
      </c>
      <c r="I70" s="530">
        <f>IF(LEN(A70)=5,E70,0)</f>
        <v/>
      </c>
      <c r="J70" s="531">
        <f>IF(LEFT(A70,11)="Tài khoản: ",MID(A70,12,5),J69)</f>
        <v/>
      </c>
    </row>
    <row r="71">
      <c r="A71" s="30" t="n">
        <v>46295</v>
      </c>
      <c r="B71" s="31" t="inlineStr">
        <is>
          <t>'3173</t>
        </is>
      </c>
      <c r="C71" s="32" t="inlineStr">
        <is>
          <t>GL</t>
        </is>
      </c>
      <c r="D71" s="19" t="inlineStr">
        <is>
          <t>cước viễn thông VNPT T8-2026</t>
        </is>
      </c>
      <c r="E71" s="500" t="n">
        <v>112273</v>
      </c>
      <c r="F71" s="499" t="n"/>
      <c r="G71" s="32" t="inlineStr">
        <is>
          <t>THAOPTT.HCM.VTA</t>
        </is>
      </c>
      <c r="H71" s="32" t="inlineStr">
        <is>
          <t xml:space="preserve">Post </t>
        </is>
      </c>
      <c r="I71" s="530">
        <f>IF(LEN(A71)=5,E71,0)</f>
        <v/>
      </c>
      <c r="J71" s="531">
        <f>IF(LEFT(A71,11)="Tài khoản: ",MID(A71,12,5),J70)</f>
        <v/>
      </c>
    </row>
    <row r="72">
      <c r="A72" s="30" t="n">
        <v>46295</v>
      </c>
      <c r="B72" s="31" t="inlineStr">
        <is>
          <t>'3173</t>
        </is>
      </c>
      <c r="C72" s="32" t="inlineStr">
        <is>
          <t>GL</t>
        </is>
      </c>
      <c r="D72" s="19" t="inlineStr">
        <is>
          <t>cước viễn thông VNPT T8-2026</t>
        </is>
      </c>
      <c r="E72" s="500" t="n">
        <v>145000</v>
      </c>
      <c r="F72" s="499" t="n"/>
      <c r="G72" s="32" t="inlineStr">
        <is>
          <t>THAOPTT.HCM.VTA</t>
        </is>
      </c>
      <c r="H72" s="32" t="inlineStr">
        <is>
          <t xml:space="preserve">Post </t>
        </is>
      </c>
      <c r="I72" s="530">
        <f>IF(LEN(A72)=5,E72,0)</f>
        <v/>
      </c>
      <c r="J72" s="531">
        <f>IF(LEFT(A72,11)="Tài khoản: ",MID(A72,12,5),J71)</f>
        <v/>
      </c>
    </row>
    <row r="73">
      <c r="A73" s="30" t="n">
        <v>46295</v>
      </c>
      <c r="B73" s="31" t="inlineStr">
        <is>
          <t>'3173</t>
        </is>
      </c>
      <c r="C73" s="32" t="inlineStr">
        <is>
          <t>GL</t>
        </is>
      </c>
      <c r="D73" s="19" t="inlineStr">
        <is>
          <t>cước viễn thông VNPT T8-2026</t>
        </is>
      </c>
      <c r="E73" s="500" t="n">
        <v>21818</v>
      </c>
      <c r="F73" s="499" t="n"/>
      <c r="G73" s="32" t="inlineStr">
        <is>
          <t>THAOPTT.HCM.VTA</t>
        </is>
      </c>
      <c r="H73" s="32" t="inlineStr">
        <is>
          <t xml:space="preserve">Post </t>
        </is>
      </c>
      <c r="I73" s="530">
        <f>IF(LEN(A73)=5,E73,0)</f>
        <v/>
      </c>
      <c r="J73" s="531">
        <f>IF(LEFT(A73,11)="Tài khoản: ",MID(A73,12,5),J72)</f>
        <v/>
      </c>
    </row>
    <row r="74">
      <c r="A74" s="30" t="n">
        <v>46295</v>
      </c>
      <c r="B74" s="31" t="inlineStr">
        <is>
          <t>'3173</t>
        </is>
      </c>
      <c r="C74" s="32" t="inlineStr">
        <is>
          <t>GL</t>
        </is>
      </c>
      <c r="D74" s="19" t="inlineStr">
        <is>
          <t>cước viễn thông VNPT T8-2026</t>
        </is>
      </c>
      <c r="E74" s="500" t="n">
        <v>14455</v>
      </c>
      <c r="F74" s="499" t="n"/>
      <c r="G74" s="32" t="inlineStr">
        <is>
          <t>THAOPTT.HCM.VTA</t>
        </is>
      </c>
      <c r="H74" s="32" t="inlineStr">
        <is>
          <t xml:space="preserve">Post </t>
        </is>
      </c>
      <c r="I74" s="530">
        <f>IF(LEN(A74)=5,E74,0)</f>
        <v/>
      </c>
      <c r="J74" s="531">
        <f>IF(LEFT(A74,11)="Tài khoản: ",MID(A74,12,5),J73)</f>
        <v/>
      </c>
    </row>
    <row r="75">
      <c r="A75" s="30" t="n">
        <v>46295</v>
      </c>
      <c r="B75" s="31" t="inlineStr">
        <is>
          <t>'3173</t>
        </is>
      </c>
      <c r="C75" s="32" t="inlineStr">
        <is>
          <t>GL</t>
        </is>
      </c>
      <c r="D75" s="19" t="inlineStr">
        <is>
          <t>cước viễn thông VNPT T8-2026</t>
        </is>
      </c>
      <c r="E75" s="500" t="n">
        <v>53100</v>
      </c>
      <c r="F75" s="499" t="n"/>
      <c r="G75" s="32" t="inlineStr">
        <is>
          <t>THAOPTT.HCM.VTA</t>
        </is>
      </c>
      <c r="H75" s="32" t="inlineStr">
        <is>
          <t xml:space="preserve">Post </t>
        </is>
      </c>
      <c r="I75" s="530">
        <f>IF(LEN(A75)=5,E75,0)</f>
        <v/>
      </c>
      <c r="J75" s="531">
        <f>IF(LEFT(A75,11)="Tài khoản: ",MID(A75,12,5),J74)</f>
        <v/>
      </c>
    </row>
    <row r="76">
      <c r="A76" s="30" t="n">
        <v>46295</v>
      </c>
      <c r="B76" s="31" t="inlineStr">
        <is>
          <t>'3173</t>
        </is>
      </c>
      <c r="C76" s="32" t="inlineStr">
        <is>
          <t>GL</t>
        </is>
      </c>
      <c r="D76" s="19" t="inlineStr">
        <is>
          <t>cước viễn thông VNPT T8-2026</t>
        </is>
      </c>
      <c r="E76" s="500" t="n">
        <v>35400</v>
      </c>
      <c r="F76" s="499" t="n"/>
      <c r="G76" s="32" t="inlineStr">
        <is>
          <t>THAOPTT.HCM.VTA</t>
        </is>
      </c>
      <c r="H76" s="32" t="inlineStr">
        <is>
          <t xml:space="preserve">Post </t>
        </is>
      </c>
      <c r="I76" s="530">
        <f>IF(LEN(A76)=5,E76,0)</f>
        <v/>
      </c>
      <c r="J76" s="531">
        <f>IF(LEFT(A76,11)="Tài khoản: ",MID(A76,12,5),J75)</f>
        <v/>
      </c>
    </row>
    <row r="77">
      <c r="A77" s="30" t="n">
        <v>46295</v>
      </c>
      <c r="B77" s="31" t="inlineStr">
        <is>
          <t>'3173</t>
        </is>
      </c>
      <c r="C77" s="32" t="inlineStr">
        <is>
          <t>GL</t>
        </is>
      </c>
      <c r="D77" s="19" t="inlineStr">
        <is>
          <t>cước viễn thông VNPT T8-2026</t>
        </is>
      </c>
      <c r="E77" s="500" t="n">
        <v>25455</v>
      </c>
      <c r="F77" s="499" t="n"/>
      <c r="G77" s="32" t="inlineStr">
        <is>
          <t>THAOPTT.HCM.VTA</t>
        </is>
      </c>
      <c r="H77" s="32" t="inlineStr">
        <is>
          <t xml:space="preserve">Post </t>
        </is>
      </c>
      <c r="I77" s="530">
        <f>IF(LEN(A77)=5,E77,0)</f>
        <v/>
      </c>
      <c r="J77" s="531">
        <f>IF(LEFT(A77,11)="Tài khoản: ",MID(A77,12,5),J76)</f>
        <v/>
      </c>
    </row>
    <row r="78">
      <c r="A78" s="30" t="n">
        <v>46295</v>
      </c>
      <c r="B78" s="31" t="inlineStr">
        <is>
          <t>'3173</t>
        </is>
      </c>
      <c r="C78" s="32" t="inlineStr">
        <is>
          <t>GL</t>
        </is>
      </c>
      <c r="D78" s="19" t="inlineStr">
        <is>
          <t>cước viễn thông VNPT T8-2026</t>
        </is>
      </c>
      <c r="E78" s="500" t="n">
        <v>16364</v>
      </c>
      <c r="F78" s="499" t="n"/>
      <c r="G78" s="32" t="inlineStr">
        <is>
          <t>THAOPTT.HCM.VTA</t>
        </is>
      </c>
      <c r="H78" s="32" t="inlineStr">
        <is>
          <t xml:space="preserve">Post </t>
        </is>
      </c>
      <c r="I78" s="530">
        <f>IF(LEN(A78)=5,E78,0)</f>
        <v/>
      </c>
      <c r="J78" s="531">
        <f>IF(LEFT(A78,11)="Tài khoản: ",MID(A78,12,5),J77)</f>
        <v/>
      </c>
    </row>
    <row r="79">
      <c r="A79" s="30" t="n">
        <v>46295</v>
      </c>
      <c r="B79" s="31" t="inlineStr">
        <is>
          <t>'3173</t>
        </is>
      </c>
      <c r="C79" s="32" t="inlineStr">
        <is>
          <t>GL</t>
        </is>
      </c>
      <c r="D79" s="19" t="inlineStr">
        <is>
          <t>cước viễn thông VNPT T8-2026</t>
        </is>
      </c>
      <c r="E79" s="500" t="n">
        <v>6909</v>
      </c>
      <c r="F79" s="499" t="n"/>
      <c r="G79" s="32" t="inlineStr">
        <is>
          <t>THAOPTT.HCM.VTA</t>
        </is>
      </c>
      <c r="H79" s="32" t="inlineStr">
        <is>
          <t xml:space="preserve">Post </t>
        </is>
      </c>
      <c r="I79" s="530">
        <f>IF(LEN(A79)=5,E79,0)</f>
        <v/>
      </c>
      <c r="J79" s="531">
        <f>IF(LEFT(A79,11)="Tài khoản: ",MID(A79,12,5),J78)</f>
        <v/>
      </c>
    </row>
    <row r="80">
      <c r="A80" s="30" t="n">
        <v>46295</v>
      </c>
      <c r="B80" s="31" t="inlineStr">
        <is>
          <t>'3173</t>
        </is>
      </c>
      <c r="C80" s="32" t="inlineStr">
        <is>
          <t>GL</t>
        </is>
      </c>
      <c r="D80" s="19" t="inlineStr">
        <is>
          <t>cước viễn thông VNPT T8-2026</t>
        </is>
      </c>
      <c r="E80" s="500" t="n">
        <v>2000</v>
      </c>
      <c r="F80" s="499" t="n"/>
      <c r="G80" s="32" t="inlineStr">
        <is>
          <t>THAOPTT.HCM.VTA</t>
        </is>
      </c>
      <c r="H80" s="32" t="inlineStr">
        <is>
          <t xml:space="preserve">Post </t>
        </is>
      </c>
      <c r="I80" s="530">
        <f>IF(LEN(A80)=5,E80,0)</f>
        <v/>
      </c>
      <c r="J80" s="531">
        <f>IF(LEFT(A80,11)="Tài khoản: ",MID(A80,12,5),J79)</f>
        <v/>
      </c>
    </row>
    <row r="81">
      <c r="A81" s="30" t="n">
        <v>46295</v>
      </c>
      <c r="B81" s="31" t="inlineStr">
        <is>
          <t>'3173</t>
        </is>
      </c>
      <c r="C81" s="32" t="inlineStr">
        <is>
          <t>GL</t>
        </is>
      </c>
      <c r="D81" s="19" t="inlineStr">
        <is>
          <t>cước viễn thông VNPT T8-2026</t>
        </is>
      </c>
      <c r="E81" s="500" t="n">
        <v>7660</v>
      </c>
      <c r="F81" s="499" t="n"/>
      <c r="G81" s="32" t="inlineStr">
        <is>
          <t>THAOPTT.HCM.VTA</t>
        </is>
      </c>
      <c r="H81" s="32" t="inlineStr">
        <is>
          <t xml:space="preserve">Post </t>
        </is>
      </c>
      <c r="I81" s="530">
        <f>IF(LEN(A81)=5,E81,0)</f>
        <v/>
      </c>
      <c r="J81" s="531">
        <f>IF(LEFT(A81,11)="Tài khoản: ",MID(A81,12,5),J80)</f>
        <v/>
      </c>
    </row>
    <row r="82">
      <c r="A82" s="30" t="n">
        <v>46295</v>
      </c>
      <c r="B82" s="31" t="inlineStr">
        <is>
          <t>'3173</t>
        </is>
      </c>
      <c r="C82" s="32" t="inlineStr">
        <is>
          <t>GL</t>
        </is>
      </c>
      <c r="D82" s="19" t="inlineStr">
        <is>
          <t>cước viễn thông VNPT T8-2026</t>
        </is>
      </c>
      <c r="E82" s="500" t="n">
        <v>2000</v>
      </c>
      <c r="F82" s="499" t="n"/>
      <c r="G82" s="32" t="inlineStr">
        <is>
          <t>THAOPTT.HCM.VTA</t>
        </is>
      </c>
      <c r="H82" s="32" t="inlineStr">
        <is>
          <t xml:space="preserve">Post </t>
        </is>
      </c>
      <c r="I82" s="530">
        <f>IF(LEN(A82)=5,E82,0)</f>
        <v/>
      </c>
      <c r="J82" s="531">
        <f>IF(LEFT(A82,11)="Tài khoản: ",MID(A82,12,5),J81)</f>
        <v/>
      </c>
    </row>
    <row r="83">
      <c r="A83" s="30" t="n">
        <v>46295</v>
      </c>
      <c r="B83" s="31" t="inlineStr">
        <is>
          <t>'3173</t>
        </is>
      </c>
      <c r="C83" s="32" t="inlineStr">
        <is>
          <t>GL</t>
        </is>
      </c>
      <c r="D83" s="19" t="inlineStr">
        <is>
          <t>cước viễn thông VNPT T8-2026</t>
        </is>
      </c>
      <c r="E83" s="500" t="n">
        <v>26364</v>
      </c>
      <c r="F83" s="499" t="n"/>
      <c r="G83" s="32" t="inlineStr">
        <is>
          <t>THAOPTT.HCM.VTA</t>
        </is>
      </c>
      <c r="H83" s="32" t="inlineStr">
        <is>
          <t xml:space="preserve">Post </t>
        </is>
      </c>
      <c r="I83" s="530">
        <f>IF(LEN(A83)=5,E83,0)</f>
        <v/>
      </c>
      <c r="J83" s="531">
        <f>IF(LEFT(A83,11)="Tài khoản: ",MID(A83,12,5),J82)</f>
        <v/>
      </c>
    </row>
    <row r="84">
      <c r="A84" s="30" t="n">
        <v>46295</v>
      </c>
      <c r="B84" s="31" t="inlineStr">
        <is>
          <t>'3173</t>
        </is>
      </c>
      <c r="C84" s="32" t="inlineStr">
        <is>
          <t>GL</t>
        </is>
      </c>
      <c r="D84" s="19" t="inlineStr">
        <is>
          <t>cước viễn thông VNPT T8-2026</t>
        </is>
      </c>
      <c r="E84" s="500" t="n">
        <v>26364</v>
      </c>
      <c r="F84" s="499" t="n"/>
      <c r="G84" s="32" t="inlineStr">
        <is>
          <t>THAOPTT.HCM.VTA</t>
        </is>
      </c>
      <c r="H84" s="32" t="inlineStr">
        <is>
          <t xml:space="preserve">Post </t>
        </is>
      </c>
      <c r="I84" s="530">
        <f>IF(LEN(A84)=5,E84,0)</f>
        <v/>
      </c>
      <c r="J84" s="531">
        <f>IF(LEFT(A84,11)="Tài khoản: ",MID(A84,12,5),J83)</f>
        <v/>
      </c>
    </row>
    <row r="85">
      <c r="A85" s="30" t="n">
        <v>46295</v>
      </c>
      <c r="B85" s="31" t="inlineStr">
        <is>
          <t>'3173</t>
        </is>
      </c>
      <c r="C85" s="32" t="inlineStr">
        <is>
          <t>GL</t>
        </is>
      </c>
      <c r="D85" s="19" t="inlineStr">
        <is>
          <t>cước viễn thông VNPT T8-2026</t>
        </is>
      </c>
      <c r="E85" s="500" t="n">
        <v>26364</v>
      </c>
      <c r="F85" s="499" t="n"/>
      <c r="G85" s="32" t="inlineStr">
        <is>
          <t>THAOPTT.HCM.VTA</t>
        </is>
      </c>
      <c r="H85" s="32" t="inlineStr">
        <is>
          <t xml:space="preserve">Post </t>
        </is>
      </c>
      <c r="I85" s="530">
        <f>IF(LEN(A85)=5,E85,0)</f>
        <v/>
      </c>
      <c r="J85" s="531">
        <f>IF(LEFT(A85,11)="Tài khoản: ",MID(A85,12,5),J84)</f>
        <v/>
      </c>
    </row>
    <row r="86">
      <c r="A86" s="30" t="n">
        <v>46295</v>
      </c>
      <c r="B86" s="31" t="inlineStr">
        <is>
          <t>'3173</t>
        </is>
      </c>
      <c r="C86" s="32" t="inlineStr">
        <is>
          <t>GL</t>
        </is>
      </c>
      <c r="D86" s="19" t="inlineStr">
        <is>
          <t>cước viễn thông VNPT T8-2026</t>
        </is>
      </c>
      <c r="E86" s="500" t="n">
        <v>26364</v>
      </c>
      <c r="F86" s="499" t="n"/>
      <c r="G86" s="32" t="inlineStr">
        <is>
          <t>THAOPTT.HCM.VTA</t>
        </is>
      </c>
      <c r="H86" s="32" t="inlineStr">
        <is>
          <t xml:space="preserve">Post </t>
        </is>
      </c>
      <c r="I86" s="530">
        <f>IF(LEN(A86)=5,E86,0)</f>
        <v/>
      </c>
      <c r="J86" s="531">
        <f>IF(LEFT(A86,11)="Tài khoản: ",MID(A86,12,5),J85)</f>
        <v/>
      </c>
    </row>
    <row r="87">
      <c r="A87" s="30" t="n">
        <v>46295</v>
      </c>
      <c r="B87" s="31" t="inlineStr">
        <is>
          <t>'3173</t>
        </is>
      </c>
      <c r="C87" s="32" t="inlineStr">
        <is>
          <t>GL</t>
        </is>
      </c>
      <c r="D87" s="19" t="inlineStr">
        <is>
          <t>cước viễn thông Viettel T8-2026</t>
        </is>
      </c>
      <c r="E87" s="500" t="n">
        <v>7119</v>
      </c>
      <c r="F87" s="499" t="n"/>
      <c r="G87" s="32" t="inlineStr">
        <is>
          <t>THAOPTT.HCM.VTA</t>
        </is>
      </c>
      <c r="H87" s="32" t="inlineStr">
        <is>
          <t xml:space="preserve">Post </t>
        </is>
      </c>
      <c r="I87" s="530">
        <f>IF(LEN(A87)=5,E87,0)</f>
        <v/>
      </c>
      <c r="J87" s="531">
        <f>IF(LEFT(A87,11)="Tài khoản: ",MID(A87,12,5),J86)</f>
        <v/>
      </c>
    </row>
    <row r="88">
      <c r="A88" s="30" t="n">
        <v>46295</v>
      </c>
      <c r="B88" s="31" t="inlineStr">
        <is>
          <t>'3173</t>
        </is>
      </c>
      <c r="C88" s="32" t="inlineStr">
        <is>
          <t>GL</t>
        </is>
      </c>
      <c r="D88" s="19" t="inlineStr">
        <is>
          <t>cước viễn thông Viettel T8-2026</t>
        </is>
      </c>
      <c r="E88" s="500" t="n">
        <v>2818</v>
      </c>
      <c r="F88" s="499" t="n"/>
      <c r="G88" s="32" t="inlineStr">
        <is>
          <t>THAOPTT.HCM.VTA</t>
        </is>
      </c>
      <c r="H88" s="32" t="inlineStr">
        <is>
          <t xml:space="preserve">Post </t>
        </is>
      </c>
      <c r="I88" s="530">
        <f>IF(LEN(A88)=5,E88,0)</f>
        <v/>
      </c>
      <c r="J88" s="531">
        <f>IF(LEFT(A88,11)="Tài khoản: ",MID(A88,12,5),J87)</f>
        <v/>
      </c>
    </row>
    <row r="89">
      <c r="A89" s="30" t="n">
        <v>46295</v>
      </c>
      <c r="B89" s="31" t="inlineStr">
        <is>
          <t>'3173</t>
        </is>
      </c>
      <c r="C89" s="32" t="inlineStr">
        <is>
          <t>GL</t>
        </is>
      </c>
      <c r="D89" s="19" t="inlineStr">
        <is>
          <t>cước viễn thông Viettel T8-2026</t>
        </is>
      </c>
      <c r="E89" s="500" t="n">
        <v>25294</v>
      </c>
      <c r="F89" s="499" t="n"/>
      <c r="G89" s="32" t="inlineStr">
        <is>
          <t>THAOPTT.HCM.VTA</t>
        </is>
      </c>
      <c r="H89" s="32" t="inlineStr">
        <is>
          <t xml:space="preserve">Post </t>
        </is>
      </c>
      <c r="I89" s="530">
        <f>IF(LEN(A89)=5,E89,0)</f>
        <v/>
      </c>
      <c r="J89" s="531">
        <f>IF(LEFT(A89,11)="Tài khoản: ",MID(A89,12,5),J88)</f>
        <v/>
      </c>
    </row>
    <row r="90">
      <c r="A90" s="30" t="n">
        <v>46295</v>
      </c>
      <c r="B90" s="31" t="inlineStr">
        <is>
          <t>'3173</t>
        </is>
      </c>
      <c r="C90" s="32" t="inlineStr">
        <is>
          <t>GL</t>
        </is>
      </c>
      <c r="D90" s="19" t="inlineStr">
        <is>
          <t>cước viễn thông Viettel T8-2026</t>
        </is>
      </c>
      <c r="E90" s="500" t="n">
        <v>28542</v>
      </c>
      <c r="F90" s="499" t="n"/>
      <c r="G90" s="32" t="inlineStr">
        <is>
          <t>THAOPTT.HCM.VTA</t>
        </is>
      </c>
      <c r="H90" s="32" t="inlineStr">
        <is>
          <t xml:space="preserve">Post </t>
        </is>
      </c>
      <c r="I90" s="530">
        <f>IF(LEN(A90)=5,E90,0)</f>
        <v/>
      </c>
      <c r="J90" s="531">
        <f>IF(LEFT(A90,11)="Tài khoản: ",MID(A90,12,5),J89)</f>
        <v/>
      </c>
    </row>
    <row r="91">
      <c r="A91" s="30" t="n">
        <v>46295</v>
      </c>
      <c r="B91" s="31" t="inlineStr">
        <is>
          <t>'3173</t>
        </is>
      </c>
      <c r="C91" s="32" t="inlineStr">
        <is>
          <t>GL</t>
        </is>
      </c>
      <c r="D91" s="19" t="inlineStr">
        <is>
          <t>cước viễn thông Viettel T8-2026</t>
        </is>
      </c>
      <c r="E91" s="500" t="n">
        <v>2000</v>
      </c>
      <c r="F91" s="499" t="n"/>
      <c r="G91" s="32" t="inlineStr">
        <is>
          <t>THAOPTT.HCM.VTA</t>
        </is>
      </c>
      <c r="H91" s="32" t="inlineStr">
        <is>
          <t xml:space="preserve">Post </t>
        </is>
      </c>
      <c r="I91" s="530">
        <f>IF(LEN(A91)=5,E91,0)</f>
        <v/>
      </c>
      <c r="J91" s="531">
        <f>IF(LEFT(A91,11)="Tài khoản: ",MID(A91,12,5),J90)</f>
        <v/>
      </c>
      <c r="K91" s="535" t="n"/>
    </row>
    <row r="92">
      <c r="A92" s="30" t="n">
        <v>46295</v>
      </c>
      <c r="B92" s="31" t="inlineStr">
        <is>
          <t>'3173</t>
        </is>
      </c>
      <c r="C92" s="32" t="inlineStr">
        <is>
          <t>GL</t>
        </is>
      </c>
      <c r="D92" s="19" t="inlineStr">
        <is>
          <t>cước viễn thông Viettel T8-2026</t>
        </is>
      </c>
      <c r="E92" s="500" t="n">
        <v>17380</v>
      </c>
      <c r="F92" s="499" t="n"/>
      <c r="G92" s="32" t="inlineStr">
        <is>
          <t>THAOPTT.HCM.VTA</t>
        </is>
      </c>
      <c r="H92" s="32" t="inlineStr">
        <is>
          <t xml:space="preserve">Post </t>
        </is>
      </c>
      <c r="I92" s="530">
        <f>IF(LEN(A92)=5,E92,0)</f>
        <v/>
      </c>
      <c r="J92" s="531">
        <f>IF(LEFT(A92,11)="Tài khoản: ",MID(A92,12,5),J91)</f>
        <v/>
      </c>
    </row>
    <row r="93">
      <c r="A93" s="30" t="n">
        <v>46295</v>
      </c>
      <c r="B93" s="31" t="inlineStr">
        <is>
          <t>'3173</t>
        </is>
      </c>
      <c r="C93" s="32" t="inlineStr">
        <is>
          <t>GL</t>
        </is>
      </c>
      <c r="D93" s="19" t="inlineStr">
        <is>
          <t>cước viễn thông Viettel T8-2026</t>
        </is>
      </c>
      <c r="E93" s="500" t="n">
        <v>2818</v>
      </c>
      <c r="F93" s="499" t="n"/>
      <c r="G93" s="32" t="inlineStr">
        <is>
          <t>THAOPTT.HCM.VTA</t>
        </is>
      </c>
      <c r="H93" s="32" t="inlineStr">
        <is>
          <t xml:space="preserve">Post </t>
        </is>
      </c>
      <c r="I93" s="530">
        <f>IF(LEN(A93)=5,E93,0)</f>
        <v/>
      </c>
      <c r="J93" s="531">
        <f>IF(LEFT(A93,11)="Tài khoản: ",MID(A93,12,5),J92)</f>
        <v/>
      </c>
    </row>
    <row r="94">
      <c r="A94" s="30" t="n">
        <v>46295</v>
      </c>
      <c r="B94" s="31" t="inlineStr">
        <is>
          <t>'3173</t>
        </is>
      </c>
      <c r="C94" s="32" t="inlineStr">
        <is>
          <t>GL</t>
        </is>
      </c>
      <c r="D94" s="19" t="inlineStr">
        <is>
          <t>cước viễn thông Viettel T8-2026</t>
        </is>
      </c>
      <c r="E94" s="500" t="n">
        <v>2000</v>
      </c>
      <c r="F94" s="499" t="n"/>
      <c r="G94" s="32" t="inlineStr">
        <is>
          <t>THAOPTT.HCM.VTA</t>
        </is>
      </c>
      <c r="H94" s="32" t="inlineStr">
        <is>
          <t xml:space="preserve">Post </t>
        </is>
      </c>
      <c r="I94" s="530">
        <f>IF(LEN(A94)=5,E94,0)</f>
        <v/>
      </c>
      <c r="J94" s="531">
        <f>IF(LEFT(A94,11)="Tài khoản: ",MID(A94,12,5),J93)</f>
        <v/>
      </c>
    </row>
    <row r="95">
      <c r="A95" s="30" t="n">
        <v>46295</v>
      </c>
      <c r="B95" s="31" t="inlineStr">
        <is>
          <t>'3173</t>
        </is>
      </c>
      <c r="C95" s="32" t="inlineStr">
        <is>
          <t>GL</t>
        </is>
      </c>
      <c r="D95" s="19" t="inlineStr">
        <is>
          <t>cước viễn thông Viettel T8-2026</t>
        </is>
      </c>
      <c r="E95" s="500" t="n">
        <v>2000</v>
      </c>
      <c r="F95" s="499" t="n"/>
      <c r="G95" s="32" t="inlineStr">
        <is>
          <t>THAOPTT.HCM.VTA</t>
        </is>
      </c>
      <c r="H95" s="32" t="inlineStr">
        <is>
          <t xml:space="preserve">Post </t>
        </is>
      </c>
      <c r="I95" s="530">
        <f>IF(LEN(A95)=5,E95,0)</f>
        <v/>
      </c>
      <c r="J95" s="531">
        <f>IF(LEFT(A95,11)="Tài khoản: ",MID(A95,12,5),J94)</f>
        <v/>
      </c>
    </row>
    <row r="96">
      <c r="A96" s="30" t="n">
        <v>46295</v>
      </c>
      <c r="B96" s="31" t="inlineStr">
        <is>
          <t>'3173</t>
        </is>
      </c>
      <c r="C96" s="32" t="inlineStr">
        <is>
          <t>GL</t>
        </is>
      </c>
      <c r="D96" s="19" t="inlineStr">
        <is>
          <t>cước viễn thông Viettel T8-2026</t>
        </is>
      </c>
      <c r="E96" s="500" t="n">
        <v>26591</v>
      </c>
      <c r="F96" s="499" t="n"/>
      <c r="G96" s="32" t="inlineStr">
        <is>
          <t>THAOPTT.HCM.VTA</t>
        </is>
      </c>
      <c r="H96" s="32" t="inlineStr">
        <is>
          <t xml:space="preserve">Post </t>
        </is>
      </c>
      <c r="I96" s="530">
        <f>IF(LEN(A96)=5,E96,0)</f>
        <v/>
      </c>
      <c r="J96" s="531">
        <f>IF(LEFT(A96,11)="Tài khoản: ",MID(A96,12,5),J95)</f>
        <v/>
      </c>
    </row>
    <row r="97">
      <c r="A97" s="30" t="n">
        <v>46295</v>
      </c>
      <c r="B97" s="31" t="inlineStr">
        <is>
          <t>'3173</t>
        </is>
      </c>
      <c r="C97" s="32" t="inlineStr">
        <is>
          <t>GL</t>
        </is>
      </c>
      <c r="D97" s="19" t="inlineStr">
        <is>
          <t>cước viễn thông Viettel T8-2026</t>
        </is>
      </c>
      <c r="E97" s="500" t="n">
        <v>2007</v>
      </c>
      <c r="F97" s="499" t="n"/>
      <c r="G97" s="32" t="inlineStr">
        <is>
          <t>THAOPTT.HCM.VTA</t>
        </is>
      </c>
      <c r="H97" s="32" t="inlineStr">
        <is>
          <t xml:space="preserve">Post </t>
        </is>
      </c>
      <c r="I97" s="530">
        <f>IF(LEN(A97)=5,E97,0)</f>
        <v/>
      </c>
      <c r="J97" s="531">
        <f>IF(LEFT(A97,11)="Tài khoản: ",MID(A97,12,5),J96)</f>
        <v/>
      </c>
    </row>
    <row r="98">
      <c r="A98" s="30" t="n">
        <v>46295</v>
      </c>
      <c r="B98" s="31" t="inlineStr">
        <is>
          <t>'3173</t>
        </is>
      </c>
      <c r="C98" s="32" t="inlineStr">
        <is>
          <t>GL</t>
        </is>
      </c>
      <c r="D98" s="19" t="inlineStr">
        <is>
          <t>cước viễn thông Viettel T8-2026</t>
        </is>
      </c>
      <c r="E98" s="500" t="n">
        <v>15000</v>
      </c>
      <c r="F98" s="499" t="n"/>
      <c r="G98" s="32" t="inlineStr">
        <is>
          <t>THAOPTT.HCM.VTA</t>
        </is>
      </c>
      <c r="H98" s="32" t="inlineStr">
        <is>
          <t xml:space="preserve">Post </t>
        </is>
      </c>
      <c r="I98" s="530">
        <f>IF(LEN(A98)=5,E98,0)</f>
        <v/>
      </c>
      <c r="J98" s="531">
        <f>IF(LEFT(A98,11)="Tài khoản: ",MID(A98,12,5),J97)</f>
        <v/>
      </c>
    </row>
    <row r="99">
      <c r="A99" s="30" t="n">
        <v>46295</v>
      </c>
      <c r="B99" s="31" t="inlineStr">
        <is>
          <t>'3173</t>
        </is>
      </c>
      <c r="C99" s="32" t="inlineStr">
        <is>
          <t>GL</t>
        </is>
      </c>
      <c r="D99" s="19" t="inlineStr">
        <is>
          <t>cước viễn thông Viettel T8-2026</t>
        </is>
      </c>
      <c r="E99" s="500" t="n">
        <v>80000</v>
      </c>
      <c r="F99" s="499" t="n"/>
      <c r="G99" s="32" t="inlineStr">
        <is>
          <t>THAOPTT.HCM.VTA</t>
        </is>
      </c>
      <c r="H99" s="32" t="inlineStr">
        <is>
          <t xml:space="preserve">Post </t>
        </is>
      </c>
      <c r="I99" s="530">
        <f>IF(LEN(A99)=5,E99,0)</f>
        <v/>
      </c>
      <c r="J99" s="531">
        <f>IF(LEFT(A99,11)="Tài khoản: ",MID(A99,12,5),J98)</f>
        <v/>
      </c>
    </row>
    <row r="100">
      <c r="A100" s="30" t="n">
        <v>46295</v>
      </c>
      <c r="B100" s="31" t="inlineStr">
        <is>
          <t>'3173</t>
        </is>
      </c>
      <c r="C100" s="32" t="inlineStr">
        <is>
          <t>GL</t>
        </is>
      </c>
      <c r="D100" s="19" t="inlineStr">
        <is>
          <t>cước viễn thông Viettel T8-2026</t>
        </is>
      </c>
      <c r="E100" s="500" t="n">
        <v>90000</v>
      </c>
      <c r="F100" s="499" t="n"/>
      <c r="G100" s="32" t="inlineStr">
        <is>
          <t>THAOPTT.HCM.VTA</t>
        </is>
      </c>
      <c r="H100" s="32" t="inlineStr">
        <is>
          <t xml:space="preserve">Post </t>
        </is>
      </c>
      <c r="I100" s="530">
        <f>IF(LEN(A100)=5,E100,0)</f>
        <v/>
      </c>
      <c r="J100" s="531">
        <f>IF(LEFT(A100,11)="Tài khoản: ",MID(A100,12,5),J99)</f>
        <v/>
      </c>
    </row>
    <row r="101">
      <c r="A101" s="30" t="n">
        <v>46295</v>
      </c>
      <c r="B101" s="31" t="inlineStr">
        <is>
          <t>'3173</t>
        </is>
      </c>
      <c r="C101" s="32" t="inlineStr">
        <is>
          <t>GL</t>
        </is>
      </c>
      <c r="D101" s="19" t="inlineStr">
        <is>
          <t>cước viễn thông Viettel T8-2026</t>
        </is>
      </c>
      <c r="E101" s="500" t="n">
        <v>2727</v>
      </c>
      <c r="F101" s="499" t="n"/>
      <c r="G101" s="32" t="inlineStr">
        <is>
          <t>THAOPTT.HCM.VTA</t>
        </is>
      </c>
      <c r="H101" s="32" t="inlineStr">
        <is>
          <t xml:space="preserve">Post </t>
        </is>
      </c>
      <c r="I101" s="530">
        <f>IF(LEN(A101)=5,E101,0)</f>
        <v/>
      </c>
      <c r="J101" s="531">
        <f>IF(LEFT(A101,11)="Tài khoản: ",MID(A101,12,5),J100)</f>
        <v/>
      </c>
    </row>
    <row r="102">
      <c r="A102" s="30" t="n">
        <v>46295</v>
      </c>
      <c r="B102" s="31" t="inlineStr">
        <is>
          <t>'3173</t>
        </is>
      </c>
      <c r="C102" s="32" t="inlineStr">
        <is>
          <t>GL</t>
        </is>
      </c>
      <c r="D102" s="19" t="inlineStr">
        <is>
          <t>cước viễn thông Viettel T8-2026</t>
        </is>
      </c>
      <c r="E102" s="500" t="n">
        <v>2727</v>
      </c>
      <c r="F102" s="499" t="n"/>
      <c r="G102" s="32" t="inlineStr">
        <is>
          <t>THAOPTT.HCM.VTA</t>
        </is>
      </c>
      <c r="H102" s="32" t="inlineStr">
        <is>
          <t xml:space="preserve">Post </t>
        </is>
      </c>
      <c r="I102" s="530">
        <f>IF(LEN(A102)=5,E102,0)</f>
        <v/>
      </c>
      <c r="J102" s="531">
        <f>IF(LEFT(A102,11)="Tài khoản: ",MID(A102,12,5),J101)</f>
        <v/>
      </c>
    </row>
    <row r="103">
      <c r="A103" s="30" t="n">
        <v>46295</v>
      </c>
      <c r="B103" s="31" t="inlineStr">
        <is>
          <t>'3173</t>
        </is>
      </c>
      <c r="C103" s="32" t="inlineStr">
        <is>
          <t>GL</t>
        </is>
      </c>
      <c r="D103" s="19" t="inlineStr">
        <is>
          <t>cước viễn thông Viettel T8-2026</t>
        </is>
      </c>
      <c r="E103" s="500" t="n">
        <v>2727</v>
      </c>
      <c r="F103" s="499" t="n"/>
      <c r="G103" s="32" t="inlineStr">
        <is>
          <t>THAOPTT.HCM.VTA</t>
        </is>
      </c>
      <c r="H103" s="32" t="inlineStr">
        <is>
          <t xml:space="preserve">Post </t>
        </is>
      </c>
      <c r="I103" s="530">
        <f>IF(LEN(A103)=5,E103,0)</f>
        <v/>
      </c>
      <c r="J103" s="531">
        <f>IF(LEFT(A103,11)="Tài khoản: ",MID(A103,12,5),J102)</f>
        <v/>
      </c>
    </row>
    <row r="104">
      <c r="A104" s="30" t="n">
        <v>46295</v>
      </c>
      <c r="B104" s="31" t="inlineStr">
        <is>
          <t>'3173</t>
        </is>
      </c>
      <c r="C104" s="32" t="inlineStr">
        <is>
          <t>GL</t>
        </is>
      </c>
      <c r="D104" s="19" t="inlineStr">
        <is>
          <t>cước viễn thông Viettel T8-2026</t>
        </is>
      </c>
      <c r="E104" s="500" t="n">
        <v>18182</v>
      </c>
      <c r="F104" s="499" t="n"/>
      <c r="G104" s="32" t="inlineStr">
        <is>
          <t>THAOPTT.HCM.VTA</t>
        </is>
      </c>
      <c r="H104" s="32" t="inlineStr">
        <is>
          <t xml:space="preserve">Post </t>
        </is>
      </c>
      <c r="I104" s="530">
        <f>IF(LEN(A104)=5,E104,0)</f>
        <v/>
      </c>
      <c r="J104" s="531">
        <f>IF(LEFT(A104,11)="Tài khoản: ",MID(A104,12,5),J103)</f>
        <v/>
      </c>
    </row>
    <row r="105">
      <c r="A105" s="30" t="n">
        <v>46295</v>
      </c>
      <c r="B105" s="31" t="inlineStr">
        <is>
          <t>'3173</t>
        </is>
      </c>
      <c r="C105" s="32" t="inlineStr">
        <is>
          <t>GL</t>
        </is>
      </c>
      <c r="D105" s="19" t="inlineStr">
        <is>
          <t>cước viễn thông Viettel T8-2026</t>
        </is>
      </c>
      <c r="E105" s="500" t="n">
        <v>2727</v>
      </c>
      <c r="F105" s="499" t="n"/>
      <c r="G105" s="32" t="inlineStr">
        <is>
          <t>THAOPTT.HCM.VTA</t>
        </is>
      </c>
      <c r="H105" s="32" t="inlineStr">
        <is>
          <t xml:space="preserve">Post </t>
        </is>
      </c>
      <c r="I105" s="530">
        <f>IF(LEN(A105)=5,E105,0)</f>
        <v/>
      </c>
      <c r="J105" s="531">
        <f>IF(LEFT(A105,11)="Tài khoản: ",MID(A105,12,5),J104)</f>
        <v/>
      </c>
    </row>
    <row r="106">
      <c r="A106" s="30" t="n">
        <v>46295</v>
      </c>
      <c r="B106" s="31" t="inlineStr">
        <is>
          <t>'3173</t>
        </is>
      </c>
      <c r="C106" s="32" t="inlineStr">
        <is>
          <t>GL</t>
        </is>
      </c>
      <c r="D106" s="19" t="inlineStr">
        <is>
          <t>cước viễn thông Viettel T8-2026</t>
        </is>
      </c>
      <c r="E106" s="500" t="n">
        <v>2727</v>
      </c>
      <c r="F106" s="499" t="n"/>
      <c r="G106" s="32" t="inlineStr">
        <is>
          <t>THAOPTT.HCM.VTA</t>
        </is>
      </c>
      <c r="H106" s="32" t="inlineStr">
        <is>
          <t xml:space="preserve">Post </t>
        </is>
      </c>
      <c r="I106" s="530">
        <f>IF(LEN(A106)=5,E106,0)</f>
        <v/>
      </c>
      <c r="J106" s="531">
        <f>IF(LEFT(A106,11)="Tài khoản: ",MID(A106,12,5),J105)</f>
        <v/>
      </c>
    </row>
    <row r="107">
      <c r="A107" s="30" t="n">
        <v>46295</v>
      </c>
      <c r="B107" s="31" t="inlineStr">
        <is>
          <t>'3173</t>
        </is>
      </c>
      <c r="C107" s="32" t="inlineStr">
        <is>
          <t>GL</t>
        </is>
      </c>
      <c r="D107" s="19" t="inlineStr">
        <is>
          <t>cước viễn thông Viettel T8-2026</t>
        </is>
      </c>
      <c r="E107" s="500" t="n">
        <v>2727</v>
      </c>
      <c r="F107" s="499" t="n"/>
      <c r="G107" s="32" t="inlineStr">
        <is>
          <t>THAOPTT.HCM.VTA</t>
        </is>
      </c>
      <c r="H107" s="32" t="inlineStr">
        <is>
          <t xml:space="preserve">Post </t>
        </is>
      </c>
      <c r="I107" s="530">
        <f>IF(LEN(A107)=5,E107,0)</f>
        <v/>
      </c>
      <c r="J107" s="531">
        <f>IF(LEFT(A107,11)="Tài khoản: ",MID(A107,12,5),J106)</f>
        <v/>
      </c>
    </row>
    <row r="108">
      <c r="A108" s="30" t="n">
        <v>46295</v>
      </c>
      <c r="B108" s="31" t="inlineStr">
        <is>
          <t>'3173</t>
        </is>
      </c>
      <c r="C108" s="32" t="inlineStr">
        <is>
          <t>GL</t>
        </is>
      </c>
      <c r="D108" s="19" t="inlineStr">
        <is>
          <t>cước viễn thông Viettel T8-2026</t>
        </is>
      </c>
      <c r="E108" s="500" t="n">
        <v>2727</v>
      </c>
      <c r="F108" s="499" t="n"/>
      <c r="G108" s="32" t="inlineStr">
        <is>
          <t>THAOPTT.HCM.VTA</t>
        </is>
      </c>
      <c r="H108" s="32" t="inlineStr">
        <is>
          <t xml:space="preserve">Post </t>
        </is>
      </c>
      <c r="I108" s="530">
        <f>IF(LEN(A108)=5,E108,0)</f>
        <v/>
      </c>
      <c r="J108" s="531">
        <f>IF(LEFT(A108,11)="Tài khoản: ",MID(A108,12,5),J107)</f>
        <v/>
      </c>
    </row>
    <row r="109">
      <c r="A109" s="30" t="n">
        <v>46295</v>
      </c>
      <c r="B109" s="31" t="inlineStr">
        <is>
          <t>'3173</t>
        </is>
      </c>
      <c r="C109" s="32" t="inlineStr">
        <is>
          <t>GL</t>
        </is>
      </c>
      <c r="D109" s="19" t="inlineStr">
        <is>
          <t>cước viễn thông Viettel T8-2026</t>
        </is>
      </c>
      <c r="E109" s="500" t="n">
        <v>10909</v>
      </c>
      <c r="F109" s="499" t="n"/>
      <c r="G109" s="32" t="inlineStr">
        <is>
          <t>THAOPTT.HCM.VTA</t>
        </is>
      </c>
      <c r="H109" s="32" t="inlineStr">
        <is>
          <t xml:space="preserve">Post </t>
        </is>
      </c>
      <c r="I109" s="530">
        <f>IF(LEN(A109)=5,E109,0)</f>
        <v/>
      </c>
      <c r="J109" s="531">
        <f>IF(LEFT(A109,11)="Tài khoản: ",MID(A109,12,5),J108)</f>
        <v/>
      </c>
    </row>
    <row r="110">
      <c r="A110" s="30" t="n">
        <v>46295</v>
      </c>
      <c r="B110" s="31" t="inlineStr">
        <is>
          <t>'3173</t>
        </is>
      </c>
      <c r="C110" s="32" t="inlineStr">
        <is>
          <t>GL</t>
        </is>
      </c>
      <c r="D110" s="19" t="inlineStr">
        <is>
          <t>cước viễn thông Viettel T8-2026</t>
        </is>
      </c>
      <c r="E110" s="500" t="n">
        <v>2727</v>
      </c>
      <c r="F110" s="499" t="n"/>
      <c r="G110" s="32" t="inlineStr">
        <is>
          <t>THAOPTT.HCM.VTA</t>
        </is>
      </c>
      <c r="H110" s="32" t="inlineStr">
        <is>
          <t xml:space="preserve">Post </t>
        </is>
      </c>
      <c r="I110" s="530">
        <f>IF(LEN(A110)=5,E110,0)</f>
        <v/>
      </c>
      <c r="J110" s="531">
        <f>IF(LEFT(A110,11)="Tài khoản: ",MID(A110,12,5),J109)</f>
        <v/>
      </c>
    </row>
    <row r="111">
      <c r="A111" s="30" t="n">
        <v>46295</v>
      </c>
      <c r="B111" s="31" t="inlineStr">
        <is>
          <t>'3173</t>
        </is>
      </c>
      <c r="C111" s="32" t="inlineStr">
        <is>
          <t>GL</t>
        </is>
      </c>
      <c r="D111" s="19" t="inlineStr">
        <is>
          <t>cước viễn thông Viettel T8-2026</t>
        </is>
      </c>
      <c r="E111" s="500" t="n">
        <v>2727</v>
      </c>
      <c r="F111" s="499" t="n"/>
      <c r="G111" s="32" t="inlineStr">
        <is>
          <t>THAOPTT.HCM.VTA</t>
        </is>
      </c>
      <c r="H111" s="32" t="inlineStr">
        <is>
          <t xml:space="preserve">Post </t>
        </is>
      </c>
      <c r="I111" s="530">
        <f>IF(LEN(A111)=5,E111,0)</f>
        <v/>
      </c>
      <c r="J111" s="531">
        <f>IF(LEFT(A111,11)="Tài khoản: ",MID(A111,12,5),J110)</f>
        <v/>
      </c>
    </row>
    <row r="112">
      <c r="A112" s="30" t="n">
        <v>46295</v>
      </c>
      <c r="B112" s="31" t="inlineStr">
        <is>
          <t>'3173</t>
        </is>
      </c>
      <c r="C112" s="32" t="inlineStr">
        <is>
          <t>GL</t>
        </is>
      </c>
      <c r="D112" s="19" t="inlineStr">
        <is>
          <t>cước viễn thông Viettel T8-2026</t>
        </is>
      </c>
      <c r="E112" s="500" t="n">
        <v>2727</v>
      </c>
      <c r="F112" s="499" t="n"/>
      <c r="G112" s="32" t="inlineStr">
        <is>
          <t>THAOPTT.HCM.VTA</t>
        </is>
      </c>
      <c r="H112" s="32" t="inlineStr">
        <is>
          <t xml:space="preserve">Post </t>
        </is>
      </c>
      <c r="I112" s="530">
        <f>IF(LEN(A112)=5,E112,0)</f>
        <v/>
      </c>
      <c r="J112" s="531">
        <f>IF(LEFT(A112,11)="Tài khoản: ",MID(A112,12,5),J111)</f>
        <v/>
      </c>
    </row>
    <row r="113">
      <c r="A113" s="30" t="n">
        <v>46295</v>
      </c>
      <c r="B113" s="31" t="inlineStr">
        <is>
          <t>'3173</t>
        </is>
      </c>
      <c r="C113" s="32" t="inlineStr">
        <is>
          <t>GL</t>
        </is>
      </c>
      <c r="D113" s="19" t="inlineStr">
        <is>
          <t>cước viễn thông Viettel T8-2026</t>
        </is>
      </c>
      <c r="E113" s="500" t="n">
        <v>2727</v>
      </c>
      <c r="F113" s="499" t="n"/>
      <c r="G113" s="32" t="inlineStr">
        <is>
          <t>THAOPTT.HCM.VTA</t>
        </is>
      </c>
      <c r="H113" s="32" t="inlineStr">
        <is>
          <t xml:space="preserve">Post </t>
        </is>
      </c>
      <c r="I113" s="530">
        <f>IF(LEN(A113)=5,E113,0)</f>
        <v/>
      </c>
      <c r="J113" s="531">
        <f>IF(LEFT(A113,11)="Tài khoản: ",MID(A113,12,5),J112)</f>
        <v/>
      </c>
    </row>
    <row r="114">
      <c r="A114" s="30" t="n">
        <v>46295</v>
      </c>
      <c r="B114" s="31" t="inlineStr">
        <is>
          <t>'3173</t>
        </is>
      </c>
      <c r="C114" s="32" t="inlineStr">
        <is>
          <t>GL</t>
        </is>
      </c>
      <c r="D114" s="19" t="inlineStr">
        <is>
          <t>cước viễn thông Viettel T8-2026</t>
        </is>
      </c>
      <c r="E114" s="500" t="n">
        <v>2727</v>
      </c>
      <c r="F114" s="499" t="n"/>
      <c r="G114" s="32" t="inlineStr">
        <is>
          <t>THAOPTT.HCM.VTA</t>
        </is>
      </c>
      <c r="H114" s="32" t="inlineStr">
        <is>
          <t xml:space="preserve">Post </t>
        </is>
      </c>
      <c r="I114" s="530">
        <f>IF(LEN(A114)=5,E114,0)</f>
        <v/>
      </c>
      <c r="J114" s="531">
        <f>IF(LEFT(A114,11)="Tài khoản: ",MID(A114,12,5),J113)</f>
        <v/>
      </c>
    </row>
    <row r="115">
      <c r="A115" s="30" t="n">
        <v>46295</v>
      </c>
      <c r="B115" s="31" t="inlineStr">
        <is>
          <t>'3173</t>
        </is>
      </c>
      <c r="C115" s="32" t="inlineStr">
        <is>
          <t>GL</t>
        </is>
      </c>
      <c r="D115" s="19" t="inlineStr">
        <is>
          <t>cước viễn thông Viettel T8-2026</t>
        </is>
      </c>
      <c r="E115" s="500" t="n">
        <v>2727</v>
      </c>
      <c r="F115" s="499" t="n"/>
      <c r="G115" s="32" t="inlineStr">
        <is>
          <t>THAOPTT.HCM.VTA</t>
        </is>
      </c>
      <c r="H115" s="32" t="inlineStr">
        <is>
          <t xml:space="preserve">Post </t>
        </is>
      </c>
      <c r="I115" s="530">
        <f>IF(LEN(A115)=5,E115,0)</f>
        <v/>
      </c>
      <c r="J115" s="531">
        <f>IF(LEFT(A115,11)="Tài khoản: ",MID(A115,12,5),J114)</f>
        <v/>
      </c>
    </row>
    <row r="116">
      <c r="A116" s="30" t="n">
        <v>46295</v>
      </c>
      <c r="B116" s="31" t="inlineStr">
        <is>
          <t>'3173</t>
        </is>
      </c>
      <c r="C116" s="32" t="inlineStr">
        <is>
          <t>GL</t>
        </is>
      </c>
      <c r="D116" s="19" t="inlineStr">
        <is>
          <t>cước viễn thông Viettel T8-2026</t>
        </is>
      </c>
      <c r="E116" s="500" t="n">
        <v>2727</v>
      </c>
      <c r="F116" s="499" t="n"/>
      <c r="G116" s="32" t="inlineStr">
        <is>
          <t>THAOPTT.HCM.VTA</t>
        </is>
      </c>
      <c r="H116" s="32" t="inlineStr">
        <is>
          <t xml:space="preserve">Post </t>
        </is>
      </c>
      <c r="I116" s="530">
        <f>IF(LEN(A116)=5,E116,0)</f>
        <v/>
      </c>
      <c r="J116" s="531">
        <f>IF(LEFT(A116,11)="Tài khoản: ",MID(A116,12,5),J115)</f>
        <v/>
      </c>
    </row>
    <row r="117">
      <c r="A117" s="30" t="n">
        <v>46295</v>
      </c>
      <c r="B117" s="31" t="inlineStr">
        <is>
          <t>'3173</t>
        </is>
      </c>
      <c r="C117" s="32" t="inlineStr">
        <is>
          <t>GL</t>
        </is>
      </c>
      <c r="D117" s="19" t="inlineStr">
        <is>
          <t>cước viễn thông Viettel T8-2026</t>
        </is>
      </c>
      <c r="E117" s="500" t="n">
        <v>2727</v>
      </c>
      <c r="F117" s="499" t="n"/>
      <c r="G117" s="32" t="inlineStr">
        <is>
          <t>THAOPTT.HCM.VTA</t>
        </is>
      </c>
      <c r="H117" s="32" t="inlineStr">
        <is>
          <t xml:space="preserve">Post </t>
        </is>
      </c>
      <c r="I117" s="530">
        <f>IF(LEN(A117)=5,E117,0)</f>
        <v/>
      </c>
      <c r="J117" s="531">
        <f>IF(LEFT(A117,11)="Tài khoản: ",MID(A117,12,5),J116)</f>
        <v/>
      </c>
    </row>
    <row r="118">
      <c r="A118" s="30" t="n">
        <v>46295</v>
      </c>
      <c r="B118" s="31" t="inlineStr">
        <is>
          <t>'3173</t>
        </is>
      </c>
      <c r="C118" s="32" t="inlineStr">
        <is>
          <t>GL</t>
        </is>
      </c>
      <c r="D118" s="19" t="inlineStr">
        <is>
          <t>cước viễn thông Viettel T8-2026</t>
        </is>
      </c>
      <c r="E118" s="500" t="n">
        <v>2727</v>
      </c>
      <c r="F118" s="499" t="n"/>
      <c r="G118" s="32" t="inlineStr">
        <is>
          <t>THAOPTT.HCM.VTA</t>
        </is>
      </c>
      <c r="H118" s="32" t="inlineStr">
        <is>
          <t xml:space="preserve">Post </t>
        </is>
      </c>
      <c r="I118" s="530">
        <f>IF(LEN(A118)=5,E118,0)</f>
        <v/>
      </c>
      <c r="J118" s="531">
        <f>IF(LEFT(A118,11)="Tài khoản: ",MID(A118,12,5),J117)</f>
        <v/>
      </c>
    </row>
    <row r="119">
      <c r="A119" s="30" t="n">
        <v>46295</v>
      </c>
      <c r="B119" s="31" t="inlineStr">
        <is>
          <t>'3173</t>
        </is>
      </c>
      <c r="C119" s="32" t="inlineStr">
        <is>
          <t>GL</t>
        </is>
      </c>
      <c r="D119" s="19" t="inlineStr">
        <is>
          <t>cước viễn thông Viettel T8-2026</t>
        </is>
      </c>
      <c r="E119" s="500" t="n">
        <v>2727</v>
      </c>
      <c r="F119" s="499" t="n"/>
      <c r="G119" s="32" t="inlineStr">
        <is>
          <t>THAOPTT.HCM.VTA</t>
        </is>
      </c>
      <c r="H119" s="32" t="inlineStr">
        <is>
          <t xml:space="preserve">Post </t>
        </is>
      </c>
      <c r="I119" s="530">
        <f>IF(LEN(A119)=5,E119,0)</f>
        <v/>
      </c>
      <c r="J119" s="531">
        <f>IF(LEFT(A119,11)="Tài khoản: ",MID(A119,12,5),J118)</f>
        <v/>
      </c>
    </row>
    <row r="120">
      <c r="A120" s="30" t="n">
        <v>46295</v>
      </c>
      <c r="B120" s="31" t="inlineStr">
        <is>
          <t>'3173</t>
        </is>
      </c>
      <c r="C120" s="32" t="inlineStr">
        <is>
          <t>GL</t>
        </is>
      </c>
      <c r="D120" s="19" t="inlineStr">
        <is>
          <t>cước viễn thông Viettel T8-2026</t>
        </is>
      </c>
      <c r="E120" s="500" t="n">
        <v>2727</v>
      </c>
      <c r="F120" s="499" t="n"/>
      <c r="G120" s="32" t="inlineStr">
        <is>
          <t>THAOPTT.HCM.VTA</t>
        </is>
      </c>
      <c r="H120" s="32" t="inlineStr">
        <is>
          <t xml:space="preserve">Post </t>
        </is>
      </c>
      <c r="I120" s="530">
        <f>IF(LEN(A120)=5,E120,0)</f>
        <v/>
      </c>
      <c r="J120" s="531">
        <f>IF(LEFT(A120,11)="Tài khoản: ",MID(A120,12,5),J119)</f>
        <v/>
      </c>
    </row>
    <row r="121">
      <c r="A121" s="30" t="n">
        <v>46295</v>
      </c>
      <c r="B121" s="31" t="inlineStr">
        <is>
          <t>'3173</t>
        </is>
      </c>
      <c r="C121" s="32" t="inlineStr">
        <is>
          <t>GL</t>
        </is>
      </c>
      <c r="D121" s="19" t="inlineStr">
        <is>
          <t>cước vận chuyển VTTB ra Côn Đảo</t>
        </is>
      </c>
      <c r="E121" s="500" t="n">
        <v>92000</v>
      </c>
      <c r="F121" s="499" t="n"/>
      <c r="G121" s="32" t="inlineStr">
        <is>
          <t>THAOPTT.HCM.VTA</t>
        </is>
      </c>
      <c r="H121" s="32" t="inlineStr">
        <is>
          <t xml:space="preserve">Post </t>
        </is>
      </c>
      <c r="I121" s="530">
        <f>IF(LEN(A121)=5,E121,0)</f>
        <v/>
      </c>
      <c r="J121" s="531">
        <f>IF(LEFT(A121,11)="Tài khoản: ",MID(A121,12,5),J120)</f>
        <v/>
      </c>
    </row>
    <row r="122">
      <c r="A122" s="30" t="n">
        <v>46295</v>
      </c>
      <c r="B122" s="31" t="inlineStr">
        <is>
          <t>'3173</t>
        </is>
      </c>
      <c r="C122" s="32" t="inlineStr">
        <is>
          <t>GL</t>
        </is>
      </c>
      <c r="D122" s="19" t="inlineStr">
        <is>
          <t>cước vận chuyển VTTB ra Côn Đảo</t>
        </is>
      </c>
      <c r="E122" s="500" t="n">
        <v>496000</v>
      </c>
      <c r="F122" s="499" t="n"/>
      <c r="G122" s="32" t="inlineStr">
        <is>
          <t>THAOPTT.HCM.VTA</t>
        </is>
      </c>
      <c r="H122" s="32" t="inlineStr">
        <is>
          <t xml:space="preserve">Post </t>
        </is>
      </c>
      <c r="I122" s="530">
        <f>IF(LEN(A122)=5,E122,0)</f>
        <v/>
      </c>
      <c r="J122" s="531">
        <f>IF(LEFT(A122,11)="Tài khoản: ",MID(A122,12,5),J121)</f>
        <v/>
      </c>
    </row>
    <row r="123">
      <c r="A123" s="30" t="n">
        <v>46295</v>
      </c>
      <c r="B123" s="31" t="inlineStr">
        <is>
          <t>'3173</t>
        </is>
      </c>
      <c r="C123" s="32" t="inlineStr">
        <is>
          <t>GL</t>
        </is>
      </c>
      <c r="D123" s="19" t="inlineStr">
        <is>
          <t>dịch vụ vệ sinh T08-2026</t>
        </is>
      </c>
      <c r="E123" s="500" t="n">
        <v>555556</v>
      </c>
      <c r="F123" s="499" t="n"/>
      <c r="G123" s="32" t="inlineStr">
        <is>
          <t>THAOPTT.HCM.VTA</t>
        </is>
      </c>
      <c r="H123" s="32" t="inlineStr">
        <is>
          <t xml:space="preserve">Post </t>
        </is>
      </c>
      <c r="I123" s="530">
        <f>IF(LEN(A123)=5,E123,0)</f>
        <v/>
      </c>
      <c r="J123" s="531">
        <f>IF(LEFT(A123,11)="Tài khoản: ",MID(A123,12,5),J122)</f>
        <v/>
      </c>
    </row>
    <row r="124">
      <c r="A124" s="30" t="n">
        <v>46295</v>
      </c>
      <c r="B124" s="31" t="inlineStr">
        <is>
          <t>'3173</t>
        </is>
      </c>
      <c r="C124" s="32" t="inlineStr">
        <is>
          <t>GL</t>
        </is>
      </c>
      <c r="D124" s="19" t="inlineStr">
        <is>
          <t>dịch vụ vệ sinh T08-2026</t>
        </is>
      </c>
      <c r="E124" s="500" t="n">
        <v>555556</v>
      </c>
      <c r="F124" s="499" t="n"/>
      <c r="G124" s="32" t="inlineStr">
        <is>
          <t>THAOPTT.HCM.VTA</t>
        </is>
      </c>
      <c r="H124" s="32" t="inlineStr">
        <is>
          <t xml:space="preserve">Post </t>
        </is>
      </c>
      <c r="I124" s="530">
        <f>IF(LEN(A124)=5,E124,0)</f>
        <v/>
      </c>
      <c r="J124" s="531">
        <f>IF(LEFT(A124,11)="Tài khoản: ",MID(A124,12,5),J123)</f>
        <v/>
      </c>
    </row>
    <row r="125">
      <c r="A125" s="30" t="n">
        <v>46295</v>
      </c>
      <c r="B125" s="31" t="inlineStr">
        <is>
          <t>'3173</t>
        </is>
      </c>
      <c r="C125" s="32" t="inlineStr">
        <is>
          <t>GL</t>
        </is>
      </c>
      <c r="D125" s="19" t="inlineStr">
        <is>
          <t>vé máy bay</t>
        </is>
      </c>
      <c r="E125" s="500" t="n">
        <v>132333</v>
      </c>
      <c r="F125" s="499" t="n"/>
      <c r="G125" s="32" t="inlineStr">
        <is>
          <t>THAOPTT.HCM.VTA</t>
        </is>
      </c>
      <c r="H125" s="32" t="inlineStr">
        <is>
          <t xml:space="preserve">Post </t>
        </is>
      </c>
      <c r="I125" s="530">
        <f>IF(LEN(A125)=5,E125,0)</f>
        <v/>
      </c>
      <c r="J125" s="531">
        <f>IF(LEFT(A125,11)="Tài khoản: ",MID(A125,12,5),J124)</f>
        <v/>
      </c>
    </row>
    <row r="126">
      <c r="A126" s="30" t="n">
        <v>46295</v>
      </c>
      <c r="B126" s="31" t="inlineStr">
        <is>
          <t>'3173</t>
        </is>
      </c>
      <c r="C126" s="32" t="inlineStr">
        <is>
          <t>GL</t>
        </is>
      </c>
      <c r="D126" s="19" t="inlineStr">
        <is>
          <t>vé máy bay</t>
        </is>
      </c>
      <c r="E126" s="500" t="n">
        <v>370370</v>
      </c>
      <c r="F126" s="499" t="n"/>
      <c r="G126" s="32" t="inlineStr">
        <is>
          <t>THAOPTT.HCM.VTA</t>
        </is>
      </c>
      <c r="H126" s="32" t="inlineStr">
        <is>
          <t xml:space="preserve">Post </t>
        </is>
      </c>
      <c r="I126" s="530">
        <f>IF(LEN(A126)=5,E126,0)</f>
        <v/>
      </c>
      <c r="J126" s="531">
        <f>IF(LEFT(A126,11)="Tài khoản: ",MID(A126,12,5),J125)</f>
        <v/>
      </c>
    </row>
    <row r="127">
      <c r="A127" s="30" t="n">
        <v>46295</v>
      </c>
      <c r="B127" s="31" t="inlineStr">
        <is>
          <t>'3173</t>
        </is>
      </c>
      <c r="C127" s="32" t="inlineStr">
        <is>
          <t>GL</t>
        </is>
      </c>
      <c r="D127" s="19" t="inlineStr">
        <is>
          <t>vé máy bay</t>
        </is>
      </c>
      <c r="E127" s="500" t="n">
        <v>185185</v>
      </c>
      <c r="F127" s="499" t="n"/>
      <c r="G127" s="32" t="inlineStr">
        <is>
          <t>THAOPTT.HCM.VTA</t>
        </is>
      </c>
      <c r="H127" s="32" t="inlineStr">
        <is>
          <t xml:space="preserve">Post </t>
        </is>
      </c>
      <c r="I127" s="530">
        <f>IF(LEN(A127)=5,E127,0)</f>
        <v/>
      </c>
      <c r="J127" s="531">
        <f>IF(LEFT(A127,11)="Tài khoản: ",MID(A127,12,5),J126)</f>
        <v/>
      </c>
    </row>
    <row r="128">
      <c r="A128" s="30" t="n">
        <v>46295</v>
      </c>
      <c r="B128" s="31" t="inlineStr">
        <is>
          <t>'3173</t>
        </is>
      </c>
      <c r="C128" s="32" t="inlineStr">
        <is>
          <t>GL</t>
        </is>
      </c>
      <c r="D128" s="19" t="inlineStr">
        <is>
          <t>thuê phòng lưu trú</t>
        </is>
      </c>
      <c r="E128" s="500" t="n">
        <v>207408</v>
      </c>
      <c r="F128" s="499" t="n"/>
      <c r="G128" s="32" t="inlineStr">
        <is>
          <t>THAOPTT.HCM.VTA</t>
        </is>
      </c>
      <c r="H128" s="32" t="inlineStr">
        <is>
          <t xml:space="preserve">Post </t>
        </is>
      </c>
      <c r="I128" s="530">
        <f>IF(LEN(A128)=5,E128,0)</f>
        <v/>
      </c>
      <c r="J128" s="531">
        <f>IF(LEFT(A128,11)="Tài khoản: ",MID(A128,12,5),J127)</f>
        <v/>
      </c>
    </row>
    <row r="129">
      <c r="A129" s="30" t="n">
        <v>46295</v>
      </c>
      <c r="B129" s="31" t="inlineStr">
        <is>
          <t>'3173</t>
        </is>
      </c>
      <c r="C129" s="32" t="inlineStr">
        <is>
          <t>GL</t>
        </is>
      </c>
      <c r="D129" s="19" t="inlineStr">
        <is>
          <t>vé máy bay</t>
        </is>
      </c>
      <c r="E129" s="500" t="n">
        <v>109407</v>
      </c>
      <c r="F129" s="499" t="n"/>
      <c r="G129" s="32" t="inlineStr">
        <is>
          <t>THAOPTT.HCM.VTA</t>
        </is>
      </c>
      <c r="H129" s="32" t="inlineStr">
        <is>
          <t xml:space="preserve">Post </t>
        </is>
      </c>
      <c r="I129" s="530">
        <f>IF(LEN(A129)=5,E129,0)</f>
        <v/>
      </c>
      <c r="J129" s="531">
        <f>IF(LEFT(A129,11)="Tài khoản: ",MID(A129,12,5),J128)</f>
        <v/>
      </c>
    </row>
    <row r="130">
      <c r="A130" s="30" t="n">
        <v>46295</v>
      </c>
      <c r="B130" s="31" t="inlineStr">
        <is>
          <t>'3173</t>
        </is>
      </c>
      <c r="C130" s="32" t="inlineStr">
        <is>
          <t>GL</t>
        </is>
      </c>
      <c r="D130" s="19" t="inlineStr">
        <is>
          <t>vé máy bay</t>
        </is>
      </c>
      <c r="E130" s="500" t="n">
        <v>109407</v>
      </c>
      <c r="F130" s="499" t="n"/>
      <c r="G130" s="32" t="inlineStr">
        <is>
          <t>THAOPTT.HCM.VTA</t>
        </is>
      </c>
      <c r="H130" s="32" t="inlineStr">
        <is>
          <t xml:space="preserve">Post </t>
        </is>
      </c>
      <c r="I130" s="530">
        <f>IF(LEN(A130)=5,E130,0)</f>
        <v/>
      </c>
      <c r="J130" s="531">
        <f>IF(LEFT(A130,11)="Tài khoản: ",MID(A130,12,5),J129)</f>
        <v/>
      </c>
    </row>
    <row r="131">
      <c r="A131" s="30" t="n">
        <v>46295</v>
      </c>
      <c r="B131" s="31" t="inlineStr">
        <is>
          <t>'3173</t>
        </is>
      </c>
      <c r="C131" s="32" t="inlineStr">
        <is>
          <t>GL</t>
        </is>
      </c>
      <c r="D131" s="19" t="inlineStr">
        <is>
          <t>vé máy bay</t>
        </is>
      </c>
      <c r="E131" s="500" t="n">
        <v>37037</v>
      </c>
      <c r="F131" s="499" t="n"/>
      <c r="G131" s="32" t="inlineStr">
        <is>
          <t>THAOPTT.HCM.VTA</t>
        </is>
      </c>
      <c r="H131" s="32" t="inlineStr">
        <is>
          <t xml:space="preserve">Post </t>
        </is>
      </c>
      <c r="I131" s="530">
        <f>IF(LEN(A131)=5,E131,0)</f>
        <v/>
      </c>
      <c r="J131" s="531">
        <f>IF(LEFT(A131,11)="Tài khoản: ",MID(A131,12,5),J130)</f>
        <v/>
      </c>
    </row>
    <row r="132">
      <c r="A132" s="30" t="n">
        <v>46295</v>
      </c>
      <c r="B132" s="31" t="inlineStr">
        <is>
          <t>'3173</t>
        </is>
      </c>
      <c r="C132" s="32" t="inlineStr">
        <is>
          <t>GL</t>
        </is>
      </c>
      <c r="D132" s="19" t="inlineStr">
        <is>
          <t>thuê xe cuốc</t>
        </is>
      </c>
      <c r="E132" s="500" t="n">
        <v>448000</v>
      </c>
      <c r="F132" s="499" t="n"/>
      <c r="G132" s="32" t="inlineStr">
        <is>
          <t>THAOPTT.HCM.VTA</t>
        </is>
      </c>
      <c r="H132" s="32" t="inlineStr">
        <is>
          <t xml:space="preserve">Post </t>
        </is>
      </c>
      <c r="I132" s="530">
        <f>IF(LEN(A132)=5,E132,0)</f>
        <v/>
      </c>
      <c r="J132" s="531">
        <f>IF(LEFT(A132,11)="Tài khoản: ",MID(A132,12,5),J131)</f>
        <v/>
      </c>
    </row>
    <row r="133">
      <c r="A133" s="30" t="n">
        <v>46295</v>
      </c>
      <c r="B133" s="31" t="inlineStr">
        <is>
          <t>'3173</t>
        </is>
      </c>
      <c r="C133" s="32" t="inlineStr">
        <is>
          <t>GL</t>
        </is>
      </c>
      <c r="D133" s="19" t="inlineStr">
        <is>
          <t>mua vật tư xây dựng</t>
        </is>
      </c>
      <c r="E133" s="500" t="n">
        <v>304444</v>
      </c>
      <c r="F133" s="499" t="n"/>
      <c r="G133" s="32" t="inlineStr">
        <is>
          <t>THAOPTT.HCM.VTA</t>
        </is>
      </c>
      <c r="H133" s="32" t="inlineStr">
        <is>
          <t xml:space="preserve">Post </t>
        </is>
      </c>
      <c r="I133" s="530">
        <f>IF(LEN(A133)=5,E133,0)</f>
        <v/>
      </c>
      <c r="J133" s="531">
        <f>IF(LEFT(A133,11)="Tài khoản: ",MID(A133,12,5),J132)</f>
        <v/>
      </c>
    </row>
    <row r="134">
      <c r="A134" s="30" t="n">
        <v>46295</v>
      </c>
      <c r="B134" s="31" t="inlineStr">
        <is>
          <t>'3173</t>
        </is>
      </c>
      <c r="C134" s="32" t="inlineStr">
        <is>
          <t>GL</t>
        </is>
      </c>
      <c r="D134" s="19" t="inlineStr">
        <is>
          <t>hóa đơn  chuyển phát nhanh</t>
        </is>
      </c>
      <c r="E134" s="500" t="n">
        <v>20174</v>
      </c>
      <c r="F134" s="499" t="n"/>
      <c r="G134" s="32" t="inlineStr">
        <is>
          <t>THAOPTT.HCM.VTA</t>
        </is>
      </c>
      <c r="H134" s="32" t="inlineStr">
        <is>
          <t xml:space="preserve">Post </t>
        </is>
      </c>
      <c r="I134" s="530">
        <f>IF(LEN(A134)=5,E134,0)</f>
        <v/>
      </c>
      <c r="J134" s="531">
        <f>IF(LEFT(A134,11)="Tài khoản: ",MID(A134,12,5),J133)</f>
        <v/>
      </c>
    </row>
    <row r="135">
      <c r="A135" s="30" t="n">
        <v>46295</v>
      </c>
      <c r="B135" s="31" t="inlineStr">
        <is>
          <t>'3173</t>
        </is>
      </c>
      <c r="C135" s="32" t="inlineStr">
        <is>
          <t>GL</t>
        </is>
      </c>
      <c r="D135" s="19" t="inlineStr">
        <is>
          <t>hoàn trả, tái lập mặt đường</t>
        </is>
      </c>
      <c r="E135" s="500" t="n">
        <v>1688889</v>
      </c>
      <c r="F135" s="499" t="n"/>
      <c r="G135" s="32" t="inlineStr">
        <is>
          <t>THAOPTT.HCM.VTA</t>
        </is>
      </c>
      <c r="H135" s="32" t="inlineStr">
        <is>
          <t xml:space="preserve">Post </t>
        </is>
      </c>
      <c r="I135" s="530">
        <f>IF(LEN(A135)=5,E135,0)</f>
        <v/>
      </c>
      <c r="J135" s="531">
        <f>IF(LEFT(A135,11)="Tài khoản: ",MID(A135,12,5),J134)</f>
        <v/>
      </c>
    </row>
    <row r="136">
      <c r="A136" s="30" t="n">
        <v>46295</v>
      </c>
      <c r="B136" s="31" t="inlineStr">
        <is>
          <t>'3173</t>
        </is>
      </c>
      <c r="C136" s="32" t="inlineStr">
        <is>
          <t>GL</t>
        </is>
      </c>
      <c r="D136" s="19" t="inlineStr">
        <is>
          <t>thuê nhân công T09-26</t>
        </is>
      </c>
      <c r="E136" s="500" t="n">
        <v>2156000</v>
      </c>
      <c r="F136" s="499" t="n"/>
      <c r="G136" s="32" t="inlineStr">
        <is>
          <t>THAOPTT.HCM.VTA</t>
        </is>
      </c>
      <c r="H136" s="32" t="inlineStr">
        <is>
          <t xml:space="preserve">Post </t>
        </is>
      </c>
      <c r="I136" s="530">
        <f>IF(LEN(A136)=5,E136,0)</f>
        <v/>
      </c>
      <c r="J136" s="531">
        <f>IF(LEFT(A136,11)="Tài khoản: ",MID(A136,12,5),J135)</f>
        <v/>
      </c>
    </row>
    <row r="137">
      <c r="A137" s="30" t="n">
        <v>46295</v>
      </c>
      <c r="B137" s="31" t="inlineStr">
        <is>
          <t>'3173</t>
        </is>
      </c>
      <c r="C137" s="32" t="inlineStr">
        <is>
          <t>GL</t>
        </is>
      </c>
      <c r="D137" s="19" t="inlineStr">
        <is>
          <t>đặt ăn</t>
        </is>
      </c>
      <c r="E137" s="500" t="n">
        <v>437183</v>
      </c>
      <c r="F137" s="499" t="n"/>
      <c r="G137" s="32" t="inlineStr">
        <is>
          <t>THAOPTT.HCM.VTA</t>
        </is>
      </c>
      <c r="H137" s="32" t="inlineStr">
        <is>
          <t xml:space="preserve">Post </t>
        </is>
      </c>
      <c r="I137" s="530">
        <f>IF(LEN(A137)=5,E137,0)</f>
        <v/>
      </c>
      <c r="J137" s="531">
        <f>IF(LEFT(A137,11)="Tài khoản: ",MID(A137,12,5),J136)</f>
        <v/>
      </c>
    </row>
    <row r="138">
      <c r="A138" s="30" t="n">
        <v>46295</v>
      </c>
      <c r="B138" s="31" t="inlineStr">
        <is>
          <t>'3173</t>
        </is>
      </c>
      <c r="C138" s="32" t="inlineStr">
        <is>
          <t>GL</t>
        </is>
      </c>
      <c r="D138" s="19" t="inlineStr">
        <is>
          <t>đặt ăn</t>
        </is>
      </c>
      <c r="E138" s="500" t="n">
        <v>9545</v>
      </c>
      <c r="F138" s="499" t="n"/>
      <c r="G138" s="32" t="inlineStr">
        <is>
          <t>THAOPTT.HCM.VTA</t>
        </is>
      </c>
      <c r="H138" s="32" t="inlineStr">
        <is>
          <t xml:space="preserve">Post </t>
        </is>
      </c>
      <c r="I138" s="530">
        <f>IF(LEN(A138)=5,E138,0)</f>
        <v/>
      </c>
      <c r="J138" s="531">
        <f>IF(LEFT(A138,11)="Tài khoản: ",MID(A138,12,5),J137)</f>
        <v/>
      </c>
    </row>
    <row r="139">
      <c r="A139" s="30" t="n">
        <v>46295</v>
      </c>
      <c r="B139" s="31" t="inlineStr">
        <is>
          <t>'3173</t>
        </is>
      </c>
      <c r="C139" s="32" t="inlineStr">
        <is>
          <t>GL</t>
        </is>
      </c>
      <c r="D139" s="19" t="inlineStr">
        <is>
          <t>hóa đơn ký túc xá</t>
        </is>
      </c>
      <c r="E139" s="500" t="n">
        <v>333333</v>
      </c>
      <c r="F139" s="499" t="n"/>
      <c r="G139" s="32" t="inlineStr">
        <is>
          <t>THAOPTT.HCM.VTA</t>
        </is>
      </c>
      <c r="H139" s="32" t="inlineStr">
        <is>
          <t xml:space="preserve">Post </t>
        </is>
      </c>
      <c r="I139" s="530">
        <f>IF(LEN(A139)=5,E139,0)</f>
        <v/>
      </c>
      <c r="J139" s="531">
        <f>IF(LEFT(A139,11)="Tài khoản: ",MID(A139,12,5),J138)</f>
        <v/>
      </c>
    </row>
    <row r="140">
      <c r="A140" s="30" t="n">
        <v>46295</v>
      </c>
      <c r="B140" s="31" t="inlineStr">
        <is>
          <t>'3173</t>
        </is>
      </c>
      <c r="C140" s="32" t="inlineStr">
        <is>
          <t>GL</t>
        </is>
      </c>
      <c r="D140" s="19" t="inlineStr">
        <is>
          <t>hóa đơn ký túc xá</t>
        </is>
      </c>
      <c r="E140" s="500" t="n">
        <v>238519</v>
      </c>
      <c r="F140" s="499" t="n"/>
      <c r="G140" s="32" t="inlineStr">
        <is>
          <t>THAOPTT.HCM.VTA</t>
        </is>
      </c>
      <c r="H140" s="32" t="inlineStr">
        <is>
          <t xml:space="preserve">Post </t>
        </is>
      </c>
      <c r="I140" s="530">
        <f>IF(LEN(A140)=5,E140,0)</f>
        <v/>
      </c>
      <c r="J140" s="531">
        <f>IF(LEFT(A140,11)="Tài khoản: ",MID(A140,12,5),J139)</f>
        <v/>
      </c>
    </row>
    <row r="141">
      <c r="A141" s="30" t="n">
        <v>46295</v>
      </c>
      <c r="B141" s="31" t="inlineStr">
        <is>
          <t>'3173</t>
        </is>
      </c>
      <c r="C141" s="32" t="inlineStr">
        <is>
          <t>GL</t>
        </is>
      </c>
      <c r="D141" s="19" t="inlineStr">
        <is>
          <t>cước vận chuyển VTTB ra Côn Đảo</t>
        </is>
      </c>
      <c r="E141" s="500" t="n">
        <v>380000</v>
      </c>
      <c r="F141" s="499" t="n"/>
      <c r="G141" s="32" t="inlineStr">
        <is>
          <t>THAOPTT.HCM.VTA</t>
        </is>
      </c>
      <c r="H141" s="32" t="inlineStr">
        <is>
          <t xml:space="preserve">Post </t>
        </is>
      </c>
      <c r="I141" s="530">
        <f>IF(LEN(A141)=5,E141,0)</f>
        <v/>
      </c>
      <c r="J141" s="531">
        <f>IF(LEFT(A141,11)="Tài khoản: ",MID(A141,12,5),J140)</f>
        <v/>
      </c>
    </row>
    <row r="142">
      <c r="A142" s="30" t="n">
        <v>46295</v>
      </c>
      <c r="B142" s="31" t="inlineStr">
        <is>
          <t>'3173</t>
        </is>
      </c>
      <c r="C142" s="32" t="inlineStr">
        <is>
          <t>GL</t>
        </is>
      </c>
      <c r="D142" s="19" t="inlineStr">
        <is>
          <t>hoàn trả, tái lập mặt đường</t>
        </is>
      </c>
      <c r="E142" s="500" t="n">
        <v>1688889</v>
      </c>
      <c r="F142" s="499" t="n"/>
      <c r="G142" s="32" t="inlineStr">
        <is>
          <t>THAOPTT.HCM.VTA</t>
        </is>
      </c>
      <c r="H142" s="32" t="inlineStr">
        <is>
          <t xml:space="preserve">Post </t>
        </is>
      </c>
      <c r="I142" s="530">
        <f>IF(LEN(A142)=5,E142,0)</f>
        <v/>
      </c>
      <c r="J142" s="531">
        <f>IF(LEFT(A142,11)="Tài khoản: ",MID(A142,12,5),J141)</f>
        <v/>
      </c>
    </row>
    <row r="143">
      <c r="A143" s="30" t="n">
        <v>46295</v>
      </c>
      <c r="B143" s="31" t="inlineStr">
        <is>
          <t>'3173</t>
        </is>
      </c>
      <c r="C143" s="32" t="inlineStr">
        <is>
          <t>GL</t>
        </is>
      </c>
      <c r="D143" s="19" t="inlineStr">
        <is>
          <t>đồ dùng vệ sinh T09-2026</t>
        </is>
      </c>
      <c r="E143" s="500" t="n">
        <v>4762</v>
      </c>
      <c r="F143" s="499" t="n"/>
      <c r="G143" s="32" t="inlineStr">
        <is>
          <t>THAOPTT.HCM.VTA</t>
        </is>
      </c>
      <c r="H143" s="32" t="inlineStr">
        <is>
          <t xml:space="preserve">Post </t>
        </is>
      </c>
      <c r="I143" s="530">
        <f>IF(LEN(A143)=5,E143,0)</f>
        <v/>
      </c>
      <c r="J143" s="531">
        <f>IF(LEFT(A143,11)="Tài khoản: ",MID(A143,12,5),J142)</f>
        <v/>
      </c>
    </row>
    <row r="144">
      <c r="A144" s="30" t="n">
        <v>46295</v>
      </c>
      <c r="B144" s="31" t="inlineStr">
        <is>
          <t>'3173</t>
        </is>
      </c>
      <c r="C144" s="32" t="inlineStr">
        <is>
          <t>GL</t>
        </is>
      </c>
      <c r="D144" s="19" t="inlineStr">
        <is>
          <t>đồ dùng vệ sinh T09-2026</t>
        </is>
      </c>
      <c r="E144" s="500" t="n">
        <v>1205931</v>
      </c>
      <c r="F144" s="499" t="n"/>
      <c r="G144" s="32" t="inlineStr">
        <is>
          <t>THAOPTT.HCM.VTA</t>
        </is>
      </c>
      <c r="H144" s="32" t="inlineStr">
        <is>
          <t xml:space="preserve">Post </t>
        </is>
      </c>
      <c r="I144" s="530">
        <f>IF(LEN(A144)=5,E144,0)</f>
        <v/>
      </c>
      <c r="J144" s="531">
        <f>IF(LEFT(A144,11)="Tài khoản: ",MID(A144,12,5),J143)</f>
        <v/>
      </c>
    </row>
    <row r="145">
      <c r="A145" s="30" t="n">
        <v>46295</v>
      </c>
      <c r="B145" s="31" t="inlineStr">
        <is>
          <t>'3173</t>
        </is>
      </c>
      <c r="C145" s="32" t="inlineStr">
        <is>
          <t>GL</t>
        </is>
      </c>
      <c r="D145" s="19" t="inlineStr">
        <is>
          <t>hóa đơn mua ăcquy oto</t>
        </is>
      </c>
      <c r="E145" s="500" t="n">
        <v>586667</v>
      </c>
      <c r="F145" s="499" t="n"/>
      <c r="G145" s="32" t="inlineStr">
        <is>
          <t>THAOPTT.HCM.VTA</t>
        </is>
      </c>
      <c r="H145" s="32" t="inlineStr">
        <is>
          <t xml:space="preserve">Post </t>
        </is>
      </c>
      <c r="I145" s="530">
        <f>IF(LEN(A145)=5,E145,0)</f>
        <v/>
      </c>
      <c r="J145" s="531">
        <f>IF(LEFT(A145,11)="Tài khoản: ",MID(A145,12,5),J144)</f>
        <v/>
      </c>
    </row>
    <row r="146">
      <c r="A146" s="30" t="n">
        <v>46295</v>
      </c>
      <c r="B146" s="31" t="inlineStr">
        <is>
          <t>'3173</t>
        </is>
      </c>
      <c r="C146" s="32" t="inlineStr">
        <is>
          <t>GL</t>
        </is>
      </c>
      <c r="D146" s="19" t="inlineStr">
        <is>
          <t>hóa đơn mua ăcquy oto</t>
        </is>
      </c>
      <c r="E146" s="500" t="n">
        <v>301481</v>
      </c>
      <c r="F146" s="499" t="n"/>
      <c r="G146" s="32" t="inlineStr">
        <is>
          <t>THAOPTT.HCM.VTA</t>
        </is>
      </c>
      <c r="H146" s="32" t="inlineStr">
        <is>
          <t xml:space="preserve">Post </t>
        </is>
      </c>
      <c r="I146" s="530">
        <f>IF(LEN(A146)=5,E146,0)</f>
        <v/>
      </c>
      <c r="J146" s="531">
        <f>IF(LEFT(A146,11)="Tài khoản: ",MID(A146,12,5),J145)</f>
        <v/>
      </c>
    </row>
    <row r="147">
      <c r="A147" s="30" t="n">
        <v>46295</v>
      </c>
      <c r="B147" s="31" t="inlineStr">
        <is>
          <t>'3173</t>
        </is>
      </c>
      <c r="C147" s="32" t="inlineStr">
        <is>
          <t>GL</t>
        </is>
      </c>
      <c r="D147" s="19" t="inlineStr">
        <is>
          <t>cước VNPT Côn Đảo</t>
        </is>
      </c>
      <c r="E147" s="500" t="n">
        <v>17273</v>
      </c>
      <c r="F147" s="499" t="n"/>
      <c r="G147" s="32" t="inlineStr">
        <is>
          <t>THAOPTT.HCM.VTA</t>
        </is>
      </c>
      <c r="H147" s="32" t="inlineStr">
        <is>
          <t xml:space="preserve">Post </t>
        </is>
      </c>
      <c r="I147" s="530">
        <f>IF(LEN(A147)=5,E147,0)</f>
        <v/>
      </c>
      <c r="J147" s="531">
        <f>IF(LEFT(A147,11)="Tài khoản: ",MID(A147,12,5),J146)</f>
        <v/>
      </c>
    </row>
    <row r="148">
      <c r="A148" s="30" t="n">
        <v>46295</v>
      </c>
      <c r="B148" s="31" t="inlineStr">
        <is>
          <t>'3173</t>
        </is>
      </c>
      <c r="C148" s="32" t="inlineStr">
        <is>
          <t>GL</t>
        </is>
      </c>
      <c r="D148" s="19" t="inlineStr">
        <is>
          <t>thuê máy photo T09-202</t>
        </is>
      </c>
      <c r="E148" s="500" t="n">
        <v>148000</v>
      </c>
      <c r="F148" s="499" t="n"/>
      <c r="G148" s="32" t="inlineStr">
        <is>
          <t>THAOPTT.HCM.VTA</t>
        </is>
      </c>
      <c r="H148" s="32" t="inlineStr">
        <is>
          <t xml:space="preserve">Post </t>
        </is>
      </c>
      <c r="I148" s="530">
        <f>IF(LEN(A148)=5,E148,0)</f>
        <v/>
      </c>
      <c r="J148" s="531">
        <f>IF(LEFT(A148,11)="Tài khoản: ",MID(A148,12,5),J147)</f>
        <v/>
      </c>
    </row>
    <row r="149">
      <c r="A149" s="30" t="n">
        <v>46295</v>
      </c>
      <c r="B149" s="31" t="inlineStr">
        <is>
          <t>'3173</t>
        </is>
      </c>
      <c r="C149" s="32" t="inlineStr">
        <is>
          <t>GL</t>
        </is>
      </c>
      <c r="D149" s="19" t="inlineStr">
        <is>
          <t>thuê máy photo T09-202</t>
        </is>
      </c>
      <c r="E149" s="500" t="n">
        <v>148000</v>
      </c>
      <c r="F149" s="499" t="n"/>
      <c r="G149" s="32" t="inlineStr">
        <is>
          <t>THAOPTT.HCM.VTA</t>
        </is>
      </c>
      <c r="H149" s="32" t="inlineStr">
        <is>
          <t xml:space="preserve">Post </t>
        </is>
      </c>
      <c r="I149" s="530">
        <f>IF(LEN(A149)=5,E149,0)</f>
        <v/>
      </c>
      <c r="J149" s="531">
        <f>IF(LEFT(A149,11)="Tài khoản: ",MID(A149,12,5),J148)</f>
        <v/>
      </c>
    </row>
    <row r="150">
      <c r="A150" s="30" t="n">
        <v>46295</v>
      </c>
      <c r="B150" s="31" t="inlineStr">
        <is>
          <t>'3173</t>
        </is>
      </c>
      <c r="C150" s="32" t="inlineStr">
        <is>
          <t>GL</t>
        </is>
      </c>
      <c r="D150" s="19" t="inlineStr">
        <is>
          <t>thuê máy photo T09-202</t>
        </is>
      </c>
      <c r="E150" s="500" t="n">
        <v>148000</v>
      </c>
      <c r="F150" s="499" t="n"/>
      <c r="G150" s="32" t="inlineStr">
        <is>
          <t>THAOPTT.HCM.VTA</t>
        </is>
      </c>
      <c r="H150" s="32" t="inlineStr">
        <is>
          <t xml:space="preserve">Post </t>
        </is>
      </c>
      <c r="I150" s="530">
        <f>IF(LEN(A150)=5,E150,0)</f>
        <v/>
      </c>
      <c r="J150" s="531">
        <f>IF(LEFT(A150,11)="Tài khoản: ",MID(A150,12,5),J149)</f>
        <v/>
      </c>
    </row>
    <row r="151">
      <c r="A151" s="30" t="n">
        <v>46295</v>
      </c>
      <c r="B151" s="31" t="inlineStr">
        <is>
          <t>'3173</t>
        </is>
      </c>
      <c r="C151" s="32" t="inlineStr">
        <is>
          <t>GL</t>
        </is>
      </c>
      <c r="D151" s="19" t="inlineStr">
        <is>
          <t>thuê máy photo T09-202</t>
        </is>
      </c>
      <c r="E151" s="500" t="n">
        <v>148000</v>
      </c>
      <c r="F151" s="499" t="n"/>
      <c r="G151" s="32" t="inlineStr">
        <is>
          <t>THAOPTT.HCM.VTA</t>
        </is>
      </c>
      <c r="H151" s="32" t="inlineStr">
        <is>
          <t xml:space="preserve">Post </t>
        </is>
      </c>
      <c r="I151" s="530">
        <f>IF(LEN(A151)=5,E151,0)</f>
        <v/>
      </c>
      <c r="J151" s="531">
        <f>IF(LEFT(A151,11)="Tài khoản: ",MID(A151,12,5),J150)</f>
        <v/>
      </c>
    </row>
    <row r="152">
      <c r="A152" s="30" t="n">
        <v>46295</v>
      </c>
      <c r="B152" s="31" t="inlineStr">
        <is>
          <t>'3173</t>
        </is>
      </c>
      <c r="C152" s="32" t="inlineStr">
        <is>
          <t>GL</t>
        </is>
      </c>
      <c r="D152" s="19" t="inlineStr">
        <is>
          <t>thuê máy photo T09-202</t>
        </is>
      </c>
      <c r="E152" s="500" t="n">
        <v>148000</v>
      </c>
      <c r="F152" s="499" t="n"/>
      <c r="G152" s="32" t="inlineStr">
        <is>
          <t>THAOPTT.HCM.VTA</t>
        </is>
      </c>
      <c r="H152" s="32" t="inlineStr">
        <is>
          <t xml:space="preserve">Post </t>
        </is>
      </c>
      <c r="I152" s="530">
        <f>IF(LEN(A152)=5,E152,0)</f>
        <v/>
      </c>
      <c r="J152" s="531">
        <f>IF(LEFT(A152,11)="Tài khoản: ",MID(A152,12,5),J151)</f>
        <v/>
      </c>
    </row>
    <row r="153">
      <c r="A153" s="30" t="n">
        <v>46295</v>
      </c>
      <c r="B153" s="31" t="inlineStr">
        <is>
          <t>'3173</t>
        </is>
      </c>
      <c r="C153" s="32" t="inlineStr">
        <is>
          <t>GL</t>
        </is>
      </c>
      <c r="D153" s="19" t="inlineStr">
        <is>
          <t>thuê máy photo T09-202</t>
        </is>
      </c>
      <c r="E153" s="500" t="n">
        <v>148000</v>
      </c>
      <c r="F153" s="499" t="n"/>
      <c r="G153" s="32" t="inlineStr">
        <is>
          <t>THAOPTT.HCM.VTA</t>
        </is>
      </c>
      <c r="H153" s="32" t="inlineStr">
        <is>
          <t xml:space="preserve">Post </t>
        </is>
      </c>
      <c r="I153" s="530">
        <f>IF(LEN(A153)=5,E153,0)</f>
        <v/>
      </c>
      <c r="J153" s="531">
        <f>IF(LEFT(A153,11)="Tài khoản: ",MID(A153,12,5),J152)</f>
        <v/>
      </c>
    </row>
    <row r="154">
      <c r="A154" s="30" t="n">
        <v>46295</v>
      </c>
      <c r="B154" s="31" t="inlineStr">
        <is>
          <t>'3173</t>
        </is>
      </c>
      <c r="C154" s="32" t="inlineStr">
        <is>
          <t>GL</t>
        </is>
      </c>
      <c r="D154" s="19" t="inlineStr">
        <is>
          <t>thuê máy photo T09-202</t>
        </is>
      </c>
      <c r="E154" s="500" t="n">
        <v>148000</v>
      </c>
      <c r="F154" s="499" t="n"/>
      <c r="G154" s="32" t="inlineStr">
        <is>
          <t>THAOPTT.HCM.VTA</t>
        </is>
      </c>
      <c r="H154" s="32" t="inlineStr">
        <is>
          <t xml:space="preserve">Post </t>
        </is>
      </c>
      <c r="I154" s="530">
        <f>IF(LEN(A154)=5,E154,0)</f>
        <v/>
      </c>
      <c r="J154" s="531">
        <f>IF(LEFT(A154,11)="Tài khoản: ",MID(A154,12,5),J153)</f>
        <v/>
      </c>
    </row>
    <row r="155">
      <c r="A155" s="30" t="n">
        <v>46295</v>
      </c>
      <c r="B155" s="31" t="inlineStr">
        <is>
          <t>'3173</t>
        </is>
      </c>
      <c r="C155" s="32" t="inlineStr">
        <is>
          <t>GL</t>
        </is>
      </c>
      <c r="D155" s="19" t="inlineStr">
        <is>
          <t>thuê máy photo T09-202</t>
        </is>
      </c>
      <c r="E155" s="500" t="n">
        <v>148000</v>
      </c>
      <c r="F155" s="499" t="n"/>
      <c r="G155" s="32" t="inlineStr">
        <is>
          <t>THAOPTT.HCM.VTA</t>
        </is>
      </c>
      <c r="H155" s="32" t="inlineStr">
        <is>
          <t xml:space="preserve">Post </t>
        </is>
      </c>
      <c r="I155" s="530">
        <f>IF(LEN(A155)=5,E155,0)</f>
        <v/>
      </c>
      <c r="J155" s="531">
        <f>IF(LEFT(A155,11)="Tài khoản: ",MID(A155,12,5),J154)</f>
        <v/>
      </c>
    </row>
    <row r="156">
      <c r="A156" s="30" t="n">
        <v>46295</v>
      </c>
      <c r="B156" s="31" t="inlineStr">
        <is>
          <t>'3173</t>
        </is>
      </c>
      <c r="C156" s="32" t="inlineStr">
        <is>
          <t>GL</t>
        </is>
      </c>
      <c r="D156" s="19" t="inlineStr">
        <is>
          <t>vé máy bay</t>
        </is>
      </c>
      <c r="E156" s="500" t="n">
        <v>185185</v>
      </c>
      <c r="F156" s="499" t="n"/>
      <c r="G156" s="32" t="inlineStr">
        <is>
          <t>THAOPTT.HCM.VTA</t>
        </is>
      </c>
      <c r="H156" s="32" t="inlineStr">
        <is>
          <t xml:space="preserve">Post </t>
        </is>
      </c>
      <c r="I156" s="530">
        <f>IF(LEN(A156)=5,E156,0)</f>
        <v/>
      </c>
      <c r="J156" s="531">
        <f>IF(LEFT(A156,11)="Tài khoản: ",MID(A156,12,5),J155)</f>
        <v/>
      </c>
    </row>
    <row r="157">
      <c r="A157" s="30" t="n">
        <v>46295</v>
      </c>
      <c r="B157" s="31" t="inlineStr">
        <is>
          <t>'3173</t>
        </is>
      </c>
      <c r="C157" s="32" t="inlineStr">
        <is>
          <t>GL</t>
        </is>
      </c>
      <c r="D157" s="19" t="inlineStr">
        <is>
          <t>vé máy bay</t>
        </is>
      </c>
      <c r="E157" s="500" t="n">
        <v>94704</v>
      </c>
      <c r="F157" s="499" t="n"/>
      <c r="G157" s="32" t="inlineStr">
        <is>
          <t>THAOPTT.HCM.VTA</t>
        </is>
      </c>
      <c r="H157" s="32" t="inlineStr">
        <is>
          <t xml:space="preserve">Post </t>
        </is>
      </c>
      <c r="I157" s="530">
        <f>IF(LEN(A157)=5,E157,0)</f>
        <v/>
      </c>
      <c r="J157" s="531">
        <f>IF(LEFT(A157,11)="Tài khoản: ",MID(A157,12,5),J156)</f>
        <v/>
      </c>
    </row>
    <row r="158">
      <c r="A158" s="30" t="n">
        <v>46295</v>
      </c>
      <c r="B158" s="31" t="inlineStr">
        <is>
          <t>'3173</t>
        </is>
      </c>
      <c r="C158" s="32" t="inlineStr">
        <is>
          <t>GL</t>
        </is>
      </c>
      <c r="D158" s="19" t="inlineStr">
        <is>
          <t>vé xe</t>
        </is>
      </c>
      <c r="E158" s="500" t="n">
        <v>17037</v>
      </c>
      <c r="F158" s="499" t="n"/>
      <c r="G158" s="32" t="inlineStr">
        <is>
          <t>THAOPTT.HCM.VTA</t>
        </is>
      </c>
      <c r="H158" s="32" t="inlineStr">
        <is>
          <t xml:space="preserve">Post </t>
        </is>
      </c>
      <c r="I158" s="530">
        <f>IF(LEN(A158)=5,E158,0)</f>
        <v/>
      </c>
      <c r="J158" s="531">
        <f>IF(LEFT(A158,11)="Tài khoản: ",MID(A158,12,5),J157)</f>
        <v/>
      </c>
    </row>
    <row r="159">
      <c r="A159" s="30" t="n">
        <v>46295</v>
      </c>
      <c r="B159" s="31" t="inlineStr">
        <is>
          <t>'3173</t>
        </is>
      </c>
      <c r="C159" s="32" t="inlineStr">
        <is>
          <t>GL</t>
        </is>
      </c>
      <c r="D159" s="19" t="inlineStr">
        <is>
          <t>hóa đơn bảo trì  máy lạnh NKCĐ</t>
        </is>
      </c>
      <c r="E159" s="500" t="n">
        <v>877778</v>
      </c>
      <c r="F159" s="499" t="n"/>
      <c r="G159" s="32" t="inlineStr">
        <is>
          <t>THAOPTT.HCM.VTA</t>
        </is>
      </c>
      <c r="H159" s="32" t="inlineStr">
        <is>
          <t xml:space="preserve">Post </t>
        </is>
      </c>
      <c r="I159" s="530">
        <f>IF(LEN(A159)=5,E159,0)</f>
        <v/>
      </c>
      <c r="J159" s="531">
        <f>IF(LEFT(A159,11)="Tài khoản: ",MID(A159,12,5),J158)</f>
        <v/>
      </c>
    </row>
    <row r="160">
      <c r="A160" s="30" t="n">
        <v>46295</v>
      </c>
      <c r="B160" s="31" t="inlineStr">
        <is>
          <t>'3173</t>
        </is>
      </c>
      <c r="C160" s="32" t="inlineStr">
        <is>
          <t>GL</t>
        </is>
      </c>
      <c r="D160" s="19" t="inlineStr">
        <is>
          <t>tiền nước sinh hoạt tháng 09-2026</t>
        </is>
      </c>
      <c r="E160" s="500" t="n">
        <v>26800</v>
      </c>
      <c r="F160" s="499" t="n"/>
      <c r="G160" s="32" t="inlineStr">
        <is>
          <t>THAOPTT.HCM.VTA</t>
        </is>
      </c>
      <c r="H160" s="32" t="inlineStr">
        <is>
          <t xml:space="preserve">Post </t>
        </is>
      </c>
      <c r="I160" s="530">
        <f>IF(LEN(A160)=5,E160,0)</f>
        <v/>
      </c>
      <c r="J160" s="531">
        <f>IF(LEFT(A160,11)="Tài khoản: ",MID(A160,12,5),J159)</f>
        <v/>
      </c>
    </row>
    <row r="161">
      <c r="A161" s="30" t="n">
        <v>46295</v>
      </c>
      <c r="B161" s="31" t="inlineStr">
        <is>
          <t>'3173</t>
        </is>
      </c>
      <c r="C161" s="32" t="inlineStr">
        <is>
          <t>GL</t>
        </is>
      </c>
      <c r="D161" s="19" t="inlineStr">
        <is>
          <t>đặt ăn</t>
        </is>
      </c>
      <c r="E161" s="500" t="n">
        <v>516815</v>
      </c>
      <c r="F161" s="499" t="n"/>
      <c r="G161" s="32" t="inlineStr">
        <is>
          <t>THAOPTT.HCM.VTA</t>
        </is>
      </c>
      <c r="H161" s="32" t="inlineStr">
        <is>
          <t xml:space="preserve">Post </t>
        </is>
      </c>
      <c r="I161" s="530">
        <f>IF(LEN(A161)=5,E161,0)</f>
        <v/>
      </c>
      <c r="J161" s="531">
        <f>IF(LEFT(A161,11)="Tài khoản: ",MID(A161,12,5),J160)</f>
        <v/>
      </c>
    </row>
    <row r="162">
      <c r="A162" s="30" t="n">
        <v>46295</v>
      </c>
      <c r="B162" s="31" t="inlineStr">
        <is>
          <t>'3173</t>
        </is>
      </c>
      <c r="C162" s="32" t="inlineStr">
        <is>
          <t>GL</t>
        </is>
      </c>
      <c r="D162" s="19" t="inlineStr">
        <is>
          <t>đặt ăn</t>
        </is>
      </c>
      <c r="E162" s="500" t="n">
        <v>366400</v>
      </c>
      <c r="F162" s="499" t="n"/>
      <c r="G162" s="32" t="inlineStr">
        <is>
          <t>THAOPTT.HCM.VTA</t>
        </is>
      </c>
      <c r="H162" s="32" t="inlineStr">
        <is>
          <t xml:space="preserve">Post </t>
        </is>
      </c>
      <c r="I162" s="530">
        <f>IF(LEN(A162)=5,E162,0)</f>
        <v/>
      </c>
      <c r="J162" s="531">
        <f>IF(LEFT(A162,11)="Tài khoản: ",MID(A162,12,5),J161)</f>
        <v/>
      </c>
    </row>
    <row r="163">
      <c r="A163" s="30" t="n">
        <v>46295</v>
      </c>
      <c r="B163" s="31" t="inlineStr">
        <is>
          <t>'3173</t>
        </is>
      </c>
      <c r="C163" s="32" t="inlineStr">
        <is>
          <t>GL</t>
        </is>
      </c>
      <c r="D163" s="19" t="inlineStr">
        <is>
          <t>hóa đơn hiệu chuẩn công tơ</t>
        </is>
      </c>
      <c r="E163" s="500" t="n">
        <v>1162500</v>
      </c>
      <c r="F163" s="499" t="n"/>
      <c r="G163" s="32" t="inlineStr">
        <is>
          <t>THAOPTT.HCM.VTA</t>
        </is>
      </c>
      <c r="H163" s="32" t="inlineStr">
        <is>
          <t xml:space="preserve">Post </t>
        </is>
      </c>
      <c r="I163" s="530">
        <f>IF(LEN(A163)=5,E163,0)</f>
        <v/>
      </c>
      <c r="J163" s="531">
        <f>IF(LEFT(A163,11)="Tài khoản: ",MID(A163,12,5),J162)</f>
        <v/>
      </c>
    </row>
    <row r="164">
      <c r="A164" s="30" t="n">
        <v>46295</v>
      </c>
      <c r="B164" s="31" t="inlineStr">
        <is>
          <t>'3173</t>
        </is>
      </c>
      <c r="C164" s="32" t="inlineStr">
        <is>
          <t>GL</t>
        </is>
      </c>
      <c r="D164" s="19" t="inlineStr">
        <is>
          <t>nhớt T08-2026_VPCT</t>
        </is>
      </c>
      <c r="E164" s="500" t="n">
        <v>162556</v>
      </c>
      <c r="F164" s="499" t="n"/>
      <c r="G164" s="32" t="inlineStr">
        <is>
          <t>THAOPTT.HCM.VTA</t>
        </is>
      </c>
      <c r="H164" s="32" t="inlineStr">
        <is>
          <t xml:space="preserve">Post </t>
        </is>
      </c>
      <c r="I164" s="530">
        <f>IF(LEN(A164)=5,E164,0)</f>
        <v/>
      </c>
      <c r="J164" s="531">
        <f>IF(LEFT(A164,11)="Tài khoản: ",MID(A164,12,5),J163)</f>
        <v/>
      </c>
    </row>
    <row r="165">
      <c r="A165" s="30" t="n">
        <v>46295</v>
      </c>
      <c r="B165" s="31" t="inlineStr">
        <is>
          <t>'3173</t>
        </is>
      </c>
      <c r="C165" s="32" t="inlineStr">
        <is>
          <t>GL</t>
        </is>
      </c>
      <c r="D165" s="19" t="inlineStr">
        <is>
          <t>đặt ăn</t>
        </is>
      </c>
      <c r="E165" s="500" t="n">
        <v>733259</v>
      </c>
      <c r="F165" s="499" t="n"/>
      <c r="G165" s="32" t="inlineStr">
        <is>
          <t>THAOPTT.HCM.VTA</t>
        </is>
      </c>
      <c r="H165" s="32" t="inlineStr">
        <is>
          <t xml:space="preserve">Post </t>
        </is>
      </c>
      <c r="I165" s="530">
        <f>IF(LEN(A165)=5,E165,0)</f>
        <v/>
      </c>
      <c r="J165" s="531">
        <f>IF(LEFT(A165,11)="Tài khoản: ",MID(A165,12,5),J164)</f>
        <v/>
      </c>
    </row>
    <row r="166">
      <c r="A166" s="30" t="n">
        <v>46295</v>
      </c>
      <c r="B166" s="31" t="inlineStr">
        <is>
          <t>'3173</t>
        </is>
      </c>
      <c r="C166" s="32" t="inlineStr">
        <is>
          <t>GL</t>
        </is>
      </c>
      <c r="D166" s="19" t="inlineStr">
        <is>
          <t>đặt ăn</t>
        </is>
      </c>
      <c r="E166" s="500" t="n">
        <v>708135</v>
      </c>
      <c r="F166" s="499" t="n"/>
      <c r="G166" s="32" t="inlineStr">
        <is>
          <t>THAOPTT.HCM.VTA</t>
        </is>
      </c>
      <c r="H166" s="32" t="inlineStr">
        <is>
          <t xml:space="preserve">Post </t>
        </is>
      </c>
      <c r="I166" s="530">
        <f>IF(LEN(A166)=5,E166,0)</f>
        <v/>
      </c>
      <c r="J166" s="531">
        <f>IF(LEFT(A166,11)="Tài khoản: ",MID(A166,12,5),J165)</f>
        <v/>
      </c>
    </row>
    <row r="167">
      <c r="A167" s="30" t="n">
        <v>46295</v>
      </c>
      <c r="B167" s="31" t="inlineStr">
        <is>
          <t>'3173</t>
        </is>
      </c>
      <c r="C167" s="32" t="inlineStr">
        <is>
          <t>GL</t>
        </is>
      </c>
      <c r="D167" s="19" t="inlineStr">
        <is>
          <t>đặt ăn</t>
        </is>
      </c>
      <c r="E167" s="500" t="n">
        <v>11200</v>
      </c>
      <c r="F167" s="499" t="n"/>
      <c r="G167" s="32" t="inlineStr">
        <is>
          <t>THAOPTT.HCM.VTA</t>
        </is>
      </c>
      <c r="H167" s="32" t="inlineStr">
        <is>
          <t xml:space="preserve">Post </t>
        </is>
      </c>
      <c r="I167" s="530">
        <f>IF(LEN(A167)=5,E167,0)</f>
        <v/>
      </c>
      <c r="J167" s="531">
        <f>IF(LEFT(A167,11)="Tài khoản: ",MID(A167,12,5),J166)</f>
        <v/>
      </c>
    </row>
    <row r="168">
      <c r="A168" s="30" t="n">
        <v>46295</v>
      </c>
      <c r="B168" s="31" t="inlineStr">
        <is>
          <t>'3173</t>
        </is>
      </c>
      <c r="C168" s="32" t="inlineStr">
        <is>
          <t>GL</t>
        </is>
      </c>
      <c r="D168" s="19" t="inlineStr">
        <is>
          <t>thuê kho bãi bảo quản VTTB</t>
        </is>
      </c>
      <c r="E168" s="500" t="n">
        <v>2400000</v>
      </c>
      <c r="F168" s="499" t="n"/>
      <c r="G168" s="32" t="inlineStr">
        <is>
          <t>THAOPTT.HCM.VTA</t>
        </is>
      </c>
      <c r="H168" s="32" t="inlineStr">
        <is>
          <t xml:space="preserve">Post </t>
        </is>
      </c>
      <c r="I168" s="530">
        <f>IF(LEN(A168)=5,E168,0)</f>
        <v/>
      </c>
      <c r="J168" s="531">
        <f>IF(LEFT(A168,11)="Tài khoản: ",MID(A168,12,5),J167)</f>
        <v/>
      </c>
    </row>
    <row r="169">
      <c r="A169" s="30" t="n">
        <v>46295</v>
      </c>
      <c r="B169" s="31" t="inlineStr">
        <is>
          <t>'3173</t>
        </is>
      </c>
      <c r="C169" s="32" t="inlineStr">
        <is>
          <t>GL</t>
        </is>
      </c>
      <c r="D169" s="19" t="inlineStr">
        <is>
          <t>thuê kho bãi bảo quản VTTB</t>
        </is>
      </c>
      <c r="E169" s="500" t="n">
        <v>560000</v>
      </c>
      <c r="F169" s="499" t="n"/>
      <c r="G169" s="32" t="inlineStr">
        <is>
          <t>THAOPTT.HCM.VTA</t>
        </is>
      </c>
      <c r="H169" s="32" t="inlineStr">
        <is>
          <t xml:space="preserve">Post </t>
        </is>
      </c>
      <c r="I169" s="530">
        <f>IF(LEN(A169)=5,E169,0)</f>
        <v/>
      </c>
      <c r="J169" s="531">
        <f>IF(LEFT(A169,11)="Tài khoản: ",MID(A169,12,5),J168)</f>
        <v/>
      </c>
    </row>
    <row r="170">
      <c r="A170" s="30" t="n">
        <v>46295</v>
      </c>
      <c r="B170" s="31" t="inlineStr">
        <is>
          <t>'3173</t>
        </is>
      </c>
      <c r="C170" s="32" t="inlineStr">
        <is>
          <t>GL</t>
        </is>
      </c>
      <c r="D170" s="19" t="inlineStr">
        <is>
          <t>đặt ăn</t>
        </is>
      </c>
      <c r="E170" s="500" t="n">
        <v>682222</v>
      </c>
      <c r="F170" s="499" t="n"/>
      <c r="G170" s="32" t="inlineStr">
        <is>
          <t>THAOPTT.HCM.VTA</t>
        </is>
      </c>
      <c r="H170" s="32" t="inlineStr">
        <is>
          <t xml:space="preserve">Post </t>
        </is>
      </c>
      <c r="I170" s="530">
        <f>IF(LEN(A170)=5,E170,0)</f>
        <v/>
      </c>
      <c r="J170" s="531">
        <f>IF(LEFT(A170,11)="Tài khoản: ",MID(A170,12,5),J169)</f>
        <v/>
      </c>
    </row>
    <row r="171">
      <c r="A171" s="30" t="n">
        <v>46295</v>
      </c>
      <c r="B171" s="31" t="inlineStr">
        <is>
          <t>'3173</t>
        </is>
      </c>
      <c r="C171" s="32" t="inlineStr">
        <is>
          <t>GL</t>
        </is>
      </c>
      <c r="D171" s="19" t="inlineStr">
        <is>
          <t>vé máy bay</t>
        </is>
      </c>
      <c r="E171" s="500" t="n">
        <v>185185</v>
      </c>
      <c r="F171" s="499" t="n"/>
      <c r="G171" s="32" t="inlineStr">
        <is>
          <t>THAOPTT.HCM.VTA</t>
        </is>
      </c>
      <c r="H171" s="32" t="inlineStr">
        <is>
          <t xml:space="preserve">Post </t>
        </is>
      </c>
      <c r="I171" s="530">
        <f>IF(LEN(A171)=5,E171,0)</f>
        <v/>
      </c>
      <c r="J171" s="531">
        <f>IF(LEFT(A171,11)="Tài khoản: ",MID(A171,12,5),J170)</f>
        <v/>
      </c>
    </row>
    <row r="172">
      <c r="A172" s="30" t="n">
        <v>46295</v>
      </c>
      <c r="B172" s="31" t="inlineStr">
        <is>
          <t>'3173</t>
        </is>
      </c>
      <c r="C172" s="32" t="inlineStr">
        <is>
          <t>GL</t>
        </is>
      </c>
      <c r="D172" s="19" t="inlineStr">
        <is>
          <t>vé máy bay</t>
        </is>
      </c>
      <c r="E172" s="500" t="n">
        <v>968664</v>
      </c>
      <c r="F172" s="499" t="n"/>
      <c r="G172" s="32" t="inlineStr">
        <is>
          <t>THAOPTT.HCM.VTA</t>
        </is>
      </c>
      <c r="H172" s="32" t="inlineStr">
        <is>
          <t xml:space="preserve">Post </t>
        </is>
      </c>
      <c r="I172" s="530">
        <f>IF(LEN(A172)=5,E172,0)</f>
        <v/>
      </c>
      <c r="J172" s="531">
        <f>IF(LEFT(A172,11)="Tài khoản: ",MID(A172,12,5),J171)</f>
        <v/>
      </c>
    </row>
    <row r="173">
      <c r="A173" s="30" t="n">
        <v>46295</v>
      </c>
      <c r="B173" s="31" t="inlineStr">
        <is>
          <t>'3173</t>
        </is>
      </c>
      <c r="C173" s="32" t="inlineStr">
        <is>
          <t>GL</t>
        </is>
      </c>
      <c r="D173" s="19" t="inlineStr">
        <is>
          <t>hóa đơn nước uống</t>
        </is>
      </c>
      <c r="E173" s="500" t="n">
        <v>16800</v>
      </c>
      <c r="F173" s="499" t="n"/>
      <c r="G173" s="32" t="inlineStr">
        <is>
          <t>THAOPTT.HCM.VTA</t>
        </is>
      </c>
      <c r="H173" s="32" t="inlineStr">
        <is>
          <t xml:space="preserve">Post </t>
        </is>
      </c>
      <c r="I173" s="530">
        <f>IF(LEN(A173)=5,E173,0)</f>
        <v/>
      </c>
      <c r="J173" s="531">
        <f>IF(LEFT(A173,11)="Tài khoản: ",MID(A173,12,5),J172)</f>
        <v/>
      </c>
    </row>
    <row r="174">
      <c r="A174" s="30" t="n">
        <v>46295</v>
      </c>
      <c r="B174" s="31" t="inlineStr">
        <is>
          <t>'3173</t>
        </is>
      </c>
      <c r="C174" s="32" t="inlineStr">
        <is>
          <t>GL</t>
        </is>
      </c>
      <c r="D174" s="19" t="inlineStr">
        <is>
          <t>hóa đơn nước uống</t>
        </is>
      </c>
      <c r="E174" s="500" t="n">
        <v>14400</v>
      </c>
      <c r="F174" s="499" t="n"/>
      <c r="G174" s="32" t="inlineStr">
        <is>
          <t>THAOPTT.HCM.VTA</t>
        </is>
      </c>
      <c r="H174" s="32" t="inlineStr">
        <is>
          <t xml:space="preserve">Post </t>
        </is>
      </c>
      <c r="I174" s="530">
        <f>IF(LEN(A174)=5,E174,0)</f>
        <v/>
      </c>
      <c r="J174" s="531">
        <f>IF(LEFT(A174,11)="Tài khoản: ",MID(A174,12,5),J173)</f>
        <v/>
      </c>
    </row>
    <row r="175">
      <c r="A175" s="30" t="n">
        <v>46295</v>
      </c>
      <c r="B175" s="31" t="inlineStr">
        <is>
          <t>'3173</t>
        </is>
      </c>
      <c r="C175" s="32" t="inlineStr">
        <is>
          <t>GL</t>
        </is>
      </c>
      <c r="D175" s="19" t="inlineStr">
        <is>
          <t>hóa đơn nước uống</t>
        </is>
      </c>
      <c r="E175" s="500" t="n">
        <v>14400</v>
      </c>
      <c r="F175" s="499" t="n"/>
      <c r="G175" s="32" t="inlineStr">
        <is>
          <t>THAOPTT.HCM.VTA</t>
        </is>
      </c>
      <c r="H175" s="32" t="inlineStr">
        <is>
          <t xml:space="preserve">Post </t>
        </is>
      </c>
      <c r="I175" s="530">
        <f>IF(LEN(A175)=5,E175,0)</f>
        <v/>
      </c>
      <c r="J175" s="531">
        <f>IF(LEFT(A175,11)="Tài khoản: ",MID(A175,12,5),J174)</f>
        <v/>
      </c>
    </row>
    <row r="176">
      <c r="A176" s="30" t="n">
        <v>46295</v>
      </c>
      <c r="B176" s="31" t="inlineStr">
        <is>
          <t>'3173</t>
        </is>
      </c>
      <c r="C176" s="32" t="inlineStr">
        <is>
          <t>GL</t>
        </is>
      </c>
      <c r="D176" s="19" t="inlineStr">
        <is>
          <t>thuê máy photo T09-26</t>
        </is>
      </c>
      <c r="E176" s="500" t="n">
        <v>372844</v>
      </c>
      <c r="F176" s="499" t="n"/>
      <c r="G176" s="32" t="inlineStr">
        <is>
          <t>THAOPTT.HCM.VTA</t>
        </is>
      </c>
      <c r="H176" s="32" t="inlineStr">
        <is>
          <t xml:space="preserve">Post </t>
        </is>
      </c>
      <c r="I176" s="530">
        <f>IF(LEN(A176)=5,E176,0)</f>
        <v/>
      </c>
      <c r="J176" s="531">
        <f>IF(LEFT(A176,11)="Tài khoản: ",MID(A176,12,5),J175)</f>
        <v/>
      </c>
    </row>
    <row r="177">
      <c r="A177" s="30" t="n">
        <v>46295</v>
      </c>
      <c r="B177" s="31" t="inlineStr">
        <is>
          <t>'3173</t>
        </is>
      </c>
      <c r="C177" s="32" t="inlineStr">
        <is>
          <t>GL</t>
        </is>
      </c>
      <c r="D177" s="19" t="inlineStr">
        <is>
          <t>thuê máy photo T09-26</t>
        </is>
      </c>
      <c r="E177" s="500" t="n">
        <v>370370</v>
      </c>
      <c r="F177" s="499" t="n"/>
      <c r="G177" s="32" t="inlineStr">
        <is>
          <t>THAOPTT.HCM.VTA</t>
        </is>
      </c>
      <c r="H177" s="32" t="inlineStr">
        <is>
          <t xml:space="preserve">Post </t>
        </is>
      </c>
      <c r="I177" s="530">
        <f>IF(LEN(A177)=5,E177,0)</f>
        <v/>
      </c>
      <c r="J177" s="531">
        <f>IF(LEFT(A177,11)="Tài khoản: ",MID(A177,12,5),J176)</f>
        <v/>
      </c>
    </row>
    <row r="178">
      <c r="A178" s="30" t="n">
        <v>46295</v>
      </c>
      <c r="B178" s="31" t="inlineStr">
        <is>
          <t>'3173</t>
        </is>
      </c>
      <c r="C178" s="32" t="inlineStr">
        <is>
          <t>GL</t>
        </is>
      </c>
      <c r="D178" s="19" t="inlineStr">
        <is>
          <t>thuê máy photo T09-26</t>
        </is>
      </c>
      <c r="E178" s="500" t="n">
        <v>435979</v>
      </c>
      <c r="F178" s="499" t="n"/>
      <c r="G178" s="32" t="inlineStr">
        <is>
          <t>THAOPTT.HCM.VTA</t>
        </is>
      </c>
      <c r="H178" s="32" t="inlineStr">
        <is>
          <t xml:space="preserve">Post </t>
        </is>
      </c>
      <c r="I178" s="530">
        <f>IF(LEN(A178)=5,E178,0)</f>
        <v/>
      </c>
      <c r="J178" s="531">
        <f>IF(LEFT(A178,11)="Tài khoản: ",MID(A178,12,5),J177)</f>
        <v/>
      </c>
    </row>
    <row r="179">
      <c r="A179" s="30" t="n">
        <v>46295</v>
      </c>
      <c r="B179" s="31" t="inlineStr">
        <is>
          <t>'3173</t>
        </is>
      </c>
      <c r="C179" s="32" t="inlineStr">
        <is>
          <t>GL</t>
        </is>
      </c>
      <c r="D179" s="19" t="inlineStr">
        <is>
          <t>thuê máy photo T09-26</t>
        </is>
      </c>
      <c r="E179" s="500" t="n">
        <v>435031</v>
      </c>
      <c r="F179" s="499" t="n"/>
      <c r="G179" s="32" t="inlineStr">
        <is>
          <t>THAOPTT.HCM.VTA</t>
        </is>
      </c>
      <c r="H179" s="32" t="inlineStr">
        <is>
          <t xml:space="preserve">Post </t>
        </is>
      </c>
      <c r="I179" s="530">
        <f>IF(LEN(A179)=5,E179,0)</f>
        <v/>
      </c>
      <c r="J179" s="531">
        <f>IF(LEFT(A179,11)="Tài khoản: ",MID(A179,12,5),J178)</f>
        <v/>
      </c>
    </row>
    <row r="180">
      <c r="A180" s="30" t="n">
        <v>46295</v>
      </c>
      <c r="B180" s="31" t="inlineStr">
        <is>
          <t>'3173</t>
        </is>
      </c>
      <c r="C180" s="32" t="inlineStr">
        <is>
          <t>GL</t>
        </is>
      </c>
      <c r="D180" s="19" t="inlineStr">
        <is>
          <t>thuê máy photo T09-26</t>
        </is>
      </c>
      <c r="E180" s="500" t="n">
        <v>376139</v>
      </c>
      <c r="F180" s="499" t="n"/>
      <c r="G180" s="32" t="inlineStr">
        <is>
          <t>THAOPTT.HCM.VTA</t>
        </is>
      </c>
      <c r="H180" s="32" t="inlineStr">
        <is>
          <t xml:space="preserve">Post </t>
        </is>
      </c>
      <c r="I180" s="530">
        <f>IF(LEN(A180)=5,E180,0)</f>
        <v/>
      </c>
      <c r="J180" s="531">
        <f>IF(LEFT(A180,11)="Tài khoản: ",MID(A180,12,5),J179)</f>
        <v/>
      </c>
    </row>
    <row r="181">
      <c r="A181" s="30" t="n">
        <v>46295</v>
      </c>
      <c r="B181" s="31" t="inlineStr">
        <is>
          <t>'3173</t>
        </is>
      </c>
      <c r="C181" s="32" t="inlineStr">
        <is>
          <t>GL</t>
        </is>
      </c>
      <c r="D181" s="19" t="inlineStr">
        <is>
          <t>hóa đơn chuyển phát nhanh</t>
        </is>
      </c>
      <c r="E181" s="500" t="n">
        <v>280048</v>
      </c>
      <c r="F181" s="499" t="n"/>
      <c r="G181" s="32" t="inlineStr">
        <is>
          <t>THAOPTT.HCM.VTA</t>
        </is>
      </c>
      <c r="H181" s="32" t="inlineStr">
        <is>
          <t xml:space="preserve">Post </t>
        </is>
      </c>
      <c r="I181" s="530">
        <f>IF(LEN(A181)=5,E181,0)</f>
        <v/>
      </c>
      <c r="J181" s="531">
        <f>IF(LEFT(A181,11)="Tài khoản: ",MID(A181,12,5),J180)</f>
        <v/>
      </c>
    </row>
    <row r="182">
      <c r="A182" s="30" t="n">
        <v>46295</v>
      </c>
      <c r="B182" s="31" t="inlineStr">
        <is>
          <t>'3173</t>
        </is>
      </c>
      <c r="C182" s="32" t="inlineStr">
        <is>
          <t>GL</t>
        </is>
      </c>
      <c r="D182" s="19" t="inlineStr">
        <is>
          <t>vé máy bay</t>
        </is>
      </c>
      <c r="E182" s="500" t="n">
        <v>132333</v>
      </c>
      <c r="F182" s="499" t="n"/>
      <c r="G182" s="32" t="inlineStr">
        <is>
          <t>THAOPTT.HCM.VTA</t>
        </is>
      </c>
      <c r="H182" s="32" t="inlineStr">
        <is>
          <t xml:space="preserve">Post </t>
        </is>
      </c>
      <c r="I182" s="530">
        <f>IF(LEN(A182)=5,E182,0)</f>
        <v/>
      </c>
      <c r="J182" s="531">
        <f>IF(LEFT(A182,11)="Tài khoản: ",MID(A182,12,5),J181)</f>
        <v/>
      </c>
    </row>
    <row r="183">
      <c r="A183" s="30" t="n">
        <v>46295</v>
      </c>
      <c r="B183" s="31" t="inlineStr">
        <is>
          <t>'3173</t>
        </is>
      </c>
      <c r="C183" s="32" t="inlineStr">
        <is>
          <t>GL</t>
        </is>
      </c>
      <c r="D183" s="19" t="inlineStr">
        <is>
          <t>đặt ăn</t>
        </is>
      </c>
      <c r="E183" s="500" t="n">
        <v>269412</v>
      </c>
      <c r="F183" s="499" t="n"/>
      <c r="G183" s="32" t="inlineStr">
        <is>
          <t>THAOPTT.HCM.VTA</t>
        </is>
      </c>
      <c r="H183" s="32" t="inlineStr">
        <is>
          <t xml:space="preserve">Post </t>
        </is>
      </c>
      <c r="I183" s="530">
        <f>IF(LEN(A183)=5,E183,0)</f>
        <v/>
      </c>
      <c r="J183" s="531">
        <f>IF(LEFT(A183,11)="Tài khoản: ",MID(A183,12,5),J182)</f>
        <v/>
      </c>
    </row>
    <row r="184">
      <c r="A184" s="30" t="n">
        <v>46295</v>
      </c>
      <c r="B184" s="31" t="inlineStr">
        <is>
          <t>'3173</t>
        </is>
      </c>
      <c r="C184" s="32" t="inlineStr">
        <is>
          <t>GL</t>
        </is>
      </c>
      <c r="D184" s="19" t="inlineStr">
        <is>
          <t>đặt ăn</t>
        </is>
      </c>
      <c r="E184" s="500" t="n">
        <v>1600</v>
      </c>
      <c r="F184" s="499" t="n"/>
      <c r="G184" s="32" t="inlineStr">
        <is>
          <t>THAOPTT.HCM.VTA</t>
        </is>
      </c>
      <c r="H184" s="32" t="inlineStr">
        <is>
          <t xml:space="preserve">Post </t>
        </is>
      </c>
      <c r="I184" s="530">
        <f>IF(LEN(A184)=5,E184,0)</f>
        <v/>
      </c>
      <c r="J184" s="531">
        <f>IF(LEFT(A184,11)="Tài khoản: ",MID(A184,12,5),J183)</f>
        <v/>
      </c>
    </row>
    <row r="185">
      <c r="A185" s="30" t="n">
        <v>46295</v>
      </c>
      <c r="B185" s="31" t="inlineStr">
        <is>
          <t>'3173</t>
        </is>
      </c>
      <c r="C185" s="32" t="inlineStr">
        <is>
          <t>GL</t>
        </is>
      </c>
      <c r="D185" s="19" t="inlineStr">
        <is>
          <t>hóa đơn ăn uống</t>
        </is>
      </c>
      <c r="E185" s="500" t="n">
        <v>681605</v>
      </c>
      <c r="F185" s="499" t="n"/>
      <c r="G185" s="32" t="inlineStr">
        <is>
          <t>THAOPTT.HCM.VTA</t>
        </is>
      </c>
      <c r="H185" s="32" t="inlineStr">
        <is>
          <t xml:space="preserve">Post </t>
        </is>
      </c>
      <c r="I185" s="530">
        <f>IF(LEN(A185)=5,E185,0)</f>
        <v/>
      </c>
      <c r="J185" s="531">
        <f>IF(LEFT(A185,11)="Tài khoản: ",MID(A185,12,5),J184)</f>
        <v/>
      </c>
    </row>
    <row r="186">
      <c r="A186" s="30" t="n">
        <v>46295</v>
      </c>
      <c r="B186" s="31" t="inlineStr">
        <is>
          <t>'3173</t>
        </is>
      </c>
      <c r="C186" s="32" t="inlineStr">
        <is>
          <t>GL</t>
        </is>
      </c>
      <c r="D186" s="19" t="inlineStr">
        <is>
          <t>hóa đơn ăn uống</t>
        </is>
      </c>
      <c r="E186" s="500" t="n">
        <v>311529</v>
      </c>
      <c r="F186" s="499" t="n"/>
      <c r="G186" s="32" t="inlineStr">
        <is>
          <t>THAOPTT.HCM.VTA</t>
        </is>
      </c>
      <c r="H186" s="32" t="inlineStr">
        <is>
          <t xml:space="preserve">Post </t>
        </is>
      </c>
      <c r="I186" s="530">
        <f>IF(LEN(A186)=5,E186,0)</f>
        <v/>
      </c>
      <c r="J186" s="531">
        <f>IF(LEFT(A186,11)="Tài khoản: ",MID(A186,12,5),J185)</f>
        <v/>
      </c>
    </row>
    <row r="187">
      <c r="A187" s="30" t="n">
        <v>46295</v>
      </c>
      <c r="B187" s="31" t="inlineStr">
        <is>
          <t>'3173</t>
        </is>
      </c>
      <c r="C187" s="32" t="inlineStr">
        <is>
          <t>GL</t>
        </is>
      </c>
      <c r="D187" s="19" t="inlineStr">
        <is>
          <t>hóa đơn ăn uống</t>
        </is>
      </c>
      <c r="E187" s="500" t="n">
        <v>4800</v>
      </c>
      <c r="F187" s="499" t="n"/>
      <c r="G187" s="32" t="inlineStr">
        <is>
          <t>THAOPTT.HCM.VTA</t>
        </is>
      </c>
      <c r="H187" s="32" t="inlineStr">
        <is>
          <t xml:space="preserve">Post </t>
        </is>
      </c>
      <c r="I187" s="530">
        <f>IF(LEN(A187)=5,E187,0)</f>
        <v/>
      </c>
      <c r="J187" s="531">
        <f>IF(LEFT(A187,11)="Tài khoản: ",MID(A187,12,5),J186)</f>
        <v/>
      </c>
    </row>
    <row r="188">
      <c r="A188" s="30" t="n">
        <v>46295</v>
      </c>
      <c r="B188" s="31" t="inlineStr">
        <is>
          <t>'3173</t>
        </is>
      </c>
      <c r="C188" s="32" t="inlineStr">
        <is>
          <t>GL</t>
        </is>
      </c>
      <c r="D188" s="19" t="inlineStr">
        <is>
          <t>hóa đơn ăn uống</t>
        </is>
      </c>
      <c r="E188" s="500" t="n">
        <v>481630</v>
      </c>
      <c r="F188" s="499" t="n"/>
      <c r="G188" s="32" t="inlineStr">
        <is>
          <t>THAOPTT.HCM.VTA</t>
        </is>
      </c>
      <c r="H188" s="32" t="inlineStr">
        <is>
          <t xml:space="preserve">Post </t>
        </is>
      </c>
      <c r="I188" s="530">
        <f>IF(LEN(A188)=5,E188,0)</f>
        <v/>
      </c>
      <c r="J188" s="531">
        <f>IF(LEFT(A188,11)="Tài khoản: ",MID(A188,12,5),J187)</f>
        <v/>
      </c>
    </row>
    <row r="189">
      <c r="A189" s="30" t="n">
        <v>46295</v>
      </c>
      <c r="B189" s="31" t="inlineStr">
        <is>
          <t>'3173</t>
        </is>
      </c>
      <c r="C189" s="32" t="inlineStr">
        <is>
          <t>GL</t>
        </is>
      </c>
      <c r="D189" s="19" t="inlineStr">
        <is>
          <t>hóa đơn tea break</t>
        </is>
      </c>
      <c r="E189" s="500" t="n">
        <v>20000</v>
      </c>
      <c r="F189" s="499" t="n"/>
      <c r="G189" s="32" t="inlineStr">
        <is>
          <t>THAOPTT.HCM.VTA</t>
        </is>
      </c>
      <c r="H189" s="32" t="inlineStr">
        <is>
          <t xml:space="preserve">Post </t>
        </is>
      </c>
      <c r="I189" s="530">
        <f>IF(LEN(A189)=5,E189,0)</f>
        <v/>
      </c>
      <c r="J189" s="531">
        <f>IF(LEFT(A189,11)="Tài khoản: ",MID(A189,12,5),J188)</f>
        <v/>
      </c>
    </row>
    <row r="190">
      <c r="A190" s="30" t="n">
        <v>46295</v>
      </c>
      <c r="B190" s="31" t="inlineStr">
        <is>
          <t>'3173</t>
        </is>
      </c>
      <c r="C190" s="32" t="inlineStr">
        <is>
          <t>GL</t>
        </is>
      </c>
      <c r="D190" s="19" t="inlineStr">
        <is>
          <t>hóa đơn tea break</t>
        </is>
      </c>
      <c r="E190" s="500" t="n">
        <v>37800</v>
      </c>
      <c r="F190" s="499" t="n"/>
      <c r="G190" s="32" t="inlineStr">
        <is>
          <t>THAOPTT.HCM.VTA</t>
        </is>
      </c>
      <c r="H190" s="32" t="inlineStr">
        <is>
          <t xml:space="preserve">Post </t>
        </is>
      </c>
      <c r="I190" s="530">
        <f>IF(LEN(A190)=5,E190,0)</f>
        <v/>
      </c>
      <c r="J190" s="531">
        <f>IF(LEFT(A190,11)="Tài khoản: ",MID(A190,12,5),J189)</f>
        <v/>
      </c>
    </row>
    <row r="191">
      <c r="A191" s="30" t="n">
        <v>46295</v>
      </c>
      <c r="B191" s="31" t="inlineStr">
        <is>
          <t>'3173</t>
        </is>
      </c>
      <c r="C191" s="32" t="inlineStr">
        <is>
          <t>GL</t>
        </is>
      </c>
      <c r="D191" s="19" t="inlineStr">
        <is>
          <t>hóa đơn tea break</t>
        </is>
      </c>
      <c r="E191" s="500" t="n">
        <v>10240</v>
      </c>
      <c r="F191" s="499" t="n"/>
      <c r="G191" s="32" t="inlineStr">
        <is>
          <t>THAOPTT.HCM.VTA</t>
        </is>
      </c>
      <c r="H191" s="32" t="inlineStr">
        <is>
          <t xml:space="preserve">Post </t>
        </is>
      </c>
      <c r="I191" s="530">
        <f>IF(LEN(A191)=5,E191,0)</f>
        <v/>
      </c>
      <c r="J191" s="531">
        <f>IF(LEFT(A191,11)="Tài khoản: ",MID(A191,12,5),J190)</f>
        <v/>
      </c>
    </row>
    <row r="192">
      <c r="A192" s="30" t="n">
        <v>46295</v>
      </c>
      <c r="B192" s="31" t="inlineStr">
        <is>
          <t>'3173</t>
        </is>
      </c>
      <c r="C192" s="32" t="inlineStr">
        <is>
          <t>GL</t>
        </is>
      </c>
      <c r="D192" s="19" t="inlineStr">
        <is>
          <t>hóa đơn tea break</t>
        </is>
      </c>
      <c r="E192" s="500" t="n">
        <v>3200</v>
      </c>
      <c r="F192" s="499" t="n"/>
      <c r="G192" s="32" t="inlineStr">
        <is>
          <t>THAOPTT.HCM.VTA</t>
        </is>
      </c>
      <c r="H192" s="32" t="inlineStr">
        <is>
          <t xml:space="preserve">Post </t>
        </is>
      </c>
      <c r="I192" s="530">
        <f>IF(LEN(A192)=5,E192,0)</f>
        <v/>
      </c>
      <c r="J192" s="531">
        <f>IF(LEFT(A192,11)="Tài khoản: ",MID(A192,12,5),J191)</f>
        <v/>
      </c>
    </row>
    <row r="193">
      <c r="A193" s="30" t="n">
        <v>46295</v>
      </c>
      <c r="B193" s="31" t="inlineStr">
        <is>
          <t>'3173</t>
        </is>
      </c>
      <c r="C193" s="32" t="inlineStr">
        <is>
          <t>GL</t>
        </is>
      </c>
      <c r="D193" s="19" t="inlineStr">
        <is>
          <t>hóa đơn tea break</t>
        </is>
      </c>
      <c r="E193" s="500" t="n">
        <v>24815</v>
      </c>
      <c r="F193" s="499" t="n"/>
      <c r="G193" s="32" t="inlineStr">
        <is>
          <t>THAOPTT.HCM.VTA</t>
        </is>
      </c>
      <c r="H193" s="32" t="inlineStr">
        <is>
          <t xml:space="preserve">Post </t>
        </is>
      </c>
      <c r="I193" s="530">
        <f>IF(LEN(A193)=5,E193,0)</f>
        <v/>
      </c>
      <c r="J193" s="531">
        <f>IF(LEFT(A193,11)="Tài khoản: ",MID(A193,12,5),J192)</f>
        <v/>
      </c>
    </row>
    <row r="194">
      <c r="A194" s="30" t="n">
        <v>46295</v>
      </c>
      <c r="B194" s="31" t="inlineStr">
        <is>
          <t>'3173</t>
        </is>
      </c>
      <c r="C194" s="32" t="inlineStr">
        <is>
          <t>GL</t>
        </is>
      </c>
      <c r="D194" s="19" t="inlineStr">
        <is>
          <t>hóa đơn tea break</t>
        </is>
      </c>
      <c r="E194" s="500" t="n">
        <v>14519</v>
      </c>
      <c r="F194" s="499" t="n"/>
      <c r="G194" s="32" t="inlineStr">
        <is>
          <t>THAOPTT.HCM.VTA</t>
        </is>
      </c>
      <c r="H194" s="32" t="inlineStr">
        <is>
          <t xml:space="preserve">Post </t>
        </is>
      </c>
      <c r="I194" s="530">
        <f>IF(LEN(A194)=5,E194,0)</f>
        <v/>
      </c>
      <c r="J194" s="531">
        <f>IF(LEFT(A194,11)="Tài khoản: ",MID(A194,12,5),J193)</f>
        <v/>
      </c>
    </row>
    <row r="195">
      <c r="A195" s="30" t="n">
        <v>46295</v>
      </c>
      <c r="B195" s="31" t="inlineStr">
        <is>
          <t>'3173</t>
        </is>
      </c>
      <c r="C195" s="32" t="inlineStr">
        <is>
          <t>GL</t>
        </is>
      </c>
      <c r="D195" s="19" t="inlineStr">
        <is>
          <t>hóa đơn tea break</t>
        </is>
      </c>
      <c r="E195" s="500" t="n">
        <v>46222</v>
      </c>
      <c r="F195" s="499" t="n"/>
      <c r="G195" s="32" t="inlineStr">
        <is>
          <t>THAOPTT.HCM.VTA</t>
        </is>
      </c>
      <c r="H195" s="32" t="inlineStr">
        <is>
          <t xml:space="preserve">Post </t>
        </is>
      </c>
      <c r="I195" s="530">
        <f>IF(LEN(A195)=5,E195,0)</f>
        <v/>
      </c>
      <c r="J195" s="531">
        <f>IF(LEFT(A195,11)="Tài khoản: ",MID(A195,12,5),J194)</f>
        <v/>
      </c>
    </row>
    <row r="196">
      <c r="A196" s="30" t="n">
        <v>46295</v>
      </c>
      <c r="B196" s="31" t="inlineStr">
        <is>
          <t>'3173</t>
        </is>
      </c>
      <c r="C196" s="32" t="inlineStr">
        <is>
          <t>GL</t>
        </is>
      </c>
      <c r="D196" s="19" t="inlineStr">
        <is>
          <t>hóa đơn tea break</t>
        </is>
      </c>
      <c r="E196" s="500" t="n">
        <v>20000</v>
      </c>
      <c r="F196" s="499" t="n"/>
      <c r="G196" s="32" t="inlineStr">
        <is>
          <t>THAOPTT.HCM.VTA</t>
        </is>
      </c>
      <c r="H196" s="32" t="inlineStr">
        <is>
          <t xml:space="preserve">Post </t>
        </is>
      </c>
      <c r="I196" s="530">
        <f>IF(LEN(A196)=5,E196,0)</f>
        <v/>
      </c>
      <c r="J196" s="531">
        <f>IF(LEFT(A196,11)="Tài khoản: ",MID(A196,12,5),J195)</f>
        <v/>
      </c>
    </row>
    <row r="197">
      <c r="A197" s="30" t="n">
        <v>46295</v>
      </c>
      <c r="B197" s="31" t="inlineStr">
        <is>
          <t>'3173</t>
        </is>
      </c>
      <c r="C197" s="32" t="inlineStr">
        <is>
          <t>GL</t>
        </is>
      </c>
      <c r="D197" s="19" t="inlineStr">
        <is>
          <t>hóa đơn tea break</t>
        </is>
      </c>
      <c r="E197" s="500" t="n">
        <v>15923</v>
      </c>
      <c r="F197" s="499" t="n"/>
      <c r="G197" s="32" t="inlineStr">
        <is>
          <t>THAOPTT.HCM.VTA</t>
        </is>
      </c>
      <c r="H197" s="32" t="inlineStr">
        <is>
          <t xml:space="preserve">Post </t>
        </is>
      </c>
      <c r="I197" s="530">
        <f>IF(LEN(A197)=5,E197,0)</f>
        <v/>
      </c>
      <c r="J197" s="531">
        <f>IF(LEFT(A197,11)="Tài khoản: ",MID(A197,12,5),J196)</f>
        <v/>
      </c>
    </row>
    <row r="198">
      <c r="A198" s="30" t="n">
        <v>46295</v>
      </c>
      <c r="B198" s="31" t="inlineStr">
        <is>
          <t>'3173</t>
        </is>
      </c>
      <c r="C198" s="32" t="inlineStr">
        <is>
          <t>GL</t>
        </is>
      </c>
      <c r="D198" s="19" t="inlineStr">
        <is>
          <t>hóa đơn ăn uống</t>
        </is>
      </c>
      <c r="E198" s="500" t="n">
        <v>365448</v>
      </c>
      <c r="F198" s="499" t="n"/>
      <c r="G198" s="32" t="inlineStr">
        <is>
          <t>THAOPTT.HCM.VTA</t>
        </is>
      </c>
      <c r="H198" s="32" t="inlineStr">
        <is>
          <t xml:space="preserve">Post </t>
        </is>
      </c>
      <c r="I198" s="530">
        <f>IF(LEN(A198)=5,E198,0)</f>
        <v/>
      </c>
      <c r="J198" s="531">
        <f>IF(LEFT(A198,11)="Tài khoản: ",MID(A198,12,5),J197)</f>
        <v/>
      </c>
    </row>
    <row r="199">
      <c r="A199" s="30" t="n">
        <v>46295</v>
      </c>
      <c r="B199" s="31" t="inlineStr">
        <is>
          <t>'3173</t>
        </is>
      </c>
      <c r="C199" s="32" t="inlineStr">
        <is>
          <t>GL</t>
        </is>
      </c>
      <c r="D199" s="19" t="inlineStr">
        <is>
          <t>hóa đơn ăn uống</t>
        </is>
      </c>
      <c r="E199" s="500" t="n">
        <v>298000</v>
      </c>
      <c r="F199" s="499" t="n"/>
      <c r="G199" s="32" t="inlineStr">
        <is>
          <t>THAOPTT.HCM.VTA</t>
        </is>
      </c>
      <c r="H199" s="32" t="inlineStr">
        <is>
          <t xml:space="preserve">Post </t>
        </is>
      </c>
      <c r="I199" s="530">
        <f>IF(LEN(A199)=5,E199,0)</f>
        <v/>
      </c>
      <c r="J199" s="531">
        <f>IF(LEFT(A199,11)="Tài khoản: ",MID(A199,12,5),J198)</f>
        <v/>
      </c>
    </row>
    <row r="200">
      <c r="A200" s="30" t="n">
        <v>46295</v>
      </c>
      <c r="B200" s="31" t="inlineStr">
        <is>
          <t>'3173</t>
        </is>
      </c>
      <c r="C200" s="32" t="inlineStr">
        <is>
          <t>GL</t>
        </is>
      </c>
      <c r="D200" s="19" t="inlineStr">
        <is>
          <t>hóa đơn ăn uống</t>
        </is>
      </c>
      <c r="E200" s="500" t="n">
        <v>336880</v>
      </c>
      <c r="F200" s="499" t="n"/>
      <c r="G200" s="32" t="inlineStr">
        <is>
          <t>THAOPTT.HCM.VTA</t>
        </is>
      </c>
      <c r="H200" s="32" t="inlineStr">
        <is>
          <t xml:space="preserve">Post </t>
        </is>
      </c>
      <c r="I200" s="530">
        <f>IF(LEN(A200)=5,E200,0)</f>
        <v/>
      </c>
      <c r="J200" s="531">
        <f>IF(LEFT(A200,11)="Tài khoản: ",MID(A200,12,5),J199)</f>
        <v/>
      </c>
    </row>
    <row r="201">
      <c r="A201" s="30" t="n">
        <v>46295</v>
      </c>
      <c r="B201" s="31" t="inlineStr">
        <is>
          <t>'3173</t>
        </is>
      </c>
      <c r="C201" s="32" t="inlineStr">
        <is>
          <t>GL</t>
        </is>
      </c>
      <c r="D201" s="19" t="inlineStr">
        <is>
          <t>hóa đơn ăn uống</t>
        </is>
      </c>
      <c r="E201" s="500" t="n">
        <v>12000</v>
      </c>
      <c r="F201" s="499" t="n"/>
      <c r="G201" s="32" t="inlineStr">
        <is>
          <t>THAOPTT.HCM.VTA</t>
        </is>
      </c>
      <c r="H201" s="32" t="inlineStr">
        <is>
          <t xml:space="preserve">Post </t>
        </is>
      </c>
      <c r="I201" s="530">
        <f>IF(LEN(A201)=5,E201,0)</f>
        <v/>
      </c>
      <c r="J201" s="531">
        <f>IF(LEFT(A201,11)="Tài khoản: ",MID(A201,12,5),J200)</f>
        <v/>
      </c>
    </row>
    <row r="202">
      <c r="A202" s="30" t="n">
        <v>46295</v>
      </c>
      <c r="B202" s="31" t="inlineStr">
        <is>
          <t>'3173</t>
        </is>
      </c>
      <c r="C202" s="32" t="inlineStr">
        <is>
          <t>GL</t>
        </is>
      </c>
      <c r="D202" s="19" t="inlineStr">
        <is>
          <t>hóa đơn ăn uống</t>
        </is>
      </c>
      <c r="E202" s="500" t="n">
        <v>297333</v>
      </c>
      <c r="F202" s="499" t="n"/>
      <c r="G202" s="32" t="inlineStr">
        <is>
          <t>THAOPTT.HCM.VTA</t>
        </is>
      </c>
      <c r="H202" s="32" t="inlineStr">
        <is>
          <t xml:space="preserve">Post </t>
        </is>
      </c>
      <c r="I202" s="530">
        <f>IF(LEN(A202)=5,E202,0)</f>
        <v/>
      </c>
      <c r="J202" s="531">
        <f>IF(LEFT(A202,11)="Tài khoản: ",MID(A202,12,5),J201)</f>
        <v/>
      </c>
    </row>
    <row r="203">
      <c r="A203" s="30" t="n">
        <v>46295</v>
      </c>
      <c r="B203" s="31" t="inlineStr">
        <is>
          <t>'3173</t>
        </is>
      </c>
      <c r="C203" s="32" t="inlineStr">
        <is>
          <t>GL</t>
        </is>
      </c>
      <c r="D203" s="19" t="inlineStr">
        <is>
          <t>hóa đơn ăn uống</t>
        </is>
      </c>
      <c r="E203" s="500" t="n">
        <v>366044</v>
      </c>
      <c r="F203" s="499" t="n"/>
      <c r="G203" s="32" t="inlineStr">
        <is>
          <t>THAOPTT.HCM.VTA</t>
        </is>
      </c>
      <c r="H203" s="32" t="inlineStr">
        <is>
          <t xml:space="preserve">Post </t>
        </is>
      </c>
      <c r="I203" s="530">
        <f>IF(LEN(A203)=5,E203,0)</f>
        <v/>
      </c>
      <c r="J203" s="531">
        <f>IF(LEFT(A203,11)="Tài khoản: ",MID(A203,12,5),J202)</f>
        <v/>
      </c>
    </row>
    <row r="204">
      <c r="A204" s="30" t="n">
        <v>46295</v>
      </c>
      <c r="B204" s="31" t="inlineStr">
        <is>
          <t>'3173</t>
        </is>
      </c>
      <c r="C204" s="32" t="inlineStr">
        <is>
          <t>GL</t>
        </is>
      </c>
      <c r="D204" s="19" t="inlineStr">
        <is>
          <t>đặt ăn</t>
        </is>
      </c>
      <c r="E204" s="500" t="n">
        <v>295840</v>
      </c>
      <c r="F204" s="499" t="n"/>
      <c r="G204" s="32" t="inlineStr">
        <is>
          <t>THAOPTT.HCM.VTA</t>
        </is>
      </c>
      <c r="H204" s="32" t="inlineStr">
        <is>
          <t xml:space="preserve">Post </t>
        </is>
      </c>
      <c r="I204" s="530">
        <f>IF(LEN(A204)=5,E204,0)</f>
        <v/>
      </c>
      <c r="J204" s="531">
        <f>IF(LEFT(A204,11)="Tài khoản: ",MID(A204,12,5),J203)</f>
        <v/>
      </c>
    </row>
    <row r="205">
      <c r="A205" s="30" t="n">
        <v>46295</v>
      </c>
      <c r="B205" s="31" t="inlineStr">
        <is>
          <t>'3173</t>
        </is>
      </c>
      <c r="C205" s="32" t="inlineStr">
        <is>
          <t>GL</t>
        </is>
      </c>
      <c r="D205" s="19" t="inlineStr">
        <is>
          <t>đặt ăn</t>
        </is>
      </c>
      <c r="E205" s="500" t="n">
        <v>297259</v>
      </c>
      <c r="F205" s="499" t="n"/>
      <c r="G205" s="32" t="inlineStr">
        <is>
          <t>THAOPTT.HCM.VTA</t>
        </is>
      </c>
      <c r="H205" s="32" t="inlineStr">
        <is>
          <t xml:space="preserve">Post </t>
        </is>
      </c>
      <c r="I205" s="530">
        <f>IF(LEN(A205)=5,E205,0)</f>
        <v/>
      </c>
      <c r="J205" s="531">
        <f>IF(LEFT(A205,11)="Tài khoản: ",MID(A205,12,5),J204)</f>
        <v/>
      </c>
    </row>
    <row r="206">
      <c r="A206" s="30" t="n">
        <v>46295</v>
      </c>
      <c r="B206" s="31" t="inlineStr">
        <is>
          <t>'3173</t>
        </is>
      </c>
      <c r="C206" s="32" t="inlineStr">
        <is>
          <t>GL</t>
        </is>
      </c>
      <c r="D206" s="19" t="inlineStr">
        <is>
          <t>đặt ăn</t>
        </is>
      </c>
      <c r="E206" s="500" t="n">
        <v>291852</v>
      </c>
      <c r="F206" s="499" t="n"/>
      <c r="G206" s="32" t="inlineStr">
        <is>
          <t>THAOPTT.HCM.VTA</t>
        </is>
      </c>
      <c r="H206" s="32" t="inlineStr">
        <is>
          <t xml:space="preserve">Post </t>
        </is>
      </c>
      <c r="I206" s="530">
        <f>IF(LEN(A206)=5,E206,0)</f>
        <v/>
      </c>
      <c r="J206" s="531">
        <f>IF(LEFT(A206,11)="Tài khoản: ",MID(A206,12,5),J205)</f>
        <v/>
      </c>
    </row>
    <row r="207">
      <c r="A207" s="30" t="n">
        <v>46295</v>
      </c>
      <c r="B207" s="31" t="inlineStr">
        <is>
          <t>'3173</t>
        </is>
      </c>
      <c r="C207" s="32" t="inlineStr">
        <is>
          <t>GL</t>
        </is>
      </c>
      <c r="D207" s="19" t="inlineStr">
        <is>
          <t>đặt ăn</t>
        </is>
      </c>
      <c r="E207" s="500" t="n">
        <v>13091</v>
      </c>
      <c r="F207" s="499" t="n"/>
      <c r="G207" s="32" t="inlineStr">
        <is>
          <t>THAOPTT.HCM.VTA</t>
        </is>
      </c>
      <c r="H207" s="32" t="inlineStr">
        <is>
          <t xml:space="preserve">Post </t>
        </is>
      </c>
      <c r="I207" s="530">
        <f>IF(LEN(A207)=5,E207,0)</f>
        <v/>
      </c>
      <c r="J207" s="531">
        <f>IF(LEFT(A207,11)="Tài khoản: ",MID(A207,12,5),J206)</f>
        <v/>
      </c>
    </row>
    <row r="208">
      <c r="A208" s="30" t="n">
        <v>46295</v>
      </c>
      <c r="B208" s="31" t="inlineStr">
        <is>
          <t>'3173</t>
        </is>
      </c>
      <c r="C208" s="32" t="inlineStr">
        <is>
          <t>GL</t>
        </is>
      </c>
      <c r="D208" s="19" t="inlineStr">
        <is>
          <t>đặt ăn</t>
        </is>
      </c>
      <c r="E208" s="500" t="n">
        <v>292978</v>
      </c>
      <c r="F208" s="499" t="n"/>
      <c r="G208" s="32" t="inlineStr">
        <is>
          <t>THAOPTT.HCM.VTA</t>
        </is>
      </c>
      <c r="H208" s="32" t="inlineStr">
        <is>
          <t xml:space="preserve">Post </t>
        </is>
      </c>
      <c r="I208" s="530">
        <f>IF(LEN(A208)=5,E208,0)</f>
        <v/>
      </c>
      <c r="J208" s="531">
        <f>IF(LEFT(A208,11)="Tài khoản: ",MID(A208,12,5),J207)</f>
        <v/>
      </c>
    </row>
    <row r="209">
      <c r="A209" s="30" t="n">
        <v>46295</v>
      </c>
      <c r="B209" s="31" t="inlineStr">
        <is>
          <t>'3173</t>
        </is>
      </c>
      <c r="C209" s="32" t="inlineStr">
        <is>
          <t>GL</t>
        </is>
      </c>
      <c r="D209" s="19" t="inlineStr">
        <is>
          <t>đặt ăn</t>
        </is>
      </c>
      <c r="E209" s="500" t="n">
        <v>296560</v>
      </c>
      <c r="F209" s="499" t="n"/>
      <c r="G209" s="32" t="inlineStr">
        <is>
          <t>THAOPTT.HCM.VTA</t>
        </is>
      </c>
      <c r="H209" s="32" t="inlineStr">
        <is>
          <t xml:space="preserve">Post </t>
        </is>
      </c>
      <c r="I209" s="530">
        <f>IF(LEN(A209)=5,E209,0)</f>
        <v/>
      </c>
      <c r="J209" s="531">
        <f>IF(LEFT(A209,11)="Tài khoản: ",MID(A209,12,5),J208)</f>
        <v/>
      </c>
    </row>
    <row r="210">
      <c r="A210" s="30" t="n">
        <v>46295</v>
      </c>
      <c r="B210" s="31" t="inlineStr">
        <is>
          <t>'3173</t>
        </is>
      </c>
      <c r="C210" s="32" t="inlineStr">
        <is>
          <t>GL</t>
        </is>
      </c>
      <c r="D210" s="19" t="inlineStr">
        <is>
          <t>phí đăng kiểm xe 72C-098.76</t>
        </is>
      </c>
      <c r="E210" s="500" t="n">
        <v>21091</v>
      </c>
      <c r="F210" s="499" t="n"/>
      <c r="G210" s="32" t="inlineStr">
        <is>
          <t>THAOPTT.HCM.VTA</t>
        </is>
      </c>
      <c r="H210" s="32" t="inlineStr">
        <is>
          <t xml:space="preserve">Post </t>
        </is>
      </c>
      <c r="I210" s="530">
        <f>IF(LEN(A210)=5,E210,0)</f>
        <v/>
      </c>
      <c r="J210" s="531">
        <f>IF(LEFT(A210,11)="Tài khoản: ",MID(A210,12,5),J209)</f>
        <v/>
      </c>
    </row>
    <row r="211">
      <c r="A211" s="30" t="n">
        <v>46295</v>
      </c>
      <c r="B211" s="31" t="inlineStr">
        <is>
          <t>'3173</t>
        </is>
      </c>
      <c r="C211" s="32" t="inlineStr">
        <is>
          <t>GL</t>
        </is>
      </c>
      <c r="D211" s="19" t="inlineStr">
        <is>
          <t>vé xe</t>
        </is>
      </c>
      <c r="E211" s="500" t="n">
        <v>17037</v>
      </c>
      <c r="F211" s="499" t="n"/>
      <c r="G211" s="32" t="inlineStr">
        <is>
          <t>THAOPTT.HCM.VTA</t>
        </is>
      </c>
      <c r="H211" s="32" t="inlineStr">
        <is>
          <t xml:space="preserve">Post </t>
        </is>
      </c>
      <c r="I211" s="530">
        <f>IF(LEN(A211)=5,E211,0)</f>
        <v/>
      </c>
      <c r="J211" s="531">
        <f>IF(LEFT(A211,11)="Tài khoản: ",MID(A211,12,5),J210)</f>
        <v/>
      </c>
    </row>
    <row r="212">
      <c r="A212" s="30" t="n">
        <v>46295</v>
      </c>
      <c r="B212" s="31" t="inlineStr">
        <is>
          <t>'3173</t>
        </is>
      </c>
      <c r="C212" s="32" t="inlineStr">
        <is>
          <t>GL</t>
        </is>
      </c>
      <c r="D212" s="19" t="inlineStr">
        <is>
          <t>vé xe</t>
        </is>
      </c>
      <c r="E212" s="500" t="n">
        <v>17037</v>
      </c>
      <c r="F212" s="499" t="n"/>
      <c r="G212" s="32" t="inlineStr">
        <is>
          <t>THAOPTT.HCM.VTA</t>
        </is>
      </c>
      <c r="H212" s="32" t="inlineStr">
        <is>
          <t xml:space="preserve">Post </t>
        </is>
      </c>
      <c r="I212" s="530">
        <f>IF(LEN(A212)=5,E212,0)</f>
        <v/>
      </c>
      <c r="J212" s="531">
        <f>IF(LEFT(A212,11)="Tài khoản: ",MID(A212,12,5),J211)</f>
        <v/>
      </c>
    </row>
    <row r="213">
      <c r="A213" s="30" t="n">
        <v>46295</v>
      </c>
      <c r="B213" s="31" t="inlineStr">
        <is>
          <t>'3173</t>
        </is>
      </c>
      <c r="C213" s="32" t="inlineStr">
        <is>
          <t>GL</t>
        </is>
      </c>
      <c r="D213" s="19" t="inlineStr">
        <is>
          <t>sim CA ký số Epayment</t>
        </is>
      </c>
      <c r="E213" s="500" t="n">
        <v>9000</v>
      </c>
      <c r="F213" s="499" t="n"/>
      <c r="G213" s="32" t="inlineStr">
        <is>
          <t>THAOPTT.HCM.VTA</t>
        </is>
      </c>
      <c r="H213" s="32" t="inlineStr">
        <is>
          <t xml:space="preserve">Post </t>
        </is>
      </c>
      <c r="I213" s="530">
        <f>IF(LEN(A213)=5,E213,0)</f>
        <v/>
      </c>
      <c r="J213" s="531">
        <f>IF(LEFT(A213,11)="Tài khoản: ",MID(A213,12,5),J212)</f>
        <v/>
      </c>
    </row>
    <row r="214">
      <c r="A214" s="30" t="n">
        <v>46295</v>
      </c>
      <c r="B214" s="31" t="inlineStr">
        <is>
          <t>'3173</t>
        </is>
      </c>
      <c r="C214" s="32" t="inlineStr">
        <is>
          <t>GL</t>
        </is>
      </c>
      <c r="D214" s="19" t="inlineStr">
        <is>
          <t>sim CA ký số Epayment</t>
        </is>
      </c>
      <c r="E214" s="500" t="n">
        <v>72593</v>
      </c>
      <c r="F214" s="499" t="n"/>
      <c r="G214" s="32" t="inlineStr">
        <is>
          <t>THAOPTT.HCM.VTA</t>
        </is>
      </c>
      <c r="H214" s="32" t="inlineStr">
        <is>
          <t xml:space="preserve">Post </t>
        </is>
      </c>
      <c r="I214" s="530">
        <f>IF(LEN(A214)=5,E214,0)</f>
        <v/>
      </c>
      <c r="J214" s="531">
        <f>IF(LEFT(A214,11)="Tài khoản: ",MID(A214,12,5),J213)</f>
        <v/>
      </c>
    </row>
    <row r="215">
      <c r="A215" s="30" t="n">
        <v>46295</v>
      </c>
      <c r="B215" s="31" t="inlineStr">
        <is>
          <t>'3173</t>
        </is>
      </c>
      <c r="C215" s="32" t="inlineStr">
        <is>
          <t>GL</t>
        </is>
      </c>
      <c r="D215" s="19" t="inlineStr">
        <is>
          <t>sim CA ký số Epayment</t>
        </is>
      </c>
      <c r="E215" s="500" t="n">
        <v>9091</v>
      </c>
      <c r="F215" s="499" t="n"/>
      <c r="G215" s="32" t="inlineStr">
        <is>
          <t>THAOPTT.HCM.VTA</t>
        </is>
      </c>
      <c r="H215" s="32" t="inlineStr">
        <is>
          <t xml:space="preserve">Post </t>
        </is>
      </c>
      <c r="I215" s="530">
        <f>IF(LEN(A215)=5,E215,0)</f>
        <v/>
      </c>
      <c r="J215" s="531">
        <f>IF(LEFT(A215,11)="Tài khoản: ",MID(A215,12,5),J214)</f>
        <v/>
      </c>
    </row>
    <row r="216">
      <c r="A216" s="30" t="n">
        <v>46295</v>
      </c>
      <c r="B216" s="31" t="inlineStr">
        <is>
          <t>'3173</t>
        </is>
      </c>
      <c r="C216" s="32" t="inlineStr">
        <is>
          <t>GL</t>
        </is>
      </c>
      <c r="D216" s="19" t="inlineStr">
        <is>
          <t>sim CA ký số Epayment</t>
        </is>
      </c>
      <c r="E216" s="500" t="n">
        <v>9000</v>
      </c>
      <c r="F216" s="499" t="n"/>
      <c r="G216" s="32" t="inlineStr">
        <is>
          <t>THAOPTT.HCM.VTA</t>
        </is>
      </c>
      <c r="H216" s="32" t="inlineStr">
        <is>
          <t xml:space="preserve">Post </t>
        </is>
      </c>
      <c r="I216" s="530">
        <f>IF(LEN(A216)=5,E216,0)</f>
        <v/>
      </c>
      <c r="J216" s="531">
        <f>IF(LEFT(A216,11)="Tài khoản: ",MID(A216,12,5),J215)</f>
        <v/>
      </c>
    </row>
    <row r="217">
      <c r="A217" s="30" t="n">
        <v>46295</v>
      </c>
      <c r="B217" s="31" t="inlineStr">
        <is>
          <t>'3173</t>
        </is>
      </c>
      <c r="C217" s="32" t="inlineStr">
        <is>
          <t>GL</t>
        </is>
      </c>
      <c r="D217" s="19" t="inlineStr">
        <is>
          <t>sim CA ký số Epayment</t>
        </is>
      </c>
      <c r="E217" s="500" t="n">
        <v>6819</v>
      </c>
      <c r="F217" s="499" t="n"/>
      <c r="G217" s="32" t="inlineStr">
        <is>
          <t>THAOPTT.HCM.VTA</t>
        </is>
      </c>
      <c r="H217" s="32" t="inlineStr">
        <is>
          <t xml:space="preserve">Post </t>
        </is>
      </c>
      <c r="I217" s="530">
        <f>IF(LEN(A217)=5,E217,0)</f>
        <v/>
      </c>
      <c r="J217" s="531">
        <f>IF(LEFT(A217,11)="Tài khoản: ",MID(A217,12,5),J216)</f>
        <v/>
      </c>
    </row>
    <row r="218">
      <c r="A218" s="30" t="n">
        <v>46295</v>
      </c>
      <c r="B218" s="31" t="inlineStr">
        <is>
          <t>'3173</t>
        </is>
      </c>
      <c r="C218" s="32" t="inlineStr">
        <is>
          <t>GL</t>
        </is>
      </c>
      <c r="D218" s="19" t="inlineStr">
        <is>
          <t>hđơn thuê xe cuốc</t>
        </is>
      </c>
      <c r="E218" s="500" t="n">
        <v>362963</v>
      </c>
      <c r="F218" s="499" t="n"/>
      <c r="G218" s="32" t="inlineStr">
        <is>
          <t>THAOPTT.HCM.VTA</t>
        </is>
      </c>
      <c r="H218" s="32" t="inlineStr">
        <is>
          <t xml:space="preserve">Post </t>
        </is>
      </c>
      <c r="I218" s="530">
        <f>IF(LEN(A218)=5,E218,0)</f>
        <v/>
      </c>
      <c r="J218" s="531">
        <f>IF(LEFT(A218,11)="Tài khoản: ",MID(A218,12,5),J217)</f>
        <v/>
      </c>
    </row>
    <row r="219">
      <c r="A219" s="30" t="n">
        <v>46295</v>
      </c>
      <c r="B219" s="31" t="inlineStr">
        <is>
          <t>'3173</t>
        </is>
      </c>
      <c r="C219" s="32" t="inlineStr">
        <is>
          <t>GL</t>
        </is>
      </c>
      <c r="D219" s="19" t="inlineStr">
        <is>
          <t>hóa đơn điện T08-2026</t>
        </is>
      </c>
      <c r="E219" s="500" t="n">
        <v>260396</v>
      </c>
      <c r="F219" s="499" t="n"/>
      <c r="G219" s="32" t="inlineStr">
        <is>
          <t>THAOPTT.HCM.VTA</t>
        </is>
      </c>
      <c r="H219" s="32" t="inlineStr">
        <is>
          <t xml:space="preserve">Post </t>
        </is>
      </c>
      <c r="I219" s="530">
        <f>IF(LEN(A219)=5,E219,0)</f>
        <v/>
      </c>
      <c r="J219" s="531">
        <f>IF(LEFT(A219,11)="Tài khoản: ",MID(A219,12,5),J218)</f>
        <v/>
      </c>
    </row>
    <row r="220">
      <c r="A220" s="30" t="n">
        <v>46295</v>
      </c>
      <c r="B220" s="31" t="inlineStr">
        <is>
          <t>'3173</t>
        </is>
      </c>
      <c r="C220" s="32" t="inlineStr">
        <is>
          <t>GL</t>
        </is>
      </c>
      <c r="D220" s="19" t="inlineStr">
        <is>
          <t>hóa đơn điện T08-2026</t>
        </is>
      </c>
      <c r="E220" s="500" t="n">
        <v>569440</v>
      </c>
      <c r="F220" s="499" t="n"/>
      <c r="G220" s="32" t="inlineStr">
        <is>
          <t>THAOPTT.HCM.VTA</t>
        </is>
      </c>
      <c r="H220" s="32" t="inlineStr">
        <is>
          <t xml:space="preserve">Post </t>
        </is>
      </c>
      <c r="I220" s="530">
        <f>IF(LEN(A220)=5,E220,0)</f>
        <v/>
      </c>
      <c r="J220" s="531">
        <f>IF(LEFT(A220,11)="Tài khoản: ",MID(A220,12,5),J219)</f>
        <v/>
      </c>
    </row>
    <row r="221">
      <c r="A221" s="30" t="n">
        <v>46295</v>
      </c>
      <c r="B221" s="31" t="inlineStr">
        <is>
          <t>'3173</t>
        </is>
      </c>
      <c r="C221" s="32" t="inlineStr">
        <is>
          <t>GL</t>
        </is>
      </c>
      <c r="D221" s="19" t="inlineStr">
        <is>
          <t>hóa đơn điện T08-2026</t>
        </is>
      </c>
      <c r="E221" s="500" t="n">
        <v>148628</v>
      </c>
      <c r="F221" s="499" t="n"/>
      <c r="G221" s="32" t="inlineStr">
        <is>
          <t>THAOPTT.HCM.VTA</t>
        </is>
      </c>
      <c r="H221" s="32" t="inlineStr">
        <is>
          <t xml:space="preserve">Post </t>
        </is>
      </c>
      <c r="I221" s="530">
        <f>IF(LEN(A221)=5,E221,0)</f>
        <v/>
      </c>
      <c r="J221" s="531">
        <f>IF(LEFT(A221,11)="Tài khoản: ",MID(A221,12,5),J220)</f>
        <v/>
      </c>
    </row>
    <row r="222">
      <c r="A222" s="30" t="n">
        <v>46295</v>
      </c>
      <c r="B222" s="31" t="inlineStr">
        <is>
          <t>'3173</t>
        </is>
      </c>
      <c r="C222" s="32" t="inlineStr">
        <is>
          <t>GL</t>
        </is>
      </c>
      <c r="D222" s="19" t="inlineStr">
        <is>
          <t>hóa đơn điện T08-2026</t>
        </is>
      </c>
      <c r="E222" s="500" t="n">
        <v>4157126</v>
      </c>
      <c r="F222" s="499" t="n"/>
      <c r="G222" s="32" t="inlineStr">
        <is>
          <t>THAOPTT.HCM.VTA</t>
        </is>
      </c>
      <c r="H222" s="32" t="inlineStr">
        <is>
          <t xml:space="preserve">Post </t>
        </is>
      </c>
      <c r="I222" s="530">
        <f>IF(LEN(A222)=5,E222,0)</f>
        <v/>
      </c>
      <c r="J222" s="531">
        <f>IF(LEFT(A222,11)="Tài khoản: ",MID(A222,12,5),J221)</f>
        <v/>
      </c>
    </row>
    <row r="223">
      <c r="A223" s="30" t="n">
        <v>46295</v>
      </c>
      <c r="B223" s="31" t="inlineStr">
        <is>
          <t>'3173</t>
        </is>
      </c>
      <c r="C223" s="32" t="inlineStr">
        <is>
          <t>GL</t>
        </is>
      </c>
      <c r="D223" s="19" t="inlineStr">
        <is>
          <t>hóa đơn điện T08-2026</t>
        </is>
      </c>
      <c r="E223" s="500" t="n">
        <v>731909</v>
      </c>
      <c r="F223" s="499" t="n"/>
      <c r="G223" s="32" t="inlineStr">
        <is>
          <t>THAOPTT.HCM.VTA</t>
        </is>
      </c>
      <c r="H223" s="32" t="inlineStr">
        <is>
          <t xml:space="preserve">Post </t>
        </is>
      </c>
      <c r="I223" s="530">
        <f>IF(LEN(A223)=5,E223,0)</f>
        <v/>
      </c>
      <c r="J223" s="531">
        <f>IF(LEFT(A223,11)="Tài khoản: ",MID(A223,12,5),J222)</f>
        <v/>
      </c>
    </row>
    <row r="224">
      <c r="A224" s="30" t="n">
        <v>46295</v>
      </c>
      <c r="B224" s="31" t="inlineStr">
        <is>
          <t>'3173</t>
        </is>
      </c>
      <c r="C224" s="32" t="inlineStr">
        <is>
          <t>GL</t>
        </is>
      </c>
      <c r="D224" s="19" t="inlineStr">
        <is>
          <t>hóa đơn điện T08-2026</t>
        </is>
      </c>
      <c r="E224" s="500" t="n">
        <v>122137</v>
      </c>
      <c r="F224" s="499" t="n"/>
      <c r="G224" s="32" t="inlineStr">
        <is>
          <t>THAOPTT.HCM.VTA</t>
        </is>
      </c>
      <c r="H224" s="32" t="inlineStr">
        <is>
          <t xml:space="preserve">Post </t>
        </is>
      </c>
      <c r="I224" s="530">
        <f>IF(LEN(A224)=5,E224,0)</f>
        <v/>
      </c>
      <c r="J224" s="531">
        <f>IF(LEFT(A224,11)="Tài khoản: ",MID(A224,12,5),J223)</f>
        <v/>
      </c>
    </row>
    <row r="225">
      <c r="A225" s="30" t="n">
        <v>46295</v>
      </c>
      <c r="B225" s="31" t="inlineStr">
        <is>
          <t>'3173</t>
        </is>
      </c>
      <c r="C225" s="32" t="inlineStr">
        <is>
          <t>GL</t>
        </is>
      </c>
      <c r="D225" s="19" t="inlineStr">
        <is>
          <t>hóa đơn điện T08-2026</t>
        </is>
      </c>
      <c r="E225" s="500" t="n">
        <v>1031789</v>
      </c>
      <c r="F225" s="499" t="n"/>
      <c r="G225" s="32" t="inlineStr">
        <is>
          <t>THAOPTT.HCM.VTA</t>
        </is>
      </c>
      <c r="H225" s="32" t="inlineStr">
        <is>
          <t xml:space="preserve">Post </t>
        </is>
      </c>
      <c r="I225" s="530">
        <f>IF(LEN(A225)=5,E225,0)</f>
        <v/>
      </c>
      <c r="J225" s="531">
        <f>IF(LEFT(A225,11)="Tài khoản: ",MID(A225,12,5),J224)</f>
        <v/>
      </c>
    </row>
    <row r="226" ht="24" customHeight="1" s="344">
      <c r="A226" s="30" t="n">
        <v>46295</v>
      </c>
      <c r="B226" s="31" t="inlineStr">
        <is>
          <t>'3173</t>
        </is>
      </c>
      <c r="C226" s="32" t="inlineStr">
        <is>
          <t>GL</t>
        </is>
      </c>
      <c r="D226" s="19" t="inlineStr">
        <is>
          <t>hóa đơn điện T08-2026</t>
        </is>
      </c>
      <c r="E226" s="500" t="n">
        <v>824722</v>
      </c>
      <c r="F226" s="499" t="n"/>
      <c r="G226" s="32" t="inlineStr">
        <is>
          <t>THAOPTT.HCM.VTA</t>
        </is>
      </c>
      <c r="H226" s="32" t="inlineStr">
        <is>
          <t xml:space="preserve">Post </t>
        </is>
      </c>
      <c r="I226" s="530">
        <f>IF(LEN(A226)=5,E226,0)</f>
        <v/>
      </c>
      <c r="J226" s="531">
        <f>IF(LEFT(A226,11)="Tài khoản: ",MID(A226,12,5),J225)</f>
        <v/>
      </c>
    </row>
    <row r="227" ht="24" customHeight="1" s="344">
      <c r="A227" s="30" t="n">
        <v>46295</v>
      </c>
      <c r="B227" s="31" t="inlineStr">
        <is>
          <t>'3173</t>
        </is>
      </c>
      <c r="C227" s="32" t="inlineStr">
        <is>
          <t>GL</t>
        </is>
      </c>
      <c r="D227" s="19" t="inlineStr">
        <is>
          <t>hóa đơn điện T08-2026</t>
        </is>
      </c>
      <c r="E227" s="500" t="n">
        <v>1577089</v>
      </c>
      <c r="F227" s="499" t="n"/>
      <c r="G227" s="32" t="inlineStr">
        <is>
          <t>THAOPTT.HCM.VTA</t>
        </is>
      </c>
      <c r="H227" s="32" t="inlineStr">
        <is>
          <t xml:space="preserve">Post </t>
        </is>
      </c>
      <c r="I227" s="530">
        <f>IF(LEN(A227)=5,E227,0)</f>
        <v/>
      </c>
      <c r="J227" s="531">
        <f>IF(LEFT(A227,11)="Tài khoản: ",MID(A227,12,5),J226)</f>
        <v/>
      </c>
    </row>
    <row r="228" ht="24" customHeight="1" s="344">
      <c r="A228" s="30" t="n">
        <v>46295</v>
      </c>
      <c r="B228" s="31" t="inlineStr">
        <is>
          <t>'3173</t>
        </is>
      </c>
      <c r="C228" s="32" t="inlineStr">
        <is>
          <t>GL</t>
        </is>
      </c>
      <c r="D228" s="19" t="inlineStr">
        <is>
          <t>hóa đơn tiền nước T09-26</t>
        </is>
      </c>
      <c r="E228" s="500" t="n">
        <v>310880</v>
      </c>
      <c r="F228" s="499" t="n"/>
      <c r="G228" s="32" t="inlineStr">
        <is>
          <t>THAOPTT.HCM.VTA</t>
        </is>
      </c>
      <c r="H228" s="32" t="inlineStr">
        <is>
          <t xml:space="preserve">Post </t>
        </is>
      </c>
      <c r="I228" s="530">
        <f>IF(LEN(A228)=5,E228,0)</f>
        <v/>
      </c>
      <c r="J228" s="531">
        <f>IF(LEFT(A228,11)="Tài khoản: ",MID(A228,12,5),J227)</f>
        <v/>
      </c>
    </row>
    <row r="229" ht="47" customHeight="1" s="344">
      <c r="A229" s="30" t="n">
        <v>46295</v>
      </c>
      <c r="B229" s="31" t="inlineStr">
        <is>
          <t>'3173</t>
        </is>
      </c>
      <c r="C229" s="32" t="inlineStr">
        <is>
          <t>GL</t>
        </is>
      </c>
      <c r="D229" s="19" t="inlineStr">
        <is>
          <t>hóa đơn tiền nước T09-26</t>
        </is>
      </c>
      <c r="E229" s="500" t="n">
        <v>228892</v>
      </c>
      <c r="F229" s="499" t="n"/>
      <c r="G229" s="32" t="inlineStr">
        <is>
          <t>THAOPTT.HCM.VTA</t>
        </is>
      </c>
      <c r="H229" s="32" t="inlineStr">
        <is>
          <t xml:space="preserve">Post </t>
        </is>
      </c>
      <c r="I229" s="530">
        <f>IF(LEN(A229)=5,E229,0)</f>
        <v/>
      </c>
      <c r="J229" s="531">
        <f>IF(LEFT(A229,11)="Tài khoản: ",MID(A229,12,5),J228)</f>
        <v/>
      </c>
    </row>
    <row r="230" ht="35.5" customHeight="1" s="344">
      <c r="A230" s="30" t="n">
        <v>46295</v>
      </c>
      <c r="B230" s="31" t="inlineStr">
        <is>
          <t>'3173</t>
        </is>
      </c>
      <c r="C230" s="32" t="inlineStr">
        <is>
          <t>GL</t>
        </is>
      </c>
      <c r="D230" s="19" t="inlineStr">
        <is>
          <t>hóa đơn tiền nước T09-26</t>
        </is>
      </c>
      <c r="E230" s="500" t="n">
        <v>196310</v>
      </c>
      <c r="F230" s="499" t="n"/>
      <c r="G230" s="32" t="inlineStr">
        <is>
          <t>THAOPTT.HCM.VTA</t>
        </is>
      </c>
      <c r="H230" s="32" t="inlineStr">
        <is>
          <t xml:space="preserve">Post </t>
        </is>
      </c>
      <c r="I230" s="530">
        <f>IF(LEN(A230)=5,E230,0)</f>
        <v/>
      </c>
      <c r="J230" s="531">
        <f>IF(LEFT(A230,11)="Tài khoản: ",MID(A230,12,5),J229)</f>
        <v/>
      </c>
    </row>
    <row r="231">
      <c r="A231" s="30" t="n">
        <v>46295</v>
      </c>
      <c r="B231" s="31" t="inlineStr">
        <is>
          <t>'3173</t>
        </is>
      </c>
      <c r="C231" s="32" t="inlineStr">
        <is>
          <t>GL</t>
        </is>
      </c>
      <c r="D231" s="19" t="inlineStr">
        <is>
          <t>hóa đơn tiền nước T09-26</t>
        </is>
      </c>
      <c r="E231" s="500" t="n">
        <v>144369</v>
      </c>
      <c r="F231" s="499" t="n"/>
      <c r="G231" s="32" t="inlineStr">
        <is>
          <t>THAOPTT.HCM.VTA</t>
        </is>
      </c>
      <c r="H231" s="32" t="inlineStr">
        <is>
          <t xml:space="preserve">Post </t>
        </is>
      </c>
      <c r="I231" s="530">
        <f>IF(LEN(A231)=5,E231,0)</f>
        <v/>
      </c>
      <c r="J231" s="531">
        <f>IF(LEFT(A231,11)="Tài khoản: ",MID(A231,12,5),J230)</f>
        <v/>
      </c>
    </row>
    <row r="232">
      <c r="A232" s="30" t="n">
        <v>46295</v>
      </c>
      <c r="B232" s="31" t="inlineStr">
        <is>
          <t>'3173</t>
        </is>
      </c>
      <c r="C232" s="32" t="inlineStr">
        <is>
          <t>GL</t>
        </is>
      </c>
      <c r="D232" s="19" t="inlineStr">
        <is>
          <t>hóa đơn tiền nước T09-26</t>
        </is>
      </c>
      <c r="E232" s="500" t="n">
        <v>26130</v>
      </c>
      <c r="F232" s="499" t="n"/>
      <c r="G232" s="32" t="inlineStr">
        <is>
          <t>THAOPTT.HCM.VTA</t>
        </is>
      </c>
      <c r="H232" s="32" t="inlineStr">
        <is>
          <t xml:space="preserve">Post </t>
        </is>
      </c>
      <c r="I232" s="530">
        <f>IF(LEN(A232)=5,E232,0)</f>
        <v/>
      </c>
      <c r="J232" s="531">
        <f>IF(LEFT(A232,11)="Tài khoản: ",MID(A232,12,5),J231)</f>
        <v/>
      </c>
    </row>
    <row r="233">
      <c r="A233" s="30" t="n">
        <v>46295</v>
      </c>
      <c r="B233" s="31" t="inlineStr">
        <is>
          <t>'3173</t>
        </is>
      </c>
      <c r="C233" s="32" t="inlineStr">
        <is>
          <t>GL</t>
        </is>
      </c>
      <c r="D233" s="19" t="inlineStr">
        <is>
          <t>hóa đơn tiền nước T09-26</t>
        </is>
      </c>
      <c r="E233" s="500" t="n">
        <v>1340</v>
      </c>
      <c r="F233" s="499" t="n"/>
      <c r="G233" s="32" t="inlineStr">
        <is>
          <t>THAOPTT.HCM.VTA</t>
        </is>
      </c>
      <c r="H233" s="32" t="inlineStr">
        <is>
          <t xml:space="preserve">Post </t>
        </is>
      </c>
      <c r="I233" s="530">
        <f>IF(LEN(A233)=5,E233,0)</f>
        <v/>
      </c>
      <c r="J233" s="531">
        <f>IF(LEFT(A233,11)="Tài khoản: ",MID(A233,12,5),J232)</f>
        <v/>
      </c>
    </row>
    <row r="234">
      <c r="A234" s="30" t="n">
        <v>46295</v>
      </c>
      <c r="B234" s="31" t="inlineStr">
        <is>
          <t>'3173</t>
        </is>
      </c>
      <c r="C234" s="32" t="inlineStr">
        <is>
          <t>GL</t>
        </is>
      </c>
      <c r="D234" s="19" t="inlineStr">
        <is>
          <t>hóa đơn tiền nước T09-26</t>
        </is>
      </c>
      <c r="E234" s="500" t="n">
        <v>1234</v>
      </c>
      <c r="F234" s="499" t="n"/>
      <c r="G234" s="32" t="inlineStr">
        <is>
          <t>THAOPTT.HCM.VTA</t>
        </is>
      </c>
      <c r="H234" s="32" t="inlineStr">
        <is>
          <t xml:space="preserve">Post </t>
        </is>
      </c>
      <c r="I234" s="530">
        <f>IF(LEN(A234)=5,E234,0)</f>
        <v/>
      </c>
      <c r="J234" s="531">
        <f>IF(LEFT(A234,11)="Tài khoản: ",MID(A234,12,5),J233)</f>
        <v/>
      </c>
    </row>
    <row r="235">
      <c r="A235" s="30" t="n">
        <v>46295</v>
      </c>
      <c r="B235" s="31" t="inlineStr">
        <is>
          <t>'3173</t>
        </is>
      </c>
      <c r="C235" s="32" t="inlineStr">
        <is>
          <t>GL</t>
        </is>
      </c>
      <c r="D235" s="19" t="inlineStr">
        <is>
          <t>thẻ cào điện thoại</t>
        </is>
      </c>
      <c r="E235" s="500" t="n">
        <v>1672727</v>
      </c>
      <c r="F235" s="499" t="n"/>
      <c r="G235" s="32" t="inlineStr">
        <is>
          <t>THAOPTT.HCM.VTA</t>
        </is>
      </c>
      <c r="H235" s="32" t="inlineStr">
        <is>
          <t xml:space="preserve">Post </t>
        </is>
      </c>
      <c r="I235" s="530">
        <f>IF(LEN(A235)=5,E235,0)</f>
        <v/>
      </c>
      <c r="J235" s="531">
        <f>IF(LEFT(A235,11)="Tài khoản: ",MID(A235,12,5),J234)</f>
        <v/>
      </c>
    </row>
    <row r="236">
      <c r="A236" s="30" t="n">
        <v>46295</v>
      </c>
      <c r="B236" s="31" t="inlineStr">
        <is>
          <t>'3173</t>
        </is>
      </c>
      <c r="C236" s="32" t="inlineStr">
        <is>
          <t>GL</t>
        </is>
      </c>
      <c r="D236" s="19" t="inlineStr">
        <is>
          <t>thuê phòng nghỉ lưu trú</t>
        </is>
      </c>
      <c r="E236" s="500" t="n">
        <v>80000</v>
      </c>
      <c r="F236" s="499" t="n"/>
      <c r="G236" s="32" t="inlineStr">
        <is>
          <t>THAOPTT.HCM.VTA</t>
        </is>
      </c>
      <c r="H236" s="32" t="inlineStr">
        <is>
          <t xml:space="preserve">Post </t>
        </is>
      </c>
      <c r="I236" s="530">
        <f>IF(LEN(A236)=5,E236,0)</f>
        <v/>
      </c>
      <c r="J236" s="531">
        <f>IF(LEFT(A236,11)="Tài khoản: ",MID(A236,12,5),J235)</f>
        <v/>
      </c>
    </row>
    <row r="237">
      <c r="A237" s="30" t="n">
        <v>46295</v>
      </c>
      <c r="B237" s="31" t="inlineStr">
        <is>
          <t>'3173</t>
        </is>
      </c>
      <c r="C237" s="32" t="inlineStr">
        <is>
          <t>GL</t>
        </is>
      </c>
      <c r="D237" s="19" t="inlineStr">
        <is>
          <t>thuê phòng nghỉ lưu trú</t>
        </is>
      </c>
      <c r="E237" s="500" t="n">
        <v>80000</v>
      </c>
      <c r="F237" s="499" t="n"/>
      <c r="G237" s="32" t="inlineStr">
        <is>
          <t>THAOPTT.HCM.VTA</t>
        </is>
      </c>
      <c r="H237" s="32" t="inlineStr">
        <is>
          <t xml:space="preserve">Post </t>
        </is>
      </c>
      <c r="I237" s="530">
        <f>IF(LEN(A237)=5,E237,0)</f>
        <v/>
      </c>
      <c r="J237" s="531">
        <f>IF(LEFT(A237,11)="Tài khoản: ",MID(A237,12,5),J236)</f>
        <v/>
      </c>
    </row>
    <row r="238">
      <c r="A238" s="30" t="n">
        <v>46295</v>
      </c>
      <c r="B238" s="31" t="inlineStr">
        <is>
          <t>'3173</t>
        </is>
      </c>
      <c r="C238" s="32" t="inlineStr">
        <is>
          <t>GL</t>
        </is>
      </c>
      <c r="D238" s="19" t="inlineStr">
        <is>
          <t>thuê máy photo</t>
        </is>
      </c>
      <c r="E238" s="500" t="n">
        <v>370370</v>
      </c>
      <c r="F238" s="499" t="n"/>
      <c r="G238" s="32" t="inlineStr">
        <is>
          <t>THAOPTT.HCM.VTA</t>
        </is>
      </c>
      <c r="H238" s="32" t="inlineStr">
        <is>
          <t xml:space="preserve">Post </t>
        </is>
      </c>
      <c r="I238" s="530">
        <f>IF(LEN(A238)=5,E238,0)</f>
        <v/>
      </c>
      <c r="J238" s="531">
        <f>IF(LEFT(A238,11)="Tài khoản: ",MID(A238,12,5),J237)</f>
        <v/>
      </c>
    </row>
    <row r="239">
      <c r="A239" s="30" t="n">
        <v>46295</v>
      </c>
      <c r="B239" s="31" t="inlineStr">
        <is>
          <t>'3173</t>
        </is>
      </c>
      <c r="C239" s="32" t="inlineStr">
        <is>
          <t>GL</t>
        </is>
      </c>
      <c r="D239" s="19" t="inlineStr">
        <is>
          <t>cước taxi xanh SM</t>
        </is>
      </c>
      <c r="E239" s="500" t="n">
        <v>265366</v>
      </c>
      <c r="F239" s="499" t="n"/>
      <c r="G239" s="32" t="inlineStr">
        <is>
          <t>THAOPTT.HCM.VTA</t>
        </is>
      </c>
      <c r="H239" s="32" t="inlineStr">
        <is>
          <t xml:space="preserve">Post </t>
        </is>
      </c>
      <c r="I239" s="530">
        <f>IF(LEN(A239)=5,E239,0)</f>
        <v/>
      </c>
      <c r="J239" s="531">
        <f>IF(LEFT(A239,11)="Tài khoản: ",MID(A239,12,5),J238)</f>
        <v/>
      </c>
    </row>
    <row r="240">
      <c r="A240" s="30" t="n">
        <v>46295</v>
      </c>
      <c r="B240" s="31" t="inlineStr">
        <is>
          <t>'3173</t>
        </is>
      </c>
      <c r="C240" s="32" t="inlineStr">
        <is>
          <t>GL</t>
        </is>
      </c>
      <c r="D240" s="19" t="inlineStr">
        <is>
          <t>cước taxi</t>
        </is>
      </c>
      <c r="E240" s="500" t="n">
        <v>10593</v>
      </c>
      <c r="F240" s="499" t="n"/>
      <c r="G240" s="32" t="inlineStr">
        <is>
          <t>THAOPTT.HCM.VTA</t>
        </is>
      </c>
      <c r="H240" s="32" t="inlineStr">
        <is>
          <t xml:space="preserve">Post </t>
        </is>
      </c>
      <c r="I240" s="530">
        <f>IF(LEN(A240)=5,E240,0)</f>
        <v/>
      </c>
      <c r="J240" s="531">
        <f>IF(LEFT(A240,11)="Tài khoản: ",MID(A240,12,5),J239)</f>
        <v/>
      </c>
    </row>
    <row r="241">
      <c r="A241" s="30" t="n">
        <v>46295</v>
      </c>
      <c r="B241" s="31" t="inlineStr">
        <is>
          <t>'3173</t>
        </is>
      </c>
      <c r="C241" s="32" t="inlineStr">
        <is>
          <t>GL</t>
        </is>
      </c>
      <c r="D241" s="19" t="inlineStr">
        <is>
          <t>nước uống CBNV</t>
        </is>
      </c>
      <c r="E241" s="500" t="n">
        <v>16800</v>
      </c>
      <c r="F241" s="499" t="n"/>
      <c r="G241" s="32" t="inlineStr">
        <is>
          <t>THAOPTT.HCM.VTA</t>
        </is>
      </c>
      <c r="H241" s="32" t="inlineStr">
        <is>
          <t xml:space="preserve">Post </t>
        </is>
      </c>
      <c r="I241" s="530">
        <f>IF(LEN(A241)=5,E241,0)</f>
        <v/>
      </c>
      <c r="J241" s="531">
        <f>IF(LEFT(A241,11)="Tài khoản: ",MID(A241,12,5),J240)</f>
        <v/>
      </c>
    </row>
    <row r="242">
      <c r="A242" s="30" t="n">
        <v>46295</v>
      </c>
      <c r="B242" s="31" t="inlineStr">
        <is>
          <t>'3173</t>
        </is>
      </c>
      <c r="C242" s="32" t="inlineStr">
        <is>
          <t>GL</t>
        </is>
      </c>
      <c r="D242" s="19" t="inlineStr">
        <is>
          <t>nước uống CBNV</t>
        </is>
      </c>
      <c r="E242" s="500" t="n">
        <v>12000</v>
      </c>
      <c r="F242" s="499" t="n"/>
      <c r="G242" s="32" t="inlineStr">
        <is>
          <t>THAOPTT.HCM.VTA</t>
        </is>
      </c>
      <c r="H242" s="32" t="inlineStr">
        <is>
          <t xml:space="preserve">Post </t>
        </is>
      </c>
      <c r="I242" s="530">
        <f>IF(LEN(A242)=5,E242,0)</f>
        <v/>
      </c>
      <c r="J242" s="531">
        <f>IF(LEFT(A242,11)="Tài khoản: ",MID(A242,12,5),J241)</f>
        <v/>
      </c>
    </row>
    <row r="243">
      <c r="A243" s="30" t="n">
        <v>46295</v>
      </c>
      <c r="B243" s="31" t="inlineStr">
        <is>
          <t>'3173</t>
        </is>
      </c>
      <c r="C243" s="32" t="inlineStr">
        <is>
          <t>GL</t>
        </is>
      </c>
      <c r="D243" s="19" t="inlineStr">
        <is>
          <t>nước uống CBNV</t>
        </is>
      </c>
      <c r="E243" s="500" t="n">
        <v>129360</v>
      </c>
      <c r="F243" s="499" t="n"/>
      <c r="G243" s="32" t="inlineStr">
        <is>
          <t>THAOPTT.HCM.VTA</t>
        </is>
      </c>
      <c r="H243" s="32" t="inlineStr">
        <is>
          <t xml:space="preserve">Post </t>
        </is>
      </c>
      <c r="I243" s="530">
        <f>IF(LEN(A243)=5,E243,0)</f>
        <v/>
      </c>
      <c r="J243" s="531">
        <f>IF(LEFT(A243,11)="Tài khoản: ",MID(A243,12,5),J242)</f>
        <v/>
      </c>
    </row>
    <row r="244">
      <c r="A244" s="30" t="n">
        <v>46295</v>
      </c>
      <c r="B244" s="31" t="inlineStr">
        <is>
          <t>'3173</t>
        </is>
      </c>
      <c r="C244" s="32" t="inlineStr">
        <is>
          <t>GL</t>
        </is>
      </c>
      <c r="D244" s="19" t="inlineStr">
        <is>
          <t>nước uống CBNV</t>
        </is>
      </c>
      <c r="E244" s="500" t="n">
        <v>40040</v>
      </c>
      <c r="F244" s="499" t="n"/>
      <c r="G244" s="32" t="inlineStr">
        <is>
          <t>THAOPTT.HCM.VTA</t>
        </is>
      </c>
      <c r="H244" s="32" t="inlineStr">
        <is>
          <t xml:space="preserve">Post </t>
        </is>
      </c>
      <c r="I244" s="530">
        <f>IF(LEN(A244)=5,E244,0)</f>
        <v/>
      </c>
      <c r="J244" s="531">
        <f>IF(LEFT(A244,11)="Tài khoản: ",MID(A244,12,5),J243)</f>
        <v/>
      </c>
    </row>
    <row r="245">
      <c r="A245" s="30" t="n">
        <v>46295</v>
      </c>
      <c r="B245" s="31" t="inlineStr">
        <is>
          <t>'3173</t>
        </is>
      </c>
      <c r="C245" s="32" t="inlineStr">
        <is>
          <t>GL</t>
        </is>
      </c>
      <c r="D245" s="19" t="inlineStr">
        <is>
          <t>nước sinh hoạt tháng 8-2026</t>
        </is>
      </c>
      <c r="E245" s="500" t="n">
        <v>134550</v>
      </c>
      <c r="F245" s="499" t="n"/>
      <c r="G245" s="32" t="inlineStr">
        <is>
          <t>THAOPTT.HCM.VTA</t>
        </is>
      </c>
      <c r="H245" s="32" t="inlineStr">
        <is>
          <t xml:space="preserve">Post </t>
        </is>
      </c>
      <c r="I245" s="530">
        <f>IF(LEN(A245)=5,E245,0)</f>
        <v/>
      </c>
      <c r="J245" s="531">
        <f>IF(LEFT(A245,11)="Tài khoản: ",MID(A245,12,5),J244)</f>
        <v/>
      </c>
    </row>
    <row r="246">
      <c r="A246" s="30" t="n">
        <v>46295</v>
      </c>
      <c r="B246" s="31" t="inlineStr">
        <is>
          <t>'3173</t>
        </is>
      </c>
      <c r="C246" s="32" t="inlineStr">
        <is>
          <t>GL</t>
        </is>
      </c>
      <c r="D246" s="19" t="inlineStr">
        <is>
          <t>nước sinh hoạt tháng 8-2026</t>
        </is>
      </c>
      <c r="E246" s="500" t="n">
        <v>19050</v>
      </c>
      <c r="F246" s="499" t="n"/>
      <c r="G246" s="32" t="inlineStr">
        <is>
          <t>THAOPTT.HCM.VTA</t>
        </is>
      </c>
      <c r="H246" s="32" t="inlineStr">
        <is>
          <t xml:space="preserve">Post </t>
        </is>
      </c>
      <c r="I246" s="530">
        <f>IF(LEN(A246)=5,E246,0)</f>
        <v/>
      </c>
      <c r="J246" s="531">
        <f>IF(LEFT(A246,11)="Tài khoản: ",MID(A246,12,5),J245)</f>
        <v/>
      </c>
    </row>
    <row r="247">
      <c r="A247" s="30" t="n">
        <v>46295</v>
      </c>
      <c r="B247" s="31" t="inlineStr">
        <is>
          <t>'3173</t>
        </is>
      </c>
      <c r="C247" s="32" t="inlineStr">
        <is>
          <t>GL</t>
        </is>
      </c>
      <c r="D247" s="19" t="inlineStr">
        <is>
          <t>nước sinh hoạt tháng 8-2026</t>
        </is>
      </c>
      <c r="E247" s="500" t="n">
        <v>36195</v>
      </c>
      <c r="F247" s="499" t="n"/>
      <c r="G247" s="32" t="inlineStr">
        <is>
          <t>THAOPTT.HCM.VTA</t>
        </is>
      </c>
      <c r="H247" s="32" t="inlineStr">
        <is>
          <t xml:space="preserve">Post </t>
        </is>
      </c>
      <c r="I247" s="530">
        <f>IF(LEN(A247)=5,E247,0)</f>
        <v/>
      </c>
      <c r="J247" s="531">
        <f>IF(LEFT(A247,11)="Tài khoản: ",MID(A247,12,5),J246)</f>
        <v/>
      </c>
    </row>
    <row r="248">
      <c r="A248" s="30" t="n">
        <v>46295</v>
      </c>
      <c r="B248" s="31" t="inlineStr">
        <is>
          <t>'3173</t>
        </is>
      </c>
      <c r="C248" s="32" t="inlineStr">
        <is>
          <t>GL</t>
        </is>
      </c>
      <c r="D248" s="19" t="inlineStr">
        <is>
          <t>đặt ăn</t>
        </is>
      </c>
      <c r="E248" s="500" t="n">
        <v>518560</v>
      </c>
      <c r="F248" s="499" t="n"/>
      <c r="G248" s="32" t="inlineStr">
        <is>
          <t>THAOPTT.HCM.VTA</t>
        </is>
      </c>
      <c r="H248" s="32" t="inlineStr">
        <is>
          <t xml:space="preserve">Post </t>
        </is>
      </c>
      <c r="I248" s="530">
        <f>IF(LEN(A248)=5,E248,0)</f>
        <v/>
      </c>
      <c r="J248" s="531">
        <f>IF(LEFT(A248,11)="Tài khoản: ",MID(A248,12,5),J247)</f>
        <v/>
      </c>
    </row>
    <row r="249">
      <c r="A249" s="30" t="n">
        <v>46295</v>
      </c>
      <c r="B249" s="31" t="inlineStr">
        <is>
          <t>'3173</t>
        </is>
      </c>
      <c r="C249" s="32" t="inlineStr">
        <is>
          <t>GL</t>
        </is>
      </c>
      <c r="D249" s="19" t="inlineStr">
        <is>
          <t>thuê máy photo tháng 08-2026</t>
        </is>
      </c>
      <c r="E249" s="500" t="n">
        <v>488330</v>
      </c>
      <c r="F249" s="499" t="n"/>
      <c r="G249" s="32" t="inlineStr">
        <is>
          <t>THAOPTT.HCM.VTA</t>
        </is>
      </c>
      <c r="H249" s="32" t="inlineStr">
        <is>
          <t xml:space="preserve">Post </t>
        </is>
      </c>
      <c r="I249" s="530">
        <f>IF(LEN(A249)=5,E249,0)</f>
        <v/>
      </c>
      <c r="J249" s="531">
        <f>IF(LEFT(A249,11)="Tài khoản: ",MID(A249,12,5),J248)</f>
        <v/>
      </c>
    </row>
    <row r="250">
      <c r="A250" s="30" t="n">
        <v>46295</v>
      </c>
      <c r="B250" s="31" t="inlineStr">
        <is>
          <t>'3173</t>
        </is>
      </c>
      <c r="C250" s="32" t="inlineStr">
        <is>
          <t>GL</t>
        </is>
      </c>
      <c r="D250" s="19" t="inlineStr">
        <is>
          <t>thuê máy photo tháng 08-2026</t>
        </is>
      </c>
      <c r="E250" s="500" t="n">
        <v>472529</v>
      </c>
      <c r="F250" s="499" t="n"/>
      <c r="G250" s="32" t="inlineStr">
        <is>
          <t>THAOPTT.HCM.VTA</t>
        </is>
      </c>
      <c r="H250" s="32" t="inlineStr">
        <is>
          <t xml:space="preserve">Post </t>
        </is>
      </c>
      <c r="I250" s="530">
        <f>IF(LEN(A250)=5,E250,0)</f>
        <v/>
      </c>
      <c r="J250" s="531">
        <f>IF(LEFT(A250,11)="Tài khoản: ",MID(A250,12,5),J249)</f>
        <v/>
      </c>
    </row>
    <row r="251">
      <c r="A251" s="30" t="n">
        <v>46295</v>
      </c>
      <c r="B251" s="31" t="inlineStr">
        <is>
          <t>'3173</t>
        </is>
      </c>
      <c r="C251" s="32" t="inlineStr">
        <is>
          <t>GL</t>
        </is>
      </c>
      <c r="D251" s="19" t="inlineStr">
        <is>
          <t>thuê máy photo tháng 08-2026</t>
        </is>
      </c>
      <c r="E251" s="500" t="n">
        <v>370693</v>
      </c>
      <c r="F251" s="499" t="n"/>
      <c r="G251" s="32" t="inlineStr">
        <is>
          <t>THAOPTT.HCM.VTA</t>
        </is>
      </c>
      <c r="H251" s="32" t="inlineStr">
        <is>
          <t xml:space="preserve">Post </t>
        </is>
      </c>
      <c r="I251" s="530">
        <f>IF(LEN(A251)=5,E251,0)</f>
        <v/>
      </c>
      <c r="J251" s="531">
        <f>IF(LEFT(A251,11)="Tài khoản: ",MID(A251,12,5),J250)</f>
        <v/>
      </c>
    </row>
    <row r="252">
      <c r="A252" s="30" t="n">
        <v>46295</v>
      </c>
      <c r="B252" s="31" t="inlineStr">
        <is>
          <t>'3173</t>
        </is>
      </c>
      <c r="C252" s="32" t="inlineStr">
        <is>
          <t>GL</t>
        </is>
      </c>
      <c r="D252" s="19" t="inlineStr">
        <is>
          <t>thuê máy photo tháng 08-2026</t>
        </is>
      </c>
      <c r="E252" s="500" t="n">
        <v>391539</v>
      </c>
      <c r="F252" s="499" t="n"/>
      <c r="G252" s="32" t="inlineStr">
        <is>
          <t>THAOPTT.HCM.VTA</t>
        </is>
      </c>
      <c r="H252" s="32" t="inlineStr">
        <is>
          <t xml:space="preserve">Post </t>
        </is>
      </c>
      <c r="I252" s="530">
        <f>IF(LEN(A252)=5,E252,0)</f>
        <v/>
      </c>
      <c r="J252" s="531">
        <f>IF(LEFT(A252,11)="Tài khoản: ",MID(A252,12,5),J251)</f>
        <v/>
      </c>
    </row>
    <row r="253">
      <c r="A253" s="30" t="n">
        <v>46295</v>
      </c>
      <c r="B253" s="31" t="inlineStr">
        <is>
          <t>'3173</t>
        </is>
      </c>
      <c r="C253" s="32" t="inlineStr">
        <is>
          <t>GL</t>
        </is>
      </c>
      <c r="D253" s="19" t="inlineStr">
        <is>
          <t>thuê máy photo tháng 08-2026</t>
        </is>
      </c>
      <c r="E253" s="500" t="n">
        <v>370370</v>
      </c>
      <c r="F253" s="499" t="n"/>
      <c r="G253" s="32" t="inlineStr">
        <is>
          <t>THAOPTT.HCM.VTA</t>
        </is>
      </c>
      <c r="H253" s="32" t="inlineStr">
        <is>
          <t xml:space="preserve">Post </t>
        </is>
      </c>
      <c r="I253" s="530">
        <f>IF(LEN(A253)=5,E253,0)</f>
        <v/>
      </c>
      <c r="J253" s="531">
        <f>IF(LEFT(A253,11)="Tài khoản: ",MID(A253,12,5),J252)</f>
        <v/>
      </c>
    </row>
    <row r="254">
      <c r="A254" s="30" t="n">
        <v>46295</v>
      </c>
      <c r="B254" s="31" t="inlineStr">
        <is>
          <t>'3173</t>
        </is>
      </c>
      <c r="C254" s="32" t="inlineStr">
        <is>
          <t>GL</t>
        </is>
      </c>
      <c r="D254" s="19" t="inlineStr">
        <is>
          <t>cước viễn thông VNPT Côn Đảo T8-2026</t>
        </is>
      </c>
      <c r="E254" s="500" t="n">
        <v>9000</v>
      </c>
      <c r="F254" s="499" t="n"/>
      <c r="G254" s="32" t="inlineStr">
        <is>
          <t>THAOPTT.HCM.VTA</t>
        </is>
      </c>
      <c r="H254" s="32" t="inlineStr">
        <is>
          <t xml:space="preserve">Post </t>
        </is>
      </c>
      <c r="I254" s="530">
        <f>IF(LEN(A254)=5,E254,0)</f>
        <v/>
      </c>
      <c r="J254" s="531">
        <f>IF(LEFT(A254,11)="Tài khoản: ",MID(A254,12,5),J253)</f>
        <v/>
      </c>
    </row>
    <row r="255">
      <c r="A255" s="30" t="n">
        <v>46295</v>
      </c>
      <c r="B255" s="31" t="inlineStr">
        <is>
          <t>'3173</t>
        </is>
      </c>
      <c r="C255" s="32" t="inlineStr">
        <is>
          <t>GL</t>
        </is>
      </c>
      <c r="D255" s="19" t="inlineStr">
        <is>
          <t>cước viễn thông VNPT Côn Đảo T8-2026</t>
        </is>
      </c>
      <c r="E255" s="500" t="n">
        <v>4737</v>
      </c>
      <c r="F255" s="499" t="n"/>
      <c r="G255" s="32" t="inlineStr">
        <is>
          <t>THAOPTT.HCM.VTA</t>
        </is>
      </c>
      <c r="H255" s="32" t="inlineStr">
        <is>
          <t xml:space="preserve">Post </t>
        </is>
      </c>
      <c r="I255" s="530">
        <f>IF(LEN(A255)=5,E255,0)</f>
        <v/>
      </c>
      <c r="J255" s="531">
        <f>IF(LEFT(A255,11)="Tài khoản: ",MID(A255,12,5),J254)</f>
        <v/>
      </c>
    </row>
    <row r="256">
      <c r="A256" s="30" t="n">
        <v>46295</v>
      </c>
      <c r="B256" s="31" t="inlineStr">
        <is>
          <t>'3173</t>
        </is>
      </c>
      <c r="C256" s="32" t="inlineStr">
        <is>
          <t>GL</t>
        </is>
      </c>
      <c r="D256" s="19" t="inlineStr">
        <is>
          <t>cước viễn thông VNPT Côn Đảo T8-2026</t>
        </is>
      </c>
      <c r="E256" s="500" t="n">
        <v>9227</v>
      </c>
      <c r="F256" s="499" t="n"/>
      <c r="G256" s="32" t="inlineStr">
        <is>
          <t>THAOPTT.HCM.VTA</t>
        </is>
      </c>
      <c r="H256" s="32" t="inlineStr">
        <is>
          <t xml:space="preserve">Post </t>
        </is>
      </c>
      <c r="I256" s="530">
        <f>IF(LEN(A256)=5,E256,0)</f>
        <v/>
      </c>
      <c r="J256" s="531">
        <f>IF(LEFT(A256,11)="Tài khoản: ",MID(A256,12,5),J255)</f>
        <v/>
      </c>
    </row>
    <row r="257">
      <c r="A257" s="30" t="n">
        <v>46295</v>
      </c>
      <c r="B257" s="31" t="inlineStr">
        <is>
          <t>'3173</t>
        </is>
      </c>
      <c r="C257" s="32" t="inlineStr">
        <is>
          <t>GL</t>
        </is>
      </c>
      <c r="D257" s="19" t="inlineStr">
        <is>
          <t>cước viễn thông VNPT Côn Đảo T8-2026</t>
        </is>
      </c>
      <c r="E257" s="500" t="n">
        <v>2000</v>
      </c>
      <c r="F257" s="499" t="n"/>
      <c r="G257" s="32" t="inlineStr">
        <is>
          <t>THAOPTT.HCM.VTA</t>
        </is>
      </c>
      <c r="H257" s="32" t="inlineStr">
        <is>
          <t xml:space="preserve">Post </t>
        </is>
      </c>
      <c r="I257" s="530">
        <f>IF(LEN(A257)=5,E257,0)</f>
        <v/>
      </c>
      <c r="J257" s="531">
        <f>IF(LEFT(A257,11)="Tài khoản: ",MID(A257,12,5),J256)</f>
        <v/>
      </c>
    </row>
    <row r="258">
      <c r="A258" s="30" t="n">
        <v>46295</v>
      </c>
      <c r="B258" s="31" t="inlineStr">
        <is>
          <t>'3173</t>
        </is>
      </c>
      <c r="C258" s="32" t="inlineStr">
        <is>
          <t>GL</t>
        </is>
      </c>
      <c r="D258" s="19" t="inlineStr">
        <is>
          <t>cước viễn thông VNPT Côn Đảo T8-2026</t>
        </is>
      </c>
      <c r="E258" s="500" t="n">
        <v>90000</v>
      </c>
      <c r="F258" s="499" t="n"/>
      <c r="G258" s="32" t="inlineStr">
        <is>
          <t>THAOPTT.HCM.VTA</t>
        </is>
      </c>
      <c r="H258" s="32" t="inlineStr">
        <is>
          <t xml:space="preserve">Post </t>
        </is>
      </c>
      <c r="I258" s="530">
        <f>IF(LEN(A258)=5,E258,0)</f>
        <v/>
      </c>
      <c r="J258" s="531">
        <f>IF(LEFT(A258,11)="Tài khoản: ",MID(A258,12,5),J257)</f>
        <v/>
      </c>
    </row>
    <row r="259">
      <c r="A259" s="30" t="n">
        <v>46295</v>
      </c>
      <c r="B259" s="31" t="inlineStr">
        <is>
          <t>'3173</t>
        </is>
      </c>
      <c r="C259" s="32" t="inlineStr">
        <is>
          <t>GL</t>
        </is>
      </c>
      <c r="D259" s="19" t="inlineStr">
        <is>
          <t>cước viễn thông VNPT Côn Đảo T8-2026</t>
        </is>
      </c>
      <c r="E259" s="500" t="n">
        <v>23000</v>
      </c>
      <c r="F259" s="499" t="n"/>
      <c r="G259" s="32" t="inlineStr">
        <is>
          <t>THAOPTT.HCM.VTA</t>
        </is>
      </c>
      <c r="H259" s="32" t="inlineStr">
        <is>
          <t xml:space="preserve">Post </t>
        </is>
      </c>
      <c r="I259" s="530">
        <f>IF(LEN(A259)=5,E259,0)</f>
        <v/>
      </c>
      <c r="J259" s="531">
        <f>IF(LEFT(A259,11)="Tài khoản: ",MID(A259,12,5),J258)</f>
        <v/>
      </c>
    </row>
    <row r="260">
      <c r="A260" s="30" t="n">
        <v>46295</v>
      </c>
      <c r="B260" s="31" t="inlineStr">
        <is>
          <t>'3175</t>
        </is>
      </c>
      <c r="C260" s="32" t="inlineStr">
        <is>
          <t>GL</t>
        </is>
      </c>
      <c r="D260" s="19" t="inlineStr">
        <is>
          <t>THUẾ GTGT ĐIỆN MTMN T08-2026</t>
        </is>
      </c>
      <c r="E260" s="500" t="n">
        <v>18100811</v>
      </c>
      <c r="F260" s="499" t="n"/>
      <c r="G260" s="32" t="inlineStr">
        <is>
          <t>THAOPTT.HCM.VTA</t>
        </is>
      </c>
      <c r="H260" s="32" t="inlineStr">
        <is>
          <t xml:space="preserve">Post </t>
        </is>
      </c>
      <c r="I260" s="530">
        <f>IF(LEN(A260)=5,E260,0)</f>
        <v/>
      </c>
      <c r="J260" s="531">
        <f>IF(LEFT(A260,11)="Tài khoản: ",MID(A260,12,5),J259)</f>
        <v/>
      </c>
    </row>
    <row r="261">
      <c r="A261" s="30" t="n">
        <v>46295</v>
      </c>
      <c r="B261" s="31" t="inlineStr">
        <is>
          <t>'3175</t>
        </is>
      </c>
      <c r="C261" s="32" t="inlineStr">
        <is>
          <t>GL</t>
        </is>
      </c>
      <c r="D261" s="19" t="inlineStr">
        <is>
          <t>THUẾ GTGT ĐIỆN MTMN T08-2026</t>
        </is>
      </c>
      <c r="E261" s="500" t="n">
        <v>17711638</v>
      </c>
      <c r="F261" s="499" t="n"/>
      <c r="G261" s="32" t="inlineStr">
        <is>
          <t>THAOPTT.HCM.VTA</t>
        </is>
      </c>
      <c r="H261" s="32" t="inlineStr">
        <is>
          <t xml:space="preserve">Post </t>
        </is>
      </c>
      <c r="I261" s="530">
        <f>IF(LEN(A261)=5,E261,0)</f>
        <v/>
      </c>
      <c r="J261" s="531">
        <f>IF(LEFT(A261,11)="Tài khoản: ",MID(A261,12,5),J260)</f>
        <v/>
      </c>
    </row>
    <row r="262">
      <c r="A262" s="30" t="n">
        <v>46295</v>
      </c>
      <c r="B262" s="31" t="inlineStr">
        <is>
          <t>'3175</t>
        </is>
      </c>
      <c r="C262" s="32" t="inlineStr">
        <is>
          <t>GL</t>
        </is>
      </c>
      <c r="D262" s="19" t="inlineStr">
        <is>
          <t>THUẾ GTGT ĐIỆN MTMN T08-2026</t>
        </is>
      </c>
      <c r="E262" s="500" t="n">
        <v>17634511</v>
      </c>
      <c r="F262" s="499" t="n"/>
      <c r="G262" s="32" t="inlineStr">
        <is>
          <t>THAOPTT.HCM.VTA</t>
        </is>
      </c>
      <c r="H262" s="32" t="inlineStr">
        <is>
          <t xml:space="preserve">Post </t>
        </is>
      </c>
      <c r="I262" s="530">
        <f>IF(LEN(A262)=5,E262,0)</f>
        <v/>
      </c>
      <c r="J262" s="531">
        <f>IF(LEFT(A262,11)="Tài khoản: ",MID(A262,12,5),J261)</f>
        <v/>
      </c>
    </row>
    <row r="263">
      <c r="A263" s="30" t="n">
        <v>46295</v>
      </c>
      <c r="B263" s="31" t="inlineStr">
        <is>
          <t>'3175</t>
        </is>
      </c>
      <c r="C263" s="32" t="inlineStr">
        <is>
          <t>GL</t>
        </is>
      </c>
      <c r="D263" s="19" t="inlineStr">
        <is>
          <t>THUẾ GTGT ĐIỆN MTMN T08-2026</t>
        </is>
      </c>
      <c r="E263" s="500" t="n">
        <v>17986636</v>
      </c>
      <c r="F263" s="499" t="n"/>
      <c r="G263" s="32" t="inlineStr">
        <is>
          <t>THAOPTT.HCM.VTA</t>
        </is>
      </c>
      <c r="H263" s="32" t="inlineStr">
        <is>
          <t xml:space="preserve">Post </t>
        </is>
      </c>
      <c r="I263" s="530">
        <f>IF(LEN(A263)=5,E263,0)</f>
        <v/>
      </c>
      <c r="J263" s="531">
        <f>IF(LEFT(A263,11)="Tài khoản: ",MID(A263,12,5),J262)</f>
        <v/>
      </c>
    </row>
    <row r="264">
      <c r="A264" s="30" t="n">
        <v>46295</v>
      </c>
      <c r="B264" s="31" t="inlineStr">
        <is>
          <t>'3175</t>
        </is>
      </c>
      <c r="C264" s="32" t="inlineStr">
        <is>
          <t>GL</t>
        </is>
      </c>
      <c r="D264" s="19" t="inlineStr">
        <is>
          <t>THUẾ GTGT ĐIỆN MTMN T08-2026</t>
        </is>
      </c>
      <c r="E264" s="500" t="n">
        <v>17536502</v>
      </c>
      <c r="F264" s="499" t="n"/>
      <c r="G264" s="32" t="inlineStr">
        <is>
          <t>THAOPTT.HCM.VTA</t>
        </is>
      </c>
      <c r="H264" s="32" t="inlineStr">
        <is>
          <t xml:space="preserve">Post </t>
        </is>
      </c>
      <c r="I264" s="530">
        <f>IF(LEN(A264)=5,E264,0)</f>
        <v/>
      </c>
      <c r="J264" s="531">
        <f>IF(LEFT(A264,11)="Tài khoản: ",MID(A264,12,5),J263)</f>
        <v/>
      </c>
    </row>
    <row r="265">
      <c r="A265" s="30" t="n">
        <v>46295</v>
      </c>
      <c r="B265" s="31" t="inlineStr">
        <is>
          <t>'3175</t>
        </is>
      </c>
      <c r="C265" s="32" t="inlineStr">
        <is>
          <t>GL</t>
        </is>
      </c>
      <c r="D265" s="19" t="inlineStr">
        <is>
          <t>THUẾ GTGT ĐIỆN MTMN T08-2026</t>
        </is>
      </c>
      <c r="E265" s="500" t="n">
        <v>16540585</v>
      </c>
      <c r="F265" s="499" t="n"/>
      <c r="G265" s="32" t="inlineStr">
        <is>
          <t>THAOPTT.HCM.VTA</t>
        </is>
      </c>
      <c r="H265" s="32" t="inlineStr">
        <is>
          <t xml:space="preserve">Post </t>
        </is>
      </c>
      <c r="I265" s="530">
        <f>IF(LEN(A265)=5,E265,0)</f>
        <v/>
      </c>
      <c r="J265" s="531">
        <f>IF(LEFT(A265,11)="Tài khoản: ",MID(A265,12,5),J264)</f>
        <v/>
      </c>
    </row>
    <row r="266">
      <c r="A266" s="30" t="n">
        <v>46295</v>
      </c>
      <c r="B266" s="31" t="inlineStr">
        <is>
          <t>'3175</t>
        </is>
      </c>
      <c r="C266" s="32" t="inlineStr">
        <is>
          <t>GL</t>
        </is>
      </c>
      <c r="D266" s="19" t="inlineStr">
        <is>
          <t>THUẾ GTGT ĐIỆN MTMN T08-2026</t>
        </is>
      </c>
      <c r="E266" s="500" t="n">
        <v>20478282</v>
      </c>
      <c r="F266" s="499" t="n"/>
      <c r="G266" s="32" t="inlineStr">
        <is>
          <t>THAOPTT.HCM.VTA</t>
        </is>
      </c>
      <c r="H266" s="32" t="inlineStr">
        <is>
          <t xml:space="preserve">Post </t>
        </is>
      </c>
      <c r="I266" s="530">
        <f>IF(LEN(A266)=5,E266,0)</f>
        <v/>
      </c>
      <c r="J266" s="531">
        <f>IF(LEFT(A266,11)="Tài khoản: ",MID(A266,12,5),J265)</f>
        <v/>
      </c>
    </row>
    <row r="267">
      <c r="A267" s="30" t="n">
        <v>46295</v>
      </c>
      <c r="B267" s="31" t="inlineStr">
        <is>
          <t>'3175</t>
        </is>
      </c>
      <c r="C267" s="32" t="inlineStr">
        <is>
          <t>GL</t>
        </is>
      </c>
      <c r="D267" s="19" t="inlineStr">
        <is>
          <t>THUẾ GTGT ĐIỆN MTMN T08-2026</t>
        </is>
      </c>
      <c r="E267" s="500" t="n">
        <v>11492626</v>
      </c>
      <c r="F267" s="499" t="n"/>
      <c r="G267" s="32" t="inlineStr">
        <is>
          <t>THAOPTT.HCM.VTA</t>
        </is>
      </c>
      <c r="H267" s="32" t="inlineStr">
        <is>
          <t xml:space="preserve">Post </t>
        </is>
      </c>
      <c r="I267" s="530">
        <f>IF(LEN(A267)=5,E267,0)</f>
        <v/>
      </c>
      <c r="J267" s="531">
        <f>IF(LEFT(A267,11)="Tài khoản: ",MID(A267,12,5),J266)</f>
        <v/>
      </c>
    </row>
    <row r="268">
      <c r="A268" s="30" t="n">
        <v>46295</v>
      </c>
      <c r="B268" s="31" t="inlineStr">
        <is>
          <t>'3175</t>
        </is>
      </c>
      <c r="C268" s="32" t="inlineStr">
        <is>
          <t>GL</t>
        </is>
      </c>
      <c r="D268" s="19" t="inlineStr">
        <is>
          <t>THUẾ GTGT ĐIỆN MTMN T08-2026</t>
        </is>
      </c>
      <c r="E268" s="500" t="n">
        <v>16743844</v>
      </c>
      <c r="F268" s="499" t="n"/>
      <c r="G268" s="32" t="inlineStr">
        <is>
          <t>THAOPTT.HCM.VTA</t>
        </is>
      </c>
      <c r="H268" s="32" t="inlineStr">
        <is>
          <t xml:space="preserve">Post </t>
        </is>
      </c>
      <c r="I268" s="530">
        <f>IF(LEN(A268)=5,E268,0)</f>
        <v/>
      </c>
      <c r="J268" s="531">
        <f>IF(LEFT(A268,11)="Tài khoản: ",MID(A268,12,5),J267)</f>
        <v/>
      </c>
    </row>
    <row r="269">
      <c r="A269" s="30" t="n">
        <v>46295</v>
      </c>
      <c r="B269" s="31" t="inlineStr">
        <is>
          <t>'3175</t>
        </is>
      </c>
      <c r="C269" s="32" t="inlineStr">
        <is>
          <t>GL</t>
        </is>
      </c>
      <c r="D269" s="19" t="inlineStr">
        <is>
          <t>THUẾ GTGT ĐIỆN MTMN T08-2026</t>
        </is>
      </c>
      <c r="E269" s="500" t="n">
        <v>9989488</v>
      </c>
      <c r="F269" s="499" t="n"/>
      <c r="G269" s="32" t="inlineStr">
        <is>
          <t>THAOPTT.HCM.VTA</t>
        </is>
      </c>
      <c r="H269" s="32" t="inlineStr">
        <is>
          <t xml:space="preserve">Post </t>
        </is>
      </c>
      <c r="I269" s="530">
        <f>IF(LEN(A269)=5,E269,0)</f>
        <v/>
      </c>
      <c r="J269" s="531">
        <f>IF(LEFT(A269,11)="Tài khoản: ",MID(A269,12,5),J268)</f>
        <v/>
      </c>
    </row>
    <row r="270">
      <c r="A270" s="30" t="n">
        <v>46295</v>
      </c>
      <c r="B270" s="31" t="inlineStr">
        <is>
          <t>'3175</t>
        </is>
      </c>
      <c r="C270" s="32" t="inlineStr">
        <is>
          <t>GL</t>
        </is>
      </c>
      <c r="D270" s="19" t="inlineStr">
        <is>
          <t>THUẾ GTGT ĐIỆN MTMN T08-2026</t>
        </is>
      </c>
      <c r="E270" s="500" t="n">
        <v>4847731</v>
      </c>
      <c r="F270" s="499" t="n"/>
      <c r="G270" s="32" t="inlineStr">
        <is>
          <t>THAOPTT.HCM.VTA</t>
        </is>
      </c>
      <c r="H270" s="32" t="inlineStr">
        <is>
          <t xml:space="preserve">Post </t>
        </is>
      </c>
      <c r="I270" s="530">
        <f>IF(LEN(A270)=5,E270,0)</f>
        <v/>
      </c>
      <c r="J270" s="531">
        <f>IF(LEFT(A270,11)="Tài khoản: ",MID(A270,12,5),J269)</f>
        <v/>
      </c>
    </row>
    <row r="271">
      <c r="A271" s="30" t="n">
        <v>46295</v>
      </c>
      <c r="B271" s="31" t="inlineStr">
        <is>
          <t>'3175</t>
        </is>
      </c>
      <c r="C271" s="32" t="inlineStr">
        <is>
          <t>GL</t>
        </is>
      </c>
      <c r="D271" s="19" t="inlineStr">
        <is>
          <t>THUẾ GTGT ĐIỆN MTMN T08-2026</t>
        </is>
      </c>
      <c r="E271" s="500" t="n">
        <v>15867153</v>
      </c>
      <c r="F271" s="499" t="n"/>
      <c r="G271" s="32" t="inlineStr">
        <is>
          <t>THAOPTT.HCM.VTA</t>
        </is>
      </c>
      <c r="H271" s="32" t="inlineStr">
        <is>
          <t xml:space="preserve">Post </t>
        </is>
      </c>
      <c r="I271" s="530">
        <f>IF(LEN(A271)=5,E271,0)</f>
        <v/>
      </c>
      <c r="J271" s="531">
        <f>IF(LEFT(A271,11)="Tài khoản: ",MID(A271,12,5),J270)</f>
        <v/>
      </c>
    </row>
    <row r="272">
      <c r="A272" s="30" t="n">
        <v>46295</v>
      </c>
      <c r="B272" s="31" t="inlineStr">
        <is>
          <t>'3175</t>
        </is>
      </c>
      <c r="C272" s="32" t="inlineStr">
        <is>
          <t>GL</t>
        </is>
      </c>
      <c r="D272" s="19" t="inlineStr">
        <is>
          <t>THUẾ GTGT ĐIỆN MTMN T08-2026</t>
        </is>
      </c>
      <c r="E272" s="500" t="n">
        <v>11938213</v>
      </c>
      <c r="F272" s="499" t="n"/>
      <c r="G272" s="32" t="inlineStr">
        <is>
          <t>THAOPTT.HCM.VTA</t>
        </is>
      </c>
      <c r="H272" s="32" t="inlineStr">
        <is>
          <t xml:space="preserve">Post </t>
        </is>
      </c>
      <c r="I272" s="530">
        <f>IF(LEN(A272)=5,E272,0)</f>
        <v/>
      </c>
      <c r="J272" s="531">
        <f>IF(LEFT(A272,11)="Tài khoản: ",MID(A272,12,5),J271)</f>
        <v/>
      </c>
    </row>
    <row r="273">
      <c r="A273" s="30" t="n">
        <v>46295</v>
      </c>
      <c r="B273" s="31" t="inlineStr">
        <is>
          <t>'3175</t>
        </is>
      </c>
      <c r="C273" s="32" t="inlineStr">
        <is>
          <t>GL</t>
        </is>
      </c>
      <c r="D273" s="19" t="inlineStr">
        <is>
          <t>THUẾ GTGT ĐIỆN MTMN T08-2026</t>
        </is>
      </c>
      <c r="E273" s="500" t="n">
        <v>7405895</v>
      </c>
      <c r="F273" s="499" t="n"/>
      <c r="G273" s="32" t="inlineStr">
        <is>
          <t>THAOPTT.HCM.VTA</t>
        </is>
      </c>
      <c r="H273" s="32" t="inlineStr">
        <is>
          <t xml:space="preserve">Post </t>
        </is>
      </c>
      <c r="I273" s="530">
        <f>IF(LEN(A273)=5,E273,0)</f>
        <v/>
      </c>
      <c r="J273" s="531">
        <f>IF(LEFT(A273,11)="Tài khoản: ",MID(A273,12,5),J272)</f>
        <v/>
      </c>
    </row>
    <row r="274">
      <c r="A274" s="30" t="n">
        <v>46295</v>
      </c>
      <c r="B274" s="31" t="inlineStr">
        <is>
          <t>'3175</t>
        </is>
      </c>
      <c r="C274" s="32" t="inlineStr">
        <is>
          <t>GL</t>
        </is>
      </c>
      <c r="D274" s="19" t="inlineStr">
        <is>
          <t>THUẾ GTGT ĐIỆN MTMN T08-2026</t>
        </is>
      </c>
      <c r="E274" s="500" t="n">
        <v>14956446</v>
      </c>
      <c r="F274" s="499" t="n"/>
      <c r="G274" s="32" t="inlineStr">
        <is>
          <t>THAOPTT.HCM.VTA</t>
        </is>
      </c>
      <c r="H274" s="32" t="inlineStr">
        <is>
          <t xml:space="preserve">Post </t>
        </is>
      </c>
      <c r="I274" s="530">
        <f>IF(LEN(A274)=5,E274,0)</f>
        <v/>
      </c>
      <c r="J274" s="531">
        <f>IF(LEFT(A274,11)="Tài khoản: ",MID(A274,12,5),J273)</f>
        <v/>
      </c>
    </row>
    <row r="275">
      <c r="A275" s="30" t="n">
        <v>46295</v>
      </c>
      <c r="B275" s="31" t="inlineStr">
        <is>
          <t>'3175</t>
        </is>
      </c>
      <c r="C275" s="32" t="inlineStr">
        <is>
          <t>GL</t>
        </is>
      </c>
      <c r="D275" s="19" t="inlineStr">
        <is>
          <t>THUẾ GTGT ĐIỆN MTMN T08-2026</t>
        </is>
      </c>
      <c r="E275" s="500" t="n">
        <v>14647264</v>
      </c>
      <c r="F275" s="499" t="n"/>
      <c r="G275" s="32" t="inlineStr">
        <is>
          <t>THAOPTT.HCM.VTA</t>
        </is>
      </c>
      <c r="H275" s="32" t="inlineStr">
        <is>
          <t xml:space="preserve">Post </t>
        </is>
      </c>
      <c r="I275" s="530">
        <f>IF(LEN(A275)=5,E275,0)</f>
        <v/>
      </c>
      <c r="J275" s="531">
        <f>IF(LEFT(A275,11)="Tài khoản: ",MID(A275,12,5),J274)</f>
        <v/>
      </c>
    </row>
    <row r="276">
      <c r="A276" s="30" t="n">
        <v>46295</v>
      </c>
      <c r="B276" s="31" t="inlineStr">
        <is>
          <t>'3175</t>
        </is>
      </c>
      <c r="C276" s="32" t="inlineStr">
        <is>
          <t>GL</t>
        </is>
      </c>
      <c r="D276" s="19" t="inlineStr">
        <is>
          <t>THUẾ GTGT ĐIỆN MTMN T08-2026</t>
        </is>
      </c>
      <c r="E276" s="500" t="n">
        <v>14689027</v>
      </c>
      <c r="F276" s="499" t="n"/>
      <c r="G276" s="32" t="inlineStr">
        <is>
          <t>THAOPTT.HCM.VTA</t>
        </is>
      </c>
      <c r="H276" s="32" t="inlineStr">
        <is>
          <t xml:space="preserve">Post </t>
        </is>
      </c>
      <c r="I276" s="530">
        <f>IF(LEN(A276)=5,E276,0)</f>
        <v/>
      </c>
      <c r="J276" s="531">
        <f>IF(LEFT(A276,11)="Tài khoản: ",MID(A276,12,5),J275)</f>
        <v/>
      </c>
    </row>
    <row r="277">
      <c r="A277" s="30" t="n">
        <v>46295</v>
      </c>
      <c r="B277" s="31" t="inlineStr">
        <is>
          <t>'3175</t>
        </is>
      </c>
      <c r="C277" s="32" t="inlineStr">
        <is>
          <t>GL</t>
        </is>
      </c>
      <c r="D277" s="19" t="inlineStr">
        <is>
          <t>THUẾ GTGT ĐIỆN MTMN T08-2026</t>
        </is>
      </c>
      <c r="E277" s="500" t="n">
        <v>18704693</v>
      </c>
      <c r="F277" s="499" t="n"/>
      <c r="G277" s="32" t="inlineStr">
        <is>
          <t>THAOPTT.HCM.VTA</t>
        </is>
      </c>
      <c r="H277" s="32" t="inlineStr">
        <is>
          <t xml:space="preserve">Post </t>
        </is>
      </c>
      <c r="I277" s="530">
        <f>IF(LEN(A277)=5,E277,0)</f>
        <v/>
      </c>
      <c r="J277" s="531">
        <f>IF(LEFT(A277,11)="Tài khoản: ",MID(A277,12,5),J276)</f>
        <v/>
      </c>
    </row>
    <row r="278">
      <c r="A278" s="30" t="n">
        <v>46295</v>
      </c>
      <c r="B278" s="31" t="inlineStr">
        <is>
          <t>'3175</t>
        </is>
      </c>
      <c r="C278" s="32" t="inlineStr">
        <is>
          <t>GL</t>
        </is>
      </c>
      <c r="D278" s="19" t="inlineStr">
        <is>
          <t>THUẾ GTGT ĐIỆN MTMN T08-2026</t>
        </is>
      </c>
      <c r="E278" s="500" t="n">
        <v>18511202</v>
      </c>
      <c r="F278" s="499" t="n"/>
      <c r="G278" s="32" t="inlineStr">
        <is>
          <t>THAOPTT.HCM.VTA</t>
        </is>
      </c>
      <c r="H278" s="32" t="inlineStr">
        <is>
          <t xml:space="preserve">Post </t>
        </is>
      </c>
      <c r="I278" s="530">
        <f>IF(LEN(A278)=5,E278,0)</f>
        <v/>
      </c>
      <c r="J278" s="531">
        <f>IF(LEFT(A278,11)="Tài khoản: ",MID(A278,12,5),J277)</f>
        <v/>
      </c>
    </row>
    <row r="279">
      <c r="A279" s="30" t="n">
        <v>46295</v>
      </c>
      <c r="B279" s="31" t="inlineStr">
        <is>
          <t>'3175</t>
        </is>
      </c>
      <c r="C279" s="32" t="inlineStr">
        <is>
          <t>GL</t>
        </is>
      </c>
      <c r="D279" s="19" t="inlineStr">
        <is>
          <t>THUẾ GTGT ĐIỆN MTMN T08-2026</t>
        </is>
      </c>
      <c r="E279" s="500" t="n">
        <v>15820843</v>
      </c>
      <c r="F279" s="499" t="n"/>
      <c r="G279" s="32" t="inlineStr">
        <is>
          <t>THAOPTT.HCM.VTA</t>
        </is>
      </c>
      <c r="H279" s="32" t="inlineStr">
        <is>
          <t xml:space="preserve">Post </t>
        </is>
      </c>
      <c r="I279" s="530">
        <f>IF(LEN(A279)=5,E279,0)</f>
        <v/>
      </c>
      <c r="J279" s="531">
        <f>IF(LEFT(A279,11)="Tài khoản: ",MID(A279,12,5),J278)</f>
        <v/>
      </c>
    </row>
    <row r="280">
      <c r="A280" s="30" t="n">
        <v>46295</v>
      </c>
      <c r="B280" s="31" t="inlineStr">
        <is>
          <t>'3175</t>
        </is>
      </c>
      <c r="C280" s="32" t="inlineStr">
        <is>
          <t>GL</t>
        </is>
      </c>
      <c r="D280" s="19" t="inlineStr">
        <is>
          <t>THUẾ GTGT ĐIỆN MTMN T08-2026</t>
        </is>
      </c>
      <c r="E280" s="500" t="n">
        <v>6254544</v>
      </c>
      <c r="F280" s="499" t="n"/>
      <c r="G280" s="32" t="inlineStr">
        <is>
          <t>THAOPTT.HCM.VTA</t>
        </is>
      </c>
      <c r="H280" s="32" t="inlineStr">
        <is>
          <t xml:space="preserve">Post </t>
        </is>
      </c>
      <c r="I280" s="530">
        <f>IF(LEN(A280)=5,E280,0)</f>
        <v/>
      </c>
      <c r="J280" s="531">
        <f>IF(LEFT(A280,11)="Tài khoản: ",MID(A280,12,5),J279)</f>
        <v/>
      </c>
    </row>
    <row r="281">
      <c r="A281" s="30" t="n">
        <v>46295</v>
      </c>
      <c r="B281" s="31" t="inlineStr">
        <is>
          <t>'3175</t>
        </is>
      </c>
      <c r="C281" s="32" t="inlineStr">
        <is>
          <t>GL</t>
        </is>
      </c>
      <c r="D281" s="19" t="inlineStr">
        <is>
          <t>THUẾ GTGT ĐIỆN MTMN T08-2026</t>
        </is>
      </c>
      <c r="E281" s="500" t="n">
        <v>36880</v>
      </c>
      <c r="F281" s="499" t="n"/>
      <c r="G281" s="32" t="inlineStr">
        <is>
          <t>THAOPTT.HCM.VTA</t>
        </is>
      </c>
      <c r="H281" s="32" t="inlineStr">
        <is>
          <t xml:space="preserve">Post </t>
        </is>
      </c>
      <c r="I281" s="530">
        <f>IF(LEN(A281)=5,E281,0)</f>
        <v/>
      </c>
      <c r="J281" s="531">
        <f>IF(LEFT(A281,11)="Tài khoản: ",MID(A281,12,5),J280)</f>
        <v/>
      </c>
    </row>
    <row r="282">
      <c r="A282" s="30" t="n">
        <v>46295</v>
      </c>
      <c r="B282" s="31" t="inlineStr">
        <is>
          <t>'3175</t>
        </is>
      </c>
      <c r="C282" s="32" t="inlineStr">
        <is>
          <t>GL</t>
        </is>
      </c>
      <c r="D282" s="19" t="inlineStr">
        <is>
          <t>THUẾ GTGT ĐIỆN MTMN T08-2026</t>
        </is>
      </c>
      <c r="E282" s="500" t="n">
        <v>69212</v>
      </c>
      <c r="F282" s="499" t="n"/>
      <c r="G282" s="32" t="inlineStr">
        <is>
          <t>THAOPTT.HCM.VTA</t>
        </is>
      </c>
      <c r="H282" s="32" t="inlineStr">
        <is>
          <t xml:space="preserve">Post </t>
        </is>
      </c>
      <c r="I282" s="530">
        <f>IF(LEN(A282)=5,E282,0)</f>
        <v/>
      </c>
      <c r="J282" s="531">
        <f>IF(LEFT(A282,11)="Tài khoản: ",MID(A282,12,5),J281)</f>
        <v/>
      </c>
    </row>
    <row r="283">
      <c r="A283" s="30" t="n">
        <v>46295</v>
      </c>
      <c r="B283" s="31" t="inlineStr">
        <is>
          <t>'3175</t>
        </is>
      </c>
      <c r="C283" s="32" t="inlineStr">
        <is>
          <t>GL</t>
        </is>
      </c>
      <c r="D283" s="19" t="inlineStr">
        <is>
          <t>THUẾ GTGT ĐIỆN MTMN T08-2026</t>
        </is>
      </c>
      <c r="E283" s="500" t="n">
        <v>10946</v>
      </c>
      <c r="F283" s="499" t="n"/>
      <c r="G283" s="32" t="inlineStr">
        <is>
          <t>THAOPTT.HCM.VTA</t>
        </is>
      </c>
      <c r="H283" s="32" t="inlineStr">
        <is>
          <t xml:space="preserve">Post </t>
        </is>
      </c>
      <c r="I283" s="530">
        <f>IF(LEN(A283)=5,E283,0)</f>
        <v/>
      </c>
      <c r="J283" s="531">
        <f>IF(LEFT(A283,11)="Tài khoản: ",MID(A283,12,5),J282)</f>
        <v/>
      </c>
    </row>
    <row r="284">
      <c r="A284" s="30" t="n">
        <v>46295</v>
      </c>
      <c r="B284" s="31" t="inlineStr">
        <is>
          <t>'3175</t>
        </is>
      </c>
      <c r="C284" s="32" t="inlineStr">
        <is>
          <t>GL</t>
        </is>
      </c>
      <c r="D284" s="19" t="inlineStr">
        <is>
          <t>THUẾ GTGT ĐIỆN MTMN T01-2026</t>
        </is>
      </c>
      <c r="E284" s="500" t="n">
        <v>291669</v>
      </c>
      <c r="F284" s="499" t="n"/>
      <c r="G284" s="32" t="inlineStr">
        <is>
          <t>THAOPTT.HCM.VTA</t>
        </is>
      </c>
      <c r="H284" s="32" t="inlineStr">
        <is>
          <t xml:space="preserve">Post </t>
        </is>
      </c>
      <c r="I284" s="530">
        <f>IF(LEN(A284)=5,E284,0)</f>
        <v/>
      </c>
      <c r="J284" s="531">
        <f>IF(LEFT(A284,11)="Tài khoản: ",MID(A284,12,5),J283)</f>
        <v/>
      </c>
    </row>
    <row r="285">
      <c r="A285" s="30" t="n">
        <v>46295</v>
      </c>
      <c r="B285" s="31" t="inlineStr">
        <is>
          <t>'3175</t>
        </is>
      </c>
      <c r="C285" s="32" t="inlineStr">
        <is>
          <t>GL</t>
        </is>
      </c>
      <c r="D285" s="19" t="inlineStr">
        <is>
          <t>THUẾ GTGT ĐIỆN MTMN T02-2026</t>
        </is>
      </c>
      <c r="E285" s="500" t="n">
        <v>194165</v>
      </c>
      <c r="F285" s="499" t="n"/>
      <c r="G285" s="32" t="inlineStr">
        <is>
          <t>THAOPTT.HCM.VTA</t>
        </is>
      </c>
      <c r="H285" s="32" t="inlineStr">
        <is>
          <t xml:space="preserve">Post </t>
        </is>
      </c>
      <c r="I285" s="530">
        <f>IF(LEN(A285)=5,E285,0)</f>
        <v/>
      </c>
      <c r="J285" s="531">
        <f>IF(LEFT(A285,11)="Tài khoản: ",MID(A285,12,5),J284)</f>
        <v/>
      </c>
    </row>
    <row r="286">
      <c r="A286" s="30" t="n">
        <v>46295</v>
      </c>
      <c r="B286" s="31" t="inlineStr">
        <is>
          <t>'3175</t>
        </is>
      </c>
      <c r="C286" s="32" t="inlineStr">
        <is>
          <t>GL</t>
        </is>
      </c>
      <c r="D286" s="19" t="inlineStr">
        <is>
          <t>THUẾ GTGT ĐIỆN MTMN T03-2026</t>
        </is>
      </c>
      <c r="E286" s="500" t="n">
        <v>295374</v>
      </c>
      <c r="F286" s="499" t="n"/>
      <c r="G286" s="32" t="inlineStr">
        <is>
          <t>THAOPTT.HCM.VTA</t>
        </is>
      </c>
      <c r="H286" s="32" t="inlineStr">
        <is>
          <t xml:space="preserve">Post </t>
        </is>
      </c>
      <c r="I286" s="530">
        <f>IF(LEN(A286)=5,E286,0)</f>
        <v/>
      </c>
      <c r="J286" s="531">
        <f>IF(LEFT(A286,11)="Tài khoản: ",MID(A286,12,5),J285)</f>
        <v/>
      </c>
    </row>
    <row r="287">
      <c r="A287" s="30" t="n">
        <v>46295</v>
      </c>
      <c r="B287" s="31" t="inlineStr">
        <is>
          <t>'3175</t>
        </is>
      </c>
      <c r="C287" s="32" t="inlineStr">
        <is>
          <t>GL</t>
        </is>
      </c>
      <c r="D287" s="19" t="inlineStr">
        <is>
          <t>THUẾ GTGT ĐIỆN MTMN T04-2026</t>
        </is>
      </c>
      <c r="E287" s="500" t="n">
        <v>208984</v>
      </c>
      <c r="F287" s="499" t="n"/>
      <c r="G287" s="32" t="inlineStr">
        <is>
          <t>THAOPTT.HCM.VTA</t>
        </is>
      </c>
      <c r="H287" s="32" t="inlineStr">
        <is>
          <t xml:space="preserve">Post </t>
        </is>
      </c>
      <c r="I287" s="530">
        <f>IF(LEN(A287)=5,E287,0)</f>
        <v/>
      </c>
      <c r="J287" s="531">
        <f>IF(LEFT(A287,11)="Tài khoản: ",MID(A287,12,5),J286)</f>
        <v/>
      </c>
    </row>
    <row r="288">
      <c r="A288" s="30" t="n">
        <v>46295</v>
      </c>
      <c r="B288" s="31" t="inlineStr">
        <is>
          <t>'3175</t>
        </is>
      </c>
      <c r="C288" s="32" t="inlineStr">
        <is>
          <t>GL</t>
        </is>
      </c>
      <c r="D288" s="19" t="inlineStr">
        <is>
          <t>THUẾ GTGT ĐIỆN MTMN T05-2026</t>
        </is>
      </c>
      <c r="E288" s="500" t="n">
        <v>164695</v>
      </c>
      <c r="F288" s="499" t="n"/>
      <c r="G288" s="32" t="inlineStr">
        <is>
          <t>THAOPTT.HCM.VTA</t>
        </is>
      </c>
      <c r="H288" s="32" t="inlineStr">
        <is>
          <t xml:space="preserve">Post </t>
        </is>
      </c>
      <c r="I288" s="530">
        <f>IF(LEN(A288)=5,E288,0)</f>
        <v/>
      </c>
      <c r="J288" s="531">
        <f>IF(LEFT(A288,11)="Tài khoản: ",MID(A288,12,5),J287)</f>
        <v/>
      </c>
    </row>
    <row r="289">
      <c r="A289" s="30" t="n">
        <v>46295</v>
      </c>
      <c r="B289" s="31" t="inlineStr">
        <is>
          <t>'3175</t>
        </is>
      </c>
      <c r="C289" s="32" t="inlineStr">
        <is>
          <t>GL</t>
        </is>
      </c>
      <c r="D289" s="19" t="inlineStr">
        <is>
          <t>THUẾ GTGT ĐIỆN MTMN T06-2026</t>
        </is>
      </c>
      <c r="E289" s="500" t="n">
        <v>52878</v>
      </c>
      <c r="F289" s="499" t="n"/>
      <c r="G289" s="32" t="inlineStr">
        <is>
          <t>THAOPTT.HCM.VTA</t>
        </is>
      </c>
      <c r="H289" s="32" t="inlineStr">
        <is>
          <t xml:space="preserve">Post </t>
        </is>
      </c>
      <c r="I289" s="530">
        <f>IF(LEN(A289)=5,E289,0)</f>
        <v/>
      </c>
      <c r="J289" s="531">
        <f>IF(LEFT(A289,11)="Tài khoản: ",MID(A289,12,5),J288)</f>
        <v/>
      </c>
    </row>
    <row r="290">
      <c r="A290" s="30" t="n">
        <v>46295</v>
      </c>
      <c r="B290" s="31" t="inlineStr">
        <is>
          <t>'3175</t>
        </is>
      </c>
      <c r="C290" s="32" t="inlineStr">
        <is>
          <t>GL</t>
        </is>
      </c>
      <c r="D290" s="19" t="inlineStr">
        <is>
          <t>THUẾ GTGT ĐIỆN MTMN T08-2026</t>
        </is>
      </c>
      <c r="E290" s="500" t="n">
        <v>21491208</v>
      </c>
      <c r="F290" s="499" t="n"/>
      <c r="G290" s="32" t="inlineStr">
        <is>
          <t>THAOPTT.HCM.VTA</t>
        </is>
      </c>
      <c r="H290" s="32" t="inlineStr">
        <is>
          <t xml:space="preserve">Post </t>
        </is>
      </c>
      <c r="I290" s="530">
        <f>IF(LEN(A290)=5,E290,0)</f>
        <v/>
      </c>
      <c r="J290" s="531">
        <f>IF(LEFT(A290,11)="Tài khoản: ",MID(A290,12,5),J289)</f>
        <v/>
      </c>
    </row>
    <row r="291">
      <c r="A291" s="30" t="n">
        <v>46295</v>
      </c>
      <c r="B291" s="31" t="inlineStr">
        <is>
          <t>'3175</t>
        </is>
      </c>
      <c r="C291" s="32" t="inlineStr">
        <is>
          <t>GL</t>
        </is>
      </c>
      <c r="D291" s="19" t="inlineStr">
        <is>
          <t>THUẾ GTGT ĐIỆN MTMN T08-2026</t>
        </is>
      </c>
      <c r="E291" s="500" t="n">
        <v>18350885</v>
      </c>
      <c r="F291" s="499" t="n"/>
      <c r="G291" s="32" t="inlineStr">
        <is>
          <t>THAOPTT.HCM.VTA</t>
        </is>
      </c>
      <c r="H291" s="32" t="inlineStr">
        <is>
          <t xml:space="preserve">Post </t>
        </is>
      </c>
      <c r="I291" s="530">
        <f>IF(LEN(A291)=5,E291,0)</f>
        <v/>
      </c>
      <c r="J291" s="531">
        <f>IF(LEFT(A291,11)="Tài khoản: ",MID(A291,12,5),J290)</f>
        <v/>
      </c>
    </row>
    <row r="292">
      <c r="A292" s="30" t="n">
        <v>46295</v>
      </c>
      <c r="B292" s="31" t="inlineStr">
        <is>
          <t>'3175</t>
        </is>
      </c>
      <c r="C292" s="32" t="inlineStr">
        <is>
          <t>GL</t>
        </is>
      </c>
      <c r="D292" s="19" t="inlineStr">
        <is>
          <t>THUẾ GTGT ĐIỆN MTMN T08-2026</t>
        </is>
      </c>
      <c r="E292" s="500" t="n">
        <v>18806575</v>
      </c>
      <c r="F292" s="499" t="n"/>
      <c r="G292" s="32" t="inlineStr">
        <is>
          <t>THAOPTT.HCM.VTA</t>
        </is>
      </c>
      <c r="H292" s="32" t="inlineStr">
        <is>
          <t xml:space="preserve">Post </t>
        </is>
      </c>
      <c r="I292" s="530">
        <f>IF(LEN(A292)=5,E292,0)</f>
        <v/>
      </c>
      <c r="J292" s="531">
        <f>IF(LEFT(A292,11)="Tài khoản: ",MID(A292,12,5),J291)</f>
        <v/>
      </c>
    </row>
    <row r="293">
      <c r="A293" s="30" t="n">
        <v>46295</v>
      </c>
      <c r="B293" s="31" t="inlineStr">
        <is>
          <t>'3175</t>
        </is>
      </c>
      <c r="C293" s="32" t="inlineStr">
        <is>
          <t>GL</t>
        </is>
      </c>
      <c r="D293" s="19" t="inlineStr">
        <is>
          <t>THUẾ GTGT ĐIỆN MTMN T08-2026</t>
        </is>
      </c>
      <c r="E293" s="500" t="n">
        <v>17153224</v>
      </c>
      <c r="F293" s="499" t="n"/>
      <c r="G293" s="32" t="inlineStr">
        <is>
          <t>THAOPTT.HCM.VTA</t>
        </is>
      </c>
      <c r="H293" s="32" t="inlineStr">
        <is>
          <t xml:space="preserve">Post </t>
        </is>
      </c>
      <c r="I293" s="530">
        <f>IF(LEN(A293)=5,E293,0)</f>
        <v/>
      </c>
      <c r="J293" s="531">
        <f>IF(LEFT(A293,11)="Tài khoản: ",MID(A293,12,5),J292)</f>
        <v/>
      </c>
    </row>
    <row r="294">
      <c r="A294" s="30" t="n">
        <v>46295</v>
      </c>
      <c r="B294" s="31" t="inlineStr">
        <is>
          <t>'3175</t>
        </is>
      </c>
      <c r="C294" s="32" t="inlineStr">
        <is>
          <t>GL</t>
        </is>
      </c>
      <c r="D294" s="19" t="inlineStr">
        <is>
          <t>THUẾ GTGT ĐIỆN MTMN T08-2026</t>
        </is>
      </c>
      <c r="E294" s="500" t="n">
        <v>16772303</v>
      </c>
      <c r="F294" s="499" t="n"/>
      <c r="G294" s="32" t="inlineStr">
        <is>
          <t>THAOPTT.HCM.VTA</t>
        </is>
      </c>
      <c r="H294" s="32" t="inlineStr">
        <is>
          <t xml:space="preserve">Post </t>
        </is>
      </c>
      <c r="I294" s="530">
        <f>IF(LEN(A294)=5,E294,0)</f>
        <v/>
      </c>
      <c r="J294" s="531">
        <f>IF(LEFT(A294,11)="Tài khoản: ",MID(A294,12,5),J293)</f>
        <v/>
      </c>
    </row>
    <row r="295">
      <c r="A295" s="30" t="n">
        <v>46295</v>
      </c>
      <c r="B295" s="31" t="inlineStr">
        <is>
          <t>'3175</t>
        </is>
      </c>
      <c r="C295" s="32" t="inlineStr">
        <is>
          <t>GL</t>
        </is>
      </c>
      <c r="D295" s="19" t="inlineStr">
        <is>
          <t>THUẾ GTGT ĐIỆN MTMN T08-2026</t>
        </is>
      </c>
      <c r="E295" s="500" t="n">
        <v>17618176</v>
      </c>
      <c r="F295" s="499" t="n"/>
      <c r="G295" s="32" t="inlineStr">
        <is>
          <t>THAOPTT.HCM.VTA</t>
        </is>
      </c>
      <c r="H295" s="32" t="inlineStr">
        <is>
          <t xml:space="preserve">Post </t>
        </is>
      </c>
      <c r="I295" s="530">
        <f>IF(LEN(A295)=5,E295,0)</f>
        <v/>
      </c>
      <c r="J295" s="531">
        <f>IF(LEFT(A295,11)="Tài khoản: ",MID(A295,12,5),J294)</f>
        <v/>
      </c>
    </row>
    <row r="296">
      <c r="A296" s="30" t="n">
        <v>46295</v>
      </c>
      <c r="B296" s="31" t="inlineStr">
        <is>
          <t>'3175</t>
        </is>
      </c>
      <c r="C296" s="32" t="inlineStr">
        <is>
          <t>GL</t>
        </is>
      </c>
      <c r="D296" s="19" t="inlineStr">
        <is>
          <t>THUẾ GTGT ĐIỆN MTMN T08-2026</t>
        </is>
      </c>
      <c r="E296" s="500" t="n">
        <v>14570136</v>
      </c>
      <c r="F296" s="499" t="n"/>
      <c r="G296" s="32" t="inlineStr">
        <is>
          <t>THAOPTT.HCM.VTA</t>
        </is>
      </c>
      <c r="H296" s="32" t="inlineStr">
        <is>
          <t xml:space="preserve">Post </t>
        </is>
      </c>
      <c r="I296" s="530">
        <f>IF(LEN(A296)=5,E296,0)</f>
        <v/>
      </c>
      <c r="J296" s="531">
        <f>IF(LEFT(A296,11)="Tài khoản: ",MID(A296,12,5),J295)</f>
        <v/>
      </c>
    </row>
    <row r="297">
      <c r="A297" s="30" t="n">
        <v>46295</v>
      </c>
      <c r="B297" s="31" t="inlineStr">
        <is>
          <t>'3175</t>
        </is>
      </c>
      <c r="C297" s="32" t="inlineStr">
        <is>
          <t>GL</t>
        </is>
      </c>
      <c r="D297" s="19" t="inlineStr">
        <is>
          <t>THUẾ GTGT ĐIỆN MTMN T08-2026</t>
        </is>
      </c>
      <c r="E297" s="500" t="n">
        <v>11729565</v>
      </c>
      <c r="F297" s="499" t="n"/>
      <c r="G297" s="32" t="inlineStr">
        <is>
          <t>THAOPTT.HCM.VTA</t>
        </is>
      </c>
      <c r="H297" s="32" t="inlineStr">
        <is>
          <t xml:space="preserve">Post </t>
        </is>
      </c>
      <c r="I297" s="530">
        <f>IF(LEN(A297)=5,E297,0)</f>
        <v/>
      </c>
      <c r="J297" s="531">
        <f>IF(LEFT(A297,11)="Tài khoản: ",MID(A297,12,5),J296)</f>
        <v/>
      </c>
    </row>
    <row r="298">
      <c r="A298" s="30" t="n">
        <v>46295</v>
      </c>
      <c r="B298" s="31" t="inlineStr">
        <is>
          <t>'3175</t>
        </is>
      </c>
      <c r="C298" s="32" t="inlineStr">
        <is>
          <t>GL</t>
        </is>
      </c>
      <c r="D298" s="19" t="inlineStr">
        <is>
          <t>THUẾ GTGT ĐIỆN MTMN T08-2026</t>
        </is>
      </c>
      <c r="E298" s="500" t="n">
        <v>5031960</v>
      </c>
      <c r="F298" s="499" t="n"/>
      <c r="G298" s="32" t="inlineStr">
        <is>
          <t>THAOPTT.HCM.VTA</t>
        </is>
      </c>
      <c r="H298" s="32" t="inlineStr">
        <is>
          <t xml:space="preserve">Post </t>
        </is>
      </c>
      <c r="I298" s="530">
        <f>IF(LEN(A298)=5,E298,0)</f>
        <v/>
      </c>
      <c r="J298" s="531">
        <f>IF(LEFT(A298,11)="Tài khoản: ",MID(A298,12,5),J297)</f>
        <v/>
      </c>
    </row>
    <row r="299">
      <c r="A299" s="30" t="n">
        <v>46295</v>
      </c>
      <c r="B299" s="31" t="inlineStr">
        <is>
          <t>'3175</t>
        </is>
      </c>
      <c r="C299" s="32" t="inlineStr">
        <is>
          <t>GL</t>
        </is>
      </c>
      <c r="D299" s="19" t="inlineStr">
        <is>
          <t>THUẾ GTGT ĐIỆN MTMN T08-2026</t>
        </is>
      </c>
      <c r="E299" s="500" t="n">
        <v>1248181</v>
      </c>
      <c r="F299" s="499" t="n"/>
      <c r="G299" s="32" t="inlineStr">
        <is>
          <t>THAOPTT.HCM.VTA</t>
        </is>
      </c>
      <c r="H299" s="32" t="inlineStr">
        <is>
          <t xml:space="preserve">Post </t>
        </is>
      </c>
      <c r="I299" s="530">
        <f>IF(LEN(A299)=5,E299,0)</f>
        <v/>
      </c>
      <c r="J299" s="531">
        <f>IF(LEFT(A299,11)="Tài khoản: ",MID(A299,12,5),J298)</f>
        <v/>
      </c>
    </row>
    <row r="300">
      <c r="A300" s="30" t="n">
        <v>46295</v>
      </c>
      <c r="B300" s="31" t="inlineStr">
        <is>
          <t>'3175</t>
        </is>
      </c>
      <c r="C300" s="32" t="inlineStr">
        <is>
          <t>GL</t>
        </is>
      </c>
      <c r="D300" s="19" t="inlineStr">
        <is>
          <t>THUẾ GTGT ĐIỆN MTMN T08-2026</t>
        </is>
      </c>
      <c r="E300" s="500" t="n">
        <v>10604822</v>
      </c>
      <c r="F300" s="499" t="n"/>
      <c r="G300" s="32" t="inlineStr">
        <is>
          <t>THAOPTT.HCM.VTA</t>
        </is>
      </c>
      <c r="H300" s="32" t="inlineStr">
        <is>
          <t xml:space="preserve">Post </t>
        </is>
      </c>
      <c r="I300" s="530">
        <f>IF(LEN(A300)=5,E300,0)</f>
        <v/>
      </c>
      <c r="J300" s="531">
        <f>IF(LEFT(A300,11)="Tài khoản: ",MID(A300,12,5),J299)</f>
        <v/>
      </c>
    </row>
    <row r="301">
      <c r="A301" s="30" t="n">
        <v>46295</v>
      </c>
      <c r="B301" s="31" t="inlineStr">
        <is>
          <t>'3175</t>
        </is>
      </c>
      <c r="C301" s="32" t="inlineStr">
        <is>
          <t>GL</t>
        </is>
      </c>
      <c r="D301" s="19" t="inlineStr">
        <is>
          <t>THUẾ GTGT ĐIỆN MTMN T07-2026</t>
        </is>
      </c>
      <c r="E301" s="500" t="n">
        <v>6788036</v>
      </c>
      <c r="F301" s="499" t="n"/>
      <c r="G301" s="32" t="inlineStr">
        <is>
          <t>THAOPTT.HCM.VTA</t>
        </is>
      </c>
      <c r="H301" s="32" t="inlineStr">
        <is>
          <t xml:space="preserve">Post </t>
        </is>
      </c>
      <c r="I301" s="530">
        <f>IF(LEN(A301)=5,E301,0)</f>
        <v/>
      </c>
      <c r="J301" s="531">
        <f>IF(LEFT(A301,11)="Tài khoản: ",MID(A301,12,5),J300)</f>
        <v/>
      </c>
    </row>
    <row r="302">
      <c r="A302" s="30" t="n">
        <v>46295</v>
      </c>
      <c r="B302" s="31" t="inlineStr">
        <is>
          <t>'3175</t>
        </is>
      </c>
      <c r="C302" s="32" t="inlineStr">
        <is>
          <t>GL</t>
        </is>
      </c>
      <c r="D302" s="19" t="inlineStr">
        <is>
          <t>THUẾ GTGT ĐIỆN MTMN T08-2026</t>
        </is>
      </c>
      <c r="E302" s="500" t="n">
        <v>6774395</v>
      </c>
      <c r="F302" s="499" t="n"/>
      <c r="G302" s="32" t="inlineStr">
        <is>
          <t>THAOPTT.HCM.VTA</t>
        </is>
      </c>
      <c r="H302" s="32" t="inlineStr">
        <is>
          <t xml:space="preserve">Post </t>
        </is>
      </c>
      <c r="I302" s="530">
        <f>IF(LEN(A302)=5,E302,0)</f>
        <v/>
      </c>
      <c r="J302" s="531">
        <f>IF(LEFT(A302,11)="Tài khoản: ",MID(A302,12,5),J301)</f>
        <v/>
      </c>
    </row>
    <row r="303">
      <c r="A303" s="30" t="n">
        <v>46295</v>
      </c>
      <c r="B303" s="31" t="inlineStr">
        <is>
          <t>'3175</t>
        </is>
      </c>
      <c r="C303" s="32" t="inlineStr">
        <is>
          <t>GL</t>
        </is>
      </c>
      <c r="D303" s="19" t="inlineStr">
        <is>
          <t>THUẾ GTGT ĐIỆN MTMN T07-2026</t>
        </is>
      </c>
      <c r="E303" s="500" t="n">
        <v>15059170</v>
      </c>
      <c r="F303" s="499" t="n"/>
      <c r="G303" s="32" t="inlineStr">
        <is>
          <t>THAOPTT.HCM.VTA</t>
        </is>
      </c>
      <c r="H303" s="32" t="inlineStr">
        <is>
          <t xml:space="preserve">Post </t>
        </is>
      </c>
      <c r="I303" s="530">
        <f>IF(LEN(A303)=5,E303,0)</f>
        <v/>
      </c>
      <c r="J303" s="531">
        <f>IF(LEFT(A303,11)="Tài khoản: ",MID(A303,12,5),J302)</f>
        <v/>
      </c>
    </row>
    <row r="304">
      <c r="A304" s="30" t="n">
        <v>46295</v>
      </c>
      <c r="B304" s="31" t="inlineStr">
        <is>
          <t>'3175</t>
        </is>
      </c>
      <c r="C304" s="32" t="inlineStr">
        <is>
          <t>GL</t>
        </is>
      </c>
      <c r="D304" s="19" t="inlineStr">
        <is>
          <t>THUẾ GTGT ĐIỆN MTMN T08-2026</t>
        </is>
      </c>
      <c r="E304" s="500" t="n">
        <v>15398159</v>
      </c>
      <c r="F304" s="499" t="n"/>
      <c r="G304" s="32" t="inlineStr">
        <is>
          <t>THAOPTT.HCM.VTA</t>
        </is>
      </c>
      <c r="H304" s="32" t="inlineStr">
        <is>
          <t xml:space="preserve">Post </t>
        </is>
      </c>
      <c r="I304" s="530">
        <f>IF(LEN(A304)=5,E304,0)</f>
        <v/>
      </c>
      <c r="J304" s="531">
        <f>IF(LEFT(A304,11)="Tài khoản: ",MID(A304,12,5),J303)</f>
        <v/>
      </c>
    </row>
    <row r="305">
      <c r="A305" s="30" t="n">
        <v>46295</v>
      </c>
      <c r="B305" s="31" t="inlineStr">
        <is>
          <t>'3175</t>
        </is>
      </c>
      <c r="C305" s="32" t="inlineStr">
        <is>
          <t>GL</t>
        </is>
      </c>
      <c r="D305" s="19" t="inlineStr">
        <is>
          <t>THUẾ GTGT ĐIỆN MTMN T08-2026</t>
        </is>
      </c>
      <c r="E305" s="500" t="n">
        <v>14684985</v>
      </c>
      <c r="F305" s="499" t="n"/>
      <c r="G305" s="32" t="inlineStr">
        <is>
          <t>THAOPTT.HCM.VTA</t>
        </is>
      </c>
      <c r="H305" s="32" t="inlineStr">
        <is>
          <t xml:space="preserve">Post </t>
        </is>
      </c>
      <c r="I305" s="530">
        <f>IF(LEN(A305)=5,E305,0)</f>
        <v/>
      </c>
      <c r="J305" s="531">
        <f>IF(LEFT(A305,11)="Tài khoản: ",MID(A305,12,5),J304)</f>
        <v/>
      </c>
    </row>
    <row r="306">
      <c r="A306" s="30" t="n">
        <v>46295</v>
      </c>
      <c r="B306" s="31" t="inlineStr">
        <is>
          <t>'3175</t>
        </is>
      </c>
      <c r="C306" s="32" t="inlineStr">
        <is>
          <t>GL</t>
        </is>
      </c>
      <c r="D306" s="19" t="inlineStr">
        <is>
          <t>THUẾ GTGT ĐIỆN MTMN T07-2026</t>
        </is>
      </c>
      <c r="E306" s="500" t="n">
        <v>15802656</v>
      </c>
      <c r="F306" s="499" t="n"/>
      <c r="G306" s="32" t="inlineStr">
        <is>
          <t>THAOPTT.HCM.VTA</t>
        </is>
      </c>
      <c r="H306" s="32" t="inlineStr">
        <is>
          <t xml:space="preserve">Post </t>
        </is>
      </c>
      <c r="I306" s="530">
        <f>IF(LEN(A306)=5,E306,0)</f>
        <v/>
      </c>
      <c r="J306" s="531">
        <f>IF(LEFT(A306,11)="Tài khoản: ",MID(A306,12,5),J305)</f>
        <v/>
      </c>
    </row>
    <row r="307">
      <c r="A307" s="30" t="n">
        <v>46295</v>
      </c>
      <c r="B307" s="31" t="inlineStr">
        <is>
          <t>'3175</t>
        </is>
      </c>
      <c r="C307" s="32" t="inlineStr">
        <is>
          <t>GL</t>
        </is>
      </c>
      <c r="D307" s="19" t="inlineStr">
        <is>
          <t>THUẾ GTGT ĐIỆN MTMN T08-2026</t>
        </is>
      </c>
      <c r="E307" s="500" t="n">
        <v>15352523</v>
      </c>
      <c r="F307" s="499" t="n"/>
      <c r="G307" s="32" t="inlineStr">
        <is>
          <t>THAOPTT.HCM.VTA</t>
        </is>
      </c>
      <c r="H307" s="32" t="inlineStr">
        <is>
          <t xml:space="preserve">Post </t>
        </is>
      </c>
      <c r="I307" s="530">
        <f>IF(LEN(A307)=5,E307,0)</f>
        <v/>
      </c>
      <c r="J307" s="531">
        <f>IF(LEFT(A307,11)="Tài khoản: ",MID(A307,12,5),J306)</f>
        <v/>
      </c>
    </row>
    <row r="308">
      <c r="A308" s="30" t="n">
        <v>46295</v>
      </c>
      <c r="B308" s="31" t="inlineStr">
        <is>
          <t>'3175</t>
        </is>
      </c>
      <c r="C308" s="32" t="inlineStr">
        <is>
          <t>GL</t>
        </is>
      </c>
      <c r="D308" s="19" t="inlineStr">
        <is>
          <t>THUẾ GTGT ĐIỆN MTMN T08-2026</t>
        </is>
      </c>
      <c r="E308" s="500" t="n">
        <v>15281290</v>
      </c>
      <c r="F308" s="499" t="n"/>
      <c r="G308" s="32" t="inlineStr">
        <is>
          <t>THAOPTT.HCM.VTA</t>
        </is>
      </c>
      <c r="H308" s="32" t="inlineStr">
        <is>
          <t xml:space="preserve">Post </t>
        </is>
      </c>
      <c r="I308" s="530">
        <f>IF(LEN(A308)=5,E308,0)</f>
        <v/>
      </c>
      <c r="J308" s="531">
        <f>IF(LEFT(A308,11)="Tài khoản: ",MID(A308,12,5),J307)</f>
        <v/>
      </c>
    </row>
    <row r="309">
      <c r="A309" s="30" t="n">
        <v>46295</v>
      </c>
      <c r="B309" s="31" t="inlineStr">
        <is>
          <t>'3175</t>
        </is>
      </c>
      <c r="C309" s="32" t="inlineStr">
        <is>
          <t>GL</t>
        </is>
      </c>
      <c r="D309" s="19" t="inlineStr">
        <is>
          <t>THUẾ GTGT ĐIỆN MTMN T07-2026</t>
        </is>
      </c>
      <c r="E309" s="500" t="n">
        <v>16998970</v>
      </c>
      <c r="F309" s="499" t="n"/>
      <c r="G309" s="32" t="inlineStr">
        <is>
          <t>THAOPTT.HCM.VTA</t>
        </is>
      </c>
      <c r="H309" s="32" t="inlineStr">
        <is>
          <t xml:space="preserve">Post </t>
        </is>
      </c>
      <c r="I309" s="530">
        <f>IF(LEN(A309)=5,E309,0)</f>
        <v/>
      </c>
      <c r="J309" s="531">
        <f>IF(LEFT(A309,11)="Tài khoản: ",MID(A309,12,5),J308)</f>
        <v/>
      </c>
    </row>
    <row r="310">
      <c r="A310" s="30" t="n">
        <v>46295</v>
      </c>
      <c r="B310" s="31" t="inlineStr">
        <is>
          <t>'3175</t>
        </is>
      </c>
      <c r="C310" s="32" t="inlineStr">
        <is>
          <t>GL</t>
        </is>
      </c>
      <c r="D310" s="19" t="inlineStr">
        <is>
          <t>THUẾ GTGT ĐIỆN MTMN T08-2026</t>
        </is>
      </c>
      <c r="E310" s="500" t="n">
        <v>17266726</v>
      </c>
      <c r="F310" s="499" t="n"/>
      <c r="G310" s="32" t="inlineStr">
        <is>
          <t>THAOPTT.HCM.VTA</t>
        </is>
      </c>
      <c r="H310" s="32" t="inlineStr">
        <is>
          <t xml:space="preserve">Post </t>
        </is>
      </c>
      <c r="I310" s="530">
        <f>IF(LEN(A310)=5,E310,0)</f>
        <v/>
      </c>
      <c r="J310" s="531">
        <f>IF(LEFT(A310,11)="Tài khoản: ",MID(A310,12,5),J309)</f>
        <v/>
      </c>
    </row>
    <row r="311">
      <c r="A311" s="30" t="n">
        <v>46295</v>
      </c>
      <c r="B311" s="31" t="inlineStr">
        <is>
          <t>'3175</t>
        </is>
      </c>
      <c r="C311" s="32" t="inlineStr">
        <is>
          <t>GL</t>
        </is>
      </c>
      <c r="D311" s="19" t="inlineStr">
        <is>
          <t>THUẾ GTGT ĐIỆN MTMN T07-2026</t>
        </is>
      </c>
      <c r="E311" s="500" t="n">
        <v>12489723</v>
      </c>
      <c r="F311" s="499" t="n"/>
      <c r="G311" s="32" t="inlineStr">
        <is>
          <t>THAOPTT.HCM.VTA</t>
        </is>
      </c>
      <c r="H311" s="32" t="inlineStr">
        <is>
          <t xml:space="preserve">Post </t>
        </is>
      </c>
      <c r="I311" s="530">
        <f>IF(LEN(A311)=5,E311,0)</f>
        <v/>
      </c>
      <c r="J311" s="531">
        <f>IF(LEFT(A311,11)="Tài khoản: ",MID(A311,12,5),J310)</f>
        <v/>
      </c>
    </row>
    <row r="312">
      <c r="A312" s="30" t="n">
        <v>46295</v>
      </c>
      <c r="B312" s="31" t="inlineStr">
        <is>
          <t>'3175</t>
        </is>
      </c>
      <c r="C312" s="32" t="inlineStr">
        <is>
          <t>GL</t>
        </is>
      </c>
      <c r="D312" s="19" t="inlineStr">
        <is>
          <t>THUẾ GTGT ĐIỆN MTMN T08-2026</t>
        </is>
      </c>
      <c r="E312" s="500" t="n">
        <v>12460253</v>
      </c>
      <c r="F312" s="499" t="n"/>
      <c r="G312" s="32" t="inlineStr">
        <is>
          <t>THAOPTT.HCM.VTA</t>
        </is>
      </c>
      <c r="H312" s="32" t="inlineStr">
        <is>
          <t xml:space="preserve">Post </t>
        </is>
      </c>
      <c r="I312" s="530">
        <f>IF(LEN(A312)=5,E312,0)</f>
        <v/>
      </c>
      <c r="J312" s="531">
        <f>IF(LEFT(A312,11)="Tài khoản: ",MID(A312,12,5),J311)</f>
        <v/>
      </c>
    </row>
    <row r="313">
      <c r="A313" s="30" t="n">
        <v>46295</v>
      </c>
      <c r="B313" s="31" t="inlineStr">
        <is>
          <t>'3175</t>
        </is>
      </c>
      <c r="C313" s="32" t="inlineStr">
        <is>
          <t>GL</t>
        </is>
      </c>
      <c r="D313" s="19" t="inlineStr">
        <is>
          <t>THUẾ GTGT ĐIỆN MTMN T07-2026</t>
        </is>
      </c>
      <c r="E313" s="500" t="n">
        <v>10410488</v>
      </c>
      <c r="F313" s="499" t="n"/>
      <c r="G313" s="32" t="inlineStr">
        <is>
          <t>THAOPTT.HCM.VTA</t>
        </is>
      </c>
      <c r="H313" s="32" t="inlineStr">
        <is>
          <t xml:space="preserve">Post </t>
        </is>
      </c>
      <c r="I313" s="530">
        <f>IF(LEN(A313)=5,E313,0)</f>
        <v/>
      </c>
      <c r="J313" s="531">
        <f>IF(LEFT(A313,11)="Tài khoản: ",MID(A313,12,5),J312)</f>
        <v/>
      </c>
    </row>
    <row r="314">
      <c r="A314" s="30" t="n">
        <v>46295</v>
      </c>
      <c r="B314" s="31" t="inlineStr">
        <is>
          <t>'3175</t>
        </is>
      </c>
      <c r="C314" s="32" t="inlineStr">
        <is>
          <t>GL</t>
        </is>
      </c>
      <c r="D314" s="19" t="inlineStr">
        <is>
          <t>THUẾ GTGT ĐIỆN MTMN T08-2026</t>
        </is>
      </c>
      <c r="E314" s="500" t="n">
        <v>10734826</v>
      </c>
      <c r="F314" s="499" t="n"/>
      <c r="G314" s="32" t="inlineStr">
        <is>
          <t>THAOPTT.HCM.VTA</t>
        </is>
      </c>
      <c r="H314" s="32" t="inlineStr">
        <is>
          <t xml:space="preserve">Post </t>
        </is>
      </c>
      <c r="I314" s="530">
        <f>IF(LEN(A314)=5,E314,0)</f>
        <v/>
      </c>
      <c r="J314" s="531">
        <f>IF(LEFT(A314,11)="Tài khoản: ",MID(A314,12,5),J313)</f>
        <v/>
      </c>
    </row>
    <row r="315">
      <c r="A315" s="30" t="n">
        <v>46295</v>
      </c>
      <c r="B315" s="31" t="inlineStr">
        <is>
          <t>'3175</t>
        </is>
      </c>
      <c r="C315" s="32" t="inlineStr">
        <is>
          <t>GL</t>
        </is>
      </c>
      <c r="D315" s="19" t="inlineStr">
        <is>
          <t>THUẾ GTGT ĐIỆN MTMN T08-2026</t>
        </is>
      </c>
      <c r="E315" s="500" t="n">
        <v>7882299</v>
      </c>
      <c r="F315" s="499" t="n"/>
      <c r="G315" s="32" t="inlineStr">
        <is>
          <t>THAOPTT.HCM.VTA</t>
        </is>
      </c>
      <c r="H315" s="32" t="inlineStr">
        <is>
          <t xml:space="preserve">Post </t>
        </is>
      </c>
      <c r="I315" s="530">
        <f>IF(LEN(A315)=5,E315,0)</f>
        <v/>
      </c>
      <c r="J315" s="531">
        <f>IF(LEFT(A315,11)="Tài khoản: ",MID(A315,12,5),J314)</f>
        <v/>
      </c>
    </row>
    <row r="316">
      <c r="A316" s="30" t="n">
        <v>46295</v>
      </c>
      <c r="B316" s="31" t="inlineStr">
        <is>
          <t>'3175</t>
        </is>
      </c>
      <c r="C316" s="32" t="inlineStr">
        <is>
          <t>GL</t>
        </is>
      </c>
      <c r="D316" s="19" t="inlineStr">
        <is>
          <t>THUẾ GTGT ĐIỆN MTMN T08-2026</t>
        </is>
      </c>
      <c r="E316" s="500" t="n">
        <v>13483620</v>
      </c>
      <c r="F316" s="499" t="n"/>
      <c r="G316" s="32" t="inlineStr">
        <is>
          <t>THAOPTT.HCM.VTA</t>
        </is>
      </c>
      <c r="H316" s="32" t="inlineStr">
        <is>
          <t xml:space="preserve">Post </t>
        </is>
      </c>
      <c r="I316" s="530">
        <f>IF(LEN(A316)=5,E316,0)</f>
        <v/>
      </c>
      <c r="J316" s="531">
        <f>IF(LEFT(A316,11)="Tài khoản: ",MID(A316,12,5),J315)</f>
        <v/>
      </c>
    </row>
    <row r="317">
      <c r="A317" s="30" t="n">
        <v>46295</v>
      </c>
      <c r="B317" s="31" t="inlineStr">
        <is>
          <t>'3175</t>
        </is>
      </c>
      <c r="C317" s="32" t="inlineStr">
        <is>
          <t>GL</t>
        </is>
      </c>
      <c r="D317" s="19" t="inlineStr">
        <is>
          <t>THUẾ GTGT ĐIỆN MTMN T08-2026</t>
        </is>
      </c>
      <c r="E317" s="500" t="n">
        <v>13018667</v>
      </c>
      <c r="F317" s="499" t="n"/>
      <c r="G317" s="32" t="inlineStr">
        <is>
          <t>THAOPTT.HCM.VTA</t>
        </is>
      </c>
      <c r="H317" s="32" t="inlineStr">
        <is>
          <t xml:space="preserve">Post </t>
        </is>
      </c>
      <c r="I317" s="530">
        <f>IF(LEN(A317)=5,E317,0)</f>
        <v/>
      </c>
      <c r="J317" s="531">
        <f>IF(LEFT(A317,11)="Tài khoản: ",MID(A317,12,5),J316)</f>
        <v/>
      </c>
    </row>
    <row r="318">
      <c r="A318" s="30" t="n">
        <v>46295</v>
      </c>
      <c r="B318" s="31" t="inlineStr">
        <is>
          <t>'3175</t>
        </is>
      </c>
      <c r="C318" s="32" t="inlineStr">
        <is>
          <t>GL</t>
        </is>
      </c>
      <c r="D318" s="19" t="inlineStr">
        <is>
          <t>THUẾ GTGT ĐIỆN MTMN T07-2026</t>
        </is>
      </c>
      <c r="E318" s="500" t="n">
        <v>14635812</v>
      </c>
      <c r="F318" s="499" t="n"/>
      <c r="G318" s="32" t="inlineStr">
        <is>
          <t>THAOPTT.HCM.VTA</t>
        </is>
      </c>
      <c r="H318" s="32" t="inlineStr">
        <is>
          <t xml:space="preserve">Post </t>
        </is>
      </c>
      <c r="I318" s="530">
        <f>IF(LEN(A318)=5,E318,0)</f>
        <v/>
      </c>
      <c r="J318" s="531">
        <f>IF(LEFT(A318,11)="Tài khoản: ",MID(A318,12,5),J317)</f>
        <v/>
      </c>
    </row>
    <row r="319">
      <c r="A319" s="30" t="n">
        <v>46295</v>
      </c>
      <c r="B319" s="31" t="inlineStr">
        <is>
          <t>'3175</t>
        </is>
      </c>
      <c r="C319" s="32" t="inlineStr">
        <is>
          <t>GL</t>
        </is>
      </c>
      <c r="D319" s="19" t="inlineStr">
        <is>
          <t>THUẾ GTGT ĐIỆN MTMN T08-2026</t>
        </is>
      </c>
      <c r="E319" s="500" t="n">
        <v>14104342</v>
      </c>
      <c r="F319" s="499" t="n"/>
      <c r="G319" s="32" t="inlineStr">
        <is>
          <t>THAOPTT.HCM.VTA</t>
        </is>
      </c>
      <c r="H319" s="32" t="inlineStr">
        <is>
          <t xml:space="preserve">Post </t>
        </is>
      </c>
      <c r="I319" s="530">
        <f>IF(LEN(A319)=5,E319,0)</f>
        <v/>
      </c>
      <c r="J319" s="531">
        <f>IF(LEFT(A319,11)="Tài khoản: ",MID(A319,12,5),J318)</f>
        <v/>
      </c>
    </row>
    <row r="320">
      <c r="A320" s="30" t="n">
        <v>46295</v>
      </c>
      <c r="B320" s="31" t="inlineStr">
        <is>
          <t>'3175</t>
        </is>
      </c>
      <c r="C320" s="32" t="inlineStr">
        <is>
          <t>GL</t>
        </is>
      </c>
      <c r="D320" s="19" t="inlineStr">
        <is>
          <t>THUẾ GTGT ĐIỆN MTMN T08-2026</t>
        </is>
      </c>
      <c r="E320" s="500" t="n">
        <v>694482</v>
      </c>
      <c r="F320" s="499" t="n"/>
      <c r="G320" s="32" t="inlineStr">
        <is>
          <t>THAOPTT.HCM.VTA</t>
        </is>
      </c>
      <c r="H320" s="32" t="inlineStr">
        <is>
          <t xml:space="preserve">Post </t>
        </is>
      </c>
      <c r="I320" s="530">
        <f>IF(LEN(A320)=5,E320,0)</f>
        <v/>
      </c>
      <c r="J320" s="531">
        <f>IF(LEFT(A320,11)="Tài khoản: ",MID(A320,12,5),J319)</f>
        <v/>
      </c>
    </row>
    <row r="321">
      <c r="A321" s="30" t="n">
        <v>46295</v>
      </c>
      <c r="B321" s="31" t="inlineStr">
        <is>
          <t>'3175</t>
        </is>
      </c>
      <c r="C321" s="32" t="inlineStr">
        <is>
          <t>GL</t>
        </is>
      </c>
      <c r="D321" s="19" t="inlineStr">
        <is>
          <t>THUẾ GTGT ĐIỆN MTMN T08-2026</t>
        </is>
      </c>
      <c r="E321" s="500" t="n">
        <v>16441902</v>
      </c>
      <c r="F321" s="499" t="n"/>
      <c r="G321" s="32" t="inlineStr">
        <is>
          <t>THAOPTT.HCM.VTA</t>
        </is>
      </c>
      <c r="H321" s="32" t="inlineStr">
        <is>
          <t xml:space="preserve">Post </t>
        </is>
      </c>
      <c r="I321" s="530">
        <f>IF(LEN(A321)=5,E321,0)</f>
        <v/>
      </c>
      <c r="J321" s="531">
        <f>IF(LEFT(A321,11)="Tài khoản: ",MID(A321,12,5),J320)</f>
        <v/>
      </c>
    </row>
    <row r="322">
      <c r="A322" s="30" t="n">
        <v>46295</v>
      </c>
      <c r="B322" s="31" t="inlineStr">
        <is>
          <t>'3175</t>
        </is>
      </c>
      <c r="C322" s="32" t="inlineStr">
        <is>
          <t>GL</t>
        </is>
      </c>
      <c r="D322" s="19" t="inlineStr">
        <is>
          <t>THUẾ GTGT ĐIỆN MTMN T08-2026</t>
        </is>
      </c>
      <c r="E322" s="500" t="n">
        <v>16821981</v>
      </c>
      <c r="F322" s="499" t="n"/>
      <c r="G322" s="32" t="inlineStr">
        <is>
          <t>THAOPTT.HCM.VTA</t>
        </is>
      </c>
      <c r="H322" s="32" t="inlineStr">
        <is>
          <t xml:space="preserve">Post </t>
        </is>
      </c>
      <c r="I322" s="530">
        <f>IF(LEN(A322)=5,E322,0)</f>
        <v/>
      </c>
      <c r="J322" s="531">
        <f>IF(LEFT(A322,11)="Tài khoản: ",MID(A322,12,5),J321)</f>
        <v/>
      </c>
    </row>
    <row r="323">
      <c r="A323" s="30" t="n">
        <v>46295</v>
      </c>
      <c r="B323" s="31" t="inlineStr">
        <is>
          <t>'3175</t>
        </is>
      </c>
      <c r="C323" s="32" t="inlineStr">
        <is>
          <t>GL</t>
        </is>
      </c>
      <c r="D323" s="19" t="inlineStr">
        <is>
          <t>THUẾ GTGT ĐIỆN MTMN T08-2026</t>
        </is>
      </c>
      <c r="E323" s="500" t="n">
        <v>14180964</v>
      </c>
      <c r="F323" s="499" t="n"/>
      <c r="G323" s="32" t="inlineStr">
        <is>
          <t>THAOPTT.HCM.VTA</t>
        </is>
      </c>
      <c r="H323" s="32" t="inlineStr">
        <is>
          <t xml:space="preserve">Post </t>
        </is>
      </c>
      <c r="I323" s="530">
        <f>IF(LEN(A323)=5,E323,0)</f>
        <v/>
      </c>
      <c r="J323" s="531">
        <f>IF(LEFT(A323,11)="Tài khoản: ",MID(A323,12,5),J322)</f>
        <v/>
      </c>
    </row>
    <row r="324">
      <c r="A324" s="30" t="n">
        <v>46295</v>
      </c>
      <c r="B324" s="31" t="inlineStr">
        <is>
          <t>'3175</t>
        </is>
      </c>
      <c r="C324" s="32" t="inlineStr">
        <is>
          <t>GL</t>
        </is>
      </c>
      <c r="D324" s="19" t="inlineStr">
        <is>
          <t>THUẾ GTGT ĐIỆN MTMN T08-2026</t>
        </is>
      </c>
      <c r="E324" s="500" t="n">
        <v>9408340</v>
      </c>
      <c r="F324" s="499" t="n"/>
      <c r="G324" s="32" t="inlineStr">
        <is>
          <t>THAOPTT.HCM.VTA</t>
        </is>
      </c>
      <c r="H324" s="32" t="inlineStr">
        <is>
          <t xml:space="preserve">Post </t>
        </is>
      </c>
      <c r="I324" s="530">
        <f>IF(LEN(A324)=5,E324,0)</f>
        <v/>
      </c>
      <c r="J324" s="531">
        <f>IF(LEFT(A324,11)="Tài khoản: ",MID(A324,12,5),J323)</f>
        <v/>
      </c>
    </row>
    <row r="325">
      <c r="A325" s="30" t="n">
        <v>46295</v>
      </c>
      <c r="B325" s="31" t="inlineStr">
        <is>
          <t>'3175</t>
        </is>
      </c>
      <c r="C325" s="32" t="inlineStr">
        <is>
          <t>GL</t>
        </is>
      </c>
      <c r="D325" s="19" t="inlineStr">
        <is>
          <t>THUẾ GTGT ĐIỆN MTMN T08-2026</t>
        </is>
      </c>
      <c r="E325" s="500" t="n">
        <v>20444939</v>
      </c>
      <c r="F325" s="499" t="n"/>
      <c r="G325" s="32" t="inlineStr">
        <is>
          <t>THAOPTT.HCM.VTA</t>
        </is>
      </c>
      <c r="H325" s="32" t="inlineStr">
        <is>
          <t xml:space="preserve">Post </t>
        </is>
      </c>
      <c r="I325" s="530">
        <f>IF(LEN(A325)=5,E325,0)</f>
        <v/>
      </c>
      <c r="J325" s="531">
        <f>IF(LEFT(A325,11)="Tài khoản: ",MID(A325,12,5),J324)</f>
        <v/>
      </c>
    </row>
    <row r="326">
      <c r="A326" s="30" t="n">
        <v>46295</v>
      </c>
      <c r="B326" s="31" t="inlineStr">
        <is>
          <t>'3175</t>
        </is>
      </c>
      <c r="C326" s="32" t="inlineStr">
        <is>
          <t>GL</t>
        </is>
      </c>
      <c r="D326" s="19" t="inlineStr">
        <is>
          <t>THUẾ GTGT ĐIỆN MTMN T08-2026</t>
        </is>
      </c>
      <c r="E326" s="500" t="n">
        <v>21086374</v>
      </c>
      <c r="F326" s="499" t="n"/>
      <c r="G326" s="32" t="inlineStr">
        <is>
          <t>THAOPTT.HCM.VTA</t>
        </is>
      </c>
      <c r="H326" s="32" t="inlineStr">
        <is>
          <t xml:space="preserve">Post </t>
        </is>
      </c>
      <c r="I326" s="530">
        <f>IF(LEN(A326)=5,E326,0)</f>
        <v/>
      </c>
      <c r="J326" s="531">
        <f>IF(LEFT(A326,11)="Tài khoản: ",MID(A326,12,5),J325)</f>
        <v/>
      </c>
    </row>
    <row r="327">
      <c r="A327" s="30" t="n">
        <v>46295</v>
      </c>
      <c r="B327" s="31" t="inlineStr">
        <is>
          <t>'3175</t>
        </is>
      </c>
      <c r="C327" s="32" t="inlineStr">
        <is>
          <t>GL</t>
        </is>
      </c>
      <c r="D327" s="19" t="inlineStr">
        <is>
          <t>THUẾ GTGT ĐIỆN MTMN T08-2026</t>
        </is>
      </c>
      <c r="E327" s="500" t="n">
        <v>18218522</v>
      </c>
      <c r="F327" s="499" t="n"/>
      <c r="G327" s="32" t="inlineStr">
        <is>
          <t>THAOPTT.HCM.VTA</t>
        </is>
      </c>
      <c r="H327" s="32" t="inlineStr">
        <is>
          <t xml:space="preserve">Post </t>
        </is>
      </c>
      <c r="I327" s="530">
        <f>IF(LEN(A327)=5,E327,0)</f>
        <v/>
      </c>
      <c r="J327" s="531">
        <f>IF(LEFT(A327,11)="Tài khoản: ",MID(A327,12,5),J326)</f>
        <v/>
      </c>
    </row>
    <row r="328">
      <c r="A328" s="30" t="n">
        <v>46295</v>
      </c>
      <c r="B328" s="31" t="inlineStr">
        <is>
          <t>'3175</t>
        </is>
      </c>
      <c r="C328" s="32" t="inlineStr">
        <is>
          <t>GL</t>
        </is>
      </c>
      <c r="D328" s="19" t="inlineStr">
        <is>
          <t>THUẾ GTGT ĐIỆN MTMN T08-2026</t>
        </is>
      </c>
      <c r="E328" s="500" t="n">
        <v>10702157</v>
      </c>
      <c r="F328" s="499" t="n"/>
      <c r="G328" s="32" t="inlineStr">
        <is>
          <t>THAOPTT.HCM.VTA</t>
        </is>
      </c>
      <c r="H328" s="32" t="inlineStr">
        <is>
          <t xml:space="preserve">Post </t>
        </is>
      </c>
      <c r="I328" s="530">
        <f>IF(LEN(A328)=5,E328,0)</f>
        <v/>
      </c>
      <c r="J328" s="531">
        <f>IF(LEFT(A328,11)="Tài khoản: ",MID(A328,12,5),J327)</f>
        <v/>
      </c>
    </row>
    <row r="329">
      <c r="A329" s="30" t="n">
        <v>46295</v>
      </c>
      <c r="B329" s="31" t="inlineStr">
        <is>
          <t>'3175</t>
        </is>
      </c>
      <c r="C329" s="32" t="inlineStr">
        <is>
          <t>GL</t>
        </is>
      </c>
      <c r="D329" s="19" t="inlineStr">
        <is>
          <t>THUẾ GTGT ĐIỆN MTMN T08-2026</t>
        </is>
      </c>
      <c r="E329" s="500" t="n">
        <v>18924118</v>
      </c>
      <c r="F329" s="499" t="n"/>
      <c r="G329" s="32" t="inlineStr">
        <is>
          <t>THAOPTT.HCM.VTA</t>
        </is>
      </c>
      <c r="H329" s="32" t="inlineStr">
        <is>
          <t xml:space="preserve">Post </t>
        </is>
      </c>
      <c r="I329" s="530">
        <f>IF(LEN(A329)=5,E329,0)</f>
        <v/>
      </c>
      <c r="J329" s="531">
        <f>IF(LEFT(A329,11)="Tài khoản: ",MID(A329,12,5),J328)</f>
        <v/>
      </c>
    </row>
    <row r="330">
      <c r="A330" s="30" t="n">
        <v>46295</v>
      </c>
      <c r="B330" s="31" t="inlineStr">
        <is>
          <t>'3175</t>
        </is>
      </c>
      <c r="C330" s="32" t="inlineStr">
        <is>
          <t>GL</t>
        </is>
      </c>
      <c r="D330" s="19" t="inlineStr">
        <is>
          <t>THUẾ GTGT ĐIỆN MTMN T08-2026</t>
        </is>
      </c>
      <c r="E330" s="500" t="n">
        <v>18753698</v>
      </c>
      <c r="F330" s="499" t="n"/>
      <c r="G330" s="32" t="inlineStr">
        <is>
          <t>THAOPTT.HCM.VTA</t>
        </is>
      </c>
      <c r="H330" s="32" t="inlineStr">
        <is>
          <t xml:space="preserve">Post </t>
        </is>
      </c>
      <c r="I330" s="530">
        <f>IF(LEN(A330)=5,E330,0)</f>
        <v/>
      </c>
      <c r="J330" s="531">
        <f>IF(LEFT(A330,11)="Tài khoản: ",MID(A330,12,5),J329)</f>
        <v/>
      </c>
    </row>
    <row r="331">
      <c r="A331" s="30" t="n">
        <v>46295</v>
      </c>
      <c r="B331" s="31" t="inlineStr">
        <is>
          <t>'3175</t>
        </is>
      </c>
      <c r="C331" s="32" t="inlineStr">
        <is>
          <t>GL</t>
        </is>
      </c>
      <c r="D331" s="19" t="inlineStr">
        <is>
          <t>THUẾ GTGT ĐIỆN MTMN T08-2026</t>
        </is>
      </c>
      <c r="E331" s="500" t="n">
        <v>14693742</v>
      </c>
      <c r="F331" s="499" t="n"/>
      <c r="G331" s="32" t="inlineStr">
        <is>
          <t>THAOPTT.HCM.VTA</t>
        </is>
      </c>
      <c r="H331" s="32" t="inlineStr">
        <is>
          <t xml:space="preserve">Post </t>
        </is>
      </c>
      <c r="I331" s="530">
        <f>IF(LEN(A331)=5,E331,0)</f>
        <v/>
      </c>
      <c r="J331" s="531">
        <f>IF(LEFT(A331,11)="Tài khoản: ",MID(A331,12,5),J330)</f>
        <v/>
      </c>
    </row>
    <row r="332">
      <c r="A332" s="30" t="n">
        <v>46295</v>
      </c>
      <c r="B332" s="31" t="inlineStr">
        <is>
          <t>'3175</t>
        </is>
      </c>
      <c r="C332" s="32" t="inlineStr">
        <is>
          <t>GL</t>
        </is>
      </c>
      <c r="D332" s="19" t="inlineStr">
        <is>
          <t>THUẾ GTGT ĐIỆN MTMN T08-2026</t>
        </is>
      </c>
      <c r="E332" s="500" t="n">
        <v>15381151</v>
      </c>
      <c r="F332" s="499" t="n"/>
      <c r="G332" s="32" t="inlineStr">
        <is>
          <t>THAOPTT.HCM.VTA</t>
        </is>
      </c>
      <c r="H332" s="32" t="inlineStr">
        <is>
          <t xml:space="preserve">Post </t>
        </is>
      </c>
      <c r="I332" s="530">
        <f>IF(LEN(A332)=5,E332,0)</f>
        <v/>
      </c>
      <c r="J332" s="531">
        <f>IF(LEFT(A332,11)="Tài khoản: ",MID(A332,12,5),J331)</f>
        <v/>
      </c>
    </row>
    <row r="333">
      <c r="A333" s="30" t="n">
        <v>46295</v>
      </c>
      <c r="B333" s="31" t="inlineStr">
        <is>
          <t>'3175</t>
        </is>
      </c>
      <c r="C333" s="32" t="inlineStr">
        <is>
          <t>GL</t>
        </is>
      </c>
      <c r="D333" s="19" t="inlineStr">
        <is>
          <t>THUẾ GTGT ĐIỆN MTMN T08-2026</t>
        </is>
      </c>
      <c r="E333" s="500" t="n">
        <v>14395337</v>
      </c>
      <c r="F333" s="499" t="n"/>
      <c r="G333" s="32" t="inlineStr">
        <is>
          <t>THAOPTT.HCM.VTA</t>
        </is>
      </c>
      <c r="H333" s="32" t="inlineStr">
        <is>
          <t xml:space="preserve">Post </t>
        </is>
      </c>
      <c r="I333" s="530">
        <f>IF(LEN(A333)=5,E333,0)</f>
        <v/>
      </c>
      <c r="J333" s="531">
        <f>IF(LEFT(A333,11)="Tài khoản: ",MID(A333,12,5),J332)</f>
        <v/>
      </c>
    </row>
    <row r="334">
      <c r="A334" s="30" t="n">
        <v>46295</v>
      </c>
      <c r="B334" s="31" t="inlineStr">
        <is>
          <t>'3175</t>
        </is>
      </c>
      <c r="C334" s="32" t="inlineStr">
        <is>
          <t>GL</t>
        </is>
      </c>
      <c r="D334" s="19" t="inlineStr">
        <is>
          <t>THUẾ GTGT ĐIỆN MTMN T08-2026</t>
        </is>
      </c>
      <c r="E334" s="500" t="n">
        <v>15145222</v>
      </c>
      <c r="F334" s="499" t="n"/>
      <c r="G334" s="32" t="inlineStr">
        <is>
          <t>THAOPTT.HCM.VTA</t>
        </is>
      </c>
      <c r="H334" s="32" t="inlineStr">
        <is>
          <t xml:space="preserve">Post </t>
        </is>
      </c>
      <c r="I334" s="530">
        <f>IF(LEN(A334)=5,E334,0)</f>
        <v/>
      </c>
      <c r="J334" s="531">
        <f>IF(LEFT(A334,11)="Tài khoản: ",MID(A334,12,5),J333)</f>
        <v/>
      </c>
    </row>
    <row r="335">
      <c r="A335" s="30" t="n">
        <v>46295</v>
      </c>
      <c r="B335" s="31" t="inlineStr">
        <is>
          <t>'3175</t>
        </is>
      </c>
      <c r="C335" s="32" t="inlineStr">
        <is>
          <t>GL</t>
        </is>
      </c>
      <c r="D335" s="19" t="inlineStr">
        <is>
          <t>THUẾ GTGT ĐIỆN MTMN T08-2026</t>
        </is>
      </c>
      <c r="E335" s="500" t="n">
        <v>12901124</v>
      </c>
      <c r="F335" s="499" t="n"/>
      <c r="G335" s="32" t="inlineStr">
        <is>
          <t>THAOPTT.HCM.VTA</t>
        </is>
      </c>
      <c r="H335" s="32" t="inlineStr">
        <is>
          <t xml:space="preserve">Post </t>
        </is>
      </c>
      <c r="I335" s="530">
        <f>IF(LEN(A335)=5,E335,0)</f>
        <v/>
      </c>
      <c r="J335" s="531">
        <f>IF(LEFT(A335,11)="Tài khoản: ",MID(A335,12,5),J334)</f>
        <v/>
      </c>
    </row>
    <row r="336">
      <c r="A336" s="30" t="n">
        <v>46295</v>
      </c>
      <c r="B336" s="31" t="inlineStr">
        <is>
          <t>'3175</t>
        </is>
      </c>
      <c r="C336" s="32" t="inlineStr">
        <is>
          <t>GL</t>
        </is>
      </c>
      <c r="D336" s="19" t="inlineStr">
        <is>
          <t>THUẾ GTGT ĐIỆN MTMN T08-2026</t>
        </is>
      </c>
      <c r="E336" s="500" t="n">
        <v>3270328</v>
      </c>
      <c r="F336" s="499" t="n"/>
      <c r="G336" s="32" t="inlineStr">
        <is>
          <t>THAOPTT.HCM.VTA</t>
        </is>
      </c>
      <c r="H336" s="32" t="inlineStr">
        <is>
          <t xml:space="preserve">Post </t>
        </is>
      </c>
      <c r="I336" s="530">
        <f>IF(LEN(A336)=5,E336,0)</f>
        <v/>
      </c>
      <c r="J336" s="531">
        <f>IF(LEFT(A336,11)="Tài khoản: ",MID(A336,12,5),J335)</f>
        <v/>
      </c>
    </row>
    <row r="337">
      <c r="A337" s="30" t="n">
        <v>46295</v>
      </c>
      <c r="B337" s="31" t="inlineStr">
        <is>
          <t>'3175</t>
        </is>
      </c>
      <c r="C337" s="32" t="inlineStr">
        <is>
          <t>GL</t>
        </is>
      </c>
      <c r="D337" s="19" t="inlineStr">
        <is>
          <t>THUẾ GTGT ĐIỆN MTMN T08-2026</t>
        </is>
      </c>
      <c r="E337" s="500" t="n">
        <v>19392944</v>
      </c>
      <c r="F337" s="499" t="n"/>
      <c r="G337" s="32" t="inlineStr">
        <is>
          <t>THAOPTT.HCM.VTA</t>
        </is>
      </c>
      <c r="H337" s="32" t="inlineStr">
        <is>
          <t xml:space="preserve">Post </t>
        </is>
      </c>
      <c r="I337" s="530">
        <f>IF(LEN(A337)=5,E337,0)</f>
        <v/>
      </c>
      <c r="J337" s="531">
        <f>IF(LEFT(A337,11)="Tài khoản: ",MID(A337,12,5),J336)</f>
        <v/>
      </c>
    </row>
    <row r="338">
      <c r="A338" s="30" t="n">
        <v>46295</v>
      </c>
      <c r="B338" s="31" t="inlineStr">
        <is>
          <t>'3175</t>
        </is>
      </c>
      <c r="C338" s="32" t="inlineStr">
        <is>
          <t>GL</t>
        </is>
      </c>
      <c r="D338" s="19" t="inlineStr">
        <is>
          <t>THUẾ GTGT ĐIỆN MTMN T08-2026</t>
        </is>
      </c>
      <c r="E338" s="500" t="n">
        <v>19679392</v>
      </c>
      <c r="F338" s="499" t="n"/>
      <c r="G338" s="32" t="inlineStr">
        <is>
          <t>THAOPTT.HCM.VTA</t>
        </is>
      </c>
      <c r="H338" s="32" t="inlineStr">
        <is>
          <t xml:space="preserve">Post </t>
        </is>
      </c>
      <c r="I338" s="530">
        <f>IF(LEN(A338)=5,E338,0)</f>
        <v/>
      </c>
      <c r="J338" s="531">
        <f>IF(LEFT(A338,11)="Tài khoản: ",MID(A338,12,5),J337)</f>
        <v/>
      </c>
    </row>
    <row r="339">
      <c r="A339" s="30" t="n">
        <v>46295</v>
      </c>
      <c r="B339" s="31" t="inlineStr">
        <is>
          <t>'3175</t>
        </is>
      </c>
      <c r="C339" s="32" t="inlineStr">
        <is>
          <t>GL</t>
        </is>
      </c>
      <c r="D339" s="19" t="inlineStr">
        <is>
          <t>THUẾ GTGT ĐIỆN MTMN T08-2026</t>
        </is>
      </c>
      <c r="E339" s="500" t="n">
        <v>19352528</v>
      </c>
      <c r="F339" s="499" t="n"/>
      <c r="G339" s="32" t="inlineStr">
        <is>
          <t>THAOPTT.HCM.VTA</t>
        </is>
      </c>
      <c r="H339" s="32" t="inlineStr">
        <is>
          <t xml:space="preserve">Post </t>
        </is>
      </c>
      <c r="I339" s="530">
        <f>IF(LEN(A339)=5,E339,0)</f>
        <v/>
      </c>
      <c r="J339" s="531">
        <f>IF(LEFT(A339,11)="Tài khoản: ",MID(A339,12,5),J338)</f>
        <v/>
      </c>
    </row>
    <row r="340">
      <c r="A340" s="30" t="n">
        <v>46295</v>
      </c>
      <c r="B340" s="31" t="inlineStr">
        <is>
          <t>'3175</t>
        </is>
      </c>
      <c r="C340" s="32" t="inlineStr">
        <is>
          <t>GL</t>
        </is>
      </c>
      <c r="D340" s="19" t="inlineStr">
        <is>
          <t>THUẾ GTGT ĐIỆN MTMN T08-2026</t>
        </is>
      </c>
      <c r="E340" s="500" t="n">
        <v>18899195</v>
      </c>
      <c r="F340" s="499" t="n"/>
      <c r="G340" s="32" t="inlineStr">
        <is>
          <t>THAOPTT.HCM.VTA</t>
        </is>
      </c>
      <c r="H340" s="32" t="inlineStr">
        <is>
          <t xml:space="preserve">Post </t>
        </is>
      </c>
      <c r="I340" s="530">
        <f>IF(LEN(A340)=5,E340,0)</f>
        <v/>
      </c>
      <c r="J340" s="531">
        <f>IF(LEFT(A340,11)="Tài khoản: ",MID(A340,12,5),J339)</f>
        <v/>
      </c>
    </row>
    <row r="341">
      <c r="A341" s="30" t="n">
        <v>46295</v>
      </c>
      <c r="B341" s="31" t="inlineStr">
        <is>
          <t>'3175</t>
        </is>
      </c>
      <c r="C341" s="32" t="inlineStr">
        <is>
          <t>GL</t>
        </is>
      </c>
      <c r="D341" s="19" t="inlineStr">
        <is>
          <t>THUẾ GTGT ĐIỆN MTMN T08-2026</t>
        </is>
      </c>
      <c r="E341" s="500" t="n">
        <v>14959477</v>
      </c>
      <c r="F341" s="499" t="n"/>
      <c r="G341" s="32" t="inlineStr">
        <is>
          <t>THAOPTT.HCM.VTA</t>
        </is>
      </c>
      <c r="H341" s="32" t="inlineStr">
        <is>
          <t xml:space="preserve">Post </t>
        </is>
      </c>
      <c r="I341" s="530">
        <f>IF(LEN(A341)=5,E341,0)</f>
        <v/>
      </c>
      <c r="J341" s="531">
        <f>IF(LEFT(A341,11)="Tài khoản: ",MID(A341,12,5),J340)</f>
        <v/>
      </c>
    </row>
    <row r="342">
      <c r="A342" s="30" t="n">
        <v>46295</v>
      </c>
      <c r="B342" s="31" t="inlineStr">
        <is>
          <t>'3175</t>
        </is>
      </c>
      <c r="C342" s="32" t="inlineStr">
        <is>
          <t>GL</t>
        </is>
      </c>
      <c r="D342" s="19" t="inlineStr">
        <is>
          <t>THUẾ GTGT ĐIỆN MTMN T08-2026</t>
        </is>
      </c>
      <c r="E342" s="500" t="n">
        <v>15522270</v>
      </c>
      <c r="F342" s="499" t="n"/>
      <c r="G342" s="32" t="inlineStr">
        <is>
          <t>THAOPTT.HCM.VTA</t>
        </is>
      </c>
      <c r="H342" s="32" t="inlineStr">
        <is>
          <t xml:space="preserve">Post </t>
        </is>
      </c>
      <c r="I342" s="530">
        <f>IF(LEN(A342)=5,E342,0)</f>
        <v/>
      </c>
      <c r="J342" s="531">
        <f>IF(LEFT(A342,11)="Tài khoản: ",MID(A342,12,5),J341)</f>
        <v/>
      </c>
    </row>
    <row r="343">
      <c r="A343" s="30" t="n">
        <v>46295</v>
      </c>
      <c r="B343" s="31" t="inlineStr">
        <is>
          <t>'3175</t>
        </is>
      </c>
      <c r="C343" s="32" t="inlineStr">
        <is>
          <t>GL</t>
        </is>
      </c>
      <c r="D343" s="19" t="inlineStr">
        <is>
          <t>THUẾ GTGT ĐIỆN MTMN T08-2026</t>
        </is>
      </c>
      <c r="E343" s="500" t="n">
        <v>14580577</v>
      </c>
      <c r="F343" s="499" t="n"/>
      <c r="G343" s="32" t="inlineStr">
        <is>
          <t>THAOPTT.HCM.VTA</t>
        </is>
      </c>
      <c r="H343" s="32" t="inlineStr">
        <is>
          <t xml:space="preserve">Post </t>
        </is>
      </c>
      <c r="I343" s="530">
        <f>IF(LEN(A343)=5,E343,0)</f>
        <v/>
      </c>
      <c r="J343" s="531">
        <f>IF(LEFT(A343,11)="Tài khoản: ",MID(A343,12,5),J342)</f>
        <v/>
      </c>
    </row>
    <row r="344">
      <c r="A344" s="30" t="n">
        <v>46295</v>
      </c>
      <c r="B344" s="31" t="inlineStr">
        <is>
          <t>'3175</t>
        </is>
      </c>
      <c r="C344" s="32" t="inlineStr">
        <is>
          <t>GL</t>
        </is>
      </c>
      <c r="D344" s="19" t="inlineStr">
        <is>
          <t>THUẾ GTGT ĐIỆN MTMN T08-2026</t>
        </is>
      </c>
      <c r="E344" s="500" t="n">
        <v>15065401</v>
      </c>
      <c r="F344" s="499" t="n"/>
      <c r="G344" s="32" t="inlineStr">
        <is>
          <t>THAOPTT.HCM.VTA</t>
        </is>
      </c>
      <c r="H344" s="32" t="inlineStr">
        <is>
          <t xml:space="preserve">Post </t>
        </is>
      </c>
      <c r="I344" s="530">
        <f>IF(LEN(A344)=5,E344,0)</f>
        <v/>
      </c>
      <c r="J344" s="531">
        <f>IF(LEFT(A344,11)="Tài khoản: ",MID(A344,12,5),J343)</f>
        <v/>
      </c>
    </row>
    <row r="345">
      <c r="A345" s="30" t="n">
        <v>46295</v>
      </c>
      <c r="B345" s="31" t="inlineStr">
        <is>
          <t>'3175</t>
        </is>
      </c>
      <c r="C345" s="32" t="inlineStr">
        <is>
          <t>GL</t>
        </is>
      </c>
      <c r="D345" s="19" t="inlineStr">
        <is>
          <t>THUẾ GTGT ĐIỆN MTMN T08-2026</t>
        </is>
      </c>
      <c r="E345" s="500" t="n">
        <v>9057057</v>
      </c>
      <c r="F345" s="499" t="n"/>
      <c r="G345" s="32" t="inlineStr">
        <is>
          <t>THAOPTT.HCM.VTA</t>
        </is>
      </c>
      <c r="H345" s="32" t="inlineStr">
        <is>
          <t xml:space="preserve">Post </t>
        </is>
      </c>
      <c r="I345" s="530">
        <f>IF(LEN(A345)=5,E345,0)</f>
        <v/>
      </c>
      <c r="J345" s="531">
        <f>IF(LEFT(A345,11)="Tài khoản: ",MID(A345,12,5),J344)</f>
        <v/>
      </c>
    </row>
    <row r="346">
      <c r="A346" s="30" t="n">
        <v>46295</v>
      </c>
      <c r="B346" s="31" t="inlineStr">
        <is>
          <t>'3175</t>
        </is>
      </c>
      <c r="C346" s="32" t="inlineStr">
        <is>
          <t>GL</t>
        </is>
      </c>
      <c r="D346" s="19" t="inlineStr">
        <is>
          <t>THUẾ GTGT ĐIỆN MTMN T08-2026</t>
        </is>
      </c>
      <c r="E346" s="500" t="n">
        <v>13866730</v>
      </c>
      <c r="F346" s="499" t="n"/>
      <c r="G346" s="32" t="inlineStr">
        <is>
          <t>THAOPTT.HCM.VTA</t>
        </is>
      </c>
      <c r="H346" s="32" t="inlineStr">
        <is>
          <t xml:space="preserve">Post </t>
        </is>
      </c>
      <c r="I346" s="530">
        <f>IF(LEN(A346)=5,E346,0)</f>
        <v/>
      </c>
      <c r="J346" s="531">
        <f>IF(LEFT(A346,11)="Tài khoản: ",MID(A346,12,5),J345)</f>
        <v/>
      </c>
    </row>
    <row r="347">
      <c r="A347" s="30" t="n">
        <v>46295</v>
      </c>
      <c r="B347" s="31" t="inlineStr">
        <is>
          <t>'3175</t>
        </is>
      </c>
      <c r="C347" s="32" t="inlineStr">
        <is>
          <t>GL</t>
        </is>
      </c>
      <c r="D347" s="19" t="inlineStr">
        <is>
          <t>THUẾ GTGT ĐIỆN MTMN T08-2026</t>
        </is>
      </c>
      <c r="E347" s="500" t="n">
        <v>16296068</v>
      </c>
      <c r="F347" s="499" t="n"/>
      <c r="G347" s="32" t="inlineStr">
        <is>
          <t>THAOPTT.HCM.VTA</t>
        </is>
      </c>
      <c r="H347" s="32" t="inlineStr">
        <is>
          <t xml:space="preserve">Post </t>
        </is>
      </c>
      <c r="I347" s="530">
        <f>IF(LEN(A347)=5,E347,0)</f>
        <v/>
      </c>
      <c r="J347" s="531">
        <f>IF(LEFT(A347,11)="Tài khoản: ",MID(A347,12,5),J346)</f>
        <v/>
      </c>
    </row>
    <row r="348">
      <c r="A348" s="30" t="n">
        <v>46295</v>
      </c>
      <c r="B348" s="31" t="inlineStr">
        <is>
          <t>'3175</t>
        </is>
      </c>
      <c r="C348" s="32" t="inlineStr">
        <is>
          <t>GL</t>
        </is>
      </c>
      <c r="D348" s="19" t="inlineStr">
        <is>
          <t>THUẾ GTGT ĐIỆN MTMN T08-2026</t>
        </is>
      </c>
      <c r="E348" s="500" t="n">
        <v>14847154</v>
      </c>
      <c r="F348" s="499" t="n"/>
      <c r="G348" s="32" t="inlineStr">
        <is>
          <t>THAOPTT.HCM.VTA</t>
        </is>
      </c>
      <c r="H348" s="32" t="inlineStr">
        <is>
          <t xml:space="preserve">Post </t>
        </is>
      </c>
      <c r="I348" s="530">
        <f>IF(LEN(A348)=5,E348,0)</f>
        <v/>
      </c>
      <c r="J348" s="531">
        <f>IF(LEFT(A348,11)="Tài khoản: ",MID(A348,12,5),J347)</f>
        <v/>
      </c>
    </row>
    <row r="349">
      <c r="A349" s="30" t="n">
        <v>46295</v>
      </c>
      <c r="B349" s="31" t="inlineStr">
        <is>
          <t>'3175</t>
        </is>
      </c>
      <c r="C349" s="32" t="inlineStr">
        <is>
          <t>GL</t>
        </is>
      </c>
      <c r="D349" s="19" t="inlineStr">
        <is>
          <t>THUẾ GTGT ĐIỆN MTMN T08-2026</t>
        </is>
      </c>
      <c r="E349" s="500" t="n">
        <v>17214690</v>
      </c>
      <c r="F349" s="499" t="n"/>
      <c r="G349" s="32" t="inlineStr">
        <is>
          <t>THAOPTT.HCM.VTA</t>
        </is>
      </c>
      <c r="H349" s="32" t="inlineStr">
        <is>
          <t xml:space="preserve">Post </t>
        </is>
      </c>
      <c r="I349" s="530">
        <f>IF(LEN(A349)=5,E349,0)</f>
        <v/>
      </c>
      <c r="J349" s="531">
        <f>IF(LEFT(A349,11)="Tài khoản: ",MID(A349,12,5),J348)</f>
        <v/>
      </c>
    </row>
    <row r="350">
      <c r="A350" s="30" t="n">
        <v>46295</v>
      </c>
      <c r="B350" s="31" t="inlineStr">
        <is>
          <t>'3175</t>
        </is>
      </c>
      <c r="C350" s="32" t="inlineStr">
        <is>
          <t>GL</t>
        </is>
      </c>
      <c r="D350" s="19" t="inlineStr">
        <is>
          <t>THUẾ GTGT ĐIỆN MTMN T08-2026</t>
        </is>
      </c>
      <c r="E350" s="500" t="n">
        <v>18228626</v>
      </c>
      <c r="F350" s="499" t="n"/>
      <c r="G350" s="32" t="inlineStr">
        <is>
          <t>THAOPTT.HCM.VTA</t>
        </is>
      </c>
      <c r="H350" s="32" t="inlineStr">
        <is>
          <t xml:space="preserve">Post </t>
        </is>
      </c>
      <c r="I350" s="530">
        <f>IF(LEN(A350)=5,E350,0)</f>
        <v/>
      </c>
      <c r="J350" s="531">
        <f>IF(LEFT(A350,11)="Tài khoản: ",MID(A350,12,5),J349)</f>
        <v/>
      </c>
    </row>
    <row r="351">
      <c r="A351" s="30" t="n">
        <v>46295</v>
      </c>
      <c r="B351" s="31" t="inlineStr">
        <is>
          <t>'3175</t>
        </is>
      </c>
      <c r="C351" s="32" t="inlineStr">
        <is>
          <t>GL</t>
        </is>
      </c>
      <c r="D351" s="19" t="inlineStr">
        <is>
          <t>THUẾ GTGT ĐIỆN MTMN T08-2026</t>
        </is>
      </c>
      <c r="E351" s="500" t="n">
        <v>18397195</v>
      </c>
      <c r="F351" s="499" t="n"/>
      <c r="G351" s="32" t="inlineStr">
        <is>
          <t>THAOPTT.HCM.VTA</t>
        </is>
      </c>
      <c r="H351" s="32" t="inlineStr">
        <is>
          <t xml:space="preserve">Post </t>
        </is>
      </c>
      <c r="I351" s="530">
        <f>IF(LEN(A351)=5,E351,0)</f>
        <v/>
      </c>
      <c r="J351" s="531">
        <f>IF(LEFT(A351,11)="Tài khoản: ",MID(A351,12,5),J350)</f>
        <v/>
      </c>
    </row>
    <row r="352">
      <c r="A352" s="30" t="n">
        <v>46295</v>
      </c>
      <c r="B352" s="31" t="inlineStr">
        <is>
          <t>'3175</t>
        </is>
      </c>
      <c r="C352" s="32" t="inlineStr">
        <is>
          <t>GL</t>
        </is>
      </c>
      <c r="D352" s="19" t="inlineStr">
        <is>
          <t>THUẾ GTGT ĐIỆN MTMN T08-2026</t>
        </is>
      </c>
      <c r="E352" s="500" t="n">
        <v>18496888</v>
      </c>
      <c r="F352" s="499" t="n"/>
      <c r="G352" s="32" t="inlineStr">
        <is>
          <t>THAOPTT.HCM.VTA</t>
        </is>
      </c>
      <c r="H352" s="32" t="inlineStr">
        <is>
          <t xml:space="preserve">Post </t>
        </is>
      </c>
      <c r="I352" s="530">
        <f>IF(LEN(A352)=5,E352,0)</f>
        <v/>
      </c>
      <c r="J352" s="531">
        <f>IF(LEFT(A352,11)="Tài khoản: ",MID(A352,12,5),J351)</f>
        <v/>
      </c>
    </row>
    <row r="353">
      <c r="A353" s="30" t="n">
        <v>46295</v>
      </c>
      <c r="B353" s="31" t="inlineStr">
        <is>
          <t>'3175</t>
        </is>
      </c>
      <c r="C353" s="32" t="inlineStr">
        <is>
          <t>GL</t>
        </is>
      </c>
      <c r="D353" s="19" t="inlineStr">
        <is>
          <t>THUẾ GTGT ĐIỆN MTMN T08-2026</t>
        </is>
      </c>
      <c r="E353" s="500" t="n">
        <v>17365071</v>
      </c>
      <c r="F353" s="499" t="n"/>
      <c r="G353" s="32" t="inlineStr">
        <is>
          <t>THAOPTT.HCM.VTA</t>
        </is>
      </c>
      <c r="H353" s="32" t="inlineStr">
        <is>
          <t xml:space="preserve">Post </t>
        </is>
      </c>
      <c r="I353" s="530">
        <f>IF(LEN(A353)=5,E353,0)</f>
        <v/>
      </c>
      <c r="J353" s="531">
        <f>IF(LEFT(A353,11)="Tài khoản: ",MID(A353,12,5),J352)</f>
        <v/>
      </c>
    </row>
    <row r="354">
      <c r="A354" s="30" t="n">
        <v>46295</v>
      </c>
      <c r="B354" s="31" t="inlineStr">
        <is>
          <t>'3175</t>
        </is>
      </c>
      <c r="C354" s="32" t="inlineStr">
        <is>
          <t>GL</t>
        </is>
      </c>
      <c r="D354" s="19" t="inlineStr">
        <is>
          <t>THUẾ GTGT ĐIỆN MTMN T03-2026</t>
        </is>
      </c>
      <c r="E354" s="500" t="n">
        <v>39406</v>
      </c>
      <c r="F354" s="499" t="n"/>
      <c r="G354" s="32" t="inlineStr">
        <is>
          <t>THAOPTT.HCM.VTA</t>
        </is>
      </c>
      <c r="H354" s="32" t="inlineStr">
        <is>
          <t xml:space="preserve">Post </t>
        </is>
      </c>
      <c r="I354" s="530">
        <f>IF(LEN(A354)=5,E354,0)</f>
        <v/>
      </c>
      <c r="J354" s="531">
        <f>IF(LEFT(A354,11)="Tài khoản: ",MID(A354,12,5),J353)</f>
        <v/>
      </c>
    </row>
    <row r="355">
      <c r="A355" s="30" t="n">
        <v>46295</v>
      </c>
      <c r="B355" s="31" t="inlineStr">
        <is>
          <t>'3175</t>
        </is>
      </c>
      <c r="C355" s="32" t="inlineStr">
        <is>
          <t>GL</t>
        </is>
      </c>
      <c r="D355" s="19" t="inlineStr">
        <is>
          <t>THUẾ GTGT ĐIỆN MTMN T04-2026</t>
        </is>
      </c>
      <c r="E355" s="500" t="n">
        <v>22060</v>
      </c>
      <c r="F355" s="499" t="n"/>
      <c r="G355" s="32" t="inlineStr">
        <is>
          <t>THAOPTT.HCM.VTA</t>
        </is>
      </c>
      <c r="H355" s="32" t="inlineStr">
        <is>
          <t xml:space="preserve">Post </t>
        </is>
      </c>
      <c r="I355" s="530">
        <f>IF(LEN(A355)=5,E355,0)</f>
        <v/>
      </c>
      <c r="J355" s="531">
        <f>IF(LEFT(A355,11)="Tài khoản: ",MID(A355,12,5),J354)</f>
        <v/>
      </c>
    </row>
    <row r="356">
      <c r="A356" s="30" t="n">
        <v>46295</v>
      </c>
      <c r="B356" s="31" t="inlineStr">
        <is>
          <t>'3175</t>
        </is>
      </c>
      <c r="C356" s="32" t="inlineStr">
        <is>
          <t>GL</t>
        </is>
      </c>
      <c r="D356" s="19" t="inlineStr">
        <is>
          <t>THUẾ GTGT ĐIỆN MTMN T05-2026</t>
        </is>
      </c>
      <c r="E356" s="500" t="n">
        <v>14314</v>
      </c>
      <c r="F356" s="499" t="n"/>
      <c r="G356" s="32" t="inlineStr">
        <is>
          <t>THAOPTT.HCM.VTA</t>
        </is>
      </c>
      <c r="H356" s="32" t="inlineStr">
        <is>
          <t xml:space="preserve">Post </t>
        </is>
      </c>
      <c r="I356" s="530">
        <f>IF(LEN(A356)=5,E356,0)</f>
        <v/>
      </c>
      <c r="J356" s="531">
        <f>IF(LEFT(A356,11)="Tài khoản: ",MID(A356,12,5),J355)</f>
        <v/>
      </c>
    </row>
    <row r="357">
      <c r="A357" s="30" t="n">
        <v>46295</v>
      </c>
      <c r="B357" s="31" t="inlineStr">
        <is>
          <t>'3175</t>
        </is>
      </c>
      <c r="C357" s="32" t="inlineStr">
        <is>
          <t>GL</t>
        </is>
      </c>
      <c r="D357" s="19" t="inlineStr">
        <is>
          <t>THUẾ GTGT ĐIỆN MTMN T06-2026</t>
        </is>
      </c>
      <c r="E357" s="500" t="n">
        <v>12798</v>
      </c>
      <c r="F357" s="499" t="n"/>
      <c r="G357" s="32" t="inlineStr">
        <is>
          <t>THAOPTT.HCM.VTA</t>
        </is>
      </c>
      <c r="H357" s="32" t="inlineStr">
        <is>
          <t xml:space="preserve">Post </t>
        </is>
      </c>
      <c r="I357" s="530">
        <f>IF(LEN(A357)=5,E357,0)</f>
        <v/>
      </c>
      <c r="J357" s="531">
        <f>IF(LEFT(A357,11)="Tài khoản: ",MID(A357,12,5),J356)</f>
        <v/>
      </c>
    </row>
    <row r="358">
      <c r="A358" s="30" t="n">
        <v>46295</v>
      </c>
      <c r="B358" s="31" t="inlineStr">
        <is>
          <t>'3175</t>
        </is>
      </c>
      <c r="C358" s="32" t="inlineStr">
        <is>
          <t>GL</t>
        </is>
      </c>
      <c r="D358" s="19" t="inlineStr">
        <is>
          <t>THUẾ GTGT ĐIỆN MTMN T08-2026</t>
        </is>
      </c>
      <c r="E358" s="500" t="n">
        <v>52541</v>
      </c>
      <c r="F358" s="499" t="n"/>
      <c r="G358" s="32" t="inlineStr">
        <is>
          <t>THAOPTT.HCM.VTA</t>
        </is>
      </c>
      <c r="H358" s="32" t="inlineStr">
        <is>
          <t xml:space="preserve">Post </t>
        </is>
      </c>
      <c r="I358" s="530">
        <f>IF(LEN(A358)=5,E358,0)</f>
        <v/>
      </c>
      <c r="J358" s="531">
        <f>IF(LEFT(A358,11)="Tài khoản: ",MID(A358,12,5),J357)</f>
        <v/>
      </c>
    </row>
    <row r="359">
      <c r="A359" s="30" t="n">
        <v>46295</v>
      </c>
      <c r="B359" s="31" t="inlineStr">
        <is>
          <t>'3175</t>
        </is>
      </c>
      <c r="C359" s="32" t="inlineStr">
        <is>
          <t>GL</t>
        </is>
      </c>
      <c r="D359" s="19" t="inlineStr">
        <is>
          <t>THUẾ GTGT ĐIỆN MTMN T07-2026</t>
        </is>
      </c>
      <c r="E359" s="500" t="n">
        <v>185240</v>
      </c>
      <c r="F359" s="499" t="n"/>
      <c r="G359" s="32" t="inlineStr">
        <is>
          <t>THAOPTT.HCM.VTA</t>
        </is>
      </c>
      <c r="H359" s="32" t="inlineStr">
        <is>
          <t xml:space="preserve">Post </t>
        </is>
      </c>
      <c r="I359" s="530">
        <f>IF(LEN(A359)=5,E359,0)</f>
        <v/>
      </c>
      <c r="J359" s="531">
        <f>IF(LEFT(A359,11)="Tài khoản: ",MID(A359,12,5),J358)</f>
        <v/>
      </c>
    </row>
    <row r="360">
      <c r="A360" s="30" t="n">
        <v>46295</v>
      </c>
      <c r="B360" s="31" t="inlineStr">
        <is>
          <t>'3175</t>
        </is>
      </c>
      <c r="C360" s="32" t="inlineStr">
        <is>
          <t>GL</t>
        </is>
      </c>
      <c r="D360" s="19" t="inlineStr">
        <is>
          <t>THUẾ GTGT ĐIỆN MTMN T08-2026</t>
        </is>
      </c>
      <c r="E360" s="500" t="n">
        <v>222793</v>
      </c>
      <c r="F360" s="499" t="n"/>
      <c r="G360" s="32" t="inlineStr">
        <is>
          <t>THAOPTT.HCM.VTA</t>
        </is>
      </c>
      <c r="H360" s="32" t="inlineStr">
        <is>
          <t xml:space="preserve">Post </t>
        </is>
      </c>
      <c r="I360" s="530">
        <f>IF(LEN(A360)=5,E360,0)</f>
        <v/>
      </c>
      <c r="J360" s="531">
        <f>IF(LEFT(A360,11)="Tài khoản: ",MID(A360,12,5),J359)</f>
        <v/>
      </c>
    </row>
    <row r="361">
      <c r="A361" s="30" t="n">
        <v>46295</v>
      </c>
      <c r="B361" s="31" t="inlineStr">
        <is>
          <t>'3175</t>
        </is>
      </c>
      <c r="C361" s="32" t="inlineStr">
        <is>
          <t>GL</t>
        </is>
      </c>
      <c r="D361" s="19" t="inlineStr">
        <is>
          <t>THUẾ GTGT ĐIỆN MTMN T08-2026</t>
        </is>
      </c>
      <c r="E361" s="500" t="n">
        <v>30312</v>
      </c>
      <c r="F361" s="499" t="n"/>
      <c r="G361" s="32" t="inlineStr">
        <is>
          <t>THAOPTT.HCM.VTA</t>
        </is>
      </c>
      <c r="H361" s="32" t="inlineStr">
        <is>
          <t xml:space="preserve">Post </t>
        </is>
      </c>
      <c r="I361" s="530">
        <f>IF(LEN(A361)=5,E361,0)</f>
        <v/>
      </c>
      <c r="J361" s="531">
        <f>IF(LEFT(A361,11)="Tài khoản: ",MID(A361,12,5),J360)</f>
        <v/>
      </c>
    </row>
    <row r="362">
      <c r="A362" s="30" t="n">
        <v>46295</v>
      </c>
      <c r="B362" s="31" t="inlineStr">
        <is>
          <t>'3175</t>
        </is>
      </c>
      <c r="C362" s="32" t="inlineStr">
        <is>
          <t>GL</t>
        </is>
      </c>
      <c r="D362" s="19" t="inlineStr">
        <is>
          <t>THUẾ GTGT ĐIỆN MTMN T08-2026</t>
        </is>
      </c>
      <c r="E362" s="500" t="n">
        <v>1377175</v>
      </c>
      <c r="F362" s="499" t="n"/>
      <c r="G362" s="32" t="inlineStr">
        <is>
          <t>THAOPTT.HCM.VTA</t>
        </is>
      </c>
      <c r="H362" s="32" t="inlineStr">
        <is>
          <t xml:space="preserve">Post </t>
        </is>
      </c>
      <c r="I362" s="530">
        <f>IF(LEN(A362)=5,E362,0)</f>
        <v/>
      </c>
      <c r="J362" s="531">
        <f>IF(LEFT(A362,11)="Tài khoản: ",MID(A362,12,5),J361)</f>
        <v/>
      </c>
    </row>
    <row r="363">
      <c r="A363" s="30" t="n">
        <v>46295</v>
      </c>
      <c r="B363" s="31" t="inlineStr">
        <is>
          <t>'3175</t>
        </is>
      </c>
      <c r="C363" s="32" t="inlineStr">
        <is>
          <t>GL</t>
        </is>
      </c>
      <c r="D363" s="19" t="inlineStr">
        <is>
          <t>THUẾ GTGT ĐIỆN MTMN T07-2026</t>
        </is>
      </c>
      <c r="E363" s="500" t="n">
        <v>96493</v>
      </c>
      <c r="F363" s="499" t="n"/>
      <c r="G363" s="32" t="inlineStr">
        <is>
          <t>THAOPTT.HCM.VTA</t>
        </is>
      </c>
      <c r="H363" s="32" t="inlineStr">
        <is>
          <t xml:space="preserve">Post </t>
        </is>
      </c>
      <c r="I363" s="530">
        <f>IF(LEN(A363)=5,E363,0)</f>
        <v/>
      </c>
      <c r="J363" s="531">
        <f>IF(LEFT(A363,11)="Tài khoản: ",MID(A363,12,5),J362)</f>
        <v/>
      </c>
    </row>
    <row r="364">
      <c r="A364" s="30" t="n">
        <v>46295</v>
      </c>
      <c r="B364" s="31" t="inlineStr">
        <is>
          <t>'3175</t>
        </is>
      </c>
      <c r="C364" s="32" t="inlineStr">
        <is>
          <t>GL</t>
        </is>
      </c>
      <c r="D364" s="19" t="inlineStr">
        <is>
          <t>THUẾ GTGT ĐIỆN MTMN T08-2026</t>
        </is>
      </c>
      <c r="E364" s="500" t="n">
        <v>2331498</v>
      </c>
      <c r="F364" s="499" t="n"/>
      <c r="G364" s="32" t="inlineStr">
        <is>
          <t>THAOPTT.HCM.VTA</t>
        </is>
      </c>
      <c r="H364" s="32" t="inlineStr">
        <is>
          <t xml:space="preserve">Post </t>
        </is>
      </c>
      <c r="I364" s="530">
        <f>IF(LEN(A364)=5,E364,0)</f>
        <v/>
      </c>
      <c r="J364" s="531">
        <f>IF(LEFT(A364,11)="Tài khoản: ",MID(A364,12,5),J363)</f>
        <v/>
      </c>
    </row>
    <row r="365">
      <c r="A365" s="30" t="n">
        <v>46295</v>
      </c>
      <c r="B365" s="31" t="inlineStr">
        <is>
          <t>'3175</t>
        </is>
      </c>
      <c r="C365" s="32" t="inlineStr">
        <is>
          <t>GL</t>
        </is>
      </c>
      <c r="D365" s="19" t="inlineStr">
        <is>
          <t>THUẾ GTGT ĐIỆN MTMN T08-2026</t>
        </is>
      </c>
      <c r="E365" s="500" t="n">
        <v>443902</v>
      </c>
      <c r="F365" s="499" t="n"/>
      <c r="G365" s="32" t="inlineStr">
        <is>
          <t>THAOPTT.HCM.VTA</t>
        </is>
      </c>
      <c r="H365" s="32" t="inlineStr">
        <is>
          <t xml:space="preserve">Post </t>
        </is>
      </c>
      <c r="I365" s="530">
        <f>IF(LEN(A365)=5,E365,0)</f>
        <v/>
      </c>
      <c r="J365" s="531">
        <f>IF(LEFT(A365,11)="Tài khoản: ",MID(A365,12,5),J364)</f>
        <v/>
      </c>
    </row>
    <row r="366">
      <c r="A366" s="30" t="n">
        <v>46295</v>
      </c>
      <c r="B366" s="31" t="inlineStr">
        <is>
          <t>'3175</t>
        </is>
      </c>
      <c r="C366" s="32" t="inlineStr">
        <is>
          <t>GL</t>
        </is>
      </c>
      <c r="D366" s="19" t="inlineStr">
        <is>
          <t>THUẾ GTGT ĐIỆN MTMN T08-2026</t>
        </is>
      </c>
      <c r="E366" s="500" t="n">
        <v>1099820</v>
      </c>
      <c r="F366" s="499" t="n"/>
      <c r="G366" s="32" t="inlineStr">
        <is>
          <t>THAOPTT.HCM.VTA</t>
        </is>
      </c>
      <c r="H366" s="32" t="inlineStr">
        <is>
          <t xml:space="preserve">Post </t>
        </is>
      </c>
      <c r="I366" s="530">
        <f>IF(LEN(A366)=5,E366,0)</f>
        <v/>
      </c>
      <c r="J366" s="531">
        <f>IF(LEFT(A366,11)="Tài khoản: ",MID(A366,12,5),J365)</f>
        <v/>
      </c>
    </row>
    <row r="367">
      <c r="A367" s="30" t="n">
        <v>46295</v>
      </c>
      <c r="B367" s="31" t="inlineStr">
        <is>
          <t>'3175</t>
        </is>
      </c>
      <c r="C367" s="32" t="inlineStr">
        <is>
          <t>GL</t>
        </is>
      </c>
      <c r="D367" s="19" t="inlineStr">
        <is>
          <t>THUẾ GTGT ĐIỆN MTMN T08-2026</t>
        </is>
      </c>
      <c r="E367" s="500" t="n">
        <v>62140</v>
      </c>
      <c r="F367" s="499" t="n"/>
      <c r="G367" s="32" t="inlineStr">
        <is>
          <t>THAOPTT.HCM.VTA</t>
        </is>
      </c>
      <c r="H367" s="32" t="inlineStr">
        <is>
          <t xml:space="preserve">Post </t>
        </is>
      </c>
      <c r="I367" s="530">
        <f>IF(LEN(A367)=5,E367,0)</f>
        <v/>
      </c>
      <c r="J367" s="531">
        <f>IF(LEFT(A367,11)="Tài khoản: ",MID(A367,12,5),J366)</f>
        <v/>
      </c>
    </row>
    <row r="368">
      <c r="A368" s="30" t="n">
        <v>46295</v>
      </c>
      <c r="B368" s="31" t="inlineStr">
        <is>
          <t>'3175</t>
        </is>
      </c>
      <c r="C368" s="32" t="inlineStr">
        <is>
          <t>GL</t>
        </is>
      </c>
      <c r="D368" s="19" t="inlineStr">
        <is>
          <t>THUẾ GTGT ĐIỆN MTMN T08-2026</t>
        </is>
      </c>
      <c r="E368" s="500" t="n">
        <v>7177208</v>
      </c>
      <c r="F368" s="499" t="n"/>
      <c r="G368" s="32" t="inlineStr">
        <is>
          <t>THAOPTT.HCM.VTA</t>
        </is>
      </c>
      <c r="H368" s="32" t="inlineStr">
        <is>
          <t xml:space="preserve">Post </t>
        </is>
      </c>
      <c r="I368" s="530">
        <f>IF(LEN(A368)=5,E368,0)</f>
        <v/>
      </c>
      <c r="J368" s="531">
        <f>IF(LEFT(A368,11)="Tài khoản: ",MID(A368,12,5),J367)</f>
        <v/>
      </c>
    </row>
    <row r="369">
      <c r="A369" s="30" t="n">
        <v>46295</v>
      </c>
      <c r="B369" s="31" t="inlineStr">
        <is>
          <t>'3175</t>
        </is>
      </c>
      <c r="C369" s="32" t="inlineStr">
        <is>
          <t>GL</t>
        </is>
      </c>
      <c r="D369" s="19" t="inlineStr">
        <is>
          <t>THUẾ GTGT ĐIỆN MTMN T08-2026</t>
        </is>
      </c>
      <c r="E369" s="500" t="n">
        <v>4638410</v>
      </c>
      <c r="F369" s="499" t="n"/>
      <c r="G369" s="32" t="inlineStr">
        <is>
          <t>THAOPTT.HCM.VTA</t>
        </is>
      </c>
      <c r="H369" s="32" t="inlineStr">
        <is>
          <t xml:space="preserve">Post </t>
        </is>
      </c>
      <c r="I369" s="530">
        <f>IF(LEN(A369)=5,E369,0)</f>
        <v/>
      </c>
      <c r="J369" s="531">
        <f>IF(LEFT(A369,11)="Tài khoản: ",MID(A369,12,5),J368)</f>
        <v/>
      </c>
    </row>
    <row r="370">
      <c r="A370" s="30" t="n">
        <v>46295</v>
      </c>
      <c r="B370" s="31" t="inlineStr">
        <is>
          <t>'3175</t>
        </is>
      </c>
      <c r="C370" s="32" t="inlineStr">
        <is>
          <t>GL</t>
        </is>
      </c>
      <c r="D370" s="19" t="inlineStr">
        <is>
          <t>THUẾ GTGT ĐIỆN MTMN T08-2026</t>
        </is>
      </c>
      <c r="E370" s="500" t="n">
        <v>487518</v>
      </c>
      <c r="F370" s="499" t="n"/>
      <c r="G370" s="32" t="inlineStr">
        <is>
          <t>THAOPTT.HCM.VTA</t>
        </is>
      </c>
      <c r="H370" s="32" t="inlineStr">
        <is>
          <t xml:space="preserve">Post </t>
        </is>
      </c>
      <c r="I370" s="530">
        <f>IF(LEN(A370)=5,E370,0)</f>
        <v/>
      </c>
      <c r="J370" s="531">
        <f>IF(LEFT(A370,11)="Tài khoản: ",MID(A370,12,5),J369)</f>
        <v/>
      </c>
    </row>
    <row r="371">
      <c r="A371" s="30" t="n">
        <v>46295</v>
      </c>
      <c r="B371" s="31" t="inlineStr">
        <is>
          <t>'3175</t>
        </is>
      </c>
      <c r="C371" s="32" t="inlineStr">
        <is>
          <t>GL</t>
        </is>
      </c>
      <c r="D371" s="19" t="inlineStr">
        <is>
          <t>THUẾ GTGT ĐIỆN MTMN T08-2026</t>
        </is>
      </c>
      <c r="E371" s="500" t="n">
        <v>62363</v>
      </c>
      <c r="F371" s="499" t="n"/>
      <c r="G371" s="32" t="inlineStr">
        <is>
          <t>THAOPTT.HCM.VTA</t>
        </is>
      </c>
      <c r="H371" s="32" t="inlineStr">
        <is>
          <t xml:space="preserve">Post </t>
        </is>
      </c>
      <c r="I371" s="530">
        <f>IF(LEN(A371)=5,E371,0)</f>
        <v/>
      </c>
      <c r="J371" s="531">
        <f>IF(LEFT(A371,11)="Tài khoản: ",MID(A371,12,5),J370)</f>
        <v/>
      </c>
    </row>
    <row r="372">
      <c r="A372" s="30" t="n">
        <v>46295</v>
      </c>
      <c r="B372" s="31" t="inlineStr">
        <is>
          <t>'3175</t>
        </is>
      </c>
      <c r="C372" s="32" t="inlineStr">
        <is>
          <t>GL</t>
        </is>
      </c>
      <c r="D372" s="19" t="inlineStr">
        <is>
          <t>THUẾ GTGT ĐIỆN MTMN T08-2026</t>
        </is>
      </c>
      <c r="E372" s="500" t="n">
        <v>256305</v>
      </c>
      <c r="F372" s="499" t="n"/>
      <c r="G372" s="32" t="inlineStr">
        <is>
          <t>THAOPTT.HCM.VTA</t>
        </is>
      </c>
      <c r="H372" s="32" t="inlineStr">
        <is>
          <t xml:space="preserve">Post </t>
        </is>
      </c>
      <c r="I372" s="530">
        <f>IF(LEN(A372)=5,E372,0)</f>
        <v/>
      </c>
      <c r="J372" s="531">
        <f>IF(LEFT(A372,11)="Tài khoản: ",MID(A372,12,5),J371)</f>
        <v/>
      </c>
    </row>
    <row r="373">
      <c r="A373" s="30" t="n">
        <v>46295</v>
      </c>
      <c r="B373" s="31" t="inlineStr">
        <is>
          <t>'3175</t>
        </is>
      </c>
      <c r="C373" s="32" t="inlineStr">
        <is>
          <t>GL</t>
        </is>
      </c>
      <c r="D373" s="19" t="inlineStr">
        <is>
          <t>THUẾ GTGT ĐIỆN MTMN T08-2026</t>
        </is>
      </c>
      <c r="E373" s="500" t="n">
        <v>11061859</v>
      </c>
      <c r="F373" s="499" t="n"/>
      <c r="G373" s="32" t="inlineStr">
        <is>
          <t>THAOPTT.HCM.VTA</t>
        </is>
      </c>
      <c r="H373" s="32" t="inlineStr">
        <is>
          <t xml:space="preserve">Post </t>
        </is>
      </c>
      <c r="I373" s="530">
        <f>IF(LEN(A373)=5,E373,0)</f>
        <v/>
      </c>
      <c r="J373" s="531">
        <f>IF(LEFT(A373,11)="Tài khoản: ",MID(A373,12,5),J372)</f>
        <v/>
      </c>
    </row>
    <row r="374">
      <c r="A374" s="30" t="n">
        <v>46295</v>
      </c>
      <c r="B374" s="31" t="inlineStr">
        <is>
          <t>'3175</t>
        </is>
      </c>
      <c r="C374" s="32" t="inlineStr">
        <is>
          <t>GL</t>
        </is>
      </c>
      <c r="D374" s="19" t="inlineStr">
        <is>
          <t>THUẾ GTGT ĐIỆN MTMN T08-2026</t>
        </is>
      </c>
      <c r="E374" s="500" t="n">
        <v>27112</v>
      </c>
      <c r="F374" s="499" t="n"/>
      <c r="G374" s="32" t="inlineStr">
        <is>
          <t>THAOPTT.HCM.VTA</t>
        </is>
      </c>
      <c r="H374" s="32" t="inlineStr">
        <is>
          <t xml:space="preserve">Post </t>
        </is>
      </c>
      <c r="I374" s="530">
        <f>IF(LEN(A374)=5,E374,0)</f>
        <v/>
      </c>
      <c r="J374" s="531">
        <f>IF(LEFT(A374,11)="Tài khoản: ",MID(A374,12,5),J373)</f>
        <v/>
      </c>
    </row>
    <row r="375">
      <c r="A375" s="30" t="n">
        <v>46295</v>
      </c>
      <c r="B375" s="31" t="inlineStr">
        <is>
          <t>'3175</t>
        </is>
      </c>
      <c r="C375" s="32" t="inlineStr">
        <is>
          <t>GL</t>
        </is>
      </c>
      <c r="D375" s="19" t="inlineStr">
        <is>
          <t>THUẾ GTGT ĐIỆN MTMN T08-2026</t>
        </is>
      </c>
      <c r="E375" s="500" t="n">
        <v>397424</v>
      </c>
      <c r="F375" s="499" t="n"/>
      <c r="G375" s="32" t="inlineStr">
        <is>
          <t>THAOPTT.HCM.VTA</t>
        </is>
      </c>
      <c r="H375" s="32" t="inlineStr">
        <is>
          <t xml:space="preserve">Post </t>
        </is>
      </c>
      <c r="I375" s="530">
        <f>IF(LEN(A375)=5,E375,0)</f>
        <v/>
      </c>
      <c r="J375" s="531">
        <f>IF(LEFT(A375,11)="Tài khoản: ",MID(A375,12,5),J374)</f>
        <v/>
      </c>
    </row>
    <row r="376">
      <c r="A376" s="30" t="n">
        <v>46295</v>
      </c>
      <c r="B376" s="31" t="inlineStr">
        <is>
          <t>'3175</t>
        </is>
      </c>
      <c r="C376" s="32" t="inlineStr">
        <is>
          <t>GL</t>
        </is>
      </c>
      <c r="D376" s="19" t="inlineStr">
        <is>
          <t>THUẾ GTGT ĐIỆN MTMN T08-2026</t>
        </is>
      </c>
      <c r="E376" s="500" t="n">
        <v>92283</v>
      </c>
      <c r="F376" s="499" t="n"/>
      <c r="G376" s="32" t="inlineStr">
        <is>
          <t>THAOPTT.HCM.VTA</t>
        </is>
      </c>
      <c r="H376" s="32" t="inlineStr">
        <is>
          <t xml:space="preserve">Post </t>
        </is>
      </c>
      <c r="I376" s="530">
        <f>IF(LEN(A376)=5,E376,0)</f>
        <v/>
      </c>
      <c r="J376" s="531">
        <f>IF(LEFT(A376,11)="Tài khoản: ",MID(A376,12,5),J375)</f>
        <v/>
      </c>
    </row>
    <row r="377">
      <c r="A377" s="30" t="n">
        <v>46295</v>
      </c>
      <c r="B377" s="31" t="inlineStr">
        <is>
          <t>'3175</t>
        </is>
      </c>
      <c r="C377" s="32" t="inlineStr">
        <is>
          <t>GL</t>
        </is>
      </c>
      <c r="D377" s="19" t="inlineStr">
        <is>
          <t>THUẾ GTGT ĐIỆN MTMN T08-2026</t>
        </is>
      </c>
      <c r="E377" s="500" t="n">
        <v>1351242</v>
      </c>
      <c r="F377" s="499" t="n"/>
      <c r="G377" s="32" t="inlineStr">
        <is>
          <t>THAOPTT.HCM.VTA</t>
        </is>
      </c>
      <c r="H377" s="32" t="inlineStr">
        <is>
          <t xml:space="preserve">Post </t>
        </is>
      </c>
      <c r="I377" s="530">
        <f>IF(LEN(A377)=5,E377,0)</f>
        <v/>
      </c>
      <c r="J377" s="531">
        <f>IF(LEFT(A377,11)="Tài khoản: ",MID(A377,12,5),J376)</f>
        <v/>
      </c>
    </row>
    <row r="378">
      <c r="A378" s="30" t="n">
        <v>46295</v>
      </c>
      <c r="B378" s="31" t="inlineStr">
        <is>
          <t>'3175</t>
        </is>
      </c>
      <c r="C378" s="32" t="inlineStr">
        <is>
          <t>GL</t>
        </is>
      </c>
      <c r="D378" s="19" t="inlineStr">
        <is>
          <t>THUẾ GTGT ĐIỆN MTMN T08-2026</t>
        </is>
      </c>
      <c r="E378" s="500" t="n">
        <v>1112282</v>
      </c>
      <c r="F378" s="499" t="n"/>
      <c r="G378" s="32" t="inlineStr">
        <is>
          <t>THAOPTT.HCM.VTA</t>
        </is>
      </c>
      <c r="H378" s="32" t="inlineStr">
        <is>
          <t xml:space="preserve">Post </t>
        </is>
      </c>
      <c r="I378" s="530">
        <f>IF(LEN(A378)=5,E378,0)</f>
        <v/>
      </c>
      <c r="J378" s="531">
        <f>IF(LEFT(A378,11)="Tài khoản: ",MID(A378,12,5),J377)</f>
        <v/>
      </c>
    </row>
    <row r="379">
      <c r="A379" s="30" t="n">
        <v>46295</v>
      </c>
      <c r="B379" s="31" t="inlineStr">
        <is>
          <t>'3175</t>
        </is>
      </c>
      <c r="C379" s="32" t="inlineStr">
        <is>
          <t>GL</t>
        </is>
      </c>
      <c r="D379" s="19" t="inlineStr">
        <is>
          <t>THUẾ GTGT ĐIỆN MTMN T08-2026</t>
        </is>
      </c>
      <c r="E379" s="500" t="n">
        <v>3031200</v>
      </c>
      <c r="F379" s="499" t="n"/>
      <c r="G379" s="32" t="inlineStr">
        <is>
          <t>THAOPTT.HCM.VTA</t>
        </is>
      </c>
      <c r="H379" s="32" t="inlineStr">
        <is>
          <t xml:space="preserve">Post </t>
        </is>
      </c>
      <c r="I379" s="530">
        <f>IF(LEN(A379)=5,E379,0)</f>
        <v/>
      </c>
      <c r="J379" s="531">
        <f>IF(LEFT(A379,11)="Tài khoản: ",MID(A379,12,5),J378)</f>
        <v/>
      </c>
    </row>
    <row r="380">
      <c r="A380" s="30" t="n">
        <v>46295</v>
      </c>
      <c r="B380" s="31" t="inlineStr">
        <is>
          <t>'3175</t>
        </is>
      </c>
      <c r="C380" s="32" t="inlineStr">
        <is>
          <t>GL</t>
        </is>
      </c>
      <c r="D380" s="19" t="inlineStr">
        <is>
          <t>THUẾ GTGT ĐIỆN MTMN T08-2026</t>
        </is>
      </c>
      <c r="E380" s="500" t="n">
        <v>159812</v>
      </c>
      <c r="F380" s="499" t="n"/>
      <c r="G380" s="32" t="inlineStr">
        <is>
          <t>THAOPTT.HCM.VTA</t>
        </is>
      </c>
      <c r="H380" s="32" t="inlineStr">
        <is>
          <t xml:space="preserve">Post </t>
        </is>
      </c>
      <c r="I380" s="530">
        <f>IF(LEN(A380)=5,E380,0)</f>
        <v/>
      </c>
      <c r="J380" s="531">
        <f>IF(LEFT(A380,11)="Tài khoản: ",MID(A380,12,5),J379)</f>
        <v/>
      </c>
    </row>
    <row r="381">
      <c r="A381" s="30" t="n">
        <v>46295</v>
      </c>
      <c r="B381" s="31" t="inlineStr">
        <is>
          <t>'3175</t>
        </is>
      </c>
      <c r="C381" s="32" t="inlineStr">
        <is>
          <t>GL</t>
        </is>
      </c>
      <c r="D381" s="19" t="inlineStr">
        <is>
          <t>THUẾ GTGT ĐIỆN MTMN T08-2026</t>
        </is>
      </c>
      <c r="E381" s="500" t="n">
        <v>145329</v>
      </c>
      <c r="F381" s="499" t="n"/>
      <c r="G381" s="32" t="inlineStr">
        <is>
          <t>THAOPTT.HCM.VTA</t>
        </is>
      </c>
      <c r="H381" s="32" t="inlineStr">
        <is>
          <t xml:space="preserve">Post </t>
        </is>
      </c>
      <c r="I381" s="530">
        <f>IF(LEN(A381)=5,E381,0)</f>
        <v/>
      </c>
      <c r="J381" s="531">
        <f>IF(LEFT(A381,11)="Tài khoản: ",MID(A381,12,5),J380)</f>
        <v/>
      </c>
    </row>
    <row r="382">
      <c r="A382" s="30" t="n">
        <v>46295</v>
      </c>
      <c r="B382" s="31" t="inlineStr">
        <is>
          <t>'3175</t>
        </is>
      </c>
      <c r="C382" s="32" t="inlineStr">
        <is>
          <t>GL</t>
        </is>
      </c>
      <c r="D382" s="19" t="inlineStr">
        <is>
          <t>THUẾ GTGT ĐIỆN MTMN T08-2026</t>
        </is>
      </c>
      <c r="E382" s="500" t="n">
        <v>15848124</v>
      </c>
      <c r="F382" s="499" t="n"/>
      <c r="G382" s="32" t="inlineStr">
        <is>
          <t>THAOPTT.HCM.VTA</t>
        </is>
      </c>
      <c r="H382" s="32" t="inlineStr">
        <is>
          <t xml:space="preserve">Post </t>
        </is>
      </c>
      <c r="I382" s="530">
        <f>IF(LEN(A382)=5,E382,0)</f>
        <v/>
      </c>
      <c r="J382" s="531">
        <f>IF(LEFT(A382,11)="Tài khoản: ",MID(A382,12,5),J381)</f>
        <v/>
      </c>
    </row>
    <row r="383">
      <c r="A383" s="30" t="n">
        <v>46295</v>
      </c>
      <c r="B383" s="31" t="inlineStr">
        <is>
          <t>'3175</t>
        </is>
      </c>
      <c r="C383" s="32" t="inlineStr">
        <is>
          <t>GL</t>
        </is>
      </c>
      <c r="D383" s="19" t="inlineStr">
        <is>
          <t>THUẾ GTGT ĐIỆN MTMN T08-2026</t>
        </is>
      </c>
      <c r="E383" s="500" t="n">
        <v>15707369</v>
      </c>
      <c r="F383" s="499" t="n"/>
      <c r="G383" s="32" t="inlineStr">
        <is>
          <t>THAOPTT.HCM.VTA</t>
        </is>
      </c>
      <c r="H383" s="32" t="inlineStr">
        <is>
          <t xml:space="preserve">Post </t>
        </is>
      </c>
      <c r="I383" s="530">
        <f>IF(LEN(A383)=5,E383,0)</f>
        <v/>
      </c>
      <c r="J383" s="531">
        <f>IF(LEFT(A383,11)="Tài khoản: ",MID(A383,12,5),J382)</f>
        <v/>
      </c>
    </row>
    <row r="384">
      <c r="A384" s="30" t="n">
        <v>46295</v>
      </c>
      <c r="B384" s="31" t="inlineStr">
        <is>
          <t>'3175</t>
        </is>
      </c>
      <c r="C384" s="32" t="inlineStr">
        <is>
          <t>GL</t>
        </is>
      </c>
      <c r="D384" s="19" t="inlineStr">
        <is>
          <t>THUẾ GTGT ĐIỆN MTMN T08-2026</t>
        </is>
      </c>
      <c r="E384" s="500" t="n">
        <v>40584</v>
      </c>
      <c r="F384" s="499" t="n"/>
      <c r="G384" s="32" t="inlineStr">
        <is>
          <t>THAOPTT.HCM.VTA</t>
        </is>
      </c>
      <c r="H384" s="32" t="inlineStr">
        <is>
          <t xml:space="preserve">Post </t>
        </is>
      </c>
      <c r="I384" s="530">
        <f>IF(LEN(A384)=5,E384,0)</f>
        <v/>
      </c>
      <c r="J384" s="531">
        <f>IF(LEFT(A384,11)="Tài khoản: ",MID(A384,12,5),J383)</f>
        <v/>
      </c>
    </row>
    <row r="385">
      <c r="A385" s="30" t="n">
        <v>46295</v>
      </c>
      <c r="B385" s="31" t="inlineStr">
        <is>
          <t>'3175</t>
        </is>
      </c>
      <c r="C385" s="32" t="inlineStr">
        <is>
          <t>GL</t>
        </is>
      </c>
      <c r="D385" s="19" t="inlineStr">
        <is>
          <t>THUẾ GTGT ĐIỆN MTMN T08-2026</t>
        </is>
      </c>
      <c r="E385" s="500" t="n">
        <v>3813418</v>
      </c>
      <c r="F385" s="499" t="n"/>
      <c r="G385" s="32" t="inlineStr">
        <is>
          <t>THAOPTT.HCM.VTA</t>
        </is>
      </c>
      <c r="H385" s="32" t="inlineStr">
        <is>
          <t xml:space="preserve">Post </t>
        </is>
      </c>
      <c r="I385" s="530">
        <f>IF(LEN(A385)=5,E385,0)</f>
        <v/>
      </c>
      <c r="J385" s="531">
        <f>IF(LEFT(A385,11)="Tài khoản: ",MID(A385,12,5),J384)</f>
        <v/>
      </c>
    </row>
    <row r="386">
      <c r="A386" s="30" t="n">
        <v>46295</v>
      </c>
      <c r="B386" s="31" t="inlineStr">
        <is>
          <t>'3175</t>
        </is>
      </c>
      <c r="C386" s="32" t="inlineStr">
        <is>
          <t>GL</t>
        </is>
      </c>
      <c r="D386" s="19" t="inlineStr">
        <is>
          <t>THUẾ GTGT ĐIỆN MTMN T08-2026</t>
        </is>
      </c>
      <c r="E386" s="500" t="n">
        <v>3647544</v>
      </c>
      <c r="F386" s="499" t="n"/>
      <c r="G386" s="32" t="inlineStr">
        <is>
          <t>THAOPTT.HCM.VTA</t>
        </is>
      </c>
      <c r="H386" s="32" t="inlineStr">
        <is>
          <t xml:space="preserve">Post </t>
        </is>
      </c>
      <c r="I386" s="530">
        <f>IF(LEN(A386)=5,E386,0)</f>
        <v/>
      </c>
      <c r="J386" s="531">
        <f>IF(LEFT(A386,11)="Tài khoản: ",MID(A386,12,5),J385)</f>
        <v/>
      </c>
    </row>
    <row r="387">
      <c r="A387" s="30" t="n">
        <v>46295</v>
      </c>
      <c r="B387" s="31" t="inlineStr">
        <is>
          <t>'3175</t>
        </is>
      </c>
      <c r="C387" s="32" t="inlineStr">
        <is>
          <t>GL</t>
        </is>
      </c>
      <c r="D387" s="19" t="inlineStr">
        <is>
          <t>THUẾ GTGT ĐIỆN MTMN T08-2026</t>
        </is>
      </c>
      <c r="E387" s="500" t="n">
        <v>1426348</v>
      </c>
      <c r="F387" s="499" t="n"/>
      <c r="G387" s="32" t="inlineStr">
        <is>
          <t>THAOPTT.HCM.VTA</t>
        </is>
      </c>
      <c r="H387" s="32" t="inlineStr">
        <is>
          <t xml:space="preserve">Post </t>
        </is>
      </c>
      <c r="I387" s="530">
        <f>IF(LEN(A387)=5,E387,0)</f>
        <v/>
      </c>
      <c r="J387" s="531">
        <f>IF(LEFT(A387,11)="Tài khoản: ",MID(A387,12,5),J386)</f>
        <v/>
      </c>
    </row>
    <row r="388">
      <c r="A388" s="30" t="n">
        <v>46295</v>
      </c>
      <c r="B388" s="31" t="inlineStr">
        <is>
          <t>'3175</t>
        </is>
      </c>
      <c r="C388" s="32" t="inlineStr">
        <is>
          <t>GL</t>
        </is>
      </c>
      <c r="D388" s="19" t="inlineStr">
        <is>
          <t>THUẾ GTGT ĐIỆN MTMN T08-2026</t>
        </is>
      </c>
      <c r="E388" s="500" t="n">
        <v>78474</v>
      </c>
      <c r="F388" s="499" t="n"/>
      <c r="G388" s="32" t="inlineStr">
        <is>
          <t>THAOPTT.HCM.VTA</t>
        </is>
      </c>
      <c r="H388" s="32" t="inlineStr">
        <is>
          <t xml:space="preserve">Post </t>
        </is>
      </c>
      <c r="I388" s="530">
        <f>IF(LEN(A388)=5,E388,0)</f>
        <v/>
      </c>
      <c r="J388" s="531">
        <f>IF(LEFT(A388,11)="Tài khoản: ",MID(A388,12,5),J387)</f>
        <v/>
      </c>
    </row>
    <row r="389">
      <c r="A389" s="30" t="n">
        <v>46295</v>
      </c>
      <c r="B389" s="31" t="inlineStr">
        <is>
          <t>'3175</t>
        </is>
      </c>
      <c r="C389" s="32" t="inlineStr">
        <is>
          <t>GL</t>
        </is>
      </c>
      <c r="D389" s="19" t="inlineStr">
        <is>
          <t>THUẾ GTGT ĐIỆN MTMN T08-2026</t>
        </is>
      </c>
      <c r="E389" s="500" t="n">
        <v>18401405</v>
      </c>
      <c r="F389" s="499" t="n"/>
      <c r="G389" s="32" t="inlineStr">
        <is>
          <t>THAOPTT.HCM.VTA</t>
        </is>
      </c>
      <c r="H389" s="32" t="inlineStr">
        <is>
          <t xml:space="preserve">Post </t>
        </is>
      </c>
      <c r="I389" s="530">
        <f>IF(LEN(A389)=5,E389,0)</f>
        <v/>
      </c>
      <c r="J389" s="531">
        <f>IF(LEFT(A389,11)="Tài khoản: ",MID(A389,12,5),J388)</f>
        <v/>
      </c>
    </row>
    <row r="390">
      <c r="A390" s="30" t="n">
        <v>46295</v>
      </c>
      <c r="B390" s="31" t="inlineStr">
        <is>
          <t>'3175</t>
        </is>
      </c>
      <c r="C390" s="32" t="inlineStr">
        <is>
          <t>GL</t>
        </is>
      </c>
      <c r="D390" s="19" t="inlineStr">
        <is>
          <t>THUẾ GTGT ĐIỆN MTMN T08-2026</t>
        </is>
      </c>
      <c r="E390" s="500" t="n">
        <v>5412039</v>
      </c>
      <c r="F390" s="499" t="n"/>
      <c r="G390" s="32" t="inlineStr">
        <is>
          <t>THAOPTT.HCM.VTA</t>
        </is>
      </c>
      <c r="H390" s="32" t="inlineStr">
        <is>
          <t xml:space="preserve">Post </t>
        </is>
      </c>
      <c r="I390" s="530">
        <f>IF(LEN(A390)=5,E390,0)</f>
        <v/>
      </c>
      <c r="J390" s="531">
        <f>IF(LEFT(A390,11)="Tài khoản: ",MID(A390,12,5),J389)</f>
        <v/>
      </c>
    </row>
    <row r="391">
      <c r="A391" s="30" t="n">
        <v>46295</v>
      </c>
      <c r="B391" s="31" t="inlineStr">
        <is>
          <t>'3175</t>
        </is>
      </c>
      <c r="C391" s="32" t="inlineStr">
        <is>
          <t>GL</t>
        </is>
      </c>
      <c r="D391" s="19" t="inlineStr">
        <is>
          <t>THUẾ GTGT ĐIỆN MTMN T08-2026</t>
        </is>
      </c>
      <c r="E391" s="500" t="n">
        <v>1412876</v>
      </c>
      <c r="F391" s="499" t="n"/>
      <c r="G391" s="32" t="inlineStr">
        <is>
          <t>THAOPTT.HCM.VTA</t>
        </is>
      </c>
      <c r="H391" s="32" t="inlineStr">
        <is>
          <t xml:space="preserve">Post </t>
        </is>
      </c>
      <c r="I391" s="530">
        <f>IF(LEN(A391)=5,E391,0)</f>
        <v/>
      </c>
      <c r="J391" s="531">
        <f>IF(LEFT(A391,11)="Tài khoản: ",MID(A391,12,5),J390)</f>
        <v/>
      </c>
    </row>
    <row r="392">
      <c r="A392" s="30" t="n">
        <v>46295</v>
      </c>
      <c r="B392" s="31" t="inlineStr">
        <is>
          <t>'3175</t>
        </is>
      </c>
      <c r="C392" s="32" t="inlineStr">
        <is>
          <t>GL</t>
        </is>
      </c>
      <c r="D392" s="19" t="inlineStr">
        <is>
          <t>THUẾ GTGT ĐIỆN MTMN T08-2026</t>
        </is>
      </c>
      <c r="E392" s="500" t="n">
        <v>8259683</v>
      </c>
      <c r="F392" s="499" t="n"/>
      <c r="G392" s="32" t="inlineStr">
        <is>
          <t>THAOPTT.HCM.VTA</t>
        </is>
      </c>
      <c r="H392" s="32" t="inlineStr">
        <is>
          <t xml:space="preserve">Post </t>
        </is>
      </c>
      <c r="I392" s="530">
        <f>IF(LEN(A392)=5,E392,0)</f>
        <v/>
      </c>
      <c r="J392" s="531">
        <f>IF(LEFT(A392,11)="Tài khoản: ",MID(A392,12,5),J391)</f>
        <v/>
      </c>
    </row>
    <row r="393">
      <c r="A393" s="30" t="n">
        <v>46295</v>
      </c>
      <c r="B393" s="31" t="inlineStr">
        <is>
          <t>'3175</t>
        </is>
      </c>
      <c r="C393" s="32" t="inlineStr">
        <is>
          <t>GL</t>
        </is>
      </c>
      <c r="D393" s="19" t="inlineStr">
        <is>
          <t>THUẾ GTGT ĐIỆN MTMN T08-2026</t>
        </is>
      </c>
      <c r="E393" s="500" t="n">
        <v>10708893</v>
      </c>
      <c r="F393" s="499" t="n"/>
      <c r="G393" s="32" t="inlineStr">
        <is>
          <t>THAOPTT.HCM.VTA</t>
        </is>
      </c>
      <c r="H393" s="32" t="inlineStr">
        <is>
          <t xml:space="preserve">Post </t>
        </is>
      </c>
      <c r="I393" s="530">
        <f>IF(LEN(A393)=5,E393,0)</f>
        <v/>
      </c>
      <c r="J393" s="531">
        <f>IF(LEFT(A393,11)="Tài khoản: ",MID(A393,12,5),J392)</f>
        <v/>
      </c>
    </row>
    <row r="394">
      <c r="A394" s="30" t="n">
        <v>46295</v>
      </c>
      <c r="B394" s="31" t="inlineStr">
        <is>
          <t>'3175</t>
        </is>
      </c>
      <c r="C394" s="32" t="inlineStr">
        <is>
          <t>GL</t>
        </is>
      </c>
      <c r="D394" s="19" t="inlineStr">
        <is>
          <t>THUẾ GTGT ĐIỆN MTMN T08-2026</t>
        </is>
      </c>
      <c r="E394" s="500" t="n">
        <v>46772</v>
      </c>
      <c r="F394" s="499" t="n"/>
      <c r="G394" s="32" t="inlineStr">
        <is>
          <t>THAOPTT.HCM.VTA</t>
        </is>
      </c>
      <c r="H394" s="32" t="inlineStr">
        <is>
          <t xml:space="preserve">Post </t>
        </is>
      </c>
      <c r="I394" s="530">
        <f>IF(LEN(A394)=5,E394,0)</f>
        <v/>
      </c>
      <c r="J394" s="531">
        <f>IF(LEFT(A394,11)="Tài khoản: ",MID(A394,12,5),J393)</f>
        <v/>
      </c>
    </row>
    <row r="395">
      <c r="A395" s="30" t="n">
        <v>46295</v>
      </c>
      <c r="B395" s="31" t="inlineStr">
        <is>
          <t>'3175</t>
        </is>
      </c>
      <c r="C395" s="32" t="inlineStr">
        <is>
          <t>GL</t>
        </is>
      </c>
      <c r="D395" s="19" t="inlineStr">
        <is>
          <t>THUẾ GTGT ĐIỆN MTMN T08-2026</t>
        </is>
      </c>
      <c r="E395" s="500" t="n">
        <v>121157</v>
      </c>
      <c r="F395" s="499" t="n"/>
      <c r="G395" s="32" t="inlineStr">
        <is>
          <t>THAOPTT.HCM.VTA</t>
        </is>
      </c>
      <c r="H395" s="32" t="inlineStr">
        <is>
          <t xml:space="preserve">Post </t>
        </is>
      </c>
      <c r="I395" s="530">
        <f>IF(LEN(A395)=5,E395,0)</f>
        <v/>
      </c>
      <c r="J395" s="531">
        <f>IF(LEFT(A395,11)="Tài khoản: ",MID(A395,12,5),J394)</f>
        <v/>
      </c>
    </row>
    <row r="396">
      <c r="A396" s="30" t="n">
        <v>46295</v>
      </c>
      <c r="B396" s="31" t="inlineStr">
        <is>
          <t>'3175</t>
        </is>
      </c>
      <c r="C396" s="32" t="inlineStr">
        <is>
          <t>GL</t>
        </is>
      </c>
      <c r="D396" s="19" t="inlineStr">
        <is>
          <t>THUẾ GTGT ĐIỆN MTMN T08-2026</t>
        </is>
      </c>
      <c r="E396" s="500" t="n">
        <v>173452</v>
      </c>
      <c r="F396" s="499" t="n"/>
      <c r="G396" s="32" t="inlineStr">
        <is>
          <t>THAOPTT.HCM.VTA</t>
        </is>
      </c>
      <c r="H396" s="32" t="inlineStr">
        <is>
          <t xml:space="preserve">Post </t>
        </is>
      </c>
      <c r="I396" s="530">
        <f>IF(LEN(A396)=5,E396,0)</f>
        <v/>
      </c>
      <c r="J396" s="531">
        <f>IF(LEFT(A396,11)="Tài khoản: ",MID(A396,12,5),J395)</f>
        <v/>
      </c>
    </row>
    <row r="397">
      <c r="A397" s="30" t="n">
        <v>46295</v>
      </c>
      <c r="B397" s="31" t="inlineStr">
        <is>
          <t>'3175</t>
        </is>
      </c>
      <c r="C397" s="32" t="inlineStr">
        <is>
          <t>GL</t>
        </is>
      </c>
      <c r="D397" s="19" t="inlineStr">
        <is>
          <t>THUẾ GTGT ĐIỆN MTMN T08-2026</t>
        </is>
      </c>
      <c r="E397" s="500" t="n">
        <v>468320</v>
      </c>
      <c r="F397" s="499" t="n"/>
      <c r="G397" s="32" t="inlineStr">
        <is>
          <t>THAOPTT.HCM.VTA</t>
        </is>
      </c>
      <c r="H397" s="32" t="inlineStr">
        <is>
          <t xml:space="preserve">Post </t>
        </is>
      </c>
      <c r="I397" s="530">
        <f>IF(LEN(A397)=5,E397,0)</f>
        <v/>
      </c>
      <c r="J397" s="531">
        <f>IF(LEFT(A397,11)="Tài khoản: ",MID(A397,12,5),J396)</f>
        <v/>
      </c>
    </row>
    <row r="398">
      <c r="A398" s="30" t="n">
        <v>46295</v>
      </c>
      <c r="B398" s="31" t="inlineStr">
        <is>
          <t>'3175</t>
        </is>
      </c>
      <c r="C398" s="32" t="inlineStr">
        <is>
          <t>GL</t>
        </is>
      </c>
      <c r="D398" s="19" t="inlineStr">
        <is>
          <t>THUẾ GTGT ĐIỆN MTMN T08-2026</t>
        </is>
      </c>
      <c r="E398" s="500" t="n">
        <v>17165946</v>
      </c>
      <c r="F398" s="499" t="n"/>
      <c r="G398" s="32" t="inlineStr">
        <is>
          <t>THAOPTT.HCM.VTA</t>
        </is>
      </c>
      <c r="H398" s="32" t="inlineStr">
        <is>
          <t xml:space="preserve">Post </t>
        </is>
      </c>
      <c r="I398" s="530">
        <f>IF(LEN(A398)=5,E398,0)</f>
        <v/>
      </c>
      <c r="J398" s="531">
        <f>IF(LEFT(A398,11)="Tài khoản: ",MID(A398,12,5),J397)</f>
        <v/>
      </c>
    </row>
    <row r="399">
      <c r="A399" s="30" t="n">
        <v>46295</v>
      </c>
      <c r="B399" s="31" t="inlineStr">
        <is>
          <t>'3175</t>
        </is>
      </c>
      <c r="C399" s="32" t="inlineStr">
        <is>
          <t>GL</t>
        </is>
      </c>
      <c r="D399" s="19" t="inlineStr">
        <is>
          <t>THUẾ GTGT ĐIỆN MTMN T08-2026</t>
        </is>
      </c>
      <c r="E399" s="500" t="n">
        <v>16023691</v>
      </c>
      <c r="F399" s="499" t="n"/>
      <c r="G399" s="32" t="inlineStr">
        <is>
          <t>THAOPTT.HCM.VTA</t>
        </is>
      </c>
      <c r="H399" s="32" t="inlineStr">
        <is>
          <t xml:space="preserve">Post </t>
        </is>
      </c>
      <c r="I399" s="530">
        <f>IF(LEN(A399)=5,E399,0)</f>
        <v/>
      </c>
      <c r="J399" s="531">
        <f>IF(LEFT(A399,11)="Tài khoản: ",MID(A399,12,5),J398)</f>
        <v/>
      </c>
    </row>
    <row r="400">
      <c r="A400" s="30" t="n">
        <v>46295</v>
      </c>
      <c r="B400" s="31" t="inlineStr">
        <is>
          <t>'3175</t>
        </is>
      </c>
      <c r="C400" s="32" t="inlineStr">
        <is>
          <t>GL</t>
        </is>
      </c>
      <c r="D400" s="19" t="inlineStr">
        <is>
          <t>THUẾ GTGT ĐIỆN MTMN T08-2026</t>
        </is>
      </c>
      <c r="E400" s="500" t="n">
        <v>16637177</v>
      </c>
      <c r="F400" s="499" t="n"/>
      <c r="G400" s="32" t="inlineStr">
        <is>
          <t>THAOPTT.HCM.VTA</t>
        </is>
      </c>
      <c r="H400" s="32" t="inlineStr">
        <is>
          <t xml:space="preserve">Post </t>
        </is>
      </c>
      <c r="I400" s="530">
        <f>IF(LEN(A400)=5,E400,0)</f>
        <v/>
      </c>
      <c r="J400" s="531">
        <f>IF(LEFT(A400,11)="Tài khoản: ",MID(A400,12,5),J399)</f>
        <v/>
      </c>
    </row>
    <row r="401">
      <c r="A401" s="30" t="n">
        <v>46295</v>
      </c>
      <c r="B401" s="31" t="inlineStr">
        <is>
          <t>'3175</t>
        </is>
      </c>
      <c r="C401" s="32" t="inlineStr">
        <is>
          <t>GL</t>
        </is>
      </c>
      <c r="D401" s="19" t="inlineStr">
        <is>
          <t>THUẾ GTGT ĐIỆN MTMN T08-2026</t>
        </is>
      </c>
      <c r="E401" s="500" t="n">
        <v>127479</v>
      </c>
      <c r="F401" s="499" t="n"/>
      <c r="G401" s="32" t="inlineStr">
        <is>
          <t>THAOPTT.HCM.VTA</t>
        </is>
      </c>
      <c r="H401" s="32" t="inlineStr">
        <is>
          <t xml:space="preserve">Post </t>
        </is>
      </c>
      <c r="I401" s="530">
        <f>IF(LEN(A401)=5,E401,0)</f>
        <v/>
      </c>
      <c r="J401" s="531">
        <f>IF(LEFT(A401,11)="Tài khoản: ",MID(A401,12,5),J400)</f>
        <v/>
      </c>
    </row>
    <row r="402">
      <c r="A402" s="30" t="n">
        <v>46295</v>
      </c>
      <c r="B402" s="31" t="inlineStr">
        <is>
          <t>'3175</t>
        </is>
      </c>
      <c r="C402" s="32" t="inlineStr">
        <is>
          <t>GL</t>
        </is>
      </c>
      <c r="D402" s="19" t="inlineStr">
        <is>
          <t>THUẾ GTGT ĐIỆN MTMN T08-2026</t>
        </is>
      </c>
      <c r="E402" s="500" t="n">
        <v>3353349</v>
      </c>
      <c r="F402" s="499" t="n"/>
      <c r="G402" s="32" t="inlineStr">
        <is>
          <t>THAOPTT.HCM.VTA</t>
        </is>
      </c>
      <c r="H402" s="32" t="inlineStr">
        <is>
          <t xml:space="preserve">Post </t>
        </is>
      </c>
      <c r="I402" s="530">
        <f>IF(LEN(A402)=5,E402,0)</f>
        <v/>
      </c>
      <c r="J402" s="531">
        <f>IF(LEFT(A402,11)="Tài khoản: ",MID(A402,12,5),J401)</f>
        <v/>
      </c>
    </row>
    <row r="403">
      <c r="A403" s="30" t="n">
        <v>46295</v>
      </c>
      <c r="B403" s="31" t="inlineStr">
        <is>
          <t>'3175</t>
        </is>
      </c>
      <c r="C403" s="32" t="inlineStr">
        <is>
          <t>GL</t>
        </is>
      </c>
      <c r="D403" s="19" t="inlineStr">
        <is>
          <t>THUẾ GTGT ĐIỆN MTMN T08-2026</t>
        </is>
      </c>
      <c r="E403" s="500" t="n">
        <v>911212</v>
      </c>
      <c r="F403" s="499" t="n"/>
      <c r="G403" s="32" t="inlineStr">
        <is>
          <t>THAOPTT.HCM.VTA</t>
        </is>
      </c>
      <c r="H403" s="32" t="inlineStr">
        <is>
          <t xml:space="preserve">Post </t>
        </is>
      </c>
      <c r="I403" s="530">
        <f>IF(LEN(A403)=5,E403,0)</f>
        <v/>
      </c>
      <c r="J403" s="531">
        <f>IF(LEFT(A403,11)="Tài khoản: ",MID(A403,12,5),J402)</f>
        <v/>
      </c>
    </row>
    <row r="404">
      <c r="A404" s="30" t="n">
        <v>46295</v>
      </c>
      <c r="B404" s="31" t="inlineStr">
        <is>
          <t>'3175</t>
        </is>
      </c>
      <c r="C404" s="32" t="inlineStr">
        <is>
          <t>GL</t>
        </is>
      </c>
      <c r="D404" s="19" t="inlineStr">
        <is>
          <t>THUẾ GTGT ĐIỆN MTMN T08-2026</t>
        </is>
      </c>
      <c r="E404" s="500" t="n">
        <v>1371955</v>
      </c>
      <c r="F404" s="499" t="n"/>
      <c r="G404" s="32" t="inlineStr">
        <is>
          <t>THAOPTT.HCM.VTA</t>
        </is>
      </c>
      <c r="H404" s="32" t="inlineStr">
        <is>
          <t xml:space="preserve">Post </t>
        </is>
      </c>
      <c r="I404" s="530">
        <f>IF(LEN(A404)=5,E404,0)</f>
        <v/>
      </c>
      <c r="J404" s="531">
        <f>IF(LEFT(A404,11)="Tài khoản: ",MID(A404,12,5),J403)</f>
        <v/>
      </c>
    </row>
    <row r="405">
      <c r="A405" s="30" t="n">
        <v>46295</v>
      </c>
      <c r="B405" s="31" t="inlineStr">
        <is>
          <t>'3175</t>
        </is>
      </c>
      <c r="C405" s="32" t="inlineStr">
        <is>
          <t>GL</t>
        </is>
      </c>
      <c r="D405" s="19" t="inlineStr">
        <is>
          <t>THUẾ GTGT ĐIỆN MTMN T08-2026</t>
        </is>
      </c>
      <c r="E405" s="500" t="n">
        <v>11801135</v>
      </c>
      <c r="F405" s="499" t="n"/>
      <c r="G405" s="32" t="inlineStr">
        <is>
          <t>THAOPTT.HCM.VTA</t>
        </is>
      </c>
      <c r="H405" s="32" t="inlineStr">
        <is>
          <t xml:space="preserve">Post </t>
        </is>
      </c>
      <c r="I405" s="530">
        <f>IF(LEN(A405)=5,E405,0)</f>
        <v/>
      </c>
      <c r="J405" s="531">
        <f>IF(LEFT(A405,11)="Tài khoản: ",MID(A405,12,5),J404)</f>
        <v/>
      </c>
    </row>
    <row r="406">
      <c r="A406" s="30" t="n">
        <v>46295</v>
      </c>
      <c r="B406" s="31" t="inlineStr">
        <is>
          <t>'3175</t>
        </is>
      </c>
      <c r="C406" s="32" t="inlineStr">
        <is>
          <t>GL</t>
        </is>
      </c>
      <c r="D406" s="19" t="inlineStr">
        <is>
          <t>THUẾ GTGT ĐIỆN MTMN T08-2026</t>
        </is>
      </c>
      <c r="E406" s="500" t="n">
        <v>1743445</v>
      </c>
      <c r="F406" s="499" t="n"/>
      <c r="G406" s="32" t="inlineStr">
        <is>
          <t>THAOPTT.HCM.VTA</t>
        </is>
      </c>
      <c r="H406" s="32" t="inlineStr">
        <is>
          <t xml:space="preserve">Post </t>
        </is>
      </c>
      <c r="I406" s="530">
        <f>IF(LEN(A406)=5,E406,0)</f>
        <v/>
      </c>
      <c r="J406" s="531">
        <f>IF(LEFT(A406,11)="Tài khoản: ",MID(A406,12,5),J405)</f>
        <v/>
      </c>
    </row>
    <row r="407">
      <c r="A407" s="30" t="n">
        <v>46295</v>
      </c>
      <c r="B407" s="31" t="inlineStr">
        <is>
          <t>'3175</t>
        </is>
      </c>
      <c r="C407" s="32" t="inlineStr">
        <is>
          <t>GL</t>
        </is>
      </c>
      <c r="D407" s="19" t="inlineStr">
        <is>
          <t>THUẾ GTGT ĐIỆN MTMN T08-2026</t>
        </is>
      </c>
      <c r="E407" s="500" t="n">
        <v>17518652</v>
      </c>
      <c r="F407" s="499" t="n"/>
      <c r="G407" s="32" t="inlineStr">
        <is>
          <t>THAOPTT.HCM.VTA</t>
        </is>
      </c>
      <c r="H407" s="32" t="inlineStr">
        <is>
          <t xml:space="preserve">Post </t>
        </is>
      </c>
      <c r="I407" s="530">
        <f>IF(LEN(A407)=5,E407,0)</f>
        <v/>
      </c>
      <c r="J407" s="531">
        <f>IF(LEFT(A407,11)="Tài khoản: ",MID(A407,12,5),J406)</f>
        <v/>
      </c>
    </row>
    <row r="408">
      <c r="A408" s="30" t="n">
        <v>46295</v>
      </c>
      <c r="B408" s="31" t="inlineStr">
        <is>
          <t>'3175</t>
        </is>
      </c>
      <c r="C408" s="32" t="inlineStr">
        <is>
          <t>GL</t>
        </is>
      </c>
      <c r="D408" s="19" t="inlineStr">
        <is>
          <t>THUẾ GTGT ĐIỆN MTMN T08-2026</t>
        </is>
      </c>
      <c r="E408" s="500" t="n">
        <v>388162</v>
      </c>
      <c r="F408" s="499" t="n"/>
      <c r="G408" s="32" t="inlineStr">
        <is>
          <t>THAOPTT.HCM.VTA</t>
        </is>
      </c>
      <c r="H408" s="32" t="inlineStr">
        <is>
          <t xml:space="preserve">Post </t>
        </is>
      </c>
      <c r="I408" s="530">
        <f>IF(LEN(A408)=5,E408,0)</f>
        <v/>
      </c>
      <c r="J408" s="531">
        <f>IF(LEFT(A408,11)="Tài khoản: ",MID(A408,12,5),J407)</f>
        <v/>
      </c>
    </row>
    <row r="409">
      <c r="A409" s="30" t="n">
        <v>46295</v>
      </c>
      <c r="B409" s="31" t="inlineStr">
        <is>
          <t>'3175</t>
        </is>
      </c>
      <c r="C409" s="32" t="inlineStr">
        <is>
          <t>GL</t>
        </is>
      </c>
      <c r="D409" s="19" t="inlineStr">
        <is>
          <t>THUẾ GTGT ĐIỆN MTMN T08-2026</t>
        </is>
      </c>
      <c r="E409" s="500" t="n">
        <v>5181163</v>
      </c>
      <c r="F409" s="499" t="n"/>
      <c r="G409" s="32" t="inlineStr">
        <is>
          <t>THAOPTT.HCM.VTA</t>
        </is>
      </c>
      <c r="H409" s="32" t="inlineStr">
        <is>
          <t xml:space="preserve">Post </t>
        </is>
      </c>
      <c r="I409" s="530">
        <f>IF(LEN(A409)=5,E409,0)</f>
        <v/>
      </c>
      <c r="J409" s="531">
        <f>IF(LEFT(A409,11)="Tài khoản: ",MID(A409,12,5),J408)</f>
        <v/>
      </c>
    </row>
    <row r="410">
      <c r="A410" s="30" t="n">
        <v>46295</v>
      </c>
      <c r="B410" s="31" t="inlineStr">
        <is>
          <t>'3175</t>
        </is>
      </c>
      <c r="C410" s="32" t="inlineStr">
        <is>
          <t>GL</t>
        </is>
      </c>
      <c r="D410" s="19" t="inlineStr">
        <is>
          <t>THUẾ GTGT ĐIỆN MTMN T08-2026</t>
        </is>
      </c>
      <c r="E410" s="500" t="n">
        <v>18094243</v>
      </c>
      <c r="F410" s="499" t="n"/>
      <c r="G410" s="32" t="inlineStr">
        <is>
          <t>THAOPTT.HCM.VTA</t>
        </is>
      </c>
      <c r="H410" s="32" t="inlineStr">
        <is>
          <t xml:space="preserve">Post </t>
        </is>
      </c>
      <c r="I410" s="530">
        <f>IF(LEN(A410)=5,E410,0)</f>
        <v/>
      </c>
      <c r="J410" s="531">
        <f>IF(LEFT(A410,11)="Tài khoản: ",MID(A410,12,5),J409)</f>
        <v/>
      </c>
    </row>
    <row r="411">
      <c r="A411" s="30" t="n">
        <v>46295</v>
      </c>
      <c r="B411" s="31" t="inlineStr">
        <is>
          <t>'3175</t>
        </is>
      </c>
      <c r="C411" s="32" t="inlineStr">
        <is>
          <t>GL</t>
        </is>
      </c>
      <c r="D411" s="19" t="inlineStr">
        <is>
          <t>THUẾ GTGT ĐIỆN MTMN T08-2026</t>
        </is>
      </c>
      <c r="E411" s="500" t="n">
        <v>19468724</v>
      </c>
      <c r="F411" s="499" t="n"/>
      <c r="G411" s="32" t="inlineStr">
        <is>
          <t>THAOPTT.HCM.VTA</t>
        </is>
      </c>
      <c r="H411" s="32" t="inlineStr">
        <is>
          <t xml:space="preserve">Post </t>
        </is>
      </c>
      <c r="I411" s="530">
        <f>IF(LEN(A411)=5,E411,0)</f>
        <v/>
      </c>
      <c r="J411" s="531">
        <f>IF(LEFT(A411,11)="Tài khoản: ",MID(A411,12,5),J410)</f>
        <v/>
      </c>
    </row>
    <row r="412">
      <c r="A412" s="30" t="n">
        <v>46295</v>
      </c>
      <c r="B412" s="31" t="inlineStr">
        <is>
          <t>'3175</t>
        </is>
      </c>
      <c r="C412" s="32" t="inlineStr">
        <is>
          <t>GL</t>
        </is>
      </c>
      <c r="D412" s="19" t="inlineStr">
        <is>
          <t>THUẾ GTGT ĐIỆN MTMN T08-2026</t>
        </is>
      </c>
      <c r="E412" s="500" t="n">
        <v>2878461</v>
      </c>
      <c r="F412" s="499" t="n"/>
      <c r="G412" s="32" t="inlineStr">
        <is>
          <t>THAOPTT.HCM.VTA</t>
        </is>
      </c>
      <c r="H412" s="32" t="inlineStr">
        <is>
          <t xml:space="preserve">Post </t>
        </is>
      </c>
      <c r="I412" s="530">
        <f>IF(LEN(A412)=5,E412,0)</f>
        <v/>
      </c>
      <c r="J412" s="531">
        <f>IF(LEFT(A412,11)="Tài khoản: ",MID(A412,12,5),J411)</f>
        <v/>
      </c>
    </row>
    <row r="413">
      <c r="A413" s="30" t="n">
        <v>46295</v>
      </c>
      <c r="B413" s="31" t="inlineStr">
        <is>
          <t>'3175</t>
        </is>
      </c>
      <c r="C413" s="32" t="inlineStr">
        <is>
          <t>GL</t>
        </is>
      </c>
      <c r="D413" s="19" t="inlineStr">
        <is>
          <t>THUẾ GTGT ĐIỆN MTMN T08-2026</t>
        </is>
      </c>
      <c r="E413" s="500" t="n">
        <v>17155245</v>
      </c>
      <c r="F413" s="499" t="n"/>
      <c r="G413" s="32" t="inlineStr">
        <is>
          <t>THAOPTT.HCM.VTA</t>
        </is>
      </c>
      <c r="H413" s="32" t="inlineStr">
        <is>
          <t xml:space="preserve">Post </t>
        </is>
      </c>
      <c r="I413" s="530">
        <f>IF(LEN(A413)=5,E413,0)</f>
        <v/>
      </c>
      <c r="J413" s="531">
        <f>IF(LEFT(A413,11)="Tài khoản: ",MID(A413,12,5),J412)</f>
        <v/>
      </c>
    </row>
    <row r="414">
      <c r="A414" s="30" t="n">
        <v>46295</v>
      </c>
      <c r="B414" s="31" t="inlineStr">
        <is>
          <t>'3175</t>
        </is>
      </c>
      <c r="C414" s="32" t="inlineStr">
        <is>
          <t>GL</t>
        </is>
      </c>
      <c r="D414" s="19" t="inlineStr">
        <is>
          <t>THUẾ GTGT ĐIỆN MTMN T08-2026</t>
        </is>
      </c>
      <c r="E414" s="500" t="n">
        <v>16960911</v>
      </c>
      <c r="F414" s="499" t="n"/>
      <c r="G414" s="32" t="inlineStr">
        <is>
          <t>THAOPTT.HCM.VTA</t>
        </is>
      </c>
      <c r="H414" s="32" t="inlineStr">
        <is>
          <t xml:space="preserve">Post </t>
        </is>
      </c>
      <c r="I414" s="530">
        <f>IF(LEN(A414)=5,E414,0)</f>
        <v/>
      </c>
      <c r="J414" s="531">
        <f>IF(LEFT(A414,11)="Tài khoản: ",MID(A414,12,5),J413)</f>
        <v/>
      </c>
    </row>
    <row r="415">
      <c r="A415" s="30" t="n">
        <v>46295</v>
      </c>
      <c r="B415" s="31" t="inlineStr">
        <is>
          <t>'3175</t>
        </is>
      </c>
      <c r="C415" s="32" t="inlineStr">
        <is>
          <t>GL</t>
        </is>
      </c>
      <c r="D415" s="19" t="inlineStr">
        <is>
          <t>THUẾ GTGT ĐIỆN MTMN T08-2026</t>
        </is>
      </c>
      <c r="E415" s="500" t="n">
        <v>16403002</v>
      </c>
      <c r="F415" s="499" t="n"/>
      <c r="G415" s="32" t="inlineStr">
        <is>
          <t>THAOPTT.HCM.VTA</t>
        </is>
      </c>
      <c r="H415" s="32" t="inlineStr">
        <is>
          <t xml:space="preserve">Post </t>
        </is>
      </c>
      <c r="I415" s="530">
        <f>IF(LEN(A415)=5,E415,0)</f>
        <v/>
      </c>
      <c r="J415" s="531">
        <f>IF(LEFT(A415,11)="Tài khoản: ",MID(A415,12,5),J414)</f>
        <v/>
      </c>
    </row>
    <row r="416">
      <c r="A416" s="30" t="n">
        <v>46295</v>
      </c>
      <c r="B416" s="31" t="inlineStr">
        <is>
          <t>'3175</t>
        </is>
      </c>
      <c r="C416" s="32" t="inlineStr">
        <is>
          <t>GL</t>
        </is>
      </c>
      <c r="D416" s="19" t="inlineStr">
        <is>
          <t>THUẾ GTGT ĐIỆN MTMN T08-2026</t>
        </is>
      </c>
      <c r="E416" s="500" t="n">
        <v>17034334</v>
      </c>
      <c r="F416" s="499" t="n"/>
      <c r="G416" s="32" t="inlineStr">
        <is>
          <t>THAOPTT.HCM.VTA</t>
        </is>
      </c>
      <c r="H416" s="32" t="inlineStr">
        <is>
          <t xml:space="preserve">Post </t>
        </is>
      </c>
      <c r="I416" s="530">
        <f>IF(LEN(A416)=5,E416,0)</f>
        <v/>
      </c>
      <c r="J416" s="531">
        <f>IF(LEFT(A416,11)="Tài khoản: ",MID(A416,12,5),J415)</f>
        <v/>
      </c>
    </row>
    <row r="417">
      <c r="A417" s="30" t="n">
        <v>46295</v>
      </c>
      <c r="B417" s="31" t="inlineStr">
        <is>
          <t>'3175</t>
        </is>
      </c>
      <c r="C417" s="32" t="inlineStr">
        <is>
          <t>GL</t>
        </is>
      </c>
      <c r="D417" s="19" t="inlineStr">
        <is>
          <t>THUẾ GTGT ĐIỆN MTMN T08-2026</t>
        </is>
      </c>
      <c r="E417" s="500" t="n">
        <v>18263654</v>
      </c>
      <c r="F417" s="499" t="n"/>
      <c r="G417" s="32" t="inlineStr">
        <is>
          <t>THAOPTT.HCM.VTA</t>
        </is>
      </c>
      <c r="H417" s="32" t="inlineStr">
        <is>
          <t xml:space="preserve">Post </t>
        </is>
      </c>
      <c r="I417" s="530">
        <f>IF(LEN(A417)=5,E417,0)</f>
        <v/>
      </c>
      <c r="J417" s="531">
        <f>IF(LEFT(A417,11)="Tài khoản: ",MID(A417,12,5),J416)</f>
        <v/>
      </c>
    </row>
    <row r="418">
      <c r="A418" s="30" t="n">
        <v>46295</v>
      </c>
      <c r="B418" s="31" t="inlineStr">
        <is>
          <t>'3175</t>
        </is>
      </c>
      <c r="C418" s="32" t="inlineStr">
        <is>
          <t>GL</t>
        </is>
      </c>
      <c r="D418" s="19" t="inlineStr">
        <is>
          <t>THUẾ GTGT ĐIỆN MTMN T07-2026</t>
        </is>
      </c>
      <c r="E418" s="500" t="n">
        <v>63655</v>
      </c>
      <c r="F418" s="499" t="n"/>
      <c r="G418" s="32" t="inlineStr">
        <is>
          <t>THAOPTT.HCM.VTA</t>
        </is>
      </c>
      <c r="H418" s="32" t="inlineStr">
        <is>
          <t xml:space="preserve">Post </t>
        </is>
      </c>
      <c r="I418" s="530">
        <f>IF(LEN(A418)=5,E418,0)</f>
        <v/>
      </c>
      <c r="J418" s="531">
        <f>IF(LEFT(A418,11)="Tài khoản: ",MID(A418,12,5),J417)</f>
        <v/>
      </c>
    </row>
    <row r="419">
      <c r="A419" s="30" t="n">
        <v>46295</v>
      </c>
      <c r="B419" s="31" t="inlineStr">
        <is>
          <t>'3175</t>
        </is>
      </c>
      <c r="C419" s="32" t="inlineStr">
        <is>
          <t>GL</t>
        </is>
      </c>
      <c r="D419" s="19" t="inlineStr">
        <is>
          <t>THUẾ GTGT ĐIỆN MTMN T08-2026</t>
        </is>
      </c>
      <c r="E419" s="500" t="n">
        <v>92957</v>
      </c>
      <c r="F419" s="499" t="n"/>
      <c r="G419" s="32" t="inlineStr">
        <is>
          <t>THAOPTT.HCM.VTA</t>
        </is>
      </c>
      <c r="H419" s="32" t="inlineStr">
        <is>
          <t xml:space="preserve">Post </t>
        </is>
      </c>
      <c r="I419" s="530">
        <f>IF(LEN(A419)=5,E419,0)</f>
        <v/>
      </c>
      <c r="J419" s="531">
        <f>IF(LEFT(A419,11)="Tài khoản: ",MID(A419,12,5),J418)</f>
        <v/>
      </c>
    </row>
    <row r="420">
      <c r="A420" s="30" t="n">
        <v>46295</v>
      </c>
      <c r="B420" s="31" t="inlineStr">
        <is>
          <t>'3175</t>
        </is>
      </c>
      <c r="C420" s="32" t="inlineStr">
        <is>
          <t>GL</t>
        </is>
      </c>
      <c r="D420" s="19" t="inlineStr">
        <is>
          <t>THUẾ GTGT ĐIỆN MTMN T08-2026</t>
        </is>
      </c>
      <c r="E420" s="500" t="n">
        <v>16166</v>
      </c>
      <c r="F420" s="499" t="n"/>
      <c r="G420" s="32" t="inlineStr">
        <is>
          <t>THAOPTT.HCM.VTA</t>
        </is>
      </c>
      <c r="H420" s="32" t="inlineStr">
        <is>
          <t xml:space="preserve">Post </t>
        </is>
      </c>
      <c r="I420" s="530">
        <f>IF(LEN(A420)=5,E420,0)</f>
        <v/>
      </c>
      <c r="J420" s="531">
        <f>IF(LEFT(A420,11)="Tài khoản: ",MID(A420,12,5),J419)</f>
        <v/>
      </c>
    </row>
    <row r="421">
      <c r="A421" s="30" t="n">
        <v>46295</v>
      </c>
      <c r="B421" s="31" t="inlineStr">
        <is>
          <t>'3175</t>
        </is>
      </c>
      <c r="C421" s="32" t="inlineStr">
        <is>
          <t>GL</t>
        </is>
      </c>
      <c r="D421" s="19" t="inlineStr">
        <is>
          <t>THUẾ GTGT ĐIỆN MTMN T08-2026</t>
        </is>
      </c>
      <c r="E421" s="500" t="n">
        <v>44706</v>
      </c>
      <c r="F421" s="499" t="n"/>
      <c r="G421" s="32" t="inlineStr">
        <is>
          <t>THAOPTT.HCM.VTA</t>
        </is>
      </c>
      <c r="H421" s="32" t="inlineStr">
        <is>
          <t xml:space="preserve">Post </t>
        </is>
      </c>
      <c r="I421" s="530">
        <f>IF(LEN(A421)=5,E421,0)</f>
        <v/>
      </c>
      <c r="J421" s="531">
        <f>IF(LEFT(A421,11)="Tài khoản: ",MID(A421,12,5),J420)</f>
        <v/>
      </c>
    </row>
    <row r="422">
      <c r="A422" s="30" t="n">
        <v>46295</v>
      </c>
      <c r="B422" s="31" t="inlineStr">
        <is>
          <t>'3175</t>
        </is>
      </c>
      <c r="C422" s="32" t="inlineStr">
        <is>
          <t>GL</t>
        </is>
      </c>
      <c r="D422" s="19" t="inlineStr">
        <is>
          <t>THUẾ GTGT ĐIỆN MTMN T08-2026</t>
        </is>
      </c>
      <c r="E422" s="500" t="n">
        <v>49173</v>
      </c>
      <c r="F422" s="499" t="n"/>
      <c r="G422" s="32" t="inlineStr">
        <is>
          <t>THAOPTT.HCM.VTA</t>
        </is>
      </c>
      <c r="H422" s="32" t="inlineStr">
        <is>
          <t xml:space="preserve">Post </t>
        </is>
      </c>
      <c r="I422" s="530">
        <f>IF(LEN(A422)=5,E422,0)</f>
        <v/>
      </c>
      <c r="J422" s="531">
        <f>IF(LEFT(A422,11)="Tài khoản: ",MID(A422,12,5),J421)</f>
        <v/>
      </c>
    </row>
    <row r="423">
      <c r="A423" s="30" t="n">
        <v>46295</v>
      </c>
      <c r="B423" s="31" t="inlineStr">
        <is>
          <t>'3175</t>
        </is>
      </c>
      <c r="C423" s="32" t="inlineStr">
        <is>
          <t>GL</t>
        </is>
      </c>
      <c r="D423" s="19" t="inlineStr">
        <is>
          <t>THUẾ GTGT ĐIỆN MTMN T07-2026</t>
        </is>
      </c>
      <c r="E423" s="500" t="n">
        <v>40761</v>
      </c>
      <c r="F423" s="499" t="n"/>
      <c r="G423" s="32" t="inlineStr">
        <is>
          <t>THAOPTT.HCM.VTA</t>
        </is>
      </c>
      <c r="H423" s="32" t="inlineStr">
        <is>
          <t xml:space="preserve">Post </t>
        </is>
      </c>
      <c r="I423" s="530">
        <f>IF(LEN(A423)=5,E423,0)</f>
        <v/>
      </c>
      <c r="J423" s="531">
        <f>IF(LEFT(A423,11)="Tài khoản: ",MID(A423,12,5),J422)</f>
        <v/>
      </c>
    </row>
    <row r="424">
      <c r="A424" s="30" t="n">
        <v>46295</v>
      </c>
      <c r="B424" s="31" t="inlineStr">
        <is>
          <t>'3175</t>
        </is>
      </c>
      <c r="C424" s="32" t="inlineStr">
        <is>
          <t>GL</t>
        </is>
      </c>
      <c r="D424" s="19" t="inlineStr">
        <is>
          <t>THUẾ GTGT ĐIỆN MTMN T08-2026</t>
        </is>
      </c>
      <c r="E424" s="500" t="n">
        <v>41137</v>
      </c>
      <c r="F424" s="499" t="n"/>
      <c r="G424" s="32" t="inlineStr">
        <is>
          <t>THAOPTT.HCM.VTA</t>
        </is>
      </c>
      <c r="H424" s="32" t="inlineStr">
        <is>
          <t xml:space="preserve">Post </t>
        </is>
      </c>
      <c r="I424" s="530">
        <f>IF(LEN(A424)=5,E424,0)</f>
        <v/>
      </c>
      <c r="J424" s="531">
        <f>IF(LEFT(A424,11)="Tài khoản: ",MID(A424,12,5),J423)</f>
        <v/>
      </c>
    </row>
    <row r="425">
      <c r="A425" s="30" t="n">
        <v>46295</v>
      </c>
      <c r="B425" s="31" t="inlineStr">
        <is>
          <t>'3175</t>
        </is>
      </c>
      <c r="C425" s="32" t="inlineStr">
        <is>
          <t>GL</t>
        </is>
      </c>
      <c r="D425" s="19" t="inlineStr">
        <is>
          <t>THUẾ GTGT ĐIỆN MTMN T08-2026</t>
        </is>
      </c>
      <c r="E425" s="500" t="n">
        <v>32164</v>
      </c>
      <c r="F425" s="499" t="n"/>
      <c r="G425" s="32" t="inlineStr">
        <is>
          <t>THAOPTT.HCM.VTA</t>
        </is>
      </c>
      <c r="H425" s="32" t="inlineStr">
        <is>
          <t xml:space="preserve">Post </t>
        </is>
      </c>
      <c r="I425" s="530">
        <f>IF(LEN(A425)=5,E425,0)</f>
        <v/>
      </c>
      <c r="J425" s="531">
        <f>IF(LEFT(A425,11)="Tài khoản: ",MID(A425,12,5),J424)</f>
        <v/>
      </c>
    </row>
    <row r="426">
      <c r="A426" s="30" t="n">
        <v>46295</v>
      </c>
      <c r="B426" s="31" t="inlineStr">
        <is>
          <t>'3175</t>
        </is>
      </c>
      <c r="C426" s="32" t="inlineStr">
        <is>
          <t>GL</t>
        </is>
      </c>
      <c r="D426" s="19" t="inlineStr">
        <is>
          <t>THUẾ GTGT ĐIỆN MTMN T08-2026</t>
        </is>
      </c>
      <c r="E426" s="500" t="n">
        <v>1857789</v>
      </c>
      <c r="F426" s="499" t="n"/>
      <c r="G426" s="32" t="inlineStr">
        <is>
          <t>THAOPTT.HCM.VTA</t>
        </is>
      </c>
      <c r="H426" s="32" t="inlineStr">
        <is>
          <t xml:space="preserve">Post </t>
        </is>
      </c>
      <c r="I426" s="530">
        <f>IF(LEN(A426)=5,E426,0)</f>
        <v/>
      </c>
      <c r="J426" s="531">
        <f>IF(LEFT(A426,11)="Tài khoản: ",MID(A426,12,5),J425)</f>
        <v/>
      </c>
    </row>
    <row r="427">
      <c r="A427" s="30" t="n">
        <v>46295</v>
      </c>
      <c r="B427" s="31" t="inlineStr">
        <is>
          <t>'3175</t>
        </is>
      </c>
      <c r="C427" s="32" t="inlineStr">
        <is>
          <t>GL</t>
        </is>
      </c>
      <c r="D427" s="19" t="inlineStr">
        <is>
          <t>THUẾ GTGT ĐIỆN MTMN T08-2026</t>
        </is>
      </c>
      <c r="E427" s="500" t="n">
        <v>4585364</v>
      </c>
      <c r="F427" s="499" t="n"/>
      <c r="G427" s="32" t="inlineStr">
        <is>
          <t>THAOPTT.HCM.VTA</t>
        </is>
      </c>
      <c r="H427" s="32" t="inlineStr">
        <is>
          <t xml:space="preserve">Post </t>
        </is>
      </c>
      <c r="I427" s="530">
        <f>IF(LEN(A427)=5,E427,0)</f>
        <v/>
      </c>
      <c r="J427" s="531">
        <f>IF(LEFT(A427,11)="Tài khoản: ",MID(A427,12,5),J426)</f>
        <v/>
      </c>
    </row>
    <row r="428">
      <c r="A428" s="30" t="n">
        <v>46295</v>
      </c>
      <c r="B428" s="31" t="inlineStr">
        <is>
          <t>'3175</t>
        </is>
      </c>
      <c r="C428" s="32" t="inlineStr">
        <is>
          <t>GL</t>
        </is>
      </c>
      <c r="D428" s="19" t="inlineStr">
        <is>
          <t>THUẾ GTGT ĐIỆN MTMN T08-2026</t>
        </is>
      </c>
      <c r="E428" s="500" t="n">
        <v>260346</v>
      </c>
      <c r="F428" s="499" t="n"/>
      <c r="G428" s="32" t="inlineStr">
        <is>
          <t>THAOPTT.HCM.VTA</t>
        </is>
      </c>
      <c r="H428" s="32" t="inlineStr">
        <is>
          <t xml:space="preserve">Post </t>
        </is>
      </c>
      <c r="I428" s="530">
        <f>IF(LEN(A428)=5,E428,0)</f>
        <v/>
      </c>
      <c r="J428" s="531">
        <f>IF(LEFT(A428,11)="Tài khoản: ",MID(A428,12,5),J427)</f>
        <v/>
      </c>
    </row>
    <row r="429">
      <c r="A429" s="30" t="n">
        <v>46295</v>
      </c>
      <c r="B429" s="31" t="inlineStr">
        <is>
          <t>'3175</t>
        </is>
      </c>
      <c r="C429" s="32" t="inlineStr">
        <is>
          <t>GL</t>
        </is>
      </c>
      <c r="D429" s="19" t="inlineStr">
        <is>
          <t>THUẾ GTGT ĐIỆN MTMN T08-2026</t>
        </is>
      </c>
      <c r="E429" s="500" t="n">
        <v>554373</v>
      </c>
      <c r="F429" s="499" t="n"/>
      <c r="G429" s="32" t="inlineStr">
        <is>
          <t>THAOPTT.HCM.VTA</t>
        </is>
      </c>
      <c r="H429" s="32" t="inlineStr">
        <is>
          <t xml:space="preserve">Post </t>
        </is>
      </c>
      <c r="I429" s="530">
        <f>IF(LEN(A429)=5,E429,0)</f>
        <v/>
      </c>
      <c r="J429" s="531">
        <f>IF(LEFT(A429,11)="Tài khoản: ",MID(A429,12,5),J428)</f>
        <v/>
      </c>
    </row>
    <row r="430">
      <c r="A430" s="30" t="n">
        <v>46295</v>
      </c>
      <c r="B430" s="31" t="inlineStr">
        <is>
          <t>'3175</t>
        </is>
      </c>
      <c r="C430" s="32" t="inlineStr">
        <is>
          <t>GL</t>
        </is>
      </c>
      <c r="D430" s="19" t="inlineStr">
        <is>
          <t>THUẾ GTGT ĐIỆN MTMN T08-2026</t>
        </is>
      </c>
      <c r="E430" s="500" t="n">
        <v>2209240</v>
      </c>
      <c r="F430" s="499" t="n"/>
      <c r="G430" s="32" t="inlineStr">
        <is>
          <t>THAOPTT.HCM.VTA</t>
        </is>
      </c>
      <c r="H430" s="32" t="inlineStr">
        <is>
          <t xml:space="preserve">Post </t>
        </is>
      </c>
      <c r="I430" s="530">
        <f>IF(LEN(A430)=5,E430,0)</f>
        <v/>
      </c>
      <c r="J430" s="531">
        <f>IF(LEFT(A430,11)="Tài khoản: ",MID(A430,12,5),J429)</f>
        <v/>
      </c>
    </row>
    <row r="431">
      <c r="A431" s="30" t="n">
        <v>46295</v>
      </c>
      <c r="B431" s="31" t="inlineStr">
        <is>
          <t>'3175</t>
        </is>
      </c>
      <c r="C431" s="32" t="inlineStr">
        <is>
          <t>GL</t>
        </is>
      </c>
      <c r="D431" s="19" t="inlineStr">
        <is>
          <t>THUẾ GTGT ĐIỆN MTMN T08-2026</t>
        </is>
      </c>
      <c r="E431" s="500" t="n">
        <v>63824</v>
      </c>
      <c r="F431" s="499" t="n"/>
      <c r="G431" s="32" t="inlineStr">
        <is>
          <t>THAOPTT.HCM.VTA</t>
        </is>
      </c>
      <c r="H431" s="32" t="inlineStr">
        <is>
          <t xml:space="preserve">Post </t>
        </is>
      </c>
      <c r="I431" s="530">
        <f>IF(LEN(A431)=5,E431,0)</f>
        <v/>
      </c>
      <c r="J431" s="531">
        <f>IF(LEFT(A431,11)="Tài khoản: ",MID(A431,12,5),J430)</f>
        <v/>
      </c>
    </row>
    <row r="432">
      <c r="A432" s="30" t="n">
        <v>46295</v>
      </c>
      <c r="B432" s="31" t="inlineStr">
        <is>
          <t>'3175</t>
        </is>
      </c>
      <c r="C432" s="32" t="inlineStr">
        <is>
          <t>GL</t>
        </is>
      </c>
      <c r="D432" s="19" t="inlineStr">
        <is>
          <t>THUẾ GTGT ĐIỆN MTMN T06-2026</t>
        </is>
      </c>
      <c r="E432" s="500" t="n">
        <v>2863</v>
      </c>
      <c r="F432" s="499" t="n"/>
      <c r="G432" s="32" t="inlineStr">
        <is>
          <t>THAOPTT.HCM.VTA</t>
        </is>
      </c>
      <c r="H432" s="32" t="inlineStr">
        <is>
          <t xml:space="preserve">Post </t>
        </is>
      </c>
      <c r="I432" s="530">
        <f>IF(LEN(A432)=5,E432,0)</f>
        <v/>
      </c>
      <c r="J432" s="531">
        <f>IF(LEFT(A432,11)="Tài khoản: ",MID(A432,12,5),J431)</f>
        <v/>
      </c>
    </row>
    <row r="433">
      <c r="A433" s="30" t="n">
        <v>46295</v>
      </c>
      <c r="B433" s="31" t="inlineStr">
        <is>
          <t>'3175</t>
        </is>
      </c>
      <c r="C433" s="32" t="inlineStr">
        <is>
          <t>GL</t>
        </is>
      </c>
      <c r="D433" s="19" t="inlineStr">
        <is>
          <t>THUẾ GTGT ĐIỆN MTMN T07-2026</t>
        </is>
      </c>
      <c r="E433" s="500" t="n">
        <v>2021</v>
      </c>
      <c r="F433" s="499" t="n"/>
      <c r="G433" s="32" t="inlineStr">
        <is>
          <t>THAOPTT.HCM.VTA</t>
        </is>
      </c>
      <c r="H433" s="32" t="inlineStr">
        <is>
          <t xml:space="preserve">Post </t>
        </is>
      </c>
      <c r="I433" s="530">
        <f>IF(LEN(A433)=5,E433,0)</f>
        <v/>
      </c>
      <c r="J433" s="531">
        <f>IF(LEFT(A433,11)="Tài khoản: ",MID(A433,12,5),J432)</f>
        <v/>
      </c>
    </row>
    <row r="434">
      <c r="A434" s="30" t="n">
        <v>46295</v>
      </c>
      <c r="B434" s="31" t="inlineStr">
        <is>
          <t>'3175</t>
        </is>
      </c>
      <c r="C434" s="32" t="inlineStr">
        <is>
          <t>GL</t>
        </is>
      </c>
      <c r="D434" s="19" t="inlineStr">
        <is>
          <t>THUẾ GTGT ĐIỆN MTMN T08-2026</t>
        </is>
      </c>
      <c r="E434" s="500" t="n">
        <v>6231</v>
      </c>
      <c r="F434" s="499" t="n"/>
      <c r="G434" s="32" t="inlineStr">
        <is>
          <t>THAOPTT.HCM.VTA</t>
        </is>
      </c>
      <c r="H434" s="32" t="inlineStr">
        <is>
          <t xml:space="preserve">Post </t>
        </is>
      </c>
      <c r="I434" s="530">
        <f>IF(LEN(A434)=5,E434,0)</f>
        <v/>
      </c>
      <c r="J434" s="531">
        <f>IF(LEFT(A434,11)="Tài khoản: ",MID(A434,12,5),J433)</f>
        <v/>
      </c>
    </row>
    <row r="435">
      <c r="A435" s="30" t="n">
        <v>46295</v>
      </c>
      <c r="B435" s="31" t="inlineStr">
        <is>
          <t>'3175</t>
        </is>
      </c>
      <c r="C435" s="32" t="inlineStr">
        <is>
          <t>GL</t>
        </is>
      </c>
      <c r="D435" s="19" t="inlineStr">
        <is>
          <t>THUẾ GTGT ĐIỆN MTMN T08-2026</t>
        </is>
      </c>
      <c r="E435" s="500" t="n">
        <v>325854</v>
      </c>
      <c r="F435" s="499" t="n"/>
      <c r="G435" s="32" t="inlineStr">
        <is>
          <t>THAOPTT.HCM.VTA</t>
        </is>
      </c>
      <c r="H435" s="32" t="inlineStr">
        <is>
          <t xml:space="preserve">Post </t>
        </is>
      </c>
      <c r="I435" s="530">
        <f>IF(LEN(A435)=5,E435,0)</f>
        <v/>
      </c>
      <c r="J435" s="531">
        <f>IF(LEFT(A435,11)="Tài khoản: ",MID(A435,12,5),J434)</f>
        <v/>
      </c>
    </row>
    <row r="436">
      <c r="A436" s="30" t="n">
        <v>46295</v>
      </c>
      <c r="B436" s="31" t="inlineStr">
        <is>
          <t>'3175</t>
        </is>
      </c>
      <c r="C436" s="32" t="inlineStr">
        <is>
          <t>GL</t>
        </is>
      </c>
      <c r="D436" s="19" t="inlineStr">
        <is>
          <t>THUẾ GTGT ĐIỆN MTMN T07-2026</t>
        </is>
      </c>
      <c r="E436" s="500" t="n">
        <v>567508</v>
      </c>
      <c r="F436" s="499" t="n"/>
      <c r="G436" s="32" t="inlineStr">
        <is>
          <t>THAOPTT.HCM.VTA</t>
        </is>
      </c>
      <c r="H436" s="32" t="inlineStr">
        <is>
          <t xml:space="preserve">Post </t>
        </is>
      </c>
      <c r="I436" s="530">
        <f>IF(LEN(A436)=5,E436,0)</f>
        <v/>
      </c>
      <c r="J436" s="531">
        <f>IF(LEFT(A436,11)="Tài khoản: ",MID(A436,12,5),J435)</f>
        <v/>
      </c>
    </row>
    <row r="437">
      <c r="A437" s="30" t="n">
        <v>46295</v>
      </c>
      <c r="B437" s="31" t="inlineStr">
        <is>
          <t>'3175</t>
        </is>
      </c>
      <c r="C437" s="32" t="inlineStr">
        <is>
          <t>GL</t>
        </is>
      </c>
      <c r="D437" s="19" t="inlineStr">
        <is>
          <t>THUẾ GTGT ĐIỆN MTMN T08-2026</t>
        </is>
      </c>
      <c r="E437" s="500" t="n">
        <v>523724</v>
      </c>
      <c r="F437" s="499" t="n"/>
      <c r="G437" s="32" t="inlineStr">
        <is>
          <t>THAOPTT.HCM.VTA</t>
        </is>
      </c>
      <c r="H437" s="32" t="inlineStr">
        <is>
          <t xml:space="preserve">Post </t>
        </is>
      </c>
      <c r="I437" s="530">
        <f>IF(LEN(A437)=5,E437,0)</f>
        <v/>
      </c>
      <c r="J437" s="531">
        <f>IF(LEFT(A437,11)="Tài khoản: ",MID(A437,12,5),J436)</f>
        <v/>
      </c>
    </row>
    <row r="438">
      <c r="A438" s="30" t="n">
        <v>46295</v>
      </c>
      <c r="B438" s="31" t="inlineStr">
        <is>
          <t>'3175</t>
        </is>
      </c>
      <c r="C438" s="32" t="inlineStr">
        <is>
          <t>GL</t>
        </is>
      </c>
      <c r="D438" s="19" t="inlineStr">
        <is>
          <t>THUẾ GTGT ĐIỆN MTMN T07-2026</t>
        </is>
      </c>
      <c r="E438" s="500" t="n">
        <v>87231</v>
      </c>
      <c r="F438" s="499" t="n"/>
      <c r="G438" s="32" t="inlineStr">
        <is>
          <t>THAOPTT.HCM.VTA</t>
        </is>
      </c>
      <c r="H438" s="32" t="inlineStr">
        <is>
          <t xml:space="preserve">Post </t>
        </is>
      </c>
      <c r="I438" s="530">
        <f>IF(LEN(A438)=5,E438,0)</f>
        <v/>
      </c>
      <c r="J438" s="531">
        <f>IF(LEFT(A438,11)="Tài khoản: ",MID(A438,12,5),J437)</f>
        <v/>
      </c>
    </row>
    <row r="439">
      <c r="A439" s="30" t="n">
        <v>46295</v>
      </c>
      <c r="B439" s="31" t="inlineStr">
        <is>
          <t>'3175</t>
        </is>
      </c>
      <c r="C439" s="32" t="inlineStr">
        <is>
          <t>GL</t>
        </is>
      </c>
      <c r="D439" s="19" t="inlineStr">
        <is>
          <t>THUẾ GTGT ĐIỆN MTMN T08-2026</t>
        </is>
      </c>
      <c r="E439" s="500" t="n">
        <v>66181</v>
      </c>
      <c r="F439" s="499" t="n"/>
      <c r="G439" s="32" t="inlineStr">
        <is>
          <t>THAOPTT.HCM.VTA</t>
        </is>
      </c>
      <c r="H439" s="32" t="inlineStr">
        <is>
          <t xml:space="preserve">Post </t>
        </is>
      </c>
      <c r="I439" s="530">
        <f>IF(LEN(A439)=5,E439,0)</f>
        <v/>
      </c>
      <c r="J439" s="531">
        <f>IF(LEFT(A439,11)="Tài khoản: ",MID(A439,12,5),J438)</f>
        <v/>
      </c>
    </row>
    <row r="440">
      <c r="A440" s="30" t="n">
        <v>46295</v>
      </c>
      <c r="B440" s="31" t="inlineStr">
        <is>
          <t>'3175</t>
        </is>
      </c>
      <c r="C440" s="32" t="inlineStr">
        <is>
          <t>GL</t>
        </is>
      </c>
      <c r="D440" s="19" t="inlineStr">
        <is>
          <t>THUẾ GTGT ĐIỆN MTMN T08-2026</t>
        </is>
      </c>
      <c r="E440" s="500" t="n">
        <v>723110</v>
      </c>
      <c r="F440" s="499" t="n"/>
      <c r="G440" s="32" t="inlineStr">
        <is>
          <t>THAOPTT.HCM.VTA</t>
        </is>
      </c>
      <c r="H440" s="32" t="inlineStr">
        <is>
          <t xml:space="preserve">Post </t>
        </is>
      </c>
      <c r="I440" s="530">
        <f>IF(LEN(A440)=5,E440,0)</f>
        <v/>
      </c>
      <c r="J440" s="531">
        <f>IF(LEFT(A440,11)="Tài khoản: ",MID(A440,12,5),J439)</f>
        <v/>
      </c>
    </row>
    <row r="441">
      <c r="A441" s="30" t="n">
        <v>46295</v>
      </c>
      <c r="B441" s="31" t="inlineStr">
        <is>
          <t>'3175</t>
        </is>
      </c>
      <c r="C441" s="32" t="inlineStr">
        <is>
          <t>GL</t>
        </is>
      </c>
      <c r="D441" s="19" t="inlineStr">
        <is>
          <t>THUẾ GTGT ĐIỆN MTMN T08-2026</t>
        </is>
      </c>
      <c r="E441" s="500" t="n">
        <v>263546</v>
      </c>
      <c r="F441" s="499" t="n"/>
      <c r="G441" s="32" t="inlineStr">
        <is>
          <t>THAOPTT.HCM.VTA</t>
        </is>
      </c>
      <c r="H441" s="32" t="inlineStr">
        <is>
          <t xml:space="preserve">Post </t>
        </is>
      </c>
      <c r="I441" s="530">
        <f>IF(LEN(A441)=5,E441,0)</f>
        <v/>
      </c>
      <c r="J441" s="531">
        <f>IF(LEFT(A441,11)="Tài khoản: ",MID(A441,12,5),J440)</f>
        <v/>
      </c>
    </row>
    <row r="442">
      <c r="A442" s="30" t="n">
        <v>46295</v>
      </c>
      <c r="B442" s="31" t="inlineStr">
        <is>
          <t>'3175</t>
        </is>
      </c>
      <c r="C442" s="32" t="inlineStr">
        <is>
          <t>GL</t>
        </is>
      </c>
      <c r="D442" s="19" t="inlineStr">
        <is>
          <t>THUẾ GTGT ĐIỆN MTMN T08-2026</t>
        </is>
      </c>
      <c r="E442" s="500" t="n">
        <v>67528</v>
      </c>
      <c r="F442" s="499" t="n"/>
      <c r="G442" s="32" t="inlineStr">
        <is>
          <t>THAOPTT.HCM.VTA</t>
        </is>
      </c>
      <c r="H442" s="32" t="inlineStr">
        <is>
          <t xml:space="preserve">Post </t>
        </is>
      </c>
      <c r="I442" s="530">
        <f>IF(LEN(A442)=5,E442,0)</f>
        <v/>
      </c>
      <c r="J442" s="531">
        <f>IF(LEFT(A442,11)="Tài khoản: ",MID(A442,12,5),J441)</f>
        <v/>
      </c>
    </row>
    <row r="443">
      <c r="A443" s="30" t="n">
        <v>46295</v>
      </c>
      <c r="B443" s="31" t="inlineStr">
        <is>
          <t>'3175</t>
        </is>
      </c>
      <c r="C443" s="32" t="inlineStr">
        <is>
          <t>GL</t>
        </is>
      </c>
      <c r="D443" s="19" t="inlineStr">
        <is>
          <t>THUẾ GTGT ĐIỆN MTMN T08-2026</t>
        </is>
      </c>
      <c r="E443" s="500" t="n">
        <v>6053306</v>
      </c>
      <c r="F443" s="499" t="n"/>
      <c r="G443" s="32" t="inlineStr">
        <is>
          <t>THAOPTT.HCM.VTA</t>
        </is>
      </c>
      <c r="H443" s="32" t="inlineStr">
        <is>
          <t xml:space="preserve">Post </t>
        </is>
      </c>
      <c r="I443" s="530">
        <f>IF(LEN(A443)=5,E443,0)</f>
        <v/>
      </c>
      <c r="J443" s="531">
        <f>IF(LEFT(A443,11)="Tài khoản: ",MID(A443,12,5),J442)</f>
        <v/>
      </c>
    </row>
    <row r="444">
      <c r="A444" s="30" t="n">
        <v>46295</v>
      </c>
      <c r="B444" s="31" t="inlineStr">
        <is>
          <t>'3175</t>
        </is>
      </c>
      <c r="C444" s="32" t="inlineStr">
        <is>
          <t>GL</t>
        </is>
      </c>
      <c r="D444" s="19" t="inlineStr">
        <is>
          <t>THUẾ GTGT ĐIỆN MTMN T08-2026</t>
        </is>
      </c>
      <c r="E444" s="500" t="n">
        <v>93799</v>
      </c>
      <c r="F444" s="499" t="n"/>
      <c r="G444" s="32" t="inlineStr">
        <is>
          <t>THAOPTT.HCM.VTA</t>
        </is>
      </c>
      <c r="H444" s="32" t="inlineStr">
        <is>
          <t xml:space="preserve">Post </t>
        </is>
      </c>
      <c r="I444" s="530">
        <f>IF(LEN(A444)=5,E444,0)</f>
        <v/>
      </c>
      <c r="J444" s="531">
        <f>IF(LEFT(A444,11)="Tài khoản: ",MID(A444,12,5),J443)</f>
        <v/>
      </c>
    </row>
    <row r="445">
      <c r="A445" s="30" t="n">
        <v>46295</v>
      </c>
      <c r="B445" s="31" t="inlineStr">
        <is>
          <t>'3175</t>
        </is>
      </c>
      <c r="C445" s="32" t="inlineStr">
        <is>
          <t>GL</t>
        </is>
      </c>
      <c r="D445" s="19" t="inlineStr">
        <is>
          <t>THUẾ GTGT ĐIỆN MTMN T08-2026</t>
        </is>
      </c>
      <c r="E445" s="500" t="n">
        <v>394561</v>
      </c>
      <c r="F445" s="499" t="n"/>
      <c r="G445" s="32" t="inlineStr">
        <is>
          <t>THAOPTT.HCM.VTA</t>
        </is>
      </c>
      <c r="H445" s="32" t="inlineStr">
        <is>
          <t xml:space="preserve">Post </t>
        </is>
      </c>
      <c r="I445" s="530">
        <f>IF(LEN(A445)=5,E445,0)</f>
        <v/>
      </c>
      <c r="J445" s="531">
        <f>IF(LEFT(A445,11)="Tài khoản: ",MID(A445,12,5),J444)</f>
        <v/>
      </c>
    </row>
    <row r="446">
      <c r="A446" s="30" t="n">
        <v>46295</v>
      </c>
      <c r="B446" s="31" t="inlineStr">
        <is>
          <t>'3175</t>
        </is>
      </c>
      <c r="C446" s="32" t="inlineStr">
        <is>
          <t>GL</t>
        </is>
      </c>
      <c r="D446" s="19" t="inlineStr">
        <is>
          <t>THUẾ GTGT ĐIỆN MTMN T08-2026</t>
        </is>
      </c>
      <c r="E446" s="500" t="n">
        <v>54730</v>
      </c>
      <c r="F446" s="499" t="n"/>
      <c r="G446" s="32" t="inlineStr">
        <is>
          <t>THAOPTT.HCM.VTA</t>
        </is>
      </c>
      <c r="H446" s="32" t="inlineStr">
        <is>
          <t xml:space="preserve">Post </t>
        </is>
      </c>
      <c r="I446" s="530">
        <f>IF(LEN(A446)=5,E446,0)</f>
        <v/>
      </c>
      <c r="J446" s="531">
        <f>IF(LEFT(A446,11)="Tài khoản: ",MID(A446,12,5),J445)</f>
        <v/>
      </c>
    </row>
    <row r="447">
      <c r="A447" s="30" t="n">
        <v>46295</v>
      </c>
      <c r="B447" s="31" t="inlineStr">
        <is>
          <t>'3175</t>
        </is>
      </c>
      <c r="C447" s="32" t="inlineStr">
        <is>
          <t>GL</t>
        </is>
      </c>
      <c r="D447" s="19" t="inlineStr">
        <is>
          <t>THUẾ GTGT ĐIỆN MTMN T07-2026</t>
        </is>
      </c>
      <c r="E447" s="500" t="n">
        <v>100198</v>
      </c>
      <c r="F447" s="499" t="n"/>
      <c r="G447" s="32" t="inlineStr">
        <is>
          <t>THAOPTT.HCM.VTA</t>
        </is>
      </c>
      <c r="H447" s="32" t="inlineStr">
        <is>
          <t xml:space="preserve">Post </t>
        </is>
      </c>
      <c r="I447" s="530">
        <f>IF(LEN(A447)=5,E447,0)</f>
        <v/>
      </c>
      <c r="J447" s="531">
        <f>IF(LEFT(A447,11)="Tài khoản: ",MID(A447,12,5),J446)</f>
        <v/>
      </c>
    </row>
    <row r="448">
      <c r="A448" s="30" t="n">
        <v>46295</v>
      </c>
      <c r="B448" s="31" t="inlineStr">
        <is>
          <t>'3175</t>
        </is>
      </c>
      <c r="C448" s="32" t="inlineStr">
        <is>
          <t>GL</t>
        </is>
      </c>
      <c r="D448" s="19" t="inlineStr">
        <is>
          <t>THUẾ GTGT ĐIỆN MTMN T08-2026</t>
        </is>
      </c>
      <c r="E448" s="500" t="n">
        <v>102387</v>
      </c>
      <c r="F448" s="499" t="n"/>
      <c r="G448" s="32" t="inlineStr">
        <is>
          <t>THAOPTT.HCM.VTA</t>
        </is>
      </c>
      <c r="H448" s="32" t="inlineStr">
        <is>
          <t xml:space="preserve">Post </t>
        </is>
      </c>
      <c r="I448" s="530">
        <f>IF(LEN(A448)=5,E448,0)</f>
        <v/>
      </c>
      <c r="J448" s="531">
        <f>IF(LEFT(A448,11)="Tài khoản: ",MID(A448,12,5),J447)</f>
        <v/>
      </c>
    </row>
    <row r="449">
      <c r="A449" s="30" t="n">
        <v>46295</v>
      </c>
      <c r="B449" s="31" t="inlineStr">
        <is>
          <t>'3175</t>
        </is>
      </c>
      <c r="C449" s="32" t="inlineStr">
        <is>
          <t>GL</t>
        </is>
      </c>
      <c r="D449" s="19" t="inlineStr">
        <is>
          <t>THUẾ GTGT ĐIỆN MTMN T08-2026</t>
        </is>
      </c>
      <c r="E449" s="500" t="n">
        <v>1103020</v>
      </c>
      <c r="F449" s="499" t="n"/>
      <c r="G449" s="32" t="inlineStr">
        <is>
          <t>THAOPTT.HCM.VTA</t>
        </is>
      </c>
      <c r="H449" s="32" t="inlineStr">
        <is>
          <t xml:space="preserve">Post </t>
        </is>
      </c>
      <c r="I449" s="530">
        <f>IF(LEN(A449)=5,E449,0)</f>
        <v/>
      </c>
      <c r="J449" s="531">
        <f>IF(LEFT(A449,11)="Tài khoản: ",MID(A449,12,5),J448)</f>
        <v/>
      </c>
    </row>
    <row r="450">
      <c r="A450" s="30" t="n">
        <v>46295</v>
      </c>
      <c r="B450" s="31" t="inlineStr">
        <is>
          <t>'3175</t>
        </is>
      </c>
      <c r="C450" s="32" t="inlineStr">
        <is>
          <t>GL</t>
        </is>
      </c>
      <c r="D450" s="19" t="inlineStr">
        <is>
          <t>THUẾ GTGT ĐIỆN MTMN T08-2026</t>
        </is>
      </c>
      <c r="E450" s="500" t="n">
        <v>26485</v>
      </c>
      <c r="F450" s="499" t="n"/>
      <c r="G450" s="32" t="inlineStr">
        <is>
          <t>THAOPTT.HCM.VTA</t>
        </is>
      </c>
      <c r="H450" s="32" t="inlineStr">
        <is>
          <t xml:space="preserve">Post </t>
        </is>
      </c>
      <c r="I450" s="530">
        <f>IF(LEN(A450)=5,E450,0)</f>
        <v/>
      </c>
      <c r="J450" s="531">
        <f>IF(LEFT(A450,11)="Tài khoản: ",MID(A450,12,5),J449)</f>
        <v/>
      </c>
    </row>
    <row r="451">
      <c r="A451" s="30" t="n">
        <v>46295</v>
      </c>
      <c r="B451" s="31" t="inlineStr">
        <is>
          <t>'3175</t>
        </is>
      </c>
      <c r="C451" s="32" t="inlineStr">
        <is>
          <t>GL</t>
        </is>
      </c>
      <c r="D451" s="19" t="inlineStr">
        <is>
          <t>THUẾ GTGT ĐIỆN MTMN T08-2026</t>
        </is>
      </c>
      <c r="E451" s="500" t="n">
        <v>75612</v>
      </c>
      <c r="F451" s="499" t="n"/>
      <c r="G451" s="32" t="inlineStr">
        <is>
          <t>THAOPTT.HCM.VTA</t>
        </is>
      </c>
      <c r="H451" s="32" t="inlineStr">
        <is>
          <t xml:space="preserve">Post </t>
        </is>
      </c>
      <c r="I451" s="530">
        <f>IF(LEN(A451)=5,E451,0)</f>
        <v/>
      </c>
      <c r="J451" s="531">
        <f>IF(LEFT(A451,11)="Tài khoản: ",MID(A451,12,5),J450)</f>
        <v/>
      </c>
    </row>
    <row r="452">
      <c r="A452" s="30" t="n">
        <v>46295</v>
      </c>
      <c r="B452" s="31" t="inlineStr">
        <is>
          <t>'3175</t>
        </is>
      </c>
      <c r="C452" s="32" t="inlineStr">
        <is>
          <t>GL</t>
        </is>
      </c>
      <c r="D452" s="19" t="inlineStr">
        <is>
          <t>THUẾ GTGT ĐIỆN MTMN T08-2026</t>
        </is>
      </c>
      <c r="E452" s="500" t="n">
        <v>48838</v>
      </c>
      <c r="F452" s="499" t="n"/>
      <c r="G452" s="32" t="inlineStr">
        <is>
          <t>THAOPTT.HCM.VTA</t>
        </is>
      </c>
      <c r="H452" s="32" t="inlineStr">
        <is>
          <t xml:space="preserve">Post </t>
        </is>
      </c>
      <c r="I452" s="530">
        <f>IF(LEN(A452)=5,E452,0)</f>
        <v/>
      </c>
      <c r="J452" s="531">
        <f>IF(LEFT(A452,11)="Tài khoản: ",MID(A452,12,5),J451)</f>
        <v/>
      </c>
    </row>
    <row r="453">
      <c r="A453" s="30" t="n">
        <v>46295</v>
      </c>
      <c r="B453" s="31" t="inlineStr">
        <is>
          <t>'3175</t>
        </is>
      </c>
      <c r="C453" s="32" t="inlineStr">
        <is>
          <t>GL</t>
        </is>
      </c>
      <c r="D453" s="19" t="inlineStr">
        <is>
          <t>THUẾ GTGT ĐIỆN MTMN T08-2026</t>
        </is>
      </c>
      <c r="E453" s="500" t="n">
        <v>14651</v>
      </c>
      <c r="F453" s="499" t="n"/>
      <c r="G453" s="32" t="inlineStr">
        <is>
          <t>THAOPTT.HCM.VTA</t>
        </is>
      </c>
      <c r="H453" s="32" t="inlineStr">
        <is>
          <t xml:space="preserve">Post </t>
        </is>
      </c>
      <c r="I453" s="530">
        <f>IF(LEN(A453)=5,E453,0)</f>
        <v/>
      </c>
      <c r="J453" s="531">
        <f>IF(LEFT(A453,11)="Tài khoản: ",MID(A453,12,5),J452)</f>
        <v/>
      </c>
    </row>
    <row r="454">
      <c r="A454" s="30" t="n">
        <v>46295</v>
      </c>
      <c r="B454" s="31" t="inlineStr">
        <is>
          <t>'3175</t>
        </is>
      </c>
      <c r="C454" s="32" t="inlineStr">
        <is>
          <t>GL</t>
        </is>
      </c>
      <c r="D454" s="19" t="inlineStr">
        <is>
          <t>THUẾ GTGT ĐIỆN MTMN T08-2026</t>
        </is>
      </c>
      <c r="E454" s="500" t="n">
        <v>497959</v>
      </c>
      <c r="F454" s="499" t="n"/>
      <c r="G454" s="32" t="inlineStr">
        <is>
          <t>THAOPTT.HCM.VTA</t>
        </is>
      </c>
      <c r="H454" s="32" t="inlineStr">
        <is>
          <t xml:space="preserve">Post </t>
        </is>
      </c>
      <c r="I454" s="530">
        <f>IF(LEN(A454)=5,E454,0)</f>
        <v/>
      </c>
      <c r="J454" s="531">
        <f>IF(LEFT(A454,11)="Tài khoản: ",MID(A454,12,5),J453)</f>
        <v/>
      </c>
    </row>
    <row r="455">
      <c r="A455" s="30" t="n">
        <v>46295</v>
      </c>
      <c r="B455" s="31" t="inlineStr">
        <is>
          <t>'3175</t>
        </is>
      </c>
      <c r="C455" s="32" t="inlineStr">
        <is>
          <t>GL</t>
        </is>
      </c>
      <c r="D455" s="19" t="inlineStr">
        <is>
          <t>THUẾ GTGT ĐIỆN MTMN T08-2026</t>
        </is>
      </c>
      <c r="E455" s="500" t="n">
        <v>320079</v>
      </c>
      <c r="F455" s="499" t="n"/>
      <c r="G455" s="32" t="inlineStr">
        <is>
          <t>THAOPTT.HCM.VTA</t>
        </is>
      </c>
      <c r="H455" s="32" t="inlineStr">
        <is>
          <t xml:space="preserve">Post </t>
        </is>
      </c>
      <c r="I455" s="530">
        <f>IF(LEN(A455)=5,E455,0)</f>
        <v/>
      </c>
      <c r="J455" s="531">
        <f>IF(LEFT(A455,11)="Tài khoản: ",MID(A455,12,5),J454)</f>
        <v/>
      </c>
    </row>
    <row r="456">
      <c r="A456" s="30" t="n">
        <v>46295</v>
      </c>
      <c r="B456" s="31" t="inlineStr">
        <is>
          <t>'3175</t>
        </is>
      </c>
      <c r="C456" s="32" t="inlineStr">
        <is>
          <t>GL</t>
        </is>
      </c>
      <c r="D456" s="19" t="inlineStr">
        <is>
          <t>THUẾ GTGT ĐIỆN MTMN T08-2026</t>
        </is>
      </c>
      <c r="E456" s="500" t="n">
        <v>2831814</v>
      </c>
      <c r="F456" s="499" t="n"/>
      <c r="G456" s="32" t="inlineStr">
        <is>
          <t>THAOPTT.HCM.VTA</t>
        </is>
      </c>
      <c r="H456" s="32" t="inlineStr">
        <is>
          <t xml:space="preserve">Post </t>
        </is>
      </c>
      <c r="I456" s="530">
        <f>IF(LEN(A456)=5,E456,0)</f>
        <v/>
      </c>
      <c r="J456" s="531">
        <f>IF(LEFT(A456,11)="Tài khoản: ",MID(A456,12,5),J455)</f>
        <v/>
      </c>
    </row>
    <row r="457">
      <c r="A457" s="30" t="n">
        <v>46295</v>
      </c>
      <c r="B457" s="31" t="inlineStr">
        <is>
          <t>'3175</t>
        </is>
      </c>
      <c r="C457" s="32" t="inlineStr">
        <is>
          <t>GL</t>
        </is>
      </c>
      <c r="D457" s="19" t="inlineStr">
        <is>
          <t>THUẾ GTGT ĐIỆN MTMN T07-2026</t>
        </is>
      </c>
      <c r="E457" s="500" t="n">
        <v>239128</v>
      </c>
      <c r="F457" s="499" t="n"/>
      <c r="G457" s="32" t="inlineStr">
        <is>
          <t>THAOPTT.HCM.VTA</t>
        </is>
      </c>
      <c r="H457" s="32" t="inlineStr">
        <is>
          <t xml:space="preserve">Post </t>
        </is>
      </c>
      <c r="I457" s="530">
        <f>IF(LEN(A457)=5,E457,0)</f>
        <v/>
      </c>
      <c r="J457" s="531">
        <f>IF(LEFT(A457,11)="Tài khoản: ",MID(A457,12,5),J456)</f>
        <v/>
      </c>
    </row>
    <row r="458">
      <c r="A458" s="30" t="n">
        <v>46295</v>
      </c>
      <c r="B458" s="31" t="inlineStr">
        <is>
          <t>'3175</t>
        </is>
      </c>
      <c r="C458" s="32" t="inlineStr">
        <is>
          <t>GL</t>
        </is>
      </c>
      <c r="D458" s="19" t="inlineStr">
        <is>
          <t>THUẾ GTGT ĐIỆN MTMN T08-2026</t>
        </is>
      </c>
      <c r="E458" s="500" t="n">
        <v>222793</v>
      </c>
      <c r="F458" s="499" t="n"/>
      <c r="G458" s="32" t="inlineStr">
        <is>
          <t>THAOPTT.HCM.VTA</t>
        </is>
      </c>
      <c r="H458" s="32" t="inlineStr">
        <is>
          <t xml:space="preserve">Post </t>
        </is>
      </c>
      <c r="I458" s="530">
        <f>IF(LEN(A458)=5,E458,0)</f>
        <v/>
      </c>
      <c r="J458" s="531">
        <f>IF(LEFT(A458,11)="Tài khoản: ",MID(A458,12,5),J457)</f>
        <v/>
      </c>
    </row>
    <row r="459">
      <c r="A459" s="30" t="n">
        <v>46295</v>
      </c>
      <c r="B459" s="31" t="inlineStr">
        <is>
          <t>'3175</t>
        </is>
      </c>
      <c r="C459" s="32" t="inlineStr">
        <is>
          <t>GL</t>
        </is>
      </c>
      <c r="D459" s="19" t="inlineStr">
        <is>
          <t>THUẾ GTGT ĐIỆN MTMN T08-2026</t>
        </is>
      </c>
      <c r="E459" s="500" t="n">
        <v>1285734</v>
      </c>
      <c r="F459" s="499" t="n"/>
      <c r="G459" s="32" t="inlineStr">
        <is>
          <t>THAOPTT.HCM.VTA</t>
        </is>
      </c>
      <c r="H459" s="32" t="inlineStr">
        <is>
          <t xml:space="preserve">Post </t>
        </is>
      </c>
      <c r="I459" s="530">
        <f>IF(LEN(A459)=5,E459,0)</f>
        <v/>
      </c>
      <c r="J459" s="531">
        <f>IF(LEFT(A459,11)="Tài khoản: ",MID(A459,12,5),J458)</f>
        <v/>
      </c>
    </row>
    <row r="460">
      <c r="A460" s="30" t="n">
        <v>46295</v>
      </c>
      <c r="B460" s="31" t="inlineStr">
        <is>
          <t>'3175</t>
        </is>
      </c>
      <c r="C460" s="32" t="inlineStr">
        <is>
          <t>GL</t>
        </is>
      </c>
      <c r="D460" s="19" t="inlineStr">
        <is>
          <t>THUẾ GTGT ĐIỆN MTMN T07-2026</t>
        </is>
      </c>
      <c r="E460" s="500" t="n">
        <v>190629</v>
      </c>
      <c r="F460" s="499" t="n"/>
      <c r="G460" s="32" t="inlineStr">
        <is>
          <t>THAOPTT.HCM.VTA</t>
        </is>
      </c>
      <c r="H460" s="32" t="inlineStr">
        <is>
          <t xml:space="preserve">Post </t>
        </is>
      </c>
      <c r="I460" s="530">
        <f>IF(LEN(A460)=5,E460,0)</f>
        <v/>
      </c>
      <c r="J460" s="531">
        <f>IF(LEFT(A460,11)="Tài khoản: ",MID(A460,12,5),J459)</f>
        <v/>
      </c>
    </row>
    <row r="461">
      <c r="A461" s="30" t="n">
        <v>46295</v>
      </c>
      <c r="B461" s="31" t="inlineStr">
        <is>
          <t>'3175</t>
        </is>
      </c>
      <c r="C461" s="32" t="inlineStr">
        <is>
          <t>GL</t>
        </is>
      </c>
      <c r="D461" s="19" t="inlineStr">
        <is>
          <t>THUẾ GTGT ĐIỆN MTMN T08-2026</t>
        </is>
      </c>
      <c r="E461" s="500" t="n">
        <v>189282</v>
      </c>
      <c r="F461" s="499" t="n"/>
      <c r="G461" s="32" t="inlineStr">
        <is>
          <t>THAOPTT.HCM.VTA</t>
        </is>
      </c>
      <c r="H461" s="32" t="inlineStr">
        <is>
          <t xml:space="preserve">Post </t>
        </is>
      </c>
      <c r="I461" s="530">
        <f>IF(LEN(A461)=5,E461,0)</f>
        <v/>
      </c>
      <c r="J461" s="531">
        <f>IF(LEFT(A461,11)="Tài khoản: ",MID(A461,12,5),J460)</f>
        <v/>
      </c>
    </row>
    <row r="462">
      <c r="A462" s="30" t="n">
        <v>46295</v>
      </c>
      <c r="B462" s="31" t="inlineStr">
        <is>
          <t>'3175</t>
        </is>
      </c>
      <c r="C462" s="32" t="inlineStr">
        <is>
          <t>GL</t>
        </is>
      </c>
      <c r="D462" s="19" t="inlineStr">
        <is>
          <t>THUẾ GTGT ĐIỆN MTMN T08-2026</t>
        </is>
      </c>
      <c r="E462" s="500" t="n">
        <v>808488</v>
      </c>
      <c r="F462" s="499" t="n"/>
      <c r="G462" s="32" t="inlineStr">
        <is>
          <t>THAOPTT.HCM.VTA</t>
        </is>
      </c>
      <c r="H462" s="32" t="inlineStr">
        <is>
          <t xml:space="preserve">Post </t>
        </is>
      </c>
      <c r="I462" s="530">
        <f>IF(LEN(A462)=5,E462,0)</f>
        <v/>
      </c>
      <c r="J462" s="531">
        <f>IF(LEFT(A462,11)="Tài khoản: ",MID(A462,12,5),J461)</f>
        <v/>
      </c>
    </row>
    <row r="463">
      <c r="A463" s="30" t="n">
        <v>46295</v>
      </c>
      <c r="B463" s="31" t="inlineStr">
        <is>
          <t>'3175</t>
        </is>
      </c>
      <c r="C463" s="32" t="inlineStr">
        <is>
          <t>GL</t>
        </is>
      </c>
      <c r="D463" s="19" t="inlineStr">
        <is>
          <t>THUẾ GTGT ĐIỆN MTMN T08-2026</t>
        </is>
      </c>
      <c r="E463" s="500" t="n">
        <v>1973816</v>
      </c>
      <c r="F463" s="499" t="n"/>
      <c r="G463" s="32" t="inlineStr">
        <is>
          <t>THAOPTT.HCM.VTA</t>
        </is>
      </c>
      <c r="H463" s="32" t="inlineStr">
        <is>
          <t xml:space="preserve">Post </t>
        </is>
      </c>
      <c r="I463" s="530">
        <f>IF(LEN(A463)=5,E463,0)</f>
        <v/>
      </c>
      <c r="J463" s="531">
        <f>IF(LEFT(A463,11)="Tài khoản: ",MID(A463,12,5),J462)</f>
        <v/>
      </c>
    </row>
    <row r="464">
      <c r="A464" s="30" t="n">
        <v>46295</v>
      </c>
      <c r="B464" s="31" t="inlineStr">
        <is>
          <t>'3175</t>
        </is>
      </c>
      <c r="C464" s="32" t="inlineStr">
        <is>
          <t>GL</t>
        </is>
      </c>
      <c r="D464" s="19" t="inlineStr">
        <is>
          <t>THUẾ GTGT ĐIỆN MTMN T08-2026</t>
        </is>
      </c>
      <c r="E464" s="500" t="n">
        <v>2054480</v>
      </c>
      <c r="F464" s="499" t="n"/>
      <c r="G464" s="32" t="inlineStr">
        <is>
          <t>THAOPTT.HCM.VTA</t>
        </is>
      </c>
      <c r="H464" s="32" t="inlineStr">
        <is>
          <t xml:space="preserve">Post </t>
        </is>
      </c>
      <c r="I464" s="530">
        <f>IF(LEN(A464)=5,E464,0)</f>
        <v/>
      </c>
      <c r="J464" s="531">
        <f>IF(LEFT(A464,11)="Tài khoản: ",MID(A464,12,5),J463)</f>
        <v/>
      </c>
    </row>
    <row r="465">
      <c r="A465" s="30" t="n">
        <v>46295</v>
      </c>
      <c r="B465" s="31" t="inlineStr">
        <is>
          <t>'3175</t>
        </is>
      </c>
      <c r="C465" s="32" t="inlineStr">
        <is>
          <t>GL</t>
        </is>
      </c>
      <c r="D465" s="19" t="inlineStr">
        <is>
          <t>THUẾ GTGT ĐIỆN MTMN T08-2026</t>
        </is>
      </c>
      <c r="E465" s="500" t="n">
        <v>3935003</v>
      </c>
      <c r="F465" s="499" t="n"/>
      <c r="G465" s="32" t="inlineStr">
        <is>
          <t>THAOPTT.HCM.VTA</t>
        </is>
      </c>
      <c r="H465" s="32" t="inlineStr">
        <is>
          <t xml:space="preserve">Post </t>
        </is>
      </c>
      <c r="I465" s="530">
        <f>IF(LEN(A465)=5,E465,0)</f>
        <v/>
      </c>
      <c r="J465" s="531">
        <f>IF(LEFT(A465,11)="Tài khoản: ",MID(A465,12,5),J464)</f>
        <v/>
      </c>
    </row>
    <row r="466">
      <c r="A466" s="30" t="n">
        <v>46295</v>
      </c>
      <c r="B466" s="31" t="inlineStr">
        <is>
          <t>'3175</t>
        </is>
      </c>
      <c r="C466" s="32" t="inlineStr">
        <is>
          <t>GL</t>
        </is>
      </c>
      <c r="D466" s="19" t="inlineStr">
        <is>
          <t>THUẾ GTGT ĐIỆN MTMN T08-2026</t>
        </is>
      </c>
      <c r="E466" s="500" t="n">
        <v>1485288</v>
      </c>
      <c r="F466" s="499" t="n"/>
      <c r="G466" s="32" t="inlineStr">
        <is>
          <t>THAOPTT.HCM.VTA</t>
        </is>
      </c>
      <c r="H466" s="32" t="inlineStr">
        <is>
          <t xml:space="preserve">Post </t>
        </is>
      </c>
      <c r="I466" s="530">
        <f>IF(LEN(A466)=5,E466,0)</f>
        <v/>
      </c>
      <c r="J466" s="531">
        <f>IF(LEFT(A466,11)="Tài khoản: ",MID(A466,12,5),J465)</f>
        <v/>
      </c>
    </row>
    <row r="467">
      <c r="A467" s="30" t="n">
        <v>46295</v>
      </c>
      <c r="B467" s="31" t="inlineStr">
        <is>
          <t>'3175</t>
        </is>
      </c>
      <c r="C467" s="32" t="inlineStr">
        <is>
          <t>GL</t>
        </is>
      </c>
      <c r="D467" s="19" t="inlineStr">
        <is>
          <t>THUẾ GTGT ĐIỆN MTMN T08-2026</t>
        </is>
      </c>
      <c r="E467" s="500" t="n">
        <v>20540422</v>
      </c>
      <c r="F467" s="499" t="n"/>
      <c r="G467" s="32" t="inlineStr">
        <is>
          <t>THAOPTT.HCM.VTA</t>
        </is>
      </c>
      <c r="H467" s="32" t="inlineStr">
        <is>
          <t xml:space="preserve">Post </t>
        </is>
      </c>
      <c r="I467" s="530">
        <f>IF(LEN(A467)=5,E467,0)</f>
        <v/>
      </c>
      <c r="J467" s="531">
        <f>IF(LEFT(A467,11)="Tài khoản: ",MID(A467,12,5),J466)</f>
        <v/>
      </c>
    </row>
    <row r="468">
      <c r="A468" s="30" t="n">
        <v>46295</v>
      </c>
      <c r="B468" s="31" t="inlineStr">
        <is>
          <t>'3175</t>
        </is>
      </c>
      <c r="C468" s="32" t="inlineStr">
        <is>
          <t>GL</t>
        </is>
      </c>
      <c r="D468" s="19" t="inlineStr">
        <is>
          <t>THUẾ GTGT ĐIỆN MTMN T08-2026</t>
        </is>
      </c>
      <c r="E468" s="500" t="n">
        <v>20172636</v>
      </c>
      <c r="F468" s="499" t="n"/>
      <c r="G468" s="32" t="inlineStr">
        <is>
          <t>THAOPTT.HCM.VTA</t>
        </is>
      </c>
      <c r="H468" s="32" t="inlineStr">
        <is>
          <t xml:space="preserve">Post </t>
        </is>
      </c>
      <c r="I468" s="530">
        <f>IF(LEN(A468)=5,E468,0)</f>
        <v/>
      </c>
      <c r="J468" s="531">
        <f>IF(LEFT(A468,11)="Tài khoản: ",MID(A468,12,5),J467)</f>
        <v/>
      </c>
    </row>
    <row r="469">
      <c r="A469" s="30" t="n">
        <v>46295</v>
      </c>
      <c r="B469" s="31" t="inlineStr">
        <is>
          <t>'3175</t>
        </is>
      </c>
      <c r="C469" s="32" t="inlineStr">
        <is>
          <t>GL</t>
        </is>
      </c>
      <c r="D469" s="19" t="inlineStr">
        <is>
          <t>THUẾ GTGT ĐIỆN MTMN T08-2026</t>
        </is>
      </c>
      <c r="E469" s="500" t="n">
        <v>10782652</v>
      </c>
      <c r="F469" s="499" t="n"/>
      <c r="G469" s="32" t="inlineStr">
        <is>
          <t>THAOPTT.HCM.VTA</t>
        </is>
      </c>
      <c r="H469" s="32" t="inlineStr">
        <is>
          <t xml:space="preserve">Post </t>
        </is>
      </c>
      <c r="I469" s="530">
        <f>IF(LEN(A469)=5,E469,0)</f>
        <v/>
      </c>
      <c r="J469" s="531">
        <f>IF(LEFT(A469,11)="Tài khoản: ",MID(A469,12,5),J468)</f>
        <v/>
      </c>
    </row>
    <row r="470" ht="26.4" customHeight="1" s="344">
      <c r="A470" s="30" t="n">
        <v>46295</v>
      </c>
      <c r="B470" s="31" t="inlineStr">
        <is>
          <t>'3175</t>
        </is>
      </c>
      <c r="C470" s="32" t="inlineStr">
        <is>
          <t>GL</t>
        </is>
      </c>
      <c r="D470" s="19" t="inlineStr">
        <is>
          <t>THUẾ GTGT ĐIỆN MTMN T08-2026</t>
        </is>
      </c>
      <c r="E470" s="500" t="n">
        <v>17471500</v>
      </c>
      <c r="F470" s="499" t="n"/>
      <c r="G470" s="32" t="inlineStr">
        <is>
          <t>THAOPTT.HCM.VTA</t>
        </is>
      </c>
      <c r="H470" s="32" t="inlineStr">
        <is>
          <t xml:space="preserve">Post </t>
        </is>
      </c>
      <c r="I470" s="530">
        <f>IF(LEN(A470)=5,E470,0)</f>
        <v/>
      </c>
      <c r="J470" s="531">
        <f>IF(LEFT(A470,11)="Tài khoản: ",MID(A470,12,5),J469)</f>
        <v/>
      </c>
    </row>
    <row r="471">
      <c r="A471" s="30" t="n">
        <v>46295</v>
      </c>
      <c r="B471" s="31" t="inlineStr">
        <is>
          <t>'3175</t>
        </is>
      </c>
      <c r="C471" s="32" t="inlineStr">
        <is>
          <t>GL</t>
        </is>
      </c>
      <c r="D471" s="19" t="inlineStr">
        <is>
          <t>THUẾ GTGT ĐIỆN MTMN T08-2026</t>
        </is>
      </c>
      <c r="E471" s="500" t="n">
        <v>1699156</v>
      </c>
      <c r="F471" s="499" t="n"/>
      <c r="G471" s="32" t="inlineStr">
        <is>
          <t>THAOPTT.HCM.VTA</t>
        </is>
      </c>
      <c r="H471" s="32" t="inlineStr">
        <is>
          <t xml:space="preserve">Post </t>
        </is>
      </c>
      <c r="I471" s="530">
        <f>IF(LEN(A471)=5,E471,0)</f>
        <v/>
      </c>
      <c r="J471" s="531">
        <f>IF(LEFT(A471,11)="Tài khoản: ",MID(A471,12,5),J470)</f>
        <v/>
      </c>
    </row>
    <row r="472">
      <c r="A472" s="30" t="n">
        <v>46295</v>
      </c>
      <c r="B472" s="31" t="inlineStr">
        <is>
          <t>'3175</t>
        </is>
      </c>
      <c r="C472" s="32" t="inlineStr">
        <is>
          <t>GL</t>
        </is>
      </c>
      <c r="D472" s="19" t="inlineStr">
        <is>
          <t>THUẾ GTGT ĐIỆN MTMN T04-2026</t>
        </is>
      </c>
      <c r="E472" s="500" t="n">
        <v>505</v>
      </c>
      <c r="F472" s="499" t="n"/>
      <c r="G472" s="32" t="inlineStr">
        <is>
          <t>THAOPTT.HCM.VTA</t>
        </is>
      </c>
      <c r="H472" s="32" t="inlineStr">
        <is>
          <t xml:space="preserve">Post </t>
        </is>
      </c>
      <c r="I472" s="530">
        <f>IF(LEN(A472)=5,E472,0)</f>
        <v/>
      </c>
      <c r="J472" s="531">
        <f>IF(LEFT(A472,11)="Tài khoản: ",MID(A472,12,5),J471)</f>
        <v/>
      </c>
    </row>
    <row r="473">
      <c r="A473" s="30" t="n">
        <v>46295</v>
      </c>
      <c r="B473" s="31" t="inlineStr">
        <is>
          <t>'3175</t>
        </is>
      </c>
      <c r="C473" s="32" t="inlineStr">
        <is>
          <t>GL</t>
        </is>
      </c>
      <c r="D473" s="19" t="inlineStr">
        <is>
          <t>THUẾ GTGT ĐIỆN MTMN T05-2026</t>
        </is>
      </c>
      <c r="E473" s="500" t="n">
        <v>168</v>
      </c>
      <c r="F473" s="499" t="n"/>
      <c r="G473" s="32" t="inlineStr">
        <is>
          <t>THAOPTT.HCM.VTA</t>
        </is>
      </c>
      <c r="H473" s="32" t="inlineStr">
        <is>
          <t xml:space="preserve">Post </t>
        </is>
      </c>
      <c r="I473" s="530">
        <f>IF(LEN(A473)=5,E473,0)</f>
        <v/>
      </c>
      <c r="J473" s="531">
        <f>IF(LEFT(A473,11)="Tài khoản: ",MID(A473,12,5),J472)</f>
        <v/>
      </c>
    </row>
    <row r="474">
      <c r="A474" s="30" t="n">
        <v>46295</v>
      </c>
      <c r="B474" s="31" t="inlineStr">
        <is>
          <t>'3175</t>
        </is>
      </c>
      <c r="C474" s="32" t="inlineStr">
        <is>
          <t>GL</t>
        </is>
      </c>
      <c r="D474" s="19" t="inlineStr">
        <is>
          <t>THUẾ GTGT ĐIỆN MTMN T06-2026</t>
        </is>
      </c>
      <c r="E474" s="500" t="n">
        <v>168</v>
      </c>
      <c r="F474" s="499" t="n"/>
      <c r="G474" s="32" t="inlineStr">
        <is>
          <t>THAOPTT.HCM.VTA</t>
        </is>
      </c>
      <c r="H474" s="32" t="inlineStr">
        <is>
          <t xml:space="preserve">Post </t>
        </is>
      </c>
      <c r="I474" s="530">
        <f>IF(LEN(A474)=5,E474,0)</f>
        <v/>
      </c>
      <c r="J474" s="531">
        <f>IF(LEFT(A474,11)="Tài khoản: ",MID(A474,12,5),J473)</f>
        <v/>
      </c>
    </row>
    <row r="475">
      <c r="A475" s="30" t="n">
        <v>46295</v>
      </c>
      <c r="B475" s="31" t="inlineStr">
        <is>
          <t>'3175</t>
        </is>
      </c>
      <c r="C475" s="32" t="inlineStr">
        <is>
          <t>GL</t>
        </is>
      </c>
      <c r="D475" s="19" t="inlineStr">
        <is>
          <t>THUẾ GTGT ĐIỆN MTMN T07-2026</t>
        </is>
      </c>
      <c r="E475" s="500" t="n">
        <v>505</v>
      </c>
      <c r="F475" s="499" t="n"/>
      <c r="G475" s="32" t="inlineStr">
        <is>
          <t>THAOPTT.HCM.VTA</t>
        </is>
      </c>
      <c r="H475" s="32" t="inlineStr">
        <is>
          <t xml:space="preserve">Post </t>
        </is>
      </c>
      <c r="I475" s="530">
        <f>IF(LEN(A475)=5,E475,0)</f>
        <v/>
      </c>
      <c r="J475" s="531">
        <f>IF(LEFT(A475,11)="Tài khoản: ",MID(A475,12,5),J474)</f>
        <v/>
      </c>
    </row>
    <row r="476">
      <c r="A476" s="30" t="n">
        <v>46295</v>
      </c>
      <c r="B476" s="31" t="inlineStr">
        <is>
          <t>'3175</t>
        </is>
      </c>
      <c r="C476" s="32" t="inlineStr">
        <is>
          <t>GL</t>
        </is>
      </c>
      <c r="D476" s="19" t="inlineStr">
        <is>
          <t>THUẾ GTGT ĐIỆN MTMN T08-2026</t>
        </is>
      </c>
      <c r="E476" s="500" t="n">
        <v>505</v>
      </c>
      <c r="F476" s="499" t="n"/>
      <c r="G476" s="32" t="inlineStr">
        <is>
          <t>THAOPTT.HCM.VTA</t>
        </is>
      </c>
      <c r="H476" s="32" t="inlineStr">
        <is>
          <t xml:space="preserve">Post </t>
        </is>
      </c>
      <c r="I476" s="530">
        <f>IF(LEN(A476)=5,E476,0)</f>
        <v/>
      </c>
      <c r="J476" s="531">
        <f>IF(LEFT(A476,11)="Tài khoản: ",MID(A476,12,5),J475)</f>
        <v/>
      </c>
    </row>
    <row r="477">
      <c r="A477" s="30" t="n">
        <v>46295</v>
      </c>
      <c r="B477" s="31" t="inlineStr">
        <is>
          <t>'3175</t>
        </is>
      </c>
      <c r="C477" s="32" t="inlineStr">
        <is>
          <t>GL</t>
        </is>
      </c>
      <c r="D477" s="19" t="inlineStr">
        <is>
          <t>THUẾ GTGT ĐIỆN MTMN T08-2026</t>
        </is>
      </c>
      <c r="E477" s="500" t="n">
        <v>42774</v>
      </c>
      <c r="F477" s="499" t="n"/>
      <c r="G477" s="32" t="inlineStr">
        <is>
          <t>THAOPTT.HCM.VTA</t>
        </is>
      </c>
      <c r="H477" s="32" t="inlineStr">
        <is>
          <t xml:space="preserve">Post </t>
        </is>
      </c>
      <c r="I477" s="530">
        <f>IF(LEN(A477)=5,E477,0)</f>
        <v/>
      </c>
      <c r="J477" s="531">
        <f>IF(LEFT(A477,11)="Tài khoản: ",MID(A477,12,5),J476)</f>
        <v/>
      </c>
    </row>
    <row r="478">
      <c r="A478" s="30" t="n">
        <v>46295</v>
      </c>
      <c r="B478" s="31" t="inlineStr">
        <is>
          <t>'3175</t>
        </is>
      </c>
      <c r="C478" s="32" t="inlineStr">
        <is>
          <t>GL</t>
        </is>
      </c>
      <c r="D478" s="19" t="inlineStr">
        <is>
          <t>THUẾ GTGT ĐIỆN MTMN T01-2026</t>
        </is>
      </c>
      <c r="E478" s="500" t="n">
        <v>13640</v>
      </c>
      <c r="F478" s="499" t="n"/>
      <c r="G478" s="32" t="inlineStr">
        <is>
          <t>THAOPTT.HCM.VTA</t>
        </is>
      </c>
      <c r="H478" s="32" t="inlineStr">
        <is>
          <t xml:space="preserve">Post </t>
        </is>
      </c>
      <c r="I478" s="530">
        <f>IF(LEN(A478)=5,E478,0)</f>
        <v/>
      </c>
      <c r="J478" s="531">
        <f>IF(LEFT(A478,11)="Tài khoản: ",MID(A478,12,5),J477)</f>
        <v/>
      </c>
    </row>
    <row r="479">
      <c r="A479" s="30" t="n">
        <v>46295</v>
      </c>
      <c r="B479" s="31" t="inlineStr">
        <is>
          <t>'3175</t>
        </is>
      </c>
      <c r="C479" s="32" t="inlineStr">
        <is>
          <t>GL</t>
        </is>
      </c>
      <c r="D479" s="19" t="inlineStr">
        <is>
          <t>THUẾ GTGT ĐIỆN MTMN T02-2026</t>
        </is>
      </c>
      <c r="E479" s="500" t="n">
        <v>45973</v>
      </c>
      <c r="F479" s="499" t="n"/>
      <c r="G479" s="32" t="inlineStr">
        <is>
          <t>THAOPTT.HCM.VTA</t>
        </is>
      </c>
      <c r="H479" s="32" t="inlineStr">
        <is>
          <t xml:space="preserve">Post </t>
        </is>
      </c>
      <c r="I479" s="530">
        <f>IF(LEN(A479)=5,E479,0)</f>
        <v/>
      </c>
      <c r="J479" s="531">
        <f>IF(LEFT(A479,11)="Tài khoản: ",MID(A479,12,5),J478)</f>
        <v/>
      </c>
    </row>
    <row r="480">
      <c r="A480" s="30" t="n">
        <v>46295</v>
      </c>
      <c r="B480" s="31" t="inlineStr">
        <is>
          <t>'3193</t>
        </is>
      </c>
      <c r="C480" s="32" t="inlineStr">
        <is>
          <t>GL</t>
        </is>
      </c>
      <c r="D480" s="19" t="inlineStr">
        <is>
          <t>K/c thuế GTGT từ 1331 về 3331 tháng 9/2026</t>
        </is>
      </c>
      <c r="E480" s="500" t="n"/>
      <c r="F480" s="499" t="n">
        <v>102486905433</v>
      </c>
      <c r="G480" s="32" t="inlineStr">
        <is>
          <t>TUAN2HM.HCM.VTA</t>
        </is>
      </c>
      <c r="H480" s="32" t="inlineStr">
        <is>
          <t xml:space="preserve">Unpost </t>
        </is>
      </c>
      <c r="I480" s="530">
        <f>IF(LEN(A480)=5,E480,0)</f>
        <v/>
      </c>
      <c r="J480" s="531">
        <f>IF(LEFT(A480,11)="Tài khoản: ",MID(A480,12,5),J479)</f>
        <v/>
      </c>
    </row>
    <row r="481">
      <c r="A481" s="30" t="n">
        <v>46295</v>
      </c>
      <c r="B481" s="31" t="inlineStr">
        <is>
          <t>'R0926SC1160</t>
        </is>
      </c>
      <c r="C481" s="32" t="inlineStr">
        <is>
          <t>AR_REC</t>
        </is>
      </c>
      <c r="D481" s="19" t="inlineStr">
        <is>
          <t>KHVT_Thanh toán tiền cước vận chuyển VTTB ra Côn Đảo - Hóa đơn 9140/18.09.26</t>
        </is>
      </c>
      <c r="E481" s="500" t="n">
        <v>1684000</v>
      </c>
      <c r="F481" s="499" t="n"/>
      <c r="G481" s="32" t="inlineStr">
        <is>
          <t>THAOPTT.HCM.VTA</t>
        </is>
      </c>
      <c r="H481" s="32" t="inlineStr">
        <is>
          <t xml:space="preserve">Final to Post </t>
        </is>
      </c>
      <c r="I481" s="530">
        <f>IF(LEN(A481)=5,E481,0)</f>
        <v/>
      </c>
      <c r="J481" s="531">
        <f>IF(LEFT(A481,11)="Tài khoản: ",MID(A481,12,5),J480)</f>
        <v/>
      </c>
    </row>
    <row r="482">
      <c r="A482" s="30" t="n">
        <v>46295</v>
      </c>
      <c r="B482" s="31" t="inlineStr">
        <is>
          <t>'R0926SC1165</t>
        </is>
      </c>
      <c r="C482" s="32" t="inlineStr">
        <is>
          <t>AR_REC</t>
        </is>
      </c>
      <c r="D482" s="19" t="inlineStr">
        <is>
          <t>VPCT_PC Vũng Tàu chuyển tiền sửa chữa Phòng xét thầu - Hóa đơn 459/23.09.26</t>
        </is>
      </c>
      <c r="E482" s="500" t="n">
        <v>2910800</v>
      </c>
      <c r="F482" s="499" t="n"/>
      <c r="G482" s="32" t="inlineStr">
        <is>
          <t>THAOPTT.HCM.VTA</t>
        </is>
      </c>
      <c r="H482" s="32" t="inlineStr">
        <is>
          <t xml:space="preserve">Final to Post </t>
        </is>
      </c>
      <c r="I482" s="530">
        <f>IF(LEN(A482)=5,E482,0)</f>
        <v/>
      </c>
      <c r="J482" s="531">
        <f>IF(LEFT(A482,11)="Tài khoản: ",MID(A482,12,5),J481)</f>
        <v/>
      </c>
    </row>
    <row r="483">
      <c r="A483" s="30" t="n"/>
      <c r="B483" s="31" t="n"/>
      <c r="C483" s="32" t="n"/>
      <c r="D483" s="19" t="inlineStr">
        <is>
          <t xml:space="preserve">Cộng phát sinh </t>
        </is>
      </c>
      <c r="E483" s="500" t="n">
        <v>102486905433</v>
      </c>
      <c r="F483" s="499" t="n">
        <v>102486905433</v>
      </c>
      <c r="G483" s="32" t="n"/>
      <c r="H483" s="32" t="n"/>
      <c r="I483" s="530">
        <f>IF(LEN(A483)=5,E483,0)</f>
        <v/>
      </c>
      <c r="J483" s="531">
        <f>IF(LEFT(A483,11)="Tài khoản: ",MID(A483,12,5),J482)</f>
        <v/>
      </c>
    </row>
    <row r="484">
      <c r="A484" s="30" t="n"/>
      <c r="B484" s="31" t="n"/>
      <c r="C484" s="32" t="n"/>
      <c r="D484" s="19" t="inlineStr">
        <is>
          <t xml:space="preserve">Dư cuối kỳ  </t>
        </is>
      </c>
      <c r="E484" s="500" t="n">
        <v>60549888887</v>
      </c>
      <c r="F484" s="499" t="n"/>
      <c r="G484" s="32" t="n"/>
      <c r="H484" s="32" t="n"/>
      <c r="I484" s="530">
        <f>IF(LEN(A484)=5,E484,0)</f>
        <v/>
      </c>
      <c r="J484" s="531">
        <f>IF(LEFT(A484,11)="Tài khoản: ",MID(A484,12,5),J483)</f>
        <v/>
      </c>
    </row>
    <row r="485">
      <c r="A485" s="30" t="inlineStr">
        <is>
          <t>Tài khoản: 13313000000</t>
        </is>
      </c>
      <c r="B485" s="31" t="n"/>
      <c r="C485" s="32" t="n"/>
      <c r="D485" s="19" t="inlineStr">
        <is>
          <t xml:space="preserve">Dư đầu kỳ </t>
        </is>
      </c>
      <c r="E485" s="500" t="n"/>
      <c r="F485" s="499" t="n"/>
      <c r="G485" s="32" t="n"/>
      <c r="H485" s="32" t="n"/>
      <c r="I485" s="530">
        <f>IF(LEN(A485)=5,E485,0)</f>
        <v/>
      </c>
      <c r="J485" s="531">
        <f>IF(LEFT(A485,11)="Tài khoản: ",MID(A485,12,5),J484)</f>
        <v/>
      </c>
    </row>
    <row r="486">
      <c r="A486" s="30" t="n">
        <v>46289</v>
      </c>
      <c r="B486" s="31" t="inlineStr">
        <is>
          <t>'2850</t>
        </is>
      </c>
      <c r="C486" s="32" t="inlineStr">
        <is>
          <t>GL</t>
        </is>
      </c>
      <c r="D486" s="19" t="inlineStr">
        <is>
          <t>Điều chỉnh 10 phân đoạn</t>
        </is>
      </c>
      <c r="E486" s="500" t="n"/>
      <c r="F486" s="499" t="n">
        <v>1417502240</v>
      </c>
      <c r="G486" s="32" t="inlineStr">
        <is>
          <t>DUNGLTP.HCM.VTA</t>
        </is>
      </c>
      <c r="H486" s="32" t="inlineStr">
        <is>
          <t xml:space="preserve">Post </t>
        </is>
      </c>
      <c r="I486" s="530">
        <f>IF(LEN(A486)=5,E486,0)</f>
        <v/>
      </c>
      <c r="J486" s="531">
        <f>IF(LEFT(A486,11)="Tài khoản: ",MID(A486,12,5),J485)</f>
        <v/>
      </c>
    </row>
    <row r="487">
      <c r="A487" s="30" t="n">
        <v>46289</v>
      </c>
      <c r="B487" s="31" t="inlineStr">
        <is>
          <t>'2850</t>
        </is>
      </c>
      <c r="C487" s="32" t="inlineStr">
        <is>
          <t>GL</t>
        </is>
      </c>
      <c r="D487" s="19" t="inlineStr">
        <is>
          <t>Điều chỉnh 10 phân đoạn</t>
        </is>
      </c>
      <c r="E487" s="500" t="n"/>
      <c r="F487" s="499" t="n">
        <v>-1417502240</v>
      </c>
      <c r="G487" s="32" t="inlineStr">
        <is>
          <t>DUNGLTP.HCM.VTA</t>
        </is>
      </c>
      <c r="H487" s="32" t="inlineStr">
        <is>
          <t xml:space="preserve">Post </t>
        </is>
      </c>
      <c r="I487" s="530">
        <f>IF(LEN(A487)=5,E487,0)</f>
        <v/>
      </c>
      <c r="J487" s="531">
        <f>IF(LEFT(A487,11)="Tài khoản: ",MID(A487,12,5),J486)</f>
        <v/>
      </c>
    </row>
    <row r="488">
      <c r="A488" s="30" t="n">
        <v>46294</v>
      </c>
      <c r="B488" s="31" t="inlineStr">
        <is>
          <t>'2853</t>
        </is>
      </c>
      <c r="C488" s="32" t="inlineStr">
        <is>
          <t>GL</t>
        </is>
      </c>
      <c r="D488" s="19" t="inlineStr">
        <is>
          <t>Thuế GTGT VTĐĐ- hđơn 1531-30.09.26-TỔNG CÔNG TY ĐIỆN LỰC THÀNH PHỐ HỒ CHÍ MINH</t>
        </is>
      </c>
      <c r="E488" s="500" t="n">
        <v>54072000</v>
      </c>
      <c r="F488" s="499" t="n"/>
      <c r="G488" s="32" t="inlineStr">
        <is>
          <t>THANH5DT.HCM.VTA</t>
        </is>
      </c>
      <c r="H488" s="32" t="inlineStr">
        <is>
          <t xml:space="preserve">Post </t>
        </is>
      </c>
      <c r="I488" s="530">
        <f>IF(LEN(A488)=5,E488,0)</f>
        <v/>
      </c>
      <c r="J488" s="531">
        <f>IF(LEFT(A488,11)="Tài khoản: ",MID(A488,12,5),J487)</f>
        <v/>
      </c>
    </row>
    <row r="489">
      <c r="A489" s="30" t="n">
        <v>46295</v>
      </c>
      <c r="B489" s="31" t="inlineStr">
        <is>
          <t>'2855</t>
        </is>
      </c>
      <c r="C489" s="32" t="inlineStr">
        <is>
          <t>GL</t>
        </is>
      </c>
      <c r="D489" s="19" t="inlineStr">
        <is>
          <t>Kê khai VAT đầu vào (XDCB) tháng 9.2026 hóa đơn BIDV số 27710/29.09.26</t>
        </is>
      </c>
      <c r="E489" s="500" t="n">
        <v>19147</v>
      </c>
      <c r="F489" s="499" t="n"/>
      <c r="G489" s="32" t="inlineStr">
        <is>
          <t>LINH3NTT.HCM.VTA</t>
        </is>
      </c>
      <c r="H489" s="32" t="inlineStr">
        <is>
          <t xml:space="preserve">Post </t>
        </is>
      </c>
      <c r="I489" s="530">
        <f>IF(LEN(A489)=5,E489,0)</f>
        <v/>
      </c>
      <c r="J489" s="531">
        <f>IF(LEFT(A489,11)="Tài khoản: ",MID(A489,12,5),J488)</f>
        <v/>
      </c>
    </row>
    <row r="490">
      <c r="A490" s="30" t="n">
        <v>46295</v>
      </c>
      <c r="B490" s="31" t="inlineStr">
        <is>
          <t>'2855</t>
        </is>
      </c>
      <c r="C490" s="32" t="inlineStr">
        <is>
          <t>GL</t>
        </is>
      </c>
      <c r="D490" s="19" t="inlineStr">
        <is>
          <t>Kết chuyển TK 13313_9000 qua TK 333111</t>
        </is>
      </c>
      <c r="E490" s="500" t="n"/>
      <c r="F490" s="499" t="n">
        <v>110027</v>
      </c>
      <c r="G490" s="32" t="inlineStr">
        <is>
          <t>LINH3NTT.HCM.VTA</t>
        </is>
      </c>
      <c r="H490" s="32" t="inlineStr">
        <is>
          <t xml:space="preserve">Post </t>
        </is>
      </c>
      <c r="I490" s="530">
        <f>IF(LEN(A490)=5,E490,0)</f>
        <v/>
      </c>
      <c r="J490" s="531">
        <f>IF(LEFT(A490,11)="Tài khoản: ",MID(A490,12,5),J489)</f>
        <v/>
      </c>
    </row>
    <row r="491">
      <c r="A491" s="30" t="n">
        <v>46295</v>
      </c>
      <c r="B491" s="31" t="inlineStr">
        <is>
          <t>'2855</t>
        </is>
      </c>
      <c r="C491" s="32" t="inlineStr">
        <is>
          <t>GL</t>
        </is>
      </c>
      <c r="D491" s="19" t="inlineStr">
        <is>
          <t>Kê khai VAT đầu vào (XDCB) tháng 9.2026 hóa đơn BIDV số 27125/21.09.26</t>
        </is>
      </c>
      <c r="E491" s="500" t="n">
        <v>83880</v>
      </c>
      <c r="F491" s="499" t="n"/>
      <c r="G491" s="32" t="inlineStr">
        <is>
          <t>LINH3NTT.HCM.VTA</t>
        </is>
      </c>
      <c r="H491" s="32" t="inlineStr">
        <is>
          <t xml:space="preserve">Post </t>
        </is>
      </c>
      <c r="I491" s="530">
        <f>IF(LEN(A491)=5,E491,0)</f>
        <v/>
      </c>
      <c r="J491" s="531">
        <f>IF(LEFT(A491,11)="Tài khoản: ",MID(A491,12,5),J490)</f>
        <v/>
      </c>
    </row>
    <row r="492">
      <c r="A492" s="30" t="n">
        <v>46295</v>
      </c>
      <c r="B492" s="31" t="inlineStr">
        <is>
          <t>'2855</t>
        </is>
      </c>
      <c r="C492" s="32" t="inlineStr">
        <is>
          <t>GL</t>
        </is>
      </c>
      <c r="D492" s="19" t="inlineStr">
        <is>
          <t>Kê khai VAT đầu vào (XDCB) tháng 9.2026 hóa đơn BIDV số 26849/15.09.26</t>
        </is>
      </c>
      <c r="E492" s="500" t="n">
        <v>2000</v>
      </c>
      <c r="F492" s="499" t="n"/>
      <c r="G492" s="32" t="inlineStr">
        <is>
          <t>LINH3NTT.HCM.VTA</t>
        </is>
      </c>
      <c r="H492" s="32" t="inlineStr">
        <is>
          <t xml:space="preserve">Post </t>
        </is>
      </c>
      <c r="I492" s="530">
        <f>IF(LEN(A492)=5,E492,0)</f>
        <v/>
      </c>
      <c r="J492" s="531">
        <f>IF(LEFT(A492,11)="Tài khoản: ",MID(A492,12,5),J491)</f>
        <v/>
      </c>
    </row>
    <row r="493">
      <c r="A493" s="30" t="n">
        <v>46295</v>
      </c>
      <c r="B493" s="31" t="inlineStr">
        <is>
          <t>'2855</t>
        </is>
      </c>
      <c r="C493" s="32" t="inlineStr">
        <is>
          <t>GL</t>
        </is>
      </c>
      <c r="D493" s="19" t="inlineStr">
        <is>
          <t>Kê khai VAT đầu vào (XDCB) tháng 9.2026 hóa đơn BIDV số 26746/14.09.26</t>
        </is>
      </c>
      <c r="E493" s="500" t="n">
        <v>5000</v>
      </c>
      <c r="F493" s="499" t="n"/>
      <c r="G493" s="32" t="inlineStr">
        <is>
          <t>LINH3NTT.HCM.VTA</t>
        </is>
      </c>
      <c r="H493" s="32" t="inlineStr">
        <is>
          <t xml:space="preserve">Post </t>
        </is>
      </c>
      <c r="I493" s="530">
        <f>IF(LEN(A493)=5,E493,0)</f>
        <v/>
      </c>
      <c r="J493" s="531">
        <f>IF(LEFT(A493,11)="Tài khoản: ",MID(A493,12,5),J492)</f>
        <v/>
      </c>
    </row>
    <row r="494">
      <c r="A494" s="30" t="n">
        <v>46295</v>
      </c>
      <c r="B494" s="31" t="inlineStr">
        <is>
          <t>'3123</t>
        </is>
      </c>
      <c r="C494" s="32" t="inlineStr">
        <is>
          <t>GL</t>
        </is>
      </c>
      <c r="D494" s="19" t="inlineStr">
        <is>
          <t>Kê khai thuế GTGT hóa đơn 45/13.07.25- cty IN.CI.VI</t>
        </is>
      </c>
      <c r="E494" s="500" t="n">
        <v>3555556</v>
      </c>
      <c r="F494" s="499" t="n"/>
      <c r="G494" s="32" t="inlineStr">
        <is>
          <t>HIENNTK.HCM.VTA</t>
        </is>
      </c>
      <c r="H494" s="32" t="inlineStr">
        <is>
          <t xml:space="preserve">Post </t>
        </is>
      </c>
      <c r="I494" s="530">
        <f>IF(LEN(A494)=5,E494,0)</f>
        <v/>
      </c>
      <c r="J494" s="531">
        <f>IF(LEFT(A494,11)="Tài khoản: ",MID(A494,12,5),J493)</f>
        <v/>
      </c>
    </row>
    <row r="495">
      <c r="A495" s="30" t="n">
        <v>46295</v>
      </c>
      <c r="B495" s="31" t="inlineStr">
        <is>
          <t>'3123</t>
        </is>
      </c>
      <c r="C495" s="32" t="inlineStr">
        <is>
          <t>GL</t>
        </is>
      </c>
      <c r="D495" s="19" t="inlineStr">
        <is>
          <t>Kê khai thuế GTGT hóa đơn 46/13.07.25- cty IN.CI.VI</t>
        </is>
      </c>
      <c r="E495" s="500" t="n">
        <v>3555556</v>
      </c>
      <c r="F495" s="499" t="n"/>
      <c r="G495" s="32" t="inlineStr">
        <is>
          <t>HIENNTK.HCM.VTA</t>
        </is>
      </c>
      <c r="H495" s="32" t="inlineStr">
        <is>
          <t xml:space="preserve">Post </t>
        </is>
      </c>
      <c r="I495" s="530">
        <f>IF(LEN(A495)=5,E495,0)</f>
        <v/>
      </c>
      <c r="J495" s="531">
        <f>IF(LEFT(A495,11)="Tài khoản: ",MID(A495,12,5),J494)</f>
        <v/>
      </c>
    </row>
    <row r="496">
      <c r="A496" s="30" t="n">
        <v>46295</v>
      </c>
      <c r="B496" s="31" t="inlineStr">
        <is>
          <t>'3123</t>
        </is>
      </c>
      <c r="C496" s="32" t="inlineStr">
        <is>
          <t>GL</t>
        </is>
      </c>
      <c r="D496" s="19" t="inlineStr">
        <is>
          <t>Kê khai thuế GTGT hóa đơn 43/03.07.25- cty IN.CI.VI</t>
        </is>
      </c>
      <c r="E496" s="500" t="n">
        <v>3555556</v>
      </c>
      <c r="F496" s="499" t="n"/>
      <c r="G496" s="32" t="inlineStr">
        <is>
          <t>HIENNTK.HCM.VTA</t>
        </is>
      </c>
      <c r="H496" s="32" t="inlineStr">
        <is>
          <t xml:space="preserve">Post </t>
        </is>
      </c>
      <c r="I496" s="530">
        <f>IF(LEN(A496)=5,E496,0)</f>
        <v/>
      </c>
      <c r="J496" s="531">
        <f>IF(LEFT(A496,11)="Tài khoản: ",MID(A496,12,5),J495)</f>
        <v/>
      </c>
    </row>
    <row r="497">
      <c r="A497" s="30" t="n">
        <v>46295</v>
      </c>
      <c r="B497" s="31" t="inlineStr">
        <is>
          <t>'3123</t>
        </is>
      </c>
      <c r="C497" s="32" t="inlineStr">
        <is>
          <t>GL</t>
        </is>
      </c>
      <c r="D497" s="19" t="inlineStr">
        <is>
          <t>Kê khai thuế GTGT tháng 9 CT ĐTXD</t>
        </is>
      </c>
      <c r="E497" s="500" t="n"/>
      <c r="F497" s="499" t="n">
        <v>27831187</v>
      </c>
      <c r="G497" s="32" t="inlineStr">
        <is>
          <t>HIENNTK.HCM.VTA</t>
        </is>
      </c>
      <c r="H497" s="32" t="inlineStr">
        <is>
          <t xml:space="preserve">Post </t>
        </is>
      </c>
      <c r="I497" s="530">
        <f>IF(LEN(A497)=5,E497,0)</f>
        <v/>
      </c>
      <c r="J497" s="531">
        <f>IF(LEFT(A497,11)="Tài khoản: ",MID(A497,12,5),J496)</f>
        <v/>
      </c>
    </row>
    <row r="498">
      <c r="A498" s="30" t="n">
        <v>46295</v>
      </c>
      <c r="B498" s="31" t="inlineStr">
        <is>
          <t>'3123</t>
        </is>
      </c>
      <c r="C498" s="32" t="inlineStr">
        <is>
          <t>GL</t>
        </is>
      </c>
      <c r="D498" s="19" t="inlineStr">
        <is>
          <t>Kê khai thuế GTGT hóa đơn 263/25.06.25- cty ATAX</t>
        </is>
      </c>
      <c r="E498" s="500" t="n">
        <v>8222222</v>
      </c>
      <c r="F498" s="499" t="n"/>
      <c r="G498" s="32" t="inlineStr">
        <is>
          <t>HIENNTK.HCM.VTA</t>
        </is>
      </c>
      <c r="H498" s="32" t="inlineStr">
        <is>
          <t xml:space="preserve">Post </t>
        </is>
      </c>
      <c r="I498" s="530">
        <f>IF(LEN(A498)=5,E498,0)</f>
        <v/>
      </c>
      <c r="J498" s="531">
        <f>IF(LEFT(A498,11)="Tài khoản: ",MID(A498,12,5),J497)</f>
        <v/>
      </c>
    </row>
    <row r="499">
      <c r="A499" s="30" t="n">
        <v>46295</v>
      </c>
      <c r="B499" s="31" t="inlineStr">
        <is>
          <t>'3123</t>
        </is>
      </c>
      <c r="C499" s="32" t="inlineStr">
        <is>
          <t>GL</t>
        </is>
      </c>
      <c r="D499" s="19" t="inlineStr">
        <is>
          <t>Kê khai thuế GTGT hóa đơn 132/18.08.25- cty PNT</t>
        </is>
      </c>
      <c r="E499" s="500" t="n">
        <v>5386741</v>
      </c>
      <c r="F499" s="499" t="n"/>
      <c r="G499" s="32" t="inlineStr">
        <is>
          <t>HIENNTK.HCM.VTA</t>
        </is>
      </c>
      <c r="H499" s="32" t="inlineStr">
        <is>
          <t xml:space="preserve">Post </t>
        </is>
      </c>
      <c r="I499" s="530">
        <f>IF(LEN(A499)=5,E499,0)</f>
        <v/>
      </c>
      <c r="J499" s="531">
        <f>IF(LEFT(A499,11)="Tài khoản: ",MID(A499,12,5),J498)</f>
        <v/>
      </c>
    </row>
    <row r="500">
      <c r="A500" s="30" t="n">
        <v>46295</v>
      </c>
      <c r="B500" s="31" t="inlineStr">
        <is>
          <t>'3123</t>
        </is>
      </c>
      <c r="C500" s="32" t="inlineStr">
        <is>
          <t>GL</t>
        </is>
      </c>
      <c r="D500" s="19" t="inlineStr">
        <is>
          <t>Kê khai thuế GTGT hóa đơn 44/03.07.25- cty IN.CI.VI</t>
        </is>
      </c>
      <c r="E500" s="500" t="n">
        <v>3555556</v>
      </c>
      <c r="F500" s="499" t="n"/>
      <c r="G500" s="32" t="inlineStr">
        <is>
          <t>HIENNTK.HCM.VTA</t>
        </is>
      </c>
      <c r="H500" s="32" t="inlineStr">
        <is>
          <t xml:space="preserve">Post </t>
        </is>
      </c>
      <c r="I500" s="530">
        <f>IF(LEN(A500)=5,E500,0)</f>
        <v/>
      </c>
      <c r="J500" s="531">
        <f>IF(LEFT(A500,11)="Tài khoản: ",MID(A500,12,5),J499)</f>
        <v/>
      </c>
    </row>
    <row r="501">
      <c r="A501" s="30" t="n">
        <v>46295</v>
      </c>
      <c r="B501" s="31" t="inlineStr">
        <is>
          <t>'3193</t>
        </is>
      </c>
      <c r="C501" s="32" t="inlineStr">
        <is>
          <t>GL</t>
        </is>
      </c>
      <c r="D501" s="19" t="inlineStr">
        <is>
          <t>K/c thuế GTGT từ 1333 về 3331 tháng 9/2026</t>
        </is>
      </c>
      <c r="E501" s="500" t="n"/>
      <c r="F501" s="499" t="n">
        <v>54072000</v>
      </c>
      <c r="G501" s="32" t="inlineStr">
        <is>
          <t>TUAN2HM.HCM.VTA</t>
        </is>
      </c>
      <c r="H501" s="32" t="inlineStr">
        <is>
          <t xml:space="preserve">Unpost </t>
        </is>
      </c>
      <c r="I501" s="530">
        <f>IF(LEN(A501)=5,E501,0)</f>
        <v/>
      </c>
      <c r="J501" s="531">
        <f>IF(LEFT(A501,11)="Tài khoản: ",MID(A501,12,5),J500)</f>
        <v/>
      </c>
    </row>
    <row r="502">
      <c r="A502" s="30" t="n"/>
      <c r="B502" s="31" t="n"/>
      <c r="C502" s="32" t="n"/>
      <c r="D502" s="19" t="inlineStr">
        <is>
          <t xml:space="preserve">Cộng phát sinh </t>
        </is>
      </c>
      <c r="E502" s="500" t="n">
        <v>82013214</v>
      </c>
      <c r="F502" s="499" t="n">
        <v>82013214</v>
      </c>
      <c r="G502" s="32" t="n"/>
      <c r="H502" s="32" t="n"/>
      <c r="I502" s="530">
        <f>IF(LEN(A502)=5,E502,0)</f>
        <v/>
      </c>
      <c r="J502" s="531">
        <f>IF(LEFT(A502,11)="Tài khoản: ",MID(A502,12,5),J501)</f>
        <v/>
      </c>
    </row>
    <row r="503">
      <c r="A503" s="30" t="n"/>
      <c r="B503" s="31" t="n"/>
      <c r="C503" s="32" t="n"/>
      <c r="D503" s="19" t="inlineStr">
        <is>
          <t xml:space="preserve">Dư cuối kỳ  </t>
        </is>
      </c>
      <c r="E503" s="500" t="n"/>
      <c r="F503" s="499" t="n"/>
      <c r="G503" s="32" t="n"/>
      <c r="H503" s="32" t="n"/>
      <c r="I503" s="530">
        <f>IF(LEN(A503)=5,E503,0)</f>
        <v/>
      </c>
      <c r="J503" s="531">
        <f>IF(LEFT(A503,11)="Tài khoản: ",MID(A503,12,5),J502)</f>
        <v/>
      </c>
    </row>
    <row r="504">
      <c r="A504" s="30" t="n"/>
      <c r="B504" s="31" t="n"/>
      <c r="C504" s="32" t="n"/>
      <c r="D504" s="19" t="inlineStr">
        <is>
          <t xml:space="preserve">Tổng Dư đầu kỳ </t>
        </is>
      </c>
      <c r="E504" s="500" t="n">
        <v>60549888887</v>
      </c>
      <c r="F504" s="499" t="n"/>
      <c r="G504" s="32" t="n"/>
      <c r="H504" s="32" t="n"/>
      <c r="I504" s="530">
        <f>IF(LEN(A504)=5,E504,0)</f>
        <v/>
      </c>
      <c r="J504" s="531">
        <f>IF(LEFT(A504,11)="Tài khoản: ",MID(A504,12,5),J503)</f>
        <v/>
      </c>
    </row>
    <row r="505">
      <c r="A505" s="30" t="n"/>
      <c r="B505" s="31" t="n"/>
      <c r="C505" s="32" t="n"/>
      <c r="D505" s="19" t="inlineStr">
        <is>
          <t xml:space="preserve">Tổng Cộng phát sinh  </t>
        </is>
      </c>
      <c r="E505" s="500" t="n">
        <v>102568918647</v>
      </c>
      <c r="F505" s="499" t="n">
        <v>102568918647</v>
      </c>
      <c r="G505" s="32" t="n"/>
      <c r="H505" s="32" t="n"/>
      <c r="I505" s="530">
        <f>IF(LEN(A505)=5,E505,0)</f>
        <v/>
      </c>
      <c r="J505" s="531">
        <f>IF(LEFT(A505,11)="Tài khoản: ",MID(A505,12,5),J504)</f>
        <v/>
      </c>
    </row>
    <row r="506">
      <c r="A506" s="30" t="n"/>
      <c r="B506" s="31" t="n"/>
      <c r="C506" s="32" t="n"/>
      <c r="D506" s="19" t="inlineStr">
        <is>
          <t xml:space="preserve">Tổng Dư cuối kỳ </t>
        </is>
      </c>
      <c r="E506" s="500" t="n">
        <v>60549888887</v>
      </c>
      <c r="F506" s="499" t="n"/>
      <c r="G506" s="32" t="n"/>
      <c r="H506" s="32" t="n"/>
      <c r="I506" s="530">
        <f>IF(LEN(A506)=5,E506,0)</f>
        <v/>
      </c>
      <c r="J506" s="531">
        <f>IF(LEFT(A506,11)="Tài khoản: ",MID(A506,12,5),J505)</f>
        <v/>
      </c>
    </row>
    <row r="507">
      <c r="A507" s="30" t="n"/>
      <c r="B507" s="31" t="n"/>
      <c r="C507" s="32" t="n"/>
      <c r="D507" s="19" t="n"/>
      <c r="E507" s="500" t="n"/>
      <c r="F507" s="499" t="n"/>
      <c r="G507" s="32" t="n"/>
      <c r="H507" s="32" t="n"/>
      <c r="I507" s="530">
        <f>IF(LEN(A507)=5,E507,0)</f>
        <v/>
      </c>
      <c r="J507" s="531">
        <f>IF(LEFT(A507,11)="Tài khoản: ",MID(A507,12,5),J506)</f>
        <v/>
      </c>
    </row>
    <row r="508">
      <c r="A508" s="30" t="inlineStr">
        <is>
          <t>TP. Hồ Chí Minh, ngày ..... tháng ..... năm ..........</t>
        </is>
      </c>
      <c r="B508" s="31" t="n"/>
      <c r="C508" s="32" t="n"/>
      <c r="D508" s="19" t="n"/>
      <c r="E508" s="500" t="n"/>
      <c r="F508" s="499" t="n"/>
      <c r="G508" s="32" t="n"/>
      <c r="H508" s="32" t="n"/>
      <c r="I508" s="530">
        <f>IF(LEN(A508)=5,E508,0)</f>
        <v/>
      </c>
      <c r="J508" s="531">
        <f>IF(LEFT(A508,11)="Tài khoản: ",MID(A508,12,5),J507)</f>
        <v/>
      </c>
    </row>
    <row r="509">
      <c r="A509" s="30" t="n"/>
      <c r="B509" s="31" t="n"/>
      <c r="C509" s="32" t="n"/>
      <c r="D509" s="19" t="n"/>
      <c r="E509" s="500" t="n"/>
      <c r="F509" s="499" t="n"/>
      <c r="G509" s="32" t="n"/>
      <c r="H509" s="32" t="n"/>
      <c r="I509" s="530">
        <f>IF(LEN(A509)=5,E509,0)</f>
        <v/>
      </c>
      <c r="J509" s="531">
        <f>IF(LEFT(A509,11)="Tài khoản: ",MID(A509,12,5),J508)</f>
        <v/>
      </c>
    </row>
    <row r="510">
      <c r="A510" s="30" t="n"/>
      <c r="B510" s="31" t="n"/>
      <c r="C510" s="32" t="n"/>
      <c r="D510" s="19" t="n"/>
      <c r="E510" s="500" t="n"/>
      <c r="F510" s="499" t="n"/>
      <c r="G510" s="32" t="n"/>
      <c r="H510" s="32" t="n"/>
      <c r="I510" s="530">
        <f>IF(LEN(A510)=5,E510,0)</f>
        <v/>
      </c>
      <c r="J510" s="531">
        <f>IF(LEFT(A510,11)="Tài khoản: ",MID(A510,12,5),J509)</f>
        <v/>
      </c>
    </row>
    <row r="511">
      <c r="A511" s="30" t="inlineStr">
        <is>
          <t>EVN_TA_030, người in: TUAN2HM.HCM.VTA, ngày in: 07/10/2026 15:06:18.</t>
        </is>
      </c>
      <c r="B511" s="31" t="n"/>
      <c r="C511" s="32" t="n"/>
      <c r="D511" s="19" t="n"/>
      <c r="E511" s="500" t="n"/>
      <c r="F511" s="499" t="n"/>
      <c r="G511" s="32" t="n"/>
      <c r="H511" s="32" t="n"/>
      <c r="I511" s="530">
        <f>IF(LEN(A511)=5,E511,0)</f>
        <v/>
      </c>
      <c r="J511" s="531">
        <f>IF(LEFT(A511,11)="Tài khoản: ",MID(A511,12,5),J510)</f>
        <v/>
      </c>
    </row>
    <row r="512">
      <c r="A512" s="30" t="n"/>
      <c r="B512" s="31" t="n"/>
      <c r="C512" s="32" t="n"/>
      <c r="D512" s="19" t="n"/>
      <c r="E512" s="500" t="n"/>
      <c r="F512" s="499" t="n"/>
      <c r="G512" s="32" t="n"/>
      <c r="H512" s="32" t="n"/>
      <c r="I512" s="530" t="n"/>
      <c r="J512" s="531" t="n"/>
    </row>
    <row r="513">
      <c r="A513" s="30" t="n"/>
      <c r="B513" s="31" t="n"/>
      <c r="C513" s="32" t="n"/>
      <c r="D513" s="19" t="n"/>
      <c r="E513" s="500" t="n"/>
      <c r="F513" s="499" t="n"/>
      <c r="G513" s="32" t="n"/>
      <c r="H513" s="32" t="n"/>
      <c r="I513" s="530" t="n"/>
      <c r="J513" s="531" t="n"/>
    </row>
    <row r="514">
      <c r="A514" s="30" t="n"/>
      <c r="B514" s="31" t="n"/>
      <c r="C514" s="32" t="n"/>
      <c r="D514" s="19" t="n"/>
      <c r="E514" s="500" t="n"/>
      <c r="F514" s="499" t="n"/>
      <c r="G514" s="32" t="n"/>
      <c r="H514" s="32" t="n"/>
      <c r="I514" s="530" t="n"/>
      <c r="J514" s="531" t="n"/>
    </row>
    <row r="515">
      <c r="A515" s="30" t="n"/>
      <c r="B515" s="31" t="n"/>
      <c r="C515" s="32" t="n"/>
      <c r="D515" s="19" t="n"/>
      <c r="E515" s="500" t="n"/>
      <c r="F515" s="499" t="n"/>
      <c r="G515" s="32" t="n"/>
      <c r="H515" s="32" t="n"/>
      <c r="I515" s="530" t="n"/>
      <c r="J515" s="531" t="n"/>
    </row>
    <row r="516">
      <c r="A516" s="30" t="n"/>
      <c r="B516" s="31" t="n"/>
      <c r="C516" s="32" t="n"/>
      <c r="D516" s="19" t="n"/>
      <c r="E516" s="500" t="n"/>
      <c r="F516" s="499" t="n"/>
      <c r="G516" s="32" t="n"/>
      <c r="H516" s="32" t="n"/>
      <c r="I516" s="530" t="n"/>
      <c r="J516" s="531" t="n"/>
    </row>
    <row r="517">
      <c r="A517" s="30" t="n"/>
      <c r="B517" s="31" t="n"/>
      <c r="C517" s="32" t="n"/>
      <c r="D517" s="19" t="n"/>
      <c r="E517" s="500" t="n"/>
      <c r="F517" s="499" t="n"/>
      <c r="G517" s="32" t="n"/>
      <c r="H517" s="32" t="n"/>
      <c r="I517" s="530" t="n"/>
      <c r="J517" s="531" t="n"/>
    </row>
    <row r="518">
      <c r="A518" s="30" t="n"/>
      <c r="B518" s="31" t="n"/>
      <c r="C518" s="32" t="n"/>
      <c r="D518" s="19" t="n"/>
      <c r="E518" s="500" t="n"/>
      <c r="F518" s="499" t="n"/>
      <c r="G518" s="32" t="n"/>
      <c r="H518" s="32" t="n"/>
      <c r="I518" s="530" t="n"/>
      <c r="J518" s="531" t="n"/>
    </row>
    <row r="519">
      <c r="A519" s="30" t="n"/>
      <c r="B519" s="31" t="n"/>
      <c r="C519" s="32" t="n"/>
      <c r="D519" s="19" t="n"/>
      <c r="E519" s="500" t="n"/>
      <c r="F519" s="499" t="n"/>
      <c r="G519" s="32" t="n"/>
      <c r="H519" s="32" t="n"/>
      <c r="I519" s="530" t="n"/>
      <c r="J519" s="531" t="n"/>
    </row>
    <row r="520">
      <c r="A520" s="30" t="n"/>
      <c r="B520" s="31" t="n"/>
      <c r="C520" s="32" t="n"/>
      <c r="D520" s="19" t="n"/>
      <c r="E520" s="500" t="n"/>
      <c r="F520" s="499" t="n"/>
      <c r="G520" s="32" t="n"/>
      <c r="H520" s="32" t="n"/>
      <c r="I520" s="530" t="n"/>
      <c r="J520" s="531" t="n"/>
    </row>
    <row r="521">
      <c r="A521" s="30" t="n"/>
      <c r="B521" s="31" t="n"/>
      <c r="C521" s="32" t="n"/>
      <c r="D521" s="19" t="n"/>
      <c r="E521" s="500" t="n"/>
      <c r="F521" s="499" t="n"/>
      <c r="G521" s="32" t="n"/>
      <c r="H521" s="32" t="n"/>
      <c r="I521" s="530" t="n"/>
      <c r="J521" s="531" t="n"/>
    </row>
    <row r="522">
      <c r="A522" s="30" t="n"/>
      <c r="B522" s="31" t="n"/>
      <c r="C522" s="32" t="n"/>
      <c r="D522" s="19" t="n"/>
      <c r="E522" s="500" t="n"/>
      <c r="F522" s="499" t="n"/>
      <c r="G522" s="32" t="n"/>
      <c r="H522" s="32" t="n"/>
      <c r="I522" s="530" t="n"/>
      <c r="J522" s="531" t="n"/>
    </row>
    <row r="523">
      <c r="A523" s="30" t="n"/>
      <c r="B523" s="31" t="n"/>
      <c r="C523" s="32" t="n"/>
      <c r="D523" s="19" t="n"/>
      <c r="E523" s="500" t="n"/>
      <c r="F523" s="499" t="n"/>
      <c r="G523" s="32" t="n"/>
      <c r="H523" s="32" t="n"/>
      <c r="I523" s="530" t="n"/>
      <c r="J523" s="531" t="n"/>
    </row>
    <row r="524">
      <c r="A524" s="30" t="n"/>
      <c r="B524" s="31" t="n"/>
      <c r="C524" s="32" t="n"/>
      <c r="D524" s="19" t="n"/>
      <c r="E524" s="500" t="n"/>
      <c r="F524" s="499" t="n"/>
      <c r="G524" s="32" t="n"/>
      <c r="H524" s="32" t="n"/>
      <c r="I524" s="530" t="n"/>
      <c r="J524" s="531" t="n"/>
    </row>
    <row r="525">
      <c r="A525" s="30" t="n"/>
      <c r="B525" s="31" t="n"/>
      <c r="C525" s="32" t="n"/>
      <c r="D525" s="19" t="n"/>
      <c r="E525" s="500" t="n"/>
      <c r="F525" s="499" t="n"/>
      <c r="G525" s="32" t="n"/>
      <c r="H525" s="32" t="n"/>
      <c r="I525" s="530" t="n"/>
      <c r="J525" s="531" t="n"/>
    </row>
    <row r="526">
      <c r="A526" s="30" t="n"/>
      <c r="B526" s="31" t="n"/>
      <c r="C526" s="32" t="n"/>
      <c r="D526" s="19" t="n"/>
      <c r="E526" s="500" t="n"/>
      <c r="F526" s="499" t="n"/>
      <c r="G526" s="32" t="n"/>
      <c r="H526" s="32" t="n"/>
      <c r="I526" s="530" t="n"/>
      <c r="J526" s="531" t="n"/>
    </row>
    <row r="527">
      <c r="A527" s="30" t="n"/>
      <c r="B527" s="31" t="n"/>
      <c r="C527" s="32" t="n"/>
      <c r="D527" s="19" t="n"/>
      <c r="E527" s="500" t="n"/>
      <c r="F527" s="499" t="n"/>
      <c r="G527" s="32" t="n"/>
      <c r="H527" s="32" t="n"/>
      <c r="I527" s="530" t="n"/>
      <c r="J527" s="531" t="n"/>
    </row>
    <row r="528">
      <c r="A528" s="30" t="n"/>
      <c r="B528" s="31" t="n"/>
      <c r="C528" s="32" t="n"/>
      <c r="D528" s="19" t="n"/>
      <c r="E528" s="500" t="n"/>
      <c r="F528" s="499" t="n"/>
      <c r="G528" s="32" t="n"/>
      <c r="H528" s="32" t="n"/>
      <c r="I528" s="530" t="n"/>
      <c r="J528" s="531" t="n"/>
    </row>
    <row r="529">
      <c r="A529" s="30" t="n"/>
      <c r="B529" s="31" t="n"/>
      <c r="C529" s="32" t="n"/>
      <c r="D529" s="19" t="n"/>
      <c r="E529" s="500" t="n"/>
      <c r="F529" s="499" t="n"/>
      <c r="G529" s="32" t="n"/>
      <c r="H529" s="32" t="n"/>
      <c r="I529" s="530" t="n"/>
      <c r="J529" s="531" t="n"/>
    </row>
    <row r="530">
      <c r="A530" s="30" t="n"/>
      <c r="B530" s="31" t="n"/>
      <c r="C530" s="32" t="n"/>
      <c r="D530" s="19" t="n"/>
      <c r="E530" s="500" t="n"/>
      <c r="F530" s="499" t="n"/>
      <c r="G530" s="32" t="n"/>
      <c r="H530" s="32" t="n"/>
      <c r="I530" s="530" t="n"/>
      <c r="J530" s="531" t="n"/>
    </row>
    <row r="531">
      <c r="A531" s="30" t="n"/>
      <c r="B531" s="31" t="n"/>
      <c r="C531" s="32" t="n"/>
      <c r="D531" s="19" t="n"/>
      <c r="E531" s="500" t="n"/>
      <c r="F531" s="499" t="n"/>
      <c r="G531" s="32" t="n"/>
      <c r="H531" s="32" t="n"/>
      <c r="I531" s="530" t="n"/>
      <c r="J531" s="531" t="n"/>
    </row>
    <row r="532">
      <c r="A532" s="30" t="n"/>
      <c r="B532" s="31" t="n"/>
      <c r="C532" s="32" t="n"/>
      <c r="D532" s="19" t="n"/>
      <c r="E532" s="500" t="n"/>
      <c r="F532" s="499" t="n"/>
      <c r="G532" s="32" t="n"/>
      <c r="H532" s="32" t="n"/>
      <c r="I532" s="530" t="n"/>
      <c r="J532" s="531" t="n"/>
    </row>
    <row r="533">
      <c r="A533" s="30" t="n"/>
      <c r="B533" s="31" t="n"/>
      <c r="C533" s="32" t="n"/>
      <c r="D533" s="19" t="n"/>
      <c r="E533" s="500" t="n"/>
      <c r="F533" s="499" t="n"/>
      <c r="G533" s="32" t="n"/>
      <c r="H533" s="32" t="n"/>
      <c r="I533" s="530" t="n"/>
      <c r="J533" s="531" t="n"/>
    </row>
    <row r="534">
      <c r="A534" s="30" t="n"/>
      <c r="B534" s="31" t="n"/>
      <c r="C534" s="32" t="n"/>
      <c r="D534" s="19" t="n"/>
      <c r="E534" s="500" t="n"/>
      <c r="F534" s="499" t="n"/>
      <c r="G534" s="32" t="n"/>
      <c r="H534" s="32" t="n"/>
      <c r="I534" s="530" t="n"/>
      <c r="J534" s="531" t="n"/>
    </row>
    <row r="535">
      <c r="A535" s="30" t="n"/>
      <c r="B535" s="31" t="n"/>
      <c r="C535" s="32" t="n"/>
      <c r="D535" s="19" t="n"/>
      <c r="E535" s="500" t="n"/>
      <c r="F535" s="499" t="n"/>
      <c r="G535" s="32" t="n"/>
      <c r="H535" s="32" t="n"/>
      <c r="I535" s="530" t="n"/>
      <c r="J535" s="531" t="n"/>
    </row>
    <row r="536">
      <c r="A536" s="30" t="n"/>
      <c r="B536" s="31" t="n"/>
      <c r="C536" s="32" t="n"/>
      <c r="D536" s="19" t="n"/>
      <c r="E536" s="500" t="n"/>
      <c r="F536" s="499" t="n"/>
      <c r="G536" s="32" t="n"/>
      <c r="H536" s="32" t="n"/>
      <c r="I536" s="530" t="n"/>
      <c r="J536" s="531" t="n"/>
    </row>
    <row r="537">
      <c r="A537" s="30" t="n"/>
      <c r="B537" s="31" t="n"/>
      <c r="C537" s="32" t="n"/>
      <c r="D537" s="19" t="n"/>
      <c r="E537" s="500" t="n"/>
      <c r="F537" s="499" t="n"/>
      <c r="G537" s="32" t="n"/>
      <c r="H537" s="32" t="n"/>
      <c r="I537" s="530" t="n"/>
      <c r="J537" s="531" t="n"/>
    </row>
    <row r="538">
      <c r="A538" s="30" t="n"/>
      <c r="B538" s="31" t="n"/>
      <c r="C538" s="32" t="n"/>
      <c r="D538" s="19" t="n"/>
      <c r="E538" s="500" t="n"/>
      <c r="F538" s="499" t="n"/>
      <c r="G538" s="32" t="n"/>
      <c r="H538" s="32" t="n"/>
      <c r="I538" s="530" t="n"/>
      <c r="J538" s="531" t="n"/>
    </row>
    <row r="539">
      <c r="A539" s="30" t="n"/>
      <c r="B539" s="31" t="n"/>
      <c r="C539" s="32" t="n"/>
      <c r="D539" s="19" t="n"/>
      <c r="E539" s="500" t="n"/>
      <c r="F539" s="499" t="n"/>
      <c r="G539" s="32" t="n"/>
      <c r="H539" s="32" t="n"/>
      <c r="I539" s="530" t="n"/>
      <c r="J539" s="531" t="n"/>
    </row>
    <row r="540">
      <c r="A540" s="30" t="n"/>
      <c r="B540" s="31" t="n"/>
      <c r="C540" s="32" t="n"/>
      <c r="D540" s="19" t="n"/>
      <c r="E540" s="500" t="n"/>
      <c r="F540" s="499" t="n"/>
      <c r="G540" s="32" t="n"/>
      <c r="H540" s="32" t="n"/>
      <c r="I540" s="530" t="n"/>
      <c r="J540" s="531" t="n"/>
    </row>
    <row r="541">
      <c r="A541" s="30" t="n"/>
      <c r="B541" s="31" t="n"/>
      <c r="C541" s="32" t="n"/>
      <c r="D541" s="19" t="n"/>
      <c r="E541" s="500" t="n"/>
      <c r="F541" s="499" t="n"/>
      <c r="G541" s="32" t="n"/>
      <c r="H541" s="32" t="n"/>
      <c r="I541" s="530" t="n"/>
      <c r="J541" s="531" t="n"/>
    </row>
    <row r="542">
      <c r="A542" s="30" t="n"/>
      <c r="B542" s="31" t="n"/>
      <c r="C542" s="32" t="n"/>
      <c r="D542" s="19" t="n"/>
      <c r="E542" s="500" t="n"/>
      <c r="F542" s="499" t="n"/>
      <c r="G542" s="32" t="n"/>
      <c r="H542" s="32" t="n"/>
      <c r="I542" s="530" t="n"/>
      <c r="J542" s="531" t="n"/>
    </row>
    <row r="543">
      <c r="A543" s="30" t="n"/>
      <c r="B543" s="31" t="n"/>
      <c r="C543" s="32" t="n"/>
      <c r="D543" s="19" t="n"/>
      <c r="E543" s="500" t="n"/>
      <c r="F543" s="499" t="n"/>
      <c r="G543" s="32" t="n"/>
      <c r="H543" s="32" t="n"/>
      <c r="I543" s="530" t="n"/>
      <c r="J543" s="531" t="n"/>
    </row>
    <row r="544">
      <c r="A544" s="30" t="n"/>
      <c r="B544" s="31" t="n"/>
      <c r="C544" s="32" t="n"/>
      <c r="D544" s="19" t="n"/>
      <c r="E544" s="500" t="n"/>
      <c r="F544" s="499" t="n"/>
      <c r="G544" s="32" t="n"/>
      <c r="H544" s="32" t="n"/>
      <c r="I544" s="530" t="n"/>
      <c r="J544" s="531" t="n"/>
    </row>
    <row r="545">
      <c r="A545" s="30" t="n"/>
      <c r="B545" s="31" t="n"/>
      <c r="C545" s="32" t="n"/>
      <c r="D545" s="19" t="n"/>
      <c r="E545" s="500" t="n"/>
      <c r="F545" s="499" t="n"/>
      <c r="G545" s="32" t="n"/>
      <c r="H545" s="32" t="n"/>
      <c r="I545" s="530" t="n"/>
      <c r="J545" s="531" t="n"/>
    </row>
    <row r="546">
      <c r="A546" s="30" t="n"/>
      <c r="B546" s="31" t="n"/>
      <c r="C546" s="32" t="n"/>
      <c r="D546" s="19" t="n"/>
      <c r="E546" s="500" t="n"/>
      <c r="F546" s="499" t="n"/>
      <c r="G546" s="32" t="n"/>
      <c r="H546" s="32" t="n"/>
      <c r="I546" s="530" t="n"/>
      <c r="J546" s="531" t="n"/>
    </row>
    <row r="547">
      <c r="A547" s="30" t="n"/>
      <c r="B547" s="31" t="n"/>
      <c r="C547" s="32" t="n"/>
      <c r="D547" s="19" t="n"/>
      <c r="E547" s="500" t="n"/>
      <c r="F547" s="499" t="n"/>
      <c r="G547" s="32" t="n"/>
      <c r="H547" s="32" t="n"/>
      <c r="I547" s="530" t="n"/>
      <c r="J547" s="531" t="n"/>
    </row>
    <row r="548">
      <c r="A548" s="30" t="n"/>
      <c r="B548" s="31" t="n"/>
      <c r="C548" s="32" t="n"/>
      <c r="D548" s="19" t="n"/>
      <c r="E548" s="500" t="n"/>
      <c r="F548" s="499" t="n"/>
      <c r="G548" s="32" t="n"/>
      <c r="H548" s="32" t="n"/>
      <c r="I548" s="530" t="n"/>
      <c r="J548" s="531" t="n"/>
    </row>
    <row r="549">
      <c r="A549" s="30" t="n"/>
      <c r="B549" s="31" t="n"/>
      <c r="C549" s="32" t="n"/>
      <c r="D549" s="19" t="n"/>
      <c r="E549" s="500" t="n"/>
      <c r="F549" s="499" t="n"/>
      <c r="G549" s="32" t="n"/>
      <c r="H549" s="32" t="n"/>
      <c r="I549" s="530" t="n"/>
      <c r="J549" s="531" t="n"/>
    </row>
    <row r="550">
      <c r="A550" s="30" t="n"/>
      <c r="B550" s="31" t="n"/>
      <c r="C550" s="32" t="n"/>
      <c r="D550" s="19" t="n"/>
      <c r="E550" s="500" t="n"/>
      <c r="F550" s="499" t="n"/>
      <c r="G550" s="32" t="n"/>
      <c r="H550" s="32" t="n"/>
      <c r="I550" s="530" t="n"/>
      <c r="J550" s="531" t="n"/>
    </row>
    <row r="551">
      <c r="A551" s="30" t="n"/>
      <c r="B551" s="31" t="n"/>
      <c r="C551" s="32" t="n"/>
      <c r="D551" s="19" t="n"/>
      <c r="E551" s="500" t="n"/>
      <c r="F551" s="499" t="n"/>
      <c r="G551" s="32" t="n"/>
      <c r="H551" s="32" t="n"/>
      <c r="I551" s="530" t="n"/>
      <c r="J551" s="531" t="n"/>
    </row>
    <row r="552">
      <c r="A552" s="30" t="n"/>
      <c r="B552" s="31" t="n"/>
      <c r="C552" s="32" t="n"/>
      <c r="D552" s="19" t="n"/>
      <c r="E552" s="500" t="n"/>
      <c r="F552" s="499" t="n"/>
      <c r="G552" s="32" t="n"/>
      <c r="H552" s="32" t="n"/>
      <c r="I552" s="530" t="n"/>
      <c r="J552" s="531" t="n"/>
    </row>
    <row r="553">
      <c r="A553" s="30" t="n"/>
      <c r="B553" s="31" t="n"/>
      <c r="C553" s="32" t="n"/>
      <c r="D553" s="19" t="n"/>
      <c r="E553" s="500" t="n"/>
      <c r="F553" s="499" t="n"/>
      <c r="G553" s="32" t="n"/>
      <c r="H553" s="32" t="n"/>
      <c r="I553" s="530" t="n"/>
      <c r="J553" s="531" t="n"/>
    </row>
    <row r="554">
      <c r="A554" s="30" t="n"/>
      <c r="B554" s="31" t="n"/>
      <c r="C554" s="32" t="n"/>
      <c r="D554" s="19" t="n"/>
      <c r="E554" s="500" t="n"/>
      <c r="F554" s="499" t="n"/>
      <c r="G554" s="32" t="n"/>
      <c r="H554" s="32" t="n"/>
      <c r="I554" s="530" t="n"/>
      <c r="J554" s="531" t="n"/>
      <c r="K554" s="51" t="inlineStr">
        <is>
          <t>x</t>
        </is>
      </c>
    </row>
    <row r="555">
      <c r="A555" s="30" t="n"/>
      <c r="B555" s="31" t="n"/>
      <c r="C555" s="32" t="n"/>
      <c r="D555" s="19" t="n"/>
      <c r="E555" s="500" t="n"/>
      <c r="F555" s="499" t="n"/>
      <c r="G555" s="32" t="n"/>
      <c r="H555" s="32" t="n"/>
      <c r="I555" s="530" t="n"/>
      <c r="J555" s="531" t="n"/>
    </row>
    <row r="556">
      <c r="A556" s="30" t="n"/>
      <c r="B556" s="31" t="n"/>
      <c r="C556" s="32" t="n"/>
      <c r="D556" s="19" t="n"/>
      <c r="E556" s="500" t="n"/>
      <c r="F556" s="499" t="n"/>
      <c r="G556" s="32" t="n"/>
      <c r="H556" s="32" t="n"/>
      <c r="I556" s="530" t="n"/>
      <c r="J556" s="531" t="n"/>
    </row>
    <row r="557">
      <c r="A557" s="30" t="n"/>
      <c r="B557" s="31" t="n"/>
      <c r="C557" s="32" t="n"/>
      <c r="D557" s="19" t="n"/>
      <c r="E557" s="500" t="n"/>
      <c r="F557" s="499" t="n"/>
      <c r="G557" s="32" t="n"/>
      <c r="H557" s="32" t="n"/>
      <c r="I557" s="530" t="n"/>
      <c r="J557" s="531" t="n"/>
    </row>
    <row r="558">
      <c r="A558" s="30" t="n"/>
      <c r="B558" s="31" t="n"/>
      <c r="C558" s="32" t="n"/>
      <c r="D558" s="19" t="n"/>
      <c r="E558" s="500" t="n"/>
      <c r="F558" s="499" t="n"/>
      <c r="G558" s="32" t="n"/>
      <c r="H558" s="32" t="n"/>
      <c r="I558" s="530" t="n"/>
      <c r="J558" s="531" t="n"/>
    </row>
    <row r="559">
      <c r="A559" s="30" t="n"/>
      <c r="B559" s="31" t="n"/>
      <c r="C559" s="32" t="n"/>
      <c r="D559" s="19" t="n"/>
      <c r="E559" s="500" t="n"/>
      <c r="F559" s="499" t="n"/>
      <c r="G559" s="32" t="n"/>
      <c r="H559" s="32" t="n"/>
      <c r="I559" s="530" t="n"/>
      <c r="J559" s="531" t="n"/>
    </row>
    <row r="560">
      <c r="A560" s="30" t="n"/>
      <c r="B560" s="31" t="n"/>
      <c r="C560" s="32" t="n"/>
      <c r="D560" s="19" t="n"/>
      <c r="E560" s="500" t="n"/>
      <c r="F560" s="499" t="n"/>
      <c r="G560" s="32" t="n"/>
      <c r="H560" s="32" t="n"/>
      <c r="I560" s="530" t="n"/>
      <c r="J560" s="531" t="n"/>
    </row>
    <row r="561">
      <c r="A561" s="30" t="n"/>
      <c r="B561" s="31" t="n"/>
      <c r="C561" s="32" t="n"/>
      <c r="D561" s="19" t="n"/>
      <c r="E561" s="500" t="n"/>
      <c r="F561" s="499" t="n"/>
      <c r="G561" s="32" t="n"/>
      <c r="H561" s="32" t="n"/>
      <c r="I561" s="530" t="n"/>
      <c r="J561" s="531" t="n"/>
    </row>
    <row r="562">
      <c r="A562" s="30" t="n"/>
      <c r="B562" s="31" t="n"/>
      <c r="C562" s="32" t="n"/>
      <c r="D562" s="19" t="n"/>
      <c r="E562" s="500" t="n"/>
      <c r="F562" s="499" t="n"/>
      <c r="G562" s="32" t="n"/>
      <c r="H562" s="32" t="n"/>
      <c r="I562" s="530" t="n"/>
      <c r="J562" s="531" t="n"/>
    </row>
    <row r="563">
      <c r="A563" s="30" t="n"/>
      <c r="B563" s="31" t="n"/>
      <c r="C563" s="32" t="n"/>
      <c r="D563" s="19" t="n"/>
      <c r="E563" s="500" t="n"/>
      <c r="F563" s="499" t="n"/>
      <c r="G563" s="32" t="n"/>
      <c r="H563" s="32" t="n"/>
      <c r="I563" s="530" t="n"/>
      <c r="J563" s="531" t="n"/>
    </row>
    <row r="564">
      <c r="A564" s="30" t="n"/>
      <c r="B564" s="31" t="n"/>
      <c r="C564" s="32" t="n"/>
      <c r="D564" s="19" t="n"/>
      <c r="E564" s="500" t="n"/>
      <c r="F564" s="499" t="n"/>
      <c r="G564" s="32" t="n"/>
      <c r="H564" s="32" t="n"/>
      <c r="I564" s="530" t="n"/>
      <c r="J564" s="531" t="n"/>
    </row>
    <row r="565">
      <c r="A565" s="30" t="n"/>
      <c r="B565" s="31" t="n"/>
      <c r="C565" s="32" t="n"/>
      <c r="D565" s="19" t="n"/>
      <c r="E565" s="500" t="n"/>
      <c r="F565" s="499" t="n"/>
      <c r="G565" s="32" t="n"/>
      <c r="H565" s="32" t="n"/>
      <c r="I565" s="530" t="n"/>
      <c r="J565" s="531" t="n"/>
    </row>
    <row r="566">
      <c r="A566" s="30" t="n"/>
      <c r="B566" s="31" t="n"/>
      <c r="C566" s="32" t="n"/>
      <c r="D566" s="19" t="n"/>
      <c r="E566" s="500" t="n"/>
      <c r="F566" s="499" t="n"/>
      <c r="G566" s="32" t="n"/>
      <c r="H566" s="32" t="n"/>
      <c r="I566" s="530" t="n"/>
      <c r="J566" s="531" t="n"/>
    </row>
    <row r="567">
      <c r="A567" s="30" t="n"/>
      <c r="B567" s="31" t="n"/>
      <c r="C567" s="32" t="n"/>
      <c r="D567" s="19" t="n"/>
      <c r="E567" s="500" t="n"/>
      <c r="F567" s="499" t="n"/>
      <c r="G567" s="32" t="n"/>
      <c r="H567" s="32" t="n"/>
      <c r="I567" s="530" t="n"/>
      <c r="J567" s="531" t="n"/>
    </row>
    <row r="568">
      <c r="A568" s="30" t="n"/>
      <c r="B568" s="31" t="n"/>
      <c r="C568" s="32" t="n"/>
      <c r="D568" s="19" t="n"/>
      <c r="E568" s="500" t="n"/>
      <c r="F568" s="499" t="n"/>
      <c r="G568" s="32" t="n"/>
      <c r="H568" s="32" t="n"/>
      <c r="I568" s="530" t="n"/>
      <c r="J568" s="531" t="n"/>
    </row>
    <row r="569">
      <c r="A569" s="30" t="n"/>
      <c r="B569" s="31" t="n"/>
      <c r="C569" s="32" t="n"/>
      <c r="D569" s="19" t="n"/>
      <c r="E569" s="500" t="n"/>
      <c r="F569" s="499" t="n"/>
      <c r="G569" s="32" t="n"/>
      <c r="H569" s="32" t="n"/>
      <c r="I569" s="530" t="n"/>
      <c r="J569" s="531" t="n"/>
    </row>
    <row r="570">
      <c r="A570" s="30" t="n"/>
      <c r="B570" s="31" t="n"/>
      <c r="C570" s="32" t="n"/>
      <c r="D570" s="19" t="n"/>
      <c r="E570" s="500" t="n"/>
      <c r="F570" s="499" t="n"/>
      <c r="G570" s="32" t="n"/>
      <c r="H570" s="32" t="n"/>
      <c r="I570" s="530" t="n"/>
      <c r="J570" s="531" t="n"/>
    </row>
    <row r="571">
      <c r="A571" s="30" t="n"/>
      <c r="B571" s="31" t="n"/>
      <c r="C571" s="32" t="n"/>
      <c r="D571" s="19" t="n"/>
      <c r="E571" s="500" t="n"/>
      <c r="F571" s="499" t="n"/>
      <c r="G571" s="32" t="n"/>
      <c r="H571" s="32" t="n"/>
      <c r="I571" s="530" t="n"/>
      <c r="J571" s="531" t="n"/>
    </row>
    <row r="572">
      <c r="A572" s="30" t="n"/>
      <c r="B572" s="31" t="n"/>
      <c r="C572" s="32" t="n"/>
      <c r="D572" s="19" t="n"/>
      <c r="E572" s="500" t="n"/>
      <c r="F572" s="499" t="n"/>
      <c r="G572" s="32" t="n"/>
      <c r="H572" s="32" t="n"/>
      <c r="I572" s="530" t="n"/>
      <c r="J572" s="531" t="n"/>
    </row>
    <row r="573">
      <c r="A573" s="30" t="n"/>
      <c r="B573" s="31" t="n"/>
      <c r="C573" s="32" t="n"/>
      <c r="D573" s="19" t="n"/>
      <c r="E573" s="500" t="n"/>
      <c r="F573" s="499" t="n"/>
      <c r="G573" s="32" t="n"/>
      <c r="H573" s="32" t="n"/>
      <c r="I573" s="530" t="n"/>
      <c r="J573" s="531" t="n"/>
    </row>
    <row r="574">
      <c r="A574" s="30" t="n"/>
      <c r="B574" s="31" t="n"/>
      <c r="C574" s="32" t="n"/>
      <c r="D574" s="19" t="n"/>
      <c r="E574" s="500" t="n"/>
      <c r="F574" s="499" t="n"/>
      <c r="G574" s="32" t="n"/>
      <c r="H574" s="32" t="n"/>
      <c r="I574" s="530" t="n"/>
      <c r="J574" s="531" t="n"/>
    </row>
    <row r="575">
      <c r="A575" s="30" t="n"/>
      <c r="B575" s="31" t="n"/>
      <c r="C575" s="32" t="n"/>
      <c r="D575" s="19" t="n"/>
      <c r="E575" s="500" t="n"/>
      <c r="F575" s="499" t="n"/>
      <c r="G575" s="32" t="n"/>
      <c r="H575" s="32" t="n"/>
      <c r="I575" s="530" t="n"/>
      <c r="J575" s="531" t="n"/>
    </row>
    <row r="576">
      <c r="A576" s="30" t="n"/>
      <c r="B576" s="31" t="n"/>
      <c r="C576" s="32" t="n"/>
      <c r="D576" s="19" t="n"/>
      <c r="E576" s="500" t="n"/>
      <c r="F576" s="499" t="n"/>
      <c r="G576" s="32" t="n"/>
      <c r="H576" s="32" t="n"/>
      <c r="I576" s="530" t="n"/>
      <c r="J576" s="531" t="n"/>
    </row>
    <row r="577">
      <c r="A577" s="30" t="n"/>
      <c r="B577" s="31" t="n"/>
      <c r="C577" s="32" t="n"/>
      <c r="D577" s="19" t="n"/>
      <c r="E577" s="500" t="n"/>
      <c r="F577" s="499" t="n"/>
      <c r="G577" s="32" t="n"/>
      <c r="H577" s="32" t="n"/>
      <c r="I577" s="530" t="n"/>
      <c r="J577" s="531" t="n"/>
    </row>
    <row r="578">
      <c r="A578" s="30" t="n"/>
      <c r="B578" s="31" t="n"/>
      <c r="C578" s="32" t="n"/>
      <c r="D578" s="19" t="n"/>
      <c r="E578" s="500" t="n"/>
      <c r="F578" s="499" t="n"/>
      <c r="G578" s="32" t="n"/>
      <c r="H578" s="32" t="n"/>
      <c r="I578" s="530" t="n"/>
      <c r="J578" s="531" t="n"/>
    </row>
    <row r="579">
      <c r="A579" s="30" t="n"/>
      <c r="B579" s="31" t="n"/>
      <c r="C579" s="32" t="n"/>
      <c r="D579" s="19" t="n"/>
      <c r="E579" s="500" t="n"/>
      <c r="F579" s="499" t="n"/>
      <c r="G579" s="32" t="n"/>
      <c r="H579" s="32" t="n"/>
      <c r="I579" s="530" t="n"/>
      <c r="J579" s="531" t="n"/>
    </row>
    <row r="580">
      <c r="A580" s="30" t="n"/>
      <c r="B580" s="31" t="n"/>
      <c r="C580" s="32" t="n"/>
      <c r="D580" s="19" t="n"/>
      <c r="E580" s="500" t="n"/>
      <c r="F580" s="499" t="n"/>
      <c r="G580" s="32" t="n"/>
      <c r="H580" s="32" t="n"/>
      <c r="I580" s="530" t="n"/>
      <c r="J580" s="531" t="n"/>
    </row>
    <row r="581">
      <c r="A581" s="30" t="n"/>
      <c r="B581" s="31" t="n"/>
      <c r="C581" s="32" t="n"/>
      <c r="D581" s="19" t="n"/>
      <c r="E581" s="500" t="n"/>
      <c r="F581" s="499" t="n"/>
      <c r="G581" s="32" t="n"/>
      <c r="H581" s="32" t="n"/>
      <c r="I581" s="530" t="n"/>
      <c r="J581" s="531" t="n"/>
    </row>
    <row r="582">
      <c r="A582" s="30" t="n"/>
      <c r="B582" s="31" t="n"/>
      <c r="C582" s="32" t="n"/>
      <c r="D582" s="19" t="n"/>
      <c r="E582" s="500" t="n"/>
      <c r="F582" s="499" t="n"/>
      <c r="G582" s="32" t="n"/>
      <c r="H582" s="32" t="n"/>
      <c r="I582" s="530" t="n"/>
      <c r="J582" s="531" t="n"/>
    </row>
    <row r="583">
      <c r="A583" s="30" t="n"/>
      <c r="B583" s="31" t="n"/>
      <c r="C583" s="32" t="n"/>
      <c r="D583" s="19" t="n"/>
      <c r="E583" s="500" t="n"/>
      <c r="F583" s="499" t="n"/>
      <c r="G583" s="32" t="n"/>
      <c r="H583" s="32" t="n"/>
      <c r="I583" s="530" t="n"/>
      <c r="J583" s="531" t="n"/>
    </row>
    <row r="584">
      <c r="A584" s="30" t="n"/>
      <c r="B584" s="31" t="n"/>
      <c r="C584" s="32" t="n"/>
      <c r="D584" s="19" t="n"/>
      <c r="E584" s="500" t="n"/>
      <c r="F584" s="499" t="n"/>
      <c r="G584" s="32" t="n"/>
      <c r="H584" s="32" t="n"/>
      <c r="I584" s="530" t="n"/>
      <c r="J584" s="531" t="n"/>
    </row>
    <row r="585">
      <c r="A585" s="30" t="n"/>
      <c r="B585" s="31" t="n"/>
      <c r="C585" s="32" t="n"/>
      <c r="D585" s="19" t="n"/>
      <c r="E585" s="500" t="n"/>
      <c r="F585" s="499" t="n"/>
      <c r="G585" s="32" t="n"/>
      <c r="H585" s="32" t="n"/>
      <c r="I585" s="530" t="n"/>
      <c r="J585" s="531" t="n"/>
    </row>
    <row r="586">
      <c r="A586" s="30" t="n"/>
      <c r="B586" s="31" t="n"/>
      <c r="C586" s="32" t="n"/>
      <c r="D586" s="19" t="n"/>
      <c r="E586" s="500" t="n"/>
      <c r="F586" s="499" t="n"/>
      <c r="G586" s="32" t="n"/>
      <c r="H586" s="32" t="n"/>
      <c r="I586" s="530" t="n"/>
      <c r="J586" s="531" t="n"/>
    </row>
    <row r="587">
      <c r="A587" s="30" t="n"/>
      <c r="B587" s="31" t="n"/>
      <c r="C587" s="32" t="n"/>
      <c r="D587" s="19" t="n"/>
      <c r="E587" s="500" t="n"/>
      <c r="F587" s="499" t="n"/>
      <c r="G587" s="32" t="n"/>
      <c r="H587" s="32" t="n"/>
      <c r="I587" s="530" t="n"/>
      <c r="J587" s="531" t="n"/>
    </row>
    <row r="588">
      <c r="A588" s="30" t="n"/>
      <c r="B588" s="31" t="n"/>
      <c r="C588" s="32" t="n"/>
      <c r="D588" s="19" t="n"/>
      <c r="E588" s="500" t="n"/>
      <c r="F588" s="499" t="n"/>
      <c r="G588" s="32" t="n"/>
      <c r="H588" s="32" t="n"/>
      <c r="I588" s="530" t="n"/>
      <c r="J588" s="531" t="n"/>
    </row>
    <row r="589">
      <c r="A589" s="30" t="n"/>
      <c r="B589" s="31" t="n"/>
      <c r="C589" s="32" t="n"/>
      <c r="D589" s="19" t="n"/>
      <c r="E589" s="500" t="n"/>
      <c r="F589" s="499" t="n"/>
      <c r="G589" s="32" t="n"/>
      <c r="H589" s="32" t="n"/>
      <c r="I589" s="530" t="n"/>
      <c r="J589" s="531" t="n"/>
    </row>
    <row r="590">
      <c r="A590" s="30" t="n"/>
      <c r="B590" s="31" t="n"/>
      <c r="C590" s="32" t="n"/>
      <c r="D590" s="19" t="n"/>
      <c r="E590" s="500" t="n"/>
      <c r="F590" s="499" t="n"/>
      <c r="G590" s="32" t="n"/>
      <c r="H590" s="32" t="n"/>
      <c r="I590" s="530" t="n"/>
      <c r="J590" s="531" t="n"/>
    </row>
    <row r="591">
      <c r="A591" s="30" t="n"/>
      <c r="B591" s="31" t="n"/>
      <c r="C591" s="32" t="n"/>
      <c r="D591" s="19" t="n"/>
      <c r="E591" s="500" t="n"/>
      <c r="F591" s="499" t="n"/>
      <c r="G591" s="32" t="n"/>
      <c r="H591" s="32" t="n"/>
      <c r="I591" s="530" t="n"/>
      <c r="J591" s="531" t="n"/>
    </row>
    <row r="592">
      <c r="A592" s="30" t="n"/>
      <c r="B592" s="31" t="n"/>
      <c r="C592" s="32" t="n"/>
      <c r="D592" s="19" t="n"/>
      <c r="E592" s="500" t="n"/>
      <c r="F592" s="499" t="n"/>
      <c r="G592" s="32" t="n"/>
      <c r="H592" s="32" t="n"/>
      <c r="I592" s="530" t="n"/>
      <c r="J592" s="531" t="n"/>
    </row>
    <row r="593">
      <c r="A593" s="30" t="n"/>
      <c r="B593" s="31" t="n"/>
      <c r="C593" s="32" t="n"/>
      <c r="D593" s="19" t="n"/>
      <c r="E593" s="500" t="n"/>
      <c r="F593" s="499" t="n"/>
      <c r="G593" s="32" t="n"/>
      <c r="H593" s="32" t="n"/>
      <c r="I593" s="530" t="n"/>
      <c r="J593" s="531" t="n"/>
    </row>
    <row r="594">
      <c r="A594" s="30" t="n"/>
      <c r="B594" s="31" t="n"/>
      <c r="C594" s="32" t="n"/>
      <c r="D594" s="19" t="n"/>
      <c r="E594" s="500" t="n"/>
      <c r="F594" s="499" t="n"/>
      <c r="G594" s="32" t="n"/>
      <c r="H594" s="32" t="n"/>
      <c r="I594" s="530" t="n"/>
      <c r="J594" s="531" t="n"/>
    </row>
    <row r="595">
      <c r="A595" s="30" t="n"/>
      <c r="B595" s="31" t="n"/>
      <c r="C595" s="32" t="n"/>
      <c r="D595" s="19" t="n"/>
      <c r="E595" s="500" t="n"/>
      <c r="F595" s="499" t="n"/>
      <c r="G595" s="32" t="n"/>
      <c r="H595" s="32" t="n"/>
      <c r="I595" s="530" t="n"/>
      <c r="J595" s="531" t="n"/>
    </row>
    <row r="596">
      <c r="A596" s="30" t="n"/>
      <c r="B596" s="31" t="n"/>
      <c r="C596" s="32" t="n"/>
      <c r="D596" s="19" t="n"/>
      <c r="E596" s="500" t="n"/>
      <c r="F596" s="499" t="n"/>
      <c r="G596" s="32" t="n"/>
      <c r="H596" s="32" t="n"/>
      <c r="I596" s="530" t="n"/>
      <c r="J596" s="531" t="n"/>
    </row>
    <row r="597">
      <c r="A597" s="30" t="n"/>
      <c r="B597" s="31" t="n"/>
      <c r="C597" s="32" t="n"/>
      <c r="D597" s="19" t="n"/>
      <c r="E597" s="500" t="n"/>
      <c r="F597" s="499" t="n"/>
      <c r="G597" s="32" t="n"/>
      <c r="H597" s="32" t="n"/>
      <c r="I597" s="530" t="n"/>
      <c r="J597" s="531" t="n"/>
    </row>
    <row r="598">
      <c r="A598" s="30" t="n"/>
      <c r="B598" s="31" t="n"/>
      <c r="C598" s="32" t="n"/>
      <c r="D598" s="19" t="n"/>
      <c r="E598" s="500" t="n"/>
      <c r="F598" s="499" t="n"/>
      <c r="G598" s="32" t="n"/>
      <c r="H598" s="32" t="n"/>
      <c r="I598" s="530" t="n"/>
      <c r="J598" s="531" t="n"/>
    </row>
    <row r="599">
      <c r="A599" s="30" t="n"/>
      <c r="B599" s="31" t="n"/>
      <c r="C599" s="32" t="n"/>
      <c r="D599" s="19" t="n"/>
      <c r="E599" s="500" t="n"/>
      <c r="F599" s="499" t="n"/>
      <c r="G599" s="32" t="n"/>
      <c r="H599" s="32" t="n"/>
      <c r="I599" s="530" t="n"/>
      <c r="J599" s="531" t="n"/>
    </row>
    <row r="600">
      <c r="A600" s="30" t="n"/>
      <c r="B600" s="31" t="n"/>
      <c r="C600" s="32" t="n"/>
      <c r="D600" s="19" t="n"/>
      <c r="E600" s="500" t="n"/>
      <c r="F600" s="499" t="n"/>
      <c r="G600" s="32" t="n"/>
      <c r="H600" s="32" t="n"/>
      <c r="I600" s="530" t="n"/>
      <c r="J600" s="531" t="n"/>
    </row>
    <row r="601">
      <c r="A601" s="30" t="n"/>
      <c r="B601" s="31" t="n"/>
      <c r="C601" s="32" t="n"/>
      <c r="D601" s="19" t="n"/>
      <c r="E601" s="500" t="n"/>
      <c r="F601" s="499" t="n"/>
      <c r="G601" s="32" t="n"/>
      <c r="H601" s="32" t="n"/>
      <c r="I601" s="530" t="n"/>
      <c r="J601" s="531" t="n"/>
    </row>
    <row r="602">
      <c r="A602" s="30" t="n"/>
      <c r="B602" s="31" t="n"/>
      <c r="C602" s="32" t="n"/>
      <c r="D602" s="19" t="n"/>
      <c r="E602" s="500" t="n"/>
      <c r="F602" s="499" t="n"/>
      <c r="G602" s="32" t="n"/>
      <c r="H602" s="32" t="n"/>
      <c r="I602" s="530" t="n"/>
      <c r="J602" s="531" t="n"/>
    </row>
    <row r="603">
      <c r="A603" s="30" t="n"/>
      <c r="B603" s="31" t="n"/>
      <c r="C603" s="32" t="n"/>
      <c r="D603" s="19" t="n"/>
      <c r="E603" s="500" t="n"/>
      <c r="F603" s="499" t="n"/>
      <c r="G603" s="32" t="n"/>
      <c r="H603" s="32" t="n"/>
      <c r="I603" s="530" t="n"/>
      <c r="J603" s="531" t="n"/>
    </row>
    <row r="604">
      <c r="A604" s="30" t="n"/>
      <c r="B604" s="31" t="n"/>
      <c r="C604" s="32" t="n"/>
      <c r="D604" s="19" t="n"/>
      <c r="E604" s="500" t="n"/>
      <c r="F604" s="499" t="n"/>
      <c r="G604" s="32" t="n"/>
      <c r="H604" s="32" t="n"/>
      <c r="I604" s="530" t="n"/>
      <c r="J604" s="531" t="n"/>
    </row>
    <row r="605">
      <c r="A605" s="30" t="n"/>
      <c r="B605" s="31" t="n"/>
      <c r="C605" s="32" t="n"/>
      <c r="D605" s="19" t="n"/>
      <c r="E605" s="500" t="n"/>
      <c r="F605" s="499" t="n"/>
      <c r="G605" s="32" t="n"/>
      <c r="H605" s="32" t="n"/>
      <c r="I605" s="530" t="n"/>
      <c r="J605" s="531" t="n"/>
    </row>
    <row r="606">
      <c r="A606" s="30" t="n"/>
      <c r="B606" s="31" t="n"/>
      <c r="C606" s="32" t="n"/>
      <c r="D606" s="19" t="n"/>
      <c r="E606" s="500" t="n"/>
      <c r="F606" s="499" t="n"/>
      <c r="G606" s="32" t="n"/>
      <c r="H606" s="32" t="n"/>
      <c r="I606" s="530" t="n"/>
      <c r="J606" s="531" t="n"/>
    </row>
    <row r="607">
      <c r="A607" s="30" t="n"/>
      <c r="B607" s="31" t="n"/>
      <c r="C607" s="32" t="n"/>
      <c r="D607" s="19" t="n"/>
      <c r="E607" s="500" t="n"/>
      <c r="F607" s="499" t="n"/>
      <c r="G607" s="32" t="n"/>
      <c r="H607" s="32" t="n"/>
      <c r="I607" s="530" t="n"/>
      <c r="J607" s="531" t="n"/>
    </row>
    <row r="608">
      <c r="A608" s="30" t="n"/>
      <c r="B608" s="31" t="n"/>
      <c r="C608" s="32" t="n"/>
      <c r="D608" s="19" t="n"/>
      <c r="E608" s="500" t="n"/>
      <c r="F608" s="499" t="n"/>
      <c r="G608" s="32" t="n"/>
      <c r="H608" s="32" t="n"/>
      <c r="I608" s="530" t="n"/>
      <c r="J608" s="531" t="n"/>
    </row>
    <row r="609">
      <c r="A609" s="30" t="n"/>
      <c r="B609" s="31" t="n"/>
      <c r="C609" s="32" t="n"/>
      <c r="D609" s="19" t="n"/>
      <c r="E609" s="500" t="n"/>
      <c r="F609" s="499" t="n"/>
      <c r="G609" s="32" t="n"/>
      <c r="H609" s="32" t="n"/>
      <c r="I609" s="530" t="n"/>
      <c r="J609" s="531" t="n"/>
    </row>
    <row r="610">
      <c r="A610" s="30" t="n"/>
      <c r="B610" s="31" t="n"/>
      <c r="C610" s="32" t="n"/>
      <c r="D610" s="19" t="n"/>
      <c r="E610" s="500" t="n"/>
      <c r="F610" s="499" t="n"/>
      <c r="G610" s="32" t="n"/>
      <c r="H610" s="32" t="n"/>
      <c r="I610" s="530" t="n"/>
      <c r="J610" s="531" t="n"/>
    </row>
    <row r="611">
      <c r="A611" s="30" t="n"/>
      <c r="B611" s="31" t="n"/>
      <c r="C611" s="32" t="n"/>
      <c r="D611" s="19" t="n"/>
      <c r="E611" s="500" t="n"/>
      <c r="F611" s="499" t="n"/>
      <c r="G611" s="32" t="n"/>
      <c r="H611" s="32" t="n"/>
      <c r="I611" s="530" t="n"/>
      <c r="J611" s="531" t="n"/>
    </row>
    <row r="612">
      <c r="A612" s="30" t="n"/>
      <c r="B612" s="31" t="n"/>
      <c r="C612" s="32" t="n"/>
      <c r="D612" s="19" t="n"/>
      <c r="E612" s="500" t="n"/>
      <c r="F612" s="499" t="n"/>
      <c r="G612" s="32" t="n"/>
      <c r="H612" s="32" t="n"/>
      <c r="I612" s="530" t="n"/>
      <c r="J612" s="531" t="n"/>
    </row>
    <row r="613">
      <c r="A613" s="30" t="n"/>
      <c r="B613" s="31" t="n"/>
      <c r="C613" s="32" t="n"/>
      <c r="D613" s="19" t="n"/>
      <c r="E613" s="500" t="n"/>
      <c r="F613" s="499" t="n"/>
      <c r="G613" s="32" t="n"/>
      <c r="H613" s="32" t="n"/>
      <c r="I613" s="530" t="n"/>
      <c r="J613" s="531" t="n"/>
    </row>
    <row r="614">
      <c r="A614" s="30" t="n"/>
      <c r="B614" s="31" t="n"/>
      <c r="C614" s="32" t="n"/>
      <c r="D614" s="19" t="n"/>
      <c r="E614" s="500" t="n"/>
      <c r="F614" s="499" t="n"/>
      <c r="G614" s="32" t="n"/>
      <c r="H614" s="32" t="n"/>
      <c r="I614" s="530" t="n"/>
      <c r="J614" s="531" t="n"/>
    </row>
    <row r="615">
      <c r="A615" s="30" t="n"/>
      <c r="B615" s="31" t="n"/>
      <c r="C615" s="32" t="n"/>
      <c r="D615" s="19" t="n"/>
      <c r="E615" s="500" t="n"/>
      <c r="F615" s="499" t="n"/>
      <c r="G615" s="32" t="n"/>
      <c r="H615" s="32" t="n"/>
      <c r="I615" s="530" t="n"/>
      <c r="J615" s="531" t="n"/>
    </row>
    <row r="616">
      <c r="A616" s="30" t="n"/>
      <c r="B616" s="31" t="n"/>
      <c r="C616" s="32" t="n"/>
      <c r="D616" s="19" t="n"/>
      <c r="E616" s="500" t="n"/>
      <c r="F616" s="499" t="n"/>
      <c r="G616" s="32" t="n"/>
      <c r="H616" s="32" t="n"/>
      <c r="I616" s="530" t="n"/>
      <c r="J616" s="531" t="n"/>
    </row>
    <row r="617">
      <c r="A617" s="30" t="n"/>
      <c r="B617" s="31" t="n"/>
      <c r="C617" s="32" t="n"/>
      <c r="D617" s="19" t="n"/>
      <c r="E617" s="500" t="n"/>
      <c r="F617" s="499" t="n"/>
      <c r="G617" s="32" t="n"/>
      <c r="H617" s="32" t="n"/>
      <c r="I617" s="530" t="n"/>
      <c r="J617" s="531" t="n"/>
    </row>
    <row r="618">
      <c r="A618" s="30" t="n"/>
      <c r="B618" s="31" t="n"/>
      <c r="C618" s="32" t="n"/>
      <c r="D618" s="19" t="n"/>
      <c r="E618" s="500" t="n"/>
      <c r="F618" s="499" t="n"/>
      <c r="G618" s="32" t="n"/>
      <c r="H618" s="32" t="n"/>
      <c r="I618" s="530" t="n"/>
      <c r="J618" s="531" t="n"/>
    </row>
    <row r="619">
      <c r="A619" s="30" t="n"/>
      <c r="B619" s="31" t="n"/>
      <c r="C619" s="32" t="n"/>
      <c r="D619" s="19" t="n"/>
      <c r="E619" s="500" t="n"/>
      <c r="F619" s="499" t="n"/>
      <c r="G619" s="32" t="n"/>
      <c r="H619" s="32" t="n"/>
      <c r="I619" s="530" t="n"/>
      <c r="J619" s="531" t="n"/>
    </row>
    <row r="620">
      <c r="A620" s="30" t="n"/>
      <c r="B620" s="31" t="n"/>
      <c r="C620" s="32" t="n"/>
      <c r="D620" s="19" t="n"/>
      <c r="E620" s="500" t="n"/>
      <c r="F620" s="499" t="n"/>
      <c r="G620" s="32" t="n"/>
      <c r="H620" s="32" t="n"/>
      <c r="I620" s="530" t="n"/>
      <c r="J620" s="531" t="n"/>
    </row>
    <row r="621">
      <c r="A621" s="30" t="n"/>
      <c r="B621" s="31" t="n"/>
      <c r="C621" s="32" t="n"/>
      <c r="D621" s="19" t="n"/>
      <c r="E621" s="500" t="n"/>
      <c r="F621" s="499" t="n"/>
      <c r="G621" s="32" t="n"/>
      <c r="H621" s="32" t="n"/>
      <c r="I621" s="530" t="n"/>
      <c r="J621" s="531" t="n"/>
    </row>
    <row r="622">
      <c r="A622" s="30" t="n"/>
      <c r="B622" s="31" t="n"/>
      <c r="C622" s="32" t="n"/>
      <c r="D622" s="19" t="n"/>
      <c r="E622" s="500" t="n"/>
      <c r="F622" s="499" t="n"/>
      <c r="G622" s="32" t="n"/>
      <c r="H622" s="32" t="n"/>
      <c r="I622" s="530" t="n"/>
      <c r="J622" s="531" t="n"/>
    </row>
    <row r="623">
      <c r="A623" s="30" t="n"/>
      <c r="B623" s="31" t="n"/>
      <c r="C623" s="32" t="n"/>
      <c r="D623" s="19" t="n"/>
      <c r="E623" s="500" t="n"/>
      <c r="F623" s="499" t="n"/>
      <c r="G623" s="32" t="n"/>
      <c r="H623" s="32" t="n"/>
      <c r="I623" s="530" t="n"/>
      <c r="J623" s="531" t="n"/>
    </row>
    <row r="624">
      <c r="A624" s="30" t="n"/>
      <c r="B624" s="31" t="n"/>
      <c r="C624" s="32" t="n"/>
      <c r="D624" s="19" t="n"/>
      <c r="E624" s="500" t="n"/>
      <c r="F624" s="499" t="n"/>
      <c r="G624" s="32" t="n"/>
      <c r="H624" s="32" t="n"/>
      <c r="I624" s="530" t="n"/>
      <c r="J624" s="531" t="n"/>
    </row>
    <row r="625">
      <c r="A625" s="30" t="n"/>
      <c r="B625" s="31" t="n"/>
      <c r="C625" s="32" t="n"/>
      <c r="D625" s="19" t="n"/>
      <c r="E625" s="500" t="n"/>
      <c r="F625" s="499" t="n"/>
      <c r="G625" s="32" t="n"/>
      <c r="H625" s="32" t="n"/>
      <c r="I625" s="530" t="n"/>
      <c r="J625" s="531" t="n"/>
    </row>
    <row r="626">
      <c r="A626" s="30" t="n"/>
      <c r="B626" s="31" t="n"/>
      <c r="C626" s="32" t="n"/>
      <c r="D626" s="19" t="n"/>
      <c r="E626" s="500" t="n"/>
      <c r="F626" s="499" t="n"/>
      <c r="G626" s="32" t="n"/>
      <c r="H626" s="32" t="n"/>
      <c r="I626" s="530" t="n"/>
      <c r="J626" s="531" t="n"/>
    </row>
    <row r="627">
      <c r="A627" s="30" t="n"/>
      <c r="B627" s="31" t="n"/>
      <c r="C627" s="32" t="n"/>
      <c r="D627" s="19" t="n"/>
      <c r="E627" s="500" t="n"/>
      <c r="F627" s="499" t="n"/>
      <c r="G627" s="32" t="n"/>
      <c r="H627" s="32" t="n"/>
      <c r="I627" s="530" t="n"/>
      <c r="J627" s="531" t="n"/>
    </row>
    <row r="628">
      <c r="A628" s="30" t="n"/>
      <c r="B628" s="31" t="n"/>
      <c r="C628" s="32" t="n"/>
      <c r="D628" s="19" t="n"/>
      <c r="E628" s="500" t="n"/>
      <c r="F628" s="499" t="n"/>
      <c r="G628" s="32" t="n"/>
      <c r="H628" s="32" t="n"/>
      <c r="I628" s="530" t="n"/>
      <c r="J628" s="531" t="n"/>
    </row>
    <row r="629">
      <c r="A629" s="30" t="n"/>
      <c r="B629" s="31" t="n"/>
      <c r="C629" s="32" t="n"/>
      <c r="D629" s="19" t="n"/>
      <c r="E629" s="500" t="n"/>
      <c r="F629" s="499" t="n"/>
      <c r="G629" s="32" t="n"/>
      <c r="H629" s="32" t="n"/>
      <c r="I629" s="530" t="n"/>
      <c r="J629" s="531" t="n"/>
    </row>
    <row r="630">
      <c r="A630" s="30" t="n"/>
      <c r="B630" s="31" t="n"/>
      <c r="C630" s="32" t="n"/>
      <c r="D630" s="19" t="n"/>
      <c r="E630" s="500" t="n"/>
      <c r="F630" s="499" t="n"/>
      <c r="G630" s="32" t="n"/>
      <c r="H630" s="32" t="n"/>
      <c r="I630" s="530" t="n"/>
      <c r="J630" s="531" t="n"/>
    </row>
    <row r="631">
      <c r="A631" s="30" t="n"/>
      <c r="B631" s="31" t="n"/>
      <c r="C631" s="32" t="n"/>
      <c r="D631" s="19" t="n"/>
      <c r="E631" s="500" t="n"/>
      <c r="F631" s="499" t="n"/>
      <c r="G631" s="32" t="n"/>
      <c r="H631" s="32" t="n"/>
      <c r="I631" s="530" t="n"/>
      <c r="J631" s="531" t="n"/>
    </row>
    <row r="632">
      <c r="A632" s="30" t="n"/>
      <c r="B632" s="31" t="n"/>
      <c r="C632" s="32" t="n"/>
      <c r="D632" s="19" t="n"/>
      <c r="E632" s="500" t="n"/>
      <c r="F632" s="499" t="n"/>
      <c r="G632" s="32" t="n"/>
      <c r="H632" s="32" t="n"/>
      <c r="I632" s="530" t="n"/>
      <c r="J632" s="531" t="n"/>
    </row>
    <row r="633">
      <c r="A633" s="30" t="n"/>
      <c r="B633" s="31" t="n"/>
      <c r="C633" s="32" t="n"/>
      <c r="D633" s="19" t="n"/>
      <c r="E633" s="500" t="n"/>
      <c r="F633" s="499" t="n"/>
      <c r="G633" s="32" t="n"/>
      <c r="H633" s="32" t="n"/>
      <c r="I633" s="530" t="n"/>
      <c r="J633" s="531" t="n"/>
    </row>
    <row r="634">
      <c r="A634" s="30" t="n"/>
      <c r="B634" s="31" t="n"/>
      <c r="C634" s="32" t="n"/>
      <c r="D634" s="19" t="n"/>
      <c r="E634" s="500" t="n"/>
      <c r="F634" s="499" t="n"/>
      <c r="G634" s="32" t="n"/>
      <c r="H634" s="32" t="n"/>
      <c r="I634" s="530" t="n"/>
      <c r="J634" s="531" t="n"/>
    </row>
    <row r="635">
      <c r="A635" s="30" t="n"/>
      <c r="B635" s="31" t="n"/>
      <c r="C635" s="32" t="n"/>
      <c r="D635" s="19" t="n"/>
      <c r="E635" s="500" t="n"/>
      <c r="F635" s="499" t="n"/>
      <c r="G635" s="32" t="n"/>
      <c r="H635" s="32" t="n"/>
      <c r="I635" s="530" t="n"/>
      <c r="J635" s="531" t="n"/>
    </row>
    <row r="636">
      <c r="A636" s="30" t="n"/>
      <c r="B636" s="31" t="n"/>
      <c r="C636" s="32" t="n"/>
      <c r="D636" s="19" t="n"/>
      <c r="E636" s="500" t="n"/>
      <c r="F636" s="499" t="n"/>
      <c r="G636" s="32" t="n"/>
      <c r="H636" s="32" t="n"/>
      <c r="I636" s="530" t="n"/>
      <c r="J636" s="531" t="n"/>
    </row>
    <row r="637">
      <c r="A637" s="30" t="n"/>
      <c r="B637" s="31" t="n"/>
      <c r="C637" s="32" t="n"/>
      <c r="D637" s="19" t="n"/>
      <c r="E637" s="500" t="n"/>
      <c r="F637" s="499" t="n"/>
      <c r="G637" s="32" t="n"/>
      <c r="H637" s="32" t="n"/>
      <c r="I637" s="530" t="n"/>
      <c r="J637" s="531" t="n"/>
    </row>
    <row r="638">
      <c r="A638" s="30" t="n"/>
      <c r="B638" s="31" t="n"/>
      <c r="C638" s="32" t="n"/>
      <c r="D638" s="19" t="n"/>
      <c r="E638" s="500" t="n"/>
      <c r="F638" s="499" t="n"/>
      <c r="G638" s="32" t="n"/>
      <c r="H638" s="32" t="n"/>
      <c r="I638" s="530" t="n"/>
      <c r="J638" s="531" t="n"/>
    </row>
    <row r="639">
      <c r="A639" s="30" t="n"/>
      <c r="B639" s="31" t="n"/>
      <c r="C639" s="32" t="n"/>
      <c r="D639" s="19" t="n"/>
      <c r="E639" s="500" t="n"/>
      <c r="F639" s="499" t="n"/>
      <c r="G639" s="32" t="n"/>
      <c r="H639" s="32" t="n"/>
      <c r="I639" s="530" t="n"/>
      <c r="J639" s="531" t="n"/>
    </row>
    <row r="640">
      <c r="A640" s="30" t="n"/>
      <c r="B640" s="31" t="n"/>
      <c r="C640" s="32" t="n"/>
      <c r="D640" s="19" t="n"/>
      <c r="E640" s="500" t="n"/>
      <c r="F640" s="499" t="n"/>
      <c r="G640" s="32" t="n"/>
      <c r="H640" s="32" t="n"/>
      <c r="I640" s="530" t="n"/>
      <c r="J640" s="531" t="n"/>
    </row>
    <row r="641">
      <c r="A641" s="30" t="n"/>
      <c r="B641" s="31" t="n"/>
      <c r="C641" s="32" t="n"/>
      <c r="D641" s="19" t="n"/>
      <c r="E641" s="500" t="n"/>
      <c r="F641" s="499" t="n"/>
      <c r="G641" s="32" t="n"/>
      <c r="H641" s="32" t="n"/>
      <c r="I641" s="530" t="n"/>
      <c r="J641" s="531" t="n"/>
    </row>
    <row r="642">
      <c r="A642" s="30" t="n"/>
      <c r="B642" s="31" t="n"/>
      <c r="C642" s="32" t="n"/>
      <c r="D642" s="19" t="n"/>
      <c r="E642" s="500" t="n"/>
      <c r="F642" s="499" t="n"/>
      <c r="G642" s="32" t="n"/>
      <c r="H642" s="32" t="n"/>
      <c r="I642" s="530" t="n"/>
      <c r="J642" s="531" t="n"/>
    </row>
    <row r="643">
      <c r="A643" s="30" t="n"/>
      <c r="B643" s="31" t="n"/>
      <c r="C643" s="32" t="n"/>
      <c r="D643" s="19" t="n"/>
      <c r="E643" s="500" t="n"/>
      <c r="F643" s="499" t="n"/>
      <c r="G643" s="32" t="n"/>
      <c r="H643" s="32" t="n"/>
      <c r="I643" s="530" t="n"/>
      <c r="J643" s="531" t="n"/>
    </row>
    <row r="644">
      <c r="A644" s="30" t="n"/>
      <c r="B644" s="31" t="n"/>
      <c r="C644" s="32" t="n"/>
      <c r="D644" s="19" t="n"/>
      <c r="E644" s="500" t="n"/>
      <c r="F644" s="499" t="n"/>
      <c r="G644" s="32" t="n"/>
      <c r="H644" s="32" t="n"/>
      <c r="I644" s="530" t="n"/>
      <c r="J644" s="531" t="n"/>
    </row>
    <row r="645">
      <c r="A645" s="30" t="n"/>
      <c r="B645" s="31" t="n"/>
      <c r="C645" s="32" t="n"/>
      <c r="D645" s="19" t="n"/>
      <c r="E645" s="500" t="n"/>
      <c r="F645" s="499" t="n"/>
      <c r="G645" s="32" t="n"/>
      <c r="H645" s="32" t="n"/>
      <c r="I645" s="530" t="n"/>
      <c r="J645" s="531" t="n"/>
    </row>
    <row r="646">
      <c r="A646" s="30" t="n"/>
      <c r="B646" s="31" t="n"/>
      <c r="C646" s="32" t="n"/>
      <c r="D646" s="19" t="n"/>
      <c r="E646" s="500" t="n"/>
      <c r="F646" s="499" t="n"/>
      <c r="G646" s="32" t="n"/>
      <c r="H646" s="32" t="n"/>
      <c r="I646" s="530" t="n"/>
      <c r="J646" s="531" t="n"/>
    </row>
    <row r="647">
      <c r="A647" s="30" t="n"/>
      <c r="B647" s="31" t="n"/>
      <c r="C647" s="32" t="n"/>
      <c r="D647" s="19" t="n"/>
      <c r="E647" s="500" t="n"/>
      <c r="F647" s="499" t="n"/>
      <c r="G647" s="32" t="n"/>
      <c r="H647" s="32" t="n"/>
      <c r="I647" s="530" t="n"/>
      <c r="J647" s="531" t="n"/>
    </row>
    <row r="648">
      <c r="A648" s="30" t="n"/>
      <c r="B648" s="31" t="n"/>
      <c r="C648" s="32" t="n"/>
      <c r="D648" s="19" t="n"/>
      <c r="E648" s="500" t="n"/>
      <c r="F648" s="499" t="n"/>
      <c r="G648" s="32" t="n"/>
      <c r="H648" s="32" t="n"/>
      <c r="I648" s="530" t="n"/>
      <c r="J648" s="531" t="n"/>
    </row>
    <row r="649">
      <c r="A649" s="30" t="n"/>
      <c r="B649" s="31" t="n"/>
      <c r="C649" s="32" t="n"/>
      <c r="D649" s="19" t="n"/>
      <c r="E649" s="500" t="n"/>
      <c r="F649" s="499" t="n"/>
      <c r="G649" s="32" t="n"/>
      <c r="H649" s="32" t="n"/>
      <c r="I649" s="530" t="n"/>
      <c r="J649" s="531" t="n"/>
    </row>
    <row r="650">
      <c r="A650" s="30" t="n"/>
      <c r="B650" s="31" t="n"/>
      <c r="C650" s="32" t="n"/>
      <c r="D650" s="19" t="n"/>
      <c r="E650" s="500" t="n"/>
      <c r="F650" s="499" t="n"/>
      <c r="G650" s="32" t="n"/>
      <c r="H650" s="32" t="n"/>
      <c r="I650" s="530" t="n"/>
      <c r="J650" s="531" t="n"/>
    </row>
    <row r="651">
      <c r="A651" s="30" t="n"/>
      <c r="B651" s="31" t="n"/>
      <c r="C651" s="32" t="n"/>
      <c r="D651" s="19" t="n"/>
      <c r="E651" s="500" t="n"/>
      <c r="F651" s="499" t="n"/>
      <c r="G651" s="32" t="n"/>
      <c r="H651" s="32" t="n"/>
      <c r="I651" s="530" t="n"/>
      <c r="J651" s="531" t="n"/>
    </row>
    <row r="652">
      <c r="A652" s="30" t="n"/>
      <c r="B652" s="31" t="n"/>
      <c r="C652" s="32" t="n"/>
      <c r="D652" s="19" t="n"/>
      <c r="E652" s="500" t="n"/>
      <c r="F652" s="499" t="n"/>
      <c r="G652" s="32" t="n"/>
      <c r="H652" s="32" t="n"/>
      <c r="I652" s="530" t="n"/>
      <c r="J652" s="531" t="n"/>
    </row>
    <row r="653">
      <c r="A653" s="30" t="n"/>
      <c r="B653" s="31" t="n"/>
      <c r="C653" s="32" t="n"/>
      <c r="D653" s="19" t="n"/>
      <c r="E653" s="500" t="n"/>
      <c r="F653" s="499" t="n"/>
      <c r="G653" s="32" t="n"/>
      <c r="H653" s="32" t="n"/>
      <c r="I653" s="530" t="n"/>
      <c r="J653" s="531" t="n"/>
    </row>
    <row r="654">
      <c r="A654" s="30" t="n"/>
      <c r="B654" s="31" t="n"/>
      <c r="C654" s="32" t="n"/>
      <c r="D654" s="19" t="n"/>
      <c r="E654" s="500" t="n"/>
      <c r="F654" s="499" t="n"/>
      <c r="G654" s="32" t="n"/>
      <c r="H654" s="32" t="n"/>
      <c r="I654" s="530" t="n"/>
      <c r="J654" s="531" t="n"/>
    </row>
    <row r="655">
      <c r="A655" s="30" t="n"/>
      <c r="B655" s="31" t="n"/>
      <c r="C655" s="32" t="n"/>
      <c r="D655" s="19" t="n"/>
      <c r="E655" s="500" t="n"/>
      <c r="F655" s="499" t="n"/>
      <c r="G655" s="32" t="n"/>
      <c r="H655" s="32" t="n"/>
      <c r="I655" s="530" t="n"/>
      <c r="J655" s="531" t="n"/>
    </row>
    <row r="656">
      <c r="A656" s="30" t="n"/>
      <c r="B656" s="31" t="n"/>
      <c r="C656" s="32" t="n"/>
      <c r="D656" s="19" t="n"/>
      <c r="E656" s="500" t="n"/>
      <c r="F656" s="499" t="n"/>
      <c r="G656" s="32" t="n"/>
      <c r="H656" s="32" t="n"/>
      <c r="I656" s="530" t="n"/>
      <c r="J656" s="531" t="n"/>
    </row>
    <row r="657">
      <c r="A657" s="30" t="n"/>
      <c r="B657" s="31" t="n"/>
      <c r="C657" s="32" t="n"/>
      <c r="D657" s="19" t="n"/>
      <c r="E657" s="500" t="n"/>
      <c r="F657" s="499" t="n"/>
      <c r="G657" s="32" t="n"/>
      <c r="H657" s="32" t="n"/>
      <c r="I657" s="530" t="n"/>
      <c r="J657" s="531" t="n"/>
    </row>
    <row r="658">
      <c r="A658" s="30" t="n"/>
      <c r="B658" s="31" t="n"/>
      <c r="C658" s="32" t="n"/>
      <c r="D658" s="19" t="n"/>
      <c r="E658" s="500" t="n"/>
      <c r="F658" s="499" t="n"/>
      <c r="G658" s="32" t="n"/>
      <c r="H658" s="32" t="n"/>
      <c r="I658" s="530" t="n"/>
      <c r="J658" s="531" t="n"/>
    </row>
    <row r="659">
      <c r="A659" s="30" t="n"/>
      <c r="B659" s="31" t="n"/>
      <c r="C659" s="32" t="n"/>
      <c r="D659" s="19" t="n"/>
      <c r="E659" s="500" t="n"/>
      <c r="F659" s="499" t="n"/>
      <c r="G659" s="32" t="n"/>
      <c r="H659" s="32" t="n"/>
      <c r="I659" s="530" t="n"/>
      <c r="J659" s="531" t="n"/>
    </row>
    <row r="660">
      <c r="A660" s="30" t="n"/>
      <c r="B660" s="31" t="n"/>
      <c r="C660" s="32" t="n"/>
      <c r="D660" s="19" t="n"/>
      <c r="E660" s="500" t="n"/>
      <c r="F660" s="499" t="n"/>
      <c r="G660" s="32" t="n"/>
      <c r="H660" s="32" t="n"/>
      <c r="I660" s="530" t="n"/>
      <c r="J660" s="531" t="n"/>
    </row>
    <row r="661">
      <c r="A661" s="30" t="n"/>
      <c r="B661" s="31" t="n"/>
      <c r="C661" s="32" t="n"/>
      <c r="D661" s="19" t="n"/>
      <c r="E661" s="500" t="n"/>
      <c r="F661" s="499" t="n"/>
      <c r="G661" s="32" t="n"/>
      <c r="H661" s="32" t="n"/>
      <c r="I661" s="530" t="n"/>
      <c r="J661" s="531" t="n"/>
    </row>
    <row r="662">
      <c r="A662" s="30" t="n"/>
      <c r="B662" s="31" t="n"/>
      <c r="C662" s="32" t="n"/>
      <c r="D662" s="19" t="n"/>
      <c r="E662" s="500" t="n"/>
      <c r="F662" s="499" t="n"/>
      <c r="G662" s="32" t="n"/>
      <c r="H662" s="32" t="n"/>
      <c r="I662" s="530" t="n"/>
      <c r="J662" s="531" t="n"/>
    </row>
    <row r="663">
      <c r="A663" s="30" t="n"/>
      <c r="B663" s="31" t="n"/>
      <c r="C663" s="32" t="n"/>
      <c r="D663" s="19" t="n"/>
      <c r="E663" s="500" t="n"/>
      <c r="F663" s="499" t="n"/>
      <c r="G663" s="32" t="n"/>
      <c r="H663" s="32" t="n"/>
      <c r="I663" s="530" t="n"/>
      <c r="J663" s="531" t="n"/>
    </row>
    <row r="664">
      <c r="A664" s="30" t="n"/>
      <c r="B664" s="31" t="n"/>
      <c r="C664" s="32" t="n"/>
      <c r="D664" s="19" t="n"/>
      <c r="E664" s="500" t="n"/>
      <c r="F664" s="499" t="n"/>
      <c r="G664" s="32" t="n"/>
      <c r="H664" s="32" t="n"/>
      <c r="I664" s="530" t="n"/>
      <c r="J664" s="531" t="n"/>
    </row>
    <row r="665">
      <c r="A665" s="30" t="n"/>
      <c r="B665" s="31" t="n"/>
      <c r="C665" s="32" t="n"/>
      <c r="D665" s="19" t="n"/>
      <c r="E665" s="500" t="n"/>
      <c r="F665" s="499" t="n"/>
      <c r="G665" s="32" t="n"/>
      <c r="H665" s="32" t="n"/>
      <c r="I665" s="530" t="n"/>
      <c r="J665" s="531" t="n"/>
    </row>
    <row r="666">
      <c r="A666" s="30" t="n"/>
      <c r="B666" s="31" t="n"/>
      <c r="C666" s="32" t="n"/>
      <c r="D666" s="19" t="n"/>
      <c r="E666" s="500" t="n"/>
      <c r="F666" s="499" t="n"/>
      <c r="G666" s="32" t="n"/>
      <c r="H666" s="32" t="n"/>
      <c r="I666" s="530" t="n"/>
      <c r="J666" s="531" t="n"/>
    </row>
    <row r="667">
      <c r="A667" s="30" t="n"/>
      <c r="B667" s="31" t="n"/>
      <c r="C667" s="32" t="n"/>
      <c r="D667" s="19" t="n"/>
      <c r="E667" s="500" t="n"/>
      <c r="F667" s="499" t="n"/>
      <c r="G667" s="32" t="n"/>
      <c r="H667" s="32" t="n"/>
      <c r="I667" s="530" t="n"/>
      <c r="J667" s="531" t="n"/>
    </row>
    <row r="668">
      <c r="A668" s="30" t="n"/>
      <c r="B668" s="31" t="n"/>
      <c r="C668" s="32" t="n"/>
      <c r="D668" s="19" t="n"/>
      <c r="E668" s="500" t="n"/>
      <c r="F668" s="499" t="n"/>
      <c r="G668" s="32" t="n"/>
      <c r="H668" s="32" t="n"/>
      <c r="I668" s="530" t="n"/>
      <c r="J668" s="531" t="n"/>
    </row>
    <row r="669">
      <c r="A669" s="30" t="n"/>
      <c r="B669" s="31" t="n"/>
      <c r="C669" s="32" t="n"/>
      <c r="D669" s="19" t="n"/>
      <c r="E669" s="500" t="n"/>
      <c r="F669" s="499" t="n"/>
      <c r="G669" s="32" t="n"/>
      <c r="H669" s="32" t="n"/>
      <c r="I669" s="530" t="n"/>
      <c r="J669" s="531" t="n"/>
    </row>
    <row r="670">
      <c r="A670" s="30" t="n"/>
      <c r="B670" s="31" t="n"/>
      <c r="C670" s="32" t="n"/>
      <c r="D670" s="19" t="n"/>
      <c r="E670" s="500" t="n"/>
      <c r="F670" s="499" t="n"/>
      <c r="G670" s="32" t="n"/>
      <c r="H670" s="32" t="n"/>
      <c r="I670" s="530" t="n"/>
      <c r="J670" s="531" t="n"/>
    </row>
    <row r="671">
      <c r="A671" s="30" t="n"/>
      <c r="B671" s="31" t="n"/>
      <c r="C671" s="32" t="n"/>
      <c r="D671" s="19" t="n"/>
      <c r="E671" s="500" t="n"/>
      <c r="F671" s="499" t="n"/>
      <c r="G671" s="32" t="n"/>
      <c r="H671" s="32" t="n"/>
      <c r="I671" s="530" t="n"/>
      <c r="J671" s="531" t="n"/>
    </row>
    <row r="672">
      <c r="A672" s="30" t="n"/>
      <c r="B672" s="31" t="n"/>
      <c r="C672" s="32" t="n"/>
      <c r="D672" s="19" t="n"/>
      <c r="E672" s="500" t="n"/>
      <c r="F672" s="499" t="n"/>
      <c r="G672" s="32" t="n"/>
      <c r="H672" s="32" t="n"/>
      <c r="I672" s="530" t="n"/>
      <c r="J672" s="531" t="n"/>
    </row>
    <row r="673">
      <c r="A673" s="30" t="n"/>
      <c r="B673" s="31" t="n"/>
      <c r="C673" s="32" t="n"/>
      <c r="D673" s="19" t="n"/>
      <c r="E673" s="500" t="n"/>
      <c r="F673" s="499" t="n"/>
      <c r="G673" s="32" t="n"/>
      <c r="H673" s="32" t="n"/>
      <c r="I673" s="530" t="n"/>
      <c r="J673" s="531" t="n"/>
    </row>
    <row r="674">
      <c r="A674" s="30" t="n"/>
      <c r="B674" s="31" t="n"/>
      <c r="C674" s="32" t="n"/>
      <c r="D674" s="19" t="n"/>
      <c r="E674" s="500" t="n"/>
      <c r="F674" s="499" t="n"/>
      <c r="G674" s="32" t="n"/>
      <c r="H674" s="32" t="n"/>
      <c r="I674" s="530" t="n"/>
      <c r="J674" s="531" t="n"/>
    </row>
    <row r="675">
      <c r="A675" s="30" t="n"/>
      <c r="B675" s="31" t="n"/>
      <c r="C675" s="32" t="n"/>
      <c r="D675" s="19" t="n"/>
      <c r="E675" s="500" t="n"/>
      <c r="F675" s="499" t="n"/>
      <c r="G675" s="32" t="n"/>
      <c r="H675" s="32" t="n"/>
      <c r="I675" s="530" t="n"/>
      <c r="J675" s="531" t="n"/>
    </row>
    <row r="676">
      <c r="A676" s="30" t="n"/>
      <c r="B676" s="31" t="n"/>
      <c r="C676" s="32" t="n"/>
      <c r="D676" s="19" t="n"/>
      <c r="E676" s="500" t="n"/>
      <c r="F676" s="499" t="n"/>
      <c r="G676" s="32" t="n"/>
      <c r="H676" s="32" t="n"/>
      <c r="I676" s="530" t="n"/>
      <c r="J676" s="531" t="n"/>
    </row>
    <row r="677">
      <c r="A677" s="30" t="n"/>
      <c r="B677" s="31" t="n"/>
      <c r="C677" s="32" t="n"/>
      <c r="D677" s="19" t="n"/>
      <c r="E677" s="500" t="n"/>
      <c r="F677" s="499" t="n"/>
      <c r="G677" s="32" t="n"/>
      <c r="H677" s="32" t="n"/>
      <c r="I677" s="530" t="n"/>
      <c r="J677" s="531" t="n"/>
    </row>
    <row r="678">
      <c r="A678" s="30" t="n"/>
      <c r="B678" s="31" t="n"/>
      <c r="C678" s="32" t="n"/>
      <c r="D678" s="19" t="n"/>
      <c r="E678" s="500" t="n"/>
      <c r="F678" s="499" t="n"/>
      <c r="G678" s="32" t="n"/>
      <c r="H678" s="32" t="n"/>
      <c r="I678" s="530" t="n"/>
      <c r="J678" s="531" t="n"/>
    </row>
    <row r="679">
      <c r="A679" s="30" t="n"/>
      <c r="B679" s="31" t="n"/>
      <c r="C679" s="32" t="n"/>
      <c r="D679" s="19" t="n"/>
      <c r="E679" s="500" t="n"/>
      <c r="F679" s="499" t="n"/>
      <c r="G679" s="32" t="n"/>
      <c r="H679" s="32" t="n"/>
      <c r="I679" s="530" t="n"/>
      <c r="J679" s="531" t="n"/>
    </row>
    <row r="680">
      <c r="A680" s="30" t="n"/>
      <c r="B680" s="31" t="n"/>
      <c r="C680" s="32" t="n"/>
      <c r="D680" s="19" t="n"/>
      <c r="E680" s="500" t="n"/>
      <c r="F680" s="499" t="n"/>
      <c r="G680" s="32" t="n"/>
      <c r="H680" s="32" t="n"/>
      <c r="I680" s="530" t="n"/>
      <c r="J680" s="531" t="n"/>
    </row>
    <row r="681">
      <c r="A681" s="30" t="n"/>
      <c r="B681" s="31" t="n"/>
      <c r="C681" s="32" t="n"/>
      <c r="D681" s="19" t="n"/>
      <c r="E681" s="500" t="n"/>
      <c r="F681" s="499" t="n"/>
      <c r="G681" s="32" t="n"/>
      <c r="H681" s="32" t="n"/>
      <c r="I681" s="530" t="n"/>
      <c r="J681" s="531" t="n"/>
    </row>
    <row r="682">
      <c r="A682" s="30" t="n"/>
      <c r="B682" s="31" t="n"/>
      <c r="C682" s="32" t="n"/>
      <c r="D682" s="19" t="n"/>
      <c r="E682" s="500" t="n"/>
      <c r="F682" s="499" t="n"/>
      <c r="G682" s="32" t="n"/>
      <c r="H682" s="32" t="n"/>
      <c r="I682" s="530" t="n"/>
      <c r="J682" s="531" t="n"/>
    </row>
    <row r="683">
      <c r="A683" s="30" t="n"/>
      <c r="B683" s="31" t="n"/>
      <c r="C683" s="32" t="n"/>
      <c r="D683" s="19" t="n"/>
      <c r="E683" s="500" t="n"/>
      <c r="F683" s="499" t="n"/>
      <c r="G683" s="32" t="n"/>
      <c r="H683" s="32" t="n"/>
      <c r="I683" s="530" t="n"/>
      <c r="J683" s="531" t="n"/>
    </row>
    <row r="684">
      <c r="A684" s="30" t="n"/>
      <c r="B684" s="31" t="n"/>
      <c r="C684" s="32" t="n"/>
      <c r="D684" s="19" t="n"/>
      <c r="E684" s="500" t="n"/>
      <c r="F684" s="499" t="n"/>
      <c r="G684" s="32" t="n"/>
      <c r="H684" s="32" t="n"/>
      <c r="I684" s="530" t="n"/>
      <c r="J684" s="531" t="n"/>
    </row>
    <row r="685">
      <c r="A685" s="30" t="n"/>
      <c r="B685" s="31" t="n"/>
      <c r="C685" s="32" t="n"/>
      <c r="D685" s="19" t="n"/>
      <c r="E685" s="500" t="n"/>
      <c r="F685" s="499" t="n"/>
      <c r="G685" s="32" t="n"/>
      <c r="H685" s="32" t="n"/>
      <c r="I685" s="530" t="n"/>
      <c r="J685" s="531" t="n"/>
    </row>
    <row r="686">
      <c r="A686" s="30" t="n"/>
      <c r="B686" s="31" t="n"/>
      <c r="C686" s="32" t="n"/>
      <c r="D686" s="19" t="n"/>
      <c r="E686" s="500" t="n"/>
      <c r="F686" s="499" t="n"/>
      <c r="G686" s="32" t="n"/>
      <c r="H686" s="32" t="n"/>
      <c r="I686" s="530" t="n"/>
      <c r="J686" s="531" t="n"/>
    </row>
    <row r="687">
      <c r="A687" s="30" t="n"/>
      <c r="B687" s="31" t="n"/>
      <c r="C687" s="32" t="n"/>
      <c r="D687" s="19" t="n"/>
      <c r="E687" s="500" t="n"/>
      <c r="F687" s="499" t="n"/>
      <c r="G687" s="32" t="n"/>
      <c r="H687" s="32" t="n"/>
      <c r="I687" s="530" t="n"/>
      <c r="J687" s="531" t="n"/>
    </row>
    <row r="688">
      <c r="A688" s="30" t="n"/>
      <c r="B688" s="31" t="n"/>
      <c r="C688" s="32" t="n"/>
      <c r="D688" s="19" t="n"/>
      <c r="E688" s="500" t="n"/>
      <c r="F688" s="499" t="n"/>
      <c r="G688" s="32" t="n"/>
      <c r="H688" s="32" t="n"/>
      <c r="I688" s="530" t="n"/>
      <c r="J688" s="531" t="n"/>
    </row>
    <row r="689">
      <c r="A689" s="30" t="n"/>
      <c r="B689" s="31" t="n"/>
      <c r="C689" s="32" t="n"/>
      <c r="D689" s="19" t="n"/>
      <c r="E689" s="500" t="n"/>
      <c r="F689" s="499" t="n"/>
      <c r="G689" s="32" t="n"/>
      <c r="H689" s="32" t="n"/>
      <c r="I689" s="530" t="n"/>
      <c r="J689" s="531" t="n"/>
    </row>
    <row r="690">
      <c r="A690" s="30" t="n"/>
      <c r="B690" s="31" t="n"/>
      <c r="C690" s="32" t="n"/>
      <c r="D690" s="19" t="n"/>
      <c r="E690" s="500" t="n"/>
      <c r="F690" s="499" t="n"/>
      <c r="G690" s="32" t="n"/>
      <c r="H690" s="32" t="n"/>
      <c r="I690" s="530" t="n"/>
      <c r="J690" s="531" t="n"/>
    </row>
    <row r="691">
      <c r="A691" s="30" t="n"/>
      <c r="B691" s="31" t="n"/>
      <c r="C691" s="32" t="n"/>
      <c r="D691" s="19" t="n"/>
      <c r="E691" s="500" t="n"/>
      <c r="F691" s="499" t="n"/>
      <c r="G691" s="32" t="n"/>
      <c r="H691" s="32" t="n"/>
      <c r="I691" s="530" t="n"/>
      <c r="J691" s="531" t="n"/>
    </row>
    <row r="692">
      <c r="A692" s="30" t="n"/>
      <c r="B692" s="31" t="n"/>
      <c r="C692" s="32" t="n"/>
      <c r="D692" s="19" t="n"/>
      <c r="E692" s="500" t="n"/>
      <c r="F692" s="499" t="n"/>
      <c r="G692" s="32" t="n"/>
      <c r="H692" s="32" t="n"/>
      <c r="I692" s="530" t="n"/>
      <c r="J692" s="531" t="n"/>
    </row>
    <row r="693">
      <c r="A693" s="30" t="n"/>
      <c r="B693" s="31" t="n"/>
      <c r="C693" s="32" t="n"/>
      <c r="D693" s="19" t="n"/>
      <c r="E693" s="500" t="n"/>
      <c r="F693" s="499" t="n"/>
      <c r="G693" s="32" t="n"/>
      <c r="H693" s="32" t="n"/>
      <c r="I693" s="530" t="n"/>
      <c r="J693" s="531" t="n"/>
    </row>
    <row r="694">
      <c r="A694" s="30" t="n"/>
      <c r="B694" s="31" t="n"/>
      <c r="C694" s="32" t="n"/>
      <c r="D694" s="19" t="n"/>
      <c r="E694" s="500" t="n"/>
      <c r="F694" s="499" t="n"/>
      <c r="G694" s="32" t="n"/>
      <c r="H694" s="32" t="n"/>
      <c r="I694" s="530" t="n"/>
      <c r="J694" s="531" t="n"/>
    </row>
    <row r="695">
      <c r="A695" s="30" t="n"/>
      <c r="B695" s="31" t="n"/>
      <c r="C695" s="32" t="n"/>
      <c r="D695" s="19" t="n"/>
      <c r="E695" s="500" t="n"/>
      <c r="F695" s="499" t="n"/>
      <c r="G695" s="32" t="n"/>
      <c r="H695" s="32" t="n"/>
      <c r="I695" s="530" t="n"/>
      <c r="J695" s="531" t="n"/>
    </row>
    <row r="696">
      <c r="A696" s="30" t="n"/>
      <c r="B696" s="31" t="n"/>
      <c r="C696" s="32" t="n"/>
      <c r="D696" s="19" t="n"/>
      <c r="E696" s="500" t="n"/>
      <c r="F696" s="499" t="n"/>
      <c r="G696" s="32" t="n"/>
      <c r="H696" s="32" t="n"/>
      <c r="I696" s="530" t="n"/>
      <c r="J696" s="531" t="n"/>
    </row>
    <row r="697">
      <c r="A697" s="30" t="n"/>
      <c r="B697" s="31" t="n"/>
      <c r="C697" s="32" t="n"/>
      <c r="D697" s="19" t="n"/>
      <c r="E697" s="500" t="n"/>
      <c r="F697" s="499" t="n"/>
      <c r="G697" s="32" t="n"/>
      <c r="H697" s="32" t="n"/>
      <c r="I697" s="530" t="n"/>
      <c r="J697" s="531" t="n"/>
    </row>
    <row r="698">
      <c r="A698" s="30" t="n"/>
      <c r="B698" s="31" t="n"/>
      <c r="C698" s="32" t="n"/>
      <c r="D698" s="19" t="n"/>
      <c r="E698" s="500" t="n"/>
      <c r="F698" s="499" t="n"/>
      <c r="G698" s="32" t="n"/>
      <c r="H698" s="32" t="n"/>
      <c r="I698" s="530" t="n"/>
      <c r="J698" s="531" t="n"/>
    </row>
    <row r="699">
      <c r="A699" s="30" t="n"/>
      <c r="B699" s="31" t="n"/>
      <c r="C699" s="32" t="n"/>
      <c r="D699" s="19" t="n"/>
      <c r="E699" s="500" t="n"/>
      <c r="F699" s="499" t="n"/>
      <c r="G699" s="32" t="n"/>
      <c r="H699" s="32" t="n"/>
      <c r="I699" s="530" t="n"/>
      <c r="J699" s="531" t="n"/>
    </row>
    <row r="700">
      <c r="A700" s="30" t="n"/>
      <c r="B700" s="31" t="n"/>
      <c r="C700" s="32" t="n"/>
      <c r="D700" s="19" t="n"/>
      <c r="E700" s="500" t="n"/>
      <c r="F700" s="499" t="n"/>
      <c r="G700" s="32" t="n"/>
      <c r="H700" s="32" t="n"/>
      <c r="I700" s="530" t="n"/>
      <c r="J700" s="531" t="n"/>
    </row>
    <row r="701">
      <c r="A701" s="30" t="n"/>
      <c r="B701" s="31" t="n"/>
      <c r="C701" s="32" t="n"/>
      <c r="D701" s="19" t="n"/>
      <c r="E701" s="500" t="n"/>
      <c r="F701" s="499" t="n"/>
      <c r="G701" s="32" t="n"/>
      <c r="H701" s="32" t="n"/>
      <c r="I701" s="530" t="n"/>
      <c r="J701" s="531" t="n"/>
    </row>
    <row r="702">
      <c r="A702" s="30" t="n"/>
      <c r="B702" s="31" t="n"/>
      <c r="C702" s="32" t="n"/>
      <c r="D702" s="19" t="n"/>
      <c r="E702" s="500" t="n"/>
      <c r="F702" s="499" t="n"/>
      <c r="G702" s="32" t="n"/>
      <c r="H702" s="32" t="n"/>
      <c r="I702" s="530" t="n"/>
      <c r="J702" s="531" t="n"/>
    </row>
    <row r="703">
      <c r="A703" s="30" t="n"/>
      <c r="B703" s="31" t="n"/>
      <c r="C703" s="32" t="n"/>
      <c r="D703" s="19" t="n"/>
      <c r="E703" s="500" t="n"/>
      <c r="F703" s="499" t="n"/>
      <c r="G703" s="32" t="n"/>
      <c r="H703" s="32" t="n"/>
      <c r="I703" s="530" t="n"/>
      <c r="J703" s="531" t="n"/>
    </row>
    <row r="704">
      <c r="A704" s="30" t="n"/>
      <c r="B704" s="31" t="n"/>
      <c r="C704" s="32" t="n"/>
      <c r="D704" s="19" t="n"/>
      <c r="E704" s="500" t="n"/>
      <c r="F704" s="499" t="n"/>
      <c r="G704" s="32" t="n"/>
      <c r="H704" s="32" t="n"/>
      <c r="I704" s="530" t="n"/>
      <c r="J704" s="531" t="n"/>
    </row>
    <row r="705">
      <c r="A705" s="30" t="n"/>
      <c r="B705" s="31" t="n"/>
      <c r="C705" s="32" t="n"/>
      <c r="D705" s="19" t="n"/>
      <c r="E705" s="500" t="n"/>
      <c r="F705" s="499" t="n"/>
      <c r="G705" s="32" t="n"/>
      <c r="H705" s="32" t="n"/>
      <c r="I705" s="530" t="n"/>
      <c r="J705" s="531" t="n"/>
    </row>
    <row r="706">
      <c r="A706" s="30" t="n"/>
      <c r="B706" s="31" t="n"/>
      <c r="C706" s="32" t="n"/>
      <c r="D706" s="19" t="n"/>
      <c r="E706" s="500" t="n"/>
      <c r="F706" s="499" t="n"/>
      <c r="G706" s="32" t="n"/>
      <c r="H706" s="32" t="n"/>
      <c r="I706" s="530" t="n"/>
      <c r="J706" s="531" t="n"/>
    </row>
    <row r="707">
      <c r="A707" s="30" t="n"/>
      <c r="B707" s="31" t="n"/>
      <c r="C707" s="32" t="n"/>
      <c r="D707" s="19" t="n"/>
      <c r="E707" s="500" t="n"/>
      <c r="F707" s="499" t="n"/>
      <c r="G707" s="32" t="n"/>
      <c r="H707" s="32" t="n"/>
      <c r="I707" s="530" t="n"/>
      <c r="J707" s="531" t="n"/>
    </row>
    <row r="708">
      <c r="A708" s="30" t="n"/>
      <c r="B708" s="31" t="n"/>
      <c r="C708" s="32" t="n"/>
      <c r="D708" s="19" t="n"/>
      <c r="E708" s="500" t="n"/>
      <c r="F708" s="499" t="n"/>
      <c r="G708" s="32" t="n"/>
      <c r="H708" s="32" t="n"/>
      <c r="I708" s="530" t="n"/>
      <c r="J708" s="531" t="n"/>
    </row>
    <row r="709">
      <c r="A709" s="30" t="n"/>
      <c r="B709" s="31" t="n"/>
      <c r="C709" s="32" t="n"/>
      <c r="D709" s="19" t="n"/>
      <c r="E709" s="500" t="n"/>
      <c r="F709" s="499" t="n"/>
      <c r="G709" s="32" t="n"/>
      <c r="H709" s="32" t="n"/>
      <c r="I709" s="530" t="n"/>
      <c r="J709" s="531" t="n"/>
    </row>
    <row r="710">
      <c r="A710" s="30" t="n"/>
      <c r="B710" s="31" t="n"/>
      <c r="C710" s="32" t="n"/>
      <c r="D710" s="19" t="n"/>
      <c r="E710" s="500" t="n"/>
      <c r="F710" s="499" t="n"/>
      <c r="G710" s="32" t="n"/>
      <c r="H710" s="32" t="n"/>
      <c r="I710" s="530" t="n"/>
      <c r="J710" s="531" t="n"/>
    </row>
    <row r="711">
      <c r="A711" s="30" t="n"/>
      <c r="B711" s="31" t="n"/>
      <c r="C711" s="32" t="n"/>
      <c r="D711" s="19" t="n"/>
      <c r="E711" s="500" t="n"/>
      <c r="F711" s="499" t="n"/>
      <c r="G711" s="32" t="n"/>
      <c r="H711" s="32" t="n"/>
      <c r="I711" s="530" t="n"/>
      <c r="J711" s="531" t="n"/>
    </row>
    <row r="712">
      <c r="A712" s="30" t="n"/>
      <c r="B712" s="31" t="n"/>
      <c r="C712" s="32" t="n"/>
      <c r="D712" s="19" t="n"/>
      <c r="E712" s="500" t="n"/>
      <c r="F712" s="499" t="n"/>
      <c r="G712" s="32" t="n"/>
      <c r="H712" s="32" t="n"/>
      <c r="I712" s="530" t="n"/>
      <c r="J712" s="531" t="n"/>
    </row>
    <row r="713">
      <c r="A713" s="30" t="n"/>
      <c r="B713" s="31" t="n"/>
      <c r="C713" s="32" t="n"/>
      <c r="D713" s="19" t="n"/>
      <c r="E713" s="500" t="n"/>
      <c r="F713" s="499" t="n"/>
      <c r="G713" s="32" t="n"/>
      <c r="H713" s="32" t="n"/>
      <c r="I713" s="530" t="n"/>
      <c r="J713" s="531" t="n"/>
    </row>
    <row r="714">
      <c r="A714" s="30" t="n"/>
      <c r="B714" s="31" t="n"/>
      <c r="C714" s="32" t="n"/>
      <c r="D714" s="19" t="n"/>
      <c r="E714" s="500" t="n"/>
      <c r="F714" s="499" t="n"/>
      <c r="G714" s="32" t="n"/>
      <c r="H714" s="32" t="n"/>
      <c r="I714" s="530" t="n"/>
      <c r="J714" s="531" t="n"/>
    </row>
    <row r="715">
      <c r="A715" s="30" t="n"/>
      <c r="B715" s="31" t="n"/>
      <c r="C715" s="32" t="n"/>
      <c r="D715" s="19" t="n"/>
      <c r="E715" s="500" t="n"/>
      <c r="F715" s="499" t="n"/>
      <c r="G715" s="32" t="n"/>
      <c r="H715" s="32" t="n"/>
      <c r="I715" s="530" t="n"/>
      <c r="J715" s="531" t="n"/>
    </row>
    <row r="716">
      <c r="A716" s="30" t="n"/>
      <c r="B716" s="31" t="n"/>
      <c r="C716" s="32" t="n"/>
      <c r="D716" s="19" t="n"/>
      <c r="E716" s="500" t="n"/>
      <c r="F716" s="499" t="n"/>
      <c r="G716" s="32" t="n"/>
      <c r="H716" s="32" t="n"/>
      <c r="I716" s="530" t="n"/>
      <c r="J716" s="531" t="n"/>
    </row>
    <row r="717">
      <c r="A717" s="30" t="n"/>
      <c r="B717" s="31" t="n"/>
      <c r="C717" s="32" t="n"/>
      <c r="D717" s="19" t="n"/>
      <c r="E717" s="500" t="n"/>
      <c r="F717" s="499" t="n"/>
      <c r="G717" s="32" t="n"/>
      <c r="H717" s="32" t="n"/>
      <c r="I717" s="530" t="n"/>
      <c r="J717" s="531" t="n"/>
    </row>
    <row r="718">
      <c r="A718" s="30" t="n"/>
      <c r="B718" s="31" t="n"/>
      <c r="C718" s="32" t="n"/>
      <c r="D718" s="19" t="n"/>
      <c r="E718" s="500" t="n"/>
      <c r="F718" s="499" t="n"/>
      <c r="G718" s="32" t="n"/>
      <c r="H718" s="32" t="n"/>
      <c r="I718" s="530" t="n"/>
      <c r="J718" s="531" t="n"/>
    </row>
    <row r="719">
      <c r="A719" s="30" t="n"/>
      <c r="B719" s="31" t="n"/>
      <c r="C719" s="32" t="n"/>
      <c r="D719" s="19" t="n"/>
      <c r="E719" s="500" t="n"/>
      <c r="F719" s="499" t="n"/>
      <c r="G719" s="32" t="n"/>
      <c r="H719" s="32" t="n"/>
      <c r="I719" s="530" t="n"/>
      <c r="J719" s="531" t="n"/>
    </row>
    <row r="720">
      <c r="A720" s="30" t="n"/>
      <c r="B720" s="31" t="n"/>
      <c r="C720" s="32" t="n"/>
      <c r="D720" s="19" t="n"/>
      <c r="E720" s="500" t="n"/>
      <c r="F720" s="499" t="n"/>
      <c r="G720" s="32" t="n"/>
      <c r="H720" s="32" t="n"/>
      <c r="I720" s="530" t="n"/>
      <c r="J720" s="531" t="n"/>
    </row>
    <row r="721">
      <c r="A721" s="30" t="n"/>
      <c r="B721" s="31" t="n"/>
      <c r="C721" s="32" t="n"/>
      <c r="D721" s="19" t="n"/>
      <c r="E721" s="500" t="n"/>
      <c r="F721" s="499" t="n"/>
      <c r="G721" s="32" t="n"/>
      <c r="H721" s="32" t="n"/>
      <c r="I721" s="530" t="n"/>
      <c r="J721" s="531" t="n"/>
    </row>
    <row r="722">
      <c r="A722" s="30" t="n"/>
      <c r="B722" s="31" t="n"/>
      <c r="C722" s="32" t="n"/>
      <c r="D722" s="19" t="n"/>
      <c r="E722" s="500" t="n"/>
      <c r="F722" s="499" t="n"/>
      <c r="G722" s="32" t="n"/>
      <c r="H722" s="32" t="n"/>
      <c r="I722" s="530" t="n"/>
      <c r="J722" s="531" t="n"/>
    </row>
    <row r="723">
      <c r="A723" s="30" t="n"/>
      <c r="B723" s="31" t="n"/>
      <c r="C723" s="32" t="n"/>
      <c r="D723" s="19" t="n"/>
      <c r="E723" s="500" t="n"/>
      <c r="F723" s="499" t="n"/>
      <c r="G723" s="32" t="n"/>
      <c r="H723" s="32" t="n"/>
      <c r="I723" s="530" t="n"/>
      <c r="J723" s="531" t="n"/>
    </row>
    <row r="724">
      <c r="A724" s="30" t="n"/>
      <c r="B724" s="31" t="n"/>
      <c r="C724" s="32" t="n"/>
      <c r="D724" s="19" t="n"/>
      <c r="E724" s="500" t="n"/>
      <c r="F724" s="499" t="n"/>
      <c r="G724" s="32" t="n"/>
      <c r="H724" s="32" t="n"/>
      <c r="I724" s="530" t="n"/>
      <c r="J724" s="531" t="n"/>
    </row>
    <row r="725">
      <c r="A725" s="30" t="n"/>
      <c r="B725" s="31" t="n"/>
      <c r="C725" s="32" t="n"/>
      <c r="D725" s="19" t="n"/>
      <c r="E725" s="500" t="n"/>
      <c r="F725" s="499" t="n"/>
      <c r="G725" s="32" t="n"/>
      <c r="H725" s="32" t="n"/>
      <c r="I725" s="530" t="n"/>
      <c r="J725" s="531" t="n"/>
    </row>
    <row r="726">
      <c r="A726" s="30" t="n"/>
      <c r="B726" s="31" t="n"/>
      <c r="C726" s="32" t="n"/>
      <c r="D726" s="19" t="n"/>
      <c r="E726" s="500" t="n"/>
      <c r="F726" s="499" t="n"/>
      <c r="G726" s="32" t="n"/>
      <c r="H726" s="32" t="n"/>
      <c r="I726" s="530" t="n"/>
      <c r="J726" s="531" t="n"/>
    </row>
    <row r="727">
      <c r="A727" s="30" t="n"/>
      <c r="B727" s="31" t="n"/>
      <c r="C727" s="32" t="n"/>
      <c r="D727" s="19" t="n"/>
      <c r="E727" s="500" t="n"/>
      <c r="F727" s="499" t="n"/>
      <c r="G727" s="32" t="n"/>
      <c r="H727" s="32" t="n"/>
      <c r="I727" s="530" t="n"/>
      <c r="J727" s="531" t="n"/>
    </row>
    <row r="728">
      <c r="A728" s="30" t="n"/>
      <c r="B728" s="31" t="n"/>
      <c r="C728" s="32" t="n"/>
      <c r="D728" s="19" t="n"/>
      <c r="E728" s="500" t="n"/>
      <c r="F728" s="499" t="n"/>
      <c r="G728" s="32" t="n"/>
      <c r="H728" s="32" t="n"/>
      <c r="I728" s="530" t="n"/>
      <c r="J728" s="531" t="n"/>
    </row>
    <row r="729">
      <c r="A729" s="30" t="n"/>
      <c r="B729" s="31" t="n"/>
      <c r="C729" s="32" t="n"/>
      <c r="D729" s="19" t="n"/>
      <c r="E729" s="500" t="n"/>
      <c r="F729" s="499" t="n"/>
      <c r="G729" s="32" t="n"/>
      <c r="H729" s="32" t="n"/>
      <c r="I729" s="530" t="n"/>
      <c r="J729" s="531" t="n"/>
    </row>
    <row r="730">
      <c r="A730" s="30" t="n"/>
      <c r="B730" s="31" t="n"/>
      <c r="C730" s="32" t="n"/>
      <c r="D730" s="19" t="n"/>
      <c r="E730" s="500" t="n"/>
      <c r="F730" s="499" t="n"/>
      <c r="G730" s="32" t="n"/>
      <c r="H730" s="32" t="n"/>
      <c r="I730" s="530" t="n"/>
      <c r="J730" s="531" t="n"/>
    </row>
    <row r="731">
      <c r="A731" s="30" t="n"/>
      <c r="B731" s="31" t="n"/>
      <c r="C731" s="32" t="n"/>
      <c r="D731" s="19" t="n"/>
      <c r="E731" s="500" t="n"/>
      <c r="F731" s="499" t="n"/>
      <c r="G731" s="32" t="n"/>
      <c r="H731" s="32" t="n"/>
      <c r="I731" s="530" t="n"/>
      <c r="J731" s="531" t="n"/>
    </row>
    <row r="732">
      <c r="A732" s="30" t="n"/>
      <c r="B732" s="31" t="n"/>
      <c r="C732" s="32" t="n"/>
      <c r="D732" s="19" t="n"/>
      <c r="E732" s="500" t="n"/>
      <c r="F732" s="499" t="n"/>
      <c r="G732" s="32" t="n"/>
      <c r="H732" s="32" t="n"/>
      <c r="I732" s="530" t="n"/>
      <c r="J732" s="531" t="n"/>
    </row>
    <row r="733" customFormat="1" s="36">
      <c r="A733" s="30" t="n"/>
      <c r="B733" s="31" t="n"/>
      <c r="C733" s="32" t="n"/>
      <c r="D733" s="19" t="n"/>
      <c r="E733" s="500" t="n"/>
      <c r="F733" s="499" t="n"/>
      <c r="G733" s="32" t="n"/>
      <c r="H733" s="32" t="n"/>
      <c r="I733" s="530" t="n"/>
      <c r="J733" s="531" t="n"/>
      <c r="L733" s="536" t="n"/>
    </row>
    <row r="734">
      <c r="A734" s="30" t="n"/>
      <c r="B734" s="31" t="n"/>
      <c r="C734" s="32" t="n"/>
      <c r="D734" s="19" t="n"/>
      <c r="E734" s="500" t="n"/>
      <c r="F734" s="499" t="n"/>
      <c r="G734" s="32" t="n"/>
      <c r="H734" s="32" t="n"/>
      <c r="I734" s="530" t="n"/>
      <c r="J734" s="531" t="n"/>
    </row>
    <row r="735">
      <c r="A735" s="30" t="n"/>
      <c r="B735" s="31" t="n"/>
      <c r="C735" s="32" t="n"/>
      <c r="D735" s="19" t="n"/>
      <c r="E735" s="500" t="n"/>
      <c r="F735" s="499" t="n"/>
      <c r="G735" s="32" t="n"/>
      <c r="H735" s="32" t="n"/>
      <c r="I735" s="530" t="n"/>
      <c r="J735" s="531" t="n"/>
    </row>
    <row r="736">
      <c r="A736" s="30" t="n"/>
      <c r="B736" s="31" t="n"/>
      <c r="C736" s="32" t="n"/>
      <c r="D736" s="19" t="n"/>
      <c r="E736" s="500" t="n"/>
      <c r="F736" s="499" t="n"/>
      <c r="G736" s="32" t="n"/>
      <c r="H736" s="32" t="n"/>
      <c r="I736" s="530" t="n"/>
      <c r="J736" s="531" t="n"/>
    </row>
    <row r="737">
      <c r="A737" s="30" t="n"/>
      <c r="B737" s="31" t="n"/>
      <c r="C737" s="32" t="n"/>
      <c r="D737" s="19" t="n"/>
      <c r="E737" s="500" t="n"/>
      <c r="F737" s="499" t="n"/>
      <c r="G737" s="32" t="n"/>
      <c r="H737" s="32" t="n"/>
      <c r="I737" s="530" t="n"/>
      <c r="J737" s="531" t="n"/>
    </row>
    <row r="738">
      <c r="A738" s="30" t="n"/>
      <c r="B738" s="31" t="n"/>
      <c r="C738" s="32" t="n"/>
      <c r="D738" s="19" t="n"/>
      <c r="E738" s="500" t="n"/>
      <c r="F738" s="499" t="n"/>
      <c r="G738" s="32" t="n"/>
      <c r="H738" s="32" t="n"/>
      <c r="I738" s="530" t="n"/>
      <c r="J738" s="531" t="n"/>
    </row>
    <row r="739">
      <c r="A739" s="30" t="n"/>
      <c r="B739" s="31" t="n"/>
      <c r="C739" s="32" t="n"/>
      <c r="D739" s="19" t="n"/>
      <c r="E739" s="500" t="n"/>
      <c r="F739" s="499" t="n"/>
      <c r="G739" s="32" t="n"/>
      <c r="H739" s="32" t="n"/>
      <c r="I739" s="530" t="n"/>
      <c r="J739" s="531" t="n"/>
    </row>
    <row r="740">
      <c r="A740" s="30" t="n"/>
      <c r="B740" s="31" t="n"/>
      <c r="C740" s="32" t="n"/>
      <c r="D740" s="19" t="n"/>
      <c r="E740" s="500" t="n"/>
      <c r="F740" s="499" t="n"/>
      <c r="G740" s="32" t="n"/>
      <c r="H740" s="32" t="n"/>
      <c r="I740" s="530" t="n"/>
      <c r="J740" s="531" t="n"/>
    </row>
    <row r="741">
      <c r="A741" s="30" t="n"/>
      <c r="B741" s="31" t="n"/>
      <c r="C741" s="32" t="n"/>
      <c r="D741" s="19" t="n"/>
      <c r="E741" s="500" t="n"/>
      <c r="F741" s="499" t="n"/>
      <c r="G741" s="32" t="n"/>
      <c r="H741" s="32" t="n"/>
      <c r="I741" s="530" t="n"/>
      <c r="J741" s="531" t="n"/>
    </row>
    <row r="742">
      <c r="A742" s="30" t="n"/>
      <c r="B742" s="31" t="n"/>
      <c r="C742" s="32" t="n"/>
      <c r="D742" s="19" t="n"/>
      <c r="E742" s="500" t="n"/>
      <c r="F742" s="499" t="n"/>
      <c r="G742" s="32" t="n"/>
      <c r="H742" s="32" t="n"/>
      <c r="I742" s="530" t="n"/>
      <c r="J742" s="531" t="n"/>
    </row>
    <row r="743">
      <c r="A743" s="30" t="n"/>
      <c r="B743" s="31" t="n"/>
      <c r="C743" s="32" t="n"/>
      <c r="D743" s="19" t="n"/>
      <c r="E743" s="500" t="n"/>
      <c r="F743" s="499" t="n"/>
      <c r="G743" s="32" t="n"/>
      <c r="H743" s="32" t="n"/>
      <c r="I743" s="530" t="n"/>
      <c r="J743" s="531" t="n"/>
    </row>
    <row r="744">
      <c r="A744" s="30" t="n"/>
      <c r="B744" s="31" t="n"/>
      <c r="C744" s="32" t="n"/>
      <c r="D744" s="19" t="n"/>
      <c r="E744" s="500" t="n"/>
      <c r="F744" s="499" t="n"/>
      <c r="G744" s="32" t="n"/>
      <c r="H744" s="32" t="n"/>
      <c r="I744" s="530" t="n"/>
      <c r="J744" s="531" t="n"/>
    </row>
    <row r="745">
      <c r="A745" s="30" t="n"/>
      <c r="B745" s="31" t="n"/>
      <c r="C745" s="32" t="n"/>
      <c r="D745" s="19" t="n"/>
      <c r="E745" s="500" t="n"/>
      <c r="F745" s="499" t="n"/>
      <c r="G745" s="32" t="n"/>
      <c r="H745" s="32" t="n"/>
      <c r="I745" s="530" t="n"/>
      <c r="J745" s="531" t="n"/>
    </row>
    <row r="746">
      <c r="A746" s="30" t="n"/>
      <c r="B746" s="31" t="n"/>
      <c r="C746" s="32" t="n"/>
      <c r="D746" s="19" t="n"/>
      <c r="E746" s="500" t="n"/>
      <c r="F746" s="499" t="n"/>
      <c r="G746" s="32" t="n"/>
      <c r="H746" s="32" t="n"/>
      <c r="I746" s="530" t="n"/>
      <c r="J746" s="531" t="n"/>
    </row>
    <row r="747">
      <c r="A747" s="30" t="n"/>
      <c r="B747" s="31" t="n"/>
      <c r="C747" s="32" t="n"/>
      <c r="D747" s="19" t="n"/>
      <c r="E747" s="500" t="n"/>
      <c r="F747" s="499" t="n"/>
      <c r="G747" s="32" t="n"/>
      <c r="H747" s="32" t="n"/>
      <c r="I747" s="530" t="n"/>
      <c r="J747" s="531" t="n"/>
    </row>
    <row r="748">
      <c r="A748" s="30" t="n"/>
      <c r="B748" s="31" t="n"/>
      <c r="C748" s="32" t="n"/>
      <c r="D748" s="19" t="n"/>
      <c r="E748" s="500" t="n"/>
      <c r="F748" s="499" t="n"/>
      <c r="G748" s="32" t="n"/>
      <c r="H748" s="32" t="n"/>
      <c r="I748" s="530" t="n"/>
      <c r="J748" s="531" t="n"/>
    </row>
    <row r="749">
      <c r="A749" s="30" t="n"/>
      <c r="B749" s="31" t="n"/>
      <c r="C749" s="32" t="n"/>
      <c r="D749" s="19" t="n"/>
      <c r="E749" s="500" t="n"/>
      <c r="F749" s="499" t="n"/>
      <c r="G749" s="32" t="n"/>
      <c r="H749" s="32" t="n"/>
      <c r="I749" s="530" t="n"/>
      <c r="J749" s="531" t="n"/>
    </row>
    <row r="750">
      <c r="A750" s="30" t="n"/>
      <c r="B750" s="31" t="n"/>
      <c r="C750" s="32" t="n"/>
      <c r="D750" s="19" t="n"/>
      <c r="E750" s="500" t="n"/>
      <c r="F750" s="499" t="n"/>
      <c r="G750" s="32" t="n"/>
      <c r="H750" s="32" t="n"/>
      <c r="I750" s="530" t="n"/>
      <c r="J750" s="531" t="n"/>
    </row>
    <row r="751">
      <c r="A751" s="30" t="n"/>
      <c r="B751" s="31" t="n"/>
      <c r="C751" s="32" t="n"/>
      <c r="D751" s="19" t="n"/>
      <c r="E751" s="500" t="n"/>
      <c r="F751" s="499" t="n"/>
      <c r="G751" s="32" t="n"/>
      <c r="H751" s="32" t="n"/>
      <c r="I751" s="530" t="n"/>
      <c r="J751" s="531" t="n"/>
    </row>
    <row r="752">
      <c r="A752" s="30" t="n"/>
      <c r="B752" s="31" t="n"/>
      <c r="C752" s="32" t="n"/>
      <c r="D752" s="19" t="n"/>
      <c r="E752" s="500" t="n"/>
      <c r="F752" s="499" t="n"/>
      <c r="G752" s="32" t="n"/>
      <c r="H752" s="32" t="n"/>
      <c r="I752" s="530" t="n"/>
      <c r="J752" s="531" t="n"/>
    </row>
    <row r="753">
      <c r="A753" s="30" t="n"/>
      <c r="B753" s="31" t="n"/>
      <c r="C753" s="32" t="n"/>
      <c r="D753" s="19" t="n"/>
      <c r="E753" s="500" t="n"/>
      <c r="F753" s="499" t="n"/>
      <c r="G753" s="32" t="n"/>
      <c r="H753" s="32" t="n"/>
      <c r="I753" s="530" t="n"/>
      <c r="J753" s="531" t="n"/>
    </row>
    <row r="754">
      <c r="A754" s="30" t="n"/>
      <c r="B754" s="31" t="n"/>
      <c r="C754" s="32" t="n"/>
      <c r="D754" s="19" t="n"/>
      <c r="E754" s="500" t="n"/>
      <c r="F754" s="499" t="n"/>
      <c r="G754" s="32" t="n"/>
      <c r="H754" s="32" t="n"/>
      <c r="I754" s="530" t="n"/>
      <c r="J754" s="531" t="n"/>
    </row>
    <row r="755">
      <c r="A755" s="30" t="n"/>
      <c r="B755" s="31" t="n"/>
      <c r="C755" s="32" t="n"/>
      <c r="D755" s="19" t="n"/>
      <c r="E755" s="500" t="n"/>
      <c r="F755" s="499" t="n"/>
      <c r="G755" s="32" t="n"/>
      <c r="H755" s="32" t="n"/>
      <c r="I755" s="530" t="n"/>
      <c r="J755" s="531" t="n"/>
    </row>
    <row r="756">
      <c r="A756" s="30" t="n"/>
      <c r="B756" s="31" t="n"/>
      <c r="C756" s="32" t="n"/>
      <c r="D756" s="19" t="n"/>
      <c r="E756" s="500" t="n"/>
      <c r="F756" s="499" t="n"/>
      <c r="G756" s="32" t="n"/>
      <c r="H756" s="32" t="n"/>
      <c r="I756" s="530" t="n"/>
      <c r="J756" s="531" t="n"/>
    </row>
    <row r="757">
      <c r="A757" s="30" t="n"/>
      <c r="B757" s="31" t="n"/>
      <c r="C757" s="32" t="n"/>
      <c r="D757" s="19" t="n"/>
      <c r="E757" s="500" t="n"/>
      <c r="F757" s="499" t="n"/>
      <c r="G757" s="32" t="n"/>
      <c r="H757" s="32" t="n"/>
      <c r="I757" s="530" t="n"/>
      <c r="J757" s="531" t="n"/>
    </row>
    <row r="758">
      <c r="A758" s="30" t="n"/>
      <c r="B758" s="31" t="n"/>
      <c r="C758" s="32" t="n"/>
      <c r="D758" s="19" t="n"/>
      <c r="E758" s="500" t="n"/>
      <c r="F758" s="499" t="n"/>
      <c r="G758" s="32" t="n"/>
      <c r="H758" s="32" t="n"/>
      <c r="I758" s="530" t="n"/>
      <c r="J758" s="531" t="n"/>
    </row>
    <row r="759">
      <c r="A759" s="30" t="n"/>
      <c r="B759" s="31" t="n"/>
      <c r="C759" s="32" t="n"/>
      <c r="D759" s="19" t="n"/>
      <c r="E759" s="500" t="n"/>
      <c r="F759" s="499" t="n"/>
      <c r="G759" s="32" t="n"/>
      <c r="H759" s="32" t="n"/>
      <c r="I759" s="530" t="n"/>
      <c r="J759" s="531" t="n"/>
    </row>
    <row r="760">
      <c r="A760" s="30" t="n"/>
      <c r="B760" s="31" t="n"/>
      <c r="C760" s="32" t="n"/>
      <c r="D760" s="19" t="n"/>
      <c r="E760" s="500" t="n"/>
      <c r="F760" s="499" t="n"/>
      <c r="G760" s="32" t="n"/>
      <c r="H760" s="32" t="n"/>
      <c r="I760" s="530" t="n"/>
      <c r="J760" s="531" t="n"/>
    </row>
    <row r="761">
      <c r="A761" s="30" t="n"/>
      <c r="B761" s="31" t="n"/>
      <c r="C761" s="32" t="n"/>
      <c r="D761" s="19" t="n"/>
      <c r="E761" s="500" t="n"/>
      <c r="F761" s="499" t="n"/>
      <c r="G761" s="32" t="n"/>
      <c r="H761" s="32" t="n"/>
      <c r="I761" s="530" t="n"/>
      <c r="J761" s="531" t="n"/>
    </row>
    <row r="762">
      <c r="A762" s="30" t="n"/>
      <c r="B762" s="31" t="n"/>
      <c r="C762" s="32" t="n"/>
      <c r="D762" s="19" t="n"/>
      <c r="E762" s="500" t="n"/>
      <c r="F762" s="499" t="n"/>
      <c r="G762" s="32" t="n"/>
      <c r="H762" s="32" t="n"/>
      <c r="I762" s="530" t="n"/>
      <c r="J762" s="531" t="n"/>
    </row>
    <row r="763">
      <c r="A763" s="30" t="n"/>
      <c r="B763" s="31" t="n"/>
      <c r="C763" s="32" t="n"/>
      <c r="D763" s="19" t="n"/>
      <c r="E763" s="500" t="n"/>
      <c r="F763" s="499" t="n"/>
      <c r="G763" s="32" t="n"/>
      <c r="H763" s="32" t="n"/>
      <c r="I763" s="530" t="n"/>
      <c r="J763" s="531" t="n"/>
    </row>
    <row r="764">
      <c r="A764" s="30" t="n"/>
      <c r="B764" s="31" t="n"/>
      <c r="C764" s="32" t="n"/>
      <c r="D764" s="19" t="n"/>
      <c r="E764" s="500" t="n"/>
      <c r="F764" s="499" t="n"/>
      <c r="G764" s="32" t="n"/>
      <c r="H764" s="32" t="n"/>
      <c r="I764" s="530" t="n"/>
      <c r="J764" s="531" t="n"/>
    </row>
    <row r="765">
      <c r="A765" s="30" t="n"/>
      <c r="B765" s="31" t="n"/>
      <c r="C765" s="32" t="n"/>
      <c r="D765" s="19" t="n"/>
      <c r="E765" s="500" t="n"/>
      <c r="F765" s="499" t="n"/>
      <c r="G765" s="32" t="n"/>
      <c r="H765" s="32" t="n"/>
      <c r="I765" s="530" t="n"/>
      <c r="J765" s="531" t="n"/>
    </row>
    <row r="766">
      <c r="A766" s="30" t="n"/>
      <c r="B766" s="31" t="n"/>
      <c r="C766" s="32" t="n"/>
      <c r="D766" s="19" t="n"/>
      <c r="E766" s="500" t="n"/>
      <c r="F766" s="499" t="n"/>
      <c r="G766" s="32" t="n"/>
      <c r="H766" s="32" t="n"/>
      <c r="I766" s="530" t="n"/>
      <c r="J766" s="531" t="n"/>
    </row>
    <row r="767">
      <c r="A767" s="30" t="n"/>
      <c r="B767" s="31" t="n"/>
      <c r="C767" s="32" t="n"/>
      <c r="D767" s="19" t="n"/>
      <c r="E767" s="500" t="n"/>
      <c r="F767" s="499" t="n"/>
      <c r="G767" s="32" t="n"/>
      <c r="H767" s="32" t="n"/>
      <c r="I767" s="530" t="n"/>
      <c r="J767" s="531" t="n"/>
    </row>
    <row r="768">
      <c r="A768" s="30" t="n"/>
      <c r="B768" s="31" t="n"/>
      <c r="C768" s="32" t="n"/>
      <c r="D768" s="19" t="n"/>
      <c r="E768" s="500" t="n"/>
      <c r="F768" s="499" t="n"/>
      <c r="G768" s="32" t="n"/>
      <c r="H768" s="32" t="n"/>
      <c r="I768" s="530" t="n"/>
      <c r="J768" s="531" t="n"/>
    </row>
    <row r="769">
      <c r="A769" s="30" t="n"/>
      <c r="B769" s="31" t="n"/>
      <c r="C769" s="32" t="n"/>
      <c r="D769" s="19" t="n"/>
      <c r="E769" s="500" t="n"/>
      <c r="F769" s="499" t="n"/>
      <c r="G769" s="32" t="n"/>
      <c r="H769" s="32" t="n"/>
      <c r="I769" s="530" t="n"/>
      <c r="J769" s="531" t="n"/>
    </row>
    <row r="770">
      <c r="A770" s="30" t="n"/>
      <c r="B770" s="31" t="n"/>
      <c r="C770" s="32" t="n"/>
      <c r="D770" s="19" t="n"/>
      <c r="E770" s="500" t="n"/>
      <c r="F770" s="499" t="n"/>
      <c r="G770" s="32" t="n"/>
      <c r="H770" s="32" t="n"/>
      <c r="I770" s="530" t="n"/>
      <c r="J770" s="531" t="n"/>
    </row>
    <row r="771">
      <c r="A771" s="30" t="n"/>
      <c r="B771" s="31" t="n"/>
      <c r="C771" s="32" t="n"/>
      <c r="D771" s="19" t="n"/>
      <c r="E771" s="500" t="n"/>
      <c r="F771" s="499" t="n"/>
      <c r="G771" s="32" t="n"/>
      <c r="H771" s="32" t="n"/>
      <c r="I771" s="530" t="n"/>
      <c r="J771" s="531" t="n"/>
    </row>
    <row r="772">
      <c r="A772" s="30" t="n"/>
      <c r="B772" s="31" t="n"/>
      <c r="C772" s="32" t="n"/>
      <c r="D772" s="19" t="n"/>
      <c r="E772" s="500" t="n"/>
      <c r="F772" s="499" t="n"/>
      <c r="G772" s="32" t="n"/>
      <c r="H772" s="32" t="n"/>
      <c r="I772" s="530" t="n"/>
      <c r="J772" s="531" t="n"/>
    </row>
    <row r="773">
      <c r="A773" s="30" t="n"/>
      <c r="B773" s="31" t="n"/>
      <c r="C773" s="32" t="n"/>
      <c r="D773" s="19" t="n"/>
      <c r="E773" s="500" t="n"/>
      <c r="F773" s="499" t="n"/>
      <c r="G773" s="32" t="n"/>
      <c r="H773" s="32" t="n"/>
      <c r="I773" s="530" t="n"/>
      <c r="J773" s="531" t="n"/>
    </row>
    <row r="774">
      <c r="A774" s="30" t="n"/>
      <c r="B774" s="31" t="n"/>
      <c r="C774" s="32" t="n"/>
      <c r="D774" s="19" t="n"/>
      <c r="E774" s="500" t="n"/>
      <c r="F774" s="499" t="n"/>
      <c r="G774" s="32" t="n"/>
      <c r="H774" s="32" t="n"/>
      <c r="I774" s="530" t="n"/>
      <c r="J774" s="531" t="n"/>
    </row>
    <row r="775">
      <c r="A775" s="30" t="n"/>
      <c r="B775" s="31" t="n"/>
      <c r="C775" s="32" t="n"/>
      <c r="D775" s="19" t="n"/>
      <c r="E775" s="500" t="n"/>
      <c r="F775" s="499" t="n"/>
      <c r="G775" s="32" t="n"/>
      <c r="H775" s="32" t="n"/>
      <c r="I775" s="530" t="n"/>
      <c r="J775" s="531" t="n"/>
    </row>
    <row r="776">
      <c r="A776" s="30" t="n"/>
      <c r="B776" s="31" t="n"/>
      <c r="C776" s="32" t="n"/>
      <c r="D776" s="19" t="n"/>
      <c r="E776" s="500" t="n"/>
      <c r="F776" s="499" t="n"/>
      <c r="G776" s="32" t="n"/>
      <c r="H776" s="32" t="n"/>
      <c r="I776" s="530" t="n"/>
      <c r="J776" s="531" t="n"/>
    </row>
    <row r="777">
      <c r="A777" s="30" t="n"/>
      <c r="B777" s="31" t="n"/>
      <c r="C777" s="32" t="n"/>
      <c r="D777" s="19" t="n"/>
      <c r="E777" s="500" t="n"/>
      <c r="F777" s="499" t="n"/>
      <c r="G777" s="32" t="n"/>
      <c r="H777" s="32" t="n"/>
      <c r="I777" s="530" t="n"/>
      <c r="J777" s="531" t="n"/>
    </row>
    <row r="778">
      <c r="A778" s="30" t="n"/>
      <c r="B778" s="31" t="n"/>
      <c r="C778" s="32" t="n"/>
      <c r="D778" s="19" t="n"/>
      <c r="E778" s="500" t="n"/>
      <c r="F778" s="499" t="n"/>
      <c r="G778" s="32" t="n"/>
      <c r="H778" s="32" t="n"/>
      <c r="I778" s="530" t="n"/>
      <c r="J778" s="531" t="n"/>
    </row>
    <row r="779">
      <c r="A779" s="30" t="n"/>
      <c r="B779" s="31" t="n"/>
      <c r="C779" s="32" t="n"/>
      <c r="D779" s="19" t="n"/>
      <c r="E779" s="500" t="n"/>
      <c r="F779" s="499" t="n"/>
      <c r="G779" s="32" t="n"/>
      <c r="H779" s="32" t="n"/>
      <c r="I779" s="530" t="n"/>
      <c r="J779" s="531" t="n"/>
    </row>
    <row r="780">
      <c r="A780" s="30" t="n"/>
      <c r="B780" s="31" t="n"/>
      <c r="C780" s="32" t="n"/>
      <c r="D780" s="19" t="n"/>
      <c r="E780" s="500" t="n"/>
      <c r="F780" s="499" t="n"/>
      <c r="G780" s="32" t="n"/>
      <c r="H780" s="32" t="n"/>
      <c r="I780" s="530" t="n"/>
      <c r="J780" s="531" t="n"/>
    </row>
    <row r="781">
      <c r="A781" s="30" t="n"/>
      <c r="B781" s="31" t="n"/>
      <c r="C781" s="32" t="n"/>
      <c r="D781" s="19" t="n"/>
      <c r="E781" s="500" t="n"/>
      <c r="F781" s="499" t="n"/>
      <c r="G781" s="32" t="n"/>
      <c r="H781" s="32" t="n"/>
      <c r="I781" s="530" t="n"/>
      <c r="J781" s="531" t="n"/>
    </row>
    <row r="782">
      <c r="A782" s="30" t="n"/>
      <c r="B782" s="31" t="n"/>
      <c r="C782" s="32" t="n"/>
      <c r="D782" s="19" t="n"/>
      <c r="E782" s="500" t="n"/>
      <c r="F782" s="499" t="n"/>
      <c r="G782" s="32" t="n"/>
      <c r="H782" s="32" t="n"/>
      <c r="I782" s="530" t="n"/>
      <c r="J782" s="531" t="n"/>
    </row>
    <row r="783">
      <c r="A783" s="30" t="n"/>
      <c r="B783" s="31" t="n"/>
      <c r="C783" s="32" t="n"/>
      <c r="D783" s="19" t="n"/>
      <c r="E783" s="500" t="n"/>
      <c r="F783" s="499" t="n"/>
      <c r="G783" s="32" t="n"/>
      <c r="H783" s="32" t="n"/>
      <c r="I783" s="530" t="n"/>
      <c r="J783" s="531" t="n"/>
    </row>
    <row r="784">
      <c r="A784" s="30" t="n"/>
      <c r="B784" s="31" t="n"/>
      <c r="C784" s="32" t="n"/>
      <c r="D784" s="19" t="n"/>
      <c r="E784" s="500" t="n"/>
      <c r="F784" s="499" t="n"/>
      <c r="G784" s="32" t="n"/>
      <c r="H784" s="32" t="n"/>
      <c r="I784" s="530" t="n"/>
      <c r="J784" s="531" t="n"/>
    </row>
    <row r="785">
      <c r="A785" s="30" t="n"/>
      <c r="B785" s="31" t="n"/>
      <c r="C785" s="32" t="n"/>
      <c r="D785" s="19" t="n"/>
      <c r="E785" s="500" t="n"/>
      <c r="F785" s="499" t="n"/>
      <c r="G785" s="32" t="n"/>
      <c r="H785" s="32" t="n"/>
      <c r="I785" s="530" t="n"/>
      <c r="J785" s="531" t="n"/>
    </row>
    <row r="786">
      <c r="A786" s="30" t="n"/>
      <c r="B786" s="31" t="n"/>
      <c r="C786" s="32" t="n"/>
      <c r="D786" s="19" t="n"/>
      <c r="E786" s="500" t="n"/>
      <c r="F786" s="499" t="n"/>
      <c r="G786" s="32" t="n"/>
      <c r="H786" s="32" t="n"/>
      <c r="I786" s="530" t="n"/>
      <c r="J786" s="531" t="n"/>
    </row>
    <row r="787">
      <c r="A787" s="30" t="n"/>
      <c r="B787" s="31" t="n"/>
      <c r="C787" s="32" t="n"/>
      <c r="D787" s="19" t="n"/>
      <c r="E787" s="500" t="n"/>
      <c r="F787" s="499" t="n"/>
      <c r="G787" s="32" t="n"/>
      <c r="H787" s="32" t="n"/>
      <c r="I787" s="530" t="n"/>
      <c r="J787" s="531" t="n"/>
    </row>
    <row r="788">
      <c r="A788" s="30" t="n"/>
      <c r="B788" s="31" t="n"/>
      <c r="C788" s="32" t="n"/>
      <c r="D788" s="19" t="n"/>
      <c r="E788" s="500" t="n"/>
      <c r="F788" s="499" t="n"/>
      <c r="G788" s="32" t="n"/>
      <c r="H788" s="32" t="n"/>
      <c r="I788" s="530" t="n"/>
      <c r="J788" s="531" t="n"/>
    </row>
    <row r="789">
      <c r="A789" s="30" t="n"/>
      <c r="B789" s="31" t="n"/>
      <c r="C789" s="32" t="n"/>
      <c r="D789" s="19" t="n"/>
      <c r="E789" s="500" t="n"/>
      <c r="F789" s="499" t="n"/>
      <c r="G789" s="32" t="n"/>
      <c r="H789" s="32" t="n"/>
      <c r="I789" s="530" t="n"/>
      <c r="J789" s="531" t="n"/>
    </row>
    <row r="790">
      <c r="A790" s="30" t="n"/>
      <c r="B790" s="31" t="n"/>
      <c r="C790" s="32" t="n"/>
      <c r="D790" s="19" t="n"/>
      <c r="E790" s="500" t="n"/>
      <c r="F790" s="499" t="n"/>
      <c r="G790" s="32" t="n"/>
      <c r="H790" s="32" t="n"/>
      <c r="I790" s="530" t="n"/>
      <c r="J790" s="531" t="n"/>
    </row>
    <row r="791">
      <c r="A791" s="30" t="n"/>
      <c r="B791" s="31" t="n"/>
      <c r="C791" s="32" t="n"/>
      <c r="D791" s="19" t="n"/>
      <c r="E791" s="500" t="n"/>
      <c r="F791" s="499" t="n"/>
      <c r="G791" s="32" t="n"/>
      <c r="H791" s="32" t="n"/>
      <c r="I791" s="530" t="n"/>
      <c r="J791" s="531" t="n"/>
    </row>
    <row r="792">
      <c r="A792" s="30" t="n"/>
      <c r="B792" s="31" t="n"/>
      <c r="C792" s="32" t="n"/>
      <c r="D792" s="19" t="n"/>
      <c r="E792" s="500" t="n"/>
      <c r="F792" s="499" t="n"/>
      <c r="G792" s="32" t="n"/>
      <c r="H792" s="32" t="n"/>
      <c r="I792" s="530" t="n"/>
      <c r="J792" s="531" t="n"/>
    </row>
    <row r="793">
      <c r="A793" s="30" t="n"/>
      <c r="B793" s="31" t="n"/>
      <c r="C793" s="32" t="n"/>
      <c r="D793" s="19" t="n"/>
      <c r="E793" s="500" t="n"/>
      <c r="F793" s="499" t="n"/>
      <c r="G793" s="32" t="n"/>
      <c r="H793" s="32" t="n"/>
      <c r="I793" s="530" t="n"/>
      <c r="J793" s="531" t="n"/>
    </row>
    <row r="794">
      <c r="A794" s="30" t="n"/>
      <c r="B794" s="31" t="n"/>
      <c r="C794" s="32" t="n"/>
      <c r="D794" s="19" t="n"/>
      <c r="E794" s="500" t="n"/>
      <c r="F794" s="499" t="n"/>
      <c r="G794" s="32" t="n"/>
      <c r="H794" s="32" t="n"/>
      <c r="I794" s="530" t="n"/>
      <c r="J794" s="531" t="n"/>
    </row>
    <row r="795">
      <c r="A795" s="30" t="n"/>
      <c r="B795" s="31" t="n"/>
      <c r="C795" s="32" t="n"/>
      <c r="D795" s="19" t="n"/>
      <c r="E795" s="500" t="n"/>
      <c r="F795" s="499" t="n"/>
      <c r="G795" s="32" t="n"/>
      <c r="H795" s="32" t="n"/>
      <c r="I795" s="530" t="n"/>
      <c r="J795" s="531" t="n"/>
    </row>
    <row r="796">
      <c r="A796" s="30" t="n"/>
      <c r="B796" s="31" t="n"/>
      <c r="C796" s="32" t="n"/>
      <c r="D796" s="19" t="n"/>
      <c r="E796" s="500" t="n"/>
      <c r="F796" s="499" t="n"/>
      <c r="G796" s="32" t="n"/>
      <c r="H796" s="32" t="n"/>
      <c r="I796" s="530" t="n"/>
      <c r="J796" s="531" t="n"/>
    </row>
    <row r="797">
      <c r="A797" s="30" t="n"/>
      <c r="B797" s="31" t="n"/>
      <c r="C797" s="32" t="n"/>
      <c r="D797" s="19" t="n"/>
      <c r="E797" s="500" t="n"/>
      <c r="F797" s="499" t="n"/>
      <c r="G797" s="32" t="n"/>
      <c r="H797" s="32" t="n"/>
      <c r="I797" s="530" t="n"/>
      <c r="J797" s="531" t="n"/>
    </row>
    <row r="798">
      <c r="A798" s="30" t="n"/>
      <c r="B798" s="31" t="n"/>
      <c r="C798" s="32" t="n"/>
      <c r="D798" s="19" t="n"/>
      <c r="E798" s="500" t="n"/>
      <c r="F798" s="499" t="n"/>
      <c r="G798" s="32" t="n"/>
      <c r="H798" s="32" t="n"/>
      <c r="I798" s="530" t="n"/>
      <c r="J798" s="531" t="n"/>
    </row>
    <row r="799">
      <c r="A799" s="30" t="n"/>
      <c r="B799" s="31" t="n"/>
      <c r="C799" s="32" t="n"/>
      <c r="D799" s="19" t="n"/>
      <c r="E799" s="500" t="n"/>
      <c r="F799" s="499" t="n"/>
      <c r="G799" s="32" t="n"/>
      <c r="H799" s="32" t="n"/>
      <c r="I799" s="530" t="n"/>
      <c r="J799" s="531" t="n"/>
    </row>
    <row r="800">
      <c r="A800" s="30" t="n"/>
      <c r="B800" s="31" t="n"/>
      <c r="C800" s="32" t="n"/>
      <c r="D800" s="19" t="n"/>
      <c r="E800" s="500" t="n"/>
      <c r="F800" s="499" t="n"/>
      <c r="G800" s="32" t="n"/>
      <c r="H800" s="32" t="n"/>
      <c r="I800" s="530" t="n"/>
      <c r="J800" s="531" t="n"/>
    </row>
    <row r="801">
      <c r="A801" s="30" t="n"/>
      <c r="B801" s="31" t="n"/>
      <c r="C801" s="32" t="n"/>
      <c r="D801" s="19" t="n"/>
      <c r="E801" s="500" t="n"/>
      <c r="F801" s="499" t="n"/>
      <c r="G801" s="32" t="n"/>
      <c r="H801" s="32" t="n"/>
      <c r="I801" s="530" t="n"/>
      <c r="J801" s="531" t="n"/>
    </row>
    <row r="802">
      <c r="A802" s="30" t="n"/>
      <c r="B802" s="31" t="n"/>
      <c r="C802" s="32" t="n"/>
      <c r="D802" s="19" t="n"/>
      <c r="E802" s="500" t="n"/>
      <c r="F802" s="499" t="n"/>
      <c r="G802" s="32" t="n"/>
      <c r="H802" s="32" t="n"/>
      <c r="I802" s="530" t="n"/>
      <c r="J802" s="531" t="n"/>
    </row>
    <row r="803">
      <c r="A803" s="30" t="n"/>
      <c r="B803" s="31" t="n"/>
      <c r="C803" s="32" t="n"/>
      <c r="D803" s="19" t="n"/>
      <c r="E803" s="500" t="n"/>
      <c r="F803" s="499" t="n"/>
      <c r="G803" s="32" t="n"/>
      <c r="H803" s="32" t="n"/>
      <c r="I803" s="530" t="n"/>
      <c r="J803" s="531" t="n"/>
    </row>
    <row r="804">
      <c r="A804" s="30" t="n"/>
      <c r="B804" s="31" t="n"/>
      <c r="C804" s="32" t="n"/>
      <c r="D804" s="19" t="n"/>
      <c r="E804" s="500" t="n"/>
      <c r="F804" s="499" t="n"/>
      <c r="G804" s="32" t="n"/>
      <c r="H804" s="32" t="n"/>
      <c r="I804" s="530" t="n"/>
      <c r="J804" s="531" t="n"/>
    </row>
    <row r="805">
      <c r="A805" s="30" t="n"/>
      <c r="B805" s="31" t="n"/>
      <c r="C805" s="32" t="n"/>
      <c r="D805" s="19" t="n"/>
      <c r="E805" s="500" t="n"/>
      <c r="F805" s="499" t="n"/>
      <c r="G805" s="32" t="n"/>
      <c r="H805" s="32" t="n"/>
      <c r="I805" s="530" t="n"/>
      <c r="J805" s="531" t="n"/>
    </row>
    <row r="806">
      <c r="A806" s="30" t="n"/>
      <c r="B806" s="31" t="n"/>
      <c r="C806" s="32" t="n"/>
      <c r="D806" s="19" t="n"/>
      <c r="E806" s="500" t="n"/>
      <c r="F806" s="499" t="n"/>
      <c r="G806" s="32" t="n"/>
      <c r="H806" s="32" t="n"/>
      <c r="I806" s="530" t="n"/>
      <c r="J806" s="531" t="n"/>
    </row>
    <row r="807">
      <c r="A807" s="30" t="n"/>
      <c r="B807" s="31" t="n"/>
      <c r="C807" s="32" t="n"/>
      <c r="D807" s="19" t="n"/>
      <c r="E807" s="500" t="n"/>
      <c r="F807" s="499" t="n"/>
      <c r="G807" s="32" t="n"/>
      <c r="H807" s="32" t="n"/>
      <c r="I807" s="530" t="n"/>
      <c r="J807" s="531" t="n"/>
    </row>
    <row r="808">
      <c r="A808" s="30" t="n"/>
      <c r="B808" s="31" t="n"/>
      <c r="C808" s="32" t="n"/>
      <c r="D808" s="19" t="n"/>
      <c r="E808" s="500" t="n"/>
      <c r="F808" s="499" t="n"/>
      <c r="G808" s="32" t="n"/>
      <c r="H808" s="32" t="n"/>
      <c r="I808" s="530" t="n"/>
      <c r="J808" s="531" t="n"/>
    </row>
    <row r="809">
      <c r="A809" s="30" t="n"/>
      <c r="B809" s="31" t="n"/>
      <c r="C809" s="32" t="n"/>
      <c r="D809" s="19" t="n"/>
      <c r="E809" s="500" t="n"/>
      <c r="F809" s="499" t="n"/>
      <c r="G809" s="32" t="n"/>
      <c r="H809" s="32" t="n"/>
      <c r="I809" s="530" t="n"/>
      <c r="J809" s="531" t="n"/>
    </row>
    <row r="810">
      <c r="A810" s="30" t="n"/>
      <c r="B810" s="31" t="n"/>
      <c r="C810" s="32" t="n"/>
      <c r="D810" s="19" t="n"/>
      <c r="E810" s="500" t="n"/>
      <c r="F810" s="499" t="n"/>
      <c r="G810" s="32" t="n"/>
      <c r="H810" s="32" t="n"/>
      <c r="I810" s="530" t="n"/>
      <c r="J810" s="531" t="n"/>
    </row>
    <row r="811">
      <c r="A811" s="30" t="n"/>
      <c r="B811" s="31" t="n"/>
      <c r="C811" s="32" t="n"/>
      <c r="D811" s="19" t="n"/>
      <c r="E811" s="500" t="n"/>
      <c r="F811" s="499" t="n"/>
      <c r="G811" s="32" t="n"/>
      <c r="H811" s="32" t="n"/>
      <c r="I811" s="530" t="n"/>
      <c r="J811" s="531" t="n"/>
    </row>
    <row r="812">
      <c r="A812" s="30" t="n"/>
      <c r="B812" s="31" t="n"/>
      <c r="C812" s="32" t="n"/>
      <c r="D812" s="19" t="n"/>
      <c r="E812" s="500" t="n"/>
      <c r="F812" s="499" t="n"/>
      <c r="G812" s="32" t="n"/>
      <c r="H812" s="32" t="n"/>
      <c r="I812" s="530" t="n"/>
      <c r="J812" s="531" t="n"/>
    </row>
    <row r="813">
      <c r="A813" s="30" t="n"/>
      <c r="B813" s="31" t="n"/>
      <c r="C813" s="32" t="n"/>
      <c r="D813" s="19" t="n"/>
      <c r="E813" s="500" t="n"/>
      <c r="F813" s="499" t="n"/>
      <c r="G813" s="32" t="n"/>
      <c r="H813" s="32" t="n"/>
      <c r="I813" s="530" t="n"/>
      <c r="J813" s="531" t="n"/>
    </row>
    <row r="814">
      <c r="A814" s="30" t="n"/>
      <c r="B814" s="31" t="n"/>
      <c r="C814" s="32" t="n"/>
      <c r="D814" s="19" t="n"/>
      <c r="E814" s="500" t="n"/>
      <c r="F814" s="499" t="n"/>
      <c r="G814" s="32" t="n"/>
      <c r="H814" s="32" t="n"/>
      <c r="I814" s="530" t="n"/>
      <c r="J814" s="531" t="n"/>
    </row>
    <row r="815">
      <c r="A815" s="30" t="n"/>
      <c r="B815" s="31" t="n"/>
      <c r="C815" s="32" t="n"/>
      <c r="D815" s="19" t="n"/>
      <c r="E815" s="500" t="n"/>
      <c r="F815" s="499" t="n"/>
      <c r="G815" s="32" t="n"/>
      <c r="H815" s="32" t="n"/>
      <c r="I815" s="530" t="n"/>
      <c r="J815" s="531" t="n"/>
    </row>
    <row r="816">
      <c r="A816" s="30" t="n"/>
      <c r="B816" s="31" t="n"/>
      <c r="C816" s="32" t="n"/>
      <c r="D816" s="19" t="n"/>
      <c r="E816" s="500" t="n"/>
      <c r="F816" s="499" t="n"/>
      <c r="G816" s="32" t="n"/>
      <c r="H816" s="32" t="n"/>
      <c r="I816" s="530" t="n"/>
      <c r="J816" s="531" t="n"/>
    </row>
    <row r="817">
      <c r="A817" s="30" t="n"/>
      <c r="B817" s="31" t="n"/>
      <c r="C817" s="32" t="n"/>
      <c r="D817" s="19" t="n"/>
      <c r="E817" s="500" t="n"/>
      <c r="F817" s="499" t="n"/>
      <c r="G817" s="32" t="n"/>
      <c r="H817" s="32" t="n"/>
      <c r="I817" s="530" t="n"/>
      <c r="J817" s="531" t="n"/>
    </row>
    <row r="818">
      <c r="A818" s="30" t="n"/>
      <c r="B818" s="31" t="n"/>
      <c r="C818" s="32" t="n"/>
      <c r="D818" s="19" t="n"/>
      <c r="E818" s="500" t="n"/>
      <c r="F818" s="499" t="n"/>
      <c r="G818" s="32" t="n"/>
      <c r="H818" s="32" t="n"/>
      <c r="I818" s="530" t="n"/>
      <c r="J818" s="531" t="n"/>
    </row>
    <row r="819">
      <c r="A819" s="30" t="n"/>
      <c r="B819" s="31" t="n"/>
      <c r="C819" s="32" t="n"/>
      <c r="D819" s="19" t="n"/>
      <c r="E819" s="500" t="n"/>
      <c r="F819" s="499" t="n"/>
      <c r="G819" s="32" t="n"/>
      <c r="H819" s="32" t="n"/>
      <c r="I819" s="530" t="n"/>
      <c r="J819" s="531" t="n"/>
    </row>
    <row r="820">
      <c r="A820" s="30" t="n"/>
      <c r="B820" s="31" t="n"/>
      <c r="C820" s="32" t="n"/>
      <c r="D820" s="19" t="n"/>
      <c r="E820" s="500" t="n"/>
      <c r="F820" s="499" t="n"/>
      <c r="G820" s="32" t="n"/>
      <c r="H820" s="32" t="n"/>
      <c r="I820" s="530" t="n"/>
      <c r="J820" s="531" t="n"/>
    </row>
    <row r="821">
      <c r="A821" s="30" t="n"/>
      <c r="B821" s="31" t="n"/>
      <c r="C821" s="32" t="n"/>
      <c r="D821" s="19" t="n"/>
      <c r="E821" s="500" t="n"/>
      <c r="F821" s="499" t="n"/>
      <c r="G821" s="32" t="n"/>
      <c r="H821" s="32" t="n"/>
      <c r="I821" s="530" t="n"/>
      <c r="J821" s="531" t="n"/>
    </row>
    <row r="822">
      <c r="A822" s="30" t="n"/>
      <c r="B822" s="31" t="n"/>
      <c r="C822" s="32" t="n"/>
      <c r="D822" s="19" t="n"/>
      <c r="E822" s="500" t="n"/>
      <c r="F822" s="499" t="n"/>
      <c r="G822" s="32" t="n"/>
      <c r="H822" s="32" t="n"/>
      <c r="I822" s="530" t="n"/>
      <c r="J822" s="531" t="n"/>
    </row>
    <row r="823">
      <c r="A823" s="30" t="n"/>
      <c r="B823" s="31" t="n"/>
      <c r="C823" s="32" t="n"/>
      <c r="D823" s="19" t="n"/>
      <c r="E823" s="500" t="n"/>
      <c r="F823" s="499" t="n"/>
      <c r="G823" s="32" t="n"/>
      <c r="H823" s="32" t="n"/>
      <c r="I823" s="530" t="n"/>
      <c r="J823" s="531" t="n"/>
    </row>
    <row r="824">
      <c r="A824" s="30" t="n"/>
      <c r="B824" s="31" t="n"/>
      <c r="C824" s="32" t="n"/>
      <c r="D824" s="19" t="n"/>
      <c r="E824" s="500" t="n"/>
      <c r="F824" s="499" t="n"/>
      <c r="G824" s="32" t="n"/>
      <c r="H824" s="32" t="n"/>
      <c r="I824" s="530" t="n"/>
      <c r="J824" s="531" t="n"/>
    </row>
    <row r="825">
      <c r="A825" s="30" t="n"/>
      <c r="B825" s="31" t="n"/>
      <c r="C825" s="32" t="n"/>
      <c r="D825" s="19" t="n"/>
      <c r="E825" s="500" t="n"/>
      <c r="F825" s="499" t="n"/>
      <c r="G825" s="32" t="n"/>
      <c r="H825" s="32" t="n"/>
      <c r="I825" s="530" t="n"/>
      <c r="J825" s="531" t="n"/>
    </row>
    <row r="826">
      <c r="A826" s="30" t="n"/>
      <c r="B826" s="31" t="n"/>
      <c r="C826" s="32" t="n"/>
      <c r="D826" s="19" t="n"/>
      <c r="E826" s="500" t="n"/>
      <c r="F826" s="499" t="n"/>
      <c r="G826" s="32" t="n"/>
      <c r="H826" s="32" t="n"/>
      <c r="I826" s="530" t="n"/>
      <c r="J826" s="531" t="n"/>
    </row>
    <row r="827">
      <c r="A827" s="30" t="n"/>
      <c r="B827" s="31" t="n"/>
      <c r="C827" s="32" t="n"/>
      <c r="D827" s="19" t="n"/>
      <c r="E827" s="500" t="n"/>
      <c r="F827" s="499" t="n"/>
      <c r="G827" s="32" t="n"/>
      <c r="H827" s="32" t="n"/>
      <c r="I827" s="530" t="n"/>
      <c r="J827" s="531" t="n"/>
    </row>
    <row r="828">
      <c r="A828" s="30" t="n"/>
      <c r="B828" s="31" t="n"/>
      <c r="C828" s="32" t="n"/>
      <c r="D828" s="19" t="n"/>
      <c r="E828" s="500" t="n"/>
      <c r="F828" s="499" t="n"/>
      <c r="G828" s="32" t="n"/>
      <c r="H828" s="32" t="n"/>
      <c r="I828" s="530" t="n"/>
      <c r="J828" s="531" t="n"/>
    </row>
    <row r="829">
      <c r="A829" s="30" t="n"/>
      <c r="B829" s="31" t="n"/>
      <c r="C829" s="32" t="n"/>
      <c r="D829" s="19" t="n"/>
      <c r="E829" s="500" t="n"/>
      <c r="F829" s="499" t="n"/>
      <c r="G829" s="32" t="n"/>
      <c r="H829" s="32" t="n"/>
      <c r="I829" s="530" t="n"/>
      <c r="J829" s="531" t="n"/>
    </row>
    <row r="830">
      <c r="A830" s="30" t="n"/>
      <c r="B830" s="31" t="n"/>
      <c r="C830" s="32" t="n"/>
      <c r="D830" s="19" t="n"/>
      <c r="E830" s="500" t="n"/>
      <c r="F830" s="499" t="n"/>
      <c r="G830" s="32" t="n"/>
      <c r="H830" s="32" t="n"/>
      <c r="I830" s="530" t="n"/>
      <c r="J830" s="531" t="n"/>
    </row>
    <row r="831">
      <c r="A831" s="30" t="n"/>
      <c r="B831" s="31" t="n"/>
      <c r="C831" s="32" t="n"/>
      <c r="D831" s="19" t="n"/>
      <c r="E831" s="500" t="n"/>
      <c r="F831" s="499" t="n"/>
      <c r="G831" s="32" t="n"/>
      <c r="H831" s="32" t="n"/>
      <c r="I831" s="530" t="n"/>
      <c r="J831" s="531" t="n"/>
    </row>
    <row r="832">
      <c r="A832" s="30" t="n"/>
      <c r="B832" s="31" t="n"/>
      <c r="C832" s="32" t="n"/>
      <c r="D832" s="19" t="n"/>
      <c r="E832" s="500" t="n"/>
      <c r="F832" s="499" t="n"/>
      <c r="G832" s="32" t="n"/>
      <c r="H832" s="32" t="n"/>
      <c r="I832" s="530" t="n"/>
      <c r="J832" s="531" t="n"/>
    </row>
    <row r="833">
      <c r="A833" s="30" t="n"/>
      <c r="B833" s="31" t="n"/>
      <c r="C833" s="32" t="n"/>
      <c r="D833" s="19" t="n"/>
      <c r="E833" s="500" t="n"/>
      <c r="F833" s="499" t="n"/>
      <c r="G833" s="32" t="n"/>
      <c r="H833" s="32" t="n"/>
      <c r="I833" s="530" t="n"/>
      <c r="J833" s="531" t="n"/>
    </row>
    <row r="834">
      <c r="A834" s="30" t="n"/>
      <c r="B834" s="31" t="n"/>
      <c r="C834" s="32" t="n"/>
      <c r="D834" s="19" t="n"/>
      <c r="E834" s="500" t="n"/>
      <c r="F834" s="499" t="n"/>
      <c r="G834" s="32" t="n"/>
      <c r="H834" s="32" t="n"/>
      <c r="I834" s="530" t="n"/>
      <c r="J834" s="531" t="n"/>
    </row>
    <row r="835">
      <c r="A835" s="30" t="n"/>
      <c r="B835" s="31" t="n"/>
      <c r="C835" s="32" t="n"/>
      <c r="D835" s="19" t="n"/>
      <c r="E835" s="500" t="n"/>
      <c r="F835" s="499" t="n"/>
      <c r="G835" s="32" t="n"/>
      <c r="H835" s="32" t="n"/>
      <c r="I835" s="530" t="n"/>
      <c r="J835" s="531" t="n"/>
    </row>
    <row r="836">
      <c r="A836" s="30" t="n"/>
      <c r="B836" s="31" t="n"/>
      <c r="C836" s="32" t="n"/>
      <c r="D836" s="19" t="n"/>
      <c r="E836" s="500" t="n"/>
      <c r="F836" s="499" t="n"/>
      <c r="G836" s="32" t="n"/>
      <c r="H836" s="32" t="n"/>
      <c r="I836" s="530" t="n"/>
      <c r="J836" s="531" t="n"/>
    </row>
    <row r="837">
      <c r="A837" s="30" t="n"/>
      <c r="B837" s="31" t="n"/>
      <c r="C837" s="32" t="n"/>
      <c r="D837" s="19" t="n"/>
      <c r="E837" s="500" t="n"/>
      <c r="F837" s="499" t="n"/>
      <c r="G837" s="32" t="n"/>
      <c r="H837" s="32" t="n"/>
      <c r="I837" s="530" t="n"/>
      <c r="J837" s="531" t="n"/>
    </row>
    <row r="838">
      <c r="A838" s="30" t="n"/>
      <c r="B838" s="31" t="n"/>
      <c r="C838" s="32" t="n"/>
      <c r="D838" s="19" t="n"/>
      <c r="E838" s="500" t="n"/>
      <c r="F838" s="499" t="n"/>
      <c r="G838" s="32" t="n"/>
      <c r="H838" s="32" t="n"/>
      <c r="I838" s="530" t="n"/>
      <c r="J838" s="531" t="n"/>
    </row>
    <row r="839">
      <c r="A839" s="30" t="n"/>
      <c r="B839" s="31" t="n"/>
      <c r="C839" s="32" t="n"/>
      <c r="D839" s="19" t="n"/>
      <c r="E839" s="500" t="n"/>
      <c r="F839" s="499" t="n"/>
      <c r="G839" s="32" t="n"/>
      <c r="H839" s="32" t="n"/>
      <c r="I839" s="530" t="n"/>
      <c r="J839" s="531" t="n"/>
    </row>
    <row r="840">
      <c r="A840" s="30" t="n"/>
      <c r="B840" s="31" t="n"/>
      <c r="C840" s="32" t="n"/>
      <c r="D840" s="19" t="n"/>
      <c r="E840" s="500" t="n"/>
      <c r="F840" s="499" t="n"/>
      <c r="G840" s="32" t="n"/>
      <c r="H840" s="32" t="n"/>
      <c r="I840" s="530" t="n"/>
      <c r="J840" s="531" t="n"/>
    </row>
    <row r="841">
      <c r="A841" s="30" t="n"/>
      <c r="B841" s="31" t="n"/>
      <c r="C841" s="32" t="n"/>
      <c r="D841" s="19" t="n"/>
      <c r="E841" s="500" t="n"/>
      <c r="F841" s="499" t="n"/>
      <c r="G841" s="32" t="n"/>
      <c r="H841" s="32" t="n"/>
      <c r="I841" s="530" t="n"/>
      <c r="J841" s="531" t="n"/>
    </row>
    <row r="842">
      <c r="A842" s="30" t="n"/>
      <c r="B842" s="31" t="n"/>
      <c r="C842" s="32" t="n"/>
      <c r="D842" s="19" t="n"/>
      <c r="E842" s="500" t="n"/>
      <c r="F842" s="499" t="n"/>
      <c r="G842" s="32" t="n"/>
      <c r="H842" s="32" t="n"/>
      <c r="I842" s="530" t="n"/>
      <c r="J842" s="531" t="n"/>
    </row>
    <row r="843">
      <c r="A843" s="30" t="n"/>
      <c r="B843" s="31" t="n"/>
      <c r="C843" s="32" t="n"/>
      <c r="D843" s="19" t="n"/>
      <c r="E843" s="500" t="n"/>
      <c r="F843" s="499" t="n"/>
      <c r="G843" s="32" t="n"/>
      <c r="H843" s="32" t="n"/>
      <c r="I843" s="530" t="n"/>
      <c r="J843" s="531" t="n"/>
    </row>
    <row r="844">
      <c r="A844" s="30" t="n"/>
      <c r="B844" s="31" t="n"/>
      <c r="C844" s="32" t="n"/>
      <c r="D844" s="19" t="n"/>
      <c r="E844" s="500" t="n"/>
      <c r="F844" s="499" t="n"/>
      <c r="G844" s="32" t="n"/>
      <c r="H844" s="32" t="n"/>
      <c r="I844" s="530" t="n"/>
      <c r="J844" s="531" t="n"/>
    </row>
    <row r="845">
      <c r="A845" s="30" t="n"/>
      <c r="B845" s="31" t="n"/>
      <c r="C845" s="32" t="n"/>
      <c r="D845" s="19" t="n"/>
      <c r="E845" s="500" t="n"/>
      <c r="F845" s="499" t="n"/>
      <c r="G845" s="32" t="n"/>
      <c r="H845" s="32" t="n"/>
      <c r="I845" s="530" t="n"/>
      <c r="J845" s="531" t="n"/>
    </row>
    <row r="846">
      <c r="A846" s="30" t="n"/>
      <c r="B846" s="31" t="n"/>
      <c r="C846" s="32" t="n"/>
      <c r="D846" s="19" t="n"/>
      <c r="E846" s="500" t="n"/>
      <c r="F846" s="499" t="n"/>
      <c r="G846" s="32" t="n"/>
      <c r="H846" s="32" t="n"/>
      <c r="I846" s="530" t="n"/>
      <c r="J846" s="531" t="n"/>
    </row>
    <row r="847">
      <c r="A847" s="30" t="n"/>
      <c r="B847" s="31" t="n"/>
      <c r="C847" s="32" t="n"/>
      <c r="D847" s="19" t="n"/>
      <c r="E847" s="500" t="n"/>
      <c r="F847" s="499" t="n"/>
      <c r="G847" s="32" t="n"/>
      <c r="H847" s="32" t="n"/>
      <c r="I847" s="530" t="n"/>
      <c r="J847" s="531" t="n"/>
    </row>
    <row r="848">
      <c r="A848" s="30" t="n"/>
      <c r="B848" s="31" t="n"/>
      <c r="C848" s="32" t="n"/>
      <c r="D848" s="19" t="n"/>
      <c r="E848" s="500" t="n"/>
      <c r="F848" s="499" t="n"/>
      <c r="G848" s="32" t="n"/>
      <c r="H848" s="32" t="n"/>
      <c r="I848" s="530" t="n"/>
      <c r="J848" s="531" t="n"/>
    </row>
    <row r="849">
      <c r="A849" s="30" t="n"/>
      <c r="B849" s="31" t="n"/>
      <c r="C849" s="32" t="n"/>
      <c r="D849" s="19" t="n"/>
      <c r="E849" s="500" t="n"/>
      <c r="F849" s="499" t="n"/>
      <c r="G849" s="32" t="n"/>
      <c r="H849" s="32" t="n"/>
      <c r="I849" s="530" t="n"/>
      <c r="J849" s="531" t="n"/>
    </row>
    <row r="850">
      <c r="A850" s="30" t="n"/>
      <c r="B850" s="31" t="n"/>
      <c r="C850" s="32" t="n"/>
      <c r="D850" s="19" t="n"/>
      <c r="E850" s="500" t="n"/>
      <c r="F850" s="499" t="n"/>
      <c r="G850" s="32" t="n"/>
      <c r="H850" s="32" t="n"/>
      <c r="I850" s="530" t="n"/>
      <c r="J850" s="531" t="n"/>
    </row>
    <row r="851">
      <c r="A851" s="30" t="n"/>
      <c r="B851" s="31" t="n"/>
      <c r="C851" s="32" t="n"/>
      <c r="D851" s="19" t="n"/>
      <c r="E851" s="500" t="n"/>
      <c r="F851" s="499" t="n"/>
      <c r="G851" s="32" t="n"/>
      <c r="H851" s="32" t="n"/>
      <c r="I851" s="530" t="n"/>
      <c r="J851" s="531" t="n"/>
    </row>
    <row r="852">
      <c r="A852" s="30" t="n"/>
      <c r="B852" s="31" t="n"/>
      <c r="C852" s="32" t="n"/>
      <c r="D852" s="19" t="n"/>
      <c r="E852" s="500" t="n"/>
      <c r="F852" s="499" t="n"/>
      <c r="G852" s="32" t="n"/>
      <c r="H852" s="32" t="n"/>
      <c r="I852" s="530" t="n"/>
      <c r="J852" s="531" t="n"/>
    </row>
    <row r="853">
      <c r="A853" s="30" t="n"/>
      <c r="B853" s="31" t="n"/>
      <c r="C853" s="32" t="n"/>
      <c r="D853" s="19" t="n"/>
      <c r="E853" s="500" t="n"/>
      <c r="F853" s="499" t="n"/>
      <c r="G853" s="32" t="n"/>
      <c r="H853" s="32" t="n"/>
      <c r="I853" s="530" t="n"/>
      <c r="J853" s="531" t="n"/>
    </row>
    <row r="854">
      <c r="A854" s="30" t="n"/>
      <c r="B854" s="31" t="n"/>
      <c r="C854" s="32" t="n"/>
      <c r="D854" s="19" t="n"/>
      <c r="E854" s="500" t="n"/>
      <c r="F854" s="499" t="n"/>
      <c r="G854" s="32" t="n"/>
      <c r="H854" s="32" t="n"/>
      <c r="I854" s="530" t="n"/>
      <c r="J854" s="531" t="n"/>
    </row>
    <row r="855">
      <c r="A855" s="30" t="n"/>
      <c r="B855" s="31" t="n"/>
      <c r="C855" s="32" t="n"/>
      <c r="D855" s="19" t="n"/>
      <c r="E855" s="500" t="n"/>
      <c r="F855" s="499" t="n"/>
      <c r="G855" s="32" t="n"/>
      <c r="H855" s="32" t="n"/>
      <c r="I855" s="530" t="n"/>
      <c r="J855" s="531" t="n"/>
    </row>
    <row r="856">
      <c r="A856" s="30" t="n"/>
      <c r="B856" s="31" t="n"/>
      <c r="C856" s="32" t="n"/>
      <c r="D856" s="19" t="n"/>
      <c r="E856" s="500" t="n"/>
      <c r="F856" s="499" t="n"/>
      <c r="G856" s="32" t="n"/>
      <c r="H856" s="32" t="n"/>
      <c r="I856" s="530" t="n"/>
      <c r="J856" s="531" t="n"/>
    </row>
    <row r="857">
      <c r="A857" s="30" t="n"/>
      <c r="B857" s="31" t="n"/>
      <c r="C857" s="32" t="n"/>
      <c r="D857" s="19" t="n"/>
      <c r="E857" s="500" t="n"/>
      <c r="F857" s="499" t="n"/>
      <c r="G857" s="32" t="n"/>
      <c r="H857" s="32" t="n"/>
      <c r="I857" s="530" t="n"/>
      <c r="J857" s="531" t="n"/>
    </row>
    <row r="858">
      <c r="A858" s="30" t="n"/>
      <c r="B858" s="31" t="n"/>
      <c r="C858" s="32" t="n"/>
      <c r="D858" s="19" t="n"/>
      <c r="E858" s="500" t="n"/>
      <c r="F858" s="499" t="n"/>
      <c r="G858" s="32" t="n"/>
      <c r="H858" s="32" t="n"/>
      <c r="I858" s="530" t="n"/>
      <c r="J858" s="531" t="n"/>
    </row>
    <row r="859">
      <c r="A859" s="30" t="n"/>
      <c r="B859" s="31" t="n"/>
      <c r="C859" s="32" t="n"/>
      <c r="D859" s="19" t="n"/>
      <c r="E859" s="500" t="n"/>
      <c r="F859" s="499" t="n"/>
      <c r="G859" s="32" t="n"/>
      <c r="H859" s="32" t="n"/>
      <c r="I859" s="530" t="n"/>
      <c r="J859" s="531" t="n"/>
    </row>
    <row r="860">
      <c r="A860" s="30" t="n"/>
      <c r="B860" s="31" t="n"/>
      <c r="C860" s="32" t="n"/>
      <c r="D860" s="19" t="n"/>
      <c r="E860" s="500" t="n"/>
      <c r="F860" s="499" t="n"/>
      <c r="G860" s="32" t="n"/>
      <c r="H860" s="32" t="n"/>
      <c r="I860" s="530" t="n"/>
      <c r="J860" s="531" t="n"/>
    </row>
    <row r="861">
      <c r="A861" s="30" t="n"/>
      <c r="B861" s="31" t="n"/>
      <c r="C861" s="32" t="n"/>
      <c r="D861" s="19" t="n"/>
      <c r="E861" s="500" t="n"/>
      <c r="F861" s="499" t="n"/>
      <c r="G861" s="32" t="n"/>
      <c r="H861" s="32" t="n"/>
      <c r="I861" s="530" t="n"/>
      <c r="J861" s="531" t="n"/>
    </row>
    <row r="862" ht="58.5" customHeight="1" s="344">
      <c r="A862" s="30" t="n"/>
      <c r="B862" s="31" t="n"/>
      <c r="C862" s="32" t="n"/>
      <c r="D862" s="19" t="n"/>
      <c r="E862" s="500" t="n"/>
      <c r="F862" s="499" t="n"/>
      <c r="G862" s="32" t="n"/>
      <c r="H862" s="32" t="n"/>
      <c r="I862" s="530" t="n"/>
      <c r="J862" s="531" t="n"/>
    </row>
    <row r="863">
      <c r="A863" s="30" t="n"/>
      <c r="B863" s="31" t="n"/>
      <c r="C863" s="32" t="n"/>
      <c r="D863" s="19" t="n"/>
      <c r="E863" s="500" t="n"/>
      <c r="F863" s="499" t="n"/>
      <c r="G863" s="32" t="n"/>
      <c r="H863" s="32" t="n"/>
      <c r="I863" s="530" t="n"/>
      <c r="J863" s="531" t="n"/>
    </row>
    <row r="864" ht="24" customHeight="1" s="344">
      <c r="A864" s="30" t="n"/>
      <c r="B864" s="31" t="n"/>
      <c r="C864" s="32" t="n"/>
      <c r="D864" s="19" t="n"/>
      <c r="E864" s="500" t="n"/>
      <c r="F864" s="499" t="n"/>
      <c r="G864" s="32" t="n"/>
      <c r="H864" s="32" t="n"/>
      <c r="I864" s="530" t="n"/>
      <c r="J864" s="531" t="n"/>
    </row>
    <row r="865">
      <c r="A865" s="30" t="n"/>
      <c r="B865" s="31" t="n"/>
      <c r="C865" s="32" t="n"/>
      <c r="D865" s="19" t="n"/>
      <c r="E865" s="500" t="n"/>
      <c r="F865" s="499" t="n"/>
      <c r="G865" s="32" t="n"/>
      <c r="H865" s="32" t="n"/>
      <c r="I865" s="530" t="n"/>
      <c r="J865" s="531" t="n"/>
    </row>
    <row r="866">
      <c r="A866" s="30" t="n"/>
      <c r="B866" s="31" t="n"/>
      <c r="C866" s="32" t="n"/>
      <c r="D866" s="19" t="n"/>
      <c r="E866" s="500" t="n"/>
      <c r="F866" s="499" t="n"/>
      <c r="G866" s="32" t="n"/>
      <c r="H866" s="32" t="n"/>
      <c r="I866" s="530" t="n"/>
      <c r="J866" s="531" t="n"/>
    </row>
    <row r="867" ht="35.5" customHeight="1" s="344">
      <c r="A867" s="30" t="n"/>
      <c r="B867" s="31" t="n"/>
      <c r="C867" s="32" t="n"/>
      <c r="D867" s="19" t="n"/>
      <c r="E867" s="500" t="n"/>
      <c r="F867" s="499" t="n"/>
      <c r="G867" s="32" t="n"/>
      <c r="H867" s="32" t="n"/>
      <c r="I867" s="530" t="n"/>
      <c r="J867" s="531" t="n"/>
    </row>
    <row r="868" ht="24" customHeight="1" s="344">
      <c r="A868" s="30" t="n"/>
      <c r="B868" s="31" t="n"/>
      <c r="C868" s="32" t="n"/>
      <c r="D868" s="19" t="n"/>
      <c r="E868" s="500" t="n"/>
      <c r="F868" s="499" t="n"/>
      <c r="G868" s="32" t="n"/>
      <c r="H868" s="32" t="n"/>
      <c r="I868" s="530" t="n"/>
      <c r="J868" s="531" t="n"/>
    </row>
    <row r="869" ht="24" customHeight="1" s="344">
      <c r="A869" s="30" t="n"/>
      <c r="B869" s="31" t="n"/>
      <c r="C869" s="32" t="n"/>
      <c r="D869" s="19" t="n"/>
      <c r="E869" s="500" t="n"/>
      <c r="F869" s="499" t="n"/>
      <c r="G869" s="32" t="n"/>
      <c r="H869" s="32" t="n"/>
      <c r="I869" s="530" t="n"/>
      <c r="J869" s="531" t="n"/>
    </row>
    <row r="870" ht="24" customHeight="1" s="344">
      <c r="A870" s="30" t="n"/>
      <c r="B870" s="31" t="n"/>
      <c r="C870" s="32" t="n"/>
      <c r="D870" s="19" t="n"/>
      <c r="E870" s="500" t="n"/>
      <c r="F870" s="499" t="n"/>
      <c r="G870" s="32" t="n"/>
      <c r="H870" s="32" t="n"/>
      <c r="I870" s="530" t="n"/>
      <c r="J870" s="531" t="n"/>
    </row>
    <row r="871">
      <c r="A871" s="30" t="n"/>
      <c r="B871" s="31" t="n"/>
      <c r="C871" s="32" t="n"/>
      <c r="D871" s="19" t="n"/>
      <c r="E871" s="500" t="n"/>
      <c r="F871" s="499" t="n"/>
      <c r="G871" s="32" t="n"/>
      <c r="H871" s="32" t="n"/>
      <c r="I871" s="530" t="n"/>
      <c r="J871" s="531" t="n"/>
    </row>
    <row r="872">
      <c r="A872" s="30" t="n"/>
      <c r="B872" s="31" t="n"/>
      <c r="C872" s="32" t="n"/>
      <c r="D872" s="19" t="n"/>
      <c r="E872" s="500" t="n"/>
      <c r="F872" s="499" t="n"/>
      <c r="G872" s="32" t="n"/>
      <c r="H872" s="32" t="n"/>
      <c r="I872" s="530" t="n"/>
      <c r="J872" s="531" t="n"/>
    </row>
    <row r="873">
      <c r="A873" s="30" t="n"/>
      <c r="B873" s="31" t="n"/>
      <c r="C873" s="32" t="n"/>
      <c r="D873" s="19" t="n"/>
      <c r="E873" s="500" t="n"/>
      <c r="F873" s="499" t="n"/>
      <c r="G873" s="32" t="n"/>
      <c r="H873" s="32" t="n"/>
      <c r="I873" s="530" t="n"/>
      <c r="J873" s="531" t="n"/>
    </row>
    <row r="874">
      <c r="A874" s="30" t="n"/>
      <c r="B874" s="31" t="n"/>
      <c r="C874" s="32" t="n"/>
      <c r="D874" s="19" t="n"/>
      <c r="E874" s="500" t="n"/>
      <c r="F874" s="499" t="n"/>
      <c r="G874" s="32" t="n"/>
      <c r="H874" s="32" t="n"/>
      <c r="I874" s="530" t="n"/>
      <c r="J874" s="531" t="n"/>
    </row>
    <row r="875">
      <c r="A875" s="30" t="n"/>
      <c r="B875" s="31" t="n"/>
      <c r="C875" s="32" t="n"/>
      <c r="D875" s="19" t="n"/>
      <c r="E875" s="500" t="n"/>
      <c r="F875" s="499" t="n"/>
      <c r="G875" s="32" t="n"/>
      <c r="H875" s="32" t="n"/>
      <c r="I875" s="530" t="n"/>
      <c r="J875" s="531" t="n"/>
    </row>
    <row r="876">
      <c r="A876" s="30" t="n"/>
      <c r="B876" s="31" t="n"/>
      <c r="C876" s="32" t="n"/>
      <c r="D876" s="19" t="n"/>
      <c r="E876" s="500" t="n"/>
      <c r="F876" s="499" t="n"/>
      <c r="G876" s="32" t="n"/>
      <c r="H876" s="32" t="n"/>
      <c r="I876" s="530" t="n"/>
      <c r="J876" s="531" t="n"/>
    </row>
    <row r="877">
      <c r="A877" s="30" t="n"/>
      <c r="B877" s="31" t="n"/>
      <c r="C877" s="32" t="n"/>
      <c r="D877" s="19" t="n"/>
      <c r="E877" s="500" t="n"/>
      <c r="F877" s="499" t="n"/>
      <c r="G877" s="32" t="n"/>
      <c r="H877" s="32" t="n"/>
      <c r="I877" s="530" t="n"/>
      <c r="J877" s="531" t="n"/>
    </row>
    <row r="878">
      <c r="A878" s="30" t="n"/>
      <c r="B878" s="31" t="n"/>
      <c r="C878" s="32" t="n"/>
      <c r="D878" s="19" t="n"/>
      <c r="E878" s="500" t="n"/>
      <c r="F878" s="499" t="n"/>
      <c r="G878" s="32" t="n"/>
      <c r="H878" s="32" t="n"/>
      <c r="I878" s="530" t="n"/>
      <c r="J878" s="531" t="n"/>
    </row>
    <row r="879">
      <c r="A879" s="30" t="n"/>
      <c r="B879" s="31" t="n"/>
      <c r="C879" s="32" t="n"/>
      <c r="D879" s="19" t="n"/>
      <c r="E879" s="500" t="n"/>
      <c r="F879" s="499" t="n"/>
      <c r="G879" s="32" t="n"/>
      <c r="H879" s="32" t="n"/>
      <c r="I879" s="530" t="n"/>
      <c r="J879" s="531" t="n"/>
      <c r="L879" s="528">
        <f>F882-E882</f>
        <v/>
      </c>
    </row>
    <row r="880">
      <c r="A880" s="30" t="n"/>
      <c r="B880" s="31" t="n"/>
      <c r="C880" s="32" t="n"/>
      <c r="D880" s="19" t="n"/>
      <c r="E880" s="500" t="n"/>
      <c r="F880" s="499" t="n"/>
      <c r="G880" s="32" t="n"/>
      <c r="H880" s="32" t="n"/>
      <c r="I880" s="530" t="n"/>
      <c r="J880" s="531" t="n"/>
    </row>
    <row r="881">
      <c r="A881" s="30" t="n"/>
      <c r="B881" s="31" t="n"/>
      <c r="C881" s="32" t="n"/>
      <c r="D881" s="19" t="n"/>
      <c r="E881" s="500" t="n"/>
      <c r="F881" s="499" t="n"/>
      <c r="G881" s="32" t="n"/>
      <c r="H881" s="32" t="n"/>
      <c r="I881" s="530" t="n"/>
      <c r="J881" s="531" t="n"/>
    </row>
    <row r="882">
      <c r="A882" s="30" t="n"/>
      <c r="B882" s="31" t="n"/>
      <c r="C882" s="32" t="n"/>
      <c r="D882" s="19" t="n"/>
      <c r="E882" s="500" t="n"/>
      <c r="F882" s="499" t="n"/>
      <c r="G882" s="32" t="n"/>
      <c r="H882" s="32" t="n"/>
      <c r="I882" s="530" t="n"/>
      <c r="J882" s="531" t="n"/>
    </row>
    <row r="883">
      <c r="A883" s="30" t="n"/>
      <c r="B883" s="31" t="n"/>
      <c r="C883" s="32" t="n"/>
      <c r="D883" s="19" t="n"/>
      <c r="E883" s="500" t="n"/>
      <c r="F883" s="499" t="n"/>
      <c r="G883" s="32" t="n"/>
      <c r="H883" s="32" t="n"/>
      <c r="I883" s="530" t="n"/>
      <c r="J883" s="531" t="n"/>
      <c r="K883" s="190" t="inlineStr">
        <is>
          <t>Đầu kỳ SPC ko được khấu trừ</t>
        </is>
      </c>
      <c r="L883" s="528" t="n">
        <v>60549888887</v>
      </c>
    </row>
    <row r="884">
      <c r="A884" s="30" t="n"/>
      <c r="B884" s="31" t="n"/>
      <c r="C884" s="32" t="n"/>
      <c r="D884" s="19" t="n"/>
      <c r="E884" s="500" t="n"/>
      <c r="F884" s="499" t="n"/>
      <c r="G884" s="32" t="n"/>
      <c r="H884" s="32" t="n"/>
      <c r="I884" s="530" t="n"/>
      <c r="J884" s="531" t="n"/>
      <c r="K884" s="190" t="inlineStr">
        <is>
          <t>Đàu kỳ HCM còn được khấu trừ</t>
        </is>
      </c>
      <c r="L884" s="528">
        <f>E883-L883</f>
        <v/>
      </c>
    </row>
    <row r="885">
      <c r="A885" s="30" t="n"/>
      <c r="B885" s="31" t="n"/>
      <c r="C885" s="32" t="n"/>
      <c r="D885" s="19" t="n"/>
      <c r="E885" s="500" t="n"/>
      <c r="F885" s="499" t="n"/>
      <c r="G885" s="32" t="n"/>
      <c r="H885" s="32" t="n"/>
      <c r="I885" s="530" t="n"/>
      <c r="J885" s="531" t="n"/>
    </row>
    <row r="886">
      <c r="A886" s="30" t="n"/>
      <c r="B886" s="31" t="n"/>
      <c r="C886" s="32" t="n"/>
      <c r="D886" s="19" t="n"/>
      <c r="E886" s="500" t="n"/>
      <c r="F886" s="499" t="n"/>
      <c r="G886" s="32" t="n"/>
      <c r="H886" s="32" t="n"/>
      <c r="I886" s="530" t="n"/>
      <c r="J886" s="531" t="n"/>
    </row>
    <row r="887">
      <c r="A887" s="30" t="n"/>
      <c r="B887" s="31" t="n"/>
      <c r="C887" s="32" t="n"/>
      <c r="D887" s="19" t="n"/>
      <c r="E887" s="500" t="n"/>
      <c r="F887" s="499" t="n"/>
      <c r="G887" s="32" t="n"/>
      <c r="H887" s="32" t="n"/>
      <c r="I887" s="530" t="n"/>
      <c r="J887" s="531" t="n"/>
    </row>
    <row r="888">
      <c r="A888" s="30" t="n"/>
      <c r="B888" s="31" t="n"/>
      <c r="C888" s="32" t="n"/>
      <c r="D888" s="19" t="n"/>
      <c r="E888" s="500" t="n"/>
      <c r="F888" s="499" t="n"/>
      <c r="G888" s="32" t="n"/>
      <c r="H888" s="32" t="n"/>
      <c r="I888" s="530" t="n"/>
      <c r="J888" s="531" t="n"/>
    </row>
    <row r="889">
      <c r="A889" s="30" t="n"/>
      <c r="B889" s="31" t="n"/>
      <c r="C889" s="32" t="n"/>
      <c r="D889" s="19" t="n"/>
      <c r="E889" s="500" t="n"/>
      <c r="F889" s="499" t="n"/>
      <c r="G889" s="32" t="n"/>
      <c r="H889" s="32" t="n"/>
      <c r="I889" s="530" t="n"/>
      <c r="J889" s="531" t="n"/>
    </row>
    <row r="890">
      <c r="A890" s="30" t="n"/>
      <c r="B890" s="31" t="n"/>
      <c r="C890" s="32" t="n"/>
      <c r="D890" s="19" t="n"/>
      <c r="E890" s="500" t="n"/>
      <c r="F890" s="499" t="n"/>
      <c r="G890" s="32" t="n"/>
      <c r="H890" s="32" t="n"/>
      <c r="I890" s="530" t="n"/>
      <c r="J890" s="531" t="n"/>
    </row>
    <row r="891">
      <c r="A891" s="30" t="n"/>
      <c r="B891" s="31" t="n"/>
      <c r="C891" s="32" t="n"/>
      <c r="D891" s="19" t="n"/>
      <c r="E891" s="500" t="n"/>
      <c r="F891" s="499" t="n"/>
      <c r="G891" s="32" t="n"/>
      <c r="H891" s="32" t="n"/>
      <c r="I891" s="530" t="n"/>
      <c r="J891" s="531" t="n"/>
    </row>
    <row r="892">
      <c r="A892" s="30" t="n"/>
      <c r="B892" s="31" t="n"/>
      <c r="C892" s="32" t="n"/>
      <c r="D892" s="19" t="n"/>
      <c r="E892" s="500" t="n"/>
      <c r="F892" s="499" t="n"/>
      <c r="G892" s="32" t="n"/>
      <c r="H892" s="32" t="n"/>
      <c r="I892" s="530" t="n"/>
      <c r="J892" s="531" t="n"/>
    </row>
    <row r="893">
      <c r="A893" s="30" t="n"/>
      <c r="B893" s="31" t="n"/>
      <c r="C893" s="32" t="n"/>
      <c r="D893" s="19" t="n"/>
      <c r="E893" s="500" t="n"/>
      <c r="F893" s="499" t="n"/>
      <c r="G893" s="32" t="n"/>
      <c r="H893" s="32" t="n"/>
      <c r="I893" s="530" t="n"/>
      <c r="J893" s="531" t="n"/>
    </row>
    <row r="894">
      <c r="A894" s="30" t="n"/>
      <c r="B894" s="31" t="n"/>
      <c r="C894" s="32" t="n"/>
      <c r="D894" s="19" t="n"/>
      <c r="E894" s="500" t="n"/>
      <c r="F894" s="499" t="n"/>
      <c r="G894" s="32" t="n"/>
      <c r="H894" s="32" t="n"/>
      <c r="I894" s="530" t="n"/>
      <c r="J894" s="531" t="n"/>
    </row>
    <row r="895">
      <c r="A895" s="30" t="n"/>
      <c r="B895" s="31" t="n"/>
      <c r="C895" s="32" t="n"/>
      <c r="D895" s="19" t="n"/>
      <c r="E895" s="500" t="n"/>
      <c r="F895" s="499" t="n"/>
      <c r="G895" s="32" t="n"/>
      <c r="H895" s="32" t="n"/>
      <c r="I895" s="530" t="n"/>
      <c r="J895" s="531" t="n"/>
    </row>
    <row r="896">
      <c r="A896" s="30" t="n"/>
      <c r="B896" s="31" t="n"/>
      <c r="C896" s="32" t="n"/>
      <c r="D896" s="19" t="n"/>
      <c r="E896" s="500" t="n"/>
      <c r="F896" s="499" t="n"/>
      <c r="G896" s="32" t="n"/>
      <c r="H896" s="32" t="n"/>
      <c r="I896" s="530" t="n"/>
      <c r="J896" s="531" t="n"/>
    </row>
    <row r="897">
      <c r="A897" s="30" t="n"/>
      <c r="B897" s="31" t="n"/>
      <c r="C897" s="32" t="n"/>
      <c r="D897" s="19" t="n"/>
      <c r="E897" s="500" t="n"/>
      <c r="F897" s="499" t="n"/>
      <c r="G897" s="32" t="n"/>
      <c r="H897" s="32" t="n"/>
      <c r="I897" s="530" t="n"/>
      <c r="J897" s="531" t="n"/>
    </row>
    <row r="898">
      <c r="A898" s="30" t="n"/>
      <c r="B898" s="31" t="n"/>
      <c r="C898" s="32" t="n"/>
      <c r="D898" s="19" t="n"/>
      <c r="E898" s="500" t="n"/>
      <c r="F898" s="499" t="n"/>
      <c r="G898" s="32" t="n"/>
      <c r="H898" s="32" t="n"/>
      <c r="I898" s="530" t="n"/>
      <c r="J898" s="531" t="n"/>
    </row>
    <row r="899">
      <c r="A899" s="30" t="n"/>
      <c r="B899" s="31" t="n"/>
      <c r="C899" s="32" t="n"/>
      <c r="D899" s="19" t="n"/>
      <c r="E899" s="500" t="n"/>
      <c r="F899" s="499" t="n"/>
      <c r="G899" s="32" t="n"/>
      <c r="H899" s="32" t="n"/>
      <c r="I899" s="530" t="n"/>
      <c r="J899" s="531" t="n"/>
    </row>
    <row r="900">
      <c r="A900" s="30" t="n"/>
      <c r="B900" s="31" t="n"/>
      <c r="C900" s="32" t="n"/>
      <c r="D900" s="19" t="n"/>
      <c r="E900" s="500" t="n"/>
      <c r="F900" s="499" t="n"/>
      <c r="G900" s="32" t="n"/>
      <c r="H900" s="32" t="n"/>
      <c r="I900" s="530" t="n"/>
      <c r="J900" s="531" t="n"/>
    </row>
    <row r="901">
      <c r="A901" s="30" t="n"/>
      <c r="B901" s="31" t="n"/>
      <c r="C901" s="32" t="n"/>
      <c r="D901" s="19" t="n"/>
      <c r="E901" s="500" t="n"/>
      <c r="F901" s="499" t="n"/>
      <c r="G901" s="32" t="n"/>
      <c r="H901" s="32" t="n"/>
      <c r="I901" s="530" t="n"/>
      <c r="J901" s="531" t="n"/>
    </row>
    <row r="902">
      <c r="A902" s="30" t="n"/>
      <c r="B902" s="31" t="n"/>
      <c r="C902" s="32" t="n"/>
      <c r="D902" s="19" t="n"/>
      <c r="E902" s="500" t="n"/>
      <c r="F902" s="499" t="n"/>
      <c r="G902" s="32" t="n"/>
      <c r="H902" s="32" t="n"/>
      <c r="I902" s="530" t="n"/>
      <c r="J902" s="531" t="n"/>
    </row>
    <row r="903">
      <c r="A903" s="30" t="n"/>
      <c r="B903" s="31" t="n"/>
      <c r="C903" s="32" t="n"/>
      <c r="D903" s="19" t="n"/>
      <c r="E903" s="500" t="n"/>
      <c r="F903" s="499" t="n"/>
      <c r="G903" s="32" t="n"/>
      <c r="H903" s="32" t="n"/>
      <c r="I903" s="530" t="n"/>
      <c r="J903" s="531" t="n"/>
    </row>
    <row r="904">
      <c r="A904" s="30" t="n"/>
      <c r="B904" s="31" t="n"/>
      <c r="C904" s="32" t="n"/>
      <c r="D904" s="19" t="n"/>
      <c r="E904" s="500" t="n"/>
      <c r="F904" s="499" t="n"/>
      <c r="G904" s="32" t="n"/>
      <c r="H904" s="32" t="n"/>
      <c r="I904" s="530" t="n"/>
      <c r="J904" s="531" t="n"/>
    </row>
    <row r="905">
      <c r="A905" s="30" t="n"/>
      <c r="B905" s="31" t="n"/>
      <c r="C905" s="32" t="n"/>
      <c r="D905" s="19" t="n"/>
      <c r="E905" s="500" t="n"/>
      <c r="F905" s="499" t="n"/>
      <c r="G905" s="32" t="n"/>
      <c r="H905" s="32" t="n"/>
      <c r="I905" s="530" t="n"/>
      <c r="J905" s="531" t="n"/>
    </row>
    <row r="906">
      <c r="A906" s="30" t="n"/>
      <c r="B906" s="31" t="n"/>
      <c r="C906" s="32" t="n"/>
      <c r="D906" s="19" t="n"/>
      <c r="E906" s="500" t="n"/>
      <c r="F906" s="499" t="n"/>
      <c r="G906" s="32" t="n"/>
      <c r="H906" s="32" t="n"/>
      <c r="I906" s="530" t="n"/>
      <c r="J906" s="531" t="n"/>
    </row>
    <row r="907">
      <c r="A907" s="30" t="n"/>
      <c r="B907" s="31" t="n"/>
      <c r="C907" s="32" t="n"/>
      <c r="D907" s="19" t="n"/>
      <c r="E907" s="500" t="n"/>
      <c r="F907" s="499" t="n"/>
      <c r="G907" s="32" t="n"/>
      <c r="H907" s="32" t="n"/>
      <c r="I907" s="530" t="n"/>
      <c r="J907" s="531" t="n"/>
    </row>
    <row r="908">
      <c r="A908" s="30" t="n"/>
      <c r="B908" s="31" t="n"/>
      <c r="C908" s="32" t="n"/>
      <c r="D908" s="19" t="n"/>
      <c r="E908" s="500" t="n"/>
      <c r="F908" s="499" t="n"/>
      <c r="G908" s="32" t="n"/>
      <c r="H908" s="32" t="n"/>
      <c r="I908" s="530" t="n"/>
      <c r="J908" s="531" t="n"/>
    </row>
    <row r="909">
      <c r="A909" s="30" t="n"/>
      <c r="B909" s="31" t="n"/>
      <c r="C909" s="32" t="n"/>
      <c r="D909" s="19" t="n"/>
      <c r="E909" s="500" t="n"/>
      <c r="F909" s="499" t="n"/>
      <c r="G909" s="32" t="n"/>
      <c r="H909" s="32" t="n"/>
      <c r="I909" s="530" t="n"/>
      <c r="J909" s="531" t="n"/>
    </row>
    <row r="910">
      <c r="A910" s="30" t="n"/>
      <c r="B910" s="31" t="n"/>
      <c r="C910" s="32" t="n"/>
      <c r="D910" s="19" t="n"/>
      <c r="E910" s="500" t="n"/>
      <c r="F910" s="499" t="n"/>
      <c r="G910" s="32" t="n"/>
      <c r="H910" s="32" t="n"/>
      <c r="I910" s="530" t="n"/>
      <c r="J910" s="531" t="n"/>
    </row>
    <row r="911">
      <c r="A911" s="30" t="n"/>
      <c r="B911" s="31" t="n"/>
      <c r="C911" s="32" t="n"/>
      <c r="D911" s="19" t="n"/>
      <c r="E911" s="500" t="n"/>
      <c r="F911" s="499" t="n"/>
      <c r="G911" s="32" t="n"/>
      <c r="H911" s="32" t="n"/>
      <c r="I911" s="530" t="n"/>
      <c r="J911" s="531" t="n"/>
    </row>
    <row r="912">
      <c r="A912" s="30" t="n"/>
      <c r="B912" s="31" t="n"/>
      <c r="C912" s="32" t="n"/>
      <c r="D912" s="19" t="n"/>
      <c r="E912" s="500" t="n"/>
      <c r="F912" s="499" t="n"/>
      <c r="G912" s="32" t="n"/>
      <c r="H912" s="32" t="n"/>
      <c r="I912" s="530" t="n"/>
      <c r="J912" s="531" t="n"/>
    </row>
    <row r="913">
      <c r="A913" s="30" t="n"/>
      <c r="B913" s="31" t="n"/>
      <c r="C913" s="32" t="n"/>
      <c r="D913" s="19" t="n"/>
      <c r="E913" s="500" t="n"/>
      <c r="F913" s="499" t="n"/>
      <c r="G913" s="32" t="n"/>
      <c r="H913" s="32" t="n"/>
      <c r="I913" s="530" t="n"/>
      <c r="J913" s="531" t="n"/>
    </row>
    <row r="914">
      <c r="A914" s="30" t="n"/>
      <c r="B914" s="31" t="n"/>
      <c r="C914" s="32" t="n"/>
      <c r="D914" s="19" t="n"/>
      <c r="E914" s="500" t="n"/>
      <c r="F914" s="499" t="n"/>
      <c r="G914" s="32" t="n"/>
      <c r="H914" s="32" t="n"/>
      <c r="I914" s="530" t="n"/>
      <c r="J914" s="531" t="n"/>
    </row>
    <row r="915">
      <c r="A915" s="30" t="n"/>
      <c r="B915" s="31" t="n"/>
      <c r="C915" s="32" t="n"/>
      <c r="D915" s="19" t="n"/>
      <c r="E915" s="500" t="n"/>
      <c r="F915" s="499" t="n"/>
      <c r="G915" s="32" t="n"/>
      <c r="H915" s="32" t="n"/>
      <c r="I915" s="530" t="n"/>
      <c r="J915" s="531" t="n"/>
    </row>
    <row r="916">
      <c r="A916" s="30" t="n"/>
      <c r="B916" s="31" t="n"/>
      <c r="C916" s="32" t="n"/>
      <c r="D916" s="19" t="n"/>
      <c r="E916" s="500" t="n"/>
      <c r="F916" s="499" t="n"/>
      <c r="G916" s="32" t="n"/>
      <c r="H916" s="32" t="n"/>
      <c r="I916" s="530" t="n"/>
      <c r="J916" s="531" t="n"/>
    </row>
    <row r="917">
      <c r="A917" s="30" t="n"/>
      <c r="B917" s="31" t="n"/>
      <c r="C917" s="32" t="n"/>
      <c r="D917" s="19" t="n"/>
      <c r="E917" s="500" t="n"/>
      <c r="F917" s="499" t="n"/>
      <c r="G917" s="32" t="n"/>
      <c r="H917" s="32" t="n"/>
      <c r="I917" s="530" t="n"/>
      <c r="J917" s="531" t="n"/>
    </row>
    <row r="918">
      <c r="A918" s="30" t="n"/>
      <c r="B918" s="31" t="n"/>
      <c r="C918" s="32" t="n"/>
      <c r="D918" s="19" t="n"/>
      <c r="E918" s="500" t="n"/>
      <c r="F918" s="499" t="n"/>
      <c r="G918" s="32" t="n"/>
      <c r="H918" s="32" t="n"/>
      <c r="I918" s="530" t="n"/>
      <c r="J918" s="531" t="n"/>
      <c r="K918" s="51" t="inlineStr">
        <is>
          <t>x</t>
        </is>
      </c>
    </row>
    <row r="919">
      <c r="A919" s="30" t="n"/>
      <c r="B919" s="31" t="n"/>
      <c r="C919" s="32" t="n"/>
      <c r="D919" s="19" t="n"/>
      <c r="E919" s="500" t="n"/>
      <c r="F919" s="499" t="n"/>
      <c r="G919" s="32" t="n"/>
      <c r="H919" s="32" t="n"/>
      <c r="I919" s="530" t="n"/>
      <c r="J919" s="531" t="n"/>
    </row>
    <row r="920">
      <c r="A920" s="30" t="n"/>
      <c r="B920" s="31" t="n"/>
      <c r="C920" s="32" t="n"/>
      <c r="D920" s="19" t="n"/>
      <c r="E920" s="500" t="n"/>
      <c r="F920" s="499" t="n"/>
      <c r="G920" s="32" t="n"/>
      <c r="H920" s="32" t="n"/>
      <c r="I920" s="530" t="n"/>
      <c r="J920" s="531" t="n"/>
    </row>
    <row r="921">
      <c r="A921" s="30" t="n"/>
      <c r="B921" s="31" t="n"/>
      <c r="C921" s="32" t="n"/>
      <c r="D921" s="19" t="n"/>
      <c r="E921" s="500" t="n"/>
      <c r="F921" s="499" t="n"/>
      <c r="G921" s="32" t="n"/>
      <c r="H921" s="32" t="n"/>
      <c r="I921" s="530" t="n"/>
      <c r="J921" s="531" t="n"/>
    </row>
    <row r="922">
      <c r="A922" s="30" t="n"/>
      <c r="B922" s="31" t="n"/>
      <c r="C922" s="32" t="n"/>
      <c r="D922" s="19" t="n"/>
      <c r="E922" s="500" t="n"/>
      <c r="F922" s="499" t="n"/>
      <c r="G922" s="32" t="n"/>
      <c r="H922" s="32" t="n"/>
      <c r="I922" s="530" t="n"/>
      <c r="J922" s="531" t="n"/>
    </row>
    <row r="923">
      <c r="A923" s="30" t="n"/>
      <c r="B923" s="31" t="n"/>
      <c r="C923" s="32" t="n"/>
      <c r="D923" s="19" t="n"/>
      <c r="E923" s="500" t="n"/>
      <c r="F923" s="499" t="n"/>
      <c r="G923" s="32" t="n"/>
      <c r="H923" s="32" t="n"/>
      <c r="I923" s="530" t="n"/>
      <c r="J923" s="531" t="n"/>
    </row>
    <row r="924" ht="22.25" customHeight="1" s="344">
      <c r="A924" s="30" t="n"/>
      <c r="B924" s="31" t="n"/>
      <c r="C924" s="32" t="n"/>
      <c r="D924" s="19" t="n"/>
      <c r="E924" s="500" t="n"/>
      <c r="F924" s="499" t="n"/>
      <c r="G924" s="32" t="n"/>
      <c r="H924" s="32" t="n"/>
      <c r="I924" s="530" t="n"/>
      <c r="J924" s="531" t="n"/>
    </row>
    <row r="925" ht="23.4" customHeight="1" s="344">
      <c r="A925" s="30" t="n"/>
      <c r="B925" s="31" t="n"/>
      <c r="C925" s="32" t="n"/>
      <c r="D925" s="19" t="n"/>
      <c r="E925" s="500" t="n"/>
      <c r="F925" s="499" t="n"/>
      <c r="G925" s="32" t="n"/>
      <c r="H925" s="32" t="n"/>
      <c r="I925" s="530" t="n"/>
      <c r="J925" s="531" t="n"/>
    </row>
    <row r="926">
      <c r="A926" s="30" t="n"/>
      <c r="B926" s="31" t="n"/>
      <c r="C926" s="32" t="n"/>
      <c r="D926" s="19" t="n"/>
      <c r="E926" s="500" t="n"/>
      <c r="F926" s="499" t="n"/>
      <c r="G926" s="32" t="n"/>
      <c r="H926" s="32" t="n"/>
      <c r="I926" s="530" t="n"/>
      <c r="J926" s="531" t="n"/>
    </row>
    <row r="927">
      <c r="A927" s="30" t="n"/>
      <c r="B927" s="31" t="n"/>
      <c r="C927" s="32" t="n"/>
      <c r="D927" s="19" t="n"/>
      <c r="E927" s="500" t="n"/>
      <c r="F927" s="499" t="n"/>
      <c r="G927" s="32" t="n"/>
      <c r="H927" s="32" t="n"/>
      <c r="I927" s="530" t="n"/>
      <c r="J927" s="531" t="n"/>
    </row>
    <row r="928">
      <c r="A928" s="30" t="n"/>
      <c r="B928" s="31" t="n"/>
      <c r="C928" s="32" t="n"/>
      <c r="D928" s="19" t="n"/>
      <c r="E928" s="500" t="n"/>
      <c r="F928" s="499" t="n"/>
      <c r="G928" s="32" t="n"/>
      <c r="H928" s="32" t="n"/>
      <c r="I928" s="530" t="n"/>
      <c r="J928" s="531" t="n"/>
    </row>
    <row r="929">
      <c r="A929" s="30" t="n"/>
      <c r="B929" s="31" t="n"/>
      <c r="C929" s="32" t="n"/>
      <c r="D929" s="19" t="n"/>
      <c r="E929" s="500" t="n"/>
      <c r="F929" s="499" t="n"/>
      <c r="G929" s="32" t="n"/>
      <c r="H929" s="32" t="n"/>
      <c r="I929" s="530" t="n"/>
      <c r="J929" s="531" t="n"/>
    </row>
    <row r="930">
      <c r="A930" s="30" t="n"/>
      <c r="B930" s="31" t="n"/>
      <c r="C930" s="32" t="n"/>
      <c r="D930" s="19" t="n"/>
      <c r="E930" s="500" t="n"/>
      <c r="F930" s="499" t="n"/>
      <c r="G930" s="32" t="n"/>
      <c r="H930" s="32" t="n"/>
      <c r="I930" s="530" t="n"/>
      <c r="J930" s="531" t="n"/>
    </row>
    <row r="931">
      <c r="A931" s="30" t="n"/>
      <c r="B931" s="31" t="n"/>
      <c r="C931" s="32" t="n"/>
      <c r="D931" s="19" t="n"/>
      <c r="E931" s="500" t="n"/>
      <c r="F931" s="499" t="n"/>
      <c r="G931" s="32" t="n"/>
      <c r="H931" s="32" t="n"/>
      <c r="I931" s="530" t="n"/>
      <c r="J931" s="531" t="n"/>
    </row>
    <row r="932">
      <c r="A932" s="30" t="n"/>
      <c r="B932" s="31" t="n"/>
      <c r="C932" s="32" t="n"/>
      <c r="D932" s="19" t="n"/>
      <c r="E932" s="500" t="n"/>
      <c r="F932" s="499" t="n"/>
      <c r="G932" s="32" t="n"/>
      <c r="H932" s="32" t="n"/>
      <c r="I932" s="530" t="n"/>
      <c r="J932" s="531" t="n"/>
    </row>
    <row r="933">
      <c r="A933" s="30" t="n"/>
      <c r="B933" s="31" t="n"/>
      <c r="C933" s="32" t="n"/>
      <c r="D933" s="19" t="n"/>
      <c r="E933" s="500" t="n"/>
      <c r="F933" s="499" t="n"/>
      <c r="G933" s="32" t="n"/>
      <c r="H933" s="32" t="n"/>
      <c r="I933" s="530" t="n"/>
      <c r="J933" s="531" t="n"/>
    </row>
    <row r="934">
      <c r="A934" s="30" t="n"/>
      <c r="B934" s="31" t="n"/>
      <c r="C934" s="32" t="n"/>
      <c r="D934" s="19" t="n"/>
      <c r="E934" s="500" t="n"/>
      <c r="F934" s="499" t="n"/>
      <c r="G934" s="32" t="n"/>
      <c r="H934" s="32" t="n"/>
      <c r="I934" s="530" t="n"/>
      <c r="J934" s="531" t="n"/>
    </row>
    <row r="935">
      <c r="A935" s="30" t="n"/>
      <c r="B935" s="31" t="n"/>
      <c r="C935" s="32" t="n"/>
      <c r="D935" s="19" t="n"/>
      <c r="E935" s="500" t="n"/>
      <c r="F935" s="499" t="n"/>
      <c r="G935" s="32" t="n"/>
      <c r="H935" s="32" t="n"/>
      <c r="I935" s="530" t="n"/>
      <c r="J935" s="531" t="n"/>
    </row>
    <row r="936">
      <c r="A936" s="30" t="n"/>
      <c r="B936" s="31" t="n"/>
      <c r="C936" s="32" t="n"/>
      <c r="D936" s="19" t="n"/>
      <c r="E936" s="500" t="n"/>
      <c r="F936" s="499" t="n"/>
      <c r="G936" s="32" t="n"/>
      <c r="H936" s="32" t="n"/>
      <c r="I936" s="530" t="n"/>
      <c r="J936" s="531" t="n"/>
    </row>
    <row r="937">
      <c r="A937" s="30" t="n"/>
      <c r="B937" s="31" t="n"/>
      <c r="C937" s="32" t="n"/>
      <c r="D937" s="19" t="n"/>
      <c r="E937" s="500" t="n"/>
      <c r="F937" s="499" t="n"/>
      <c r="G937" s="32" t="n"/>
      <c r="H937" s="32" t="n"/>
      <c r="I937" s="530" t="n"/>
      <c r="J937" s="531" t="n"/>
    </row>
    <row r="938">
      <c r="A938" s="30" t="n"/>
      <c r="B938" s="31" t="n"/>
      <c r="C938" s="32" t="n"/>
      <c r="D938" s="19" t="n"/>
      <c r="E938" s="500" t="n"/>
      <c r="F938" s="499" t="n"/>
      <c r="G938" s="32" t="n"/>
      <c r="H938" s="32" t="n"/>
      <c r="I938" s="530" t="n"/>
      <c r="J938" s="531" t="n"/>
    </row>
    <row r="939">
      <c r="A939" s="30" t="n"/>
      <c r="B939" s="31" t="n"/>
      <c r="C939" s="32" t="n"/>
      <c r="D939" s="19" t="n"/>
      <c r="E939" s="500" t="n"/>
      <c r="F939" s="499" t="n"/>
      <c r="G939" s="32" t="n"/>
      <c r="H939" s="32" t="n"/>
      <c r="I939" s="530" t="n"/>
      <c r="J939" s="531" t="n"/>
    </row>
    <row r="940">
      <c r="A940" s="30" t="n"/>
      <c r="B940" s="31" t="n"/>
      <c r="C940" s="32" t="n"/>
      <c r="D940" s="19" t="n"/>
      <c r="E940" s="500" t="n"/>
      <c r="F940" s="499" t="n"/>
      <c r="G940" s="32" t="n"/>
      <c r="H940" s="32" t="n"/>
      <c r="I940" s="530" t="n"/>
      <c r="J940" s="531" t="n"/>
    </row>
    <row r="941">
      <c r="A941" s="30" t="n"/>
      <c r="B941" s="31" t="n"/>
      <c r="C941" s="32" t="n"/>
      <c r="D941" s="19" t="n"/>
      <c r="E941" s="500" t="n"/>
      <c r="F941" s="499" t="n"/>
      <c r="G941" s="32" t="n"/>
      <c r="H941" s="32" t="n"/>
      <c r="I941" s="530" t="n"/>
      <c r="J941" s="531" t="n"/>
    </row>
    <row r="942">
      <c r="A942" s="30" t="n"/>
      <c r="B942" s="31" t="n"/>
      <c r="C942" s="32" t="n"/>
      <c r="D942" s="19" t="n"/>
      <c r="E942" s="500" t="n"/>
      <c r="F942" s="499" t="n"/>
      <c r="G942" s="32" t="n"/>
      <c r="H942" s="32" t="n"/>
      <c r="I942" s="530" t="n"/>
      <c r="J942" s="531" t="n"/>
    </row>
    <row r="943">
      <c r="A943" s="30" t="n"/>
      <c r="B943" s="31" t="n"/>
      <c r="C943" s="32" t="n"/>
      <c r="D943" s="19" t="n"/>
      <c r="E943" s="500" t="n"/>
      <c r="F943" s="499" t="n"/>
      <c r="G943" s="32" t="n"/>
      <c r="H943" s="32" t="n"/>
      <c r="I943" s="530" t="n"/>
      <c r="J943" s="531" t="n"/>
    </row>
    <row r="944">
      <c r="A944" s="30" t="n"/>
      <c r="B944" s="31" t="n"/>
      <c r="C944" s="32" t="n"/>
      <c r="D944" s="19" t="n"/>
      <c r="E944" s="500" t="n"/>
      <c r="F944" s="499" t="n"/>
      <c r="G944" s="32" t="n"/>
      <c r="H944" s="32" t="n"/>
      <c r="I944" s="530" t="n"/>
      <c r="J944" s="531" t="n"/>
    </row>
    <row r="945">
      <c r="A945" s="30" t="n"/>
      <c r="B945" s="31" t="n"/>
      <c r="C945" s="32" t="n"/>
      <c r="D945" s="19" t="n"/>
      <c r="E945" s="500" t="n"/>
      <c r="F945" s="499" t="n"/>
      <c r="G945" s="32" t="n"/>
      <c r="H945" s="32" t="n"/>
      <c r="I945" s="530" t="n"/>
      <c r="J945" s="531" t="n"/>
    </row>
    <row r="946">
      <c r="A946" s="30" t="n"/>
      <c r="B946" s="31" t="n"/>
      <c r="C946" s="32" t="n"/>
      <c r="D946" s="19" t="n"/>
      <c r="E946" s="500" t="n"/>
      <c r="F946" s="499" t="n"/>
      <c r="G946" s="32" t="n"/>
      <c r="H946" s="32" t="n"/>
      <c r="I946" s="530" t="n"/>
      <c r="J946" s="531" t="n"/>
    </row>
    <row r="947">
      <c r="A947" s="30" t="n"/>
      <c r="B947" s="31" t="n"/>
      <c r="C947" s="32" t="n"/>
      <c r="D947" s="19" t="n"/>
      <c r="E947" s="500" t="n"/>
      <c r="F947" s="499" t="n"/>
      <c r="G947" s="32" t="n"/>
      <c r="H947" s="32" t="n"/>
      <c r="I947" s="530" t="n"/>
      <c r="J947" s="531" t="n"/>
    </row>
    <row r="948">
      <c r="A948" s="30" t="n"/>
      <c r="B948" s="31" t="n"/>
      <c r="C948" s="32" t="n"/>
      <c r="D948" s="19" t="n"/>
      <c r="E948" s="500" t="n"/>
      <c r="F948" s="499" t="n"/>
      <c r="G948" s="32" t="n"/>
      <c r="H948" s="32" t="n"/>
      <c r="I948" s="530" t="n"/>
      <c r="J948" s="531" t="n"/>
    </row>
    <row r="949">
      <c r="A949" s="30" t="n"/>
      <c r="B949" s="31" t="n"/>
      <c r="C949" s="32" t="n"/>
      <c r="D949" s="19" t="n"/>
      <c r="E949" s="500" t="n"/>
      <c r="F949" s="499" t="n"/>
      <c r="G949" s="32" t="n"/>
      <c r="H949" s="32" t="n"/>
      <c r="I949" s="530" t="n"/>
      <c r="J949" s="531" t="n"/>
    </row>
    <row r="950">
      <c r="A950" s="30" t="n"/>
      <c r="B950" s="31" t="n"/>
      <c r="C950" s="32" t="n"/>
      <c r="D950" s="19" t="n"/>
      <c r="E950" s="500" t="n"/>
      <c r="F950" s="499" t="n"/>
      <c r="G950" s="32" t="n"/>
      <c r="H950" s="32" t="n"/>
      <c r="I950" s="530" t="n"/>
      <c r="J950" s="531" t="n"/>
    </row>
    <row r="951">
      <c r="A951" s="30" t="n"/>
      <c r="B951" s="31" t="n"/>
      <c r="C951" s="32" t="n"/>
      <c r="D951" s="19" t="n"/>
      <c r="E951" s="500" t="n"/>
      <c r="F951" s="499" t="n"/>
      <c r="G951" s="32" t="n"/>
      <c r="H951" s="32" t="n"/>
      <c r="I951" s="530" t="n"/>
      <c r="J951" s="531" t="n"/>
    </row>
    <row r="952">
      <c r="A952" s="30" t="n"/>
      <c r="B952" s="31" t="n"/>
      <c r="C952" s="32" t="n"/>
      <c r="D952" s="19" t="n"/>
      <c r="E952" s="500" t="n"/>
      <c r="F952" s="499" t="n"/>
      <c r="G952" s="32" t="n"/>
      <c r="H952" s="32" t="n"/>
      <c r="I952" s="530" t="n"/>
      <c r="J952" s="531" t="n"/>
    </row>
    <row r="953">
      <c r="A953" s="30" t="n"/>
      <c r="B953" s="31" t="n"/>
      <c r="C953" s="32" t="n"/>
      <c r="D953" s="19" t="n"/>
      <c r="E953" s="500" t="n"/>
      <c r="F953" s="499" t="n"/>
      <c r="G953" s="32" t="n"/>
      <c r="H953" s="32" t="n"/>
      <c r="I953" s="530" t="n"/>
      <c r="J953" s="531" t="n"/>
    </row>
    <row r="954">
      <c r="A954" s="30" t="n"/>
      <c r="B954" s="31" t="n"/>
      <c r="C954" s="32" t="n"/>
      <c r="D954" s="19" t="n"/>
      <c r="E954" s="500" t="n"/>
      <c r="F954" s="499" t="n"/>
      <c r="G954" s="32" t="n"/>
      <c r="H954" s="32" t="n"/>
      <c r="I954" s="530" t="n"/>
      <c r="J954" s="531" t="n"/>
    </row>
    <row r="955">
      <c r="A955" s="30" t="n"/>
      <c r="B955" s="31" t="n"/>
      <c r="C955" s="32" t="n"/>
      <c r="D955" s="19" t="n"/>
      <c r="E955" s="500" t="n"/>
      <c r="F955" s="499" t="n"/>
      <c r="G955" s="32" t="n"/>
      <c r="H955" s="32" t="n"/>
      <c r="I955" s="530" t="n"/>
      <c r="J955" s="531" t="n"/>
    </row>
    <row r="956">
      <c r="A956" s="30" t="n"/>
      <c r="B956" s="31" t="n"/>
      <c r="C956" s="32" t="n"/>
      <c r="D956" s="19" t="n"/>
      <c r="E956" s="500" t="n"/>
      <c r="F956" s="499" t="n"/>
      <c r="G956" s="32" t="n"/>
      <c r="H956" s="32" t="n"/>
      <c r="I956" s="530" t="n"/>
      <c r="J956" s="531" t="n"/>
    </row>
    <row r="957">
      <c r="A957" s="30" t="n"/>
      <c r="B957" s="31" t="n"/>
      <c r="C957" s="32" t="n"/>
      <c r="D957" s="19" t="n"/>
      <c r="E957" s="500" t="n"/>
      <c r="F957" s="499" t="n"/>
      <c r="G957" s="32" t="n"/>
      <c r="H957" s="32" t="n"/>
      <c r="I957" s="530" t="n"/>
      <c r="J957" s="531" t="n"/>
    </row>
    <row r="958">
      <c r="A958" s="30" t="n"/>
      <c r="B958" s="31" t="n"/>
      <c r="C958" s="32" t="n"/>
      <c r="D958" s="19" t="n"/>
      <c r="E958" s="500" t="n"/>
      <c r="F958" s="499" t="n"/>
      <c r="G958" s="32" t="n"/>
      <c r="H958" s="32" t="n"/>
      <c r="I958" s="530" t="n"/>
      <c r="J958" s="531" t="n"/>
    </row>
    <row r="959">
      <c r="A959" s="30" t="n"/>
      <c r="B959" s="31" t="n"/>
      <c r="C959" s="32" t="n"/>
      <c r="D959" s="19" t="n"/>
      <c r="E959" s="500" t="n"/>
      <c r="F959" s="499" t="n"/>
      <c r="G959" s="32" t="n"/>
      <c r="H959" s="32" t="n"/>
      <c r="I959" s="530" t="n"/>
      <c r="J959" s="531" t="n"/>
    </row>
    <row r="960">
      <c r="A960" s="30" t="n"/>
      <c r="B960" s="31" t="n"/>
      <c r="C960" s="32" t="n"/>
      <c r="D960" s="19" t="n"/>
      <c r="E960" s="500" t="n"/>
      <c r="F960" s="499" t="n"/>
      <c r="G960" s="32" t="n"/>
      <c r="H960" s="32" t="n"/>
      <c r="I960" s="530" t="n"/>
      <c r="J960" s="531" t="n"/>
    </row>
    <row r="961">
      <c r="A961" s="30" t="n"/>
      <c r="B961" s="31" t="n"/>
      <c r="C961" s="32" t="n"/>
      <c r="D961" s="19" t="n"/>
      <c r="E961" s="500" t="n"/>
      <c r="F961" s="499" t="n"/>
      <c r="G961" s="32" t="n"/>
      <c r="H961" s="32" t="n"/>
      <c r="I961" s="530" t="n"/>
      <c r="J961" s="531" t="n"/>
    </row>
    <row r="962">
      <c r="A962" s="30" t="n"/>
      <c r="B962" s="31" t="n"/>
      <c r="C962" s="32" t="n"/>
      <c r="D962" s="19" t="n"/>
      <c r="E962" s="500" t="n"/>
      <c r="F962" s="499" t="n"/>
      <c r="G962" s="32" t="n"/>
      <c r="H962" s="32" t="n"/>
      <c r="I962" s="530" t="n"/>
      <c r="J962" s="531" t="n"/>
    </row>
    <row r="963">
      <c r="A963" s="30" t="n"/>
      <c r="B963" s="31" t="n"/>
      <c r="C963" s="32" t="n"/>
      <c r="D963" s="19" t="n"/>
      <c r="E963" s="500" t="n"/>
      <c r="F963" s="499" t="n"/>
      <c r="G963" s="32" t="n"/>
      <c r="H963" s="32" t="n"/>
      <c r="I963" s="530" t="n"/>
      <c r="J963" s="531" t="n"/>
    </row>
    <row r="964">
      <c r="A964" s="30" t="n"/>
      <c r="B964" s="31" t="n"/>
      <c r="C964" s="32" t="n"/>
      <c r="D964" s="19" t="n"/>
      <c r="E964" s="500" t="n"/>
      <c r="F964" s="499" t="n"/>
      <c r="G964" s="32" t="n"/>
      <c r="H964" s="32" t="n"/>
      <c r="I964" s="530" t="n"/>
      <c r="J964" s="531" t="n"/>
    </row>
    <row r="965">
      <c r="A965" s="30" t="n"/>
      <c r="B965" s="31" t="n"/>
      <c r="C965" s="32" t="n"/>
      <c r="D965" s="19" t="n"/>
      <c r="E965" s="500" t="n"/>
      <c r="F965" s="499" t="n"/>
      <c r="G965" s="32" t="n"/>
      <c r="H965" s="32" t="n"/>
      <c r="I965" s="530" t="n"/>
      <c r="J965" s="531" t="n"/>
    </row>
    <row r="966">
      <c r="A966" s="30" t="n"/>
      <c r="B966" s="31" t="n"/>
      <c r="C966" s="32" t="n"/>
      <c r="D966" s="19" t="n"/>
      <c r="E966" s="500" t="n"/>
      <c r="F966" s="499" t="n"/>
      <c r="G966" s="32" t="n"/>
      <c r="H966" s="32" t="n"/>
      <c r="I966" s="530" t="n"/>
      <c r="J966" s="531" t="n"/>
    </row>
    <row r="967">
      <c r="A967" s="30" t="n"/>
      <c r="B967" s="31" t="n"/>
      <c r="C967" s="32" t="n"/>
      <c r="D967" s="19" t="n"/>
      <c r="E967" s="500" t="n"/>
      <c r="F967" s="499" t="n"/>
      <c r="G967" s="32" t="n"/>
      <c r="H967" s="32" t="n"/>
      <c r="I967" s="530" t="n"/>
      <c r="J967" s="531" t="n"/>
    </row>
    <row r="968">
      <c r="A968" s="30" t="n"/>
      <c r="B968" s="31" t="n"/>
      <c r="C968" s="32" t="n"/>
      <c r="D968" s="19" t="n"/>
      <c r="E968" s="500" t="n"/>
      <c r="F968" s="499" t="n"/>
      <c r="G968" s="32" t="n"/>
      <c r="H968" s="32" t="n"/>
      <c r="I968" s="530" t="n"/>
      <c r="J968" s="531" t="n"/>
    </row>
    <row r="969">
      <c r="A969" s="30" t="n"/>
      <c r="B969" s="31" t="n"/>
      <c r="C969" s="32" t="n"/>
      <c r="D969" s="19" t="n"/>
      <c r="E969" s="500" t="n"/>
      <c r="F969" s="499" t="n"/>
      <c r="G969" s="32" t="n"/>
      <c r="H969" s="32" t="n"/>
      <c r="I969" s="530" t="n"/>
      <c r="J969" s="531" t="n"/>
    </row>
    <row r="970">
      <c r="A970" s="30" t="n"/>
      <c r="B970" s="31" t="n"/>
      <c r="C970" s="32" t="n"/>
      <c r="D970" s="19" t="n"/>
      <c r="E970" s="500" t="n"/>
      <c r="F970" s="499" t="n"/>
      <c r="G970" s="32" t="n"/>
      <c r="H970" s="32" t="n"/>
      <c r="I970" s="530" t="n"/>
      <c r="J970" s="531" t="n"/>
    </row>
    <row r="971">
      <c r="A971" s="30" t="n"/>
      <c r="B971" s="31" t="n"/>
      <c r="C971" s="32" t="n"/>
      <c r="D971" s="19" t="n"/>
      <c r="E971" s="500" t="n"/>
      <c r="F971" s="499" t="n"/>
      <c r="G971" s="32" t="n"/>
      <c r="H971" s="32" t="n"/>
      <c r="I971" s="530" t="n"/>
      <c r="J971" s="531" t="n"/>
    </row>
    <row r="972">
      <c r="A972" s="30" t="n"/>
      <c r="B972" s="31" t="n"/>
      <c r="C972" s="32" t="n"/>
      <c r="D972" s="19" t="n"/>
      <c r="E972" s="500" t="n"/>
      <c r="F972" s="499" t="n"/>
      <c r="G972" s="32" t="n"/>
      <c r="H972" s="32" t="n"/>
      <c r="I972" s="530" t="n"/>
      <c r="J972" s="531" t="n"/>
    </row>
    <row r="973">
      <c r="A973" s="30" t="n"/>
      <c r="B973" s="31" t="n"/>
      <c r="C973" s="32" t="n"/>
      <c r="D973" s="19" t="n"/>
      <c r="E973" s="500" t="n"/>
      <c r="F973" s="499" t="n"/>
      <c r="G973" s="32" t="n"/>
      <c r="H973" s="32" t="n"/>
      <c r="I973" s="530" t="n"/>
      <c r="J973" s="531" t="n"/>
    </row>
    <row r="974">
      <c r="A974" s="30" t="n"/>
      <c r="B974" s="31" t="n"/>
      <c r="C974" s="32" t="n"/>
      <c r="D974" s="19" t="n"/>
      <c r="E974" s="500" t="n"/>
      <c r="F974" s="499" t="n"/>
      <c r="G974" s="32" t="n"/>
      <c r="H974" s="32" t="n"/>
      <c r="I974" s="530" t="n"/>
      <c r="J974" s="531" t="n"/>
    </row>
    <row r="975">
      <c r="A975" s="30" t="n"/>
      <c r="B975" s="31" t="n"/>
      <c r="C975" s="32" t="n"/>
      <c r="D975" s="19" t="n"/>
      <c r="E975" s="500" t="n"/>
      <c r="F975" s="499" t="n"/>
      <c r="G975" s="32" t="n"/>
      <c r="H975" s="32" t="n"/>
      <c r="I975" s="530" t="n"/>
      <c r="J975" s="531" t="n"/>
    </row>
    <row r="976">
      <c r="A976" s="30" t="n"/>
      <c r="B976" s="31" t="n"/>
      <c r="C976" s="32" t="n"/>
      <c r="D976" s="19" t="n"/>
      <c r="E976" s="500" t="n"/>
      <c r="F976" s="499" t="n"/>
      <c r="G976" s="32" t="n"/>
      <c r="H976" s="32" t="n"/>
      <c r="I976" s="530" t="n"/>
      <c r="J976" s="531" t="n"/>
    </row>
    <row r="977">
      <c r="A977" s="30" t="n"/>
      <c r="B977" s="31" t="n"/>
      <c r="C977" s="32" t="n"/>
      <c r="D977" s="19" t="n"/>
      <c r="E977" s="500" t="n"/>
      <c r="F977" s="499" t="n"/>
      <c r="G977" s="32" t="n"/>
      <c r="H977" s="32" t="n"/>
      <c r="I977" s="530" t="n"/>
      <c r="J977" s="531" t="n"/>
    </row>
    <row r="978">
      <c r="A978" s="30" t="n"/>
      <c r="B978" s="31" t="n"/>
      <c r="C978" s="32" t="n"/>
      <c r="D978" s="19" t="n"/>
      <c r="E978" s="500" t="n"/>
      <c r="F978" s="499" t="n"/>
      <c r="G978" s="32" t="n"/>
      <c r="H978" s="32" t="n"/>
      <c r="I978" s="530" t="n"/>
      <c r="J978" s="531" t="n"/>
    </row>
    <row r="979">
      <c r="A979" s="30" t="n"/>
      <c r="B979" s="31" t="n"/>
      <c r="C979" s="32" t="n"/>
      <c r="D979" s="19" t="n"/>
      <c r="E979" s="500" t="n"/>
      <c r="F979" s="499" t="n"/>
      <c r="G979" s="32" t="n"/>
      <c r="H979" s="32" t="n"/>
      <c r="I979" s="530" t="n"/>
      <c r="J979" s="531" t="n"/>
    </row>
    <row r="980">
      <c r="A980" s="30" t="n"/>
      <c r="B980" s="31" t="n"/>
      <c r="C980" s="32" t="n"/>
      <c r="D980" s="19" t="n"/>
      <c r="E980" s="500" t="n"/>
      <c r="F980" s="499" t="n"/>
      <c r="G980" s="32" t="n"/>
      <c r="H980" s="32" t="n"/>
      <c r="I980" s="530" t="n"/>
      <c r="J980" s="531" t="n"/>
    </row>
    <row r="981">
      <c r="A981" s="30" t="n"/>
      <c r="B981" s="31" t="n"/>
      <c r="C981" s="32" t="n"/>
      <c r="D981" s="19" t="n"/>
      <c r="E981" s="500" t="n"/>
      <c r="F981" s="499" t="n"/>
      <c r="G981" s="32" t="n"/>
      <c r="H981" s="32" t="n"/>
      <c r="I981" s="530" t="n"/>
      <c r="J981" s="531" t="n"/>
    </row>
    <row r="982">
      <c r="A982" s="30" t="n"/>
      <c r="B982" s="31" t="n"/>
      <c r="C982" s="32" t="n"/>
      <c r="D982" s="19" t="n"/>
      <c r="E982" s="500" t="n"/>
      <c r="F982" s="499" t="n"/>
      <c r="G982" s="32" t="n"/>
      <c r="H982" s="32" t="n"/>
      <c r="I982" s="530" t="n"/>
      <c r="J982" s="531" t="n"/>
    </row>
    <row r="983">
      <c r="A983" s="30" t="n"/>
      <c r="B983" s="31" t="n"/>
      <c r="C983" s="32" t="n"/>
      <c r="D983" s="19" t="n"/>
      <c r="E983" s="500" t="n"/>
      <c r="F983" s="499" t="n"/>
      <c r="G983" s="32" t="n"/>
      <c r="H983" s="32" t="n"/>
      <c r="I983" s="530" t="n"/>
      <c r="J983" s="531" t="n"/>
    </row>
    <row r="984">
      <c r="A984" s="30" t="n"/>
      <c r="B984" s="31" t="n"/>
      <c r="C984" s="32" t="n"/>
      <c r="D984" s="19" t="n"/>
      <c r="E984" s="500" t="n"/>
      <c r="F984" s="499" t="n"/>
      <c r="G984" s="32" t="n"/>
      <c r="H984" s="32" t="n"/>
      <c r="I984" s="530" t="n"/>
      <c r="J984" s="531" t="n"/>
    </row>
    <row r="985">
      <c r="A985" s="30" t="n"/>
      <c r="B985" s="31" t="n"/>
      <c r="C985" s="32" t="n"/>
      <c r="D985" s="19" t="n"/>
      <c r="E985" s="500" t="n"/>
      <c r="F985" s="499" t="n"/>
      <c r="G985" s="32" t="n"/>
      <c r="H985" s="32" t="n"/>
      <c r="I985" s="530" t="n"/>
      <c r="J985" s="531" t="n"/>
    </row>
    <row r="986">
      <c r="A986" s="30" t="n"/>
      <c r="B986" s="31" t="n"/>
      <c r="C986" s="32" t="n"/>
      <c r="D986" s="19" t="n"/>
      <c r="E986" s="500" t="n"/>
      <c r="F986" s="499" t="n"/>
      <c r="G986" s="32" t="n"/>
      <c r="H986" s="32" t="n"/>
      <c r="I986" s="530" t="n"/>
      <c r="J986" s="531" t="n"/>
    </row>
    <row r="987">
      <c r="A987" s="30" t="n"/>
      <c r="B987" s="31" t="n"/>
      <c r="C987" s="32" t="n"/>
      <c r="D987" s="19" t="n"/>
      <c r="E987" s="500" t="n"/>
      <c r="F987" s="499" t="n"/>
      <c r="G987" s="32" t="n"/>
      <c r="H987" s="32" t="n"/>
      <c r="I987" s="530" t="n"/>
      <c r="J987" s="531" t="n"/>
    </row>
    <row r="988">
      <c r="A988" s="30" t="n"/>
      <c r="B988" s="31" t="n"/>
      <c r="C988" s="32" t="n"/>
      <c r="D988" s="19" t="n"/>
      <c r="E988" s="500" t="n"/>
      <c r="F988" s="499" t="n"/>
      <c r="G988" s="32" t="n"/>
      <c r="H988" s="32" t="n"/>
      <c r="I988" s="530" t="n"/>
      <c r="J988" s="531" t="n"/>
    </row>
    <row r="989">
      <c r="A989" s="30" t="n"/>
      <c r="B989" s="31" t="n"/>
      <c r="C989" s="32" t="n"/>
      <c r="D989" s="19" t="n"/>
      <c r="E989" s="500" t="n"/>
      <c r="F989" s="499" t="n"/>
      <c r="G989" s="32" t="n"/>
      <c r="H989" s="32" t="n"/>
      <c r="I989" s="530" t="n"/>
      <c r="J989" s="531" t="n"/>
    </row>
    <row r="990">
      <c r="A990" s="30" t="n"/>
      <c r="B990" s="31" t="n"/>
      <c r="C990" s="32" t="n"/>
      <c r="D990" s="19" t="n"/>
      <c r="E990" s="500" t="n"/>
      <c r="F990" s="499" t="n"/>
      <c r="G990" s="32" t="n"/>
      <c r="H990" s="32" t="n"/>
      <c r="I990" s="530" t="n"/>
      <c r="J990" s="531" t="n"/>
    </row>
    <row r="991">
      <c r="A991" s="30" t="n"/>
      <c r="B991" s="31" t="n"/>
      <c r="C991" s="32" t="n"/>
      <c r="D991" s="19" t="n"/>
      <c r="E991" s="500" t="n"/>
      <c r="F991" s="499" t="n"/>
      <c r="G991" s="32" t="n"/>
      <c r="H991" s="32" t="n"/>
      <c r="I991" s="530" t="n"/>
      <c r="J991" s="531" t="n"/>
    </row>
    <row r="992">
      <c r="A992" s="30" t="n"/>
      <c r="B992" s="31" t="n"/>
      <c r="C992" s="32" t="n"/>
      <c r="D992" s="19" t="n"/>
      <c r="E992" s="500" t="n"/>
      <c r="F992" s="499" t="n"/>
      <c r="G992" s="32" t="n"/>
      <c r="H992" s="32" t="n"/>
      <c r="I992" s="530" t="n"/>
      <c r="J992" s="531" t="n"/>
    </row>
    <row r="993">
      <c r="A993" s="30" t="n"/>
      <c r="B993" s="31" t="n"/>
      <c r="C993" s="32" t="n"/>
      <c r="D993" s="19" t="n"/>
      <c r="E993" s="500" t="n"/>
      <c r="F993" s="499" t="n"/>
      <c r="G993" s="32" t="n"/>
      <c r="H993" s="32" t="n"/>
      <c r="I993" s="530" t="n"/>
      <c r="J993" s="531" t="n"/>
    </row>
    <row r="994">
      <c r="A994" s="30" t="n"/>
      <c r="B994" s="31" t="n"/>
      <c r="C994" s="32" t="n"/>
      <c r="D994" s="19" t="n"/>
      <c r="E994" s="500" t="n"/>
      <c r="F994" s="499" t="n"/>
      <c r="G994" s="32" t="n"/>
      <c r="H994" s="32" t="n"/>
      <c r="I994" s="530" t="n"/>
      <c r="J994" s="531" t="n"/>
    </row>
    <row r="995">
      <c r="A995" s="30" t="n"/>
      <c r="B995" s="31" t="n"/>
      <c r="C995" s="32" t="n"/>
      <c r="D995" s="19" t="n"/>
      <c r="E995" s="500" t="n"/>
      <c r="F995" s="499" t="n"/>
      <c r="G995" s="32" t="n"/>
      <c r="H995" s="32" t="n"/>
      <c r="I995" s="530" t="n"/>
      <c r="J995" s="531" t="n"/>
    </row>
    <row r="996">
      <c r="A996" s="30" t="n"/>
      <c r="B996" s="31" t="n"/>
      <c r="C996" s="32" t="n"/>
      <c r="D996" s="19" t="n"/>
      <c r="E996" s="500" t="n"/>
      <c r="F996" s="499" t="n"/>
      <c r="G996" s="32" t="n"/>
      <c r="H996" s="32" t="n"/>
      <c r="I996" s="530" t="n"/>
      <c r="J996" s="531" t="n"/>
    </row>
    <row r="997">
      <c r="A997" s="30" t="n"/>
      <c r="B997" s="31" t="n"/>
      <c r="C997" s="32" t="n"/>
      <c r="D997" s="19" t="n"/>
      <c r="E997" s="500" t="n"/>
      <c r="F997" s="499" t="n"/>
      <c r="G997" s="32" t="n"/>
      <c r="H997" s="32" t="n"/>
      <c r="I997" s="530" t="n"/>
      <c r="J997" s="531" t="n"/>
    </row>
    <row r="998">
      <c r="A998" s="30" t="n"/>
      <c r="B998" s="31" t="n"/>
      <c r="C998" s="32" t="n"/>
      <c r="D998" s="19" t="n"/>
      <c r="E998" s="500" t="n"/>
      <c r="F998" s="499" t="n"/>
      <c r="G998" s="32" t="n"/>
      <c r="H998" s="32" t="n"/>
      <c r="I998" s="530" t="n"/>
      <c r="J998" s="531" t="n"/>
    </row>
    <row r="999">
      <c r="A999" s="30" t="n"/>
      <c r="B999" s="31" t="n"/>
      <c r="C999" s="32" t="n"/>
      <c r="D999" s="19" t="n"/>
      <c r="E999" s="500" t="n"/>
      <c r="F999" s="499" t="n"/>
      <c r="G999" s="32" t="n"/>
      <c r="H999" s="32" t="n"/>
      <c r="I999" s="530" t="n"/>
      <c r="J999" s="531" t="n"/>
    </row>
    <row r="1000">
      <c r="A1000" s="30" t="n"/>
      <c r="B1000" s="31" t="n"/>
      <c r="C1000" s="32" t="n"/>
      <c r="D1000" s="19" t="n"/>
      <c r="E1000" s="500" t="n"/>
      <c r="F1000" s="499" t="n"/>
      <c r="G1000" s="32" t="n"/>
      <c r="H1000" s="32" t="n"/>
      <c r="I1000" s="530" t="n"/>
      <c r="J1000" s="531" t="n"/>
    </row>
    <row r="1001">
      <c r="A1001" s="30" t="n"/>
      <c r="B1001" s="31" t="n"/>
      <c r="C1001" s="32" t="n"/>
      <c r="D1001" s="19" t="n"/>
      <c r="E1001" s="500" t="n"/>
      <c r="F1001" s="499" t="n"/>
      <c r="G1001" s="32" t="n"/>
      <c r="H1001" s="32" t="n"/>
      <c r="I1001" s="530" t="n"/>
      <c r="J1001" s="531" t="n"/>
    </row>
    <row r="1002">
      <c r="A1002" s="30" t="n"/>
      <c r="B1002" s="31" t="n"/>
      <c r="C1002" s="32" t="n"/>
      <c r="D1002" s="19" t="n"/>
      <c r="E1002" s="500" t="n"/>
      <c r="F1002" s="499" t="n"/>
      <c r="G1002" s="32" t="n"/>
      <c r="H1002" s="32" t="n"/>
      <c r="I1002" s="530" t="n"/>
      <c r="J1002" s="531" t="n"/>
    </row>
    <row r="1003">
      <c r="A1003" s="30" t="n"/>
      <c r="B1003" s="31" t="n"/>
      <c r="C1003" s="32" t="n"/>
      <c r="D1003" s="19" t="n"/>
      <c r="E1003" s="500" t="n"/>
      <c r="F1003" s="499" t="n"/>
      <c r="G1003" s="32" t="n"/>
      <c r="H1003" s="32" t="n"/>
      <c r="I1003" s="530" t="n"/>
      <c r="J1003" s="531" t="n"/>
    </row>
    <row r="1004">
      <c r="A1004" s="30" t="n"/>
      <c r="B1004" s="31" t="n"/>
      <c r="C1004" s="32" t="n"/>
      <c r="D1004" s="19" t="n"/>
      <c r="E1004" s="500" t="n"/>
      <c r="F1004" s="499" t="n"/>
      <c r="G1004" s="32" t="n"/>
      <c r="H1004" s="32" t="n"/>
      <c r="I1004" s="530" t="n"/>
      <c r="J1004" s="531" t="n"/>
    </row>
    <row r="1005">
      <c r="A1005" s="30" t="n"/>
      <c r="B1005" s="31" t="n"/>
      <c r="C1005" s="32" t="n"/>
      <c r="D1005" s="19" t="n"/>
      <c r="E1005" s="500" t="n"/>
      <c r="F1005" s="499" t="n"/>
      <c r="G1005" s="32" t="n"/>
      <c r="H1005" s="32" t="n"/>
      <c r="I1005" s="530" t="n"/>
      <c r="J1005" s="531" t="n"/>
    </row>
    <row r="1006">
      <c r="A1006" s="30" t="n"/>
      <c r="B1006" s="31" t="n"/>
      <c r="C1006" s="32" t="n"/>
      <c r="D1006" s="19" t="n"/>
      <c r="E1006" s="500" t="n"/>
      <c r="F1006" s="499" t="n"/>
      <c r="G1006" s="32" t="n"/>
      <c r="H1006" s="32" t="n"/>
      <c r="I1006" s="530" t="n"/>
      <c r="J1006" s="531" t="n"/>
    </row>
    <row r="1007">
      <c r="A1007" s="30" t="n"/>
      <c r="B1007" s="31" t="n"/>
      <c r="C1007" s="32" t="n"/>
      <c r="D1007" s="19" t="n"/>
      <c r="E1007" s="500" t="n"/>
      <c r="F1007" s="499" t="n"/>
      <c r="G1007" s="32" t="n"/>
      <c r="H1007" s="32" t="n"/>
      <c r="I1007" s="530" t="n"/>
      <c r="J1007" s="531" t="n"/>
    </row>
    <row r="1008">
      <c r="A1008" s="30" t="n"/>
      <c r="B1008" s="31" t="n"/>
      <c r="C1008" s="32" t="n"/>
      <c r="D1008" s="19" t="n"/>
      <c r="E1008" s="500" t="n"/>
      <c r="F1008" s="499" t="n"/>
      <c r="G1008" s="32" t="n"/>
      <c r="H1008" s="32" t="n"/>
      <c r="I1008" s="530" t="n"/>
      <c r="J1008" s="531" t="n"/>
    </row>
    <row r="1009">
      <c r="A1009" s="30" t="n"/>
      <c r="B1009" s="31" t="n"/>
      <c r="C1009" s="32" t="n"/>
      <c r="D1009" s="19" t="n"/>
      <c r="E1009" s="500" t="n"/>
      <c r="F1009" s="499" t="n"/>
      <c r="G1009" s="32" t="n"/>
      <c r="H1009" s="32" t="n"/>
      <c r="I1009" s="530" t="n"/>
      <c r="J1009" s="531" t="n"/>
    </row>
    <row r="1010">
      <c r="A1010" s="30" t="n"/>
      <c r="B1010" s="31" t="n"/>
      <c r="C1010" s="32" t="n"/>
      <c r="D1010" s="19" t="n"/>
      <c r="E1010" s="500" t="n"/>
      <c r="F1010" s="499" t="n"/>
      <c r="G1010" s="32" t="n"/>
      <c r="H1010" s="32" t="n"/>
      <c r="I1010" s="530" t="n"/>
      <c r="J1010" s="531" t="n"/>
    </row>
    <row r="1011">
      <c r="A1011" s="30" t="n"/>
      <c r="B1011" s="31" t="n"/>
      <c r="C1011" s="32" t="n"/>
      <c r="D1011" s="19" t="n"/>
      <c r="E1011" s="500" t="n"/>
      <c r="F1011" s="499" t="n"/>
      <c r="G1011" s="32" t="n"/>
      <c r="H1011" s="32" t="n"/>
      <c r="I1011" s="530" t="n"/>
      <c r="J1011" s="531" t="n"/>
    </row>
    <row r="1012">
      <c r="A1012" s="30" t="n"/>
      <c r="B1012" s="31" t="n"/>
      <c r="C1012" s="32" t="n"/>
      <c r="D1012" s="19" t="n"/>
      <c r="E1012" s="500" t="n"/>
      <c r="F1012" s="499" t="n"/>
      <c r="G1012" s="32" t="n"/>
      <c r="H1012" s="32" t="n"/>
      <c r="I1012" s="530" t="n"/>
      <c r="J1012" s="531" t="n"/>
    </row>
    <row r="1013">
      <c r="A1013" s="30" t="n"/>
      <c r="B1013" s="31" t="n"/>
      <c r="C1013" s="32" t="n"/>
      <c r="D1013" s="19" t="n"/>
      <c r="E1013" s="500" t="n"/>
      <c r="F1013" s="499" t="n"/>
      <c r="G1013" s="32" t="n"/>
      <c r="H1013" s="32" t="n"/>
      <c r="I1013" s="530" t="n"/>
      <c r="J1013" s="531" t="n"/>
    </row>
    <row r="1014">
      <c r="A1014" s="30" t="n"/>
      <c r="B1014" s="31" t="n"/>
      <c r="C1014" s="32" t="n"/>
      <c r="D1014" s="19" t="n"/>
      <c r="E1014" s="500" t="n"/>
      <c r="F1014" s="499" t="n"/>
      <c r="G1014" s="32" t="n"/>
      <c r="H1014" s="32" t="n"/>
      <c r="I1014" s="530" t="n"/>
      <c r="J1014" s="531" t="n"/>
    </row>
    <row r="1015">
      <c r="A1015" s="30" t="n"/>
      <c r="B1015" s="31" t="n"/>
      <c r="C1015" s="32" t="n"/>
      <c r="D1015" s="19" t="n"/>
      <c r="E1015" s="500" t="n"/>
      <c r="F1015" s="499" t="n"/>
      <c r="G1015" s="32" t="n"/>
      <c r="H1015" s="32" t="n"/>
      <c r="I1015" s="530" t="n"/>
      <c r="J1015" s="531" t="n"/>
    </row>
    <row r="1016">
      <c r="A1016" s="30" t="n"/>
      <c r="B1016" s="31" t="n"/>
      <c r="C1016" s="32" t="n"/>
      <c r="D1016" s="19" t="n"/>
      <c r="E1016" s="500" t="n"/>
      <c r="F1016" s="499" t="n"/>
      <c r="G1016" s="32" t="n"/>
      <c r="H1016" s="32" t="n"/>
      <c r="I1016" s="530" t="n"/>
      <c r="J1016" s="531" t="n"/>
    </row>
    <row r="1017">
      <c r="A1017" s="30" t="n"/>
      <c r="B1017" s="31" t="n"/>
      <c r="C1017" s="32" t="n"/>
      <c r="D1017" s="19" t="n"/>
      <c r="E1017" s="500" t="n"/>
      <c r="F1017" s="499" t="n"/>
      <c r="G1017" s="32" t="n"/>
      <c r="H1017" s="32" t="n"/>
      <c r="I1017" s="530" t="n"/>
      <c r="J1017" s="531" t="n"/>
    </row>
    <row r="1018">
      <c r="A1018" s="30" t="n"/>
      <c r="B1018" s="31" t="n"/>
      <c r="C1018" s="32" t="n"/>
      <c r="D1018" s="19" t="n"/>
      <c r="E1018" s="500" t="n"/>
      <c r="F1018" s="499" t="n"/>
      <c r="G1018" s="32" t="n"/>
      <c r="H1018" s="32" t="n"/>
      <c r="I1018" s="530" t="n"/>
      <c r="J1018" s="531" t="n"/>
    </row>
    <row r="1019">
      <c r="A1019" s="30" t="n"/>
      <c r="B1019" s="31" t="n"/>
      <c r="C1019" s="32" t="n"/>
      <c r="D1019" s="19" t="n"/>
      <c r="E1019" s="500" t="n"/>
      <c r="F1019" s="499" t="n"/>
      <c r="G1019" s="32" t="n"/>
      <c r="H1019" s="32" t="n"/>
      <c r="I1019" s="530" t="n"/>
      <c r="J1019" s="531" t="n"/>
    </row>
    <row r="1020">
      <c r="A1020" s="30" t="n"/>
      <c r="B1020" s="31" t="n"/>
      <c r="C1020" s="32" t="n"/>
      <c r="D1020" s="19" t="n"/>
      <c r="E1020" s="500" t="n"/>
      <c r="F1020" s="499" t="n"/>
      <c r="G1020" s="32" t="n"/>
      <c r="H1020" s="32" t="n"/>
      <c r="I1020" s="530" t="n"/>
      <c r="J1020" s="531" t="n"/>
    </row>
    <row r="1021">
      <c r="A1021" s="30" t="n"/>
      <c r="B1021" s="31" t="n"/>
      <c r="C1021" s="32" t="n"/>
      <c r="D1021" s="19" t="n"/>
      <c r="E1021" s="500" t="n"/>
      <c r="F1021" s="499" t="n"/>
      <c r="G1021" s="32" t="n"/>
      <c r="H1021" s="32" t="n"/>
      <c r="I1021" s="530" t="n"/>
      <c r="J1021" s="531" t="n"/>
    </row>
    <row r="1022">
      <c r="A1022" s="30" t="n"/>
      <c r="B1022" s="31" t="n"/>
      <c r="C1022" s="32" t="n"/>
      <c r="D1022" s="19" t="n"/>
      <c r="E1022" s="500" t="n"/>
      <c r="F1022" s="499" t="n"/>
      <c r="G1022" s="32" t="n"/>
      <c r="H1022" s="32" t="n"/>
      <c r="I1022" s="530" t="n"/>
      <c r="J1022" s="531" t="n"/>
    </row>
    <row r="1023">
      <c r="A1023" s="30" t="n"/>
      <c r="B1023" s="31" t="n"/>
      <c r="C1023" s="32" t="n"/>
      <c r="D1023" s="19" t="n"/>
      <c r="E1023" s="500" t="n"/>
      <c r="F1023" s="499" t="n"/>
      <c r="G1023" s="32" t="n"/>
      <c r="H1023" s="32" t="n"/>
      <c r="I1023" s="530" t="n"/>
      <c r="J1023" s="531" t="n"/>
    </row>
    <row r="1024">
      <c r="A1024" s="30" t="n"/>
      <c r="B1024" s="31" t="n"/>
      <c r="C1024" s="32" t="n"/>
      <c r="D1024" s="19" t="n"/>
      <c r="E1024" s="500" t="n"/>
      <c r="F1024" s="499" t="n"/>
      <c r="G1024" s="32" t="n"/>
      <c r="H1024" s="32" t="n"/>
      <c r="I1024" s="530" t="n"/>
      <c r="J1024" s="531" t="n"/>
    </row>
    <row r="1025">
      <c r="A1025" s="30" t="n"/>
      <c r="B1025" s="31" t="n"/>
      <c r="C1025" s="32" t="n"/>
      <c r="D1025" s="19" t="n"/>
      <c r="E1025" s="500" t="n"/>
      <c r="F1025" s="499" t="n"/>
      <c r="G1025" s="32" t="n"/>
      <c r="H1025" s="32" t="n"/>
      <c r="I1025" s="530" t="n"/>
      <c r="J1025" s="531" t="n"/>
    </row>
    <row r="1026">
      <c r="A1026" s="30" t="n"/>
      <c r="B1026" s="31" t="n"/>
      <c r="C1026" s="32" t="n"/>
      <c r="D1026" s="19" t="n"/>
      <c r="E1026" s="500" t="n"/>
      <c r="F1026" s="499" t="n"/>
      <c r="G1026" s="32" t="n"/>
      <c r="H1026" s="32" t="n"/>
      <c r="I1026" s="530" t="n"/>
      <c r="J1026" s="531" t="n"/>
    </row>
    <row r="1027">
      <c r="A1027" s="30" t="n"/>
      <c r="B1027" s="31" t="n"/>
      <c r="C1027" s="32" t="n"/>
      <c r="D1027" s="19" t="n"/>
      <c r="E1027" s="500" t="n"/>
      <c r="F1027" s="499" t="n"/>
      <c r="G1027" s="32" t="n"/>
      <c r="H1027" s="32" t="n"/>
      <c r="I1027" s="530" t="n"/>
      <c r="J1027" s="531" t="n"/>
    </row>
    <row r="1028">
      <c r="A1028" s="30" t="n"/>
      <c r="B1028" s="31" t="n"/>
      <c r="C1028" s="32" t="n"/>
      <c r="D1028" s="19" t="n"/>
      <c r="E1028" s="500" t="n"/>
      <c r="F1028" s="499" t="n"/>
      <c r="G1028" s="32" t="n"/>
      <c r="H1028" s="32" t="n"/>
      <c r="I1028" s="530" t="n"/>
      <c r="J1028" s="531" t="n"/>
    </row>
    <row r="1029">
      <c r="A1029" s="30" t="n"/>
      <c r="B1029" s="31" t="n"/>
      <c r="C1029" s="32" t="n"/>
      <c r="D1029" s="19" t="n"/>
      <c r="E1029" s="500" t="n"/>
      <c r="F1029" s="499" t="n"/>
      <c r="G1029" s="32" t="n"/>
      <c r="H1029" s="32" t="n"/>
      <c r="I1029" s="530" t="n"/>
      <c r="J1029" s="531" t="n"/>
    </row>
    <row r="1030">
      <c r="A1030" s="30" t="n"/>
      <c r="B1030" s="31" t="n"/>
      <c r="C1030" s="32" t="n"/>
      <c r="D1030" s="19" t="n"/>
      <c r="E1030" s="500" t="n"/>
      <c r="F1030" s="499" t="n"/>
      <c r="G1030" s="32" t="n"/>
      <c r="H1030" s="32" t="n"/>
      <c r="I1030" s="530" t="n"/>
      <c r="J1030" s="531" t="n"/>
    </row>
    <row r="1031">
      <c r="A1031" s="30" t="n"/>
      <c r="B1031" s="31" t="n"/>
      <c r="C1031" s="32" t="n"/>
      <c r="D1031" s="19" t="n"/>
      <c r="E1031" s="500" t="n"/>
      <c r="F1031" s="499" t="n"/>
      <c r="G1031" s="32" t="n"/>
      <c r="H1031" s="32" t="n"/>
      <c r="I1031" s="530" t="n"/>
      <c r="J1031" s="531" t="n"/>
    </row>
    <row r="1032">
      <c r="A1032" s="30" t="n"/>
      <c r="B1032" s="31" t="n"/>
      <c r="C1032" s="32" t="n"/>
      <c r="D1032" s="19" t="n"/>
      <c r="E1032" s="500" t="n"/>
      <c r="F1032" s="499" t="n"/>
      <c r="G1032" s="32" t="n"/>
      <c r="H1032" s="32" t="n"/>
      <c r="I1032" s="530" t="n"/>
      <c r="J1032" s="531" t="n"/>
    </row>
    <row r="1033">
      <c r="A1033" s="30" t="n"/>
      <c r="B1033" s="31" t="n"/>
      <c r="C1033" s="32" t="n"/>
      <c r="D1033" s="19" t="n"/>
      <c r="E1033" s="500" t="n"/>
      <c r="F1033" s="499" t="n"/>
      <c r="G1033" s="32" t="n"/>
      <c r="H1033" s="32" t="n"/>
      <c r="I1033" s="530" t="n"/>
      <c r="J1033" s="531" t="n"/>
    </row>
    <row r="1034">
      <c r="A1034" s="30" t="n"/>
      <c r="B1034" s="31" t="n"/>
      <c r="C1034" s="32" t="n"/>
      <c r="D1034" s="19" t="n"/>
      <c r="E1034" s="500" t="n"/>
      <c r="F1034" s="499" t="n"/>
      <c r="G1034" s="32" t="n"/>
      <c r="H1034" s="32" t="n"/>
      <c r="I1034" s="530" t="n"/>
      <c r="J1034" s="531" t="n"/>
    </row>
    <row r="1035">
      <c r="A1035" s="30" t="n"/>
      <c r="B1035" s="31" t="n"/>
      <c r="C1035" s="32" t="n"/>
      <c r="D1035" s="19" t="n"/>
      <c r="E1035" s="500" t="n"/>
      <c r="F1035" s="499" t="n"/>
      <c r="G1035" s="32" t="n"/>
      <c r="H1035" s="32" t="n"/>
      <c r="I1035" s="530" t="n"/>
      <c r="J1035" s="531" t="n"/>
    </row>
    <row r="1036">
      <c r="A1036" s="30" t="n"/>
      <c r="B1036" s="31" t="n"/>
      <c r="C1036" s="32" t="n"/>
      <c r="D1036" s="19" t="n"/>
      <c r="E1036" s="500" t="n"/>
      <c r="F1036" s="499" t="n"/>
      <c r="G1036" s="32" t="n"/>
      <c r="H1036" s="32" t="n"/>
      <c r="I1036" s="530" t="n"/>
      <c r="J1036" s="531" t="n"/>
    </row>
    <row r="1037">
      <c r="A1037" s="30" t="n"/>
      <c r="B1037" s="31" t="n"/>
      <c r="C1037" s="32" t="n"/>
      <c r="D1037" s="19" t="n"/>
      <c r="E1037" s="500" t="n"/>
      <c r="F1037" s="499" t="n"/>
      <c r="G1037" s="32" t="n"/>
      <c r="H1037" s="32" t="n"/>
      <c r="I1037" s="530" t="n"/>
      <c r="J1037" s="531" t="n"/>
    </row>
    <row r="1038">
      <c r="A1038" s="30" t="n"/>
      <c r="B1038" s="31" t="n"/>
      <c r="C1038" s="32" t="n"/>
      <c r="D1038" s="19" t="n"/>
      <c r="E1038" s="500" t="n"/>
      <c r="F1038" s="499" t="n"/>
      <c r="G1038" s="32" t="n"/>
      <c r="H1038" s="32" t="n"/>
      <c r="I1038" s="530" t="n"/>
      <c r="J1038" s="531" t="n"/>
    </row>
    <row r="1039">
      <c r="A1039" s="30" t="n"/>
      <c r="B1039" s="31" t="n"/>
      <c r="C1039" s="32" t="n"/>
      <c r="D1039" s="19" t="n"/>
      <c r="E1039" s="500" t="n"/>
      <c r="F1039" s="499" t="n"/>
      <c r="G1039" s="32" t="n"/>
      <c r="H1039" s="32" t="n"/>
      <c r="I1039" s="530" t="n"/>
      <c r="J1039" s="531" t="n"/>
    </row>
    <row r="1040">
      <c r="A1040" s="30" t="n"/>
      <c r="B1040" s="31" t="n"/>
      <c r="C1040" s="32" t="n"/>
      <c r="D1040" s="19" t="n"/>
      <c r="E1040" s="500" t="n"/>
      <c r="F1040" s="499" t="n"/>
      <c r="G1040" s="32" t="n"/>
      <c r="H1040" s="32" t="n"/>
      <c r="I1040" s="530" t="n"/>
      <c r="J1040" s="531" t="n"/>
    </row>
    <row r="1041">
      <c r="A1041" s="30" t="n"/>
      <c r="B1041" s="31" t="n"/>
      <c r="C1041" s="32" t="n"/>
      <c r="D1041" s="19" t="n"/>
      <c r="E1041" s="500" t="n"/>
      <c r="F1041" s="499" t="n"/>
      <c r="G1041" s="32" t="n"/>
      <c r="H1041" s="32" t="n"/>
      <c r="I1041" s="530" t="n"/>
      <c r="J1041" s="531" t="n"/>
    </row>
    <row r="1042">
      <c r="A1042" s="30" t="n"/>
      <c r="B1042" s="31" t="n"/>
      <c r="C1042" s="32" t="n"/>
      <c r="D1042" s="19" t="n"/>
      <c r="E1042" s="500" t="n"/>
      <c r="F1042" s="499" t="n"/>
      <c r="G1042" s="32" t="n"/>
      <c r="H1042" s="32" t="n"/>
      <c r="I1042" s="530" t="n"/>
      <c r="J1042" s="531" t="n"/>
    </row>
    <row r="1043">
      <c r="A1043" s="30" t="n"/>
      <c r="B1043" s="31" t="n"/>
      <c r="C1043" s="32" t="n"/>
      <c r="D1043" s="19" t="n"/>
      <c r="E1043" s="500" t="n"/>
      <c r="F1043" s="499" t="n"/>
      <c r="G1043" s="32" t="n"/>
      <c r="H1043" s="32" t="n"/>
      <c r="I1043" s="530" t="n"/>
      <c r="J1043" s="531" t="n"/>
    </row>
    <row r="1044">
      <c r="A1044" s="30" t="n"/>
      <c r="B1044" s="31" t="n"/>
      <c r="C1044" s="32" t="n"/>
      <c r="D1044" s="19" t="n"/>
      <c r="E1044" s="500" t="n"/>
      <c r="F1044" s="499" t="n"/>
      <c r="G1044" s="32" t="n"/>
      <c r="H1044" s="32" t="n"/>
      <c r="I1044" s="530" t="n"/>
      <c r="J1044" s="531" t="n"/>
    </row>
    <row r="1045">
      <c r="A1045" s="30" t="n"/>
      <c r="B1045" s="31" t="n"/>
      <c r="C1045" s="32" t="n"/>
      <c r="D1045" s="19" t="n"/>
      <c r="E1045" s="500" t="n"/>
      <c r="F1045" s="499" t="n"/>
      <c r="G1045" s="32" t="n"/>
      <c r="H1045" s="32" t="n"/>
      <c r="I1045" s="530" t="n"/>
      <c r="J1045" s="531" t="n"/>
    </row>
    <row r="1046">
      <c r="A1046" s="30" t="n"/>
      <c r="B1046" s="31" t="n"/>
      <c r="C1046" s="32" t="n"/>
      <c r="D1046" s="19" t="n"/>
      <c r="E1046" s="500" t="n"/>
      <c r="F1046" s="499" t="n"/>
      <c r="G1046" s="32" t="n"/>
      <c r="H1046" s="32" t="n"/>
      <c r="I1046" s="530" t="n"/>
      <c r="J1046" s="531" t="n"/>
    </row>
    <row r="1047">
      <c r="A1047" s="30" t="n"/>
      <c r="B1047" s="31" t="n"/>
      <c r="C1047" s="32" t="n"/>
      <c r="D1047" s="19" t="n"/>
      <c r="E1047" s="500" t="n"/>
      <c r="F1047" s="499" t="n"/>
      <c r="G1047" s="32" t="n"/>
      <c r="H1047" s="32" t="n"/>
      <c r="I1047" s="530" t="n"/>
      <c r="J1047" s="531" t="n"/>
    </row>
    <row r="1048">
      <c r="A1048" s="30" t="n"/>
      <c r="B1048" s="31" t="n"/>
      <c r="C1048" s="32" t="n"/>
      <c r="D1048" s="19" t="n"/>
      <c r="E1048" s="500" t="n"/>
      <c r="F1048" s="499" t="n"/>
      <c r="G1048" s="32" t="n"/>
      <c r="H1048" s="32" t="n"/>
      <c r="I1048" s="530" t="n"/>
      <c r="J1048" s="531" t="n"/>
    </row>
    <row r="1049">
      <c r="A1049" s="30" t="n"/>
      <c r="B1049" s="31" t="n"/>
      <c r="C1049" s="32" t="n"/>
      <c r="D1049" s="19" t="n"/>
      <c r="E1049" s="500" t="n"/>
      <c r="F1049" s="499" t="n"/>
      <c r="G1049" s="32" t="n"/>
      <c r="H1049" s="32" t="n"/>
      <c r="I1049" s="530" t="n"/>
      <c r="J1049" s="531" t="n"/>
    </row>
    <row r="1050">
      <c r="A1050" s="30" t="n"/>
      <c r="B1050" s="31" t="n"/>
      <c r="C1050" s="32" t="n"/>
      <c r="D1050" s="19" t="n"/>
      <c r="E1050" s="500" t="n"/>
      <c r="F1050" s="499" t="n"/>
      <c r="G1050" s="32" t="n"/>
      <c r="H1050" s="32" t="n"/>
      <c r="I1050" s="530" t="n"/>
      <c r="J1050" s="531" t="n"/>
    </row>
    <row r="1051">
      <c r="A1051" s="30" t="n"/>
      <c r="B1051" s="31" t="n"/>
      <c r="C1051" s="32" t="n"/>
      <c r="D1051" s="19" t="n"/>
      <c r="E1051" s="500" t="n"/>
      <c r="F1051" s="499" t="n"/>
      <c r="G1051" s="32" t="n"/>
      <c r="H1051" s="32" t="n"/>
      <c r="I1051" s="530" t="n"/>
      <c r="J1051" s="531" t="n"/>
    </row>
    <row r="1052">
      <c r="A1052" s="30" t="n"/>
      <c r="B1052" s="31" t="n"/>
      <c r="C1052" s="32" t="n"/>
      <c r="D1052" s="19" t="n"/>
      <c r="E1052" s="500" t="n"/>
      <c r="F1052" s="499" t="n"/>
      <c r="G1052" s="32" t="n"/>
      <c r="H1052" s="32" t="n"/>
      <c r="I1052" s="530" t="n"/>
      <c r="J1052" s="531" t="n"/>
    </row>
    <row r="1053">
      <c r="A1053" s="30" t="n"/>
      <c r="B1053" s="31" t="n"/>
      <c r="C1053" s="32" t="n"/>
      <c r="D1053" s="19" t="n"/>
      <c r="E1053" s="500" t="n"/>
      <c r="F1053" s="499" t="n"/>
      <c r="G1053" s="32" t="n"/>
      <c r="H1053" s="32" t="n"/>
      <c r="I1053" s="530" t="n"/>
      <c r="J1053" s="531" t="n"/>
    </row>
    <row r="1054">
      <c r="A1054" s="30" t="n"/>
      <c r="B1054" s="31" t="n"/>
      <c r="C1054" s="32" t="n"/>
      <c r="D1054" s="19" t="n"/>
      <c r="E1054" s="500" t="n"/>
      <c r="F1054" s="499" t="n"/>
      <c r="G1054" s="32" t="n"/>
      <c r="H1054" s="32" t="n"/>
      <c r="I1054" s="530" t="n"/>
      <c r="J1054" s="531" t="n"/>
    </row>
    <row r="1055">
      <c r="A1055" s="30" t="n"/>
      <c r="B1055" s="31" t="n"/>
      <c r="C1055" s="32" t="n"/>
      <c r="D1055" s="19" t="n"/>
      <c r="E1055" s="500" t="n"/>
      <c r="F1055" s="499" t="n"/>
      <c r="G1055" s="32" t="n"/>
      <c r="H1055" s="32" t="n"/>
      <c r="I1055" s="530" t="n"/>
      <c r="J1055" s="531" t="n"/>
    </row>
    <row r="1056">
      <c r="A1056" s="30" t="n"/>
      <c r="B1056" s="31" t="n"/>
      <c r="C1056" s="32" t="n"/>
      <c r="D1056" s="19" t="n"/>
      <c r="E1056" s="500" t="n"/>
      <c r="F1056" s="499" t="n"/>
      <c r="G1056" s="32" t="n"/>
      <c r="H1056" s="32" t="n"/>
      <c r="I1056" s="530" t="n"/>
      <c r="J1056" s="531" t="n"/>
    </row>
    <row r="1057">
      <c r="A1057" s="30" t="n"/>
      <c r="B1057" s="31" t="n"/>
      <c r="C1057" s="32" t="n"/>
      <c r="D1057" s="19" t="n"/>
      <c r="E1057" s="500" t="n"/>
      <c r="F1057" s="499" t="n"/>
      <c r="G1057" s="32" t="n"/>
      <c r="H1057" s="32" t="n"/>
      <c r="I1057" s="530" t="n"/>
      <c r="J1057" s="531" t="n"/>
    </row>
    <row r="1058">
      <c r="A1058" s="30" t="n"/>
      <c r="B1058" s="31" t="n"/>
      <c r="C1058" s="32" t="n"/>
      <c r="D1058" s="19" t="n"/>
      <c r="E1058" s="500" t="n"/>
      <c r="F1058" s="499" t="n"/>
      <c r="G1058" s="32" t="n"/>
      <c r="H1058" s="32" t="n"/>
      <c r="I1058" s="530" t="n"/>
      <c r="J1058" s="531" t="n"/>
    </row>
    <row r="1059">
      <c r="A1059" s="30" t="n"/>
      <c r="B1059" s="31" t="n"/>
      <c r="C1059" s="32" t="n"/>
      <c r="D1059" s="19" t="n"/>
      <c r="E1059" s="500" t="n"/>
      <c r="F1059" s="499" t="n"/>
      <c r="G1059" s="32" t="n"/>
      <c r="H1059" s="32" t="n"/>
      <c r="I1059" s="530" t="n"/>
      <c r="J1059" s="531" t="n"/>
    </row>
    <row r="1060">
      <c r="A1060" s="30" t="n"/>
      <c r="B1060" s="31" t="n"/>
      <c r="C1060" s="32" t="n"/>
      <c r="D1060" s="19" t="n"/>
      <c r="E1060" s="500" t="n"/>
      <c r="F1060" s="499" t="n"/>
      <c r="G1060" s="32" t="n"/>
      <c r="H1060" s="32" t="n"/>
      <c r="I1060" s="530" t="n"/>
      <c r="J1060" s="531" t="n"/>
    </row>
    <row r="1061">
      <c r="A1061" s="30" t="n"/>
      <c r="B1061" s="31" t="n"/>
      <c r="C1061" s="32" t="n"/>
      <c r="D1061" s="19" t="n"/>
      <c r="E1061" s="500" t="n"/>
      <c r="F1061" s="499" t="n"/>
      <c r="G1061" s="32" t="n"/>
      <c r="H1061" s="32" t="n"/>
      <c r="I1061" s="530" t="n"/>
      <c r="J1061" s="531" t="n"/>
    </row>
    <row r="1062">
      <c r="A1062" s="30" t="n"/>
      <c r="B1062" s="31" t="n"/>
      <c r="C1062" s="32" t="n"/>
      <c r="D1062" s="19" t="n"/>
      <c r="E1062" s="500" t="n"/>
      <c r="F1062" s="499" t="n"/>
      <c r="G1062" s="32" t="n"/>
      <c r="H1062" s="32" t="n"/>
      <c r="I1062" s="530" t="n"/>
      <c r="J1062" s="531" t="n"/>
    </row>
    <row r="1063">
      <c r="A1063" s="30" t="n"/>
      <c r="B1063" s="31" t="n"/>
      <c r="C1063" s="32" t="n"/>
      <c r="D1063" s="19" t="n"/>
      <c r="E1063" s="500" t="n"/>
      <c r="F1063" s="499" t="n"/>
      <c r="G1063" s="32" t="n"/>
      <c r="H1063" s="32" t="n"/>
      <c r="I1063" s="530" t="n"/>
      <c r="J1063" s="531" t="n"/>
    </row>
    <row r="1064" ht="24" customHeight="1" s="344">
      <c r="A1064" s="30" t="n"/>
      <c r="B1064" s="31" t="n"/>
      <c r="C1064" s="32" t="n"/>
      <c r="D1064" s="19" t="n"/>
      <c r="E1064" s="500" t="n"/>
      <c r="F1064" s="499" t="n"/>
      <c r="G1064" s="32" t="n"/>
      <c r="H1064" s="32" t="n"/>
      <c r="I1064" s="530" t="n"/>
      <c r="J1064" s="531" t="n"/>
    </row>
    <row r="1065" ht="24" customHeight="1" s="344">
      <c r="A1065" s="30" t="n"/>
      <c r="B1065" s="31" t="n"/>
      <c r="C1065" s="32" t="n"/>
      <c r="D1065" s="19" t="n"/>
      <c r="E1065" s="500" t="n"/>
      <c r="F1065" s="499" t="n"/>
      <c r="G1065" s="32" t="n"/>
      <c r="H1065" s="32" t="n"/>
      <c r="I1065" s="530" t="n"/>
      <c r="J1065" s="531" t="n"/>
    </row>
    <row r="1066" ht="24" customHeight="1" s="344">
      <c r="A1066" s="30" t="n"/>
      <c r="B1066" s="31" t="n"/>
      <c r="C1066" s="32" t="n"/>
      <c r="D1066" s="19" t="n"/>
      <c r="E1066" s="500" t="n"/>
      <c r="F1066" s="499" t="n"/>
      <c r="G1066" s="32" t="n"/>
      <c r="H1066" s="32" t="n"/>
      <c r="I1066" s="530" t="n"/>
      <c r="J1066" s="531" t="n"/>
    </row>
    <row r="1067" ht="35.5" customHeight="1" s="344">
      <c r="A1067" s="30" t="n"/>
      <c r="B1067" s="31" t="n"/>
      <c r="C1067" s="32" t="n"/>
      <c r="D1067" s="19" t="n"/>
      <c r="E1067" s="500" t="n"/>
      <c r="F1067" s="499" t="n"/>
      <c r="G1067" s="32" t="n"/>
      <c r="H1067" s="32" t="n"/>
      <c r="I1067" s="530" t="n"/>
      <c r="J1067" s="531" t="n"/>
    </row>
    <row r="1068" ht="35.5" customHeight="1" s="344">
      <c r="A1068" s="30" t="n"/>
      <c r="B1068" s="31" t="n"/>
      <c r="C1068" s="32" t="n"/>
      <c r="D1068" s="19" t="n"/>
      <c r="E1068" s="500" t="n"/>
      <c r="F1068" s="499" t="n"/>
      <c r="G1068" s="32" t="n"/>
      <c r="H1068" s="32" t="n"/>
      <c r="I1068" s="530" t="n"/>
      <c r="J1068" s="531" t="n"/>
    </row>
    <row r="1069" ht="35.5" customHeight="1" s="344">
      <c r="A1069" s="30" t="n"/>
      <c r="B1069" s="31" t="n"/>
      <c r="C1069" s="32" t="n"/>
      <c r="D1069" s="19" t="n"/>
      <c r="E1069" s="500" t="n"/>
      <c r="F1069" s="499" t="n"/>
      <c r="G1069" s="32" t="n"/>
      <c r="H1069" s="32" t="n"/>
      <c r="I1069" s="530" t="n"/>
      <c r="J1069" s="531" t="n"/>
    </row>
    <row r="1070" ht="35.5" customHeight="1" s="344">
      <c r="A1070" s="30" t="n"/>
      <c r="B1070" s="31" t="n"/>
      <c r="C1070" s="32" t="n"/>
      <c r="D1070" s="19" t="n"/>
      <c r="E1070" s="500" t="n"/>
      <c r="F1070" s="499" t="n"/>
      <c r="G1070" s="32" t="n"/>
      <c r="H1070" s="32" t="n"/>
      <c r="I1070" s="530" t="n"/>
      <c r="J1070" s="531" t="n"/>
    </row>
    <row r="1071" ht="24" customHeight="1" s="344">
      <c r="A1071" s="30" t="n"/>
      <c r="B1071" s="31" t="n"/>
      <c r="C1071" s="32" t="n"/>
      <c r="D1071" s="19" t="n"/>
      <c r="E1071" s="500" t="n"/>
      <c r="F1071" s="499" t="n"/>
      <c r="G1071" s="32" t="n"/>
      <c r="H1071" s="32" t="n"/>
      <c r="I1071" s="530" t="n"/>
      <c r="J1071" s="531" t="n"/>
    </row>
    <row r="1072" ht="35.5" customHeight="1" s="344">
      <c r="A1072" s="30" t="n"/>
      <c r="B1072" s="31" t="n"/>
      <c r="C1072" s="32" t="n"/>
      <c r="D1072" s="19" t="n"/>
      <c r="E1072" s="500" t="n"/>
      <c r="F1072" s="499" t="n"/>
      <c r="G1072" s="32" t="n"/>
      <c r="H1072" s="32" t="n"/>
      <c r="I1072" s="530" t="n"/>
      <c r="J1072" s="531" t="n"/>
    </row>
    <row r="1073" ht="35.5" customHeight="1" s="344">
      <c r="A1073" s="30" t="n"/>
      <c r="B1073" s="31" t="n"/>
      <c r="C1073" s="32" t="n"/>
      <c r="D1073" s="19" t="n"/>
      <c r="E1073" s="500" t="n"/>
      <c r="F1073" s="499" t="n"/>
      <c r="G1073" s="32" t="n"/>
      <c r="H1073" s="32" t="n"/>
      <c r="I1073" s="530" t="n"/>
      <c r="J1073" s="531" t="n"/>
    </row>
    <row r="1074" ht="24" customHeight="1" s="344">
      <c r="A1074" s="30" t="n"/>
      <c r="B1074" s="31" t="n"/>
      <c r="C1074" s="32" t="n"/>
      <c r="D1074" s="19" t="n"/>
      <c r="E1074" s="500" t="n"/>
      <c r="F1074" s="499" t="n"/>
      <c r="G1074" s="32" t="n"/>
      <c r="H1074" s="32" t="n"/>
      <c r="I1074" s="530" t="n"/>
      <c r="J1074" s="531" t="n"/>
    </row>
    <row r="1075" ht="24" customHeight="1" s="344">
      <c r="A1075" s="30" t="n"/>
      <c r="B1075" s="31" t="n"/>
      <c r="C1075" s="32" t="n"/>
      <c r="D1075" s="19" t="n"/>
      <c r="E1075" s="500" t="n"/>
      <c r="F1075" s="499" t="n"/>
      <c r="G1075" s="32" t="n"/>
      <c r="H1075" s="32" t="n"/>
      <c r="I1075" s="530" t="n"/>
      <c r="J1075" s="531" t="n"/>
    </row>
    <row r="1076" ht="24" customHeight="1" s="344">
      <c r="A1076" s="30" t="n"/>
      <c r="B1076" s="31" t="n"/>
      <c r="C1076" s="32" t="n"/>
      <c r="D1076" s="19" t="n"/>
      <c r="E1076" s="500" t="n"/>
      <c r="F1076" s="499" t="n"/>
      <c r="G1076" s="32" t="n"/>
      <c r="H1076" s="32" t="n"/>
      <c r="I1076" s="530" t="n"/>
      <c r="J1076" s="531" t="n"/>
    </row>
    <row r="1077" ht="35.5" customHeight="1" s="344">
      <c r="A1077" s="30" t="n"/>
      <c r="B1077" s="31" t="n"/>
      <c r="C1077" s="32" t="n"/>
      <c r="D1077" s="19" t="n"/>
      <c r="E1077" s="500" t="n"/>
      <c r="F1077" s="499" t="n"/>
      <c r="G1077" s="32" t="n"/>
      <c r="H1077" s="32" t="n"/>
      <c r="I1077" s="530" t="n"/>
      <c r="J1077" s="531" t="n"/>
    </row>
    <row r="1078" ht="35.5" customHeight="1" s="344">
      <c r="A1078" s="30" t="n"/>
      <c r="B1078" s="31" t="n"/>
      <c r="C1078" s="32" t="n"/>
      <c r="D1078" s="19" t="n"/>
      <c r="E1078" s="500" t="n"/>
      <c r="F1078" s="499" t="n"/>
      <c r="G1078" s="32" t="n"/>
      <c r="H1078" s="32" t="n"/>
      <c r="I1078" s="530" t="n"/>
      <c r="J1078" s="531" t="n"/>
    </row>
    <row r="1079" ht="24" customHeight="1" s="344">
      <c r="A1079" s="30" t="n"/>
      <c r="B1079" s="31" t="n"/>
      <c r="C1079" s="32" t="n"/>
      <c r="D1079" s="19" t="n"/>
      <c r="E1079" s="500" t="n"/>
      <c r="F1079" s="499" t="n"/>
      <c r="G1079" s="32" t="n"/>
      <c r="H1079" s="32" t="n"/>
      <c r="I1079" s="530" t="n"/>
      <c r="J1079" s="531" t="n"/>
    </row>
    <row r="1080" ht="24" customHeight="1" s="344">
      <c r="A1080" s="30" t="n"/>
      <c r="B1080" s="31" t="n"/>
      <c r="C1080" s="32" t="n"/>
      <c r="D1080" s="19" t="n"/>
      <c r="E1080" s="500" t="n"/>
      <c r="F1080" s="499" t="n"/>
      <c r="G1080" s="32" t="n"/>
      <c r="H1080" s="32" t="n"/>
      <c r="I1080" s="530" t="n"/>
      <c r="J1080" s="531" t="n"/>
    </row>
    <row r="1081" ht="24" customHeight="1" s="344">
      <c r="A1081" s="30" t="n"/>
      <c r="B1081" s="31" t="n"/>
      <c r="C1081" s="32" t="n"/>
      <c r="D1081" s="19" t="n"/>
      <c r="E1081" s="500" t="n"/>
      <c r="F1081" s="499" t="n"/>
      <c r="G1081" s="32" t="n"/>
      <c r="H1081" s="32" t="n"/>
      <c r="I1081" s="530" t="n"/>
      <c r="J1081" s="531" t="n"/>
    </row>
    <row r="1082" ht="24" customHeight="1" s="344">
      <c r="A1082" s="30" t="n"/>
      <c r="B1082" s="31" t="n"/>
      <c r="C1082" s="32" t="n"/>
      <c r="D1082" s="19" t="n"/>
      <c r="E1082" s="500" t="n"/>
      <c r="F1082" s="499" t="n"/>
      <c r="G1082" s="32" t="n"/>
      <c r="H1082" s="32" t="n"/>
      <c r="I1082" s="530" t="n"/>
      <c r="J1082" s="531" t="n"/>
    </row>
    <row r="1083" ht="24" customHeight="1" s="344">
      <c r="A1083" s="30" t="n"/>
      <c r="B1083" s="31" t="n"/>
      <c r="C1083" s="32" t="n"/>
      <c r="D1083" s="19" t="n"/>
      <c r="E1083" s="500" t="n"/>
      <c r="F1083" s="499" t="n"/>
      <c r="G1083" s="32" t="n"/>
      <c r="H1083" s="32" t="n"/>
      <c r="I1083" s="530" t="n"/>
      <c r="J1083" s="531" t="n"/>
    </row>
    <row r="1084" ht="35.5" customHeight="1" s="344">
      <c r="A1084" s="30" t="n"/>
      <c r="B1084" s="31" t="n"/>
      <c r="C1084" s="32" t="n"/>
      <c r="D1084" s="19" t="n"/>
      <c r="E1084" s="500" t="n"/>
      <c r="F1084" s="499" t="n"/>
      <c r="G1084" s="32" t="n"/>
      <c r="H1084" s="32" t="n"/>
      <c r="I1084" s="530" t="n"/>
      <c r="J1084" s="531" t="n"/>
    </row>
    <row r="1085" ht="35.5" customHeight="1" s="344">
      <c r="A1085" s="30" t="n"/>
      <c r="B1085" s="31" t="n"/>
      <c r="C1085" s="32" t="n"/>
      <c r="D1085" s="19" t="n"/>
      <c r="E1085" s="500" t="n"/>
      <c r="F1085" s="499" t="n"/>
      <c r="G1085" s="32" t="n"/>
      <c r="H1085" s="32" t="n"/>
      <c r="I1085" s="530" t="n"/>
      <c r="J1085" s="531" t="n"/>
    </row>
    <row r="1086" ht="35.5" customHeight="1" s="344">
      <c r="A1086" s="30" t="n"/>
      <c r="B1086" s="31" t="n"/>
      <c r="C1086" s="32" t="n"/>
      <c r="D1086" s="19" t="n"/>
      <c r="E1086" s="500" t="n"/>
      <c r="F1086" s="499" t="n"/>
      <c r="G1086" s="32" t="n"/>
      <c r="H1086" s="32" t="n"/>
      <c r="I1086" s="530" t="n"/>
      <c r="J1086" s="531" t="n"/>
    </row>
    <row r="1087" ht="35.5" customHeight="1" s="344">
      <c r="A1087" s="30" t="n"/>
      <c r="B1087" s="31" t="n"/>
      <c r="C1087" s="32" t="n"/>
      <c r="D1087" s="19" t="n"/>
      <c r="E1087" s="500" t="n"/>
      <c r="F1087" s="499" t="n"/>
      <c r="G1087" s="32" t="n"/>
      <c r="H1087" s="32" t="n"/>
      <c r="I1087" s="530" t="n"/>
      <c r="J1087" s="531" t="n"/>
    </row>
    <row r="1088" ht="24" customHeight="1" s="344">
      <c r="A1088" s="30" t="n"/>
      <c r="B1088" s="31" t="n"/>
      <c r="C1088" s="32" t="n"/>
      <c r="D1088" s="19" t="n"/>
      <c r="E1088" s="500" t="n"/>
      <c r="F1088" s="499" t="n"/>
      <c r="G1088" s="32" t="n"/>
      <c r="H1088" s="32" t="n"/>
      <c r="I1088" s="530" t="n"/>
      <c r="J1088" s="531" t="n"/>
    </row>
    <row r="1089" ht="24" customHeight="1" s="344">
      <c r="A1089" s="30" t="n"/>
      <c r="B1089" s="31" t="n"/>
      <c r="C1089" s="32" t="n"/>
      <c r="D1089" s="19" t="n"/>
      <c r="E1089" s="499" t="n"/>
      <c r="F1089" s="500" t="n"/>
      <c r="G1089" s="32" t="n"/>
      <c r="H1089" s="32" t="n"/>
      <c r="I1089" s="530" t="n"/>
      <c r="J1089" s="531" t="n"/>
    </row>
    <row r="1090">
      <c r="A1090" s="166" t="n"/>
      <c r="B1090" s="166" t="n"/>
      <c r="C1090" s="166" t="n"/>
      <c r="D1090" s="165" t="n"/>
      <c r="E1090" s="498" t="n"/>
      <c r="F1090" s="498" t="n"/>
      <c r="G1090" s="166" t="n"/>
      <c r="H1090" s="166" t="n"/>
      <c r="I1090" s="530" t="n"/>
      <c r="J1090" s="531" t="n"/>
    </row>
    <row r="1091">
      <c r="A1091" s="166" t="n"/>
      <c r="B1091" s="166" t="n"/>
      <c r="C1091" s="166" t="n"/>
      <c r="D1091" s="165" t="n"/>
      <c r="E1091" s="498" t="n"/>
      <c r="F1091" s="499" t="n"/>
      <c r="G1091" s="166" t="n"/>
      <c r="H1091" s="166" t="n"/>
      <c r="I1091" s="530" t="n"/>
      <c r="J1091" s="531" t="n"/>
    </row>
    <row r="1092">
      <c r="A1092" s="165" t="n"/>
      <c r="B1092" s="491" t="n"/>
      <c r="C1092" s="492" t="n"/>
      <c r="D1092" s="165" t="n"/>
      <c r="E1092" s="499" t="n"/>
      <c r="F1092" s="499" t="n"/>
      <c r="G1092" s="166" t="n"/>
      <c r="H1092" s="166" t="n"/>
      <c r="I1092" s="530" t="n"/>
      <c r="J1092" s="531" t="n"/>
    </row>
    <row r="1093" ht="24" customHeight="1" s="344">
      <c r="A1093" s="30" t="n"/>
      <c r="B1093" s="31" t="n"/>
      <c r="C1093" s="32" t="n"/>
      <c r="D1093" s="19" t="n"/>
      <c r="E1093" s="500" t="n"/>
      <c r="F1093" s="499" t="n"/>
      <c r="G1093" s="32" t="n"/>
      <c r="H1093" s="32" t="n"/>
      <c r="I1093" s="530" t="n"/>
      <c r="J1093" s="531" t="n"/>
    </row>
    <row r="1094" ht="24" customHeight="1" s="344">
      <c r="A1094" s="30" t="n"/>
      <c r="B1094" s="31" t="n"/>
      <c r="C1094" s="32" t="n"/>
      <c r="D1094" s="19" t="n"/>
      <c r="E1094" s="500" t="n"/>
      <c r="F1094" s="499" t="n"/>
      <c r="G1094" s="32" t="n"/>
      <c r="H1094" s="32" t="n"/>
      <c r="I1094" s="530" t="n"/>
      <c r="J1094" s="531" t="n"/>
    </row>
    <row r="1095" ht="24" customHeight="1" s="344">
      <c r="A1095" s="30" t="n"/>
      <c r="B1095" s="31" t="n"/>
      <c r="C1095" s="32" t="n"/>
      <c r="D1095" s="19" t="n"/>
      <c r="E1095" s="500" t="n"/>
      <c r="F1095" s="499" t="n"/>
      <c r="G1095" s="32" t="n"/>
      <c r="H1095" s="32" t="n"/>
      <c r="I1095" s="530" t="n"/>
      <c r="J1095" s="531" t="n"/>
    </row>
    <row r="1096" ht="24" customHeight="1" s="344">
      <c r="A1096" s="30" t="n"/>
      <c r="B1096" s="31" t="n"/>
      <c r="C1096" s="32" t="n"/>
      <c r="D1096" s="19" t="n"/>
      <c r="E1096" s="500" t="n"/>
      <c r="F1096" s="499" t="n"/>
      <c r="G1096" s="32" t="n"/>
      <c r="H1096" s="32" t="n"/>
      <c r="I1096" s="530" t="n"/>
      <c r="J1096" s="531" t="n"/>
    </row>
    <row r="1097">
      <c r="A1097" s="30" t="n"/>
      <c r="B1097" s="31" t="n"/>
      <c r="C1097" s="32" t="n"/>
      <c r="D1097" s="19" t="n"/>
      <c r="E1097" s="499" t="n"/>
      <c r="F1097" s="500" t="n"/>
      <c r="G1097" s="32" t="n"/>
      <c r="H1097" s="32" t="n"/>
      <c r="I1097" s="530" t="n"/>
      <c r="J1097" s="531" t="n"/>
    </row>
    <row r="1098" ht="24" customHeight="1" s="344">
      <c r="A1098" s="30" t="n"/>
      <c r="B1098" s="31" t="n"/>
      <c r="C1098" s="32" t="n"/>
      <c r="D1098" s="19" t="n"/>
      <c r="E1098" s="500" t="n"/>
      <c r="F1098" s="499" t="n"/>
      <c r="G1098" s="32" t="n"/>
      <c r="H1098" s="32" t="n"/>
      <c r="I1098" s="530" t="n"/>
      <c r="J1098" s="531" t="n"/>
    </row>
    <row r="1099" ht="24" customHeight="1" s="344">
      <c r="A1099" s="30" t="n"/>
      <c r="B1099" s="31" t="n"/>
      <c r="C1099" s="32" t="n"/>
      <c r="D1099" s="19" t="n"/>
      <c r="E1099" s="500" t="n"/>
      <c r="F1099" s="499" t="n"/>
      <c r="G1099" s="32" t="n"/>
      <c r="H1099" s="32" t="n"/>
      <c r="I1099" s="530" t="n"/>
      <c r="J1099" s="531" t="n"/>
    </row>
    <row r="1100" ht="24" customHeight="1" s="344">
      <c r="A1100" s="30" t="n"/>
      <c r="B1100" s="31" t="n"/>
      <c r="C1100" s="32" t="n"/>
      <c r="D1100" s="19" t="n"/>
      <c r="E1100" s="500" t="n"/>
      <c r="F1100" s="499" t="n"/>
      <c r="G1100" s="32" t="n"/>
      <c r="H1100" s="32" t="n"/>
      <c r="I1100" s="530" t="n"/>
      <c r="J1100" s="531" t="n"/>
    </row>
    <row r="1101" ht="24" customHeight="1" s="344">
      <c r="A1101" s="30" t="n"/>
      <c r="B1101" s="31" t="n"/>
      <c r="C1101" s="32" t="n"/>
      <c r="D1101" s="19" t="n"/>
      <c r="E1101" s="500" t="n"/>
      <c r="F1101" s="499" t="n"/>
      <c r="G1101" s="32" t="n"/>
      <c r="H1101" s="32" t="n"/>
      <c r="I1101" s="530" t="n"/>
      <c r="J1101" s="531" t="n"/>
    </row>
    <row r="1102" ht="24" customHeight="1" s="344">
      <c r="A1102" s="30" t="n"/>
      <c r="B1102" s="31" t="n"/>
      <c r="C1102" s="32" t="n"/>
      <c r="D1102" s="19" t="n"/>
      <c r="E1102" s="500" t="n"/>
      <c r="F1102" s="499" t="n"/>
      <c r="G1102" s="32" t="n"/>
      <c r="H1102" s="32" t="n"/>
      <c r="I1102" s="530" t="n"/>
      <c r="J1102" s="531" t="n"/>
    </row>
    <row r="1103" ht="24" customHeight="1" s="344">
      <c r="A1103" s="30" t="n"/>
      <c r="B1103" s="31" t="n"/>
      <c r="C1103" s="32" t="n"/>
      <c r="D1103" s="19" t="n"/>
      <c r="E1103" s="500" t="n"/>
      <c r="F1103" s="499" t="n"/>
      <c r="G1103" s="32" t="n"/>
      <c r="H1103" s="32" t="n"/>
      <c r="I1103" s="530" t="n"/>
      <c r="J1103" s="531" t="n"/>
    </row>
    <row r="1104" ht="24" customHeight="1" s="344">
      <c r="A1104" s="30" t="n"/>
      <c r="B1104" s="31" t="n"/>
      <c r="C1104" s="32" t="n"/>
      <c r="D1104" s="19" t="n"/>
      <c r="E1104" s="500" t="n"/>
      <c r="F1104" s="499" t="n"/>
      <c r="G1104" s="32" t="n"/>
      <c r="H1104" s="32" t="n"/>
      <c r="I1104" s="530" t="n"/>
      <c r="J1104" s="531" t="n"/>
    </row>
    <row r="1105" ht="24" customHeight="1" s="344">
      <c r="A1105" s="30" t="n"/>
      <c r="B1105" s="31" t="n"/>
      <c r="C1105" s="32" t="n"/>
      <c r="D1105" s="19" t="n"/>
      <c r="E1105" s="500" t="n"/>
      <c r="F1105" s="499" t="n"/>
      <c r="G1105" s="32" t="n"/>
      <c r="H1105" s="32" t="n"/>
      <c r="I1105" s="530" t="n"/>
      <c r="J1105" s="531" t="n"/>
    </row>
    <row r="1106">
      <c r="A1106" s="30" t="n"/>
      <c r="B1106" s="31" t="n"/>
      <c r="C1106" s="32" t="n"/>
      <c r="D1106" s="19" t="n"/>
      <c r="E1106" s="499" t="n"/>
      <c r="F1106" s="500" t="n"/>
      <c r="G1106" s="32" t="n"/>
      <c r="H1106" s="32" t="n"/>
      <c r="I1106" s="530" t="n"/>
      <c r="J1106" s="531" t="n"/>
    </row>
    <row r="1107" ht="24" customHeight="1" s="344">
      <c r="A1107" s="30" t="n"/>
      <c r="B1107" s="31" t="n"/>
      <c r="C1107" s="32" t="n"/>
      <c r="D1107" s="19" t="n"/>
      <c r="E1107" s="500" t="n"/>
      <c r="F1107" s="499" t="n"/>
      <c r="G1107" s="32" t="n"/>
      <c r="H1107" s="32" t="n"/>
      <c r="I1107" s="530" t="n"/>
      <c r="J1107" s="531" t="n"/>
    </row>
    <row r="1108" ht="24" customHeight="1" s="344">
      <c r="A1108" s="30" t="n"/>
      <c r="B1108" s="31" t="n"/>
      <c r="C1108" s="32" t="n"/>
      <c r="D1108" s="19" t="n"/>
      <c r="E1108" s="500" t="n"/>
      <c r="F1108" s="499" t="n"/>
      <c r="G1108" s="32" t="n"/>
      <c r="H1108" s="32" t="n"/>
      <c r="I1108" s="530" t="n"/>
      <c r="J1108" s="531" t="n"/>
    </row>
    <row r="1109" ht="24" customHeight="1" s="344">
      <c r="A1109" s="30" t="n"/>
      <c r="B1109" s="31" t="n"/>
      <c r="C1109" s="32" t="n"/>
      <c r="D1109" s="19" t="n"/>
      <c r="E1109" s="500" t="n"/>
      <c r="F1109" s="499" t="n"/>
      <c r="G1109" s="32" t="n"/>
      <c r="H1109" s="32" t="n"/>
      <c r="I1109" s="530" t="n"/>
      <c r="J1109" s="531" t="n"/>
    </row>
    <row r="1110" ht="24" customHeight="1" s="344">
      <c r="A1110" s="30" t="n"/>
      <c r="B1110" s="31" t="n"/>
      <c r="C1110" s="32" t="n"/>
      <c r="D1110" s="19" t="n"/>
      <c r="E1110" s="500" t="n"/>
      <c r="F1110" s="499" t="n"/>
      <c r="G1110" s="32" t="n"/>
      <c r="H1110" s="32" t="n"/>
      <c r="I1110" s="530" t="n"/>
      <c r="J1110" s="531" t="n"/>
    </row>
    <row r="1111" ht="24" customHeight="1" s="344">
      <c r="A1111" s="30" t="n"/>
      <c r="B1111" s="31" t="n"/>
      <c r="C1111" s="32" t="n"/>
      <c r="D1111" s="19" t="n"/>
      <c r="E1111" s="500" t="n"/>
      <c r="F1111" s="499" t="n"/>
      <c r="G1111" s="32" t="n"/>
      <c r="H1111" s="32" t="n"/>
      <c r="I1111" s="530" t="n"/>
      <c r="J1111" s="531" t="n"/>
    </row>
    <row r="1112" ht="24" customHeight="1" s="344">
      <c r="A1112" s="30" t="n"/>
      <c r="B1112" s="31" t="n"/>
      <c r="C1112" s="32" t="n"/>
      <c r="D1112" s="19" t="n"/>
      <c r="E1112" s="500" t="n"/>
      <c r="F1112" s="499" t="n"/>
      <c r="G1112" s="32" t="n"/>
      <c r="H1112" s="32" t="n"/>
      <c r="I1112" s="530" t="n"/>
      <c r="J1112" s="531" t="n"/>
    </row>
    <row r="1113" ht="24" customHeight="1" s="344">
      <c r="A1113" s="30" t="n"/>
      <c r="B1113" s="31" t="n"/>
      <c r="C1113" s="32" t="n"/>
      <c r="D1113" s="19" t="n"/>
      <c r="E1113" s="500" t="n"/>
      <c r="F1113" s="499" t="n"/>
      <c r="G1113" s="32" t="n"/>
      <c r="H1113" s="32" t="n"/>
      <c r="I1113" s="530" t="n"/>
      <c r="J1113" s="531" t="n"/>
    </row>
    <row r="1114" ht="24" customHeight="1" s="344">
      <c r="A1114" s="30" t="n"/>
      <c r="B1114" s="31" t="n"/>
      <c r="C1114" s="32" t="n"/>
      <c r="D1114" s="19" t="n"/>
      <c r="E1114" s="500" t="n"/>
      <c r="F1114" s="499" t="n"/>
      <c r="G1114" s="32" t="n"/>
      <c r="H1114" s="32" t="n"/>
      <c r="I1114" s="530" t="n"/>
      <c r="J1114" s="531" t="n"/>
    </row>
    <row r="1115" ht="24" customHeight="1" s="344">
      <c r="A1115" s="30" t="n"/>
      <c r="B1115" s="31" t="n"/>
      <c r="C1115" s="32" t="n"/>
      <c r="D1115" s="19" t="n"/>
      <c r="E1115" s="500" t="n"/>
      <c r="F1115" s="499" t="n"/>
      <c r="G1115" s="32" t="n"/>
      <c r="H1115" s="32" t="n"/>
      <c r="I1115" s="530" t="n"/>
      <c r="J1115" s="531" t="n"/>
    </row>
    <row r="1116" ht="24" customHeight="1" s="344">
      <c r="A1116" s="30" t="n"/>
      <c r="B1116" s="31" t="n"/>
      <c r="C1116" s="32" t="n"/>
      <c r="D1116" s="19" t="n"/>
      <c r="E1116" s="500" t="n"/>
      <c r="F1116" s="499" t="n"/>
      <c r="G1116" s="32" t="n"/>
      <c r="H1116" s="32" t="n"/>
      <c r="I1116" s="530" t="n"/>
      <c r="J1116" s="531" t="n"/>
    </row>
    <row r="1117" ht="24" customHeight="1" s="344">
      <c r="A1117" s="30" t="n"/>
      <c r="B1117" s="31" t="n"/>
      <c r="C1117" s="32" t="n"/>
      <c r="D1117" s="19" t="n"/>
      <c r="E1117" s="500" t="n"/>
      <c r="F1117" s="499" t="n"/>
      <c r="G1117" s="32" t="n"/>
      <c r="H1117" s="32" t="n"/>
      <c r="I1117" s="530" t="n"/>
      <c r="J1117" s="531" t="n"/>
    </row>
    <row r="1118" ht="24" customHeight="1" s="344">
      <c r="A1118" s="30" t="n"/>
      <c r="B1118" s="31" t="n"/>
      <c r="C1118" s="32" t="n"/>
      <c r="D1118" s="19" t="n"/>
      <c r="E1118" s="500" t="n"/>
      <c r="F1118" s="499" t="n"/>
      <c r="G1118" s="32" t="n"/>
      <c r="H1118" s="32" t="n"/>
      <c r="I1118" s="530" t="n"/>
      <c r="J1118" s="531" t="n"/>
    </row>
    <row r="1119">
      <c r="A1119" s="166" t="n"/>
      <c r="B1119" s="166" t="n"/>
      <c r="C1119" s="166" t="n"/>
      <c r="D1119" s="165" t="n"/>
      <c r="E1119" s="498" t="n"/>
      <c r="F1119" s="498" t="n"/>
      <c r="G1119" s="166" t="n"/>
      <c r="H1119" s="166" t="n"/>
    </row>
    <row r="1120">
      <c r="A1120" s="166" t="n"/>
      <c r="B1120" s="166" t="n"/>
      <c r="C1120" s="166" t="n"/>
      <c r="D1120" s="165" t="n"/>
      <c r="E1120" s="499" t="n"/>
      <c r="F1120" s="499" t="n"/>
      <c r="G1120" s="166" t="n"/>
      <c r="H1120" s="166" t="n"/>
    </row>
    <row r="1121">
      <c r="A1121" s="166" t="n"/>
      <c r="B1121" s="166" t="n"/>
      <c r="C1121" s="166" t="n"/>
      <c r="D1121" s="165" t="n"/>
      <c r="E1121" s="498" t="n"/>
      <c r="F1121" s="499" t="n"/>
      <c r="G1121" s="166" t="n"/>
      <c r="H1121" s="166" t="n"/>
    </row>
    <row r="1122">
      <c r="A1122" s="166" t="n"/>
      <c r="B1122" s="166" t="n"/>
      <c r="C1122" s="166" t="n"/>
      <c r="D1122" s="165" t="n"/>
      <c r="E1122" s="498" t="n"/>
      <c r="F1122" s="498" t="n"/>
      <c r="G1122" s="166" t="n"/>
      <c r="H1122" s="166" t="n"/>
    </row>
    <row r="1123" ht="15.5" customHeight="1" s="344">
      <c r="A1123" s="166" t="n"/>
      <c r="B1123" s="166" t="n"/>
      <c r="C1123" s="166" t="n"/>
      <c r="D1123" s="165" t="n"/>
      <c r="E1123" s="498" t="n"/>
      <c r="F1123" s="499" t="n"/>
      <c r="G1123" s="166" t="n"/>
      <c r="H1123" s="166" t="n"/>
    </row>
    <row r="1124"/>
    <row r="1125">
      <c r="A1125" s="343" t="n"/>
    </row>
    <row r="1126">
      <c r="A1126" s="321" t="n"/>
    </row>
    <row r="1127"/>
    <row r="1128">
      <c r="A1128" s="52" t="n"/>
    </row>
  </sheetData>
  <mergeCells count="9">
    <mergeCell ref="G9:G10"/>
    <mergeCell ref="E9:E10"/>
    <mergeCell ref="A11:C11"/>
    <mergeCell ref="D9:D10"/>
    <mergeCell ref="H9:H10"/>
    <mergeCell ref="F9:F10"/>
    <mergeCell ref="A9:C9"/>
    <mergeCell ref="A1125:H1125"/>
    <mergeCell ref="A1092:C109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R23" sqref="R23"/>
    </sheetView>
  </sheetViews>
  <sheetFormatPr baseColWidth="8" defaultColWidth="9" defaultRowHeight="15.5"/>
  <cols>
    <col width="4.5" customWidth="1" style="344" min="1" max="1"/>
    <col width="14.83203125" customWidth="1" style="344" min="2" max="2"/>
    <col width="8.58203125" customWidth="1" style="344" min="3" max="3"/>
    <col width="17.58203125" customWidth="1" style="344" min="4" max="4"/>
    <col width="13.58203125" customWidth="1" style="344" min="5" max="5"/>
    <col width="13.9140625" customWidth="1" style="344" min="6" max="6"/>
    <col width="8.08203125" customWidth="1" style="344" min="7" max="7"/>
    <col width="9.83203125" customWidth="1" style="344" min="8" max="8"/>
    <col width="12.58203125" customWidth="1" style="344" min="9" max="9"/>
    <col width="9.33203125" customWidth="1" style="344" min="10" max="10"/>
    <col width="12.58203125" customWidth="1" style="344" min="11" max="11"/>
    <col width="15.9140625" bestFit="1" customWidth="1" style="344" min="12" max="12"/>
    <col width="3.08203125" customWidth="1" style="37" min="13" max="13"/>
    <col width="14.5" bestFit="1" customWidth="1" style="344" min="14" max="14"/>
    <col width="12.33203125" bestFit="1" customWidth="1" style="344" min="15" max="15"/>
    <col width="11.08203125" bestFit="1" customWidth="1" style="344" min="16" max="17"/>
  </cols>
  <sheetData>
    <row r="1">
      <c r="A1" s="391" t="inlineStr">
        <is>
          <t>CÔNG TY ĐIỆN LỰC VŨNG TÀU</t>
        </is>
      </c>
      <c r="D1" s="250" t="n"/>
      <c r="E1" s="396" t="inlineStr">
        <is>
          <t>CỘNG HÒA XÃ HỘI CHỦ NGHĨA VIỆT NAM</t>
        </is>
      </c>
      <c r="K1" s="250" t="n"/>
      <c r="N1" s="24" t="inlineStr">
        <is>
          <t>TRONGTHANG</t>
        </is>
      </c>
      <c r="O1" s="538">
        <f>SUMIF($L:$L,$N1,$K:$K)</f>
        <v/>
      </c>
      <c r="P1" s="450" t="n"/>
      <c r="Q1" s="539" t="n"/>
    </row>
    <row r="2">
      <c r="A2" s="396" t="inlineStr">
        <is>
          <t>ĐỘI QUẢN LÝ THU GHI</t>
        </is>
      </c>
      <c r="D2" s="250" t="n"/>
      <c r="E2" s="396" t="inlineStr">
        <is>
          <t>Độc Lập - Tự Do - Hạnh Phúc</t>
        </is>
      </c>
      <c r="K2" s="250" t="n"/>
      <c r="N2" s="40" t="inlineStr">
        <is>
          <t>CUOITHANG</t>
        </is>
      </c>
      <c r="O2" s="538">
        <f>SUMIF($L$9:$L$15,N2,$K$9:$K$15)</f>
        <v/>
      </c>
    </row>
    <row r="3">
      <c r="A3" s="396" t="n"/>
      <c r="D3" s="250" t="n"/>
      <c r="E3" s="250" t="n"/>
      <c r="F3" s="250" t="n"/>
      <c r="G3" s="250" t="n"/>
      <c r="H3" s="540" t="n"/>
      <c r="I3" s="540" t="n"/>
      <c r="J3" s="540" t="n"/>
      <c r="K3" s="250" t="n"/>
      <c r="N3" s="24" t="n"/>
      <c r="O3" s="541">
        <f>SUM(O1:O2)</f>
        <v/>
      </c>
    </row>
    <row r="4">
      <c r="A4" s="250" t="n"/>
      <c r="B4" s="250" t="n"/>
      <c r="C4" s="250" t="n"/>
      <c r="D4" s="250" t="n"/>
      <c r="E4" s="397" t="inlineStr">
        <is>
          <t>Vũng Tàu, ngày 05 tháng 10  năm 2026</t>
        </is>
      </c>
      <c r="K4" s="250" t="n"/>
      <c r="N4" t="inlineStr">
        <is>
          <t>TD</t>
        </is>
      </c>
      <c r="O4" s="539">
        <f>K15</f>
        <v/>
      </c>
    </row>
    <row r="5">
      <c r="A5" s="250" t="n"/>
      <c r="B5" s="250" t="n"/>
      <c r="C5" s="250" t="n"/>
      <c r="D5" s="250" t="n"/>
      <c r="E5" s="252" t="n"/>
      <c r="F5" s="252" t="n"/>
      <c r="G5" s="252" t="n"/>
      <c r="H5" s="252" t="n"/>
      <c r="I5" s="252" t="n"/>
      <c r="J5" s="252" t="n"/>
      <c r="K5" s="250" t="n"/>
      <c r="N5" t="inlineStr">
        <is>
          <t>VC</t>
        </is>
      </c>
      <c r="O5" s="539" t="n"/>
    </row>
    <row r="6" ht="15.65" customHeight="1" s="344">
      <c r="A6" s="393" t="inlineStr">
        <is>
          <t>BẢNG KÊ SẢN LƯỢNG TIÊU THỤ VÀ TIỀN ĐIỆN CỦA 
Công Ty TNHH Nhôm Toàn Cầu Việt Nam Thuế GTGT 0%</t>
        </is>
      </c>
    </row>
    <row r="7">
      <c r="A7" s="431" t="n"/>
      <c r="B7" s="431" t="n"/>
      <c r="C7" s="431" t="n"/>
      <c r="D7" s="431" t="n"/>
      <c r="E7" s="431" t="n"/>
      <c r="F7" s="431" t="n"/>
      <c r="G7" s="431" t="n"/>
      <c r="H7" s="431" t="n"/>
      <c r="I7" s="431" t="n"/>
      <c r="J7" s="431" t="n"/>
      <c r="K7" s="431" t="n"/>
    </row>
    <row r="8" ht="28" customFormat="1" customHeight="1" s="29">
      <c r="A8" s="253" t="inlineStr">
        <is>
          <t>STT</t>
        </is>
      </c>
      <c r="B8" s="253" t="inlineStr">
        <is>
          <t>Mã Khách Hàng</t>
        </is>
      </c>
      <c r="C8" s="253" t="inlineStr">
        <is>
          <t>Danh Số</t>
        </is>
      </c>
      <c r="D8" s="253" t="inlineStr">
        <is>
          <t>Địa Chỉ</t>
        </is>
      </c>
      <c r="E8" s="253" t="inlineStr">
        <is>
          <t>Kỳ-Tháng/Năm</t>
        </is>
      </c>
      <c r="F8" s="253" t="inlineStr">
        <is>
          <t>Ngày phát hành</t>
        </is>
      </c>
      <c r="G8" s="253" t="inlineStr">
        <is>
          <t>Loại HĐ</t>
        </is>
      </c>
      <c r="H8" s="542" t="inlineStr">
        <is>
          <t>Điện Tiêu
 Thụ</t>
        </is>
      </c>
      <c r="I8" s="543" t="inlineStr">
        <is>
          <t>Tiền PS</t>
        </is>
      </c>
      <c r="J8" s="543" t="inlineStr">
        <is>
          <t>Thuế PS</t>
        </is>
      </c>
      <c r="K8" s="253" t="n"/>
      <c r="M8" s="38" t="n"/>
    </row>
    <row r="9" ht="12.75" customFormat="1" customHeight="1" s="29">
      <c r="A9" s="394" t="n">
        <v>1</v>
      </c>
      <c r="B9" s="394" t="inlineStr">
        <is>
          <t>PB15040049659</t>
        </is>
      </c>
      <c r="C9" s="394" t="inlineStr">
        <is>
          <t>AW06880</t>
        </is>
      </c>
      <c r="D9" s="395" t="inlineStr">
        <is>
          <t>KCN Mỹ Xuân, huyện Tân Thành, tỉnh BRVT</t>
        </is>
      </c>
      <c r="E9" s="256" t="inlineStr">
        <is>
          <t>01-09/2026</t>
        </is>
      </c>
      <c r="F9" s="257" t="n">
        <v>46276</v>
      </c>
      <c r="G9" s="258" t="inlineStr">
        <is>
          <t>TD</t>
        </is>
      </c>
      <c r="H9" s="544" t="n">
        <v>19000</v>
      </c>
      <c r="I9" s="544" t="n">
        <v>39001500</v>
      </c>
      <c r="J9" s="545" t="n">
        <v>0</v>
      </c>
      <c r="K9" s="546">
        <f>I9</f>
        <v/>
      </c>
      <c r="L9" s="449" t="inlineStr">
        <is>
          <t>TRONGTHANG</t>
        </is>
      </c>
      <c r="M9" s="38" t="n"/>
    </row>
    <row r="10" customFormat="1" s="29">
      <c r="A10" s="547" t="n"/>
      <c r="B10" s="547" t="n"/>
      <c r="C10" s="547" t="n"/>
      <c r="D10" s="547" t="n"/>
      <c r="E10" s="256" t="inlineStr">
        <is>
          <t>02-09/2026</t>
        </is>
      </c>
      <c r="F10" s="256" t="inlineStr">
        <is>
          <t>21/09/2026</t>
        </is>
      </c>
      <c r="G10" s="258" t="inlineStr">
        <is>
          <t>TD</t>
        </is>
      </c>
      <c r="H10" s="548" t="n">
        <v>20116</v>
      </c>
      <c r="I10" s="548" t="n">
        <v>40643157</v>
      </c>
      <c r="J10" s="545" t="n">
        <v>0</v>
      </c>
      <c r="K10" s="546">
        <f>I10</f>
        <v/>
      </c>
      <c r="L10" s="449" t="inlineStr">
        <is>
          <t>TRONGTHANG</t>
        </is>
      </c>
      <c r="M10" s="38" t="n"/>
    </row>
    <row r="11" customFormat="1" s="29">
      <c r="A11" s="456" t="n"/>
      <c r="B11" s="456" t="n"/>
      <c r="C11" s="456" t="n"/>
      <c r="D11" s="456" t="n"/>
      <c r="E11" s="256" t="inlineStr">
        <is>
          <t>03-09/2026</t>
        </is>
      </c>
      <c r="F11" s="257" t="n">
        <v>46297</v>
      </c>
      <c r="G11" s="258" t="inlineStr">
        <is>
          <t>TD</t>
        </is>
      </c>
      <c r="H11" s="544" t="n">
        <v>23050</v>
      </c>
      <c r="I11" s="544" t="n">
        <v>47607749</v>
      </c>
      <c r="J11" s="545" t="n">
        <v>0</v>
      </c>
      <c r="K11" s="546">
        <f>I11</f>
        <v/>
      </c>
      <c r="L11" s="549" t="inlineStr">
        <is>
          <t>CUOITHANG</t>
        </is>
      </c>
      <c r="M11" s="38" t="n"/>
    </row>
    <row r="12" ht="15.65" customFormat="1" customHeight="1" s="29">
      <c r="A12" s="394" t="n">
        <v>2</v>
      </c>
      <c r="B12" s="394" t="inlineStr">
        <is>
          <t>PB15040050211</t>
        </is>
      </c>
      <c r="C12" s="394" t="inlineStr">
        <is>
          <t>AW06890</t>
        </is>
      </c>
      <c r="D12" s="395" t="inlineStr">
        <is>
          <t>KCN Mỹ Xuân, huyện Tân Thành, tỉnh BRVT</t>
        </is>
      </c>
      <c r="E12" s="256" t="inlineStr">
        <is>
          <t>01-09/2026</t>
        </is>
      </c>
      <c r="F12" s="257" t="n">
        <v>46276</v>
      </c>
      <c r="G12" s="258" t="inlineStr">
        <is>
          <t>TD</t>
        </is>
      </c>
      <c r="H12" s="548" t="n">
        <v>33200</v>
      </c>
      <c r="I12" s="548" t="n">
        <v>66711500</v>
      </c>
      <c r="J12" s="545" t="n">
        <v>0</v>
      </c>
      <c r="K12" s="546">
        <f>I12</f>
        <v/>
      </c>
      <c r="L12" s="449" t="inlineStr">
        <is>
          <t>TRONGTHANG</t>
        </is>
      </c>
      <c r="M12" s="38" t="n"/>
    </row>
    <row r="13" customFormat="1" s="29">
      <c r="A13" s="547" t="n"/>
      <c r="B13" s="547" t="n"/>
      <c r="C13" s="547" t="n"/>
      <c r="D13" s="547" t="n"/>
      <c r="E13" s="256" t="inlineStr">
        <is>
          <t>02-09/2026</t>
        </is>
      </c>
      <c r="F13" s="256" t="inlineStr">
        <is>
          <t>21/09/2026</t>
        </is>
      </c>
      <c r="G13" s="258" t="inlineStr">
        <is>
          <t>TD</t>
        </is>
      </c>
      <c r="H13" s="544" t="n">
        <v>30200</v>
      </c>
      <c r="I13" s="544" t="n">
        <v>59840400</v>
      </c>
      <c r="J13" s="545" t="n">
        <v>0</v>
      </c>
      <c r="K13" s="546">
        <f>I13</f>
        <v/>
      </c>
      <c r="L13" s="449" t="inlineStr">
        <is>
          <t>TRONGTHANG</t>
        </is>
      </c>
      <c r="M13" s="38" t="n"/>
    </row>
    <row r="14" customFormat="1" s="38">
      <c r="A14" s="456" t="n"/>
      <c r="B14" s="456" t="n"/>
      <c r="C14" s="456" t="n"/>
      <c r="D14" s="456" t="n"/>
      <c r="E14" s="256" t="inlineStr">
        <is>
          <t>03-09/2026</t>
        </is>
      </c>
      <c r="F14" s="257" t="n">
        <v>46297</v>
      </c>
      <c r="G14" s="258" t="inlineStr">
        <is>
          <t>TD</t>
        </is>
      </c>
      <c r="H14" s="548" t="n">
        <v>33400</v>
      </c>
      <c r="I14" s="544" t="n">
        <v>67832700</v>
      </c>
      <c r="J14" s="545" t="n">
        <v>0</v>
      </c>
      <c r="K14" s="546">
        <f>I14</f>
        <v/>
      </c>
      <c r="L14" s="549" t="inlineStr">
        <is>
          <t>CUOITHANG</t>
        </is>
      </c>
    </row>
    <row r="15">
      <c r="A15" s="399" t="inlineStr">
        <is>
          <t>Tổng Cộng</t>
        </is>
      </c>
      <c r="B15" s="453" t="n"/>
      <c r="C15" s="453" t="n"/>
      <c r="D15" s="453" t="n"/>
      <c r="E15" s="454" t="n"/>
      <c r="F15" s="399" t="n"/>
      <c r="G15" s="399" t="n"/>
      <c r="H15" s="550" t="n">
        <v>158966</v>
      </c>
      <c r="I15" s="550" t="n">
        <v>321637006</v>
      </c>
      <c r="J15" s="550" t="n"/>
      <c r="K15" s="550" t="n"/>
      <c r="L15" s="549" t="n"/>
    </row>
    <row r="16">
      <c r="A16" s="400" t="inlineStr">
        <is>
          <t>Ba trăm hai mươi mốt triệu, sáu trăm ba mươi bảy ngàn, sáu đồng chẵn</t>
        </is>
      </c>
      <c r="B16" s="551" t="n"/>
      <c r="C16" s="551" t="n"/>
      <c r="D16" s="551" t="n"/>
      <c r="E16" s="551" t="n"/>
      <c r="F16" s="551" t="n"/>
      <c r="G16" s="551" t="n"/>
      <c r="H16" s="551" t="n"/>
      <c r="I16" s="551" t="n"/>
      <c r="J16" s="551" t="n"/>
      <c r="K16" s="551" t="n"/>
    </row>
    <row r="17">
      <c r="A17" s="401" t="n"/>
      <c r="B17" s="401" t="n"/>
      <c r="C17" s="401" t="n"/>
      <c r="D17" s="401" t="n"/>
      <c r="E17" s="401" t="n"/>
      <c r="F17" s="401" t="n"/>
      <c r="G17" s="401" t="n"/>
      <c r="H17" s="401" t="n"/>
      <c r="I17" s="401" t="n"/>
      <c r="J17" s="401" t="n"/>
      <c r="K17" s="401" t="n"/>
    </row>
    <row r="18">
      <c r="A18" s="398" t="inlineStr">
        <is>
          <t>LẬP BIỂU</t>
        </is>
      </c>
      <c r="C18" s="201" t="n"/>
      <c r="E18" s="398" t="inlineStr">
        <is>
          <t>ĐỘI QUẢN LÝ THU GHI</t>
        </is>
      </c>
      <c r="G18" s="398" t="n"/>
      <c r="I18" s="398" t="inlineStr">
        <is>
          <t>KT GIÁM ĐỐC</t>
        </is>
      </c>
    </row>
    <row r="19">
      <c r="A19" s="201" t="n"/>
      <c r="B19" s="201" t="n"/>
      <c r="C19" s="201" t="n"/>
      <c r="D19" s="201" t="n"/>
      <c r="E19" s="201" t="n"/>
      <c r="F19" s="201" t="n"/>
      <c r="G19" s="201" t="n"/>
      <c r="I19" s="398" t="inlineStr">
        <is>
          <t>PHÓ GIÁM ĐỐC</t>
        </is>
      </c>
    </row>
    <row r="20">
      <c r="A20" s="201" t="n"/>
      <c r="B20" s="201" t="n"/>
      <c r="C20" s="201" t="n"/>
      <c r="D20" s="201" t="n"/>
      <c r="E20" s="201" t="n"/>
      <c r="F20" s="201" t="n"/>
      <c r="G20" s="201" t="n"/>
      <c r="H20" s="398" t="n"/>
      <c r="I20" s="398" t="n"/>
      <c r="J20" s="398" t="n"/>
      <c r="K20" s="398" t="n"/>
    </row>
    <row r="21">
      <c r="A21" s="201" t="n"/>
      <c r="B21" s="201" t="n"/>
      <c r="C21" s="201" t="n"/>
      <c r="D21" s="201" t="n"/>
      <c r="E21" s="201" t="n"/>
      <c r="F21" s="201" t="n"/>
      <c r="G21" s="201" t="n"/>
      <c r="H21" s="398" t="n"/>
      <c r="I21" s="398" t="n"/>
      <c r="J21" s="398" t="n"/>
      <c r="K21" s="398" t="n"/>
    </row>
    <row r="22">
      <c r="A22" s="201" t="n"/>
      <c r="B22" s="201" t="n"/>
      <c r="C22" s="201" t="n"/>
      <c r="D22" s="201" t="n"/>
      <c r="E22" s="201" t="n"/>
      <c r="F22" s="201" t="n"/>
      <c r="G22" s="201" t="n"/>
      <c r="H22" s="552" t="n"/>
      <c r="I22" s="552" t="n"/>
      <c r="J22" s="552" t="n"/>
      <c r="K22" s="201" t="n"/>
    </row>
    <row r="23">
      <c r="A23" s="215" t="n"/>
      <c r="B23" s="215" t="n"/>
      <c r="C23" s="215" t="n"/>
      <c r="D23" s="215" t="n"/>
      <c r="E23" s="215" t="n"/>
      <c r="F23" s="215" t="n"/>
      <c r="G23" s="215" t="n"/>
      <c r="H23" s="553" t="n"/>
      <c r="I23" s="553" t="n"/>
      <c r="J23" s="553" t="n"/>
      <c r="K23" s="201" t="n"/>
    </row>
    <row r="24">
      <c r="A24" s="201" t="n"/>
      <c r="B24" s="201" t="n"/>
      <c r="C24" s="201" t="n"/>
      <c r="D24" s="201" t="n"/>
      <c r="E24" s="201" t="n"/>
      <c r="F24" s="201" t="n"/>
      <c r="G24" s="201" t="n"/>
      <c r="H24" s="552" t="n"/>
      <c r="I24" s="552" t="n"/>
      <c r="J24" s="552" t="n"/>
      <c r="K24" s="201" t="n"/>
    </row>
    <row r="25">
      <c r="A25" s="398" t="inlineStr">
        <is>
          <t>Phạm Quốc Việt</t>
        </is>
      </c>
      <c r="C25" s="201" t="n"/>
      <c r="E25" s="398" t="inlineStr">
        <is>
          <t>Nguyễn Xuân Quang</t>
        </is>
      </c>
      <c r="G25" s="398" t="n"/>
      <c r="I25" s="398" t="inlineStr">
        <is>
          <t>Đặng Quang Trung</t>
        </is>
      </c>
    </row>
    <row r="26"/>
    <row r="27"/>
    <row r="28"/>
    <row r="29"/>
    <row r="30"/>
  </sheetData>
  <mergeCells count="24">
    <mergeCell ref="E1:J1"/>
    <mergeCell ref="A12:A14"/>
    <mergeCell ref="C12:C14"/>
    <mergeCell ref="A15:E15"/>
    <mergeCell ref="D12:D14"/>
    <mergeCell ref="A3:C3"/>
    <mergeCell ref="I18:K18"/>
    <mergeCell ref="A2:C2"/>
    <mergeCell ref="D9:D11"/>
    <mergeCell ref="E2:J2"/>
    <mergeCell ref="A25:B25"/>
    <mergeCell ref="A16:K16"/>
    <mergeCell ref="A18:B18"/>
    <mergeCell ref="A9:A11"/>
    <mergeCell ref="I19:K19"/>
    <mergeCell ref="B12:B14"/>
    <mergeCell ref="A1:C1"/>
    <mergeCell ref="E25:F25"/>
    <mergeCell ref="B9:B11"/>
    <mergeCell ref="A6:K7"/>
    <mergeCell ref="E4:J4"/>
    <mergeCell ref="E18:F18"/>
    <mergeCell ref="C9:C11"/>
    <mergeCell ref="I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 Thi Thanh</dc:creator>
  <dcterms:created xmlns:dcterms="http://purl.org/dc/terms/" xmlns:xsi="http://www.w3.org/2001/XMLSchema-instance" xsi:type="dcterms:W3CDTF">2025-08-08T02:37:04Z</dcterms:created>
  <dcterms:modified xmlns:dcterms="http://purl.org/dc/terms/" xmlns:xsi="http://www.w3.org/2001/XMLSchema-instance" xsi:type="dcterms:W3CDTF">2026-10-08T02:28:07Z</dcterms:modified>
  <cp:lastModifiedBy>TUAN HOANG MINH</cp:lastModifiedBy>
</cp:coreProperties>
</file>