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66925"/>
  <mc:AlternateContent xmlns:mc="http://schemas.openxmlformats.org/markup-compatibility/2006">
    <mc:Choice Requires="x15">
      <x15ac:absPath xmlns:x15ac="http://schemas.microsoft.com/office/spreadsheetml/2010/11/ac" url="D:\DATA\DATA_THUE\THUE\ĐẦU RA\"/>
    </mc:Choice>
  </mc:AlternateContent>
  <xr:revisionPtr revIDLastSave="0" documentId="8_{A0913C3B-8F94-4BC5-8854-0870C09E8328}" xr6:coauthVersionLast="47" xr6:coauthVersionMax="47" xr10:uidLastSave="{00000000-0000-0000-0000-000000000000}"/>
  <bookViews>
    <workbookView xWindow="-110" yWindow="-110" windowWidth="29020" windowHeight="17500" tabRatio="719" activeTab="8" xr2:uid="{00000000-000D-0000-FFFF-FFFF00000000}"/>
  </bookViews>
  <sheets>
    <sheet name="TAXVTA" sheetId="1" r:id="rId1"/>
    <sheet name="GCS" sheetId="2" r:id="rId2"/>
    <sheet name="0903" sheetId="3" r:id="rId3"/>
    <sheet name="3A" sheetId="4" r:id="rId4"/>
    <sheet name="4A" sheetId="5" r:id="rId5"/>
    <sheet name="TA35" sheetId="6" r:id="rId6"/>
    <sheet name="333111" sheetId="7" r:id="rId7"/>
    <sheet name="33895" sheetId="8" r:id="rId8"/>
    <sheet name="TA36" sheetId="9" r:id="rId9"/>
    <sheet name="13311" sheetId="10" r:id="rId10"/>
    <sheet name="Nhom TC" sheetId="11" r:id="rId11"/>
  </sheets>
  <definedNames>
    <definedName name="_xlnm._FilterDatabase" localSheetId="8" hidden="1">'TA36'!$A$14:$AB$1143</definedName>
    <definedName name="_xlnm._FilterDatabase" localSheetId="0" hidden="1">TAXVTA!$J$73:$K$74</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4" i="11" l="1"/>
  <c r="K13" i="11"/>
  <c r="K12" i="11"/>
  <c r="K11" i="11"/>
  <c r="K10" i="11"/>
  <c r="K9" i="11"/>
  <c r="O4" i="11"/>
  <c r="O3" i="11"/>
  <c r="O2" i="11"/>
  <c r="O1" i="11"/>
  <c r="I1128" i="10"/>
  <c r="I1127" i="10"/>
  <c r="I1126" i="10"/>
  <c r="I1125" i="10"/>
  <c r="I1124" i="10"/>
  <c r="I1123" i="10"/>
  <c r="I1122" i="10"/>
  <c r="I1121" i="10"/>
  <c r="I1120" i="10"/>
  <c r="I1119" i="10"/>
  <c r="I1118" i="10"/>
  <c r="I1117" i="10"/>
  <c r="I1116" i="10"/>
  <c r="I1115" i="10"/>
  <c r="I1114" i="10"/>
  <c r="I1113" i="10"/>
  <c r="I1112" i="10"/>
  <c r="I1111" i="10"/>
  <c r="I1110" i="10"/>
  <c r="I1109" i="10"/>
  <c r="I1108" i="10"/>
  <c r="I1107" i="10"/>
  <c r="I1106" i="10"/>
  <c r="I1105" i="10"/>
  <c r="I1104" i="10"/>
  <c r="I1103" i="10"/>
  <c r="I1102" i="10"/>
  <c r="I1101" i="10"/>
  <c r="I1100" i="10"/>
  <c r="I1099" i="10"/>
  <c r="I1098" i="10"/>
  <c r="I1097" i="10"/>
  <c r="I1096" i="10"/>
  <c r="I1095" i="10"/>
  <c r="I1094" i="10"/>
  <c r="J1093" i="10"/>
  <c r="J1094" i="10" s="1"/>
  <c r="J1095" i="10" s="1"/>
  <c r="J1096" i="10" s="1"/>
  <c r="J1097" i="10" s="1"/>
  <c r="J1098" i="10" s="1"/>
  <c r="J1099" i="10" s="1"/>
  <c r="J1100" i="10" s="1"/>
  <c r="J1101" i="10" s="1"/>
  <c r="J1102" i="10" s="1"/>
  <c r="J1103" i="10" s="1"/>
  <c r="J1104" i="10" s="1"/>
  <c r="J1105" i="10" s="1"/>
  <c r="J1106" i="10" s="1"/>
  <c r="J1107" i="10" s="1"/>
  <c r="J1108" i="10" s="1"/>
  <c r="J1109" i="10" s="1"/>
  <c r="J1110" i="10" s="1"/>
  <c r="J1111" i="10" s="1"/>
  <c r="J1112" i="10" s="1"/>
  <c r="J1113" i="10" s="1"/>
  <c r="J1114" i="10" s="1"/>
  <c r="J1115" i="10" s="1"/>
  <c r="J1116" i="10" s="1"/>
  <c r="J1117" i="10" s="1"/>
  <c r="J1118" i="10" s="1"/>
  <c r="J1119" i="10" s="1"/>
  <c r="J1120" i="10" s="1"/>
  <c r="J1121" i="10" s="1"/>
  <c r="J1122" i="10" s="1"/>
  <c r="J1123" i="10" s="1"/>
  <c r="J1124" i="10" s="1"/>
  <c r="J1125" i="10" s="1"/>
  <c r="J1126" i="10" s="1"/>
  <c r="J1127" i="10" s="1"/>
  <c r="J1128" i="10" s="1"/>
  <c r="I1093" i="10"/>
  <c r="J1092" i="10"/>
  <c r="I1092" i="10"/>
  <c r="I1091" i="10"/>
  <c r="I1090" i="10"/>
  <c r="I1089" i="10"/>
  <c r="I1088" i="10"/>
  <c r="I1087" i="10"/>
  <c r="I1086" i="10"/>
  <c r="I1085" i="10"/>
  <c r="I1084" i="10"/>
  <c r="I1083" i="10"/>
  <c r="I1082" i="10"/>
  <c r="I1081" i="10"/>
  <c r="I1080" i="10"/>
  <c r="I1079" i="10"/>
  <c r="I1078" i="10"/>
  <c r="I1077" i="10"/>
  <c r="I1076" i="10"/>
  <c r="I1075" i="10"/>
  <c r="I1074" i="10"/>
  <c r="I1073" i="10"/>
  <c r="I1072" i="10"/>
  <c r="I1071" i="10"/>
  <c r="I1070" i="10"/>
  <c r="I1069" i="10"/>
  <c r="I1068" i="10"/>
  <c r="I1067" i="10"/>
  <c r="I1066" i="10"/>
  <c r="I1065" i="10"/>
  <c r="I1064" i="10"/>
  <c r="I1063" i="10"/>
  <c r="I1062" i="10"/>
  <c r="I1061" i="10"/>
  <c r="I1060" i="10"/>
  <c r="I1059" i="10"/>
  <c r="I1058" i="10"/>
  <c r="I1057" i="10"/>
  <c r="I1056" i="10"/>
  <c r="I1055" i="10"/>
  <c r="I1054" i="10"/>
  <c r="I1053" i="10"/>
  <c r="I1052" i="10"/>
  <c r="I1051" i="10"/>
  <c r="I1050" i="10"/>
  <c r="I1049" i="10"/>
  <c r="I1048" i="10"/>
  <c r="I1047" i="10"/>
  <c r="I1046" i="10"/>
  <c r="I1045" i="10"/>
  <c r="I1044" i="10"/>
  <c r="I1043" i="10"/>
  <c r="I1042" i="10"/>
  <c r="I1041" i="10"/>
  <c r="I1040" i="10"/>
  <c r="I1039" i="10"/>
  <c r="I1038" i="10"/>
  <c r="I1037" i="10"/>
  <c r="I1036" i="10"/>
  <c r="I1035" i="10"/>
  <c r="I1034" i="10"/>
  <c r="I1033" i="10"/>
  <c r="I1032" i="10"/>
  <c r="I1031" i="10"/>
  <c r="I1030" i="10"/>
  <c r="I1029" i="10"/>
  <c r="I1028" i="10"/>
  <c r="I1027" i="10"/>
  <c r="I1026" i="10"/>
  <c r="I1025" i="10"/>
  <c r="I1024" i="10"/>
  <c r="I1023" i="10"/>
  <c r="I1022" i="10"/>
  <c r="I1021" i="10"/>
  <c r="I1020" i="10"/>
  <c r="I1019" i="10"/>
  <c r="I1018" i="10"/>
  <c r="I1017" i="10"/>
  <c r="I1016" i="10"/>
  <c r="I1015" i="10"/>
  <c r="I1014" i="10"/>
  <c r="I1013" i="10"/>
  <c r="I1012" i="10"/>
  <c r="I1011" i="10"/>
  <c r="I1010" i="10"/>
  <c r="I1009" i="10"/>
  <c r="I1008" i="10"/>
  <c r="I1007" i="10"/>
  <c r="I1006" i="10"/>
  <c r="I1005" i="10"/>
  <c r="I1004" i="10"/>
  <c r="I1003" i="10"/>
  <c r="I1002" i="10"/>
  <c r="I1001" i="10"/>
  <c r="I1000" i="10"/>
  <c r="I999" i="10"/>
  <c r="I998" i="10"/>
  <c r="I997" i="10"/>
  <c r="I996" i="10"/>
  <c r="I995" i="10"/>
  <c r="I994" i="10"/>
  <c r="I993" i="10"/>
  <c r="I992" i="10"/>
  <c r="I991" i="10"/>
  <c r="I990" i="10"/>
  <c r="I989" i="10"/>
  <c r="I988" i="10"/>
  <c r="I987" i="10"/>
  <c r="I986" i="10"/>
  <c r="I985" i="10"/>
  <c r="I984" i="10"/>
  <c r="I983" i="10"/>
  <c r="I982" i="10"/>
  <c r="I981" i="10"/>
  <c r="I980" i="10"/>
  <c r="I979" i="10"/>
  <c r="I978" i="10"/>
  <c r="I977" i="10"/>
  <c r="I976" i="10"/>
  <c r="I975" i="10"/>
  <c r="I974" i="10"/>
  <c r="I973" i="10"/>
  <c r="I972" i="10"/>
  <c r="I971" i="10"/>
  <c r="I970" i="10"/>
  <c r="I969" i="10"/>
  <c r="I968" i="10"/>
  <c r="I967" i="10"/>
  <c r="I966" i="10"/>
  <c r="I965" i="10"/>
  <c r="I964" i="10"/>
  <c r="I963" i="10"/>
  <c r="I962" i="10"/>
  <c r="I961" i="10"/>
  <c r="I960" i="10"/>
  <c r="I959" i="10"/>
  <c r="I958" i="10"/>
  <c r="I957" i="10"/>
  <c r="I956" i="10"/>
  <c r="I955" i="10"/>
  <c r="I954" i="10"/>
  <c r="I953" i="10"/>
  <c r="I952" i="10"/>
  <c r="I951" i="10"/>
  <c r="I950" i="10"/>
  <c r="I949" i="10"/>
  <c r="I948" i="10"/>
  <c r="I947" i="10"/>
  <c r="I946" i="10"/>
  <c r="I945" i="10"/>
  <c r="I944" i="10"/>
  <c r="I943" i="10"/>
  <c r="I942" i="10"/>
  <c r="I941" i="10"/>
  <c r="I940" i="10"/>
  <c r="I939" i="10"/>
  <c r="I938" i="10"/>
  <c r="I937" i="10"/>
  <c r="I936" i="10"/>
  <c r="I935" i="10"/>
  <c r="I934" i="10"/>
  <c r="I933" i="10"/>
  <c r="I932" i="10"/>
  <c r="I931" i="10"/>
  <c r="I930" i="10"/>
  <c r="I929" i="10"/>
  <c r="I928" i="10"/>
  <c r="I927" i="10"/>
  <c r="I926" i="10"/>
  <c r="I925" i="10"/>
  <c r="I924" i="10"/>
  <c r="I923" i="10"/>
  <c r="I922" i="10"/>
  <c r="I921" i="10"/>
  <c r="I920" i="10"/>
  <c r="I919" i="10"/>
  <c r="I918" i="10"/>
  <c r="I917" i="10"/>
  <c r="I916" i="10"/>
  <c r="I915" i="10"/>
  <c r="I914" i="10"/>
  <c r="I913" i="10"/>
  <c r="I912" i="10"/>
  <c r="I911" i="10"/>
  <c r="I910" i="10"/>
  <c r="I909" i="10"/>
  <c r="I908" i="10"/>
  <c r="I907" i="10"/>
  <c r="I906" i="10"/>
  <c r="I905" i="10"/>
  <c r="I904" i="10"/>
  <c r="I903" i="10"/>
  <c r="I902" i="10"/>
  <c r="I901" i="10"/>
  <c r="I900" i="10"/>
  <c r="I899" i="10"/>
  <c r="I898" i="10"/>
  <c r="I897" i="10"/>
  <c r="I896" i="10"/>
  <c r="I895" i="10"/>
  <c r="I894" i="10"/>
  <c r="I893" i="10"/>
  <c r="I892" i="10"/>
  <c r="I891" i="10"/>
  <c r="I890" i="10"/>
  <c r="I889" i="10"/>
  <c r="I888" i="10"/>
  <c r="I887" i="10"/>
  <c r="I886" i="10"/>
  <c r="I885" i="10"/>
  <c r="L884" i="10"/>
  <c r="I884" i="10"/>
  <c r="I883" i="10"/>
  <c r="I882" i="10"/>
  <c r="I881" i="10"/>
  <c r="I880" i="10"/>
  <c r="L879" i="10"/>
  <c r="I879" i="10"/>
  <c r="I878" i="10"/>
  <c r="I877" i="10"/>
  <c r="I876" i="10"/>
  <c r="I875" i="10"/>
  <c r="I874" i="10"/>
  <c r="I873" i="10"/>
  <c r="I872" i="10"/>
  <c r="I871" i="10"/>
  <c r="I870" i="10"/>
  <c r="I869" i="10"/>
  <c r="I868" i="10"/>
  <c r="I867" i="10"/>
  <c r="I866" i="10"/>
  <c r="I865" i="10"/>
  <c r="I864" i="10"/>
  <c r="I863" i="10"/>
  <c r="I862" i="10"/>
  <c r="I861" i="10"/>
  <c r="I860" i="10"/>
  <c r="I859" i="10"/>
  <c r="I858" i="10"/>
  <c r="I857" i="10"/>
  <c r="I856" i="10"/>
  <c r="I855" i="10"/>
  <c r="I854" i="10"/>
  <c r="I853" i="10"/>
  <c r="I852" i="10"/>
  <c r="I851" i="10"/>
  <c r="I850" i="10"/>
  <c r="I849" i="10"/>
  <c r="I848" i="10"/>
  <c r="I847" i="10"/>
  <c r="I846" i="10"/>
  <c r="I845" i="10"/>
  <c r="I844" i="10"/>
  <c r="I843" i="10"/>
  <c r="I842" i="10"/>
  <c r="I841" i="10"/>
  <c r="I840" i="10"/>
  <c r="I839" i="10"/>
  <c r="I838" i="10"/>
  <c r="I837" i="10"/>
  <c r="I836" i="10"/>
  <c r="I835" i="10"/>
  <c r="I834" i="10"/>
  <c r="I833" i="10"/>
  <c r="I832" i="10"/>
  <c r="I831" i="10"/>
  <c r="I830" i="10"/>
  <c r="I829" i="10"/>
  <c r="I828" i="10"/>
  <c r="I827" i="10"/>
  <c r="I826" i="10"/>
  <c r="I825" i="10"/>
  <c r="I824" i="10"/>
  <c r="I823" i="10"/>
  <c r="I822" i="10"/>
  <c r="I821" i="10"/>
  <c r="I820" i="10"/>
  <c r="I819" i="10"/>
  <c r="I818" i="10"/>
  <c r="I817" i="10"/>
  <c r="I816" i="10"/>
  <c r="I815" i="10"/>
  <c r="I814" i="10"/>
  <c r="I813" i="10"/>
  <c r="I812" i="10"/>
  <c r="I811" i="10"/>
  <c r="I810" i="10"/>
  <c r="I809" i="10"/>
  <c r="I808" i="10"/>
  <c r="I807" i="10"/>
  <c r="I806" i="10"/>
  <c r="I805" i="10"/>
  <c r="I804" i="10"/>
  <c r="I803" i="10"/>
  <c r="I802" i="10"/>
  <c r="I801" i="10"/>
  <c r="I800" i="10"/>
  <c r="I799" i="10"/>
  <c r="I798" i="10"/>
  <c r="I797" i="10"/>
  <c r="I796" i="10"/>
  <c r="I795" i="10"/>
  <c r="I794" i="10"/>
  <c r="I793" i="10"/>
  <c r="I792" i="10"/>
  <c r="I791" i="10"/>
  <c r="I790" i="10"/>
  <c r="I789" i="10"/>
  <c r="I788" i="10"/>
  <c r="I787" i="10"/>
  <c r="I786" i="10"/>
  <c r="I785" i="10"/>
  <c r="I784" i="10"/>
  <c r="I783" i="10"/>
  <c r="I782" i="10"/>
  <c r="I781" i="10"/>
  <c r="I780" i="10"/>
  <c r="I779" i="10"/>
  <c r="I778" i="10"/>
  <c r="I777" i="10"/>
  <c r="I776" i="10"/>
  <c r="I775" i="10"/>
  <c r="I774" i="10"/>
  <c r="I773" i="10"/>
  <c r="I772" i="10"/>
  <c r="I771" i="10"/>
  <c r="I770" i="10"/>
  <c r="I769" i="10"/>
  <c r="I768" i="10"/>
  <c r="I767" i="10"/>
  <c r="I766" i="10"/>
  <c r="I765" i="10"/>
  <c r="I764" i="10"/>
  <c r="I763" i="10"/>
  <c r="I762" i="10"/>
  <c r="I761" i="10"/>
  <c r="I760" i="10"/>
  <c r="I759" i="10"/>
  <c r="I758" i="10"/>
  <c r="I757" i="10"/>
  <c r="I756" i="10"/>
  <c r="I755" i="10"/>
  <c r="I754" i="10"/>
  <c r="I753" i="10"/>
  <c r="I752" i="10"/>
  <c r="I751" i="10"/>
  <c r="I750" i="10"/>
  <c r="I749" i="10"/>
  <c r="I748" i="10"/>
  <c r="I747" i="10"/>
  <c r="I746" i="10"/>
  <c r="I745" i="10"/>
  <c r="I744" i="10"/>
  <c r="I743" i="10"/>
  <c r="I742" i="10"/>
  <c r="I741" i="10"/>
  <c r="I740" i="10"/>
  <c r="I739" i="10"/>
  <c r="I738" i="10"/>
  <c r="I737" i="10"/>
  <c r="I736" i="10"/>
  <c r="I735" i="10"/>
  <c r="I734" i="10"/>
  <c r="I733" i="10"/>
  <c r="I732" i="10"/>
  <c r="I731" i="10"/>
  <c r="I730" i="10"/>
  <c r="I729" i="10"/>
  <c r="I728" i="10"/>
  <c r="I727" i="10"/>
  <c r="I726" i="10"/>
  <c r="I725" i="10"/>
  <c r="I724" i="10"/>
  <c r="I723" i="10"/>
  <c r="I722" i="10"/>
  <c r="I721" i="10"/>
  <c r="I720" i="10"/>
  <c r="I719" i="10"/>
  <c r="I718" i="10"/>
  <c r="I717" i="10"/>
  <c r="I716" i="10"/>
  <c r="I715" i="10"/>
  <c r="I714" i="10"/>
  <c r="I713" i="10"/>
  <c r="I712" i="10"/>
  <c r="I711" i="10"/>
  <c r="I710" i="10"/>
  <c r="I709" i="10"/>
  <c r="I708" i="10"/>
  <c r="I707" i="10"/>
  <c r="I706" i="10"/>
  <c r="I705" i="10"/>
  <c r="I704" i="10"/>
  <c r="I703" i="10"/>
  <c r="I702" i="10"/>
  <c r="I701" i="10"/>
  <c r="I700" i="10"/>
  <c r="I699" i="10"/>
  <c r="I698" i="10"/>
  <c r="I697" i="10"/>
  <c r="I696" i="10"/>
  <c r="I695" i="10"/>
  <c r="I694" i="10"/>
  <c r="I693" i="10"/>
  <c r="I692" i="10"/>
  <c r="I691" i="10"/>
  <c r="I690" i="10"/>
  <c r="I689" i="10"/>
  <c r="I688" i="10"/>
  <c r="I687" i="10"/>
  <c r="I686" i="10"/>
  <c r="I685" i="10"/>
  <c r="I684" i="10"/>
  <c r="I683" i="10"/>
  <c r="I682" i="10"/>
  <c r="I681" i="10"/>
  <c r="I680" i="10"/>
  <c r="I679" i="10"/>
  <c r="I678" i="10"/>
  <c r="I677" i="10"/>
  <c r="I676" i="10"/>
  <c r="I675" i="10"/>
  <c r="I674" i="10"/>
  <c r="I673" i="10"/>
  <c r="I672" i="10"/>
  <c r="I671" i="10"/>
  <c r="I670" i="10"/>
  <c r="I669" i="10"/>
  <c r="I668" i="10"/>
  <c r="I667" i="10"/>
  <c r="I666" i="10"/>
  <c r="I665" i="10"/>
  <c r="I664" i="10"/>
  <c r="I663" i="10"/>
  <c r="I662" i="10"/>
  <c r="I661" i="10"/>
  <c r="I660" i="10"/>
  <c r="I659" i="10"/>
  <c r="I658" i="10"/>
  <c r="I657" i="10"/>
  <c r="I656" i="10"/>
  <c r="I655" i="10"/>
  <c r="I654" i="10"/>
  <c r="I653" i="10"/>
  <c r="I652" i="10"/>
  <c r="I651" i="10"/>
  <c r="I650" i="10"/>
  <c r="I649" i="10"/>
  <c r="I648" i="10"/>
  <c r="I647" i="10"/>
  <c r="I646" i="10"/>
  <c r="I645" i="10"/>
  <c r="I644" i="10"/>
  <c r="I643" i="10"/>
  <c r="I642" i="10"/>
  <c r="I641" i="10"/>
  <c r="I640" i="10"/>
  <c r="I639" i="10"/>
  <c r="I638" i="10"/>
  <c r="I637" i="10"/>
  <c r="I636" i="10"/>
  <c r="I635" i="10"/>
  <c r="I634" i="10"/>
  <c r="I633" i="10"/>
  <c r="I632" i="10"/>
  <c r="I631" i="10"/>
  <c r="I630" i="10"/>
  <c r="I629" i="10"/>
  <c r="I628" i="10"/>
  <c r="I627" i="10"/>
  <c r="I626" i="10"/>
  <c r="I625" i="10"/>
  <c r="I624" i="10"/>
  <c r="I623" i="10"/>
  <c r="I622" i="10"/>
  <c r="I621" i="10"/>
  <c r="I620" i="10"/>
  <c r="I619" i="10"/>
  <c r="I618" i="10"/>
  <c r="I617" i="10"/>
  <c r="I616" i="10"/>
  <c r="I615" i="10"/>
  <c r="I614" i="10"/>
  <c r="I613" i="10"/>
  <c r="I612" i="10"/>
  <c r="I611" i="10"/>
  <c r="I610" i="10"/>
  <c r="I609" i="10"/>
  <c r="I608" i="10"/>
  <c r="I607" i="10"/>
  <c r="I606" i="10"/>
  <c r="I605" i="10"/>
  <c r="I604" i="10"/>
  <c r="I603" i="10"/>
  <c r="I602" i="10"/>
  <c r="I601" i="10"/>
  <c r="I600" i="10"/>
  <c r="I599" i="10"/>
  <c r="I598" i="10"/>
  <c r="I597" i="10"/>
  <c r="I596" i="10"/>
  <c r="I595" i="10"/>
  <c r="I594" i="10"/>
  <c r="I593" i="10"/>
  <c r="I592" i="10"/>
  <c r="I591" i="10"/>
  <c r="I590" i="10"/>
  <c r="I589" i="10"/>
  <c r="I588" i="10"/>
  <c r="I587" i="10"/>
  <c r="I586" i="10"/>
  <c r="I585" i="10"/>
  <c r="I584" i="10"/>
  <c r="I583" i="10"/>
  <c r="I582" i="10"/>
  <c r="I581" i="10"/>
  <c r="I580" i="10"/>
  <c r="I579" i="10"/>
  <c r="I578" i="10"/>
  <c r="I577" i="10"/>
  <c r="I576" i="10"/>
  <c r="I575" i="10"/>
  <c r="I574" i="10"/>
  <c r="I573" i="10"/>
  <c r="I572" i="10"/>
  <c r="I571" i="10"/>
  <c r="I570" i="10"/>
  <c r="I569" i="10"/>
  <c r="I568" i="10"/>
  <c r="I567" i="10"/>
  <c r="I566" i="10"/>
  <c r="I565" i="10"/>
  <c r="I564" i="10"/>
  <c r="I563" i="10"/>
  <c r="I562" i="10"/>
  <c r="I561" i="10"/>
  <c r="I560" i="10"/>
  <c r="I559" i="10"/>
  <c r="I558" i="10"/>
  <c r="I557" i="10"/>
  <c r="I556" i="10"/>
  <c r="I555" i="10"/>
  <c r="I554" i="10"/>
  <c r="I553" i="10"/>
  <c r="I552" i="10"/>
  <c r="I551" i="10"/>
  <c r="I550" i="10"/>
  <c r="I549" i="10"/>
  <c r="I548" i="10"/>
  <c r="I547" i="10"/>
  <c r="I546" i="10"/>
  <c r="I545" i="10"/>
  <c r="I544" i="10"/>
  <c r="I543" i="10"/>
  <c r="I542" i="10"/>
  <c r="I541" i="10"/>
  <c r="I540" i="10"/>
  <c r="I539" i="10"/>
  <c r="I538" i="10"/>
  <c r="I537" i="10"/>
  <c r="I536" i="10"/>
  <c r="I535" i="10"/>
  <c r="I534" i="10"/>
  <c r="I533" i="10"/>
  <c r="I532" i="10"/>
  <c r="I531" i="10"/>
  <c r="I530" i="10"/>
  <c r="I529" i="10"/>
  <c r="I528" i="10"/>
  <c r="I527" i="10"/>
  <c r="I526" i="10"/>
  <c r="I525" i="10"/>
  <c r="I524" i="10"/>
  <c r="I523" i="10"/>
  <c r="I522" i="10"/>
  <c r="I521" i="10"/>
  <c r="I520" i="10"/>
  <c r="I519" i="10"/>
  <c r="I518" i="10"/>
  <c r="I517" i="10"/>
  <c r="I516" i="10"/>
  <c r="I515" i="10"/>
  <c r="I514" i="10"/>
  <c r="I513" i="10"/>
  <c r="I512" i="10"/>
  <c r="I511" i="10"/>
  <c r="I510" i="10"/>
  <c r="I509" i="10"/>
  <c r="I508" i="10"/>
  <c r="I507" i="10"/>
  <c r="I506" i="10"/>
  <c r="I505" i="10"/>
  <c r="I504" i="10"/>
  <c r="I503" i="10"/>
  <c r="I502" i="10"/>
  <c r="I501" i="10"/>
  <c r="I500" i="10"/>
  <c r="I499" i="10"/>
  <c r="I498" i="10"/>
  <c r="I497" i="10"/>
  <c r="I496" i="10"/>
  <c r="I495" i="10"/>
  <c r="I494" i="10"/>
  <c r="I493" i="10"/>
  <c r="I492" i="10"/>
  <c r="I491" i="10"/>
  <c r="I490" i="10"/>
  <c r="I489" i="10"/>
  <c r="I488" i="10"/>
  <c r="I487" i="10"/>
  <c r="I486" i="10"/>
  <c r="I485" i="10"/>
  <c r="I484" i="10"/>
  <c r="I483" i="10"/>
  <c r="I482" i="10"/>
  <c r="I481" i="10"/>
  <c r="I480" i="10"/>
  <c r="I479" i="10"/>
  <c r="I478" i="10"/>
  <c r="I477" i="10"/>
  <c r="I476" i="10"/>
  <c r="I475" i="10"/>
  <c r="I474" i="10"/>
  <c r="I473" i="10"/>
  <c r="I472" i="10"/>
  <c r="I471" i="10"/>
  <c r="I470" i="10"/>
  <c r="I469" i="10"/>
  <c r="I468" i="10"/>
  <c r="I467" i="10"/>
  <c r="I466" i="10"/>
  <c r="I465" i="10"/>
  <c r="I464" i="10"/>
  <c r="I463" i="10"/>
  <c r="I462" i="10"/>
  <c r="I461" i="10"/>
  <c r="I460" i="10"/>
  <c r="I459" i="10"/>
  <c r="I458" i="10"/>
  <c r="I457" i="10"/>
  <c r="I456" i="10"/>
  <c r="I455" i="10"/>
  <c r="I454" i="10"/>
  <c r="I453" i="10"/>
  <c r="I452" i="10"/>
  <c r="I451" i="10"/>
  <c r="I450" i="10"/>
  <c r="I449" i="10"/>
  <c r="I448" i="10"/>
  <c r="I447" i="10"/>
  <c r="I446" i="10"/>
  <c r="I445" i="10"/>
  <c r="I444" i="10"/>
  <c r="I443" i="10"/>
  <c r="I442" i="10"/>
  <c r="I441" i="10"/>
  <c r="I440" i="10"/>
  <c r="I439" i="10"/>
  <c r="I438" i="10"/>
  <c r="I437" i="10"/>
  <c r="I436" i="10"/>
  <c r="I435" i="10"/>
  <c r="I434" i="10"/>
  <c r="I433" i="10"/>
  <c r="I432" i="10"/>
  <c r="I431" i="10"/>
  <c r="I430" i="10"/>
  <c r="I429" i="10"/>
  <c r="I428" i="10"/>
  <c r="I427" i="10"/>
  <c r="I426" i="10"/>
  <c r="I425" i="10"/>
  <c r="I424" i="10"/>
  <c r="I423" i="10"/>
  <c r="I422" i="10"/>
  <c r="I421" i="10"/>
  <c r="I420" i="10"/>
  <c r="I419" i="10"/>
  <c r="I418" i="10"/>
  <c r="I417" i="10"/>
  <c r="I416" i="10"/>
  <c r="I415" i="10"/>
  <c r="I414" i="10"/>
  <c r="I413" i="10"/>
  <c r="I412" i="10"/>
  <c r="I411" i="10"/>
  <c r="I410" i="10"/>
  <c r="I409" i="10"/>
  <c r="I408" i="10"/>
  <c r="I407" i="10"/>
  <c r="I406" i="10"/>
  <c r="I405" i="10"/>
  <c r="I404" i="10"/>
  <c r="I403" i="10"/>
  <c r="I402" i="10"/>
  <c r="I401" i="10"/>
  <c r="I400" i="10"/>
  <c r="I399" i="10"/>
  <c r="I398" i="10"/>
  <c r="I397" i="10"/>
  <c r="I396" i="10"/>
  <c r="I395" i="10"/>
  <c r="I394" i="10"/>
  <c r="I393" i="10"/>
  <c r="I392" i="10"/>
  <c r="I391" i="10"/>
  <c r="I390" i="10"/>
  <c r="I389" i="10"/>
  <c r="I388" i="10"/>
  <c r="I387" i="10"/>
  <c r="I386" i="10"/>
  <c r="I385" i="10"/>
  <c r="I384" i="10"/>
  <c r="I383" i="10"/>
  <c r="I382" i="10"/>
  <c r="I381" i="10"/>
  <c r="I380" i="10"/>
  <c r="I379" i="10"/>
  <c r="I378" i="10"/>
  <c r="I377" i="10"/>
  <c r="I376" i="10"/>
  <c r="I375" i="10"/>
  <c r="I374" i="10"/>
  <c r="I373" i="10"/>
  <c r="I372" i="10"/>
  <c r="I371" i="10"/>
  <c r="I370" i="10"/>
  <c r="I369" i="10"/>
  <c r="I368" i="10"/>
  <c r="I367" i="10"/>
  <c r="I366" i="10"/>
  <c r="I365" i="10"/>
  <c r="I364" i="10"/>
  <c r="I363" i="10"/>
  <c r="I362" i="10"/>
  <c r="I361" i="10"/>
  <c r="I360" i="10"/>
  <c r="I359" i="10"/>
  <c r="I358" i="10"/>
  <c r="I357" i="10"/>
  <c r="I356" i="10"/>
  <c r="I355" i="10"/>
  <c r="I354" i="10"/>
  <c r="I353" i="10"/>
  <c r="I352" i="10"/>
  <c r="I351" i="10"/>
  <c r="I350" i="10"/>
  <c r="I349" i="10"/>
  <c r="I348" i="10"/>
  <c r="I347" i="10"/>
  <c r="I346" i="10"/>
  <c r="I345" i="10"/>
  <c r="I344" i="10"/>
  <c r="I343" i="10"/>
  <c r="I342" i="10"/>
  <c r="I341" i="10"/>
  <c r="I340" i="10"/>
  <c r="I339" i="10"/>
  <c r="I338" i="10"/>
  <c r="I337" i="10"/>
  <c r="I336" i="10"/>
  <c r="I335" i="10"/>
  <c r="I334" i="10"/>
  <c r="I333" i="10"/>
  <c r="I332" i="10"/>
  <c r="I331" i="10"/>
  <c r="I330" i="10"/>
  <c r="I329" i="10"/>
  <c r="I328" i="10"/>
  <c r="I327" i="10"/>
  <c r="I326" i="10"/>
  <c r="I325" i="10"/>
  <c r="I324" i="10"/>
  <c r="I323" i="10"/>
  <c r="I322" i="10"/>
  <c r="I321" i="10"/>
  <c r="I320" i="10"/>
  <c r="I319" i="10"/>
  <c r="I318" i="10"/>
  <c r="I317" i="10"/>
  <c r="I316" i="10"/>
  <c r="I315" i="10"/>
  <c r="I314" i="10"/>
  <c r="I313" i="10"/>
  <c r="I312" i="10"/>
  <c r="I311" i="10"/>
  <c r="I310" i="10"/>
  <c r="I309" i="10"/>
  <c r="I308" i="10"/>
  <c r="I307" i="10"/>
  <c r="I306" i="10"/>
  <c r="I305" i="10"/>
  <c r="I304" i="10"/>
  <c r="I303" i="10"/>
  <c r="I302" i="10"/>
  <c r="I301" i="10"/>
  <c r="I300" i="10"/>
  <c r="I299" i="10"/>
  <c r="I298" i="10"/>
  <c r="I297" i="10"/>
  <c r="I296" i="10"/>
  <c r="I295" i="10"/>
  <c r="I294" i="10"/>
  <c r="I293" i="10"/>
  <c r="I292" i="10"/>
  <c r="I291" i="10"/>
  <c r="I290" i="10"/>
  <c r="I289" i="10"/>
  <c r="I288" i="10"/>
  <c r="I287" i="10"/>
  <c r="I286" i="10"/>
  <c r="I285" i="10"/>
  <c r="I284" i="10"/>
  <c r="I283" i="10"/>
  <c r="I282" i="10"/>
  <c r="I281" i="10"/>
  <c r="I280" i="10"/>
  <c r="I279" i="10"/>
  <c r="I278" i="10"/>
  <c r="I277" i="10"/>
  <c r="I276" i="10"/>
  <c r="I275" i="10"/>
  <c r="I274" i="10"/>
  <c r="I273" i="10"/>
  <c r="I272" i="10"/>
  <c r="I271" i="10"/>
  <c r="I270" i="10"/>
  <c r="I269" i="10"/>
  <c r="I268" i="10"/>
  <c r="I267" i="10"/>
  <c r="I266" i="10"/>
  <c r="I265" i="10"/>
  <c r="I264" i="10"/>
  <c r="I263" i="10"/>
  <c r="I262" i="10"/>
  <c r="I261" i="10"/>
  <c r="I260" i="10"/>
  <c r="I259" i="10"/>
  <c r="I258" i="10"/>
  <c r="I257" i="10"/>
  <c r="I256" i="10"/>
  <c r="I255" i="10"/>
  <c r="I254" i="10"/>
  <c r="I253" i="10"/>
  <c r="I252" i="10"/>
  <c r="I251" i="10"/>
  <c r="I250" i="10"/>
  <c r="I249" i="10"/>
  <c r="I248" i="10"/>
  <c r="I247" i="10"/>
  <c r="I246" i="10"/>
  <c r="I245" i="10"/>
  <c r="I244" i="10"/>
  <c r="I243" i="10"/>
  <c r="I242" i="10"/>
  <c r="I241" i="10"/>
  <c r="I240" i="10"/>
  <c r="I239" i="10"/>
  <c r="I238" i="10"/>
  <c r="I237" i="10"/>
  <c r="I236" i="10"/>
  <c r="I235" i="10"/>
  <c r="I234" i="10"/>
  <c r="I233" i="10"/>
  <c r="I232" i="10"/>
  <c r="I231" i="10"/>
  <c r="I230" i="10"/>
  <c r="I229" i="10"/>
  <c r="I228" i="10"/>
  <c r="I227" i="10"/>
  <c r="I226" i="10"/>
  <c r="I225" i="10"/>
  <c r="I224" i="10"/>
  <c r="I223" i="10"/>
  <c r="I222" i="10"/>
  <c r="I221" i="10"/>
  <c r="I220" i="10"/>
  <c r="I219" i="10"/>
  <c r="I218" i="10"/>
  <c r="I217" i="10"/>
  <c r="I216" i="10"/>
  <c r="I215" i="10"/>
  <c r="I214" i="10"/>
  <c r="I213" i="10"/>
  <c r="I212" i="10"/>
  <c r="I211" i="10"/>
  <c r="I210" i="10"/>
  <c r="I209" i="10"/>
  <c r="I208" i="10"/>
  <c r="I207" i="10"/>
  <c r="I206" i="10"/>
  <c r="I205" i="10"/>
  <c r="I204" i="10"/>
  <c r="I203" i="10"/>
  <c r="I202" i="10"/>
  <c r="I201" i="10"/>
  <c r="I200" i="10"/>
  <c r="I199" i="10"/>
  <c r="I198" i="10"/>
  <c r="I197" i="10"/>
  <c r="I196" i="10"/>
  <c r="I195" i="10"/>
  <c r="I194" i="10"/>
  <c r="I193" i="10"/>
  <c r="I192" i="10"/>
  <c r="I191" i="10"/>
  <c r="I190" i="10"/>
  <c r="I189" i="10"/>
  <c r="I188" i="10"/>
  <c r="I187" i="10"/>
  <c r="I186" i="10"/>
  <c r="I185" i="10"/>
  <c r="I184" i="10"/>
  <c r="I183" i="10"/>
  <c r="I182" i="10"/>
  <c r="I181" i="10"/>
  <c r="I180" i="10"/>
  <c r="I179" i="10"/>
  <c r="I178" i="10"/>
  <c r="I177" i="10"/>
  <c r="I176" i="10"/>
  <c r="I175" i="10"/>
  <c r="I174" i="10"/>
  <c r="I173" i="10"/>
  <c r="I172" i="10"/>
  <c r="I171" i="10"/>
  <c r="I170" i="10"/>
  <c r="I169" i="10"/>
  <c r="I168" i="10"/>
  <c r="I167" i="10"/>
  <c r="I166" i="10"/>
  <c r="I165" i="10"/>
  <c r="I164" i="10"/>
  <c r="I163" i="10"/>
  <c r="I162" i="10"/>
  <c r="I161" i="10"/>
  <c r="I160" i="10"/>
  <c r="I159" i="10"/>
  <c r="I158" i="10"/>
  <c r="I157" i="10"/>
  <c r="I156" i="10"/>
  <c r="I155" i="10"/>
  <c r="I154" i="10"/>
  <c r="I153" i="10"/>
  <c r="I152" i="10"/>
  <c r="I151" i="10"/>
  <c r="I150" i="10"/>
  <c r="I149" i="10"/>
  <c r="I148" i="10"/>
  <c r="I147" i="10"/>
  <c r="I146" i="10"/>
  <c r="I145" i="10"/>
  <c r="I144" i="10"/>
  <c r="I143" i="10"/>
  <c r="I142" i="10"/>
  <c r="I141" i="10"/>
  <c r="I140" i="10"/>
  <c r="I139" i="10"/>
  <c r="I138" i="10"/>
  <c r="I137" i="10"/>
  <c r="I136" i="10"/>
  <c r="I135" i="10"/>
  <c r="I134" i="10"/>
  <c r="I133" i="10"/>
  <c r="I132" i="10"/>
  <c r="I131" i="10"/>
  <c r="I130" i="10"/>
  <c r="I129" i="10"/>
  <c r="I128" i="10"/>
  <c r="I127" i="10"/>
  <c r="I126" i="10"/>
  <c r="I125" i="10"/>
  <c r="I124" i="10"/>
  <c r="I123" i="10"/>
  <c r="I122" i="10"/>
  <c r="I121" i="10"/>
  <c r="I120" i="10"/>
  <c r="I119" i="10"/>
  <c r="I118" i="10"/>
  <c r="I117" i="10"/>
  <c r="I116" i="10"/>
  <c r="I115" i="10"/>
  <c r="I114" i="10"/>
  <c r="I113" i="10"/>
  <c r="I112" i="10"/>
  <c r="I111" i="10"/>
  <c r="I110" i="10"/>
  <c r="I109" i="10"/>
  <c r="I108" i="10"/>
  <c r="I107" i="10"/>
  <c r="I106" i="10"/>
  <c r="I105" i="10"/>
  <c r="I104" i="10"/>
  <c r="I103" i="10"/>
  <c r="I102" i="10"/>
  <c r="I101" i="10"/>
  <c r="I100" i="10"/>
  <c r="I99" i="10"/>
  <c r="I98" i="10"/>
  <c r="I97" i="10"/>
  <c r="I96" i="10"/>
  <c r="I95" i="10"/>
  <c r="I94" i="10"/>
  <c r="I93" i="10"/>
  <c r="I92" i="10"/>
  <c r="I91" i="10"/>
  <c r="I90" i="10"/>
  <c r="I89" i="10"/>
  <c r="I88" i="10"/>
  <c r="I87" i="10"/>
  <c r="I86" i="10"/>
  <c r="I85" i="10"/>
  <c r="I84" i="10"/>
  <c r="I83" i="10"/>
  <c r="I82" i="10"/>
  <c r="I81" i="10"/>
  <c r="I80" i="10"/>
  <c r="I79" i="10"/>
  <c r="I78" i="10"/>
  <c r="I77" i="10"/>
  <c r="I76" i="10"/>
  <c r="I75" i="10"/>
  <c r="I74" i="10"/>
  <c r="I73" i="10"/>
  <c r="I72" i="10"/>
  <c r="I71" i="10"/>
  <c r="I70" i="10"/>
  <c r="I69" i="10"/>
  <c r="I68" i="10"/>
  <c r="I67" i="10"/>
  <c r="I66" i="10"/>
  <c r="I65" i="10"/>
  <c r="I64" i="10"/>
  <c r="I63" i="10"/>
  <c r="I62" i="10"/>
  <c r="I61" i="10"/>
  <c r="I60" i="10"/>
  <c r="I59" i="10"/>
  <c r="I58" i="10"/>
  <c r="I57" i="10"/>
  <c r="I56" i="10"/>
  <c r="I55" i="10"/>
  <c r="I54" i="10"/>
  <c r="I53" i="10"/>
  <c r="I52" i="10"/>
  <c r="I51" i="10"/>
  <c r="I50" i="10"/>
  <c r="I49" i="10"/>
  <c r="I48" i="10"/>
  <c r="I47" i="10"/>
  <c r="I46" i="10"/>
  <c r="I45" i="10"/>
  <c r="I44" i="10"/>
  <c r="I43" i="10"/>
  <c r="I42" i="10"/>
  <c r="I41" i="10"/>
  <c r="I40" i="10"/>
  <c r="I39" i="10"/>
  <c r="I38" i="10"/>
  <c r="I37" i="10"/>
  <c r="I36" i="10"/>
  <c r="I35" i="10"/>
  <c r="I34" i="10"/>
  <c r="I33" i="10"/>
  <c r="I32" i="10"/>
  <c r="I31" i="10"/>
  <c r="I30" i="10"/>
  <c r="I29" i="10"/>
  <c r="I28" i="10"/>
  <c r="I27" i="10"/>
  <c r="I26" i="10"/>
  <c r="I25" i="10"/>
  <c r="I24" i="10"/>
  <c r="I23" i="10"/>
  <c r="I22" i="10"/>
  <c r="I21" i="10"/>
  <c r="I20" i="10"/>
  <c r="I19" i="10"/>
  <c r="I18" i="10"/>
  <c r="I17" i="10"/>
  <c r="I16" i="10"/>
  <c r="I15" i="10"/>
  <c r="I14" i="10"/>
  <c r="I13" i="10"/>
  <c r="I12" i="10"/>
  <c r="J11" i="10"/>
  <c r="J12" i="10" s="1"/>
  <c r="I11" i="10"/>
  <c r="V1143" i="9"/>
  <c r="U1143" i="9"/>
  <c r="T1143" i="9"/>
  <c r="V1142" i="9"/>
  <c r="U1142" i="9"/>
  <c r="T1142" i="9"/>
  <c r="V1141" i="9"/>
  <c r="U1141" i="9"/>
  <c r="T1141" i="9"/>
  <c r="V1140" i="9"/>
  <c r="U1140" i="9"/>
  <c r="T1140" i="9"/>
  <c r="V1139" i="9"/>
  <c r="U1139" i="9"/>
  <c r="T1139" i="9"/>
  <c r="V1138" i="9"/>
  <c r="U1138" i="9"/>
  <c r="T1138" i="9"/>
  <c r="V1137" i="9"/>
  <c r="U1137" i="9"/>
  <c r="T1137" i="9"/>
  <c r="V1136" i="9"/>
  <c r="U1136" i="9"/>
  <c r="T1136" i="9"/>
  <c r="V1135" i="9"/>
  <c r="U1135" i="9"/>
  <c r="T1135" i="9"/>
  <c r="V1134" i="9"/>
  <c r="U1134" i="9"/>
  <c r="T1134" i="9"/>
  <c r="V1133" i="9"/>
  <c r="U1133" i="9"/>
  <c r="T1133" i="9"/>
  <c r="V1132" i="9"/>
  <c r="U1132" i="9"/>
  <c r="T1132" i="9"/>
  <c r="V1131" i="9"/>
  <c r="U1131" i="9"/>
  <c r="T1131" i="9"/>
  <c r="V1130" i="9"/>
  <c r="U1130" i="9"/>
  <c r="T1130" i="9"/>
  <c r="V1129" i="9"/>
  <c r="U1129" i="9"/>
  <c r="T1129" i="9"/>
  <c r="V1128" i="9"/>
  <c r="U1128" i="9"/>
  <c r="T1128" i="9"/>
  <c r="V1127" i="9"/>
  <c r="U1127" i="9"/>
  <c r="T1127" i="9"/>
  <c r="V1126" i="9"/>
  <c r="U1126" i="9"/>
  <c r="T1126" i="9"/>
  <c r="V1125" i="9"/>
  <c r="U1125" i="9"/>
  <c r="T1125" i="9"/>
  <c r="V1124" i="9"/>
  <c r="U1124" i="9"/>
  <c r="T1124" i="9"/>
  <c r="V1123" i="9"/>
  <c r="U1123" i="9"/>
  <c r="T1123" i="9"/>
  <c r="V1122" i="9"/>
  <c r="U1122" i="9"/>
  <c r="T1122" i="9"/>
  <c r="V1121" i="9"/>
  <c r="U1121" i="9"/>
  <c r="T1121" i="9"/>
  <c r="V1120" i="9"/>
  <c r="U1120" i="9"/>
  <c r="T1120" i="9"/>
  <c r="V1119" i="9"/>
  <c r="U1119" i="9"/>
  <c r="T1119" i="9"/>
  <c r="V1118" i="9"/>
  <c r="U1118" i="9"/>
  <c r="T1118" i="9"/>
  <c r="V1117" i="9"/>
  <c r="U1117" i="9"/>
  <c r="T1117" i="9"/>
  <c r="V1116" i="9"/>
  <c r="U1116" i="9"/>
  <c r="T1116" i="9"/>
  <c r="V1115" i="9"/>
  <c r="U1115" i="9"/>
  <c r="T1115" i="9"/>
  <c r="V1114" i="9"/>
  <c r="U1114" i="9"/>
  <c r="T1114" i="9"/>
  <c r="V1113" i="9"/>
  <c r="U1113" i="9"/>
  <c r="T1113" i="9"/>
  <c r="V1112" i="9"/>
  <c r="U1112" i="9"/>
  <c r="T1112" i="9"/>
  <c r="V1111" i="9"/>
  <c r="U1111" i="9"/>
  <c r="T1111" i="9"/>
  <c r="V1110" i="9"/>
  <c r="U1110" i="9"/>
  <c r="T1110" i="9"/>
  <c r="V1109" i="9"/>
  <c r="U1109" i="9"/>
  <c r="T1109" i="9"/>
  <c r="V1108" i="9"/>
  <c r="U1108" i="9"/>
  <c r="T1108" i="9"/>
  <c r="V1107" i="9"/>
  <c r="U1107" i="9"/>
  <c r="T1107" i="9"/>
  <c r="V1106" i="9"/>
  <c r="U1106" i="9"/>
  <c r="T1106" i="9"/>
  <c r="V1105" i="9"/>
  <c r="U1105" i="9"/>
  <c r="T1105" i="9"/>
  <c r="V1104" i="9"/>
  <c r="U1104" i="9"/>
  <c r="T1104" i="9"/>
  <c r="V1103" i="9"/>
  <c r="U1103" i="9"/>
  <c r="T1103" i="9"/>
  <c r="V1102" i="9"/>
  <c r="U1102" i="9"/>
  <c r="T1102" i="9"/>
  <c r="V1101" i="9"/>
  <c r="U1101" i="9"/>
  <c r="T1101" i="9"/>
  <c r="V1100" i="9"/>
  <c r="U1100" i="9"/>
  <c r="T1100" i="9"/>
  <c r="V1099" i="9"/>
  <c r="U1099" i="9"/>
  <c r="T1099" i="9"/>
  <c r="V1098" i="9"/>
  <c r="U1098" i="9"/>
  <c r="T1098" i="9"/>
  <c r="V1097" i="9"/>
  <c r="U1097" i="9"/>
  <c r="T1097" i="9"/>
  <c r="V1096" i="9"/>
  <c r="U1096" i="9"/>
  <c r="T1096" i="9"/>
  <c r="V1095" i="9"/>
  <c r="U1095" i="9"/>
  <c r="T1095" i="9"/>
  <c r="V1094" i="9"/>
  <c r="U1094" i="9"/>
  <c r="T1094" i="9"/>
  <c r="V1093" i="9"/>
  <c r="U1093" i="9"/>
  <c r="T1093" i="9"/>
  <c r="V1092" i="9"/>
  <c r="U1092" i="9"/>
  <c r="T1092" i="9"/>
  <c r="V1091" i="9"/>
  <c r="U1091" i="9"/>
  <c r="T1091" i="9"/>
  <c r="V1090" i="9"/>
  <c r="U1090" i="9"/>
  <c r="T1090" i="9"/>
  <c r="V1089" i="9"/>
  <c r="U1089" i="9"/>
  <c r="T1089" i="9"/>
  <c r="V1088" i="9"/>
  <c r="U1088" i="9"/>
  <c r="T1088" i="9"/>
  <c r="V1087" i="9"/>
  <c r="U1087" i="9"/>
  <c r="T1087" i="9"/>
  <c r="V1086" i="9"/>
  <c r="U1086" i="9"/>
  <c r="T1086" i="9"/>
  <c r="V1085" i="9"/>
  <c r="U1085" i="9"/>
  <c r="T1085" i="9"/>
  <c r="V1084" i="9"/>
  <c r="U1084" i="9"/>
  <c r="T1084" i="9"/>
  <c r="V1083" i="9"/>
  <c r="U1083" i="9"/>
  <c r="T1083" i="9"/>
  <c r="V1082" i="9"/>
  <c r="U1082" i="9"/>
  <c r="T1082" i="9"/>
  <c r="V1081" i="9"/>
  <c r="U1081" i="9"/>
  <c r="T1081" i="9"/>
  <c r="V1080" i="9"/>
  <c r="U1080" i="9"/>
  <c r="T1080" i="9"/>
  <c r="V1079" i="9"/>
  <c r="U1079" i="9"/>
  <c r="T1079" i="9"/>
  <c r="V1078" i="9"/>
  <c r="U1078" i="9"/>
  <c r="T1078" i="9"/>
  <c r="V1077" i="9"/>
  <c r="U1077" i="9"/>
  <c r="T1077" i="9"/>
  <c r="V1076" i="9"/>
  <c r="U1076" i="9"/>
  <c r="T1076" i="9"/>
  <c r="V1075" i="9"/>
  <c r="U1075" i="9"/>
  <c r="T1075" i="9"/>
  <c r="V1074" i="9"/>
  <c r="U1074" i="9"/>
  <c r="T1074" i="9"/>
  <c r="V1073" i="9"/>
  <c r="U1073" i="9"/>
  <c r="T1073" i="9"/>
  <c r="V1072" i="9"/>
  <c r="U1072" i="9"/>
  <c r="T1072" i="9"/>
  <c r="V1071" i="9"/>
  <c r="U1071" i="9"/>
  <c r="T1071" i="9"/>
  <c r="V1070" i="9"/>
  <c r="U1070" i="9"/>
  <c r="T1070" i="9"/>
  <c r="V1069" i="9"/>
  <c r="U1069" i="9"/>
  <c r="T1069" i="9"/>
  <c r="V1068" i="9"/>
  <c r="U1068" i="9"/>
  <c r="T1068" i="9"/>
  <c r="V1067" i="9"/>
  <c r="U1067" i="9"/>
  <c r="T1067" i="9"/>
  <c r="V1066" i="9"/>
  <c r="U1066" i="9"/>
  <c r="T1066" i="9"/>
  <c r="V1065" i="9"/>
  <c r="U1065" i="9"/>
  <c r="T1065" i="9"/>
  <c r="V1064" i="9"/>
  <c r="U1064" i="9"/>
  <c r="T1064" i="9"/>
  <c r="V1063" i="9"/>
  <c r="U1063" i="9"/>
  <c r="T1063" i="9"/>
  <c r="V1062" i="9"/>
  <c r="U1062" i="9"/>
  <c r="T1062" i="9"/>
  <c r="V1061" i="9"/>
  <c r="U1061" i="9"/>
  <c r="T1061" i="9"/>
  <c r="V1060" i="9"/>
  <c r="U1060" i="9"/>
  <c r="T1060" i="9"/>
  <c r="V1059" i="9"/>
  <c r="U1059" i="9"/>
  <c r="T1059" i="9"/>
  <c r="V1058" i="9"/>
  <c r="U1058" i="9"/>
  <c r="T1058" i="9"/>
  <c r="V1057" i="9"/>
  <c r="U1057" i="9"/>
  <c r="T1057" i="9"/>
  <c r="V1056" i="9"/>
  <c r="U1056" i="9"/>
  <c r="T1056" i="9"/>
  <c r="V1055" i="9"/>
  <c r="U1055" i="9"/>
  <c r="T1055" i="9"/>
  <c r="V1054" i="9"/>
  <c r="U1054" i="9"/>
  <c r="T1054" i="9"/>
  <c r="V1053" i="9"/>
  <c r="U1053" i="9"/>
  <c r="T1053" i="9"/>
  <c r="V1052" i="9"/>
  <c r="U1052" i="9"/>
  <c r="T1052" i="9"/>
  <c r="V1051" i="9"/>
  <c r="U1051" i="9"/>
  <c r="T1051" i="9"/>
  <c r="V1050" i="9"/>
  <c r="U1050" i="9"/>
  <c r="T1050" i="9"/>
  <c r="V1049" i="9"/>
  <c r="U1049" i="9"/>
  <c r="T1049" i="9"/>
  <c r="V1048" i="9"/>
  <c r="U1048" i="9"/>
  <c r="T1048" i="9"/>
  <c r="V1047" i="9"/>
  <c r="U1047" i="9"/>
  <c r="T1047" i="9"/>
  <c r="V1046" i="9"/>
  <c r="U1046" i="9"/>
  <c r="T1046" i="9"/>
  <c r="V1045" i="9"/>
  <c r="U1045" i="9"/>
  <c r="T1045" i="9"/>
  <c r="V1044" i="9"/>
  <c r="U1044" i="9"/>
  <c r="T1044" i="9"/>
  <c r="V1043" i="9"/>
  <c r="U1043" i="9"/>
  <c r="T1043" i="9"/>
  <c r="V1042" i="9"/>
  <c r="U1042" i="9"/>
  <c r="T1042" i="9"/>
  <c r="V1041" i="9"/>
  <c r="U1041" i="9"/>
  <c r="T1041" i="9"/>
  <c r="V1040" i="9"/>
  <c r="U1040" i="9"/>
  <c r="T1040" i="9"/>
  <c r="V1039" i="9"/>
  <c r="U1039" i="9"/>
  <c r="T1039" i="9"/>
  <c r="V1038" i="9"/>
  <c r="U1038" i="9"/>
  <c r="T1038" i="9"/>
  <c r="V1037" i="9"/>
  <c r="U1037" i="9"/>
  <c r="T1037" i="9"/>
  <c r="V1036" i="9"/>
  <c r="U1036" i="9"/>
  <c r="T1036" i="9"/>
  <c r="V1035" i="9"/>
  <c r="U1035" i="9"/>
  <c r="T1035" i="9"/>
  <c r="V1034" i="9"/>
  <c r="U1034" i="9"/>
  <c r="T1034" i="9"/>
  <c r="V1033" i="9"/>
  <c r="U1033" i="9"/>
  <c r="T1033" i="9"/>
  <c r="V1032" i="9"/>
  <c r="U1032" i="9"/>
  <c r="T1032" i="9"/>
  <c r="V1031" i="9"/>
  <c r="U1031" i="9"/>
  <c r="T1031" i="9"/>
  <c r="V1030" i="9"/>
  <c r="U1030" i="9"/>
  <c r="T1030" i="9"/>
  <c r="V1029" i="9"/>
  <c r="U1029" i="9"/>
  <c r="T1029" i="9"/>
  <c r="V1028" i="9"/>
  <c r="U1028" i="9"/>
  <c r="T1028" i="9"/>
  <c r="V1027" i="9"/>
  <c r="U1027" i="9"/>
  <c r="T1027" i="9"/>
  <c r="V1026" i="9"/>
  <c r="U1026" i="9"/>
  <c r="T1026" i="9"/>
  <c r="V1025" i="9"/>
  <c r="U1025" i="9"/>
  <c r="T1025" i="9"/>
  <c r="V1024" i="9"/>
  <c r="U1024" i="9"/>
  <c r="T1024" i="9"/>
  <c r="V1023" i="9"/>
  <c r="U1023" i="9"/>
  <c r="T1023" i="9"/>
  <c r="V1022" i="9"/>
  <c r="U1022" i="9"/>
  <c r="T1022" i="9"/>
  <c r="V1021" i="9"/>
  <c r="U1021" i="9"/>
  <c r="T1021" i="9"/>
  <c r="V1020" i="9"/>
  <c r="U1020" i="9"/>
  <c r="T1020" i="9"/>
  <c r="V1019" i="9"/>
  <c r="U1019" i="9"/>
  <c r="T1019" i="9"/>
  <c r="V1018" i="9"/>
  <c r="U1018" i="9"/>
  <c r="T1018" i="9"/>
  <c r="V1017" i="9"/>
  <c r="U1017" i="9"/>
  <c r="T1017" i="9"/>
  <c r="V1016" i="9"/>
  <c r="U1016" i="9"/>
  <c r="T1016" i="9"/>
  <c r="V1015" i="9"/>
  <c r="U1015" i="9"/>
  <c r="T1015" i="9"/>
  <c r="V1014" i="9"/>
  <c r="U1014" i="9"/>
  <c r="T1014" i="9"/>
  <c r="V1013" i="9"/>
  <c r="U1013" i="9"/>
  <c r="T1013" i="9"/>
  <c r="V1012" i="9"/>
  <c r="U1012" i="9"/>
  <c r="T1012" i="9"/>
  <c r="V1011" i="9"/>
  <c r="U1011" i="9"/>
  <c r="T1011" i="9"/>
  <c r="V1010" i="9"/>
  <c r="U1010" i="9"/>
  <c r="T1010" i="9"/>
  <c r="V1009" i="9"/>
  <c r="U1009" i="9"/>
  <c r="T1009" i="9"/>
  <c r="V1008" i="9"/>
  <c r="U1008" i="9"/>
  <c r="T1008" i="9"/>
  <c r="V1007" i="9"/>
  <c r="U1007" i="9"/>
  <c r="T1007" i="9"/>
  <c r="V1006" i="9"/>
  <c r="U1006" i="9"/>
  <c r="T1006" i="9"/>
  <c r="V1005" i="9"/>
  <c r="U1005" i="9"/>
  <c r="T1005" i="9"/>
  <c r="V1004" i="9"/>
  <c r="U1004" i="9"/>
  <c r="T1004" i="9"/>
  <c r="V1003" i="9"/>
  <c r="U1003" i="9"/>
  <c r="T1003" i="9"/>
  <c r="V1002" i="9"/>
  <c r="U1002" i="9"/>
  <c r="T1002" i="9"/>
  <c r="V1001" i="9"/>
  <c r="U1001" i="9"/>
  <c r="T1001" i="9"/>
  <c r="V1000" i="9"/>
  <c r="U1000" i="9"/>
  <c r="T1000" i="9"/>
  <c r="V999" i="9"/>
  <c r="U999" i="9"/>
  <c r="T999" i="9"/>
  <c r="V998" i="9"/>
  <c r="U998" i="9"/>
  <c r="T998" i="9"/>
  <c r="V997" i="9"/>
  <c r="U997" i="9"/>
  <c r="T997" i="9"/>
  <c r="V996" i="9"/>
  <c r="U996" i="9"/>
  <c r="T996" i="9"/>
  <c r="V995" i="9"/>
  <c r="U995" i="9"/>
  <c r="T995" i="9"/>
  <c r="V994" i="9"/>
  <c r="U994" i="9"/>
  <c r="T994" i="9"/>
  <c r="V993" i="9"/>
  <c r="U993" i="9"/>
  <c r="T993" i="9"/>
  <c r="V992" i="9"/>
  <c r="U992" i="9"/>
  <c r="T992" i="9"/>
  <c r="V991" i="9"/>
  <c r="U991" i="9"/>
  <c r="T991" i="9"/>
  <c r="V990" i="9"/>
  <c r="U990" i="9"/>
  <c r="T990" i="9"/>
  <c r="V989" i="9"/>
  <c r="U989" i="9"/>
  <c r="T989" i="9"/>
  <c r="V988" i="9"/>
  <c r="U988" i="9"/>
  <c r="T988" i="9"/>
  <c r="V987" i="9"/>
  <c r="U987" i="9"/>
  <c r="T987" i="9"/>
  <c r="V986" i="9"/>
  <c r="U986" i="9"/>
  <c r="T986" i="9"/>
  <c r="V985" i="9"/>
  <c r="U985" i="9"/>
  <c r="T985" i="9"/>
  <c r="V984" i="9"/>
  <c r="U984" i="9"/>
  <c r="T984" i="9"/>
  <c r="V983" i="9"/>
  <c r="U983" i="9"/>
  <c r="T983" i="9"/>
  <c r="V982" i="9"/>
  <c r="U982" i="9"/>
  <c r="T982" i="9"/>
  <c r="V981" i="9"/>
  <c r="U981" i="9"/>
  <c r="T981" i="9"/>
  <c r="V980" i="9"/>
  <c r="U980" i="9"/>
  <c r="T980" i="9"/>
  <c r="V979" i="9"/>
  <c r="U979" i="9"/>
  <c r="T979" i="9"/>
  <c r="V978" i="9"/>
  <c r="U978" i="9"/>
  <c r="T978" i="9"/>
  <c r="V977" i="9"/>
  <c r="U977" i="9"/>
  <c r="T977" i="9"/>
  <c r="V976" i="9"/>
  <c r="U976" i="9"/>
  <c r="T976" i="9"/>
  <c r="V975" i="9"/>
  <c r="U975" i="9"/>
  <c r="T975" i="9"/>
  <c r="V974" i="9"/>
  <c r="U974" i="9"/>
  <c r="T974" i="9"/>
  <c r="V973" i="9"/>
  <c r="U973" i="9"/>
  <c r="T973" i="9"/>
  <c r="V972" i="9"/>
  <c r="U972" i="9"/>
  <c r="T972" i="9"/>
  <c r="V971" i="9"/>
  <c r="U971" i="9"/>
  <c r="T971" i="9"/>
  <c r="V970" i="9"/>
  <c r="U970" i="9"/>
  <c r="T970" i="9"/>
  <c r="V969" i="9"/>
  <c r="U969" i="9"/>
  <c r="T969" i="9"/>
  <c r="V968" i="9"/>
  <c r="U968" i="9"/>
  <c r="T968" i="9"/>
  <c r="V967" i="9"/>
  <c r="U967" i="9"/>
  <c r="T967" i="9"/>
  <c r="V966" i="9"/>
  <c r="U966" i="9"/>
  <c r="T966" i="9"/>
  <c r="V965" i="9"/>
  <c r="U965" i="9"/>
  <c r="T965" i="9"/>
  <c r="V964" i="9"/>
  <c r="U964" i="9"/>
  <c r="T964" i="9"/>
  <c r="V963" i="9"/>
  <c r="U963" i="9"/>
  <c r="T963" i="9"/>
  <c r="V962" i="9"/>
  <c r="U962" i="9"/>
  <c r="T962" i="9"/>
  <c r="V961" i="9"/>
  <c r="U961" i="9"/>
  <c r="T961" i="9"/>
  <c r="V960" i="9"/>
  <c r="U960" i="9"/>
  <c r="T960" i="9"/>
  <c r="V959" i="9"/>
  <c r="U959" i="9"/>
  <c r="T959" i="9"/>
  <c r="V958" i="9"/>
  <c r="U958" i="9"/>
  <c r="T958" i="9"/>
  <c r="V957" i="9"/>
  <c r="U957" i="9"/>
  <c r="T957" i="9"/>
  <c r="V956" i="9"/>
  <c r="U956" i="9"/>
  <c r="T956" i="9"/>
  <c r="V955" i="9"/>
  <c r="U955" i="9"/>
  <c r="T955" i="9"/>
  <c r="V954" i="9"/>
  <c r="U954" i="9"/>
  <c r="T954" i="9"/>
  <c r="V953" i="9"/>
  <c r="U953" i="9"/>
  <c r="T953" i="9"/>
  <c r="V952" i="9"/>
  <c r="U952" i="9"/>
  <c r="T952" i="9"/>
  <c r="V951" i="9"/>
  <c r="U951" i="9"/>
  <c r="T951" i="9"/>
  <c r="V950" i="9"/>
  <c r="U950" i="9"/>
  <c r="T950" i="9"/>
  <c r="V949" i="9"/>
  <c r="U949" i="9"/>
  <c r="T949" i="9"/>
  <c r="V948" i="9"/>
  <c r="U948" i="9"/>
  <c r="T948" i="9"/>
  <c r="V947" i="9"/>
  <c r="U947" i="9"/>
  <c r="T947" i="9"/>
  <c r="V946" i="9"/>
  <c r="U946" i="9"/>
  <c r="T946" i="9"/>
  <c r="V945" i="9"/>
  <c r="U945" i="9"/>
  <c r="T945" i="9"/>
  <c r="V944" i="9"/>
  <c r="U944" i="9"/>
  <c r="T944" i="9"/>
  <c r="V943" i="9"/>
  <c r="U943" i="9"/>
  <c r="T943" i="9"/>
  <c r="V942" i="9"/>
  <c r="U942" i="9"/>
  <c r="T942" i="9"/>
  <c r="V941" i="9"/>
  <c r="U941" i="9"/>
  <c r="T941" i="9"/>
  <c r="V940" i="9"/>
  <c r="U940" i="9"/>
  <c r="T940" i="9"/>
  <c r="V939" i="9"/>
  <c r="U939" i="9"/>
  <c r="T939" i="9"/>
  <c r="V938" i="9"/>
  <c r="U938" i="9"/>
  <c r="T938" i="9"/>
  <c r="V937" i="9"/>
  <c r="U937" i="9"/>
  <c r="T937" i="9"/>
  <c r="V936" i="9"/>
  <c r="U936" i="9"/>
  <c r="T936" i="9"/>
  <c r="V935" i="9"/>
  <c r="U935" i="9"/>
  <c r="T935" i="9"/>
  <c r="V934" i="9"/>
  <c r="U934" i="9"/>
  <c r="T934" i="9"/>
  <c r="V933" i="9"/>
  <c r="U933" i="9"/>
  <c r="T933" i="9"/>
  <c r="V932" i="9"/>
  <c r="U932" i="9"/>
  <c r="T932" i="9"/>
  <c r="V931" i="9"/>
  <c r="U931" i="9"/>
  <c r="T931" i="9"/>
  <c r="V930" i="9"/>
  <c r="U930" i="9"/>
  <c r="T930" i="9"/>
  <c r="V929" i="9"/>
  <c r="U929" i="9"/>
  <c r="T929" i="9"/>
  <c r="V928" i="9"/>
  <c r="U928" i="9"/>
  <c r="T928" i="9"/>
  <c r="V927" i="9"/>
  <c r="U927" i="9"/>
  <c r="T927" i="9"/>
  <c r="V926" i="9"/>
  <c r="U926" i="9"/>
  <c r="T926" i="9"/>
  <c r="V925" i="9"/>
  <c r="U925" i="9"/>
  <c r="T925" i="9"/>
  <c r="V924" i="9"/>
  <c r="U924" i="9"/>
  <c r="T924" i="9"/>
  <c r="V923" i="9"/>
  <c r="U923" i="9"/>
  <c r="T923" i="9"/>
  <c r="V922" i="9"/>
  <c r="U922" i="9"/>
  <c r="T922" i="9"/>
  <c r="V921" i="9"/>
  <c r="U921" i="9"/>
  <c r="T921" i="9"/>
  <c r="V920" i="9"/>
  <c r="U920" i="9"/>
  <c r="T920" i="9"/>
  <c r="V919" i="9"/>
  <c r="U919" i="9"/>
  <c r="T919" i="9"/>
  <c r="V918" i="9"/>
  <c r="U918" i="9"/>
  <c r="T918" i="9"/>
  <c r="V917" i="9"/>
  <c r="U917" i="9"/>
  <c r="T917" i="9"/>
  <c r="V916" i="9"/>
  <c r="U916" i="9"/>
  <c r="T916" i="9"/>
  <c r="V915" i="9"/>
  <c r="U915" i="9"/>
  <c r="T915" i="9"/>
  <c r="V914" i="9"/>
  <c r="U914" i="9"/>
  <c r="T914" i="9"/>
  <c r="V913" i="9"/>
  <c r="U913" i="9"/>
  <c r="T913" i="9"/>
  <c r="V912" i="9"/>
  <c r="U912" i="9"/>
  <c r="T912" i="9"/>
  <c r="V911" i="9"/>
  <c r="U911" i="9"/>
  <c r="T911" i="9"/>
  <c r="V910" i="9"/>
  <c r="U910" i="9"/>
  <c r="T910" i="9"/>
  <c r="V909" i="9"/>
  <c r="U909" i="9"/>
  <c r="T909" i="9"/>
  <c r="V908" i="9"/>
  <c r="U908" i="9"/>
  <c r="T908" i="9"/>
  <c r="V907" i="9"/>
  <c r="U907" i="9"/>
  <c r="T907" i="9"/>
  <c r="V906" i="9"/>
  <c r="U906" i="9"/>
  <c r="T906" i="9"/>
  <c r="V905" i="9"/>
  <c r="U905" i="9"/>
  <c r="T905" i="9"/>
  <c r="V904" i="9"/>
  <c r="U904" i="9"/>
  <c r="T904" i="9"/>
  <c r="V903" i="9"/>
  <c r="U903" i="9"/>
  <c r="T903" i="9"/>
  <c r="V902" i="9"/>
  <c r="U902" i="9"/>
  <c r="T902" i="9"/>
  <c r="V901" i="9"/>
  <c r="U901" i="9"/>
  <c r="T901" i="9"/>
  <c r="V900" i="9"/>
  <c r="U900" i="9"/>
  <c r="T900" i="9"/>
  <c r="V899" i="9"/>
  <c r="U899" i="9"/>
  <c r="T899" i="9"/>
  <c r="V898" i="9"/>
  <c r="U898" i="9"/>
  <c r="T898" i="9"/>
  <c r="V897" i="9"/>
  <c r="U897" i="9"/>
  <c r="T897" i="9"/>
  <c r="V896" i="9"/>
  <c r="U896" i="9"/>
  <c r="T896" i="9"/>
  <c r="V895" i="9"/>
  <c r="U895" i="9"/>
  <c r="T895" i="9"/>
  <c r="V894" i="9"/>
  <c r="U894" i="9"/>
  <c r="T894" i="9"/>
  <c r="V893" i="9"/>
  <c r="U893" i="9"/>
  <c r="T893" i="9"/>
  <c r="V892" i="9"/>
  <c r="U892" i="9"/>
  <c r="T892" i="9"/>
  <c r="V891" i="9"/>
  <c r="U891" i="9"/>
  <c r="T891" i="9"/>
  <c r="V890" i="9"/>
  <c r="U890" i="9"/>
  <c r="T890" i="9"/>
  <c r="V889" i="9"/>
  <c r="U889" i="9"/>
  <c r="T889" i="9"/>
  <c r="V888" i="9"/>
  <c r="U888" i="9"/>
  <c r="T888" i="9"/>
  <c r="V887" i="9"/>
  <c r="U887" i="9"/>
  <c r="T887" i="9"/>
  <c r="V886" i="9"/>
  <c r="U886" i="9"/>
  <c r="T886" i="9"/>
  <c r="V885" i="9"/>
  <c r="U885" i="9"/>
  <c r="T885" i="9"/>
  <c r="V884" i="9"/>
  <c r="U884" i="9"/>
  <c r="T884" i="9"/>
  <c r="V883" i="9"/>
  <c r="U883" i="9"/>
  <c r="T883" i="9"/>
  <c r="V882" i="9"/>
  <c r="U882" i="9"/>
  <c r="T882" i="9"/>
  <c r="V881" i="9"/>
  <c r="U881" i="9"/>
  <c r="T881" i="9"/>
  <c r="V880" i="9"/>
  <c r="U880" i="9"/>
  <c r="T880" i="9"/>
  <c r="V879" i="9"/>
  <c r="U879" i="9"/>
  <c r="T879" i="9"/>
  <c r="V878" i="9"/>
  <c r="U878" i="9"/>
  <c r="T878" i="9"/>
  <c r="V877" i="9"/>
  <c r="U877" i="9"/>
  <c r="T877" i="9"/>
  <c r="V876" i="9"/>
  <c r="U876" i="9"/>
  <c r="T876" i="9"/>
  <c r="V875" i="9"/>
  <c r="U875" i="9"/>
  <c r="T875" i="9"/>
  <c r="V874" i="9"/>
  <c r="U874" i="9"/>
  <c r="T874" i="9"/>
  <c r="V873" i="9"/>
  <c r="U873" i="9"/>
  <c r="T873" i="9"/>
  <c r="V872" i="9"/>
  <c r="U872" i="9"/>
  <c r="T872" i="9"/>
  <c r="V871" i="9"/>
  <c r="U871" i="9"/>
  <c r="T871" i="9"/>
  <c r="V870" i="9"/>
  <c r="U870" i="9"/>
  <c r="T870" i="9"/>
  <c r="V869" i="9"/>
  <c r="U869" i="9"/>
  <c r="T869" i="9"/>
  <c r="V868" i="9"/>
  <c r="U868" i="9"/>
  <c r="T868" i="9"/>
  <c r="V867" i="9"/>
  <c r="U867" i="9"/>
  <c r="T867" i="9"/>
  <c r="V866" i="9"/>
  <c r="U866" i="9"/>
  <c r="T866" i="9"/>
  <c r="V865" i="9"/>
  <c r="U865" i="9"/>
  <c r="T865" i="9"/>
  <c r="V864" i="9"/>
  <c r="U864" i="9"/>
  <c r="T864" i="9"/>
  <c r="V863" i="9"/>
  <c r="U863" i="9"/>
  <c r="T863" i="9"/>
  <c r="V862" i="9"/>
  <c r="U862" i="9"/>
  <c r="T862" i="9"/>
  <c r="V861" i="9"/>
  <c r="U861" i="9"/>
  <c r="T861" i="9"/>
  <c r="V860" i="9"/>
  <c r="U860" i="9"/>
  <c r="T860" i="9"/>
  <c r="V859" i="9"/>
  <c r="U859" i="9"/>
  <c r="T859" i="9"/>
  <c r="V858" i="9"/>
  <c r="U858" i="9"/>
  <c r="T858" i="9"/>
  <c r="V857" i="9"/>
  <c r="U857" i="9"/>
  <c r="T857" i="9"/>
  <c r="V856" i="9"/>
  <c r="U856" i="9"/>
  <c r="T856" i="9"/>
  <c r="V855" i="9"/>
  <c r="U855" i="9"/>
  <c r="T855" i="9"/>
  <c r="V854" i="9"/>
  <c r="U854" i="9"/>
  <c r="T854" i="9"/>
  <c r="V853" i="9"/>
  <c r="U853" i="9"/>
  <c r="T853" i="9"/>
  <c r="V852" i="9"/>
  <c r="U852" i="9"/>
  <c r="T852" i="9"/>
  <c r="V851" i="9"/>
  <c r="U851" i="9"/>
  <c r="T851" i="9"/>
  <c r="V850" i="9"/>
  <c r="U850" i="9"/>
  <c r="T850" i="9"/>
  <c r="V849" i="9"/>
  <c r="U849" i="9"/>
  <c r="T849" i="9"/>
  <c r="V848" i="9"/>
  <c r="U848" i="9"/>
  <c r="T848" i="9"/>
  <c r="V847" i="9"/>
  <c r="U847" i="9"/>
  <c r="T847" i="9"/>
  <c r="V846" i="9"/>
  <c r="U846" i="9"/>
  <c r="T846" i="9"/>
  <c r="V845" i="9"/>
  <c r="U845" i="9"/>
  <c r="T845" i="9"/>
  <c r="V844" i="9"/>
  <c r="U844" i="9"/>
  <c r="T844" i="9"/>
  <c r="V843" i="9"/>
  <c r="U843" i="9"/>
  <c r="T843" i="9"/>
  <c r="V842" i="9"/>
  <c r="U842" i="9"/>
  <c r="T842" i="9"/>
  <c r="V841" i="9"/>
  <c r="U841" i="9"/>
  <c r="T841" i="9"/>
  <c r="V840" i="9"/>
  <c r="U840" i="9"/>
  <c r="T840" i="9"/>
  <c r="V839" i="9"/>
  <c r="U839" i="9"/>
  <c r="T839" i="9"/>
  <c r="V838" i="9"/>
  <c r="U838" i="9"/>
  <c r="T838" i="9"/>
  <c r="V837" i="9"/>
  <c r="U837" i="9"/>
  <c r="T837" i="9"/>
  <c r="V836" i="9"/>
  <c r="U836" i="9"/>
  <c r="T836" i="9"/>
  <c r="V835" i="9"/>
  <c r="U835" i="9"/>
  <c r="T835" i="9"/>
  <c r="V834" i="9"/>
  <c r="U834" i="9"/>
  <c r="T834" i="9"/>
  <c r="V833" i="9"/>
  <c r="U833" i="9"/>
  <c r="T833" i="9"/>
  <c r="V832" i="9"/>
  <c r="U832" i="9"/>
  <c r="T832" i="9"/>
  <c r="V831" i="9"/>
  <c r="U831" i="9"/>
  <c r="T831" i="9"/>
  <c r="V830" i="9"/>
  <c r="U830" i="9"/>
  <c r="T830" i="9"/>
  <c r="V829" i="9"/>
  <c r="U829" i="9"/>
  <c r="T829" i="9"/>
  <c r="V828" i="9"/>
  <c r="U828" i="9"/>
  <c r="T828" i="9"/>
  <c r="V827" i="9"/>
  <c r="U827" i="9"/>
  <c r="T827" i="9"/>
  <c r="V826" i="9"/>
  <c r="U826" i="9"/>
  <c r="T826" i="9"/>
  <c r="V825" i="9"/>
  <c r="U825" i="9"/>
  <c r="T825" i="9"/>
  <c r="V824" i="9"/>
  <c r="U824" i="9"/>
  <c r="T824" i="9"/>
  <c r="V823" i="9"/>
  <c r="U823" i="9"/>
  <c r="T823" i="9"/>
  <c r="V822" i="9"/>
  <c r="U822" i="9"/>
  <c r="T822" i="9"/>
  <c r="V821" i="9"/>
  <c r="U821" i="9"/>
  <c r="T821" i="9"/>
  <c r="V820" i="9"/>
  <c r="U820" i="9"/>
  <c r="T820" i="9"/>
  <c r="V819" i="9"/>
  <c r="U819" i="9"/>
  <c r="T819" i="9"/>
  <c r="V818" i="9"/>
  <c r="U818" i="9"/>
  <c r="T818" i="9"/>
  <c r="V817" i="9"/>
  <c r="U817" i="9"/>
  <c r="T817" i="9"/>
  <c r="V816" i="9"/>
  <c r="U816" i="9"/>
  <c r="T816" i="9"/>
  <c r="V815" i="9"/>
  <c r="U815" i="9"/>
  <c r="T815" i="9"/>
  <c r="V814" i="9"/>
  <c r="U814" i="9"/>
  <c r="T814" i="9"/>
  <c r="V813" i="9"/>
  <c r="U813" i="9"/>
  <c r="T813" i="9"/>
  <c r="V812" i="9"/>
  <c r="U812" i="9"/>
  <c r="T812" i="9"/>
  <c r="V811" i="9"/>
  <c r="U811" i="9"/>
  <c r="T811" i="9"/>
  <c r="V810" i="9"/>
  <c r="U810" i="9"/>
  <c r="T810" i="9"/>
  <c r="V809" i="9"/>
  <c r="U809" i="9"/>
  <c r="T809" i="9"/>
  <c r="V808" i="9"/>
  <c r="U808" i="9"/>
  <c r="T808" i="9"/>
  <c r="V807" i="9"/>
  <c r="U807" i="9"/>
  <c r="T807" i="9"/>
  <c r="V806" i="9"/>
  <c r="U806" i="9"/>
  <c r="T806" i="9"/>
  <c r="V805" i="9"/>
  <c r="U805" i="9"/>
  <c r="T805" i="9"/>
  <c r="V804" i="9"/>
  <c r="U804" i="9"/>
  <c r="T804" i="9"/>
  <c r="V803" i="9"/>
  <c r="U803" i="9"/>
  <c r="T803" i="9"/>
  <c r="V802" i="9"/>
  <c r="U802" i="9"/>
  <c r="T802" i="9"/>
  <c r="V801" i="9"/>
  <c r="U801" i="9"/>
  <c r="T801" i="9"/>
  <c r="V800" i="9"/>
  <c r="U800" i="9"/>
  <c r="T800" i="9"/>
  <c r="V799" i="9"/>
  <c r="U799" i="9"/>
  <c r="T799" i="9"/>
  <c r="V798" i="9"/>
  <c r="U798" i="9"/>
  <c r="T798" i="9"/>
  <c r="V797" i="9"/>
  <c r="U797" i="9"/>
  <c r="T797" i="9"/>
  <c r="V796" i="9"/>
  <c r="U796" i="9"/>
  <c r="T796" i="9"/>
  <c r="V795" i="9"/>
  <c r="U795" i="9"/>
  <c r="T795" i="9"/>
  <c r="V794" i="9"/>
  <c r="U794" i="9"/>
  <c r="T794" i="9"/>
  <c r="V793" i="9"/>
  <c r="U793" i="9"/>
  <c r="T793" i="9"/>
  <c r="V792" i="9"/>
  <c r="U792" i="9"/>
  <c r="T792" i="9"/>
  <c r="V791" i="9"/>
  <c r="U791" i="9"/>
  <c r="T791" i="9"/>
  <c r="V790" i="9"/>
  <c r="U790" i="9"/>
  <c r="T790" i="9"/>
  <c r="V789" i="9"/>
  <c r="U789" i="9"/>
  <c r="T789" i="9"/>
  <c r="V788" i="9"/>
  <c r="U788" i="9"/>
  <c r="T788" i="9"/>
  <c r="V787" i="9"/>
  <c r="U787" i="9"/>
  <c r="T787" i="9"/>
  <c r="V786" i="9"/>
  <c r="U786" i="9"/>
  <c r="T786" i="9"/>
  <c r="V785" i="9"/>
  <c r="U785" i="9"/>
  <c r="T785" i="9"/>
  <c r="V784" i="9"/>
  <c r="U784" i="9"/>
  <c r="T784" i="9"/>
  <c r="V783" i="9"/>
  <c r="U783" i="9"/>
  <c r="T783" i="9"/>
  <c r="V782" i="9"/>
  <c r="U782" i="9"/>
  <c r="T782" i="9"/>
  <c r="V781" i="9"/>
  <c r="U781" i="9"/>
  <c r="T781" i="9"/>
  <c r="V780" i="9"/>
  <c r="U780" i="9"/>
  <c r="T780" i="9"/>
  <c r="V779" i="9"/>
  <c r="U779" i="9"/>
  <c r="T779" i="9"/>
  <c r="V778" i="9"/>
  <c r="U778" i="9"/>
  <c r="T778" i="9"/>
  <c r="V777" i="9"/>
  <c r="U777" i="9"/>
  <c r="T777" i="9"/>
  <c r="V776" i="9"/>
  <c r="U776" i="9"/>
  <c r="T776" i="9"/>
  <c r="V775" i="9"/>
  <c r="U775" i="9"/>
  <c r="T775" i="9"/>
  <c r="V774" i="9"/>
  <c r="U774" i="9"/>
  <c r="T774" i="9"/>
  <c r="V773" i="9"/>
  <c r="U773" i="9"/>
  <c r="T773" i="9"/>
  <c r="V772" i="9"/>
  <c r="U772" i="9"/>
  <c r="T772" i="9"/>
  <c r="V771" i="9"/>
  <c r="U771" i="9"/>
  <c r="T771" i="9"/>
  <c r="V770" i="9"/>
  <c r="U770" i="9"/>
  <c r="T770" i="9"/>
  <c r="V769" i="9"/>
  <c r="U769" i="9"/>
  <c r="T769" i="9"/>
  <c r="V768" i="9"/>
  <c r="U768" i="9"/>
  <c r="T768" i="9"/>
  <c r="V767" i="9"/>
  <c r="U767" i="9"/>
  <c r="T767" i="9"/>
  <c r="V766" i="9"/>
  <c r="U766" i="9"/>
  <c r="T766" i="9"/>
  <c r="V765" i="9"/>
  <c r="U765" i="9"/>
  <c r="T765" i="9"/>
  <c r="V764" i="9"/>
  <c r="U764" i="9"/>
  <c r="T764" i="9"/>
  <c r="V763" i="9"/>
  <c r="U763" i="9"/>
  <c r="T763" i="9"/>
  <c r="V762" i="9"/>
  <c r="U762" i="9"/>
  <c r="T762" i="9"/>
  <c r="V761" i="9"/>
  <c r="U761" i="9"/>
  <c r="T761" i="9"/>
  <c r="V760" i="9"/>
  <c r="U760" i="9"/>
  <c r="T760" i="9"/>
  <c r="V759" i="9"/>
  <c r="U759" i="9"/>
  <c r="T759" i="9"/>
  <c r="V758" i="9"/>
  <c r="U758" i="9"/>
  <c r="T758" i="9"/>
  <c r="V757" i="9"/>
  <c r="U757" i="9"/>
  <c r="T757" i="9"/>
  <c r="V756" i="9"/>
  <c r="U756" i="9"/>
  <c r="T756" i="9"/>
  <c r="V755" i="9"/>
  <c r="U755" i="9"/>
  <c r="T755" i="9"/>
  <c r="V754" i="9"/>
  <c r="U754" i="9"/>
  <c r="T754" i="9"/>
  <c r="V753" i="9"/>
  <c r="U753" i="9"/>
  <c r="T753" i="9"/>
  <c r="V752" i="9"/>
  <c r="U752" i="9"/>
  <c r="T752" i="9"/>
  <c r="V751" i="9"/>
  <c r="U751" i="9"/>
  <c r="T751" i="9"/>
  <c r="V750" i="9"/>
  <c r="U750" i="9"/>
  <c r="T750" i="9"/>
  <c r="V749" i="9"/>
  <c r="U749" i="9"/>
  <c r="T749" i="9"/>
  <c r="V748" i="9"/>
  <c r="U748" i="9"/>
  <c r="T748" i="9"/>
  <c r="V747" i="9"/>
  <c r="U747" i="9"/>
  <c r="T747" i="9"/>
  <c r="V746" i="9"/>
  <c r="U746" i="9"/>
  <c r="T746" i="9"/>
  <c r="V745" i="9"/>
  <c r="U745" i="9"/>
  <c r="T745" i="9"/>
  <c r="V744" i="9"/>
  <c r="U744" i="9"/>
  <c r="T744" i="9"/>
  <c r="V743" i="9"/>
  <c r="U743" i="9"/>
  <c r="T743" i="9"/>
  <c r="V742" i="9"/>
  <c r="U742" i="9"/>
  <c r="T742" i="9"/>
  <c r="V741" i="9"/>
  <c r="U741" i="9"/>
  <c r="T741" i="9"/>
  <c r="V740" i="9"/>
  <c r="U740" i="9"/>
  <c r="T740" i="9"/>
  <c r="V739" i="9"/>
  <c r="U739" i="9"/>
  <c r="T739" i="9"/>
  <c r="V738" i="9"/>
  <c r="U738" i="9"/>
  <c r="T738" i="9"/>
  <c r="V737" i="9"/>
  <c r="U737" i="9"/>
  <c r="T737" i="9"/>
  <c r="V736" i="9"/>
  <c r="U736" i="9"/>
  <c r="T736" i="9"/>
  <c r="V735" i="9"/>
  <c r="U735" i="9"/>
  <c r="T735" i="9"/>
  <c r="V734" i="9"/>
  <c r="U734" i="9"/>
  <c r="T734" i="9"/>
  <c r="V733" i="9"/>
  <c r="U733" i="9"/>
  <c r="T733" i="9"/>
  <c r="V732" i="9"/>
  <c r="U732" i="9"/>
  <c r="T732" i="9"/>
  <c r="V731" i="9"/>
  <c r="U731" i="9"/>
  <c r="T731" i="9"/>
  <c r="V730" i="9"/>
  <c r="U730" i="9"/>
  <c r="T730" i="9"/>
  <c r="V729" i="9"/>
  <c r="U729" i="9"/>
  <c r="T729" i="9"/>
  <c r="V728" i="9"/>
  <c r="U728" i="9"/>
  <c r="T728" i="9"/>
  <c r="V727" i="9"/>
  <c r="U727" i="9"/>
  <c r="T727" i="9"/>
  <c r="V726" i="9"/>
  <c r="U726" i="9"/>
  <c r="T726" i="9"/>
  <c r="V725" i="9"/>
  <c r="U725" i="9"/>
  <c r="T725" i="9"/>
  <c r="V724" i="9"/>
  <c r="U724" i="9"/>
  <c r="T724" i="9"/>
  <c r="V723" i="9"/>
  <c r="U723" i="9"/>
  <c r="T723" i="9"/>
  <c r="V722" i="9"/>
  <c r="U722" i="9"/>
  <c r="T722" i="9"/>
  <c r="V721" i="9"/>
  <c r="U721" i="9"/>
  <c r="T721" i="9"/>
  <c r="V720" i="9"/>
  <c r="U720" i="9"/>
  <c r="T720" i="9"/>
  <c r="V719" i="9"/>
  <c r="U719" i="9"/>
  <c r="T719" i="9"/>
  <c r="V718" i="9"/>
  <c r="U718" i="9"/>
  <c r="T718" i="9"/>
  <c r="V717" i="9"/>
  <c r="U717" i="9"/>
  <c r="T717" i="9"/>
  <c r="V716" i="9"/>
  <c r="U716" i="9"/>
  <c r="T716" i="9"/>
  <c r="V715" i="9"/>
  <c r="U715" i="9"/>
  <c r="T715" i="9"/>
  <c r="V714" i="9"/>
  <c r="U714" i="9"/>
  <c r="T714" i="9"/>
  <c r="V713" i="9"/>
  <c r="U713" i="9"/>
  <c r="T713" i="9"/>
  <c r="V712" i="9"/>
  <c r="U712" i="9"/>
  <c r="T712" i="9"/>
  <c r="V711" i="9"/>
  <c r="U711" i="9"/>
  <c r="T711" i="9"/>
  <c r="V710" i="9"/>
  <c r="U710" i="9"/>
  <c r="T710" i="9"/>
  <c r="V709" i="9"/>
  <c r="U709" i="9"/>
  <c r="T709" i="9"/>
  <c r="V708" i="9"/>
  <c r="U708" i="9"/>
  <c r="T708" i="9"/>
  <c r="V707" i="9"/>
  <c r="U707" i="9"/>
  <c r="T707" i="9"/>
  <c r="V706" i="9"/>
  <c r="U706" i="9"/>
  <c r="T706" i="9"/>
  <c r="V705" i="9"/>
  <c r="U705" i="9"/>
  <c r="T705" i="9"/>
  <c r="V704" i="9"/>
  <c r="U704" i="9"/>
  <c r="T704" i="9"/>
  <c r="V703" i="9"/>
  <c r="U703" i="9"/>
  <c r="T703" i="9"/>
  <c r="V702" i="9"/>
  <c r="U702" i="9"/>
  <c r="T702" i="9"/>
  <c r="V701" i="9"/>
  <c r="U701" i="9"/>
  <c r="T701" i="9"/>
  <c r="V700" i="9"/>
  <c r="U700" i="9"/>
  <c r="T700" i="9"/>
  <c r="V699" i="9"/>
  <c r="U699" i="9"/>
  <c r="T699" i="9"/>
  <c r="V698" i="9"/>
  <c r="U698" i="9"/>
  <c r="T698" i="9"/>
  <c r="V697" i="9"/>
  <c r="U697" i="9"/>
  <c r="T697" i="9"/>
  <c r="V696" i="9"/>
  <c r="U696" i="9"/>
  <c r="T696" i="9"/>
  <c r="V695" i="9"/>
  <c r="U695" i="9"/>
  <c r="T695" i="9"/>
  <c r="V694" i="9"/>
  <c r="U694" i="9"/>
  <c r="T694" i="9"/>
  <c r="V693" i="9"/>
  <c r="U693" i="9"/>
  <c r="T693" i="9"/>
  <c r="V692" i="9"/>
  <c r="U692" i="9"/>
  <c r="T692" i="9"/>
  <c r="V691" i="9"/>
  <c r="U691" i="9"/>
  <c r="T691" i="9"/>
  <c r="V690" i="9"/>
  <c r="U690" i="9"/>
  <c r="T690" i="9"/>
  <c r="V689" i="9"/>
  <c r="U689" i="9"/>
  <c r="T689" i="9"/>
  <c r="V688" i="9"/>
  <c r="U688" i="9"/>
  <c r="T688" i="9"/>
  <c r="V687" i="9"/>
  <c r="U687" i="9"/>
  <c r="T687" i="9"/>
  <c r="V686" i="9"/>
  <c r="U686" i="9"/>
  <c r="T686" i="9"/>
  <c r="V685" i="9"/>
  <c r="U685" i="9"/>
  <c r="T685" i="9"/>
  <c r="V684" i="9"/>
  <c r="U684" i="9"/>
  <c r="T684" i="9"/>
  <c r="V683" i="9"/>
  <c r="U683" i="9"/>
  <c r="T683" i="9"/>
  <c r="V682" i="9"/>
  <c r="U682" i="9"/>
  <c r="T682" i="9"/>
  <c r="V681" i="9"/>
  <c r="U681" i="9"/>
  <c r="T681" i="9"/>
  <c r="V680" i="9"/>
  <c r="U680" i="9"/>
  <c r="T680" i="9"/>
  <c r="V679" i="9"/>
  <c r="U679" i="9"/>
  <c r="T679" i="9"/>
  <c r="V678" i="9"/>
  <c r="U678" i="9"/>
  <c r="T678" i="9"/>
  <c r="V677" i="9"/>
  <c r="U677" i="9"/>
  <c r="T677" i="9"/>
  <c r="V676" i="9"/>
  <c r="U676" i="9"/>
  <c r="T676" i="9"/>
  <c r="V675" i="9"/>
  <c r="U675" i="9"/>
  <c r="T675" i="9"/>
  <c r="V674" i="9"/>
  <c r="U674" i="9"/>
  <c r="T674" i="9"/>
  <c r="V673" i="9"/>
  <c r="U673" i="9"/>
  <c r="T673" i="9"/>
  <c r="V672" i="9"/>
  <c r="U672" i="9"/>
  <c r="T672" i="9"/>
  <c r="V671" i="9"/>
  <c r="U671" i="9"/>
  <c r="T671" i="9"/>
  <c r="V670" i="9"/>
  <c r="U670" i="9"/>
  <c r="T670" i="9"/>
  <c r="V669" i="9"/>
  <c r="U669" i="9"/>
  <c r="T669" i="9"/>
  <c r="V668" i="9"/>
  <c r="U668" i="9"/>
  <c r="T668" i="9"/>
  <c r="V667" i="9"/>
  <c r="U667" i="9"/>
  <c r="T667" i="9"/>
  <c r="V666" i="9"/>
  <c r="U666" i="9"/>
  <c r="T666" i="9"/>
  <c r="V665" i="9"/>
  <c r="U665" i="9"/>
  <c r="T665" i="9"/>
  <c r="V664" i="9"/>
  <c r="U664" i="9"/>
  <c r="T664" i="9"/>
  <c r="V663" i="9"/>
  <c r="U663" i="9"/>
  <c r="T663" i="9"/>
  <c r="V662" i="9"/>
  <c r="U662" i="9"/>
  <c r="T662" i="9"/>
  <c r="V661" i="9"/>
  <c r="U661" i="9"/>
  <c r="T661" i="9"/>
  <c r="V660" i="9"/>
  <c r="U660" i="9"/>
  <c r="T660" i="9"/>
  <c r="V659" i="9"/>
  <c r="U659" i="9"/>
  <c r="T659" i="9"/>
  <c r="V658" i="9"/>
  <c r="U658" i="9"/>
  <c r="T658" i="9"/>
  <c r="V657" i="9"/>
  <c r="U657" i="9"/>
  <c r="T657" i="9"/>
  <c r="V656" i="9"/>
  <c r="U656" i="9"/>
  <c r="T656" i="9"/>
  <c r="V655" i="9"/>
  <c r="U655" i="9"/>
  <c r="T655" i="9"/>
  <c r="V654" i="9"/>
  <c r="U654" i="9"/>
  <c r="T654" i="9"/>
  <c r="V653" i="9"/>
  <c r="U653" i="9"/>
  <c r="T653" i="9"/>
  <c r="V652" i="9"/>
  <c r="U652" i="9"/>
  <c r="T652" i="9"/>
  <c r="V651" i="9"/>
  <c r="U651" i="9"/>
  <c r="T651" i="9"/>
  <c r="V650" i="9"/>
  <c r="U650" i="9"/>
  <c r="T650" i="9"/>
  <c r="V649" i="9"/>
  <c r="U649" i="9"/>
  <c r="T649" i="9"/>
  <c r="V648" i="9"/>
  <c r="U648" i="9"/>
  <c r="T648" i="9"/>
  <c r="V647" i="9"/>
  <c r="U647" i="9"/>
  <c r="T647" i="9"/>
  <c r="V646" i="9"/>
  <c r="U646" i="9"/>
  <c r="T646" i="9"/>
  <c r="V645" i="9"/>
  <c r="U645" i="9"/>
  <c r="T645" i="9"/>
  <c r="V644" i="9"/>
  <c r="U644" i="9"/>
  <c r="T644" i="9"/>
  <c r="V643" i="9"/>
  <c r="U643" i="9"/>
  <c r="T643" i="9"/>
  <c r="V642" i="9"/>
  <c r="U642" i="9"/>
  <c r="T642" i="9"/>
  <c r="V641" i="9"/>
  <c r="U641" i="9"/>
  <c r="T641" i="9"/>
  <c r="V640" i="9"/>
  <c r="U640" i="9"/>
  <c r="T640" i="9"/>
  <c r="V639" i="9"/>
  <c r="U639" i="9"/>
  <c r="T639" i="9"/>
  <c r="V638" i="9"/>
  <c r="U638" i="9"/>
  <c r="T638" i="9"/>
  <c r="V637" i="9"/>
  <c r="U637" i="9"/>
  <c r="T637" i="9"/>
  <c r="V636" i="9"/>
  <c r="U636" i="9"/>
  <c r="T636" i="9"/>
  <c r="V635" i="9"/>
  <c r="U635" i="9"/>
  <c r="T635" i="9"/>
  <c r="V634" i="9"/>
  <c r="U634" i="9"/>
  <c r="T634" i="9"/>
  <c r="V633" i="9"/>
  <c r="U633" i="9"/>
  <c r="T633" i="9"/>
  <c r="V632" i="9"/>
  <c r="U632" i="9"/>
  <c r="T632" i="9"/>
  <c r="V631" i="9"/>
  <c r="U631" i="9"/>
  <c r="T631" i="9"/>
  <c r="V630" i="9"/>
  <c r="U630" i="9"/>
  <c r="T630" i="9"/>
  <c r="V629" i="9"/>
  <c r="U629" i="9"/>
  <c r="T629" i="9"/>
  <c r="V628" i="9"/>
  <c r="U628" i="9"/>
  <c r="T628" i="9"/>
  <c r="V627" i="9"/>
  <c r="U627" i="9"/>
  <c r="T627" i="9"/>
  <c r="V626" i="9"/>
  <c r="U626" i="9"/>
  <c r="T626" i="9"/>
  <c r="V625" i="9"/>
  <c r="U625" i="9"/>
  <c r="T625" i="9"/>
  <c r="V624" i="9"/>
  <c r="U624" i="9"/>
  <c r="T624" i="9"/>
  <c r="V623" i="9"/>
  <c r="U623" i="9"/>
  <c r="T623" i="9"/>
  <c r="V622" i="9"/>
  <c r="U622" i="9"/>
  <c r="T622" i="9"/>
  <c r="V621" i="9"/>
  <c r="U621" i="9"/>
  <c r="T621" i="9"/>
  <c r="V620" i="9"/>
  <c r="U620" i="9"/>
  <c r="T620" i="9"/>
  <c r="V619" i="9"/>
  <c r="U619" i="9"/>
  <c r="T619" i="9"/>
  <c r="V618" i="9"/>
  <c r="U618" i="9"/>
  <c r="T618" i="9"/>
  <c r="V617" i="9"/>
  <c r="U617" i="9"/>
  <c r="T617" i="9"/>
  <c r="V616" i="9"/>
  <c r="U616" i="9"/>
  <c r="T616" i="9"/>
  <c r="V615" i="9"/>
  <c r="U615" i="9"/>
  <c r="T615" i="9"/>
  <c r="V614" i="9"/>
  <c r="U614" i="9"/>
  <c r="T614" i="9"/>
  <c r="V613" i="9"/>
  <c r="U613" i="9"/>
  <c r="T613" i="9"/>
  <c r="V612" i="9"/>
  <c r="U612" i="9"/>
  <c r="T612" i="9"/>
  <c r="V611" i="9"/>
  <c r="U611" i="9"/>
  <c r="T611" i="9"/>
  <c r="V610" i="9"/>
  <c r="U610" i="9"/>
  <c r="T610" i="9"/>
  <c r="V609" i="9"/>
  <c r="U609" i="9"/>
  <c r="T609" i="9"/>
  <c r="V608" i="9"/>
  <c r="U608" i="9"/>
  <c r="T608" i="9"/>
  <c r="V607" i="9"/>
  <c r="U607" i="9"/>
  <c r="T607" i="9"/>
  <c r="V606" i="9"/>
  <c r="U606" i="9"/>
  <c r="T606" i="9"/>
  <c r="V605" i="9"/>
  <c r="U605" i="9"/>
  <c r="T605" i="9"/>
  <c r="V604" i="9"/>
  <c r="U604" i="9"/>
  <c r="T604" i="9"/>
  <c r="V603" i="9"/>
  <c r="U603" i="9"/>
  <c r="T603" i="9"/>
  <c r="V602" i="9"/>
  <c r="U602" i="9"/>
  <c r="T602" i="9"/>
  <c r="V601" i="9"/>
  <c r="U601" i="9"/>
  <c r="T601" i="9"/>
  <c r="V600" i="9"/>
  <c r="U600" i="9"/>
  <c r="T600" i="9"/>
  <c r="V599" i="9"/>
  <c r="U599" i="9"/>
  <c r="T599" i="9"/>
  <c r="V598" i="9"/>
  <c r="U598" i="9"/>
  <c r="T598" i="9"/>
  <c r="V597" i="9"/>
  <c r="U597" i="9"/>
  <c r="T597" i="9"/>
  <c r="V596" i="9"/>
  <c r="U596" i="9"/>
  <c r="T596" i="9"/>
  <c r="V595" i="9"/>
  <c r="U595" i="9"/>
  <c r="T595" i="9"/>
  <c r="V594" i="9"/>
  <c r="U594" i="9"/>
  <c r="T594" i="9"/>
  <c r="V593" i="9"/>
  <c r="U593" i="9"/>
  <c r="T593" i="9"/>
  <c r="V592" i="9"/>
  <c r="U592" i="9"/>
  <c r="T592" i="9"/>
  <c r="V591" i="9"/>
  <c r="U591" i="9"/>
  <c r="T591" i="9"/>
  <c r="V590" i="9"/>
  <c r="U590" i="9"/>
  <c r="T590" i="9"/>
  <c r="V589" i="9"/>
  <c r="U589" i="9"/>
  <c r="T589" i="9"/>
  <c r="V588" i="9"/>
  <c r="U588" i="9"/>
  <c r="T588" i="9"/>
  <c r="V587" i="9"/>
  <c r="U587" i="9"/>
  <c r="T587" i="9"/>
  <c r="V586" i="9"/>
  <c r="U586" i="9"/>
  <c r="T586" i="9"/>
  <c r="V585" i="9"/>
  <c r="U585" i="9"/>
  <c r="T585" i="9"/>
  <c r="V584" i="9"/>
  <c r="U584" i="9"/>
  <c r="T584" i="9"/>
  <c r="V583" i="9"/>
  <c r="U583" i="9"/>
  <c r="T583" i="9"/>
  <c r="V582" i="9"/>
  <c r="U582" i="9"/>
  <c r="T582" i="9"/>
  <c r="V581" i="9"/>
  <c r="U581" i="9"/>
  <c r="T581" i="9"/>
  <c r="V580" i="9"/>
  <c r="U580" i="9"/>
  <c r="T580" i="9"/>
  <c r="V579" i="9"/>
  <c r="U579" i="9"/>
  <c r="T579" i="9"/>
  <c r="V578" i="9"/>
  <c r="U578" i="9"/>
  <c r="T578" i="9"/>
  <c r="V577" i="9"/>
  <c r="U577" i="9"/>
  <c r="T577" i="9"/>
  <c r="V576" i="9"/>
  <c r="U576" i="9"/>
  <c r="T576" i="9"/>
  <c r="V575" i="9"/>
  <c r="U575" i="9"/>
  <c r="T575" i="9"/>
  <c r="V574" i="9"/>
  <c r="U574" i="9"/>
  <c r="T574" i="9"/>
  <c r="V573" i="9"/>
  <c r="U573" i="9"/>
  <c r="T573" i="9"/>
  <c r="V572" i="9"/>
  <c r="U572" i="9"/>
  <c r="T572" i="9"/>
  <c r="V571" i="9"/>
  <c r="U571" i="9"/>
  <c r="T571" i="9"/>
  <c r="V570" i="9"/>
  <c r="U570" i="9"/>
  <c r="T570" i="9"/>
  <c r="V569" i="9"/>
  <c r="U569" i="9"/>
  <c r="T569" i="9"/>
  <c r="V568" i="9"/>
  <c r="U568" i="9"/>
  <c r="T568" i="9"/>
  <c r="V567" i="9"/>
  <c r="U567" i="9"/>
  <c r="T567" i="9"/>
  <c r="V566" i="9"/>
  <c r="U566" i="9"/>
  <c r="T566" i="9"/>
  <c r="V565" i="9"/>
  <c r="U565" i="9"/>
  <c r="T565" i="9"/>
  <c r="V564" i="9"/>
  <c r="U564" i="9"/>
  <c r="T564" i="9"/>
  <c r="V563" i="9"/>
  <c r="U563" i="9"/>
  <c r="T563" i="9"/>
  <c r="V562" i="9"/>
  <c r="U562" i="9"/>
  <c r="T562" i="9"/>
  <c r="V561" i="9"/>
  <c r="U561" i="9"/>
  <c r="T561" i="9"/>
  <c r="V560" i="9"/>
  <c r="U560" i="9"/>
  <c r="T560" i="9"/>
  <c r="V559" i="9"/>
  <c r="U559" i="9"/>
  <c r="T559" i="9"/>
  <c r="V558" i="9"/>
  <c r="U558" i="9"/>
  <c r="T558" i="9"/>
  <c r="V557" i="9"/>
  <c r="U557" i="9"/>
  <c r="T557" i="9"/>
  <c r="V556" i="9"/>
  <c r="U556" i="9"/>
  <c r="T556" i="9"/>
  <c r="V555" i="9"/>
  <c r="U555" i="9"/>
  <c r="T555" i="9"/>
  <c r="V554" i="9"/>
  <c r="U554" i="9"/>
  <c r="T554" i="9"/>
  <c r="V553" i="9"/>
  <c r="U553" i="9"/>
  <c r="T553" i="9"/>
  <c r="V552" i="9"/>
  <c r="U552" i="9"/>
  <c r="T552" i="9"/>
  <c r="V551" i="9"/>
  <c r="U551" i="9"/>
  <c r="T551" i="9"/>
  <c r="V550" i="9"/>
  <c r="U550" i="9"/>
  <c r="T550" i="9"/>
  <c r="V549" i="9"/>
  <c r="U549" i="9"/>
  <c r="T549" i="9"/>
  <c r="V548" i="9"/>
  <c r="U548" i="9"/>
  <c r="T548" i="9"/>
  <c r="V547" i="9"/>
  <c r="U547" i="9"/>
  <c r="T547" i="9"/>
  <c r="V546" i="9"/>
  <c r="U546" i="9"/>
  <c r="T546" i="9"/>
  <c r="V545" i="9"/>
  <c r="U545" i="9"/>
  <c r="T545" i="9"/>
  <c r="V544" i="9"/>
  <c r="U544" i="9"/>
  <c r="T544" i="9"/>
  <c r="V543" i="9"/>
  <c r="U543" i="9"/>
  <c r="T543" i="9"/>
  <c r="V542" i="9"/>
  <c r="U542" i="9"/>
  <c r="T542" i="9"/>
  <c r="V541" i="9"/>
  <c r="U541" i="9"/>
  <c r="T541" i="9"/>
  <c r="V540" i="9"/>
  <c r="U540" i="9"/>
  <c r="T540" i="9"/>
  <c r="V539" i="9"/>
  <c r="U539" i="9"/>
  <c r="T539" i="9"/>
  <c r="V538" i="9"/>
  <c r="U538" i="9"/>
  <c r="T538" i="9"/>
  <c r="V537" i="9"/>
  <c r="U537" i="9"/>
  <c r="T537" i="9"/>
  <c r="V536" i="9"/>
  <c r="U536" i="9"/>
  <c r="T536" i="9"/>
  <c r="V535" i="9"/>
  <c r="U535" i="9"/>
  <c r="T535" i="9"/>
  <c r="V534" i="9"/>
  <c r="U534" i="9"/>
  <c r="T534" i="9"/>
  <c r="V533" i="9"/>
  <c r="U533" i="9"/>
  <c r="T533" i="9"/>
  <c r="V532" i="9"/>
  <c r="U532" i="9"/>
  <c r="T532" i="9"/>
  <c r="V531" i="9"/>
  <c r="U531" i="9"/>
  <c r="T531" i="9"/>
  <c r="V530" i="9"/>
  <c r="U530" i="9"/>
  <c r="T530" i="9"/>
  <c r="V529" i="9"/>
  <c r="U529" i="9"/>
  <c r="T529" i="9"/>
  <c r="V528" i="9"/>
  <c r="U528" i="9"/>
  <c r="T528" i="9"/>
  <c r="V527" i="9"/>
  <c r="U527" i="9"/>
  <c r="T527" i="9"/>
  <c r="V526" i="9"/>
  <c r="U526" i="9"/>
  <c r="T526" i="9"/>
  <c r="V525" i="9"/>
  <c r="U525" i="9"/>
  <c r="T525" i="9"/>
  <c r="V524" i="9"/>
  <c r="U524" i="9"/>
  <c r="T524" i="9"/>
  <c r="V523" i="9"/>
  <c r="U523" i="9"/>
  <c r="T523" i="9"/>
  <c r="V522" i="9"/>
  <c r="U522" i="9"/>
  <c r="T522" i="9"/>
  <c r="V521" i="9"/>
  <c r="U521" i="9"/>
  <c r="T521" i="9"/>
  <c r="V520" i="9"/>
  <c r="U520" i="9"/>
  <c r="T520" i="9"/>
  <c r="V519" i="9"/>
  <c r="U519" i="9"/>
  <c r="T519" i="9"/>
  <c r="V518" i="9"/>
  <c r="U518" i="9"/>
  <c r="T518" i="9"/>
  <c r="V517" i="9"/>
  <c r="U517" i="9"/>
  <c r="T517" i="9"/>
  <c r="V516" i="9"/>
  <c r="U516" i="9"/>
  <c r="T516" i="9"/>
  <c r="V515" i="9"/>
  <c r="U515" i="9"/>
  <c r="T515" i="9"/>
  <c r="V514" i="9"/>
  <c r="U514" i="9"/>
  <c r="T514" i="9"/>
  <c r="V513" i="9"/>
  <c r="U513" i="9"/>
  <c r="T513" i="9"/>
  <c r="V512" i="9"/>
  <c r="U512" i="9"/>
  <c r="T512" i="9"/>
  <c r="V511" i="9"/>
  <c r="U511" i="9"/>
  <c r="T511" i="9"/>
  <c r="V510" i="9"/>
  <c r="U510" i="9"/>
  <c r="T510" i="9"/>
  <c r="V509" i="9"/>
  <c r="U509" i="9"/>
  <c r="T509" i="9"/>
  <c r="V508" i="9"/>
  <c r="U508" i="9"/>
  <c r="T508" i="9"/>
  <c r="V507" i="9"/>
  <c r="U507" i="9"/>
  <c r="T507" i="9"/>
  <c r="V506" i="9"/>
  <c r="U506" i="9"/>
  <c r="T506" i="9"/>
  <c r="V505" i="9"/>
  <c r="U505" i="9"/>
  <c r="T505" i="9"/>
  <c r="V504" i="9"/>
  <c r="U504" i="9"/>
  <c r="T504" i="9"/>
  <c r="V503" i="9"/>
  <c r="U503" i="9"/>
  <c r="T503" i="9"/>
  <c r="V502" i="9"/>
  <c r="U502" i="9"/>
  <c r="T502" i="9"/>
  <c r="V501" i="9"/>
  <c r="U501" i="9"/>
  <c r="T501" i="9"/>
  <c r="V500" i="9"/>
  <c r="U500" i="9"/>
  <c r="T500" i="9"/>
  <c r="V499" i="9"/>
  <c r="U499" i="9"/>
  <c r="T499" i="9"/>
  <c r="V498" i="9"/>
  <c r="U498" i="9"/>
  <c r="T498" i="9"/>
  <c r="V497" i="9"/>
  <c r="U497" i="9"/>
  <c r="T497" i="9"/>
  <c r="V496" i="9"/>
  <c r="U496" i="9"/>
  <c r="T496" i="9"/>
  <c r="V495" i="9"/>
  <c r="U495" i="9"/>
  <c r="T495" i="9"/>
  <c r="V494" i="9"/>
  <c r="U494" i="9"/>
  <c r="T494" i="9"/>
  <c r="V493" i="9"/>
  <c r="U493" i="9"/>
  <c r="T493" i="9"/>
  <c r="V492" i="9"/>
  <c r="U492" i="9"/>
  <c r="T492" i="9"/>
  <c r="V491" i="9"/>
  <c r="U491" i="9"/>
  <c r="T491" i="9"/>
  <c r="V490" i="9"/>
  <c r="U490" i="9"/>
  <c r="T490" i="9"/>
  <c r="V489" i="9"/>
  <c r="U489" i="9"/>
  <c r="T489" i="9"/>
  <c r="V488" i="9"/>
  <c r="U488" i="9"/>
  <c r="T488" i="9"/>
  <c r="V487" i="9"/>
  <c r="U487" i="9"/>
  <c r="T487" i="9"/>
  <c r="V486" i="9"/>
  <c r="U486" i="9"/>
  <c r="T486" i="9"/>
  <c r="V485" i="9"/>
  <c r="U485" i="9"/>
  <c r="T485" i="9"/>
  <c r="V484" i="9"/>
  <c r="U484" i="9"/>
  <c r="T484" i="9"/>
  <c r="V483" i="9"/>
  <c r="U483" i="9"/>
  <c r="T483" i="9"/>
  <c r="V482" i="9"/>
  <c r="U482" i="9"/>
  <c r="T482" i="9"/>
  <c r="V481" i="9"/>
  <c r="U481" i="9"/>
  <c r="T481" i="9"/>
  <c r="V480" i="9"/>
  <c r="U480" i="9"/>
  <c r="T480" i="9"/>
  <c r="V479" i="9"/>
  <c r="U479" i="9"/>
  <c r="T479" i="9"/>
  <c r="V478" i="9"/>
  <c r="U478" i="9"/>
  <c r="T478" i="9"/>
  <c r="V477" i="9"/>
  <c r="U477" i="9"/>
  <c r="T477" i="9"/>
  <c r="V476" i="9"/>
  <c r="U476" i="9"/>
  <c r="T476" i="9"/>
  <c r="V475" i="9"/>
  <c r="U475" i="9"/>
  <c r="T475" i="9"/>
  <c r="V474" i="9"/>
  <c r="U474" i="9"/>
  <c r="T474" i="9"/>
  <c r="V473" i="9"/>
  <c r="U473" i="9"/>
  <c r="T473" i="9"/>
  <c r="V472" i="9"/>
  <c r="U472" i="9"/>
  <c r="T472" i="9"/>
  <c r="V471" i="9"/>
  <c r="U471" i="9"/>
  <c r="T471" i="9"/>
  <c r="V470" i="9"/>
  <c r="U470" i="9"/>
  <c r="T470" i="9"/>
  <c r="V469" i="9"/>
  <c r="U469" i="9"/>
  <c r="T469" i="9"/>
  <c r="V468" i="9"/>
  <c r="U468" i="9"/>
  <c r="T468" i="9"/>
  <c r="V467" i="9"/>
  <c r="U467" i="9"/>
  <c r="T467" i="9"/>
  <c r="V466" i="9"/>
  <c r="U466" i="9"/>
  <c r="T466" i="9"/>
  <c r="V465" i="9"/>
  <c r="U465" i="9"/>
  <c r="T465" i="9"/>
  <c r="V464" i="9"/>
  <c r="U464" i="9"/>
  <c r="T464" i="9"/>
  <c r="V463" i="9"/>
  <c r="U463" i="9"/>
  <c r="T463" i="9"/>
  <c r="V462" i="9"/>
  <c r="U462" i="9"/>
  <c r="T462" i="9"/>
  <c r="V461" i="9"/>
  <c r="U461" i="9"/>
  <c r="T461" i="9"/>
  <c r="V460" i="9"/>
  <c r="U460" i="9"/>
  <c r="T460" i="9"/>
  <c r="V459" i="9"/>
  <c r="U459" i="9"/>
  <c r="T459" i="9"/>
  <c r="V458" i="9"/>
  <c r="U458" i="9"/>
  <c r="T458" i="9"/>
  <c r="V457" i="9"/>
  <c r="U457" i="9"/>
  <c r="T457" i="9"/>
  <c r="V456" i="9"/>
  <c r="U456" i="9"/>
  <c r="T456" i="9"/>
  <c r="V455" i="9"/>
  <c r="U455" i="9"/>
  <c r="T455" i="9"/>
  <c r="V454" i="9"/>
  <c r="U454" i="9"/>
  <c r="T454" i="9"/>
  <c r="V453" i="9"/>
  <c r="U453" i="9"/>
  <c r="T453" i="9"/>
  <c r="V452" i="9"/>
  <c r="U452" i="9"/>
  <c r="T452" i="9"/>
  <c r="V451" i="9"/>
  <c r="U451" i="9"/>
  <c r="T451" i="9"/>
  <c r="V450" i="9"/>
  <c r="U450" i="9"/>
  <c r="T450" i="9"/>
  <c r="V449" i="9"/>
  <c r="U449" i="9"/>
  <c r="T449" i="9"/>
  <c r="V448" i="9"/>
  <c r="U448" i="9"/>
  <c r="T448" i="9"/>
  <c r="V447" i="9"/>
  <c r="U447" i="9"/>
  <c r="T447" i="9"/>
  <c r="V446" i="9"/>
  <c r="U446" i="9"/>
  <c r="T446" i="9"/>
  <c r="V445" i="9"/>
  <c r="U445" i="9"/>
  <c r="T445" i="9"/>
  <c r="V444" i="9"/>
  <c r="U444" i="9"/>
  <c r="T444" i="9"/>
  <c r="V443" i="9"/>
  <c r="U443" i="9"/>
  <c r="T443" i="9"/>
  <c r="V442" i="9"/>
  <c r="U442" i="9"/>
  <c r="T442" i="9"/>
  <c r="V441" i="9"/>
  <c r="U441" i="9"/>
  <c r="T441" i="9"/>
  <c r="V440" i="9"/>
  <c r="U440" i="9"/>
  <c r="T440" i="9"/>
  <c r="V439" i="9"/>
  <c r="U439" i="9"/>
  <c r="T439" i="9"/>
  <c r="V438" i="9"/>
  <c r="U438" i="9"/>
  <c r="T438" i="9"/>
  <c r="V437" i="9"/>
  <c r="U437" i="9"/>
  <c r="T437" i="9"/>
  <c r="V436" i="9"/>
  <c r="U436" i="9"/>
  <c r="T436" i="9"/>
  <c r="V435" i="9"/>
  <c r="U435" i="9"/>
  <c r="T435" i="9"/>
  <c r="V434" i="9"/>
  <c r="U434" i="9"/>
  <c r="T434" i="9"/>
  <c r="V433" i="9"/>
  <c r="U433" i="9"/>
  <c r="T433" i="9"/>
  <c r="V432" i="9"/>
  <c r="U432" i="9"/>
  <c r="T432" i="9"/>
  <c r="V431" i="9"/>
  <c r="U431" i="9"/>
  <c r="T431" i="9"/>
  <c r="V430" i="9"/>
  <c r="U430" i="9"/>
  <c r="T430" i="9"/>
  <c r="V429" i="9"/>
  <c r="U429" i="9"/>
  <c r="T429" i="9"/>
  <c r="V428" i="9"/>
  <c r="U428" i="9"/>
  <c r="T428" i="9"/>
  <c r="V427" i="9"/>
  <c r="U427" i="9"/>
  <c r="T427" i="9"/>
  <c r="V426" i="9"/>
  <c r="U426" i="9"/>
  <c r="T426" i="9"/>
  <c r="V425" i="9"/>
  <c r="U425" i="9"/>
  <c r="T425" i="9"/>
  <c r="V424" i="9"/>
  <c r="U424" i="9"/>
  <c r="T424" i="9"/>
  <c r="V423" i="9"/>
  <c r="U423" i="9"/>
  <c r="T423" i="9"/>
  <c r="V422" i="9"/>
  <c r="U422" i="9"/>
  <c r="T422" i="9"/>
  <c r="V421" i="9"/>
  <c r="U421" i="9"/>
  <c r="T421" i="9"/>
  <c r="V420" i="9"/>
  <c r="U420" i="9"/>
  <c r="T420" i="9"/>
  <c r="V419" i="9"/>
  <c r="U419" i="9"/>
  <c r="T419" i="9"/>
  <c r="V418" i="9"/>
  <c r="U418" i="9"/>
  <c r="T418" i="9"/>
  <c r="V417" i="9"/>
  <c r="U417" i="9"/>
  <c r="T417" i="9"/>
  <c r="V416" i="9"/>
  <c r="U416" i="9"/>
  <c r="T416" i="9"/>
  <c r="V415" i="9"/>
  <c r="U415" i="9"/>
  <c r="T415" i="9"/>
  <c r="V414" i="9"/>
  <c r="U414" i="9"/>
  <c r="T414" i="9"/>
  <c r="V413" i="9"/>
  <c r="U413" i="9"/>
  <c r="T413" i="9"/>
  <c r="V412" i="9"/>
  <c r="U412" i="9"/>
  <c r="T412" i="9"/>
  <c r="V411" i="9"/>
  <c r="U411" i="9"/>
  <c r="T411" i="9"/>
  <c r="V410" i="9"/>
  <c r="U410" i="9"/>
  <c r="T410" i="9"/>
  <c r="V409" i="9"/>
  <c r="U409" i="9"/>
  <c r="T409" i="9"/>
  <c r="V408" i="9"/>
  <c r="U408" i="9"/>
  <c r="T408" i="9"/>
  <c r="V407" i="9"/>
  <c r="U407" i="9"/>
  <c r="T407" i="9"/>
  <c r="V406" i="9"/>
  <c r="U406" i="9"/>
  <c r="T406" i="9"/>
  <c r="V405" i="9"/>
  <c r="U405" i="9"/>
  <c r="T405" i="9"/>
  <c r="V404" i="9"/>
  <c r="U404" i="9"/>
  <c r="T404" i="9"/>
  <c r="V403" i="9"/>
  <c r="U403" i="9"/>
  <c r="T403" i="9"/>
  <c r="V402" i="9"/>
  <c r="U402" i="9"/>
  <c r="T402" i="9"/>
  <c r="V401" i="9"/>
  <c r="U401" i="9"/>
  <c r="T401" i="9"/>
  <c r="V400" i="9"/>
  <c r="U400" i="9"/>
  <c r="T400" i="9"/>
  <c r="V399" i="9"/>
  <c r="U399" i="9"/>
  <c r="T399" i="9"/>
  <c r="V398" i="9"/>
  <c r="U398" i="9"/>
  <c r="T398" i="9"/>
  <c r="V397" i="9"/>
  <c r="U397" i="9"/>
  <c r="T397" i="9"/>
  <c r="V396" i="9"/>
  <c r="U396" i="9"/>
  <c r="T396" i="9"/>
  <c r="V395" i="9"/>
  <c r="U395" i="9"/>
  <c r="T395" i="9"/>
  <c r="V394" i="9"/>
  <c r="U394" i="9"/>
  <c r="T394" i="9"/>
  <c r="V393" i="9"/>
  <c r="U393" i="9"/>
  <c r="T393" i="9"/>
  <c r="V392" i="9"/>
  <c r="U392" i="9"/>
  <c r="T392" i="9"/>
  <c r="V391" i="9"/>
  <c r="U391" i="9"/>
  <c r="T391" i="9"/>
  <c r="V390" i="9"/>
  <c r="U390" i="9"/>
  <c r="T390" i="9"/>
  <c r="V389" i="9"/>
  <c r="U389" i="9"/>
  <c r="T389" i="9"/>
  <c r="V388" i="9"/>
  <c r="U388" i="9"/>
  <c r="T388" i="9"/>
  <c r="V387" i="9"/>
  <c r="U387" i="9"/>
  <c r="T387" i="9"/>
  <c r="V386" i="9"/>
  <c r="U386" i="9"/>
  <c r="T386" i="9"/>
  <c r="V385" i="9"/>
  <c r="U385" i="9"/>
  <c r="T385" i="9"/>
  <c r="V384" i="9"/>
  <c r="U384" i="9"/>
  <c r="T384" i="9"/>
  <c r="V383" i="9"/>
  <c r="U383" i="9"/>
  <c r="T383" i="9"/>
  <c r="V382" i="9"/>
  <c r="U382" i="9"/>
  <c r="T382" i="9"/>
  <c r="V381" i="9"/>
  <c r="U381" i="9"/>
  <c r="T381" i="9"/>
  <c r="V380" i="9"/>
  <c r="U380" i="9"/>
  <c r="T380" i="9"/>
  <c r="V379" i="9"/>
  <c r="U379" i="9"/>
  <c r="T379" i="9"/>
  <c r="V378" i="9"/>
  <c r="U378" i="9"/>
  <c r="T378" i="9"/>
  <c r="V377" i="9"/>
  <c r="U377" i="9"/>
  <c r="T377" i="9"/>
  <c r="V376" i="9"/>
  <c r="U376" i="9"/>
  <c r="T376" i="9"/>
  <c r="V375" i="9"/>
  <c r="U375" i="9"/>
  <c r="T375" i="9"/>
  <c r="V374" i="9"/>
  <c r="U374" i="9"/>
  <c r="T374" i="9"/>
  <c r="V373" i="9"/>
  <c r="U373" i="9"/>
  <c r="T373" i="9"/>
  <c r="V372" i="9"/>
  <c r="U372" i="9"/>
  <c r="T372" i="9"/>
  <c r="V371" i="9"/>
  <c r="U371" i="9"/>
  <c r="T371" i="9"/>
  <c r="V370" i="9"/>
  <c r="U370" i="9"/>
  <c r="T370" i="9"/>
  <c r="V369" i="9"/>
  <c r="U369" i="9"/>
  <c r="T369" i="9"/>
  <c r="V368" i="9"/>
  <c r="U368" i="9"/>
  <c r="T368" i="9"/>
  <c r="V367" i="9"/>
  <c r="U367" i="9"/>
  <c r="T367" i="9"/>
  <c r="V366" i="9"/>
  <c r="U366" i="9"/>
  <c r="T366" i="9"/>
  <c r="V365" i="9"/>
  <c r="U365" i="9"/>
  <c r="T365" i="9"/>
  <c r="V364" i="9"/>
  <c r="U364" i="9"/>
  <c r="T364" i="9"/>
  <c r="V363" i="9"/>
  <c r="U363" i="9"/>
  <c r="T363" i="9"/>
  <c r="V362" i="9"/>
  <c r="U362" i="9"/>
  <c r="T362" i="9"/>
  <c r="V361" i="9"/>
  <c r="U361" i="9"/>
  <c r="T361" i="9"/>
  <c r="V360" i="9"/>
  <c r="U360" i="9"/>
  <c r="T360" i="9"/>
  <c r="V359" i="9"/>
  <c r="U359" i="9"/>
  <c r="T359" i="9"/>
  <c r="V358" i="9"/>
  <c r="U358" i="9"/>
  <c r="T358" i="9"/>
  <c r="V357" i="9"/>
  <c r="U357" i="9"/>
  <c r="T357" i="9"/>
  <c r="V356" i="9"/>
  <c r="U356" i="9"/>
  <c r="T356" i="9"/>
  <c r="V355" i="9"/>
  <c r="U355" i="9"/>
  <c r="T355" i="9"/>
  <c r="V354" i="9"/>
  <c r="U354" i="9"/>
  <c r="T354" i="9"/>
  <c r="V353" i="9"/>
  <c r="U353" i="9"/>
  <c r="T353" i="9"/>
  <c r="V352" i="9"/>
  <c r="U352" i="9"/>
  <c r="T352" i="9"/>
  <c r="V351" i="9"/>
  <c r="U351" i="9"/>
  <c r="T351" i="9"/>
  <c r="V350" i="9"/>
  <c r="U350" i="9"/>
  <c r="T350" i="9"/>
  <c r="V349" i="9"/>
  <c r="U349" i="9"/>
  <c r="T349" i="9"/>
  <c r="V348" i="9"/>
  <c r="U348" i="9"/>
  <c r="T348" i="9"/>
  <c r="V347" i="9"/>
  <c r="U347" i="9"/>
  <c r="T347" i="9"/>
  <c r="V346" i="9"/>
  <c r="U346" i="9"/>
  <c r="T346" i="9"/>
  <c r="V345" i="9"/>
  <c r="U345" i="9"/>
  <c r="T345" i="9"/>
  <c r="V344" i="9"/>
  <c r="U344" i="9"/>
  <c r="T344" i="9"/>
  <c r="V343" i="9"/>
  <c r="U343" i="9"/>
  <c r="T343" i="9"/>
  <c r="V342" i="9"/>
  <c r="U342" i="9"/>
  <c r="T342" i="9"/>
  <c r="V341" i="9"/>
  <c r="U341" i="9"/>
  <c r="T341" i="9"/>
  <c r="V340" i="9"/>
  <c r="U340" i="9"/>
  <c r="T340" i="9"/>
  <c r="V339" i="9"/>
  <c r="U339" i="9"/>
  <c r="T339" i="9"/>
  <c r="V338" i="9"/>
  <c r="U338" i="9"/>
  <c r="T338" i="9"/>
  <c r="V337" i="9"/>
  <c r="U337" i="9"/>
  <c r="T337" i="9"/>
  <c r="V336" i="9"/>
  <c r="U336" i="9"/>
  <c r="T336" i="9"/>
  <c r="V335" i="9"/>
  <c r="U335" i="9"/>
  <c r="T335" i="9"/>
  <c r="V334" i="9"/>
  <c r="U334" i="9"/>
  <c r="T334" i="9"/>
  <c r="V333" i="9"/>
  <c r="U333" i="9"/>
  <c r="T333" i="9"/>
  <c r="V332" i="9"/>
  <c r="U332" i="9"/>
  <c r="T332" i="9"/>
  <c r="V331" i="9"/>
  <c r="U331" i="9"/>
  <c r="T331" i="9"/>
  <c r="V330" i="9"/>
  <c r="U330" i="9"/>
  <c r="T330" i="9"/>
  <c r="V329" i="9"/>
  <c r="U329" i="9"/>
  <c r="T329" i="9"/>
  <c r="V328" i="9"/>
  <c r="U328" i="9"/>
  <c r="T328" i="9"/>
  <c r="V327" i="9"/>
  <c r="U327" i="9"/>
  <c r="T327" i="9"/>
  <c r="V326" i="9"/>
  <c r="U326" i="9"/>
  <c r="T326" i="9"/>
  <c r="V325" i="9"/>
  <c r="U325" i="9"/>
  <c r="T325" i="9"/>
  <c r="V324" i="9"/>
  <c r="U324" i="9"/>
  <c r="T324" i="9"/>
  <c r="V323" i="9"/>
  <c r="U323" i="9"/>
  <c r="T323" i="9"/>
  <c r="V322" i="9"/>
  <c r="U322" i="9"/>
  <c r="T322" i="9"/>
  <c r="V321" i="9"/>
  <c r="U321" i="9"/>
  <c r="T321" i="9"/>
  <c r="V320" i="9"/>
  <c r="U320" i="9"/>
  <c r="T320" i="9"/>
  <c r="V319" i="9"/>
  <c r="U319" i="9"/>
  <c r="T319" i="9"/>
  <c r="V318" i="9"/>
  <c r="U318" i="9"/>
  <c r="T318" i="9"/>
  <c r="V317" i="9"/>
  <c r="U317" i="9"/>
  <c r="T317" i="9"/>
  <c r="V316" i="9"/>
  <c r="U316" i="9"/>
  <c r="T316" i="9"/>
  <c r="V315" i="9"/>
  <c r="U315" i="9"/>
  <c r="T315" i="9"/>
  <c r="V314" i="9"/>
  <c r="U314" i="9"/>
  <c r="T314" i="9"/>
  <c r="V313" i="9"/>
  <c r="U313" i="9"/>
  <c r="T313" i="9"/>
  <c r="V312" i="9"/>
  <c r="U312" i="9"/>
  <c r="T312" i="9"/>
  <c r="V311" i="9"/>
  <c r="U311" i="9"/>
  <c r="T311" i="9"/>
  <c r="V310" i="9"/>
  <c r="U310" i="9"/>
  <c r="T310" i="9"/>
  <c r="V309" i="9"/>
  <c r="U309" i="9"/>
  <c r="T309" i="9"/>
  <c r="V308" i="9"/>
  <c r="U308" i="9"/>
  <c r="T308" i="9"/>
  <c r="V307" i="9"/>
  <c r="U307" i="9"/>
  <c r="T307" i="9"/>
  <c r="V306" i="9"/>
  <c r="U306" i="9"/>
  <c r="T306" i="9"/>
  <c r="V305" i="9"/>
  <c r="U305" i="9"/>
  <c r="T305" i="9"/>
  <c r="V304" i="9"/>
  <c r="U304" i="9"/>
  <c r="T304" i="9"/>
  <c r="V303" i="9"/>
  <c r="U303" i="9"/>
  <c r="T303" i="9"/>
  <c r="V302" i="9"/>
  <c r="U302" i="9"/>
  <c r="T302" i="9"/>
  <c r="V301" i="9"/>
  <c r="U301" i="9"/>
  <c r="T301" i="9"/>
  <c r="V300" i="9"/>
  <c r="U300" i="9"/>
  <c r="T300" i="9"/>
  <c r="V299" i="9"/>
  <c r="U299" i="9"/>
  <c r="T299" i="9"/>
  <c r="V298" i="9"/>
  <c r="U298" i="9"/>
  <c r="T298" i="9"/>
  <c r="V297" i="9"/>
  <c r="U297" i="9"/>
  <c r="T297" i="9"/>
  <c r="V296" i="9"/>
  <c r="U296" i="9"/>
  <c r="T296" i="9"/>
  <c r="V295" i="9"/>
  <c r="U295" i="9"/>
  <c r="T295" i="9"/>
  <c r="V294" i="9"/>
  <c r="U294" i="9"/>
  <c r="T294" i="9"/>
  <c r="V293" i="9"/>
  <c r="U293" i="9"/>
  <c r="T293" i="9"/>
  <c r="V292" i="9"/>
  <c r="U292" i="9"/>
  <c r="T292" i="9"/>
  <c r="V291" i="9"/>
  <c r="U291" i="9"/>
  <c r="T291" i="9"/>
  <c r="V290" i="9"/>
  <c r="U290" i="9"/>
  <c r="T290" i="9"/>
  <c r="V289" i="9"/>
  <c r="U289" i="9"/>
  <c r="T289" i="9"/>
  <c r="V288" i="9"/>
  <c r="U288" i="9"/>
  <c r="T288" i="9"/>
  <c r="V287" i="9"/>
  <c r="U287" i="9"/>
  <c r="T287" i="9"/>
  <c r="V286" i="9"/>
  <c r="U286" i="9"/>
  <c r="T286" i="9"/>
  <c r="V285" i="9"/>
  <c r="U285" i="9"/>
  <c r="T285" i="9"/>
  <c r="V284" i="9"/>
  <c r="U284" i="9"/>
  <c r="T284" i="9"/>
  <c r="V283" i="9"/>
  <c r="U283" i="9"/>
  <c r="T283" i="9"/>
  <c r="V282" i="9"/>
  <c r="U282" i="9"/>
  <c r="T282" i="9"/>
  <c r="V281" i="9"/>
  <c r="U281" i="9"/>
  <c r="T281" i="9"/>
  <c r="V280" i="9"/>
  <c r="U280" i="9"/>
  <c r="T280" i="9"/>
  <c r="V279" i="9"/>
  <c r="U279" i="9"/>
  <c r="T279" i="9"/>
  <c r="V278" i="9"/>
  <c r="U278" i="9"/>
  <c r="T278" i="9"/>
  <c r="V277" i="9"/>
  <c r="U277" i="9"/>
  <c r="T277" i="9"/>
  <c r="V276" i="9"/>
  <c r="U276" i="9"/>
  <c r="T276" i="9"/>
  <c r="V275" i="9"/>
  <c r="U275" i="9"/>
  <c r="T275" i="9"/>
  <c r="V274" i="9"/>
  <c r="U274" i="9"/>
  <c r="T274" i="9"/>
  <c r="V273" i="9"/>
  <c r="U273" i="9"/>
  <c r="T273" i="9"/>
  <c r="V272" i="9"/>
  <c r="U272" i="9"/>
  <c r="T272" i="9"/>
  <c r="V271" i="9"/>
  <c r="U271" i="9"/>
  <c r="T271" i="9"/>
  <c r="V270" i="9"/>
  <c r="U270" i="9"/>
  <c r="T270" i="9"/>
  <c r="V269" i="9"/>
  <c r="U269" i="9"/>
  <c r="T269" i="9"/>
  <c r="V268" i="9"/>
  <c r="U268" i="9"/>
  <c r="T268" i="9"/>
  <c r="V267" i="9"/>
  <c r="U267" i="9"/>
  <c r="T267" i="9"/>
  <c r="V266" i="9"/>
  <c r="U266" i="9"/>
  <c r="T266" i="9"/>
  <c r="V265" i="9"/>
  <c r="U265" i="9"/>
  <c r="T265" i="9"/>
  <c r="V264" i="9"/>
  <c r="U264" i="9"/>
  <c r="T264" i="9"/>
  <c r="V263" i="9"/>
  <c r="U263" i="9"/>
  <c r="T263" i="9"/>
  <c r="V262" i="9"/>
  <c r="U262" i="9"/>
  <c r="T262" i="9"/>
  <c r="V261" i="9"/>
  <c r="U261" i="9"/>
  <c r="T261" i="9"/>
  <c r="V260" i="9"/>
  <c r="U260" i="9"/>
  <c r="T260" i="9"/>
  <c r="V259" i="9"/>
  <c r="U259" i="9"/>
  <c r="T259" i="9"/>
  <c r="V258" i="9"/>
  <c r="U258" i="9"/>
  <c r="T258" i="9"/>
  <c r="V257" i="9"/>
  <c r="U257" i="9"/>
  <c r="T257" i="9"/>
  <c r="V256" i="9"/>
  <c r="U256" i="9"/>
  <c r="T256" i="9"/>
  <c r="V255" i="9"/>
  <c r="U255" i="9"/>
  <c r="T255" i="9"/>
  <c r="V254" i="9"/>
  <c r="U254" i="9"/>
  <c r="T254" i="9"/>
  <c r="V253" i="9"/>
  <c r="U253" i="9"/>
  <c r="T253" i="9"/>
  <c r="V252" i="9"/>
  <c r="U252" i="9"/>
  <c r="T252" i="9"/>
  <c r="V251" i="9"/>
  <c r="U251" i="9"/>
  <c r="T251" i="9"/>
  <c r="V250" i="9"/>
  <c r="U250" i="9"/>
  <c r="T250" i="9"/>
  <c r="V249" i="9"/>
  <c r="U249" i="9"/>
  <c r="T249" i="9"/>
  <c r="V248" i="9"/>
  <c r="U248" i="9"/>
  <c r="T248" i="9"/>
  <c r="V247" i="9"/>
  <c r="U247" i="9"/>
  <c r="T247" i="9"/>
  <c r="V246" i="9"/>
  <c r="U246" i="9"/>
  <c r="T246" i="9"/>
  <c r="V245" i="9"/>
  <c r="U245" i="9"/>
  <c r="T245" i="9"/>
  <c r="V244" i="9"/>
  <c r="U244" i="9"/>
  <c r="T244" i="9"/>
  <c r="V243" i="9"/>
  <c r="U243" i="9"/>
  <c r="T243" i="9"/>
  <c r="V242" i="9"/>
  <c r="U242" i="9"/>
  <c r="T242" i="9"/>
  <c r="V241" i="9"/>
  <c r="U241" i="9"/>
  <c r="T241" i="9"/>
  <c r="V240" i="9"/>
  <c r="U240" i="9"/>
  <c r="T240" i="9"/>
  <c r="V239" i="9"/>
  <c r="U239" i="9"/>
  <c r="T239" i="9"/>
  <c r="V238" i="9"/>
  <c r="U238" i="9"/>
  <c r="T238" i="9"/>
  <c r="V237" i="9"/>
  <c r="U237" i="9"/>
  <c r="T237" i="9"/>
  <c r="V236" i="9"/>
  <c r="U236" i="9"/>
  <c r="T236" i="9"/>
  <c r="V235" i="9"/>
  <c r="U235" i="9"/>
  <c r="T235" i="9"/>
  <c r="V234" i="9"/>
  <c r="U234" i="9"/>
  <c r="T234" i="9"/>
  <c r="V233" i="9"/>
  <c r="U233" i="9"/>
  <c r="T233" i="9"/>
  <c r="V232" i="9"/>
  <c r="U232" i="9"/>
  <c r="T232" i="9"/>
  <c r="V231" i="9"/>
  <c r="U231" i="9"/>
  <c r="T231" i="9"/>
  <c r="V230" i="9"/>
  <c r="U230" i="9"/>
  <c r="T230" i="9"/>
  <c r="V229" i="9"/>
  <c r="U229" i="9"/>
  <c r="T229" i="9"/>
  <c r="V228" i="9"/>
  <c r="U228" i="9"/>
  <c r="T228" i="9"/>
  <c r="V227" i="9"/>
  <c r="U227" i="9"/>
  <c r="T227" i="9"/>
  <c r="V226" i="9"/>
  <c r="U226" i="9"/>
  <c r="T226" i="9"/>
  <c r="V225" i="9"/>
  <c r="U225" i="9"/>
  <c r="T225" i="9"/>
  <c r="V224" i="9"/>
  <c r="U224" i="9"/>
  <c r="T224" i="9"/>
  <c r="V223" i="9"/>
  <c r="U223" i="9"/>
  <c r="T223" i="9"/>
  <c r="V222" i="9"/>
  <c r="U222" i="9"/>
  <c r="T222" i="9"/>
  <c r="V221" i="9"/>
  <c r="U221" i="9"/>
  <c r="T221" i="9"/>
  <c r="V220" i="9"/>
  <c r="U220" i="9"/>
  <c r="T220" i="9"/>
  <c r="V219" i="9"/>
  <c r="U219" i="9"/>
  <c r="T219" i="9"/>
  <c r="V218" i="9"/>
  <c r="U218" i="9"/>
  <c r="T218" i="9"/>
  <c r="V217" i="9"/>
  <c r="U217" i="9"/>
  <c r="T217" i="9"/>
  <c r="V216" i="9"/>
  <c r="U216" i="9"/>
  <c r="T216" i="9"/>
  <c r="V215" i="9"/>
  <c r="U215" i="9"/>
  <c r="T215" i="9"/>
  <c r="V214" i="9"/>
  <c r="U214" i="9"/>
  <c r="T214" i="9"/>
  <c r="V213" i="9"/>
  <c r="U213" i="9"/>
  <c r="T213" i="9"/>
  <c r="V212" i="9"/>
  <c r="U212" i="9"/>
  <c r="T212" i="9"/>
  <c r="V211" i="9"/>
  <c r="U211" i="9"/>
  <c r="T211" i="9"/>
  <c r="V210" i="9"/>
  <c r="U210" i="9"/>
  <c r="T210" i="9"/>
  <c r="V209" i="9"/>
  <c r="U209" i="9"/>
  <c r="T209" i="9"/>
  <c r="V208" i="9"/>
  <c r="U208" i="9"/>
  <c r="T208" i="9"/>
  <c r="V207" i="9"/>
  <c r="U207" i="9"/>
  <c r="T207" i="9"/>
  <c r="V206" i="9"/>
  <c r="U206" i="9"/>
  <c r="T206" i="9"/>
  <c r="V205" i="9"/>
  <c r="U205" i="9"/>
  <c r="T205" i="9"/>
  <c r="V204" i="9"/>
  <c r="U204" i="9"/>
  <c r="T204" i="9"/>
  <c r="V203" i="9"/>
  <c r="U203" i="9"/>
  <c r="T203" i="9"/>
  <c r="V202" i="9"/>
  <c r="U202" i="9"/>
  <c r="T202" i="9"/>
  <c r="V201" i="9"/>
  <c r="U201" i="9"/>
  <c r="T201" i="9"/>
  <c r="V200" i="9"/>
  <c r="U200" i="9"/>
  <c r="T200" i="9"/>
  <c r="V199" i="9"/>
  <c r="U199" i="9"/>
  <c r="T199" i="9"/>
  <c r="V198" i="9"/>
  <c r="U198" i="9"/>
  <c r="T198" i="9"/>
  <c r="V197" i="9"/>
  <c r="U197" i="9"/>
  <c r="T197" i="9"/>
  <c r="V196" i="9"/>
  <c r="U196" i="9"/>
  <c r="T196" i="9"/>
  <c r="V195" i="9"/>
  <c r="U195" i="9"/>
  <c r="T195" i="9"/>
  <c r="V194" i="9"/>
  <c r="U194" i="9"/>
  <c r="T194" i="9"/>
  <c r="V193" i="9"/>
  <c r="U193" i="9"/>
  <c r="T193" i="9"/>
  <c r="V192" i="9"/>
  <c r="U192" i="9"/>
  <c r="T192" i="9"/>
  <c r="V191" i="9"/>
  <c r="U191" i="9"/>
  <c r="T191" i="9"/>
  <c r="V190" i="9"/>
  <c r="U190" i="9"/>
  <c r="T190" i="9"/>
  <c r="V189" i="9"/>
  <c r="U189" i="9"/>
  <c r="T189" i="9"/>
  <c r="V188" i="9"/>
  <c r="U188" i="9"/>
  <c r="T188" i="9"/>
  <c r="V187" i="9"/>
  <c r="U187" i="9"/>
  <c r="T187" i="9"/>
  <c r="V186" i="9"/>
  <c r="U186" i="9"/>
  <c r="T186" i="9"/>
  <c r="V185" i="9"/>
  <c r="U185" i="9"/>
  <c r="T185" i="9"/>
  <c r="V184" i="9"/>
  <c r="U184" i="9"/>
  <c r="T184" i="9"/>
  <c r="V183" i="9"/>
  <c r="U183" i="9"/>
  <c r="T183" i="9"/>
  <c r="V182" i="9"/>
  <c r="U182" i="9"/>
  <c r="T182" i="9"/>
  <c r="V181" i="9"/>
  <c r="U181" i="9"/>
  <c r="T181" i="9"/>
  <c r="V180" i="9"/>
  <c r="U180" i="9"/>
  <c r="T180" i="9"/>
  <c r="V179" i="9"/>
  <c r="U179" i="9"/>
  <c r="T179" i="9"/>
  <c r="V178" i="9"/>
  <c r="U178" i="9"/>
  <c r="T178" i="9"/>
  <c r="V177" i="9"/>
  <c r="U177" i="9"/>
  <c r="T177" i="9"/>
  <c r="V176" i="9"/>
  <c r="U176" i="9"/>
  <c r="T176" i="9"/>
  <c r="V175" i="9"/>
  <c r="U175" i="9"/>
  <c r="T175" i="9"/>
  <c r="V174" i="9"/>
  <c r="U174" i="9"/>
  <c r="T174" i="9"/>
  <c r="V173" i="9"/>
  <c r="U173" i="9"/>
  <c r="T173" i="9"/>
  <c r="V172" i="9"/>
  <c r="U172" i="9"/>
  <c r="T172" i="9"/>
  <c r="V171" i="9"/>
  <c r="U171" i="9"/>
  <c r="T171" i="9"/>
  <c r="V170" i="9"/>
  <c r="U170" i="9"/>
  <c r="T170" i="9"/>
  <c r="V169" i="9"/>
  <c r="U169" i="9"/>
  <c r="T169" i="9"/>
  <c r="V168" i="9"/>
  <c r="U168" i="9"/>
  <c r="T168" i="9"/>
  <c r="V167" i="9"/>
  <c r="U167" i="9"/>
  <c r="T167" i="9"/>
  <c r="V166" i="9"/>
  <c r="U166" i="9"/>
  <c r="T166" i="9"/>
  <c r="V165" i="9"/>
  <c r="U165" i="9"/>
  <c r="T165" i="9"/>
  <c r="V164" i="9"/>
  <c r="U164" i="9"/>
  <c r="T164" i="9"/>
  <c r="V163" i="9"/>
  <c r="U163" i="9"/>
  <c r="T163" i="9"/>
  <c r="V162" i="9"/>
  <c r="U162" i="9"/>
  <c r="T162" i="9"/>
  <c r="V161" i="9"/>
  <c r="U161" i="9"/>
  <c r="T161" i="9"/>
  <c r="V160" i="9"/>
  <c r="U160" i="9"/>
  <c r="T160" i="9"/>
  <c r="V159" i="9"/>
  <c r="U159" i="9"/>
  <c r="T159" i="9"/>
  <c r="V158" i="9"/>
  <c r="U158" i="9"/>
  <c r="T158" i="9"/>
  <c r="V157" i="9"/>
  <c r="U157" i="9"/>
  <c r="T157" i="9"/>
  <c r="V156" i="9"/>
  <c r="U156" i="9"/>
  <c r="T156" i="9"/>
  <c r="V155" i="9"/>
  <c r="U155" i="9"/>
  <c r="T155" i="9"/>
  <c r="V154" i="9"/>
  <c r="U154" i="9"/>
  <c r="T154" i="9"/>
  <c r="V153" i="9"/>
  <c r="U153" i="9"/>
  <c r="T153" i="9"/>
  <c r="V152" i="9"/>
  <c r="U152" i="9"/>
  <c r="T152" i="9"/>
  <c r="V151" i="9"/>
  <c r="U151" i="9"/>
  <c r="T151" i="9"/>
  <c r="V150" i="9"/>
  <c r="U150" i="9"/>
  <c r="T150" i="9"/>
  <c r="V149" i="9"/>
  <c r="U149" i="9"/>
  <c r="T149" i="9"/>
  <c r="V148" i="9"/>
  <c r="U148" i="9"/>
  <c r="T148" i="9"/>
  <c r="V147" i="9"/>
  <c r="U147" i="9"/>
  <c r="T147" i="9"/>
  <c r="V146" i="9"/>
  <c r="U146" i="9"/>
  <c r="T146" i="9"/>
  <c r="V145" i="9"/>
  <c r="U145" i="9"/>
  <c r="T145" i="9"/>
  <c r="V144" i="9"/>
  <c r="U144" i="9"/>
  <c r="T144" i="9"/>
  <c r="V143" i="9"/>
  <c r="U143" i="9"/>
  <c r="T143" i="9"/>
  <c r="V142" i="9"/>
  <c r="U142" i="9"/>
  <c r="T142" i="9"/>
  <c r="V141" i="9"/>
  <c r="U141" i="9"/>
  <c r="T141" i="9"/>
  <c r="V140" i="9"/>
  <c r="U140" i="9"/>
  <c r="T140" i="9"/>
  <c r="V139" i="9"/>
  <c r="U139" i="9"/>
  <c r="T139" i="9"/>
  <c r="V138" i="9"/>
  <c r="U138" i="9"/>
  <c r="T138" i="9"/>
  <c r="V137" i="9"/>
  <c r="U137" i="9"/>
  <c r="T137" i="9"/>
  <c r="V136" i="9"/>
  <c r="U136" i="9"/>
  <c r="T136" i="9"/>
  <c r="V135" i="9"/>
  <c r="U135" i="9"/>
  <c r="T135" i="9"/>
  <c r="V134" i="9"/>
  <c r="U134" i="9"/>
  <c r="T134" i="9"/>
  <c r="V133" i="9"/>
  <c r="U133" i="9"/>
  <c r="T133" i="9"/>
  <c r="V132" i="9"/>
  <c r="U132" i="9"/>
  <c r="T132" i="9"/>
  <c r="V131" i="9"/>
  <c r="U131" i="9"/>
  <c r="T131" i="9"/>
  <c r="V130" i="9"/>
  <c r="U130" i="9"/>
  <c r="T130" i="9"/>
  <c r="V129" i="9"/>
  <c r="U129" i="9"/>
  <c r="T129" i="9"/>
  <c r="V128" i="9"/>
  <c r="U128" i="9"/>
  <c r="T128" i="9"/>
  <c r="V127" i="9"/>
  <c r="U127" i="9"/>
  <c r="T127" i="9"/>
  <c r="V126" i="9"/>
  <c r="U126" i="9"/>
  <c r="T126" i="9"/>
  <c r="V125" i="9"/>
  <c r="U125" i="9"/>
  <c r="T125" i="9"/>
  <c r="V124" i="9"/>
  <c r="U124" i="9"/>
  <c r="T124" i="9"/>
  <c r="V123" i="9"/>
  <c r="U123" i="9"/>
  <c r="T123" i="9"/>
  <c r="V122" i="9"/>
  <c r="U122" i="9"/>
  <c r="T122" i="9"/>
  <c r="V121" i="9"/>
  <c r="U121" i="9"/>
  <c r="T121" i="9"/>
  <c r="V120" i="9"/>
  <c r="U120" i="9"/>
  <c r="T120" i="9"/>
  <c r="V119" i="9"/>
  <c r="U119" i="9"/>
  <c r="T119" i="9"/>
  <c r="V118" i="9"/>
  <c r="U118" i="9"/>
  <c r="T118" i="9"/>
  <c r="V117" i="9"/>
  <c r="U117" i="9"/>
  <c r="T117" i="9"/>
  <c r="V116" i="9"/>
  <c r="U116" i="9"/>
  <c r="T116" i="9"/>
  <c r="V115" i="9"/>
  <c r="U115" i="9"/>
  <c r="T115" i="9"/>
  <c r="V114" i="9"/>
  <c r="U114" i="9"/>
  <c r="T114" i="9"/>
  <c r="V113" i="9"/>
  <c r="U113" i="9"/>
  <c r="T113" i="9"/>
  <c r="V112" i="9"/>
  <c r="U112" i="9"/>
  <c r="T112" i="9"/>
  <c r="V111" i="9"/>
  <c r="U111" i="9"/>
  <c r="T111" i="9"/>
  <c r="V110" i="9"/>
  <c r="U110" i="9"/>
  <c r="T110" i="9"/>
  <c r="V109" i="9"/>
  <c r="U109" i="9"/>
  <c r="T109" i="9"/>
  <c r="V108" i="9"/>
  <c r="U108" i="9"/>
  <c r="T108" i="9"/>
  <c r="V107" i="9"/>
  <c r="U107" i="9"/>
  <c r="T107" i="9"/>
  <c r="V106" i="9"/>
  <c r="U106" i="9"/>
  <c r="T106" i="9"/>
  <c r="V105" i="9"/>
  <c r="U105" i="9"/>
  <c r="T105" i="9"/>
  <c r="V104" i="9"/>
  <c r="U104" i="9"/>
  <c r="T104" i="9"/>
  <c r="V103" i="9"/>
  <c r="U103" i="9"/>
  <c r="T103" i="9"/>
  <c r="V102" i="9"/>
  <c r="U102" i="9"/>
  <c r="T102" i="9"/>
  <c r="V101" i="9"/>
  <c r="U101" i="9"/>
  <c r="T101" i="9"/>
  <c r="V100" i="9"/>
  <c r="U100" i="9"/>
  <c r="T100" i="9"/>
  <c r="V99" i="9"/>
  <c r="U99" i="9"/>
  <c r="T99" i="9"/>
  <c r="V98" i="9"/>
  <c r="U98" i="9"/>
  <c r="T98" i="9"/>
  <c r="V97" i="9"/>
  <c r="U97" i="9"/>
  <c r="T97" i="9"/>
  <c r="V96" i="9"/>
  <c r="U96" i="9"/>
  <c r="T96" i="9"/>
  <c r="V95" i="9"/>
  <c r="U95" i="9"/>
  <c r="T95" i="9"/>
  <c r="V94" i="9"/>
  <c r="U94" i="9"/>
  <c r="T94" i="9"/>
  <c r="V93" i="9"/>
  <c r="U93" i="9"/>
  <c r="T93" i="9"/>
  <c r="V92" i="9"/>
  <c r="U92" i="9"/>
  <c r="T92" i="9"/>
  <c r="V91" i="9"/>
  <c r="U91" i="9"/>
  <c r="T91" i="9"/>
  <c r="V90" i="9"/>
  <c r="U90" i="9"/>
  <c r="T90" i="9"/>
  <c r="V89" i="9"/>
  <c r="U89" i="9"/>
  <c r="T89" i="9"/>
  <c r="V88" i="9"/>
  <c r="U88" i="9"/>
  <c r="T88" i="9"/>
  <c r="V87" i="9"/>
  <c r="U87" i="9"/>
  <c r="T87" i="9"/>
  <c r="V86" i="9"/>
  <c r="U86" i="9"/>
  <c r="T86" i="9"/>
  <c r="V85" i="9"/>
  <c r="U85" i="9"/>
  <c r="T85" i="9"/>
  <c r="V84" i="9"/>
  <c r="U84" i="9"/>
  <c r="T84" i="9"/>
  <c r="V83" i="9"/>
  <c r="U83" i="9"/>
  <c r="T83" i="9"/>
  <c r="V82" i="9"/>
  <c r="U82" i="9"/>
  <c r="T82" i="9"/>
  <c r="V81" i="9"/>
  <c r="U81" i="9"/>
  <c r="T81" i="9"/>
  <c r="V80" i="9"/>
  <c r="U80" i="9"/>
  <c r="T80" i="9"/>
  <c r="V79" i="9"/>
  <c r="U79" i="9"/>
  <c r="T79" i="9"/>
  <c r="V78" i="9"/>
  <c r="U78" i="9"/>
  <c r="T78" i="9"/>
  <c r="V77" i="9"/>
  <c r="U77" i="9"/>
  <c r="T77" i="9"/>
  <c r="V76" i="9"/>
  <c r="U76" i="9"/>
  <c r="T76" i="9"/>
  <c r="V75" i="9"/>
  <c r="U75" i="9"/>
  <c r="T75" i="9"/>
  <c r="V74" i="9"/>
  <c r="U74" i="9"/>
  <c r="T74" i="9"/>
  <c r="V73" i="9"/>
  <c r="U73" i="9"/>
  <c r="T73" i="9"/>
  <c r="V72" i="9"/>
  <c r="U72" i="9"/>
  <c r="T72" i="9"/>
  <c r="V71" i="9"/>
  <c r="U71" i="9"/>
  <c r="T71" i="9"/>
  <c r="V70" i="9"/>
  <c r="U70" i="9"/>
  <c r="T70" i="9"/>
  <c r="V69" i="9"/>
  <c r="U69" i="9"/>
  <c r="T69" i="9"/>
  <c r="V68" i="9"/>
  <c r="U68" i="9"/>
  <c r="T68" i="9"/>
  <c r="V67" i="9"/>
  <c r="U67" i="9"/>
  <c r="T67" i="9"/>
  <c r="V66" i="9"/>
  <c r="U66" i="9"/>
  <c r="T66" i="9"/>
  <c r="V65" i="9"/>
  <c r="U65" i="9"/>
  <c r="T65" i="9"/>
  <c r="V64" i="9"/>
  <c r="U64" i="9"/>
  <c r="T64" i="9"/>
  <c r="V63" i="9"/>
  <c r="U63" i="9"/>
  <c r="T63" i="9"/>
  <c r="V62" i="9"/>
  <c r="U62" i="9"/>
  <c r="T62" i="9"/>
  <c r="V61" i="9"/>
  <c r="U61" i="9"/>
  <c r="T61" i="9"/>
  <c r="V60" i="9"/>
  <c r="U60" i="9"/>
  <c r="T60" i="9"/>
  <c r="V59" i="9"/>
  <c r="U59" i="9"/>
  <c r="T59" i="9"/>
  <c r="V58" i="9"/>
  <c r="U58" i="9"/>
  <c r="T58" i="9"/>
  <c r="V57" i="9"/>
  <c r="U57" i="9"/>
  <c r="T57" i="9"/>
  <c r="V56" i="9"/>
  <c r="U56" i="9"/>
  <c r="T56" i="9"/>
  <c r="V55" i="9"/>
  <c r="U55" i="9"/>
  <c r="T55" i="9"/>
  <c r="V54" i="9"/>
  <c r="U54" i="9"/>
  <c r="T54" i="9"/>
  <c r="V53" i="9"/>
  <c r="U53" i="9"/>
  <c r="T53" i="9"/>
  <c r="V52" i="9"/>
  <c r="U52" i="9"/>
  <c r="T52" i="9"/>
  <c r="V51" i="9"/>
  <c r="U51" i="9"/>
  <c r="T51" i="9"/>
  <c r="V50" i="9"/>
  <c r="U50" i="9"/>
  <c r="T50" i="9"/>
  <c r="V49" i="9"/>
  <c r="U49" i="9"/>
  <c r="T49" i="9"/>
  <c r="V48" i="9"/>
  <c r="U48" i="9"/>
  <c r="T48" i="9"/>
  <c r="V47" i="9"/>
  <c r="U47" i="9"/>
  <c r="T47" i="9"/>
  <c r="V46" i="9"/>
  <c r="U46" i="9"/>
  <c r="T46" i="9"/>
  <c r="V45" i="9"/>
  <c r="U45" i="9"/>
  <c r="T45" i="9"/>
  <c r="V44" i="9"/>
  <c r="U44" i="9"/>
  <c r="T44" i="9"/>
  <c r="V43" i="9"/>
  <c r="U43" i="9"/>
  <c r="T43" i="9"/>
  <c r="V42" i="9"/>
  <c r="U42" i="9"/>
  <c r="T42" i="9"/>
  <c r="V41" i="9"/>
  <c r="U41" i="9"/>
  <c r="T41" i="9"/>
  <c r="V40" i="9"/>
  <c r="U40" i="9"/>
  <c r="T40" i="9"/>
  <c r="V39" i="9"/>
  <c r="U39" i="9"/>
  <c r="T39" i="9"/>
  <c r="V38" i="9"/>
  <c r="U38" i="9"/>
  <c r="T38" i="9"/>
  <c r="V37" i="9"/>
  <c r="U37" i="9"/>
  <c r="T37" i="9"/>
  <c r="V36" i="9"/>
  <c r="U36" i="9"/>
  <c r="T36" i="9"/>
  <c r="V35" i="9"/>
  <c r="U35" i="9"/>
  <c r="T35" i="9"/>
  <c r="V34" i="9"/>
  <c r="U34" i="9"/>
  <c r="T34" i="9"/>
  <c r="V33" i="9"/>
  <c r="U33" i="9"/>
  <c r="T33" i="9"/>
  <c r="V32" i="9"/>
  <c r="U32" i="9"/>
  <c r="T32" i="9"/>
  <c r="V31" i="9"/>
  <c r="U31" i="9"/>
  <c r="T31" i="9"/>
  <c r="V30" i="9"/>
  <c r="U30" i="9"/>
  <c r="T30" i="9"/>
  <c r="V29" i="9"/>
  <c r="U29" i="9"/>
  <c r="T29" i="9"/>
  <c r="V28" i="9"/>
  <c r="U28" i="9"/>
  <c r="T28" i="9"/>
  <c r="V27" i="9"/>
  <c r="U27" i="9"/>
  <c r="T27" i="9"/>
  <c r="X26" i="9"/>
  <c r="V26" i="9"/>
  <c r="U26" i="9"/>
  <c r="T26" i="9"/>
  <c r="V25" i="9"/>
  <c r="U25" i="9"/>
  <c r="T25" i="9"/>
  <c r="V24" i="9"/>
  <c r="U24" i="9"/>
  <c r="T24" i="9"/>
  <c r="V23" i="9"/>
  <c r="U23" i="9"/>
  <c r="T23" i="9"/>
  <c r="V22" i="9"/>
  <c r="U22" i="9"/>
  <c r="T22" i="9"/>
  <c r="V21" i="9"/>
  <c r="U21" i="9"/>
  <c r="T21" i="9"/>
  <c r="V20" i="9"/>
  <c r="U20" i="9"/>
  <c r="T20" i="9"/>
  <c r="V19" i="9"/>
  <c r="U19" i="9"/>
  <c r="T19" i="9"/>
  <c r="V18" i="9"/>
  <c r="U18" i="9"/>
  <c r="T18" i="9"/>
  <c r="V17" i="9"/>
  <c r="U17" i="9"/>
  <c r="T17" i="9"/>
  <c r="V16" i="9"/>
  <c r="F4" i="1" s="1"/>
  <c r="U16" i="9"/>
  <c r="T16" i="9"/>
  <c r="V15" i="9"/>
  <c r="U15" i="9"/>
  <c r="T15" i="9"/>
  <c r="Y14" i="9"/>
  <c r="X14" i="9"/>
  <c r="V14" i="9"/>
  <c r="U14" i="9"/>
  <c r="T14" i="9"/>
  <c r="Z9" i="9"/>
  <c r="Y9" i="9"/>
  <c r="X9" i="9"/>
  <c r="Z8" i="9"/>
  <c r="Y8" i="9"/>
  <c r="AA8" i="9" s="1"/>
  <c r="X8" i="9"/>
  <c r="Z7" i="9"/>
  <c r="Y7" i="9"/>
  <c r="AA7" i="9" s="1"/>
  <c r="X7" i="9"/>
  <c r="Z6" i="9"/>
  <c r="Y6" i="9"/>
  <c r="AA6" i="9" s="1"/>
  <c r="X6" i="9"/>
  <c r="Z5" i="9"/>
  <c r="Y5" i="9"/>
  <c r="X5" i="9"/>
  <c r="Z4" i="9"/>
  <c r="Y4" i="9"/>
  <c r="AA4" i="9" s="1"/>
  <c r="X4" i="9"/>
  <c r="Z3" i="9"/>
  <c r="Y3" i="9"/>
  <c r="AA3" i="9" s="1"/>
  <c r="X3" i="9"/>
  <c r="Z2" i="9"/>
  <c r="Y2" i="9"/>
  <c r="AA2" i="9" s="1"/>
  <c r="X2" i="9"/>
  <c r="Z1" i="9"/>
  <c r="Z10" i="9" s="1"/>
  <c r="Y1" i="9"/>
  <c r="X1" i="9"/>
  <c r="K26" i="8"/>
  <c r="K25" i="8"/>
  <c r="K24" i="8"/>
  <c r="K23" i="8"/>
  <c r="K22" i="8"/>
  <c r="K21" i="8"/>
  <c r="K20" i="8"/>
  <c r="K19" i="8"/>
  <c r="K18" i="8"/>
  <c r="K17" i="8"/>
  <c r="K16" i="8"/>
  <c r="K15" i="8"/>
  <c r="N4" i="8"/>
  <c r="N3" i="8"/>
  <c r="M3" i="8"/>
  <c r="G30" i="1" s="1"/>
  <c r="G34" i="1" s="1"/>
  <c r="N2" i="8"/>
  <c r="M2" i="8"/>
  <c r="J60" i="7"/>
  <c r="I60" i="7"/>
  <c r="J59" i="7"/>
  <c r="I59" i="7"/>
  <c r="J58" i="7"/>
  <c r="I58" i="7"/>
  <c r="J57" i="7"/>
  <c r="I57" i="7"/>
  <c r="J56" i="7"/>
  <c r="I56" i="7"/>
  <c r="J55" i="7"/>
  <c r="I55" i="7"/>
  <c r="J54" i="7"/>
  <c r="I54" i="7"/>
  <c r="J53" i="7"/>
  <c r="I53" i="7"/>
  <c r="J52" i="7"/>
  <c r="I52" i="7"/>
  <c r="J51" i="7"/>
  <c r="I51" i="7"/>
  <c r="J50" i="7"/>
  <c r="I50" i="7"/>
  <c r="J49" i="7"/>
  <c r="I49" i="7"/>
  <c r="J48" i="7"/>
  <c r="I48" i="7"/>
  <c r="J47" i="7"/>
  <c r="I47" i="7"/>
  <c r="K46" i="7"/>
  <c r="K47" i="7" s="1"/>
  <c r="K48" i="7" s="1"/>
  <c r="K49" i="7" s="1"/>
  <c r="K50" i="7" s="1"/>
  <c r="K51" i="7" s="1"/>
  <c r="K52" i="7" s="1"/>
  <c r="K53" i="7" s="1"/>
  <c r="K54" i="7" s="1"/>
  <c r="K55" i="7" s="1"/>
  <c r="K56" i="7" s="1"/>
  <c r="K57" i="7" s="1"/>
  <c r="K58" i="7" s="1"/>
  <c r="K59" i="7" s="1"/>
  <c r="K60" i="7" s="1"/>
  <c r="J46" i="7"/>
  <c r="I46" i="7"/>
  <c r="J45" i="7"/>
  <c r="I45" i="7"/>
  <c r="J44" i="7"/>
  <c r="I44" i="7"/>
  <c r="J43" i="7"/>
  <c r="I43" i="7"/>
  <c r="J42" i="7"/>
  <c r="I42" i="7"/>
  <c r="J41" i="7"/>
  <c r="I41" i="7"/>
  <c r="J40" i="7"/>
  <c r="I40" i="7"/>
  <c r="J39" i="7"/>
  <c r="I39" i="7"/>
  <c r="J38" i="7"/>
  <c r="I38" i="7"/>
  <c r="J37" i="7"/>
  <c r="I37" i="7"/>
  <c r="J36" i="7"/>
  <c r="I36" i="7"/>
  <c r="J35" i="7"/>
  <c r="I35" i="7"/>
  <c r="J34" i="7"/>
  <c r="I34" i="7"/>
  <c r="K33" i="7"/>
  <c r="K34" i="7" s="1"/>
  <c r="K35" i="7" s="1"/>
  <c r="K36" i="7" s="1"/>
  <c r="K37" i="7" s="1"/>
  <c r="K38" i="7" s="1"/>
  <c r="K39" i="7" s="1"/>
  <c r="K40" i="7" s="1"/>
  <c r="K41" i="7" s="1"/>
  <c r="K42" i="7" s="1"/>
  <c r="K43" i="7" s="1"/>
  <c r="K44" i="7" s="1"/>
  <c r="K45" i="7" s="1"/>
  <c r="J33" i="7"/>
  <c r="I33" i="7"/>
  <c r="K32" i="7"/>
  <c r="J32" i="7"/>
  <c r="I32" i="7"/>
  <c r="K31" i="7"/>
  <c r="J31" i="7"/>
  <c r="I31" i="7"/>
  <c r="J30" i="7"/>
  <c r="I30" i="7"/>
  <c r="J29" i="7"/>
  <c r="I29" i="7"/>
  <c r="J28" i="7"/>
  <c r="I28" i="7"/>
  <c r="J27" i="7"/>
  <c r="I27" i="7"/>
  <c r="J26" i="7"/>
  <c r="I26" i="7"/>
  <c r="J25" i="7"/>
  <c r="I25" i="7"/>
  <c r="J24" i="7"/>
  <c r="I24" i="7"/>
  <c r="J23" i="7"/>
  <c r="I23" i="7"/>
  <c r="J22" i="7"/>
  <c r="I22" i="7"/>
  <c r="J21" i="7"/>
  <c r="I21" i="7"/>
  <c r="J20" i="7"/>
  <c r="I20" i="7"/>
  <c r="J19" i="7"/>
  <c r="I19" i="7"/>
  <c r="J18" i="7"/>
  <c r="I18" i="7"/>
  <c r="J17" i="7"/>
  <c r="I17" i="7"/>
  <c r="J16" i="7"/>
  <c r="I16" i="7"/>
  <c r="J15" i="7"/>
  <c r="I15" i="7"/>
  <c r="J14" i="7"/>
  <c r="I14" i="7"/>
  <c r="J13" i="7"/>
  <c r="I13" i="7"/>
  <c r="J12" i="7"/>
  <c r="I12" i="7"/>
  <c r="K11" i="7"/>
  <c r="J11" i="7"/>
  <c r="I11" i="7"/>
  <c r="P7" i="7"/>
  <c r="U61" i="6"/>
  <c r="T61" i="6"/>
  <c r="U60" i="6"/>
  <c r="T60" i="6"/>
  <c r="T59" i="6"/>
  <c r="T58" i="6"/>
  <c r="U57" i="6"/>
  <c r="T57" i="6"/>
  <c r="U56" i="6"/>
  <c r="T56" i="6"/>
  <c r="T55" i="6"/>
  <c r="U54" i="6"/>
  <c r="T54" i="6"/>
  <c r="U53" i="6"/>
  <c r="T53" i="6"/>
  <c r="U52" i="6"/>
  <c r="T52" i="6"/>
  <c r="U51" i="6"/>
  <c r="T51" i="6"/>
  <c r="U50" i="6"/>
  <c r="T50" i="6"/>
  <c r="U49" i="6"/>
  <c r="T49" i="6"/>
  <c r="U48" i="6"/>
  <c r="T48" i="6"/>
  <c r="U47" i="6"/>
  <c r="T47" i="6"/>
  <c r="U46" i="6"/>
  <c r="T46" i="6"/>
  <c r="U45" i="6"/>
  <c r="T45" i="6"/>
  <c r="U44" i="6"/>
  <c r="T44" i="6"/>
  <c r="U43" i="6"/>
  <c r="T43" i="6"/>
  <c r="U42" i="6"/>
  <c r="T42" i="6"/>
  <c r="U41" i="6"/>
  <c r="T41" i="6"/>
  <c r="U40" i="6"/>
  <c r="T40" i="6"/>
  <c r="U39" i="6"/>
  <c r="T39" i="6"/>
  <c r="U38" i="6"/>
  <c r="T38" i="6"/>
  <c r="U37" i="6"/>
  <c r="T37" i="6"/>
  <c r="U36" i="6"/>
  <c r="T36" i="6"/>
  <c r="U35" i="6"/>
  <c r="T35" i="6"/>
  <c r="U34" i="6"/>
  <c r="T34" i="6"/>
  <c r="U33" i="6"/>
  <c r="T33" i="6"/>
  <c r="U32" i="6"/>
  <c r="T32" i="6"/>
  <c r="U31" i="6"/>
  <c r="T31" i="6"/>
  <c r="U30" i="6"/>
  <c r="T30" i="6"/>
  <c r="U29" i="6"/>
  <c r="T29" i="6"/>
  <c r="U28" i="6"/>
  <c r="T28" i="6"/>
  <c r="U27" i="6"/>
  <c r="T27" i="6"/>
  <c r="U26" i="6"/>
  <c r="T26" i="6"/>
  <c r="U25" i="6"/>
  <c r="T25" i="6"/>
  <c r="U24" i="6"/>
  <c r="T24" i="6"/>
  <c r="U23" i="6"/>
  <c r="T23" i="6"/>
  <c r="U22" i="6"/>
  <c r="T22" i="6"/>
  <c r="C51" i="1" s="1"/>
  <c r="U21" i="6"/>
  <c r="T21" i="6"/>
  <c r="U20" i="6"/>
  <c r="T20" i="6"/>
  <c r="T19" i="6"/>
  <c r="AB8" i="6"/>
  <c r="AB9" i="6" s="1"/>
  <c r="AB12" i="6" s="1"/>
  <c r="X3" i="6"/>
  <c r="X2" i="6"/>
  <c r="D17" i="5"/>
  <c r="E13" i="5"/>
  <c r="D13" i="5"/>
  <c r="D12" i="5"/>
  <c r="E9" i="5"/>
  <c r="E55" i="2" s="1"/>
  <c r="D9" i="5"/>
  <c r="D55" i="2" s="1"/>
  <c r="E8" i="5"/>
  <c r="E10" i="5" s="1"/>
  <c r="J3" i="5"/>
  <c r="I3" i="5"/>
  <c r="H3" i="5"/>
  <c r="G3" i="5"/>
  <c r="F3" i="5"/>
  <c r="E3" i="5"/>
  <c r="D3" i="5"/>
  <c r="D8" i="5" s="1"/>
  <c r="C3" i="5"/>
  <c r="V26" i="3"/>
  <c r="V25" i="3"/>
  <c r="V24" i="3"/>
  <c r="V23" i="3"/>
  <c r="V22" i="3"/>
  <c r="V21" i="3"/>
  <c r="V20" i="3"/>
  <c r="V19" i="3"/>
  <c r="V18" i="3"/>
  <c r="V17" i="3"/>
  <c r="V16" i="3"/>
  <c r="V15" i="3"/>
  <c r="V14" i="3"/>
  <c r="V13" i="3"/>
  <c r="V12" i="3"/>
  <c r="X5" i="3" s="1"/>
  <c r="V11" i="3"/>
  <c r="V10" i="3"/>
  <c r="V9" i="3"/>
  <c r="X3" i="3" s="1"/>
  <c r="V8" i="3"/>
  <c r="V7" i="3"/>
  <c r="X6" i="3" s="1"/>
  <c r="X4" i="3"/>
  <c r="I60" i="2"/>
  <c r="N48" i="2"/>
  <c r="N50" i="2" s="1"/>
  <c r="L48" i="2"/>
  <c r="L50" i="2" s="1"/>
  <c r="K48" i="2"/>
  <c r="K50" i="2" s="1"/>
  <c r="H46" i="2"/>
  <c r="K42" i="2"/>
  <c r="L40" i="2"/>
  <c r="N39" i="2"/>
  <c r="H39" i="2"/>
  <c r="J39" i="2" s="1"/>
  <c r="N17" i="1" s="1"/>
  <c r="L38" i="2"/>
  <c r="J38" i="2"/>
  <c r="J40" i="2" s="1"/>
  <c r="I38" i="2"/>
  <c r="I40" i="2" s="1"/>
  <c r="H38" i="2"/>
  <c r="K36" i="2"/>
  <c r="N35" i="2"/>
  <c r="N52" i="2" s="1"/>
  <c r="K35" i="2"/>
  <c r="H35" i="2"/>
  <c r="N34" i="2"/>
  <c r="M34" i="2"/>
  <c r="M48" i="2" s="1"/>
  <c r="M50" i="2" s="1"/>
  <c r="L34" i="2"/>
  <c r="K34" i="2"/>
  <c r="J34" i="2"/>
  <c r="I34" i="2"/>
  <c r="H34" i="2"/>
  <c r="N33" i="2"/>
  <c r="N42" i="2" s="1"/>
  <c r="N51" i="2" s="1"/>
  <c r="M33" i="2"/>
  <c r="J17" i="1" s="1"/>
  <c r="L33" i="2"/>
  <c r="I17" i="1" s="1"/>
  <c r="K33" i="2"/>
  <c r="J33" i="2"/>
  <c r="J35" i="2" s="1"/>
  <c r="I33" i="2"/>
  <c r="H33" i="2"/>
  <c r="I154" i="1"/>
  <c r="K145" i="1"/>
  <c r="K144" i="1"/>
  <c r="K146" i="1" s="1"/>
  <c r="K147" i="1" s="1"/>
  <c r="K143" i="1"/>
  <c r="K103" i="1"/>
  <c r="E95" i="1"/>
  <c r="K89" i="1"/>
  <c r="E89" i="1"/>
  <c r="E85" i="1"/>
  <c r="K83" i="1"/>
  <c r="E80" i="1"/>
  <c r="L79" i="1"/>
  <c r="E79" i="1" s="1"/>
  <c r="E83" i="1" s="1"/>
  <c r="E84" i="1" s="1"/>
  <c r="K78" i="1"/>
  <c r="F78" i="1"/>
  <c r="F83" i="1" s="1"/>
  <c r="K74" i="1"/>
  <c r="E74" i="1"/>
  <c r="G67" i="1"/>
  <c r="E67" i="1"/>
  <c r="E66" i="1"/>
  <c r="L64" i="1"/>
  <c r="J64" i="1"/>
  <c r="G64" i="1"/>
  <c r="L62" i="1"/>
  <c r="J62" i="1"/>
  <c r="M62" i="1" s="1"/>
  <c r="L61" i="1"/>
  <c r="M61" i="1" s="1"/>
  <c r="J61" i="1"/>
  <c r="L60" i="1"/>
  <c r="J60" i="1"/>
  <c r="M60" i="1" s="1"/>
  <c r="L59" i="1"/>
  <c r="J59" i="1"/>
  <c r="M59" i="1" s="1"/>
  <c r="F54" i="1"/>
  <c r="E54" i="1"/>
  <c r="C54" i="1"/>
  <c r="E50" i="1"/>
  <c r="K49" i="1"/>
  <c r="I37" i="1"/>
  <c r="I36" i="1"/>
  <c r="E36" i="1"/>
  <c r="Q36" i="1" s="1"/>
  <c r="F34" i="1"/>
  <c r="D32" i="1"/>
  <c r="I29" i="1"/>
  <c r="G29" i="1"/>
  <c r="D29" i="1"/>
  <c r="H28" i="1"/>
  <c r="P21" i="1"/>
  <c r="M21" i="1"/>
  <c r="L21" i="1"/>
  <c r="H21" i="1"/>
  <c r="D21" i="1"/>
  <c r="M20" i="1"/>
  <c r="M19" i="1"/>
  <c r="L19" i="1"/>
  <c r="I18" i="1"/>
  <c r="G18" i="1"/>
  <c r="K17" i="1"/>
  <c r="G17" i="1"/>
  <c r="G19" i="1" s="1"/>
  <c r="E17" i="1"/>
  <c r="C17" i="1"/>
  <c r="O17" i="1" s="1"/>
  <c r="F11" i="1"/>
  <c r="F62" i="1" s="1"/>
  <c r="D11" i="1"/>
  <c r="D62" i="1" s="1"/>
  <c r="G62" i="1" s="1"/>
  <c r="F10" i="1"/>
  <c r="F61" i="1" s="1"/>
  <c r="D10" i="1"/>
  <c r="G10" i="1" s="1"/>
  <c r="Q9" i="1"/>
  <c r="F9" i="1"/>
  <c r="F60" i="1" s="1"/>
  <c r="D9" i="1"/>
  <c r="G9" i="1" s="1"/>
  <c r="AA9" i="9" l="1"/>
  <c r="G11" i="1"/>
  <c r="G12" i="1" s="1"/>
  <c r="D60" i="1"/>
  <c r="G60" i="1" s="1"/>
  <c r="F5" i="1"/>
  <c r="F6" i="1" s="1"/>
  <c r="AA5" i="9"/>
  <c r="X10" i="9"/>
  <c r="X13" i="9" s="1"/>
  <c r="X15" i="9" s="1"/>
  <c r="D13" i="1" s="1"/>
  <c r="D61" i="1"/>
  <c r="Y10" i="9"/>
  <c r="Y13" i="9" s="1"/>
  <c r="Y15" i="9" s="1"/>
  <c r="F13" i="1" s="1"/>
  <c r="F63" i="1"/>
  <c r="F68" i="1" s="1"/>
  <c r="E86" i="1"/>
  <c r="E90" i="1" s="1"/>
  <c r="E96" i="1"/>
  <c r="F12" i="5"/>
  <c r="K20" i="1"/>
  <c r="D56" i="2"/>
  <c r="G61" i="1"/>
  <c r="G63" i="1" s="1"/>
  <c r="D63" i="1"/>
  <c r="H13" i="5"/>
  <c r="P46" i="1"/>
  <c r="J13" i="10"/>
  <c r="J14" i="10" s="1"/>
  <c r="J15" i="10" s="1"/>
  <c r="J16" i="10" s="1"/>
  <c r="J17" i="10" s="1"/>
  <c r="J18" i="10" s="1"/>
  <c r="J19" i="10" s="1"/>
  <c r="J20" i="10" s="1"/>
  <c r="J21" i="10" s="1"/>
  <c r="J22" i="10" s="1"/>
  <c r="J23" i="10" s="1"/>
  <c r="J24" i="10" s="1"/>
  <c r="J25" i="10" s="1"/>
  <c r="J26" i="10" s="1"/>
  <c r="J27" i="10" s="1"/>
  <c r="J28" i="10" s="1"/>
  <c r="J29" i="10" s="1"/>
  <c r="J30" i="10" s="1"/>
  <c r="J31" i="10" s="1"/>
  <c r="J32" i="10" s="1"/>
  <c r="J33" i="10" s="1"/>
  <c r="J34" i="10" s="1"/>
  <c r="J35" i="10" s="1"/>
  <c r="J36" i="10" s="1"/>
  <c r="J37" i="10" s="1"/>
  <c r="J38" i="10" s="1"/>
  <c r="J39" i="10" s="1"/>
  <c r="J40" i="10" s="1"/>
  <c r="J41" i="10" s="1"/>
  <c r="J42" i="10" s="1"/>
  <c r="J43" i="10" s="1"/>
  <c r="J44" i="10" s="1"/>
  <c r="J45" i="10" s="1"/>
  <c r="J46" i="10" s="1"/>
  <c r="J47" i="10" s="1"/>
  <c r="J48" i="10" s="1"/>
  <c r="J49" i="10" s="1"/>
  <c r="J50" i="10" s="1"/>
  <c r="J51" i="10" s="1"/>
  <c r="J52" i="10" s="1"/>
  <c r="J53" i="10" s="1"/>
  <c r="J54" i="10" s="1"/>
  <c r="J55" i="10" s="1"/>
  <c r="J56" i="10" s="1"/>
  <c r="J57" i="10" s="1"/>
  <c r="J58" i="10" s="1"/>
  <c r="J59" i="10" s="1"/>
  <c r="J60" i="10" s="1"/>
  <c r="J61" i="10" s="1"/>
  <c r="J62" i="10" s="1"/>
  <c r="J63" i="10" s="1"/>
  <c r="J64" i="10" s="1"/>
  <c r="J65" i="10" s="1"/>
  <c r="J66" i="10" s="1"/>
  <c r="J67" i="10" s="1"/>
  <c r="J68" i="10" s="1"/>
  <c r="J69" i="10" s="1"/>
  <c r="J70" i="10" s="1"/>
  <c r="J71" i="10" s="1"/>
  <c r="J72" i="10" s="1"/>
  <c r="J73" i="10" s="1"/>
  <c r="J74" i="10" s="1"/>
  <c r="J75" i="10" s="1"/>
  <c r="J76" i="10" s="1"/>
  <c r="J77" i="10" s="1"/>
  <c r="J78" i="10" s="1"/>
  <c r="J79" i="10" s="1"/>
  <c r="J80" i="10" s="1"/>
  <c r="J81" i="10" s="1"/>
  <c r="J82" i="10" s="1"/>
  <c r="J83" i="10" s="1"/>
  <c r="J84" i="10" s="1"/>
  <c r="J85" i="10" s="1"/>
  <c r="J86" i="10" s="1"/>
  <c r="J87" i="10" s="1"/>
  <c r="J88" i="10" s="1"/>
  <c r="J89" i="10" s="1"/>
  <c r="J90" i="10" s="1"/>
  <c r="J91" i="10" s="1"/>
  <c r="J92" i="10" s="1"/>
  <c r="J93" i="10" s="1"/>
  <c r="J94" i="10" s="1"/>
  <c r="J95" i="10" s="1"/>
  <c r="J96" i="10" s="1"/>
  <c r="J97" i="10" s="1"/>
  <c r="J98" i="10" s="1"/>
  <c r="J99" i="10" s="1"/>
  <c r="J100" i="10" s="1"/>
  <c r="J101" i="10" s="1"/>
  <c r="J102" i="10" s="1"/>
  <c r="J103" i="10" s="1"/>
  <c r="J104" i="10" s="1"/>
  <c r="J105" i="10" s="1"/>
  <c r="J106" i="10" s="1"/>
  <c r="J107" i="10" s="1"/>
  <c r="J108" i="10" s="1"/>
  <c r="J109" i="10" s="1"/>
  <c r="J110" i="10" s="1"/>
  <c r="J111" i="10" s="1"/>
  <c r="J112" i="10" s="1"/>
  <c r="J113" i="10" s="1"/>
  <c r="J114" i="10" s="1"/>
  <c r="J115" i="10" s="1"/>
  <c r="J116" i="10" s="1"/>
  <c r="J117" i="10" s="1"/>
  <c r="J118" i="10" s="1"/>
  <c r="J119" i="10" s="1"/>
  <c r="J120" i="10" s="1"/>
  <c r="J121" i="10" s="1"/>
  <c r="J122" i="10" s="1"/>
  <c r="J123" i="10" s="1"/>
  <c r="J124" i="10" s="1"/>
  <c r="J125" i="10" s="1"/>
  <c r="J126" i="10" s="1"/>
  <c r="J127" i="10" s="1"/>
  <c r="J128" i="10" s="1"/>
  <c r="J129" i="10" s="1"/>
  <c r="J130" i="10" s="1"/>
  <c r="J131" i="10" s="1"/>
  <c r="J132" i="10" s="1"/>
  <c r="J133" i="10" s="1"/>
  <c r="J134" i="10" s="1"/>
  <c r="J135" i="10" s="1"/>
  <c r="J136" i="10" s="1"/>
  <c r="J137" i="10" s="1"/>
  <c r="J138" i="10" s="1"/>
  <c r="J139" i="10" s="1"/>
  <c r="J140" i="10" s="1"/>
  <c r="J141" i="10" s="1"/>
  <c r="J142" i="10" s="1"/>
  <c r="J143" i="10" s="1"/>
  <c r="J144" i="10" s="1"/>
  <c r="J145" i="10" s="1"/>
  <c r="J146" i="10" s="1"/>
  <c r="J147" i="10" s="1"/>
  <c r="J148" i="10" s="1"/>
  <c r="J149" i="10" s="1"/>
  <c r="J150" i="10" s="1"/>
  <c r="J151" i="10" s="1"/>
  <c r="J152" i="10" s="1"/>
  <c r="J153" i="10" s="1"/>
  <c r="J154" i="10" s="1"/>
  <c r="J155" i="10" s="1"/>
  <c r="J156" i="10" s="1"/>
  <c r="J157" i="10" s="1"/>
  <c r="J158" i="10" s="1"/>
  <c r="J159" i="10" s="1"/>
  <c r="J160" i="10" s="1"/>
  <c r="J161" i="10" s="1"/>
  <c r="J162" i="10" s="1"/>
  <c r="J163" i="10" s="1"/>
  <c r="J164" i="10" s="1"/>
  <c r="J165" i="10" s="1"/>
  <c r="J166" i="10" s="1"/>
  <c r="J167" i="10" s="1"/>
  <c r="J168" i="10" s="1"/>
  <c r="J169" i="10" s="1"/>
  <c r="J170" i="10" s="1"/>
  <c r="J171" i="10" s="1"/>
  <c r="J172" i="10" s="1"/>
  <c r="J173" i="10" s="1"/>
  <c r="J174" i="10" s="1"/>
  <c r="J175" i="10" s="1"/>
  <c r="J176" i="10" s="1"/>
  <c r="J177" i="10" s="1"/>
  <c r="J178" i="10" s="1"/>
  <c r="J179" i="10" s="1"/>
  <c r="J180" i="10" s="1"/>
  <c r="J181" i="10" s="1"/>
  <c r="J182" i="10" s="1"/>
  <c r="J183" i="10" s="1"/>
  <c r="J184" i="10" s="1"/>
  <c r="J185" i="10" s="1"/>
  <c r="J186" i="10" s="1"/>
  <c r="J187" i="10" s="1"/>
  <c r="J188" i="10" s="1"/>
  <c r="J189" i="10" s="1"/>
  <c r="J190" i="10" s="1"/>
  <c r="J191" i="10" s="1"/>
  <c r="J192" i="10" s="1"/>
  <c r="J193" i="10" s="1"/>
  <c r="J194" i="10" s="1"/>
  <c r="J195" i="10" s="1"/>
  <c r="J196" i="10" s="1"/>
  <c r="J197" i="10" s="1"/>
  <c r="J198" i="10" s="1"/>
  <c r="J199" i="10" s="1"/>
  <c r="J200" i="10" s="1"/>
  <c r="J201" i="10" s="1"/>
  <c r="J202" i="10" s="1"/>
  <c r="J203" i="10" s="1"/>
  <c r="J204" i="10" s="1"/>
  <c r="J205" i="10" s="1"/>
  <c r="J206" i="10" s="1"/>
  <c r="J207" i="10" s="1"/>
  <c r="J208" i="10" s="1"/>
  <c r="J209" i="10" s="1"/>
  <c r="J210" i="10" s="1"/>
  <c r="J211" i="10" s="1"/>
  <c r="J212" i="10" s="1"/>
  <c r="J213" i="10" s="1"/>
  <c r="J214" i="10" s="1"/>
  <c r="J215" i="10" s="1"/>
  <c r="J216" i="10" s="1"/>
  <c r="J217" i="10" s="1"/>
  <c r="J218" i="10" s="1"/>
  <c r="J219" i="10" s="1"/>
  <c r="J220" i="10" s="1"/>
  <c r="J221" i="10" s="1"/>
  <c r="J222" i="10" s="1"/>
  <c r="J223" i="10" s="1"/>
  <c r="J224" i="10" s="1"/>
  <c r="J225" i="10" s="1"/>
  <c r="J226" i="10" s="1"/>
  <c r="J227" i="10" s="1"/>
  <c r="J228" i="10" s="1"/>
  <c r="J229" i="10" s="1"/>
  <c r="J230" i="10" s="1"/>
  <c r="J231" i="10" s="1"/>
  <c r="J232" i="10" s="1"/>
  <c r="J233" i="10" s="1"/>
  <c r="J234" i="10" s="1"/>
  <c r="J235" i="10" s="1"/>
  <c r="J236" i="10" s="1"/>
  <c r="J237" i="10" s="1"/>
  <c r="J238" i="10" s="1"/>
  <c r="J239" i="10" s="1"/>
  <c r="J240" i="10" s="1"/>
  <c r="J241" i="10" s="1"/>
  <c r="J242" i="10" s="1"/>
  <c r="J243" i="10" s="1"/>
  <c r="J244" i="10" s="1"/>
  <c r="J245" i="10" s="1"/>
  <c r="J246" i="10" s="1"/>
  <c r="J247" i="10" s="1"/>
  <c r="J248" i="10" s="1"/>
  <c r="J249" i="10" s="1"/>
  <c r="J250" i="10" s="1"/>
  <c r="J251" i="10" s="1"/>
  <c r="J252" i="10" s="1"/>
  <c r="J253" i="10" s="1"/>
  <c r="J254" i="10" s="1"/>
  <c r="J255" i="10" s="1"/>
  <c r="J256" i="10" s="1"/>
  <c r="J257" i="10" s="1"/>
  <c r="J258" i="10" s="1"/>
  <c r="J259" i="10" s="1"/>
  <c r="J260" i="10" s="1"/>
  <c r="J261" i="10" s="1"/>
  <c r="J262" i="10" s="1"/>
  <c r="J263" i="10" s="1"/>
  <c r="J264" i="10" s="1"/>
  <c r="J265" i="10" s="1"/>
  <c r="J266" i="10" s="1"/>
  <c r="J267" i="10" s="1"/>
  <c r="J268" i="10" s="1"/>
  <c r="J269" i="10" s="1"/>
  <c r="J270" i="10" s="1"/>
  <c r="J271" i="10" s="1"/>
  <c r="J272" i="10" s="1"/>
  <c r="J273" i="10" s="1"/>
  <c r="J274" i="10" s="1"/>
  <c r="J275" i="10" s="1"/>
  <c r="J276" i="10" s="1"/>
  <c r="J277" i="10" s="1"/>
  <c r="J278" i="10" s="1"/>
  <c r="J279" i="10" s="1"/>
  <c r="J280" i="10" s="1"/>
  <c r="J281" i="10" s="1"/>
  <c r="J282" i="10" s="1"/>
  <c r="J283" i="10" s="1"/>
  <c r="J284" i="10" s="1"/>
  <c r="J285" i="10" s="1"/>
  <c r="J286" i="10" s="1"/>
  <c r="J287" i="10" s="1"/>
  <c r="J288" i="10" s="1"/>
  <c r="J289" i="10" s="1"/>
  <c r="J290" i="10" s="1"/>
  <c r="J291" i="10" s="1"/>
  <c r="J292" i="10" s="1"/>
  <c r="J293" i="10" s="1"/>
  <c r="J294" i="10" s="1"/>
  <c r="J295" i="10" s="1"/>
  <c r="J296" i="10" s="1"/>
  <c r="J297" i="10" s="1"/>
  <c r="J298" i="10" s="1"/>
  <c r="J299" i="10" s="1"/>
  <c r="J300" i="10" s="1"/>
  <c r="J301" i="10" s="1"/>
  <c r="J302" i="10" s="1"/>
  <c r="J303" i="10" s="1"/>
  <c r="J304" i="10" s="1"/>
  <c r="J305" i="10" s="1"/>
  <c r="J306" i="10" s="1"/>
  <c r="J307" i="10" s="1"/>
  <c r="J308" i="10" s="1"/>
  <c r="J309" i="10" s="1"/>
  <c r="J310" i="10" s="1"/>
  <c r="J311" i="10" s="1"/>
  <c r="J312" i="10" s="1"/>
  <c r="J313" i="10" s="1"/>
  <c r="J314" i="10" s="1"/>
  <c r="J315" i="10" s="1"/>
  <c r="J316" i="10" s="1"/>
  <c r="J317" i="10" s="1"/>
  <c r="J318" i="10" s="1"/>
  <c r="J319" i="10" s="1"/>
  <c r="J320" i="10" s="1"/>
  <c r="J321" i="10" s="1"/>
  <c r="J322" i="10" s="1"/>
  <c r="J323" i="10" s="1"/>
  <c r="J324" i="10" s="1"/>
  <c r="J325" i="10" s="1"/>
  <c r="J326" i="10" s="1"/>
  <c r="J327" i="10" s="1"/>
  <c r="J328" i="10" s="1"/>
  <c r="J329" i="10" s="1"/>
  <c r="J330" i="10" s="1"/>
  <c r="J331" i="10" s="1"/>
  <c r="J332" i="10" s="1"/>
  <c r="J333" i="10" s="1"/>
  <c r="J334" i="10" s="1"/>
  <c r="J335" i="10" s="1"/>
  <c r="J336" i="10" s="1"/>
  <c r="J337" i="10" s="1"/>
  <c r="J338" i="10" s="1"/>
  <c r="J339" i="10" s="1"/>
  <c r="J340" i="10" s="1"/>
  <c r="J341" i="10" s="1"/>
  <c r="J342" i="10" s="1"/>
  <c r="J343" i="10" s="1"/>
  <c r="J344" i="10" s="1"/>
  <c r="J345" i="10" s="1"/>
  <c r="J346" i="10" s="1"/>
  <c r="J347" i="10" s="1"/>
  <c r="J348" i="10" s="1"/>
  <c r="J349" i="10" s="1"/>
  <c r="J350" i="10" s="1"/>
  <c r="J351" i="10" s="1"/>
  <c r="J352" i="10" s="1"/>
  <c r="J353" i="10" s="1"/>
  <c r="J354" i="10" s="1"/>
  <c r="J355" i="10" s="1"/>
  <c r="J356" i="10" s="1"/>
  <c r="J357" i="10" s="1"/>
  <c r="J358" i="10" s="1"/>
  <c r="J359" i="10" s="1"/>
  <c r="J360" i="10" s="1"/>
  <c r="J361" i="10" s="1"/>
  <c r="J362" i="10" s="1"/>
  <c r="J363" i="10" s="1"/>
  <c r="J364" i="10" s="1"/>
  <c r="J365" i="10" s="1"/>
  <c r="J366" i="10" s="1"/>
  <c r="J367" i="10" s="1"/>
  <c r="J368" i="10" s="1"/>
  <c r="J369" i="10" s="1"/>
  <c r="J370" i="10" s="1"/>
  <c r="J371" i="10" s="1"/>
  <c r="J372" i="10" s="1"/>
  <c r="J373" i="10" s="1"/>
  <c r="J374" i="10" s="1"/>
  <c r="J375" i="10" s="1"/>
  <c r="J376" i="10" s="1"/>
  <c r="J377" i="10" s="1"/>
  <c r="J378" i="10" s="1"/>
  <c r="J379" i="10" s="1"/>
  <c r="J380" i="10" s="1"/>
  <c r="J381" i="10" s="1"/>
  <c r="J382" i="10" s="1"/>
  <c r="J383" i="10" s="1"/>
  <c r="J384" i="10" s="1"/>
  <c r="J385" i="10" s="1"/>
  <c r="J386" i="10" s="1"/>
  <c r="J387" i="10" s="1"/>
  <c r="J388" i="10" s="1"/>
  <c r="J389" i="10" s="1"/>
  <c r="J390" i="10" s="1"/>
  <c r="J391" i="10" s="1"/>
  <c r="J392" i="10" s="1"/>
  <c r="J393" i="10" s="1"/>
  <c r="J394" i="10" s="1"/>
  <c r="J395" i="10" s="1"/>
  <c r="J396" i="10" s="1"/>
  <c r="J397" i="10" s="1"/>
  <c r="J398" i="10" s="1"/>
  <c r="J399" i="10" s="1"/>
  <c r="J400" i="10" s="1"/>
  <c r="J401" i="10" s="1"/>
  <c r="J402" i="10" s="1"/>
  <c r="J403" i="10" s="1"/>
  <c r="J404" i="10" s="1"/>
  <c r="J405" i="10" s="1"/>
  <c r="J406" i="10" s="1"/>
  <c r="J407" i="10" s="1"/>
  <c r="J408" i="10" s="1"/>
  <c r="J409" i="10" s="1"/>
  <c r="J410" i="10" s="1"/>
  <c r="J411" i="10" s="1"/>
  <c r="J412" i="10" s="1"/>
  <c r="J413" i="10" s="1"/>
  <c r="J414" i="10" s="1"/>
  <c r="J415" i="10" s="1"/>
  <c r="J416" i="10" s="1"/>
  <c r="J417" i="10" s="1"/>
  <c r="J418" i="10" s="1"/>
  <c r="J419" i="10" s="1"/>
  <c r="J420" i="10" s="1"/>
  <c r="J421" i="10" s="1"/>
  <c r="J422" i="10" s="1"/>
  <c r="J423" i="10" s="1"/>
  <c r="J424" i="10" s="1"/>
  <c r="J425" i="10" s="1"/>
  <c r="J426" i="10" s="1"/>
  <c r="J427" i="10" s="1"/>
  <c r="J428" i="10" s="1"/>
  <c r="J429" i="10" s="1"/>
  <c r="J430" i="10" s="1"/>
  <c r="J431" i="10" s="1"/>
  <c r="J432" i="10" s="1"/>
  <c r="J433" i="10" s="1"/>
  <c r="J434" i="10" s="1"/>
  <c r="J435" i="10" s="1"/>
  <c r="J436" i="10" s="1"/>
  <c r="J437" i="10" s="1"/>
  <c r="J438" i="10" s="1"/>
  <c r="J439" i="10" s="1"/>
  <c r="J440" i="10" s="1"/>
  <c r="J441" i="10" s="1"/>
  <c r="J442" i="10" s="1"/>
  <c r="J443" i="10" s="1"/>
  <c r="J444" i="10" s="1"/>
  <c r="J445" i="10" s="1"/>
  <c r="J446" i="10" s="1"/>
  <c r="J447" i="10" s="1"/>
  <c r="J448" i="10" s="1"/>
  <c r="J449" i="10" s="1"/>
  <c r="J450" i="10" s="1"/>
  <c r="J451" i="10" s="1"/>
  <c r="J452" i="10" s="1"/>
  <c r="J453" i="10" s="1"/>
  <c r="J454" i="10" s="1"/>
  <c r="J455" i="10" s="1"/>
  <c r="J456" i="10" s="1"/>
  <c r="J457" i="10" s="1"/>
  <c r="J458" i="10" s="1"/>
  <c r="J459" i="10" s="1"/>
  <c r="J460" i="10" s="1"/>
  <c r="J461" i="10" s="1"/>
  <c r="J462" i="10" s="1"/>
  <c r="J463" i="10" s="1"/>
  <c r="J464" i="10" s="1"/>
  <c r="J465" i="10" s="1"/>
  <c r="J466" i="10" s="1"/>
  <c r="J467" i="10" s="1"/>
  <c r="J468" i="10" s="1"/>
  <c r="J469" i="10" s="1"/>
  <c r="J470" i="10" s="1"/>
  <c r="J471" i="10" s="1"/>
  <c r="J472" i="10" s="1"/>
  <c r="J473" i="10" s="1"/>
  <c r="J474" i="10" s="1"/>
  <c r="J475" i="10" s="1"/>
  <c r="J476" i="10" s="1"/>
  <c r="J477" i="10" s="1"/>
  <c r="J478" i="10" s="1"/>
  <c r="J479" i="10" s="1"/>
  <c r="J480" i="10" s="1"/>
  <c r="J481" i="10" s="1"/>
  <c r="J482" i="10" s="1"/>
  <c r="J483" i="10" s="1"/>
  <c r="J484" i="10" s="1"/>
  <c r="J485" i="10" s="1"/>
  <c r="J486" i="10" s="1"/>
  <c r="J487" i="10" s="1"/>
  <c r="J488" i="10" s="1"/>
  <c r="J489" i="10" s="1"/>
  <c r="J490" i="10" s="1"/>
  <c r="J491" i="10" s="1"/>
  <c r="J492" i="10" s="1"/>
  <c r="J493" i="10" s="1"/>
  <c r="J494" i="10" s="1"/>
  <c r="J495" i="10" s="1"/>
  <c r="J496" i="10" s="1"/>
  <c r="J497" i="10" s="1"/>
  <c r="J498" i="10" s="1"/>
  <c r="J499" i="10" s="1"/>
  <c r="J500" i="10" s="1"/>
  <c r="J501" i="10" s="1"/>
  <c r="J502" i="10" s="1"/>
  <c r="J503" i="10" s="1"/>
  <c r="J504" i="10" s="1"/>
  <c r="J505" i="10" s="1"/>
  <c r="J506" i="10" s="1"/>
  <c r="J507" i="10" s="1"/>
  <c r="J508" i="10" s="1"/>
  <c r="J509" i="10" s="1"/>
  <c r="J510" i="10" s="1"/>
  <c r="J511" i="10" s="1"/>
  <c r="J512" i="10" s="1"/>
  <c r="J513" i="10" s="1"/>
  <c r="J514" i="10" s="1"/>
  <c r="J515" i="10" s="1"/>
  <c r="J516" i="10" s="1"/>
  <c r="J517" i="10" s="1"/>
  <c r="J518" i="10" s="1"/>
  <c r="J519" i="10" s="1"/>
  <c r="J520" i="10" s="1"/>
  <c r="J521" i="10" s="1"/>
  <c r="J522" i="10" s="1"/>
  <c r="J523" i="10" s="1"/>
  <c r="J524" i="10" s="1"/>
  <c r="J525" i="10" s="1"/>
  <c r="J526" i="10" s="1"/>
  <c r="J527" i="10" s="1"/>
  <c r="J528" i="10" s="1"/>
  <c r="J529" i="10" s="1"/>
  <c r="J530" i="10" s="1"/>
  <c r="J531" i="10" s="1"/>
  <c r="J532" i="10" s="1"/>
  <c r="J533" i="10" s="1"/>
  <c r="J534" i="10" s="1"/>
  <c r="J535" i="10" s="1"/>
  <c r="J536" i="10" s="1"/>
  <c r="J537" i="10" s="1"/>
  <c r="J538" i="10" s="1"/>
  <c r="J539" i="10" s="1"/>
  <c r="J540" i="10" s="1"/>
  <c r="J541" i="10" s="1"/>
  <c r="J542" i="10" s="1"/>
  <c r="J543" i="10" s="1"/>
  <c r="J544" i="10" s="1"/>
  <c r="J545" i="10" s="1"/>
  <c r="J546" i="10" s="1"/>
  <c r="J547" i="10" s="1"/>
  <c r="J548" i="10" s="1"/>
  <c r="J549" i="10" s="1"/>
  <c r="J550" i="10" s="1"/>
  <c r="J551" i="10" s="1"/>
  <c r="J552" i="10" s="1"/>
  <c r="J553" i="10" s="1"/>
  <c r="J554" i="10" s="1"/>
  <c r="J555" i="10" s="1"/>
  <c r="J556" i="10" s="1"/>
  <c r="J557" i="10" s="1"/>
  <c r="J558" i="10" s="1"/>
  <c r="J559" i="10" s="1"/>
  <c r="J560" i="10" s="1"/>
  <c r="J561" i="10" s="1"/>
  <c r="J562" i="10" s="1"/>
  <c r="J563" i="10" s="1"/>
  <c r="J564" i="10" s="1"/>
  <c r="J565" i="10" s="1"/>
  <c r="J566" i="10" s="1"/>
  <c r="J567" i="10" s="1"/>
  <c r="J568" i="10" s="1"/>
  <c r="J569" i="10" s="1"/>
  <c r="J570" i="10" s="1"/>
  <c r="J571" i="10" s="1"/>
  <c r="J572" i="10" s="1"/>
  <c r="J573" i="10" s="1"/>
  <c r="J574" i="10" s="1"/>
  <c r="J575" i="10" s="1"/>
  <c r="J576" i="10" s="1"/>
  <c r="J577" i="10" s="1"/>
  <c r="J578" i="10" s="1"/>
  <c r="J579" i="10" s="1"/>
  <c r="J580" i="10" s="1"/>
  <c r="J581" i="10" s="1"/>
  <c r="J582" i="10" s="1"/>
  <c r="J583" i="10" s="1"/>
  <c r="J584" i="10" s="1"/>
  <c r="J585" i="10" s="1"/>
  <c r="J586" i="10" s="1"/>
  <c r="J587" i="10" s="1"/>
  <c r="J588" i="10" s="1"/>
  <c r="J589" i="10" s="1"/>
  <c r="J590" i="10" s="1"/>
  <c r="J591" i="10" s="1"/>
  <c r="J592" i="10" s="1"/>
  <c r="J593" i="10" s="1"/>
  <c r="J594" i="10" s="1"/>
  <c r="J595" i="10" s="1"/>
  <c r="J596" i="10" s="1"/>
  <c r="J597" i="10" s="1"/>
  <c r="J598" i="10" s="1"/>
  <c r="J599" i="10" s="1"/>
  <c r="J600" i="10" s="1"/>
  <c r="J601" i="10" s="1"/>
  <c r="J602" i="10" s="1"/>
  <c r="J603" i="10" s="1"/>
  <c r="J604" i="10" s="1"/>
  <c r="J605" i="10" s="1"/>
  <c r="J606" i="10" s="1"/>
  <c r="J607" i="10" s="1"/>
  <c r="J608" i="10" s="1"/>
  <c r="J609" i="10" s="1"/>
  <c r="J610" i="10" s="1"/>
  <c r="J611" i="10" s="1"/>
  <c r="J612" i="10" s="1"/>
  <c r="J613" i="10" s="1"/>
  <c r="J614" i="10" s="1"/>
  <c r="J615" i="10" s="1"/>
  <c r="J616" i="10" s="1"/>
  <c r="J617" i="10" s="1"/>
  <c r="J618" i="10" s="1"/>
  <c r="J619" i="10" s="1"/>
  <c r="J620" i="10" s="1"/>
  <c r="J621" i="10" s="1"/>
  <c r="J622" i="10" s="1"/>
  <c r="J623" i="10" s="1"/>
  <c r="J624" i="10" s="1"/>
  <c r="J625" i="10" s="1"/>
  <c r="J626" i="10" s="1"/>
  <c r="J627" i="10" s="1"/>
  <c r="J628" i="10" s="1"/>
  <c r="J629" i="10" s="1"/>
  <c r="J630" i="10" s="1"/>
  <c r="J631" i="10" s="1"/>
  <c r="J632" i="10" s="1"/>
  <c r="J633" i="10" s="1"/>
  <c r="J634" i="10" s="1"/>
  <c r="J635" i="10" s="1"/>
  <c r="J636" i="10" s="1"/>
  <c r="J637" i="10" s="1"/>
  <c r="J638" i="10" s="1"/>
  <c r="J639" i="10" s="1"/>
  <c r="J640" i="10" s="1"/>
  <c r="J641" i="10" s="1"/>
  <c r="J642" i="10" s="1"/>
  <c r="J643" i="10" s="1"/>
  <c r="J644" i="10" s="1"/>
  <c r="J645" i="10" s="1"/>
  <c r="J646" i="10" s="1"/>
  <c r="J647" i="10" s="1"/>
  <c r="J648" i="10" s="1"/>
  <c r="J649" i="10" s="1"/>
  <c r="J650" i="10" s="1"/>
  <c r="J651" i="10" s="1"/>
  <c r="J652" i="10" s="1"/>
  <c r="J653" i="10" s="1"/>
  <c r="J654" i="10" s="1"/>
  <c r="J655" i="10" s="1"/>
  <c r="J656" i="10" s="1"/>
  <c r="J657" i="10" s="1"/>
  <c r="J658" i="10" s="1"/>
  <c r="J659" i="10" s="1"/>
  <c r="J660" i="10" s="1"/>
  <c r="J661" i="10" s="1"/>
  <c r="J662" i="10" s="1"/>
  <c r="J663" i="10" s="1"/>
  <c r="J664" i="10" s="1"/>
  <c r="J665" i="10" s="1"/>
  <c r="J666" i="10" s="1"/>
  <c r="J667" i="10" s="1"/>
  <c r="J668" i="10" s="1"/>
  <c r="J669" i="10" s="1"/>
  <c r="J670" i="10" s="1"/>
  <c r="J671" i="10" s="1"/>
  <c r="J672" i="10" s="1"/>
  <c r="J673" i="10" s="1"/>
  <c r="J674" i="10" s="1"/>
  <c r="J675" i="10" s="1"/>
  <c r="J676" i="10" s="1"/>
  <c r="J677" i="10" s="1"/>
  <c r="J678" i="10" s="1"/>
  <c r="J679" i="10" s="1"/>
  <c r="J680" i="10" s="1"/>
  <c r="J681" i="10" s="1"/>
  <c r="J682" i="10" s="1"/>
  <c r="J683" i="10" s="1"/>
  <c r="J684" i="10" s="1"/>
  <c r="J685" i="10" s="1"/>
  <c r="J686" i="10" s="1"/>
  <c r="J687" i="10" s="1"/>
  <c r="J688" i="10" s="1"/>
  <c r="J689" i="10" s="1"/>
  <c r="J690" i="10" s="1"/>
  <c r="J691" i="10" s="1"/>
  <c r="J692" i="10" s="1"/>
  <c r="J693" i="10" s="1"/>
  <c r="J694" i="10" s="1"/>
  <c r="J695" i="10" s="1"/>
  <c r="J696" i="10" s="1"/>
  <c r="J697" i="10" s="1"/>
  <c r="J698" i="10" s="1"/>
  <c r="J699" i="10" s="1"/>
  <c r="J700" i="10" s="1"/>
  <c r="J701" i="10" s="1"/>
  <c r="J702" i="10" s="1"/>
  <c r="J703" i="10" s="1"/>
  <c r="J704" i="10" s="1"/>
  <c r="J705" i="10" s="1"/>
  <c r="J706" i="10" s="1"/>
  <c r="J707" i="10" s="1"/>
  <c r="J708" i="10" s="1"/>
  <c r="J709" i="10" s="1"/>
  <c r="J710" i="10" s="1"/>
  <c r="J711" i="10" s="1"/>
  <c r="J712" i="10" s="1"/>
  <c r="J713" i="10" s="1"/>
  <c r="J714" i="10" s="1"/>
  <c r="J715" i="10" s="1"/>
  <c r="J716" i="10" s="1"/>
  <c r="J717" i="10" s="1"/>
  <c r="J718" i="10" s="1"/>
  <c r="J719" i="10" s="1"/>
  <c r="J720" i="10" s="1"/>
  <c r="J721" i="10" s="1"/>
  <c r="J722" i="10" s="1"/>
  <c r="J723" i="10" s="1"/>
  <c r="J724" i="10" s="1"/>
  <c r="J725" i="10" s="1"/>
  <c r="J726" i="10" s="1"/>
  <c r="J727" i="10" s="1"/>
  <c r="J728" i="10" s="1"/>
  <c r="J729" i="10" s="1"/>
  <c r="J730" i="10" s="1"/>
  <c r="J731" i="10" s="1"/>
  <c r="J732" i="10" s="1"/>
  <c r="J733" i="10" s="1"/>
  <c r="J734" i="10" s="1"/>
  <c r="J735" i="10" s="1"/>
  <c r="J736" i="10" s="1"/>
  <c r="J737" i="10" s="1"/>
  <c r="J738" i="10" s="1"/>
  <c r="J739" i="10" s="1"/>
  <c r="J740" i="10" s="1"/>
  <c r="J741" i="10" s="1"/>
  <c r="J742" i="10" s="1"/>
  <c r="J743" i="10" s="1"/>
  <c r="J744" i="10" s="1"/>
  <c r="J745" i="10" s="1"/>
  <c r="J746" i="10" s="1"/>
  <c r="J747" i="10" s="1"/>
  <c r="J748" i="10" s="1"/>
  <c r="J749" i="10" s="1"/>
  <c r="J750" i="10" s="1"/>
  <c r="J751" i="10" s="1"/>
  <c r="J752" i="10" s="1"/>
  <c r="J753" i="10" s="1"/>
  <c r="J754" i="10" s="1"/>
  <c r="J755" i="10" s="1"/>
  <c r="J756" i="10" s="1"/>
  <c r="J757" i="10" s="1"/>
  <c r="J758" i="10" s="1"/>
  <c r="J759" i="10" s="1"/>
  <c r="J760" i="10" s="1"/>
  <c r="J761" i="10" s="1"/>
  <c r="J762" i="10" s="1"/>
  <c r="J763" i="10" s="1"/>
  <c r="J764" i="10" s="1"/>
  <c r="J765" i="10" s="1"/>
  <c r="J766" i="10" s="1"/>
  <c r="J767" i="10" s="1"/>
  <c r="J768" i="10" s="1"/>
  <c r="J769" i="10" s="1"/>
  <c r="J770" i="10" s="1"/>
  <c r="J771" i="10" s="1"/>
  <c r="J772" i="10" s="1"/>
  <c r="J773" i="10" s="1"/>
  <c r="J774" i="10" s="1"/>
  <c r="J775" i="10" s="1"/>
  <c r="J776" i="10" s="1"/>
  <c r="J777" i="10" s="1"/>
  <c r="J778" i="10" s="1"/>
  <c r="J779" i="10" s="1"/>
  <c r="J780" i="10" s="1"/>
  <c r="J781" i="10" s="1"/>
  <c r="J782" i="10" s="1"/>
  <c r="J783" i="10" s="1"/>
  <c r="J784" i="10" s="1"/>
  <c r="J785" i="10" s="1"/>
  <c r="J786" i="10" s="1"/>
  <c r="J787" i="10" s="1"/>
  <c r="J788" i="10" s="1"/>
  <c r="J789" i="10" s="1"/>
  <c r="J790" i="10" s="1"/>
  <c r="J791" i="10" s="1"/>
  <c r="J792" i="10" s="1"/>
  <c r="J793" i="10" s="1"/>
  <c r="J794" i="10" s="1"/>
  <c r="J795" i="10" s="1"/>
  <c r="J796" i="10" s="1"/>
  <c r="J797" i="10" s="1"/>
  <c r="J798" i="10" s="1"/>
  <c r="J799" i="10" s="1"/>
  <c r="J800" i="10" s="1"/>
  <c r="J801" i="10" s="1"/>
  <c r="J802" i="10" s="1"/>
  <c r="J803" i="10" s="1"/>
  <c r="J804" i="10" s="1"/>
  <c r="J805" i="10" s="1"/>
  <c r="J806" i="10" s="1"/>
  <c r="J807" i="10" s="1"/>
  <c r="J808" i="10" s="1"/>
  <c r="J809" i="10" s="1"/>
  <c r="J810" i="10" s="1"/>
  <c r="J811" i="10" s="1"/>
  <c r="J812" i="10" s="1"/>
  <c r="J813" i="10" s="1"/>
  <c r="J814" i="10" s="1"/>
  <c r="J815" i="10" s="1"/>
  <c r="J816" i="10" s="1"/>
  <c r="J817" i="10" s="1"/>
  <c r="J818" i="10" s="1"/>
  <c r="J819" i="10" s="1"/>
  <c r="J820" i="10" s="1"/>
  <c r="J821" i="10" s="1"/>
  <c r="J822" i="10" s="1"/>
  <c r="J823" i="10" s="1"/>
  <c r="J824" i="10" s="1"/>
  <c r="J825" i="10" s="1"/>
  <c r="J826" i="10" s="1"/>
  <c r="J827" i="10" s="1"/>
  <c r="J828" i="10" s="1"/>
  <c r="J829" i="10" s="1"/>
  <c r="J830" i="10" s="1"/>
  <c r="J831" i="10" s="1"/>
  <c r="J832" i="10" s="1"/>
  <c r="J833" i="10" s="1"/>
  <c r="J834" i="10" s="1"/>
  <c r="J835" i="10" s="1"/>
  <c r="J836" i="10" s="1"/>
  <c r="J837" i="10" s="1"/>
  <c r="J838" i="10" s="1"/>
  <c r="J839" i="10" s="1"/>
  <c r="J840" i="10" s="1"/>
  <c r="J841" i="10" s="1"/>
  <c r="J842" i="10" s="1"/>
  <c r="J843" i="10" s="1"/>
  <c r="J844" i="10" s="1"/>
  <c r="J845" i="10" s="1"/>
  <c r="J846" i="10" s="1"/>
  <c r="J847" i="10" s="1"/>
  <c r="J848" i="10" s="1"/>
  <c r="J849" i="10" s="1"/>
  <c r="J850" i="10" s="1"/>
  <c r="J851" i="10" s="1"/>
  <c r="J852" i="10" s="1"/>
  <c r="J853" i="10" s="1"/>
  <c r="J854" i="10" s="1"/>
  <c r="J855" i="10" s="1"/>
  <c r="J856" i="10" s="1"/>
  <c r="J857" i="10" s="1"/>
  <c r="J858" i="10" s="1"/>
  <c r="J859" i="10" s="1"/>
  <c r="J860" i="10" s="1"/>
  <c r="J861" i="10" s="1"/>
  <c r="J862" i="10" s="1"/>
  <c r="J863" i="10" s="1"/>
  <c r="J864" i="10" s="1"/>
  <c r="J865" i="10" s="1"/>
  <c r="J866" i="10" s="1"/>
  <c r="J867" i="10" s="1"/>
  <c r="J868" i="10" s="1"/>
  <c r="J869" i="10" s="1"/>
  <c r="J870" i="10" s="1"/>
  <c r="J871" i="10" s="1"/>
  <c r="J872" i="10" s="1"/>
  <c r="J873" i="10" s="1"/>
  <c r="J874" i="10" s="1"/>
  <c r="J875" i="10" s="1"/>
  <c r="J876" i="10" s="1"/>
  <c r="J877" i="10" s="1"/>
  <c r="J878" i="10" s="1"/>
  <c r="J879" i="10" s="1"/>
  <c r="J880" i="10" s="1"/>
  <c r="J881" i="10" s="1"/>
  <c r="J882" i="10" s="1"/>
  <c r="J883" i="10" s="1"/>
  <c r="J884" i="10" s="1"/>
  <c r="J885" i="10" s="1"/>
  <c r="J886" i="10" s="1"/>
  <c r="J887" i="10" s="1"/>
  <c r="J888" i="10" s="1"/>
  <c r="J889" i="10" s="1"/>
  <c r="J890" i="10" s="1"/>
  <c r="J891" i="10" s="1"/>
  <c r="J892" i="10" s="1"/>
  <c r="J893" i="10" s="1"/>
  <c r="J894" i="10" s="1"/>
  <c r="J895" i="10" s="1"/>
  <c r="J896" i="10" s="1"/>
  <c r="J897" i="10" s="1"/>
  <c r="J898" i="10" s="1"/>
  <c r="J899" i="10" s="1"/>
  <c r="J900" i="10" s="1"/>
  <c r="J901" i="10" s="1"/>
  <c r="J902" i="10" s="1"/>
  <c r="J903" i="10" s="1"/>
  <c r="J904" i="10" s="1"/>
  <c r="J905" i="10" s="1"/>
  <c r="J906" i="10" s="1"/>
  <c r="J907" i="10" s="1"/>
  <c r="J908" i="10" s="1"/>
  <c r="J909" i="10" s="1"/>
  <c r="J910" i="10" s="1"/>
  <c r="J911" i="10" s="1"/>
  <c r="J912" i="10" s="1"/>
  <c r="J913" i="10" s="1"/>
  <c r="J914" i="10" s="1"/>
  <c r="J915" i="10" s="1"/>
  <c r="J916" i="10" s="1"/>
  <c r="J917" i="10" s="1"/>
  <c r="J918" i="10" s="1"/>
  <c r="J919" i="10" s="1"/>
  <c r="J920" i="10" s="1"/>
  <c r="J921" i="10" s="1"/>
  <c r="J922" i="10" s="1"/>
  <c r="J923" i="10" s="1"/>
  <c r="J924" i="10" s="1"/>
  <c r="J925" i="10" s="1"/>
  <c r="J926" i="10" s="1"/>
  <c r="J927" i="10" s="1"/>
  <c r="J928" i="10" s="1"/>
  <c r="J929" i="10" s="1"/>
  <c r="J930" i="10" s="1"/>
  <c r="J931" i="10" s="1"/>
  <c r="J932" i="10" s="1"/>
  <c r="J933" i="10" s="1"/>
  <c r="J934" i="10" s="1"/>
  <c r="J935" i="10" s="1"/>
  <c r="J936" i="10" s="1"/>
  <c r="J937" i="10" s="1"/>
  <c r="J938" i="10" s="1"/>
  <c r="J939" i="10" s="1"/>
  <c r="J940" i="10" s="1"/>
  <c r="J941" i="10" s="1"/>
  <c r="J942" i="10" s="1"/>
  <c r="J943" i="10" s="1"/>
  <c r="J944" i="10" s="1"/>
  <c r="J945" i="10" s="1"/>
  <c r="J946" i="10" s="1"/>
  <c r="J947" i="10" s="1"/>
  <c r="J948" i="10" s="1"/>
  <c r="J949" i="10" s="1"/>
  <c r="J950" i="10" s="1"/>
  <c r="J951" i="10" s="1"/>
  <c r="J952" i="10" s="1"/>
  <c r="J953" i="10" s="1"/>
  <c r="J954" i="10" s="1"/>
  <c r="J955" i="10" s="1"/>
  <c r="J956" i="10" s="1"/>
  <c r="J957" i="10" s="1"/>
  <c r="J958" i="10" s="1"/>
  <c r="J959" i="10" s="1"/>
  <c r="J960" i="10" s="1"/>
  <c r="J961" i="10" s="1"/>
  <c r="J962" i="10" s="1"/>
  <c r="J963" i="10" s="1"/>
  <c r="J964" i="10" s="1"/>
  <c r="J965" i="10" s="1"/>
  <c r="J966" i="10" s="1"/>
  <c r="J967" i="10" s="1"/>
  <c r="J968" i="10" s="1"/>
  <c r="J969" i="10" s="1"/>
  <c r="J970" i="10" s="1"/>
  <c r="J971" i="10" s="1"/>
  <c r="J972" i="10" s="1"/>
  <c r="J973" i="10" s="1"/>
  <c r="J974" i="10" s="1"/>
  <c r="J975" i="10" s="1"/>
  <c r="J976" i="10" s="1"/>
  <c r="J977" i="10" s="1"/>
  <c r="J978" i="10" s="1"/>
  <c r="J979" i="10" s="1"/>
  <c r="J980" i="10" s="1"/>
  <c r="J981" i="10" s="1"/>
  <c r="J982" i="10" s="1"/>
  <c r="J983" i="10" s="1"/>
  <c r="J984" i="10" s="1"/>
  <c r="J985" i="10" s="1"/>
  <c r="J986" i="10" s="1"/>
  <c r="J987" i="10" s="1"/>
  <c r="J988" i="10" s="1"/>
  <c r="J989" i="10" s="1"/>
  <c r="J990" i="10" s="1"/>
  <c r="J991" i="10" s="1"/>
  <c r="J992" i="10" s="1"/>
  <c r="J993" i="10" s="1"/>
  <c r="J994" i="10" s="1"/>
  <c r="J995" i="10" s="1"/>
  <c r="J996" i="10" s="1"/>
  <c r="J997" i="10" s="1"/>
  <c r="J998" i="10" s="1"/>
  <c r="J999" i="10" s="1"/>
  <c r="J1000" i="10" s="1"/>
  <c r="J1001" i="10" s="1"/>
  <c r="J1002" i="10" s="1"/>
  <c r="J1003" i="10" s="1"/>
  <c r="J1004" i="10" s="1"/>
  <c r="J1005" i="10" s="1"/>
  <c r="J1006" i="10" s="1"/>
  <c r="J1007" i="10" s="1"/>
  <c r="J1008" i="10" s="1"/>
  <c r="J1009" i="10" s="1"/>
  <c r="J1010" i="10" s="1"/>
  <c r="J1011" i="10" s="1"/>
  <c r="J1012" i="10" s="1"/>
  <c r="J1013" i="10" s="1"/>
  <c r="J1014" i="10" s="1"/>
  <c r="J1015" i="10" s="1"/>
  <c r="J1016" i="10" s="1"/>
  <c r="J1017" i="10" s="1"/>
  <c r="J1018" i="10" s="1"/>
  <c r="J1019" i="10" s="1"/>
  <c r="J1020" i="10" s="1"/>
  <c r="J1021" i="10" s="1"/>
  <c r="J1022" i="10" s="1"/>
  <c r="J1023" i="10" s="1"/>
  <c r="J1024" i="10" s="1"/>
  <c r="J1025" i="10" s="1"/>
  <c r="J1026" i="10" s="1"/>
  <c r="J1027" i="10" s="1"/>
  <c r="J1028" i="10" s="1"/>
  <c r="J1029" i="10" s="1"/>
  <c r="J1030" i="10" s="1"/>
  <c r="J1031" i="10" s="1"/>
  <c r="J1032" i="10" s="1"/>
  <c r="J1033" i="10" s="1"/>
  <c r="J1034" i="10" s="1"/>
  <c r="J1035" i="10" s="1"/>
  <c r="J1036" i="10" s="1"/>
  <c r="J1037" i="10" s="1"/>
  <c r="J1038" i="10" s="1"/>
  <c r="J1039" i="10" s="1"/>
  <c r="J1040" i="10" s="1"/>
  <c r="J1041" i="10" s="1"/>
  <c r="J1042" i="10" s="1"/>
  <c r="J1043" i="10" s="1"/>
  <c r="J1044" i="10" s="1"/>
  <c r="J1045" i="10" s="1"/>
  <c r="J1046" i="10" s="1"/>
  <c r="J1047" i="10" s="1"/>
  <c r="J1048" i="10" s="1"/>
  <c r="J1049" i="10" s="1"/>
  <c r="J1050" i="10" s="1"/>
  <c r="J1051" i="10" s="1"/>
  <c r="J1052" i="10" s="1"/>
  <c r="J1053" i="10" s="1"/>
  <c r="J1054" i="10" s="1"/>
  <c r="J1055" i="10" s="1"/>
  <c r="J1056" i="10" s="1"/>
  <c r="J1057" i="10" s="1"/>
  <c r="J1058" i="10" s="1"/>
  <c r="J1059" i="10" s="1"/>
  <c r="J1060" i="10" s="1"/>
  <c r="J1061" i="10" s="1"/>
  <c r="J1062" i="10" s="1"/>
  <c r="J1063" i="10" s="1"/>
  <c r="J1064" i="10" s="1"/>
  <c r="J1065" i="10" s="1"/>
  <c r="J1066" i="10" s="1"/>
  <c r="J1067" i="10" s="1"/>
  <c r="J1068" i="10" s="1"/>
  <c r="J1069" i="10" s="1"/>
  <c r="J1070" i="10" s="1"/>
  <c r="J1071" i="10" s="1"/>
  <c r="J1072" i="10" s="1"/>
  <c r="J1073" i="10" s="1"/>
  <c r="J1074" i="10" s="1"/>
  <c r="J1075" i="10" s="1"/>
  <c r="J1076" i="10" s="1"/>
  <c r="J1077" i="10" s="1"/>
  <c r="J1078" i="10" s="1"/>
  <c r="J1079" i="10" s="1"/>
  <c r="J1080" i="10" s="1"/>
  <c r="J1081" i="10" s="1"/>
  <c r="J1082" i="10" s="1"/>
  <c r="J1083" i="10" s="1"/>
  <c r="J1084" i="10" s="1"/>
  <c r="J1085" i="10" s="1"/>
  <c r="J1086" i="10" s="1"/>
  <c r="J1087" i="10" s="1"/>
  <c r="J1088" i="10" s="1"/>
  <c r="J1089" i="10" s="1"/>
  <c r="J1090" i="10" s="1"/>
  <c r="J1091" i="10" s="1"/>
  <c r="J46" i="2"/>
  <c r="N18" i="1" s="1"/>
  <c r="K18" i="1"/>
  <c r="K19" i="1" s="1"/>
  <c r="H45" i="2"/>
  <c r="G13" i="5"/>
  <c r="C20" i="1"/>
  <c r="E20" i="5"/>
  <c r="I150" i="1"/>
  <c r="I153" i="1" s="1"/>
  <c r="I155" i="1" s="1"/>
  <c r="E28" i="1"/>
  <c r="X6" i="6"/>
  <c r="F17" i="1"/>
  <c r="H29" i="1"/>
  <c r="J29" i="1" s="1"/>
  <c r="H40" i="2"/>
  <c r="X7" i="6"/>
  <c r="C23" i="1"/>
  <c r="D20" i="5"/>
  <c r="L63" i="1"/>
  <c r="I43" i="2"/>
  <c r="X8" i="6"/>
  <c r="M4" i="8"/>
  <c r="K51" i="2"/>
  <c r="K52" i="2" s="1"/>
  <c r="K43" i="2"/>
  <c r="M63" i="1"/>
  <c r="D54" i="2"/>
  <c r="H41" i="2"/>
  <c r="H36" i="2"/>
  <c r="E22" i="5"/>
  <c r="G8" i="5"/>
  <c r="F8" i="5"/>
  <c r="D10" i="5"/>
  <c r="I19" i="1"/>
  <c r="Q17" i="1"/>
  <c r="H30" i="1"/>
  <c r="C52" i="1"/>
  <c r="J43" i="2"/>
  <c r="N19" i="1"/>
  <c r="I35" i="2"/>
  <c r="I45" i="2"/>
  <c r="J18" i="1"/>
  <c r="J19" i="1" s="1"/>
  <c r="E47" i="1"/>
  <c r="I41" i="2"/>
  <c r="X2" i="3"/>
  <c r="G20" i="1"/>
  <c r="G21" i="1" s="1"/>
  <c r="L35" i="2"/>
  <c r="X7" i="3"/>
  <c r="X5" i="6"/>
  <c r="I20" i="1"/>
  <c r="D28" i="1"/>
  <c r="E52" i="1"/>
  <c r="M35" i="2"/>
  <c r="H8" i="5"/>
  <c r="D16" i="5"/>
  <c r="W6" i="6"/>
  <c r="Y6" i="6"/>
  <c r="Y9" i="6" s="1"/>
  <c r="Y11" i="6" s="1"/>
  <c r="D31" i="1"/>
  <c r="C49" i="1"/>
  <c r="D12" i="1"/>
  <c r="D14" i="1" s="1"/>
  <c r="F12" i="1"/>
  <c r="F14" i="1" s="1"/>
  <c r="C46" i="1"/>
  <c r="F9" i="5"/>
  <c r="Z6" i="6"/>
  <c r="E31" i="1"/>
  <c r="E46" i="1"/>
  <c r="E49" i="1"/>
  <c r="Q45" i="1" s="1"/>
  <c r="J63" i="1"/>
  <c r="L83" i="1"/>
  <c r="K84" i="1" s="1"/>
  <c r="G9" i="5"/>
  <c r="H9" i="5" s="1"/>
  <c r="W7" i="6"/>
  <c r="E29" i="1"/>
  <c r="Y7" i="6"/>
  <c r="K12" i="7"/>
  <c r="D33" i="1"/>
  <c r="E32" i="1"/>
  <c r="Z7" i="6"/>
  <c r="D4" i="1"/>
  <c r="E33" i="1"/>
  <c r="C47" i="1"/>
  <c r="F47" i="1" s="1"/>
  <c r="X1" i="3"/>
  <c r="D22" i="5" s="1"/>
  <c r="W2" i="6"/>
  <c r="W8" i="6"/>
  <c r="P9" i="1"/>
  <c r="C50" i="1"/>
  <c r="J41" i="2"/>
  <c r="E54" i="2"/>
  <c r="W3" i="6"/>
  <c r="AA8" i="6"/>
  <c r="AA9" i="6" s="1"/>
  <c r="AA11" i="6" s="1"/>
  <c r="W4" i="6"/>
  <c r="E30" i="1"/>
  <c r="C48" i="1"/>
  <c r="F48" i="1" s="1"/>
  <c r="E51" i="1"/>
  <c r="Q46" i="1" s="1"/>
  <c r="M38" i="2"/>
  <c r="N38" i="2" s="1"/>
  <c r="M42" i="2"/>
  <c r="M51" i="2" s="1"/>
  <c r="X4" i="6"/>
  <c r="X9" i="6" s="1"/>
  <c r="X12" i="6" s="1"/>
  <c r="L42" i="2"/>
  <c r="L51" i="2" s="1"/>
  <c r="AA1" i="9"/>
  <c r="AA10" i="9" s="1"/>
  <c r="D5" i="1"/>
  <c r="G5" i="1" s="1"/>
  <c r="E20" i="1"/>
  <c r="Q20" i="1" s="1"/>
  <c r="C45" i="1"/>
  <c r="E48" i="1"/>
  <c r="W5" i="6"/>
  <c r="D30" i="1" s="1"/>
  <c r="J30" i="1" s="1"/>
  <c r="E45" i="1"/>
  <c r="F65" i="1" l="1"/>
  <c r="K90" i="1"/>
  <c r="K86" i="1"/>
  <c r="W9" i="6"/>
  <c r="F13" i="5"/>
  <c r="F10" i="5"/>
  <c r="I47" i="2"/>
  <c r="I59" i="2"/>
  <c r="I61" i="2" s="1"/>
  <c r="E18" i="1"/>
  <c r="F51" i="1"/>
  <c r="E34" i="1"/>
  <c r="K28" i="1"/>
  <c r="K34" i="1" s="1"/>
  <c r="J65" i="1"/>
  <c r="D69" i="1"/>
  <c r="M52" i="2"/>
  <c r="I36" i="2"/>
  <c r="L65" i="1"/>
  <c r="F69" i="1"/>
  <c r="D65" i="1"/>
  <c r="D68" i="1"/>
  <c r="Q44" i="1"/>
  <c r="Q47" i="1" s="1"/>
  <c r="I48" i="1"/>
  <c r="J28" i="1"/>
  <c r="J34" i="1" s="1"/>
  <c r="D34" i="1"/>
  <c r="C24" i="1"/>
  <c r="O20" i="1"/>
  <c r="N21" i="1"/>
  <c r="Z9" i="6"/>
  <c r="Z12" i="6" s="1"/>
  <c r="V12" i="6" s="1"/>
  <c r="C18" i="1"/>
  <c r="H47" i="2"/>
  <c r="H50" i="2" s="1"/>
  <c r="K24" i="1"/>
  <c r="G4" i="1"/>
  <c r="G6" i="1" s="1"/>
  <c r="D6" i="1"/>
  <c r="K21" i="1"/>
  <c r="N20" i="1"/>
  <c r="F56" i="2"/>
  <c r="K30" i="1"/>
  <c r="F55" i="2"/>
  <c r="M36" i="2" s="1"/>
  <c r="J20" i="1"/>
  <c r="J21" i="1" s="1"/>
  <c r="P44" i="1"/>
  <c r="P47" i="1" s="1"/>
  <c r="H49" i="1"/>
  <c r="J49" i="1" s="1"/>
  <c r="L49" i="1" s="1"/>
  <c r="H48" i="1"/>
  <c r="J48" i="1" s="1"/>
  <c r="F46" i="1"/>
  <c r="L52" i="2"/>
  <c r="L36" i="2"/>
  <c r="D58" i="2"/>
  <c r="H43" i="2"/>
  <c r="H51" i="2"/>
  <c r="H52" i="2" s="1"/>
  <c r="H34" i="1"/>
  <c r="F52" i="1"/>
  <c r="E53" i="1"/>
  <c r="E55" i="1" s="1"/>
  <c r="K13" i="7"/>
  <c r="K23" i="1"/>
  <c r="D21" i="5"/>
  <c r="E21" i="5" s="1"/>
  <c r="X8" i="3"/>
  <c r="G23" i="1"/>
  <c r="O23" i="1" s="1"/>
  <c r="M40" i="2"/>
  <c r="I30" i="1"/>
  <c r="I34" i="1" s="1"/>
  <c r="G24" i="1"/>
  <c r="P45" i="1"/>
  <c r="F49" i="1"/>
  <c r="L43" i="2"/>
  <c r="C53" i="1"/>
  <c r="F45" i="1"/>
  <c r="J45" i="2"/>
  <c r="K29" i="1"/>
  <c r="L2" i="10"/>
  <c r="I21" i="1"/>
  <c r="L3" i="10"/>
  <c r="J5" i="1" s="1"/>
  <c r="K5" i="1" s="1"/>
  <c r="R17" i="1"/>
  <c r="F53" i="1" l="1"/>
  <c r="F55" i="1" s="1"/>
  <c r="K14" i="7"/>
  <c r="I50" i="2"/>
  <c r="I51" i="2"/>
  <c r="I52" i="2" s="1"/>
  <c r="I49" i="2"/>
  <c r="D70" i="1"/>
  <c r="J55" i="2"/>
  <c r="J56" i="2" s="1"/>
  <c r="F20" i="1"/>
  <c r="F54" i="2"/>
  <c r="F70" i="1"/>
  <c r="H70" i="1" s="1"/>
  <c r="G66" i="1"/>
  <c r="G70" i="1" s="1"/>
  <c r="W11" i="6"/>
  <c r="V11" i="6" s="1"/>
  <c r="V13" i="6" s="1"/>
  <c r="W16" i="6"/>
  <c r="H53" i="1"/>
  <c r="C55" i="1"/>
  <c r="R20" i="1"/>
  <c r="O24" i="1"/>
  <c r="M86" i="1"/>
  <c r="K98" i="1"/>
  <c r="K100" i="1" s="1"/>
  <c r="J47" i="2"/>
  <c r="F18" i="1"/>
  <c r="F19" i="1" s="1"/>
  <c r="Q18" i="1"/>
  <c r="E37" i="1"/>
  <c r="E19" i="1"/>
  <c r="E21" i="1" s="1"/>
  <c r="M43" i="2"/>
  <c r="N40" i="2"/>
  <c r="N43" i="2" s="1"/>
  <c r="O18" i="1"/>
  <c r="C19" i="1"/>
  <c r="C21" i="1" s="1"/>
  <c r="L4" i="10"/>
  <c r="J4" i="1"/>
  <c r="F58" i="2" l="1"/>
  <c r="N36" i="2" s="1"/>
  <c r="J36" i="2"/>
  <c r="J6" i="1"/>
  <c r="K4" i="1"/>
  <c r="K6" i="1" s="1"/>
  <c r="J50" i="2"/>
  <c r="J49" i="2"/>
  <c r="J51" i="2"/>
  <c r="J52" i="2" s="1"/>
  <c r="Q37" i="1"/>
  <c r="Q19" i="1"/>
  <c r="Q21" i="1" s="1"/>
  <c r="K15" i="7"/>
  <c r="R18" i="1"/>
  <c r="R19" i="1" s="1"/>
  <c r="R21" i="1" s="1"/>
  <c r="O19" i="1"/>
  <c r="O21" i="1" s="1"/>
  <c r="F21" i="1"/>
  <c r="K16" i="7" l="1"/>
  <c r="K17" i="7" l="1"/>
  <c r="K18" i="7" l="1"/>
  <c r="K19" i="7" l="1"/>
  <c r="K20" i="7" l="1"/>
  <c r="K21" i="7" l="1"/>
  <c r="K22" i="7" s="1"/>
  <c r="K23" i="7" s="1"/>
  <c r="K24" i="7" s="1"/>
  <c r="K25" i="7" s="1"/>
  <c r="K26" i="7" s="1"/>
  <c r="K27" i="7" s="1"/>
  <c r="K28" i="7" s="1"/>
  <c r="K29" i="7" s="1"/>
  <c r="K30" i="7" s="1"/>
  <c r="O5" i="7" s="1"/>
  <c r="M2" i="7" l="1"/>
  <c r="M6" i="7"/>
  <c r="M4" i="7"/>
  <c r="N5" i="7"/>
  <c r="O2" i="7"/>
  <c r="M3" i="7"/>
  <c r="N4" i="7"/>
  <c r="N6" i="7"/>
  <c r="O4" i="7"/>
  <c r="M5" i="7"/>
  <c r="N3" i="7"/>
  <c r="O6" i="7"/>
  <c r="O3" i="7"/>
  <c r="N2" i="7"/>
  <c r="N7" i="7" s="1"/>
  <c r="O7" i="7" l="1"/>
  <c r="M7" i="7"/>
  <c r="E39" i="1" s="1"/>
  <c r="D39" i="1"/>
  <c r="D40" i="1" l="1"/>
  <c r="E40" i="1" s="1"/>
  <c r="D4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Nguyễn Văn Hải</author>
  </authors>
  <commentList>
    <comment ref="Q43" authorId="0" shapeId="0" xr:uid="{00000000-0006-0000-0000-000001000000}">
      <text>
        <r>
          <rPr>
            <sz val="12"/>
            <rFont val="Times New Roman"/>
            <family val="1"/>
          </rPr>
          <t>Ứng dụng tự động tính</t>
        </r>
      </text>
    </comment>
  </commentList>
</comments>
</file>

<file path=xl/sharedStrings.xml><?xml version="1.0" encoding="utf-8"?>
<sst xmlns="http://schemas.openxmlformats.org/spreadsheetml/2006/main" count="18868" uniqueCount="2377">
  <si>
    <t>THUẾ ĐẦU VÀO</t>
  </si>
  <si>
    <t>C/LECH</t>
  </si>
  <si>
    <t>TA36</t>
  </si>
  <si>
    <t>Tài khoản</t>
  </si>
  <si>
    <t>Doanh số</t>
  </si>
  <si>
    <t>thuế suất</t>
  </si>
  <si>
    <t>Tiền thuế</t>
  </si>
  <si>
    <t>Sau thuế</t>
  </si>
  <si>
    <t>TA30</t>
  </si>
  <si>
    <t>TA36-TA30</t>
  </si>
  <si>
    <t>thuế đầu vào lên tờ khai</t>
  </si>
  <si>
    <t>Tên hàng hóa, dịch vụ</t>
  </si>
  <si>
    <t>Giá trị hàng hóa, dịch vụ mua vào chưa có thuế GTGT được khấu trừ trong kỳ</t>
  </si>
  <si>
    <t>Thuế GTGT của hàng hóa, dịch vụ mua vào được khấu trừ trong kỳ</t>
  </si>
  <si>
    <t>Hàng hóa dịnh vụ mua vào áp thuế suất 8%</t>
  </si>
  <si>
    <t>THUẾ,ĐẦU,RA</t>
  </si>
  <si>
    <t>DIEN01</t>
  </si>
  <si>
    <t>CSPK02</t>
  </si>
  <si>
    <t>DIEN00</t>
  </si>
  <si>
    <t>CỘNG</t>
  </si>
  <si>
    <t>Doanh,số</t>
  </si>
  <si>
    <t>thuế,suất</t>
  </si>
  <si>
    <t>Tiền,thuế</t>
  </si>
  <si>
    <t>Sau,thuế</t>
  </si>
  <si>
    <t>KDGCS</t>
  </si>
  <si>
    <t>TRONGTHANG</t>
  </si>
  <si>
    <t>CUOITHANG</t>
  </si>
  <si>
    <t>KD4A</t>
  </si>
  <si>
    <t>c/lech</t>
  </si>
  <si>
    <t>GCS-4A</t>
  </si>
  <si>
    <t>GL0903</t>
  </si>
  <si>
    <t>KD4A-GL0903</t>
  </si>
  <si>
    <t>TA35</t>
  </si>
  <si>
    <t>TA_035</t>
  </si>
  <si>
    <t>GCS T6-2026 sang T7/26 HT</t>
  </si>
  <si>
    <t>GCS T6-2026</t>
  </si>
  <si>
    <t>Chênh lệch</t>
  </si>
  <si>
    <t>1388ĐĐ</t>
  </si>
  <si>
    <t>5118QT</t>
  </si>
  <si>
    <t>4500TT</t>
  </si>
  <si>
    <t>Cộng</t>
  </si>
  <si>
    <t>GL33895 (GL_038)</t>
  </si>
  <si>
    <t>KDGCS-GL33895</t>
  </si>
  <si>
    <t>TA030</t>
  </si>
  <si>
    <t>TK333111</t>
  </si>
  <si>
    <t>KDGCS-TA30</t>
  </si>
  <si>
    <t>TA35-TA30</t>
  </si>
  <si>
    <t>Giá trị hàng hóa, dịch vụ chưa có thuế GTGT</t>
  </si>
  <si>
    <t>Thuế GTGT của hàng hóa, dịch vụ bán ra được giảm</t>
  </si>
  <si>
    <t>Thuế đầu ra lên tờ khai</t>
  </si>
  <si>
    <t>NHẬP LÊN TỜ KHÁI THUẾ THÁNG</t>
  </si>
  <si>
    <t>Hoạt động kinh doanh điện</t>
  </si>
  <si>
    <t>Điện</t>
  </si>
  <si>
    <t>Điều động vật tư thiết bị</t>
  </si>
  <si>
    <t>Cho thuê trụ</t>
  </si>
  <si>
    <t>Điện vô công</t>
  </si>
  <si>
    <t>CSPK00</t>
  </si>
  <si>
    <t>Điều động VTTB</t>
  </si>
  <si>
    <t>1388DD</t>
  </si>
  <si>
    <t>Cho thuê trụ điện</t>
  </si>
  <si>
    <t>TỜ,KHAI,THUẾ,GTGT</t>
  </si>
  <si>
    <t>2026T04</t>
  </si>
  <si>
    <t>Đầu vào</t>
  </si>
  <si>
    <t>Đầu ra</t>
  </si>
  <si>
    <t>số trên tokhai</t>
  </si>
  <si>
    <t>dauky dauvao(N13311)</t>
  </si>
  <si>
    <t>số dư Nợ 13311</t>
  </si>
  <si>
    <t>dauky daura (N333111)</t>
  </si>
  <si>
    <t>số dư Nợ 333111</t>
  </si>
  <si>
    <t>dauvao trong thang</t>
  </si>
  <si>
    <t>daura trong thang</t>
  </si>
  <si>
    <t>TK,333111</t>
  </si>
  <si>
    <t xml:space="preserve">                             TK 13311</t>
  </si>
  <si>
    <t>số dư HCM</t>
  </si>
  <si>
    <t>số này sẽ được khấu trừ trong năm 2026</t>
  </si>
  <si>
    <t>số dư SPC (đúng)</t>
  </si>
  <si>
    <t>số dư Nợ 13311 của SPC không được, để nguyên</t>
  </si>
  <si>
    <t>số dư SPC</t>
  </si>
  <si>
    <t>số nộp dư của SCP Nợ TK333111 --&gt; không được khấu trừ, để nguyên</t>
  </si>
  <si>
    <t>đ/c giảm đầu vào của Tân Thuận (đã làm tờ đ/c trong T2/2024+T3/2024)</t>
  </si>
  <si>
    <t>psinh tháng này</t>
  </si>
  <si>
    <t xml:space="preserve">Cộng phát sinh </t>
  </si>
  <si>
    <t>KC 13311-333111 (SXKD)</t>
  </si>
  <si>
    <t>KC 133-333</t>
  </si>
  <si>
    <t>KC 13313-333111 (XDCB)</t>
  </si>
  <si>
    <t>số còn được cấn trừ tháng sau</t>
  </si>
  <si>
    <t>giữ nguyên số dư</t>
  </si>
  <si>
    <t>Số thuế phải nộp</t>
  </si>
  <si>
    <t>Số còn được KT thực tế</t>
  </si>
  <si>
    <t>số dư cuối cùng</t>
  </si>
  <si>
    <t>Đ/cgiảm thuế GTGT đầu vào T2/2024 cho PC Tân Thuận</t>
  </si>
  <si>
    <t>Đ/cgiảm thuế GTGT đầu vào T3/2024 cho PC Tân Thuận</t>
  </si>
  <si>
    <t>[22]</t>
  </si>
  <si>
    <t>[25]</t>
  </si>
  <si>
    <t>[35]</t>
  </si>
  <si>
    <t>[40]</t>
  </si>
  <si>
    <t>chỉtiêu22:lấytừchỉtiêu43củatờkhailầnđầucủathángliềnkềtrước</t>
  </si>
  <si>
    <t>SốthuếGTGTcònđượckhấutrừtănggiảmsẽnhậpvàochỉtiêu37+38</t>
  </si>
  <si>
    <t>sốphảinộp</t>
  </si>
  <si>
    <t>cấntrừnộpthừa</t>
  </si>
  <si>
    <t>sốthuếnộpthựctếtháng7/2025</t>
  </si>
  <si>
    <t>TỔNG CÔNG TY ĐIỆN LỰC THÀNH PHỐ HỒ CHÍ MINH TNHH</t>
  </si>
  <si>
    <t>CÔNG TY ĐIỆN LỰC VŨNG TÀU</t>
  </si>
  <si>
    <t>BÁO CÁO TỔNG HỢP THEO NGÀY GHI CHỈ SỐ VÀ PHÁT HÀNH HÓA ĐƠN</t>
  </si>
  <si>
    <t>Tháng năm: 07/2026</t>
  </si>
  <si>
    <t>Stt</t>
  </si>
  <si>
    <t>Ngày ghi</t>
  </si>
  <si>
    <t>Số sổ GCS</t>
  </si>
  <si>
    <t>Số hóa đơn</t>
  </si>
  <si>
    <t>Ngày phát hành hóa đơn</t>
  </si>
  <si>
    <t>Điện năng tiêu thụ</t>
  </si>
  <si>
    <t>Tiền điện tác dụng</t>
  </si>
  <si>
    <t>Thuế điện tác dụng</t>
  </si>
  <si>
    <t>Tổng tiền điện tác dụng</t>
  </si>
  <si>
    <t>Tiền CSPK</t>
  </si>
  <si>
    <t>Thuế CSPK</t>
  </si>
  <si>
    <t>Tổng tiền CSPK</t>
  </si>
  <si>
    <t>Tổng cộng</t>
  </si>
  <si>
    <t>SH</t>
  </si>
  <si>
    <t>Ngoài SH</t>
  </si>
  <si>
    <t>Tổng</t>
  </si>
  <si>
    <t>Loại hoá đơn : Hủy bỏ</t>
  </si>
  <si>
    <t>31/07/2026</t>
  </si>
  <si>
    <t>Tổng số</t>
  </si>
  <si>
    <t>Loại hoá đơn : Lặp lại</t>
  </si>
  <si>
    <t>Tổng số:</t>
  </si>
  <si>
    <t>Loại hoá đơn : Phát sinh</t>
  </si>
  <si>
    <t>10/07/2026</t>
  </si>
  <si>
    <t>15/07/2026</t>
  </si>
  <si>
    <t>20/07/2026</t>
  </si>
  <si>
    <t>Loại hoá đơn : Thoái hoàn</t>
  </si>
  <si>
    <t>Loại hoá đơn : Truy thu</t>
  </si>
  <si>
    <t>TIENDIEN</t>
  </si>
  <si>
    <t>THUE DIEN</t>
  </si>
  <si>
    <t>TONG</t>
  </si>
  <si>
    <t>CSPK</t>
  </si>
  <si>
    <t>THUE CSPK</t>
  </si>
  <si>
    <t>TONG CSPK</t>
  </si>
  <si>
    <t>Trong đó</t>
  </si>
  <si>
    <t>Biểu 4A</t>
  </si>
  <si>
    <t>trước thuế</t>
  </si>
  <si>
    <t>thuế</t>
  </si>
  <si>
    <t>sau thuế</t>
  </si>
  <si>
    <t>dò biểu 33895</t>
  </si>
  <si>
    <t>HCMC - Công ty Điện lực Vũng Tàu</t>
  </si>
  <si>
    <t>Báo cáo liệt kê giao dịch phát sinh theo tài khoản</t>
  </si>
  <si>
    <t>Từ ngày 01/07/2026 đến ngày 31/07/2026</t>
  </si>
  <si>
    <t>vật tư điều động</t>
  </si>
  <si>
    <t>Nguồn phát sinh</t>
  </si>
  <si>
    <t>Số giao dịch</t>
  </si>
  <si>
    <t>Ngày giao dịch</t>
  </si>
  <si>
    <t>Chi nhánh</t>
  </si>
  <si>
    <t>Trung tâm chi phí</t>
  </si>
  <si>
    <t>Loại hình</t>
  </si>
  <si>
    <t>Sản phẩm</t>
  </si>
  <si>
    <t>Yếu tố</t>
  </si>
  <si>
    <t>Đơn vị nội bộ</t>
  </si>
  <si>
    <t>Dự phòng đơn vị</t>
  </si>
  <si>
    <t>Dự phòng EVN</t>
  </si>
  <si>
    <t>Loại tiền</t>
  </si>
  <si>
    <t>Nợ nguyên tệ</t>
  </si>
  <si>
    <t>Có nguyên tệ</t>
  </si>
  <si>
    <t>Nợ quy đổi</t>
  </si>
  <si>
    <t>Có quy đổi</t>
  </si>
  <si>
    <t>Nội dung</t>
  </si>
  <si>
    <t>Trạng thái hạch toán</t>
  </si>
  <si>
    <t>Người tạo</t>
  </si>
  <si>
    <t>Người cập nhật</t>
  </si>
  <si>
    <t>quà tặng</t>
  </si>
  <si>
    <t>FA_DEPRECIATION</t>
  </si>
  <si>
    <t>VTA-0007683.1</t>
  </si>
  <si>
    <t>VND</t>
  </si>
  <si>
    <t>MBA 3P 250KVA TBD AMOR VMK TXPM_SM: 192251145</t>
  </si>
  <si>
    <t>F</t>
  </si>
  <si>
    <t>HUONGDTT.HCM.VTA</t>
  </si>
  <si>
    <t>dường dây thông tin</t>
  </si>
  <si>
    <t>AR_TRANSACTIONS</t>
  </si>
  <si>
    <t>DIEN01-DOANH THU HÓA ĐƠN TIỀN ĐIỆN PHÁT SINH TỪ NGÀY 21/07/2026 ĐẾN 21/07/2026</t>
  </si>
  <si>
    <t>QUYENNN.HCM.VTA</t>
  </si>
  <si>
    <t>DIEN00-DOANH THU HÓA ĐƠN TIỀN ĐIỆN PHÁT SINH-CT TNHH NHÔM TOÀN CẦU VIỆT NAM KỲ 2/7/2026</t>
  </si>
  <si>
    <t>CSPK02-DOANH THU HÓA ĐƠN TIỀN VÔ CÔNG PHÁT SINH TỪ NGÀY 21/07/2026 ĐẾN 21/07/2026</t>
  </si>
  <si>
    <t>DIEN01-DOANH THU HÓA ĐƠN TIỀN ĐIỆN PHÁT SINH TỪ NGÀY 11/07/2026 ĐẾN 11/07/2026</t>
  </si>
  <si>
    <t>DIEN00-DOANH THU HÓA ĐƠN TIỀN ĐIỆN PHÁT SINH-CT TNHH NHÔM TOÀN CẦU VIỆT NAM KỲ 1/7/2026</t>
  </si>
  <si>
    <t>CSPK02-DOANH THU HÓA ĐƠN TIỀN VÔ CÔNG PHÁT SINH TỪ NGÀY 11/07/2026 ĐẾN 11/07/2026</t>
  </si>
  <si>
    <t>4500TT - Doanh thu cho thuê cột điện từ 01/07/26 đến 31/07/2026 - HĐ 68/27.07.2026</t>
  </si>
  <si>
    <t>CHAULTN.HCM.VTA</t>
  </si>
  <si>
    <t>DIEN01-DOANH THU HÓA ĐƠN TIỀN ĐIỆN PHÁT SINH T07/2026</t>
  </si>
  <si>
    <t>DIEN00-DOANH THU HÓA ĐƠN TIỀN ĐIỆN PHÁT SINH-CT TNHH NHÔM TOÀN CẦU VIỆT NAM KỲ 3/7/2026</t>
  </si>
  <si>
    <t>CSPK02-DOANH THU HÓA ĐƠN TIỀN VÔ CÔNG PHÁT SINH T07/2026</t>
  </si>
  <si>
    <t>4500TT - Doanh thu cho thuê cột điện VTVCAB từ 01/07/26 đến 31/07/2026 - HĐ 70 ngày 27/07/2026</t>
  </si>
  <si>
    <t>DIEN01-DOANH THU HÓA ĐƠN TIỀN ĐIỆN PHÁT SINH TỪ NGÀY 16/07/2026 ĐẾN 16/07/2026</t>
  </si>
  <si>
    <t>CSPK02-DOANH THU HÓA ĐƠN TIỀN VÔ CÔNG PHÁT SINH TỪ NGÀY 16/07/2026 ĐẾN 16/07/2026</t>
  </si>
  <si>
    <t>DIEN01-DOANH THU HÓA ĐƠN TIỀN ĐIỆN HỦY BỎ T07/2026</t>
  </si>
  <si>
    <t>DIEN01-DOANH THU HÓA ĐƠN TIỀN ĐIỆN LẶP LẠI T07/2026</t>
  </si>
  <si>
    <t>DIEN01-DOANH THU HÓA ĐƠN TIỀN ĐIỆN THOÁI HOÀN T07/2026</t>
  </si>
  <si>
    <t>DIEN01-DOANH THU HÓA ĐƠN TIỀN ĐIỆN TRUY THU T07/2026</t>
  </si>
  <si>
    <t>4500TT - Doanh thu cho thuê cột điện treo cáp viễn thông từ 01/07/26 đến 31/07/2026 - HĐ 69/27.07.2026</t>
  </si>
  <si>
    <t>MADONVI</t>
  </si>
  <si>
    <t>TENDONVI</t>
  </si>
  <si>
    <t>TONGDTP</t>
  </si>
  <si>
    <t>TIENCSPK</t>
  </si>
  <si>
    <t>THUE_TD</t>
  </si>
  <si>
    <t>THUE_CSPK</t>
  </si>
  <si>
    <t>TONGDTPKH</t>
  </si>
  <si>
    <t>TIENDIENKH</t>
  </si>
  <si>
    <t>GIABQKH</t>
  </si>
  <si>
    <t>PE1800</t>
  </si>
  <si>
    <t>Công ty Điện lực Vũng Tàu</t>
  </si>
  <si>
    <t>Trong DIEN01 có</t>
  </si>
  <si>
    <t>GL_0903</t>
  </si>
  <si>
    <t>333111</t>
  </si>
  <si>
    <t>333113</t>
  </si>
  <si>
    <t>333114</t>
  </si>
  <si>
    <t>Mẫu số : 01-1/GTGT</t>
  </si>
  <si>
    <t>(Ban hành kèm theo thông tư</t>
  </si>
  <si>
    <t>số 119/2014/TT-BTC ngày</t>
  </si>
  <si>
    <t>25/08/2014 của  Bộ tài chính)</t>
  </si>
  <si>
    <t>BẢNG KÊ HÓA ĐƠN, CHỨNG TỪ HÀNG HÓA, DỊCH VỤ BÁN RA(Kiểm soát số liệu)</t>
  </si>
  <si>
    <t>Kèm theo tờ kê khai thuế GTGT theo mẫu số 01/GTGT</t>
  </si>
  <si>
    <t>Người nộp thuế : CHI NHÁNH TỔNG CÔNG TY ĐIỆN LỰC THÀNH PHỐ HỒ CHÍ MINH TNHH - CÔNG TY ĐIỆN LỰC VŨNG TÀU</t>
  </si>
  <si>
    <t>Mã số thuế : 0300951119-010</t>
  </si>
  <si>
    <t>Đơn vị tính: đồng Việt Nam</t>
  </si>
  <si>
    <t>STT</t>
  </si>
  <si>
    <t>Hóa đơn, chứng từ bán</t>
  </si>
  <si>
    <t>Tên người mua</t>
  </si>
  <si>
    <t>Mã số thuế người mua</t>
  </si>
  <si>
    <t>Mặt hàng</t>
  </si>
  <si>
    <t>Doanh số bán chưa có thuế</t>
  </si>
  <si>
    <t>Thuế suất</t>
  </si>
  <si>
    <t>Thuế GTGT</t>
  </si>
  <si>
    <t>Ghi chú</t>
  </si>
  <si>
    <t>Nguồn chứng từ</t>
  </si>
  <si>
    <t>Số chứng từ</t>
  </si>
  <si>
    <t>Ngày lập chứng từ</t>
  </si>
  <si>
    <t>Thời hạn thanh toán trả chậm</t>
  </si>
  <si>
    <t>Số tiền đã thanh toán</t>
  </si>
  <si>
    <t>Loại hình kinh doanh</t>
  </si>
  <si>
    <t>Người lập chứng từ</t>
  </si>
  <si>
    <t>Trạng thái</t>
  </si>
  <si>
    <t>Ký hiệu hóa đơn</t>
  </si>
  <si>
    <t>Ngày, tháng, năm phát hành</t>
  </si>
  <si>
    <t>Kiểm dò MST</t>
  </si>
  <si>
    <t>1.Hàng hóa, dịch vụ không chịu thuế GTGT</t>
  </si>
  <si>
    <t>'</t>
  </si>
  <si>
    <t>2.Hàng hóa, dịch vụ chịu thuế suất thuế GTGT 0%</t>
  </si>
  <si>
    <t>DIEN00-DOANH THU HÓA ĐƠN TIỀN ĐIỆN PHÁT SINH</t>
  </si>
  <si>
    <t>'KHDIENKINHDOANH</t>
  </si>
  <si>
    <t>AR_TRANS</t>
  </si>
  <si>
    <t>Không xác định</t>
  </si>
  <si>
    <t xml:space="preserve">QUYENNN.HCM.VTA </t>
  </si>
  <si>
    <t>Complete</t>
  </si>
  <si>
    <t>DIEN00-DOANH THU HÓA ĐƠN TIỀN ĐIỆN PHÁT SINH-CT TNHH NHÔM TOÀN CẦU VIỆT NAM KỲ 3/6/2026</t>
  </si>
  <si>
    <t>GL</t>
  </si>
  <si>
    <t>Not Reversed</t>
  </si>
  <si>
    <t>3.Hàng hóa, dịch vụ chịu thuế suất thuế GTGT 5%</t>
  </si>
  <si>
    <t>4.Hàng hóa, dịch vụ chịu thuế suất thuế GTGT 10%</t>
  </si>
  <si>
    <t>K26TAH</t>
  </si>
  <si>
    <t>'63</t>
  </si>
  <si>
    <t>CHI NHÁNH TỔNG CÔNG TY ĐIỆN LỰC THÀNH PHỐ HỒ CHÍ MINH TNHH - CÔNG TY ĐIỆN LỰC BÌNH DƯƠNG</t>
  </si>
  <si>
    <t>'0300951119-028</t>
  </si>
  <si>
    <t>1388ĐĐ - Điều động điện kế 1P theo CV 3511 - 25/06/26 - PGH số 03.VH4.57.0016 ngày 07/07/26 - HĐ 63 ngày 13/07/2026</t>
  </si>
  <si>
    <t>CK</t>
  </si>
  <si>
    <t xml:space="preserve">CHAULTN.HCM.VTA </t>
  </si>
  <si>
    <t>'64</t>
  </si>
  <si>
    <t>Ban Quản lý dự án Đầu tư xây dựng phường Phú Mỹ</t>
  </si>
  <si>
    <t>'3502577766</t>
  </si>
  <si>
    <t>3220TK - Doanh thu thiết kế công trình"DD HTH trung, hạ thế và các TBA (Gói số 14) Đường số 16, xã Châu Pha" - HĐ 64/16.0</t>
  </si>
  <si>
    <t>'65</t>
  </si>
  <si>
    <t>CHI NHÁNH TỔNG CÔNG TY ĐIỆN LỰC THÀNH PHỐ HỒ CHÍ MINH TNHH - CÔNG TY ĐIỆN LỰC AN PHÚ ĐÔNG</t>
  </si>
  <si>
    <t>'0300951119-025</t>
  </si>
  <si>
    <t>1388ĐĐ - Điều đồng VTTB theo CV 2955/02/07/26 - PGH 03.VH1.44.0022 ngày 07/07/2026 - HĐ 65/16.07.2026</t>
  </si>
  <si>
    <t>'66</t>
  </si>
  <si>
    <t>Theo danh sách (Bảng kê đính kèm)</t>
  </si>
  <si>
    <t>QBQT  -  Qùa tặng KH cài áp CSKH  THEO H.ĐỒNG 062026 NGÀY 26/06/2026 - HĐ 66 ngày 22/07/2026</t>
  </si>
  <si>
    <t>'67</t>
  </si>
  <si>
    <t>CHI NHÁNH TỔNG CÔNG TY ĐIỆN LỰC THÀNH PHỐ HỒ CHÍ MINH TNHH - CÔNG TY ĐIỆN LỰC ĐẤT ĐỎ</t>
  </si>
  <si>
    <t>'0300951119-020</t>
  </si>
  <si>
    <t>1388ĐĐ - Điều động VTTB theo CV 2095/14.07.2026, PGH 03.VH1.43.0015 ngày 22/07/2026 - HĐ 67 ngày 23/07/2026</t>
  </si>
  <si>
    <t>1K26TAH</t>
  </si>
  <si>
    <t>CN TỔNG CÔNG TY ĐIỆN LỰC TPHCM TNHH - CÔNG TY ĐL ĐẤT ĐỎ</t>
  </si>
  <si>
    <t>ĐC giảm AR 1896/27.07.26 (HĐ 73/27.07.26)-ĐC giảm HĐơn 67/23.07.26-do sai tiền</t>
  </si>
  <si>
    <t>'68</t>
  </si>
  <si>
    <t>VNPT thành phố Hồ Chí Minh</t>
  </si>
  <si>
    <t>'0300954529</t>
  </si>
  <si>
    <t>'69</t>
  </si>
  <si>
    <t>Chi nhánh Công ty Cổ phần Viễn thông FPT</t>
  </si>
  <si>
    <t>'0101778163-001</t>
  </si>
  <si>
    <t>'70</t>
  </si>
  <si>
    <t>CHI NHÁNH CÔNG TY CỔ PHẦN TỔNG CÔNG TY TRUYỀN HÌNH CÁP VIỆT NAM TẠI TỈNH BÀ RỊA - VŨNG TÀU</t>
  </si>
  <si>
    <t>'0105926285-023</t>
  </si>
  <si>
    <t>'71</t>
  </si>
  <si>
    <t>1388ĐĐ - Điều động VTTB theo CV 1816 ngày 19/06/26 - PGH 03.VH1.43.0016 ngày 24/07/26 - HĐ 71/27.07.26</t>
  </si>
  <si>
    <t>'72</t>
  </si>
  <si>
    <t>1388ĐĐ - Điều động VTTBtheo CV 2208 ngày 23/07/26 - PGH 03.VH1.57.0007 ngày 24/07/2026 - HĐ 72 ngày 27/07/2026</t>
  </si>
  <si>
    <t>'73</t>
  </si>
  <si>
    <t>1388ĐĐ - Điều động VTTB theo CV 2095 - 14/07/26 - PGH 02.VH1.43.0015 ngày 22/07/26 (Điều chỉnh HĐ 67/23.07.26) - HĐ 73 ngày 27/0</t>
  </si>
  <si>
    <t>'74</t>
  </si>
  <si>
    <t xml:space="preserve">QTQT - Quà tặng hộ GĐ chính sách (KH triển khai thực hiện công trình thanh niên ngày 20/07/2026) VAT 10% - HĐ 74-31/07/2026 </t>
  </si>
  <si>
    <t>'75</t>
  </si>
  <si>
    <t>QBQT - QTQT - Quà tặng hộ GĐ chính sách (KH triển khai thực hiện công trình thanh niên ngày 20/07/2026) VAT 8% - HĐ 75 - 31/07/2026</t>
  </si>
  <si>
    <t>DIEN01-DOANH THU HÓA ĐƠN TIỀN ĐIỆN PHÁT SINH</t>
  </si>
  <si>
    <t>CSPK02-DOANH THU HÓA ĐƠN TIỀN VÔ CÔNG PHÁT SINH</t>
  </si>
  <si>
    <t>'KHDIENVOCONG</t>
  </si>
  <si>
    <t>DIEN01-DOANH THU HÓA ĐƠN TIỀN ĐIỆN HỦY BỎ</t>
  </si>
  <si>
    <t>DIEN01-DOANH THU HÓA ĐƠN TIỀN ĐIỆN LẶP LẠI</t>
  </si>
  <si>
    <t>DIEN01-DOANH THU HÓA ĐƠN TIỀN ĐIỆN THOÁI HOÀN</t>
  </si>
  <si>
    <t>DIEN01-DOANH THU HÓA ĐƠN TIỀN ĐIỆN TRUY THU</t>
  </si>
  <si>
    <t>DIEN01-DOANH THU HÓA ĐƠN TIỀN ĐIỆN PHÁT SINH T06/2026</t>
  </si>
  <si>
    <t>CSPK02-DOANH THU HÓA ĐƠN TIỀN VÔ CÔNG PHÁT SINH T06/2026</t>
  </si>
  <si>
    <t>5.Hàng hóa, dịch vụ không phải tổng hợp trên tờ khai 01/GTGT</t>
  </si>
  <si>
    <t>Tổng doanh thu dịch vụ hàng hóa bán ra : 1340874233995</t>
  </si>
  <si>
    <t>Tổng thuế GTGT của dịch vụ hàng hóa bán ra : 107247429095</t>
  </si>
  <si>
    <t>….., ngày ….., tháng ….., năm …...</t>
  </si>
  <si>
    <t>NGƯỜI NỘP THUẾ hoặc</t>
  </si>
  <si>
    <t>ĐẠI DIỆN HỢP PHÁP CỦA NGƯỜI NỘP THUẾ</t>
  </si>
  <si>
    <t>Ký tên, đóng dấu (Ghi rõ họ tên và chức vụ)</t>
  </si>
  <si>
    <t>CHI NHÁNH TỔNG CÔNG TY ĐIỆN LỰC THÀNH PHỐ HỒ CHÍ MINH TNHH - CÔNG TY ĐIỆN LỰC VŨNG TÀU</t>
  </si>
  <si>
    <t>SỔ CHI TIẾT THEO TÀI KHOẢN THUẾ</t>
  </si>
  <si>
    <t>Tài khoản: 3331 - Thuế và các khoản phải nộp Nhà nước – Thuế giá trị gia tăng phải nộp</t>
  </si>
  <si>
    <t xml:space="preserve">Loại hình:  - </t>
  </si>
  <si>
    <t>Từ ngày: 01/07/2026 đến ngày: 31/07/2026</t>
  </si>
  <si>
    <t>CHỨNG TỪ</t>
  </si>
  <si>
    <t>DIỄN GIẢI</t>
  </si>
  <si>
    <t>PHÁT SINH NỢ</t>
  </si>
  <si>
    <t>PHÁT SINH CÓ</t>
  </si>
  <si>
    <t>Người hạch toán</t>
  </si>
  <si>
    <t>Ngày chứng từ</t>
  </si>
  <si>
    <t>Tài khoản: 33311100000</t>
  </si>
  <si>
    <t>Dư đầu kỳ </t>
  </si>
  <si>
    <t>'1862</t>
  </si>
  <si>
    <t xml:space="preserve">Final to Post </t>
  </si>
  <si>
    <t>'1864</t>
  </si>
  <si>
    <t>'2103</t>
  </si>
  <si>
    <t>DIEN01-Giải trừ thuế GTGT đầu ra từ 33895 sang 333111-30/06/2026-AR1782</t>
  </si>
  <si>
    <t xml:space="preserve">Post </t>
  </si>
  <si>
    <t>CSPK02-Giải trừ thuế GTGT đầu ra từ 33895 sang 333111-30/06/2026-AR1784</t>
  </si>
  <si>
    <t>'1850</t>
  </si>
  <si>
    <t>'1851</t>
  </si>
  <si>
    <t>'1886</t>
  </si>
  <si>
    <t>'1888</t>
  </si>
  <si>
    <t>'1906</t>
  </si>
  <si>
    <t>(18 798 798)</t>
  </si>
  <si>
    <t>'1907</t>
  </si>
  <si>
    <t>'1908</t>
  </si>
  <si>
    <t>(2 226 899)</t>
  </si>
  <si>
    <t>'1909</t>
  </si>
  <si>
    <t>'2114</t>
  </si>
  <si>
    <t>Kết chuyển TK 13313_9000 qua TK 333111</t>
  </si>
  <si>
    <t>LINH3NTT.HCM.VTA</t>
  </si>
  <si>
    <t>'2154</t>
  </si>
  <si>
    <t>Kết chuyển Kê khai thuế GTGT CTĐTXD</t>
  </si>
  <si>
    <t>HIENNTK.HCM.VTA</t>
  </si>
  <si>
    <t>'2346</t>
  </si>
  <si>
    <t>Kết chuyển thuế GTGT đầu ra TK 333114 sang 333111</t>
  </si>
  <si>
    <t>DUNGLTP.HCM.VTA</t>
  </si>
  <si>
    <t>Kết chuyển thuế GTGT đầu ra TK 333113 sang 333111</t>
  </si>
  <si>
    <t>'2432</t>
  </si>
  <si>
    <t>Kết chuyển thuế GTGT tháng 7/2026 TK 13311 sang TK 33311</t>
  </si>
  <si>
    <t xml:space="preserve">Unpost </t>
  </si>
  <si>
    <t xml:space="preserve">Dư cuối kỳ  </t>
  </si>
  <si>
    <t>Tài khoản: 33311300000</t>
  </si>
  <si>
    <t>'1796</t>
  </si>
  <si>
    <t>'1854</t>
  </si>
  <si>
    <t>3220TK - Doanh thu thiết kế công trình"DD HTH trung, hạ thế và các TBA (Gói số 14) Đường số 16, xã Châu Pha" - HĐ 64/16.07.26</t>
  </si>
  <si>
    <t>'1855</t>
  </si>
  <si>
    <t>'2105</t>
  </si>
  <si>
    <t>'1856</t>
  </si>
  <si>
    <t>'1894</t>
  </si>
  <si>
    <t>'1895</t>
  </si>
  <si>
    <t>'1896</t>
  </si>
  <si>
    <t>1388ĐĐ - Điều động VTTB theo CV 2095 - 14/07/26 - PGH 02.VH1.43.0015 ngày 22/07/26 (Điều chỉnh HĐ 67/23.07.26) - HĐ 73 ngày 27/07/2026</t>
  </si>
  <si>
    <t>'1920</t>
  </si>
  <si>
    <t>(7 004 000)</t>
  </si>
  <si>
    <t>'2115</t>
  </si>
  <si>
    <t>QTQT - Quà tặng hộ GĐ chính sách (KH triển khai thực hiện công trình thanh niên ngày 20/07/2026) VAT 10% - HĐ 74-31/07/2026</t>
  </si>
  <si>
    <t>'2116</t>
  </si>
  <si>
    <t>(13 998 715)</t>
  </si>
  <si>
    <t>Tài khoản: 33311400000</t>
  </si>
  <si>
    <t>'1857</t>
  </si>
  <si>
    <t>'1858</t>
  </si>
  <si>
    <t>'1893</t>
  </si>
  <si>
    <t>(20 285 870)</t>
  </si>
  <si>
    <t>Tổng Dư đầu kỳ </t>
  </si>
  <si>
    <t xml:space="preserve">Tổng Cộng phát sinh  </t>
  </si>
  <si>
    <t>Tổng Dư cuối kỳ </t>
  </si>
  <si>
    <t>TP. Hồ Chí Minh, ngày ..... tháng ..... năm ..........</t>
  </si>
  <si>
    <t>EVN_TA_030, người in: TUAN2HM.HCM.VTA, ngày in: 10/08/2026 14:39:24.</t>
  </si>
  <si>
    <t>Nợ_giải trừ</t>
  </si>
  <si>
    <t>Có_treo</t>
  </si>
  <si>
    <t>SỔ CHI TIẾT TÀI KHOẢN THEO 3 CẤP ĐỐI TƯỢNG DFF</t>
  </si>
  <si>
    <t>Tài khoản 33895 - Phải trả, phải nộp khác – Thuế đầu ra chưa kê khai</t>
  </si>
  <si>
    <t>Tất cả loại hình</t>
  </si>
  <si>
    <t>Nguồn bút toán</t>
  </si>
  <si>
    <t>Chứng từ</t>
  </si>
  <si>
    <t>Diễn giải</t>
  </si>
  <si>
    <t>Số phát sinh Nợ</t>
  </si>
  <si>
    <t>Số phát sinh Có</t>
  </si>
  <si>
    <t>Người lập</t>
  </si>
  <si>
    <t>Trạng Thái</t>
  </si>
  <si>
    <t>Ngày</t>
  </si>
  <si>
    <t>Số CT Phân hệ phụ</t>
  </si>
  <si>
    <t>Số CT phân</t>
  </si>
  <si>
    <t>hệ GL</t>
  </si>
  <si>
    <t xml:space="preserve">33895000000-Phải trả, phải nộp khác – Thuế đầu ra chưa kê khai </t>
  </si>
  <si>
    <t>Số dư đầu kỳ</t>
  </si>
  <si>
    <t>  Khác</t>
  </si>
  <si>
    <t>          Khác</t>
  </si>
  <si>
    <t>                  Khác</t>
  </si>
  <si>
    <t>GL-Manual</t>
  </si>
  <si>
    <t>082900.000000.000.33895000000.0000.0000.000.000000.0000.0000</t>
  </si>
  <si>
    <t>Post</t>
  </si>
  <si>
    <t>DIEN00-Giải trừ thuế GTGT đầu ra từ 33895 sang 333111-30/06/2026-AR1783</t>
  </si>
  <si>
    <t>AR-Transaction</t>
  </si>
  <si>
    <t>Final Post GL</t>
  </si>
  <si>
    <t>Cộng phát sinh – cấp 3</t>
  </si>
  <si>
    <t>Dư cuối kỳ</t>
  </si>
  <si>
    <t>Cộng phát sinh – cấp 2</t>
  </si>
  <si>
    <t>Dư cuối kỳ </t>
  </si>
  <si>
    <t>Cộng phát sinh – cấp 1</t>
  </si>
  <si>
    <t>Cộng phát sinh-33895000000</t>
  </si>
  <si>
    <t xml:space="preserve">Dư cuối kỳ- </t>
  </si>
  <si>
    <t>Tổng Dư đầu kỳ - 33895000000</t>
  </si>
  <si>
    <t>Tổng Cộng phát sinh</t>
  </si>
  <si>
    <t>Tổng Dư cuối kỳ</t>
  </si>
  <si>
    <t>Người lập biểu</t>
  </si>
  <si>
    <t>Kế toán trưởng</t>
  </si>
  <si>
    <t>(Ký, họ tên)</t>
  </si>
  <si>
    <t>Mẫu số : 01-2/GTGT</t>
  </si>
  <si>
    <t>TUAN2HM.HCM.VTA</t>
  </si>
  <si>
    <t xml:space="preserve">(Ban hành kèm theo thông tư </t>
  </si>
  <si>
    <t xml:space="preserve">số 119/2014/TT-BTC ngày </t>
  </si>
  <si>
    <t>THANH5DT.HCM.VTA</t>
  </si>
  <si>
    <t>BẢNG KÊ HÓA ĐƠN, CHỨNG TỪ HÀNG HÓA, DỊCH VỤ MUA VÀO(Kiểm soát số liệu)</t>
  </si>
  <si>
    <t>HUENT.HCM.VTA</t>
  </si>
  <si>
    <t>THAOPTT.HCM.VTA</t>
  </si>
  <si>
    <t>THUTT.HCM.VTA</t>
  </si>
  <si>
    <t>TAX36</t>
  </si>
  <si>
    <t>XDCB</t>
  </si>
  <si>
    <t>tiền thuế</t>
  </si>
  <si>
    <t>SXKD</t>
  </si>
  <si>
    <t>Hóa đơn chứng từ bán</t>
  </si>
  <si>
    <t>Tên người bán</t>
  </si>
  <si>
    <t>Mã số thuế người bán</t>
  </si>
  <si>
    <t>Doanh số mua chưa có thuế</t>
  </si>
  <si>
    <t>Thuế suất (%)</t>
  </si>
  <si>
    <t>Loại hình SXKD</t>
  </si>
  <si>
    <t>[1]</t>
  </si>
  <si>
    <t>[2]</t>
  </si>
  <si>
    <t>[3]</t>
  </si>
  <si>
    <t>[4]</t>
  </si>
  <si>
    <t>[5]</t>
  </si>
  <si>
    <t>[6]</t>
  </si>
  <si>
    <t>[7]</t>
  </si>
  <si>
    <t>[8]</t>
  </si>
  <si>
    <t>[9]</t>
  </si>
  <si>
    <t>[10]</t>
  </si>
  <si>
    <t>[11]</t>
  </si>
  <si>
    <t>[12]</t>
  </si>
  <si>
    <t>[13]</t>
  </si>
  <si>
    <t>[14]</t>
  </si>
  <si>
    <t>[15]</t>
  </si>
  <si>
    <t>[16]</t>
  </si>
  <si>
    <t>[17]</t>
  </si>
  <si>
    <t>[18]</t>
  </si>
  <si>
    <t>[19]</t>
  </si>
  <si>
    <t>1. Hàng hóa, dịch vụ dùng riêng cho SXKD chịu thuế GTGT đủ điều kiện được khấu trừ</t>
  </si>
  <si>
    <t>1C25MBP</t>
  </si>
  <si>
    <t>'00106538</t>
  </si>
  <si>
    <t>Doanh Nghiệp Tư Nhân Xăng dầu Bảo Phương</t>
  </si>
  <si>
    <t>'3500361144</t>
  </si>
  <si>
    <t>xăng dầu T12-2025</t>
  </si>
  <si>
    <t>'2106</t>
  </si>
  <si>
    <t>'00106541</t>
  </si>
  <si>
    <t>1C25MCC</t>
  </si>
  <si>
    <t>'00277972</t>
  </si>
  <si>
    <t>CÔNG TY CP DỊCH VỤ PHÁT TRIỂN GIAO THÔNG VẬN TẢI VŨNG TÀU</t>
  </si>
  <si>
    <t>'3502280613</t>
  </si>
  <si>
    <t>'00278305</t>
  </si>
  <si>
    <t>'00278428</t>
  </si>
  <si>
    <t>'00278429</t>
  </si>
  <si>
    <t>'278430</t>
  </si>
  <si>
    <t>1C25MTL</t>
  </si>
  <si>
    <t>'565343</t>
  </si>
  <si>
    <t>CÔNG TY TNHH THANH LÂM</t>
  </si>
  <si>
    <t>'3500699455</t>
  </si>
  <si>
    <t>1K25TDA</t>
  </si>
  <si>
    <t>'816420</t>
  </si>
  <si>
    <t>CN TỔNG CÔNG TY ĐIỆN LỰC TP HỒ CHÍ MINH - CÔNG TY ĐIỆN LỰC VŨNG TÀU</t>
  </si>
  <si>
    <t>'0300951119-010</t>
  </si>
  <si>
    <t>tiền điện T07-2025</t>
  </si>
  <si>
    <t>'00106701</t>
  </si>
  <si>
    <t>'00279364</t>
  </si>
  <si>
    <t>'00279366</t>
  </si>
  <si>
    <t>'00279378</t>
  </si>
  <si>
    <t>'566750</t>
  </si>
  <si>
    <t>'567417</t>
  </si>
  <si>
    <t>'00107157</t>
  </si>
  <si>
    <t>'00107159</t>
  </si>
  <si>
    <t>'00107252</t>
  </si>
  <si>
    <t>'00280117</t>
  </si>
  <si>
    <t>'568650</t>
  </si>
  <si>
    <t>'00107547</t>
  </si>
  <si>
    <t>'00107635</t>
  </si>
  <si>
    <t>'00107697</t>
  </si>
  <si>
    <t>'00280814</t>
  </si>
  <si>
    <t>'569725</t>
  </si>
  <si>
    <t>'570303</t>
  </si>
  <si>
    <t>'570648</t>
  </si>
  <si>
    <t>'00107975</t>
  </si>
  <si>
    <t>'00108007</t>
  </si>
  <si>
    <t>'00108076</t>
  </si>
  <si>
    <t>'00281228</t>
  </si>
  <si>
    <t>'00281240</t>
  </si>
  <si>
    <t>'00281364</t>
  </si>
  <si>
    <t>'00281528</t>
  </si>
  <si>
    <t>x</t>
  </si>
  <si>
    <t>'00281706</t>
  </si>
  <si>
    <t>'00281729</t>
  </si>
  <si>
    <t>'00281730</t>
  </si>
  <si>
    <t>'571467</t>
  </si>
  <si>
    <t>'00108356</t>
  </si>
  <si>
    <t>'00108662</t>
  </si>
  <si>
    <t>'00282810</t>
  </si>
  <si>
    <t>'575173</t>
  </si>
  <si>
    <t>'00108957</t>
  </si>
  <si>
    <t>'00108966</t>
  </si>
  <si>
    <t>'00284058</t>
  </si>
  <si>
    <t>'00284179</t>
  </si>
  <si>
    <t>'00284201</t>
  </si>
  <si>
    <t>'00284209</t>
  </si>
  <si>
    <t>'576662</t>
  </si>
  <si>
    <t>'576663</t>
  </si>
  <si>
    <t>'581004</t>
  </si>
  <si>
    <t>'00109321</t>
  </si>
  <si>
    <t>'00109342</t>
  </si>
  <si>
    <t>'00284401</t>
  </si>
  <si>
    <t>'00285105</t>
  </si>
  <si>
    <t>'00109761</t>
  </si>
  <si>
    <t>'00109856</t>
  </si>
  <si>
    <t>'00286935</t>
  </si>
  <si>
    <t>'00110133</t>
  </si>
  <si>
    <t>'00287434</t>
  </si>
  <si>
    <t>'00287437</t>
  </si>
  <si>
    <t>'00287440</t>
  </si>
  <si>
    <t>'00287759</t>
  </si>
  <si>
    <t>'00287763</t>
  </si>
  <si>
    <t>'00287808</t>
  </si>
  <si>
    <t>'00287870</t>
  </si>
  <si>
    <t>'00287898</t>
  </si>
  <si>
    <t>'00287962</t>
  </si>
  <si>
    <t>1C25TSV</t>
  </si>
  <si>
    <t>'42923</t>
  </si>
  <si>
    <t>CÔNG TY CP DỊCH VỤ ĐÔ THỊ BÀ RỊA</t>
  </si>
  <si>
    <t>'3500100167</t>
  </si>
  <si>
    <t>phí thu gom rác thải</t>
  </si>
  <si>
    <t>'582181</t>
  </si>
  <si>
    <t>'582182</t>
  </si>
  <si>
    <t>'582794</t>
  </si>
  <si>
    <t>'533655</t>
  </si>
  <si>
    <t>'00110725</t>
  </si>
  <si>
    <t>'00110770</t>
  </si>
  <si>
    <t>'00288279</t>
  </si>
  <si>
    <t>'00288280</t>
  </si>
  <si>
    <t>'00288855</t>
  </si>
  <si>
    <t>'00288876</t>
  </si>
  <si>
    <t>1C25THP</t>
  </si>
  <si>
    <t>'20</t>
  </si>
  <si>
    <t>CÔNG TY TNHH THƯƠNG MẠI DỊCH VỤ HÙNG PHÁT VŨNG TÀU</t>
  </si>
  <si>
    <t>'3502462469</t>
  </si>
  <si>
    <t>kệ CPU Cđảo</t>
  </si>
  <si>
    <t>1C25MTT</t>
  </si>
  <si>
    <t>'314665</t>
  </si>
  <si>
    <t>Công ty TNHH Thu Tâm Côn Đảo</t>
  </si>
  <si>
    <t>'3500368051</t>
  </si>
  <si>
    <t>1C25MQC</t>
  </si>
  <si>
    <t>'471</t>
  </si>
  <si>
    <t>CÔNG TY TNHH THƯƠNG MẠI DV QUẢNG CÁO NGUYỄN TOÀN</t>
  </si>
  <si>
    <t>'3502519309</t>
  </si>
  <si>
    <t>logo nhận diện thương hiệu</t>
  </si>
  <si>
    <t>'583721</t>
  </si>
  <si>
    <t>'00110925</t>
  </si>
  <si>
    <t>'00289181</t>
  </si>
  <si>
    <t>'00289242</t>
  </si>
  <si>
    <t>'585041</t>
  </si>
  <si>
    <t>'00111473</t>
  </si>
  <si>
    <t>'00290040</t>
  </si>
  <si>
    <t>'587125</t>
  </si>
  <si>
    <t>'587126</t>
  </si>
  <si>
    <t>'00111735</t>
  </si>
  <si>
    <t>'00290901</t>
  </si>
  <si>
    <t>'588292</t>
  </si>
  <si>
    <t>'588332</t>
  </si>
  <si>
    <t>'589495</t>
  </si>
  <si>
    <t>'539731</t>
  </si>
  <si>
    <t>'00112114</t>
  </si>
  <si>
    <t>'00112115</t>
  </si>
  <si>
    <t>'00292118</t>
  </si>
  <si>
    <t>'00292373</t>
  </si>
  <si>
    <t>'590122</t>
  </si>
  <si>
    <t>'00112539</t>
  </si>
  <si>
    <t>'00112540</t>
  </si>
  <si>
    <t>'00112567</t>
  </si>
  <si>
    <t>'00292665</t>
  </si>
  <si>
    <t>'00292925</t>
  </si>
  <si>
    <t>'00292996</t>
  </si>
  <si>
    <t>'00293006</t>
  </si>
  <si>
    <t>'00293016</t>
  </si>
  <si>
    <t>'00293034</t>
  </si>
  <si>
    <t>'320169</t>
  </si>
  <si>
    <t>'320170</t>
  </si>
  <si>
    <t>'592310</t>
  </si>
  <si>
    <t>'00112863</t>
  </si>
  <si>
    <t>'00293392</t>
  </si>
  <si>
    <t>'00293402</t>
  </si>
  <si>
    <t>'00293446</t>
  </si>
  <si>
    <t>'00293783</t>
  </si>
  <si>
    <t>'00293823</t>
  </si>
  <si>
    <t>'00293830</t>
  </si>
  <si>
    <t>'00293851</t>
  </si>
  <si>
    <t>'00293853</t>
  </si>
  <si>
    <t>'00293861</t>
  </si>
  <si>
    <t>'594195</t>
  </si>
  <si>
    <t>'00113376</t>
  </si>
  <si>
    <t>'00113459</t>
  </si>
  <si>
    <t>'00294425</t>
  </si>
  <si>
    <t>'00294534</t>
  </si>
  <si>
    <t>'00294538</t>
  </si>
  <si>
    <t>'00294568</t>
  </si>
  <si>
    <t>'00294601</t>
  </si>
  <si>
    <t>'595100</t>
  </si>
  <si>
    <t>'595101</t>
  </si>
  <si>
    <t>'00113722</t>
  </si>
  <si>
    <t>'00113855</t>
  </si>
  <si>
    <t>'00295128</t>
  </si>
  <si>
    <t>'00295154</t>
  </si>
  <si>
    <t>'00295236</t>
  </si>
  <si>
    <t>'00295356</t>
  </si>
  <si>
    <t>'00295862</t>
  </si>
  <si>
    <t>'599416</t>
  </si>
  <si>
    <t>'599417</t>
  </si>
  <si>
    <t>'599418</t>
  </si>
  <si>
    <t>'599420</t>
  </si>
  <si>
    <t>'00114340</t>
  </si>
  <si>
    <t>'00114608</t>
  </si>
  <si>
    <t>'00114609</t>
  </si>
  <si>
    <t>'00297522</t>
  </si>
  <si>
    <t>'00297535</t>
  </si>
  <si>
    <t>'00297643</t>
  </si>
  <si>
    <t>'00297710</t>
  </si>
  <si>
    <t>'00298045</t>
  </si>
  <si>
    <t>'00298106</t>
  </si>
  <si>
    <t>'00298223</t>
  </si>
  <si>
    <t>'00298337</t>
  </si>
  <si>
    <t>'00298474</t>
  </si>
  <si>
    <t>1C25TLK</t>
  </si>
  <si>
    <t>'1</t>
  </si>
  <si>
    <t>CÔNG TY TNHH THƯƠNG MẠI DỊCH VỤ NHẤT LONG KHANG</t>
  </si>
  <si>
    <t>'3502446273</t>
  </si>
  <si>
    <t>hóa đơn thuê kho VTTB</t>
  </si>
  <si>
    <t>'00114871</t>
  </si>
  <si>
    <t>'00114882</t>
  </si>
  <si>
    <t>'00114927</t>
  </si>
  <si>
    <t>'00114930</t>
  </si>
  <si>
    <t>'00114932</t>
  </si>
  <si>
    <t>'00114958</t>
  </si>
  <si>
    <t>'00299891</t>
  </si>
  <si>
    <t>'00299898</t>
  </si>
  <si>
    <t>'00299914</t>
  </si>
  <si>
    <t>'00299947</t>
  </si>
  <si>
    <t>'00300004</t>
  </si>
  <si>
    <t>'601623</t>
  </si>
  <si>
    <t>'601624</t>
  </si>
  <si>
    <t>'602121</t>
  </si>
  <si>
    <t>'602122</t>
  </si>
  <si>
    <t>'602123</t>
  </si>
  <si>
    <t>'602124</t>
  </si>
  <si>
    <t>'602133</t>
  </si>
  <si>
    <t>'602134</t>
  </si>
  <si>
    <t>'602135</t>
  </si>
  <si>
    <t>'00300344</t>
  </si>
  <si>
    <t>'00300345</t>
  </si>
  <si>
    <t>'00300346</t>
  </si>
  <si>
    <t>'00300347</t>
  </si>
  <si>
    <t>'00300348</t>
  </si>
  <si>
    <t>'00300349</t>
  </si>
  <si>
    <t>'00300356</t>
  </si>
  <si>
    <t>'00300398</t>
  </si>
  <si>
    <t>'00300436</t>
  </si>
  <si>
    <t>'00300561</t>
  </si>
  <si>
    <t>'00300566</t>
  </si>
  <si>
    <t>'00300581</t>
  </si>
  <si>
    <t>'00300643</t>
  </si>
  <si>
    <t>1C25TDD</t>
  </si>
  <si>
    <t>'16823</t>
  </si>
  <si>
    <t>TRUNG TÂM ĐĂNG KIỂM PHƯƠNG TIỆN GIAO THÔNG VẬN TẢI</t>
  </si>
  <si>
    <t>'3500102326</t>
  </si>
  <si>
    <t>đăng kiểm ô tô</t>
  </si>
  <si>
    <t>'300707</t>
  </si>
  <si>
    <t>dầu Diezel</t>
  </si>
  <si>
    <t>1C25TDK</t>
  </si>
  <si>
    <t>'31054</t>
  </si>
  <si>
    <t>'603355</t>
  </si>
  <si>
    <t>'00115657</t>
  </si>
  <si>
    <t>'00115700</t>
  </si>
  <si>
    <t>1K25TKA</t>
  </si>
  <si>
    <t>'141484</t>
  </si>
  <si>
    <t>TCT HÀNG KHÔNG VN - CTCP (VIETNAM AIRLINES JSC)</t>
  </si>
  <si>
    <t>'0100107518</t>
  </si>
  <si>
    <t>vé máy bay</t>
  </si>
  <si>
    <t>'31195</t>
  </si>
  <si>
    <t>'329276</t>
  </si>
  <si>
    <t>'329277</t>
  </si>
  <si>
    <t>'329278</t>
  </si>
  <si>
    <t>'329279</t>
  </si>
  <si>
    <t>'329280</t>
  </si>
  <si>
    <t>1C26TCD</t>
  </si>
  <si>
    <t>'7725</t>
  </si>
  <si>
    <t>CÔNG TY TNHH UY PHONG TÂN THÀNH</t>
  </si>
  <si>
    <t>'3502312248</t>
  </si>
  <si>
    <t>1C25MUP</t>
  </si>
  <si>
    <t>'7742</t>
  </si>
  <si>
    <t>'00104351</t>
  </si>
  <si>
    <t>1C25TAT</t>
  </si>
  <si>
    <t>'1957</t>
  </si>
  <si>
    <t>CÔNG TY TNHH VÉ MÁY BAY AN TOÀN VŨNG TÀU</t>
  </si>
  <si>
    <t>'3502350959</t>
  </si>
  <si>
    <t>1C25MAA</t>
  </si>
  <si>
    <t>'2558</t>
  </si>
  <si>
    <t>CÔNG TY TNHH DỊCH VỤ NHÀ HÀNG PHỐ XINH</t>
  </si>
  <si>
    <t>'3502474601</t>
  </si>
  <si>
    <t>Ăn uống</t>
  </si>
  <si>
    <t>'00104868</t>
  </si>
  <si>
    <t>'559194</t>
  </si>
  <si>
    <t>'00275904</t>
  </si>
  <si>
    <t>'00275914</t>
  </si>
  <si>
    <t>'142433</t>
  </si>
  <si>
    <t>'142435</t>
  </si>
  <si>
    <t>1C25MHH</t>
  </si>
  <si>
    <t>'20936</t>
  </si>
  <si>
    <t>CÔNG TY TNHH ĐẦU TƯ TM &amp; DV HUY HOÀNG</t>
  </si>
  <si>
    <t>'3501711521</t>
  </si>
  <si>
    <t>vé xe</t>
  </si>
  <si>
    <t>1C25TDT</t>
  </si>
  <si>
    <t>'2122</t>
  </si>
  <si>
    <t>CÔNG TY CP DỊCH VỤ ĐÔ THỊ TÂN THÀNH</t>
  </si>
  <si>
    <t>'3500119584</t>
  </si>
  <si>
    <t>5C25MAA</t>
  </si>
  <si>
    <t>'36637</t>
  </si>
  <si>
    <t>CN CÔNG TY TNHH VẬN TẢI &amp; DV DU LỊCH HOA MAI</t>
  </si>
  <si>
    <t>'3500676761-001</t>
  </si>
  <si>
    <t>'93</t>
  </si>
  <si>
    <t>CÔNG TY TNHH VẬN TẢI DUY TUNG</t>
  </si>
  <si>
    <t>'3502545958</t>
  </si>
  <si>
    <t>vận chuyển VTTB</t>
  </si>
  <si>
    <t>'00105819</t>
  </si>
  <si>
    <t>'563264</t>
  </si>
  <si>
    <t>'563265</t>
  </si>
  <si>
    <t>'563266</t>
  </si>
  <si>
    <t>1C25TPN</t>
  </si>
  <si>
    <t>'1290</t>
  </si>
  <si>
    <t>CÔNG TY CỔ PHẦN DỊCH VỤ BẢO VỆ PHƯƠNG NAM</t>
  </si>
  <si>
    <t>'3501012749</t>
  </si>
  <si>
    <t>tiền DV vệ sinh T12-2025</t>
  </si>
  <si>
    <t>'1291</t>
  </si>
  <si>
    <t>tiền DV tài xế T12-2025</t>
  </si>
  <si>
    <t>1K25TAV</t>
  </si>
  <si>
    <t>'7198</t>
  </si>
  <si>
    <t>CN Tổng Công ty Điện lực Thành Phố HCM TNHH - Công ty Thí nghiệm Điện lực Thành Phố Hồ Chí Minh</t>
  </si>
  <si>
    <t>'0300951119-018</t>
  </si>
  <si>
    <t>Thử nghiệm VTTB</t>
  </si>
  <si>
    <t>5C25MVT</t>
  </si>
  <si>
    <t>'1325</t>
  </si>
  <si>
    <t>CÔNG TY TNHH TOÀN THẮNG</t>
  </si>
  <si>
    <t>'3500659519</t>
  </si>
  <si>
    <t>1C25THC</t>
  </si>
  <si>
    <t>'138974</t>
  </si>
  <si>
    <t>CHI NHÁNH CÔNG TY TNHH LA VIE TẠI TP HỒ CHÍ MINH</t>
  </si>
  <si>
    <t>'1100101187-001</t>
  </si>
  <si>
    <t>tiền nước uống</t>
  </si>
  <si>
    <t>'143696</t>
  </si>
  <si>
    <t>'21130</t>
  </si>
  <si>
    <t>1C25TMQ</t>
  </si>
  <si>
    <t>'38</t>
  </si>
  <si>
    <t>CÔNG TY TNHH TƯ VẤN XÂY DỰNG KIẾN TRÚC MINH QUÂN</t>
  </si>
  <si>
    <t>'3502430636</t>
  </si>
  <si>
    <t>hóa đơn DV chăm sóc cây</t>
  </si>
  <si>
    <t>1C25MKS</t>
  </si>
  <si>
    <t>'418</t>
  </si>
  <si>
    <t>CÔNG TY TNHH MTV DỊCH VỤ KHÁCH SẠN SONG ANH</t>
  </si>
  <si>
    <t>'0311929549</t>
  </si>
  <si>
    <t>phòng nghỉ</t>
  </si>
  <si>
    <t>1C25TMP</t>
  </si>
  <si>
    <t>'469</t>
  </si>
  <si>
    <t>Công ty TNHH TM TH Phú Minh Phong</t>
  </si>
  <si>
    <t>'3502087715</t>
  </si>
  <si>
    <t>thuê máy cẩu</t>
  </si>
  <si>
    <t>1C25MHP</t>
  </si>
  <si>
    <t>'613</t>
  </si>
  <si>
    <t>DNTN HOA PHƯỢNG</t>
  </si>
  <si>
    <t>'3500141639</t>
  </si>
  <si>
    <t>'614</t>
  </si>
  <si>
    <t>'7309</t>
  </si>
  <si>
    <t>1C25TYY</t>
  </si>
  <si>
    <t>'89</t>
  </si>
  <si>
    <t>CÔNG TY TNHH THƯƠNG MẠI DỊCH VỤ LỆ BĂNG</t>
  </si>
  <si>
    <t>'0316161973</t>
  </si>
  <si>
    <t>tiền áo đồng phục  sơ mi</t>
  </si>
  <si>
    <t>'90</t>
  </si>
  <si>
    <t>'91</t>
  </si>
  <si>
    <t>'92</t>
  </si>
  <si>
    <t>'94</t>
  </si>
  <si>
    <t>1K25DAC</t>
  </si>
  <si>
    <t>'7730224</t>
  </si>
  <si>
    <t>TẬP ĐOÀN CÔNG NGHIỆP - VIỄN THÔNG QUÂN ĐỘI</t>
  </si>
  <si>
    <t>'0100109106</t>
  </si>
  <si>
    <t>cước điện thoại Viettel</t>
  </si>
  <si>
    <t>'2107</t>
  </si>
  <si>
    <t>1K25DAB</t>
  </si>
  <si>
    <t>'88638444</t>
  </si>
  <si>
    <t>'88638970</t>
  </si>
  <si>
    <t>'88639070</t>
  </si>
  <si>
    <t>'88640094</t>
  </si>
  <si>
    <t>'88640710</t>
  </si>
  <si>
    <t>'88641019</t>
  </si>
  <si>
    <t>'88641437</t>
  </si>
  <si>
    <t>'88641473</t>
  </si>
  <si>
    <t>'88642263</t>
  </si>
  <si>
    <t>'88642325</t>
  </si>
  <si>
    <t>'88642390</t>
  </si>
  <si>
    <t>'88642727</t>
  </si>
  <si>
    <t>'88642837</t>
  </si>
  <si>
    <t>'88642853</t>
  </si>
  <si>
    <t>'88643317</t>
  </si>
  <si>
    <t>'88643687</t>
  </si>
  <si>
    <t>'88645068</t>
  </si>
  <si>
    <t>'88645709</t>
  </si>
  <si>
    <t>'88646497</t>
  </si>
  <si>
    <t>'88646605</t>
  </si>
  <si>
    <t>'88646816</t>
  </si>
  <si>
    <t>'88649407</t>
  </si>
  <si>
    <t>'88649599</t>
  </si>
  <si>
    <t>'88649655</t>
  </si>
  <si>
    <t>'88649728</t>
  </si>
  <si>
    <t>'88650365</t>
  </si>
  <si>
    <t>'88650544</t>
  </si>
  <si>
    <t>'88650983</t>
  </si>
  <si>
    <t>'88651934</t>
  </si>
  <si>
    <t>'88652017</t>
  </si>
  <si>
    <t>'88652174</t>
  </si>
  <si>
    <t>'88652203</t>
  </si>
  <si>
    <t>'88653862</t>
  </si>
  <si>
    <t>'88653905</t>
  </si>
  <si>
    <t>'88654080</t>
  </si>
  <si>
    <t>'88654603</t>
  </si>
  <si>
    <t>'88654900</t>
  </si>
  <si>
    <t>'88654928</t>
  </si>
  <si>
    <t>'88655695</t>
  </si>
  <si>
    <t>'88656582</t>
  </si>
  <si>
    <t>'88657078</t>
  </si>
  <si>
    <t>'88657646</t>
  </si>
  <si>
    <t>'88658075</t>
  </si>
  <si>
    <t>'88658455</t>
  </si>
  <si>
    <t>'88658565</t>
  </si>
  <si>
    <t>'88659566</t>
  </si>
  <si>
    <t>'88660210</t>
  </si>
  <si>
    <t>'88660349</t>
  </si>
  <si>
    <t>'88660477</t>
  </si>
  <si>
    <t>'88660620</t>
  </si>
  <si>
    <t>'88660704</t>
  </si>
  <si>
    <t>'88660769</t>
  </si>
  <si>
    <t>'88661943</t>
  </si>
  <si>
    <t>'88662247</t>
  </si>
  <si>
    <t>'88663381</t>
  </si>
  <si>
    <t>'88664222</t>
  </si>
  <si>
    <t>'88664968</t>
  </si>
  <si>
    <t>'88665039</t>
  </si>
  <si>
    <t>'88665246</t>
  </si>
  <si>
    <t>'88665281</t>
  </si>
  <si>
    <t>'88665865</t>
  </si>
  <si>
    <t>'88665891</t>
  </si>
  <si>
    <t>'88665954</t>
  </si>
  <si>
    <t>'88666559</t>
  </si>
  <si>
    <t>'88668204</t>
  </si>
  <si>
    <t>'88668476</t>
  </si>
  <si>
    <t>'88669180</t>
  </si>
  <si>
    <t>'88669286</t>
  </si>
  <si>
    <t>'88669679</t>
  </si>
  <si>
    <t>'88669806</t>
  </si>
  <si>
    <t>'88670381</t>
  </si>
  <si>
    <t>'88672386</t>
  </si>
  <si>
    <t>'88674955</t>
  </si>
  <si>
    <t>'88675568</t>
  </si>
  <si>
    <t>'88676685</t>
  </si>
  <si>
    <t>'88677379</t>
  </si>
  <si>
    <t>'88677507</t>
  </si>
  <si>
    <t>'88677821</t>
  </si>
  <si>
    <t>'88677953</t>
  </si>
  <si>
    <t>'88678342</t>
  </si>
  <si>
    <t>'88680341</t>
  </si>
  <si>
    <t>'88680378</t>
  </si>
  <si>
    <t>'88681429</t>
  </si>
  <si>
    <t>'88681960</t>
  </si>
  <si>
    <t>'88682086</t>
  </si>
  <si>
    <t>'88682177</t>
  </si>
  <si>
    <t>'88682634</t>
  </si>
  <si>
    <t>'88682886</t>
  </si>
  <si>
    <t>'88683129</t>
  </si>
  <si>
    <t>'88683131</t>
  </si>
  <si>
    <t>'88683306</t>
  </si>
  <si>
    <t>'88683434</t>
  </si>
  <si>
    <t>'88683816</t>
  </si>
  <si>
    <t>'88683865</t>
  </si>
  <si>
    <t>'88683925</t>
  </si>
  <si>
    <t>'88683951</t>
  </si>
  <si>
    <t>'88685294</t>
  </si>
  <si>
    <t>'88685355</t>
  </si>
  <si>
    <t>'88685362</t>
  </si>
  <si>
    <t>'88685515</t>
  </si>
  <si>
    <t>'88685545</t>
  </si>
  <si>
    <t>'88685562</t>
  </si>
  <si>
    <t>'88685568</t>
  </si>
  <si>
    <t>'88685895</t>
  </si>
  <si>
    <t>'7681647</t>
  </si>
  <si>
    <t>'7681782</t>
  </si>
  <si>
    <t>'7681908</t>
  </si>
  <si>
    <t>'7682069</t>
  </si>
  <si>
    <t>'7682393</t>
  </si>
  <si>
    <t>'7683378</t>
  </si>
  <si>
    <t>'7683393</t>
  </si>
  <si>
    <t>'7684182</t>
  </si>
  <si>
    <t>'7684444</t>
  </si>
  <si>
    <t>'7684515</t>
  </si>
  <si>
    <t>'7684720</t>
  </si>
  <si>
    <t>'7684757</t>
  </si>
  <si>
    <t>'7685752</t>
  </si>
  <si>
    <t>'7686879</t>
  </si>
  <si>
    <t>'7686881</t>
  </si>
  <si>
    <t>'7687060</t>
  </si>
  <si>
    <t>'7688358</t>
  </si>
  <si>
    <t>'7688534</t>
  </si>
  <si>
    <t>'7689038</t>
  </si>
  <si>
    <t>'7689150</t>
  </si>
  <si>
    <t>'7689320</t>
  </si>
  <si>
    <t>'7689640</t>
  </si>
  <si>
    <t>'7689719</t>
  </si>
  <si>
    <t>'7689887</t>
  </si>
  <si>
    <t>'7689915</t>
  </si>
  <si>
    <t>'7690818</t>
  </si>
  <si>
    <t>'7691340</t>
  </si>
  <si>
    <t>'7691366</t>
  </si>
  <si>
    <t>'7691427</t>
  </si>
  <si>
    <t>'7693110</t>
  </si>
  <si>
    <t>'7693358</t>
  </si>
  <si>
    <t>'7694183</t>
  </si>
  <si>
    <t>'7694365</t>
  </si>
  <si>
    <t>'7694479</t>
  </si>
  <si>
    <t>'7694609</t>
  </si>
  <si>
    <t>'7695459</t>
  </si>
  <si>
    <t>'7695569</t>
  </si>
  <si>
    <t>'7696131</t>
  </si>
  <si>
    <t>'7696150</t>
  </si>
  <si>
    <t>'7696259</t>
  </si>
  <si>
    <t>'7696275</t>
  </si>
  <si>
    <t>'7696522</t>
  </si>
  <si>
    <t>'7696717</t>
  </si>
  <si>
    <t>'7696773</t>
  </si>
  <si>
    <t>'7696844</t>
  </si>
  <si>
    <t>'7696908</t>
  </si>
  <si>
    <t>'7696991</t>
  </si>
  <si>
    <t>'7697058</t>
  </si>
  <si>
    <t>'7698611</t>
  </si>
  <si>
    <t>'7698936</t>
  </si>
  <si>
    <t>'7699204</t>
  </si>
  <si>
    <t>'7699469</t>
  </si>
  <si>
    <t>'7700585</t>
  </si>
  <si>
    <t>'7700876</t>
  </si>
  <si>
    <t>'7701166</t>
  </si>
  <si>
    <t>'7701194</t>
  </si>
  <si>
    <t>'7701491</t>
  </si>
  <si>
    <t>'7701946</t>
  </si>
  <si>
    <t>'7702434</t>
  </si>
  <si>
    <t>'7702638</t>
  </si>
  <si>
    <t>'7703258</t>
  </si>
  <si>
    <t>'7703640</t>
  </si>
  <si>
    <t>'7704912</t>
  </si>
  <si>
    <t>'7705185</t>
  </si>
  <si>
    <t>'7705730</t>
  </si>
  <si>
    <t>'7705771</t>
  </si>
  <si>
    <t>'7709090</t>
  </si>
  <si>
    <t>'7709868</t>
  </si>
  <si>
    <t>'7709995</t>
  </si>
  <si>
    <t>'7710407</t>
  </si>
  <si>
    <t>'7710661</t>
  </si>
  <si>
    <t>'7713132</t>
  </si>
  <si>
    <t>'7713198</t>
  </si>
  <si>
    <t>'7714838</t>
  </si>
  <si>
    <t>'7715121</t>
  </si>
  <si>
    <t>'7715210</t>
  </si>
  <si>
    <t>'7715659</t>
  </si>
  <si>
    <t>'7717043</t>
  </si>
  <si>
    <t>'7717806</t>
  </si>
  <si>
    <t>'7717808</t>
  </si>
  <si>
    <t>'7717933</t>
  </si>
  <si>
    <t>'7718001</t>
  </si>
  <si>
    <t>'7718068</t>
  </si>
  <si>
    <t>'7718467</t>
  </si>
  <si>
    <t>'7718772</t>
  </si>
  <si>
    <t>'7718808</t>
  </si>
  <si>
    <t>'7718980</t>
  </si>
  <si>
    <t>'7719418</t>
  </si>
  <si>
    <t>'7719527</t>
  </si>
  <si>
    <t>'7720479</t>
  </si>
  <si>
    <t>'7720610</t>
  </si>
  <si>
    <t>'7720695</t>
  </si>
  <si>
    <t>'7720828</t>
  </si>
  <si>
    <t>'7722260</t>
  </si>
  <si>
    <t>'7723455</t>
  </si>
  <si>
    <t>'7723492</t>
  </si>
  <si>
    <t>'7724310</t>
  </si>
  <si>
    <t>'7724366</t>
  </si>
  <si>
    <t>'7724394</t>
  </si>
  <si>
    <t>'7727046</t>
  </si>
  <si>
    <t>'7727971</t>
  </si>
  <si>
    <t>'7728935</t>
  </si>
  <si>
    <t>'7730033</t>
  </si>
  <si>
    <t>'7730049</t>
  </si>
  <si>
    <t>'7730062</t>
  </si>
  <si>
    <t>'7730071</t>
  </si>
  <si>
    <t>'7730079</t>
  </si>
  <si>
    <t>'7730086</t>
  </si>
  <si>
    <t>'7730128</t>
  </si>
  <si>
    <t>'7730129</t>
  </si>
  <si>
    <t>'7730135</t>
  </si>
  <si>
    <t>'7730137</t>
  </si>
  <si>
    <t>'7730144</t>
  </si>
  <si>
    <t>'7730147</t>
  </si>
  <si>
    <t>'7730159</t>
  </si>
  <si>
    <t>'7730179</t>
  </si>
  <si>
    <t>'7730192</t>
  </si>
  <si>
    <t>'7730197</t>
  </si>
  <si>
    <t>'7730200</t>
  </si>
  <si>
    <t>'7730207</t>
  </si>
  <si>
    <t>'7730265</t>
  </si>
  <si>
    <t>'7730276</t>
  </si>
  <si>
    <t>'7730277</t>
  </si>
  <si>
    <t>'7730293</t>
  </si>
  <si>
    <t>'7730316</t>
  </si>
  <si>
    <t>'7730334</t>
  </si>
  <si>
    <t>'7730359</t>
  </si>
  <si>
    <t>'7730373</t>
  </si>
  <si>
    <t>'7730374</t>
  </si>
  <si>
    <t>'7730378</t>
  </si>
  <si>
    <t>'7730382</t>
  </si>
  <si>
    <t>'7730400</t>
  </si>
  <si>
    <t>'7730402</t>
  </si>
  <si>
    <t>'7730417</t>
  </si>
  <si>
    <t>'7730430</t>
  </si>
  <si>
    <t>'7730555</t>
  </si>
  <si>
    <t>'7730659</t>
  </si>
  <si>
    <t>'7730662</t>
  </si>
  <si>
    <t>'7761180</t>
  </si>
  <si>
    <t>'26185647</t>
  </si>
  <si>
    <t>'26185759</t>
  </si>
  <si>
    <t>'26186688</t>
  </si>
  <si>
    <t>'26186701</t>
  </si>
  <si>
    <t>'26187294</t>
  </si>
  <si>
    <t>'26187657</t>
  </si>
  <si>
    <t>'26187659</t>
  </si>
  <si>
    <t>'26188131</t>
  </si>
  <si>
    <t>'26188455</t>
  </si>
  <si>
    <t>'26188552</t>
  </si>
  <si>
    <t>'26188684</t>
  </si>
  <si>
    <t>'26188813</t>
  </si>
  <si>
    <t>'26189106</t>
  </si>
  <si>
    <t>'26189127</t>
  </si>
  <si>
    <t>'26189189</t>
  </si>
  <si>
    <t>'26189893</t>
  </si>
  <si>
    <t>'26190070</t>
  </si>
  <si>
    <t>'26190771</t>
  </si>
  <si>
    <t>'26191348</t>
  </si>
  <si>
    <t>'26191609</t>
  </si>
  <si>
    <t>'26191769</t>
  </si>
  <si>
    <t>'26191856</t>
  </si>
  <si>
    <t>'26191920</t>
  </si>
  <si>
    <t>'26192360</t>
  </si>
  <si>
    <t>'26192651</t>
  </si>
  <si>
    <t>'26192954</t>
  </si>
  <si>
    <t>'26193335</t>
  </si>
  <si>
    <t>'26193787</t>
  </si>
  <si>
    <t>'26194311</t>
  </si>
  <si>
    <t>'26194372</t>
  </si>
  <si>
    <t>'26195531</t>
  </si>
  <si>
    <t>'26195816</t>
  </si>
  <si>
    <t>'26195837</t>
  </si>
  <si>
    <t>'26195945</t>
  </si>
  <si>
    <t>'26195961</t>
  </si>
  <si>
    <t>'26197374</t>
  </si>
  <si>
    <t>'26198395</t>
  </si>
  <si>
    <t>'26198527</t>
  </si>
  <si>
    <t>'26198616</t>
  </si>
  <si>
    <t>'26198979</t>
  </si>
  <si>
    <t>'26201116</t>
  </si>
  <si>
    <t>'26201420</t>
  </si>
  <si>
    <t>'26201554</t>
  </si>
  <si>
    <t>'26201990</t>
  </si>
  <si>
    <t>'26202198</t>
  </si>
  <si>
    <t>'26202508</t>
  </si>
  <si>
    <t>'26203134</t>
  </si>
  <si>
    <t>'26203527</t>
  </si>
  <si>
    <t>'26203938</t>
  </si>
  <si>
    <t>'26204180</t>
  </si>
  <si>
    <t>'26204473</t>
  </si>
  <si>
    <t>'26204502</t>
  </si>
  <si>
    <t>'26205090</t>
  </si>
  <si>
    <t>'26205092</t>
  </si>
  <si>
    <t>'26205191</t>
  </si>
  <si>
    <t>'26205270</t>
  </si>
  <si>
    <t>'26206226</t>
  </si>
  <si>
    <t>'26206312</t>
  </si>
  <si>
    <t>'26207879</t>
  </si>
  <si>
    <t>'26208733</t>
  </si>
  <si>
    <t>'26208843</t>
  </si>
  <si>
    <t>'26209688</t>
  </si>
  <si>
    <t>'26209958</t>
  </si>
  <si>
    <t>'26211015</t>
  </si>
  <si>
    <t>'26211050</t>
  </si>
  <si>
    <t>'26212213</t>
  </si>
  <si>
    <t>'26212531</t>
  </si>
  <si>
    <t>'26214812</t>
  </si>
  <si>
    <t>'26215896</t>
  </si>
  <si>
    <t>'26216675</t>
  </si>
  <si>
    <t>'26218475</t>
  </si>
  <si>
    <t>'26218784</t>
  </si>
  <si>
    <t>'26218823</t>
  </si>
  <si>
    <t>'26220015</t>
  </si>
  <si>
    <t>'26220216</t>
  </si>
  <si>
    <t>'26220271</t>
  </si>
  <si>
    <t>'26220348</t>
  </si>
  <si>
    <t>'26220720</t>
  </si>
  <si>
    <t>'26220826</t>
  </si>
  <si>
    <t>'26221212</t>
  </si>
  <si>
    <t>'26221249</t>
  </si>
  <si>
    <t>'26221736</t>
  </si>
  <si>
    <t>'26222109</t>
  </si>
  <si>
    <t>'26222178</t>
  </si>
  <si>
    <t>'26222246</t>
  </si>
  <si>
    <t>'26222902</t>
  </si>
  <si>
    <t>'26222959</t>
  </si>
  <si>
    <t>'26222984</t>
  </si>
  <si>
    <t>'26223822</t>
  </si>
  <si>
    <t>'26224148</t>
  </si>
  <si>
    <t>'26224884</t>
  </si>
  <si>
    <t>'26224909</t>
  </si>
  <si>
    <t>'26226419</t>
  </si>
  <si>
    <t>'26226435</t>
  </si>
  <si>
    <t>'26226561</t>
  </si>
  <si>
    <t>'26226656</t>
  </si>
  <si>
    <t>'26226694</t>
  </si>
  <si>
    <t>'26226871</t>
  </si>
  <si>
    <t>'26227285</t>
  </si>
  <si>
    <t>'26227896</t>
  </si>
  <si>
    <t>'26227973</t>
  </si>
  <si>
    <t>'26228141</t>
  </si>
  <si>
    <t>'26228169</t>
  </si>
  <si>
    <t>'26228715</t>
  </si>
  <si>
    <t>'26228791</t>
  </si>
  <si>
    <t>'26229000</t>
  </si>
  <si>
    <t>'26229035</t>
  </si>
  <si>
    <t>'26230111</t>
  </si>
  <si>
    <t>'26231137</t>
  </si>
  <si>
    <t>'26232346</t>
  </si>
  <si>
    <t>'26232348</t>
  </si>
  <si>
    <t>'26232353</t>
  </si>
  <si>
    <t>'26232365</t>
  </si>
  <si>
    <t>'26232370</t>
  </si>
  <si>
    <t>'26232379</t>
  </si>
  <si>
    <t>'26232390</t>
  </si>
  <si>
    <t>'26232432</t>
  </si>
  <si>
    <t>'26232435</t>
  </si>
  <si>
    <t>'26232437</t>
  </si>
  <si>
    <t>'26232442</t>
  </si>
  <si>
    <t>'26232445</t>
  </si>
  <si>
    <t>'26232475</t>
  </si>
  <si>
    <t>'26232477</t>
  </si>
  <si>
    <t>'26232503</t>
  </si>
  <si>
    <t>'26232506</t>
  </si>
  <si>
    <t>'26232513</t>
  </si>
  <si>
    <t>'26232527</t>
  </si>
  <si>
    <t>'26232540</t>
  </si>
  <si>
    <t>'26232549</t>
  </si>
  <si>
    <t>'26232570</t>
  </si>
  <si>
    <t>'26232575</t>
  </si>
  <si>
    <t>'26232626</t>
  </si>
  <si>
    <t>'26232634</t>
  </si>
  <si>
    <t>'26232636</t>
  </si>
  <si>
    <t>'26232643</t>
  </si>
  <si>
    <t>'26232645</t>
  </si>
  <si>
    <t>'26232651</t>
  </si>
  <si>
    <t>'26232652</t>
  </si>
  <si>
    <t>'26232665</t>
  </si>
  <si>
    <t>'26232691</t>
  </si>
  <si>
    <t>'26232695</t>
  </si>
  <si>
    <t>'26232698</t>
  </si>
  <si>
    <t>'26232699</t>
  </si>
  <si>
    <t>'26232704</t>
  </si>
  <si>
    <t>'26263418</t>
  </si>
  <si>
    <t>1K26TAA</t>
  </si>
  <si>
    <t>'941</t>
  </si>
  <si>
    <t>TỔNG CÔNG TY ĐIỆN LỰC THÀNH PHỐ HỒ CHÍ MINH</t>
  </si>
  <si>
    <t>'0300951119</t>
  </si>
  <si>
    <t>Thuế GTGT VTĐĐ- hđơn 941-06.07.26</t>
  </si>
  <si>
    <t>'2112</t>
  </si>
  <si>
    <t>1K26TYY</t>
  </si>
  <si>
    <t>'35367211</t>
  </si>
  <si>
    <t>Ngân Hàng TMCP Á Châu</t>
  </si>
  <si>
    <t>'0301452948</t>
  </si>
  <si>
    <t>Dịch vụ ngân hàng</t>
  </si>
  <si>
    <t>ĐẦU TƯ XÂY DỰNG</t>
  </si>
  <si>
    <t>'00019425</t>
  </si>
  <si>
    <t>Ngân Hàng TMCP Đầu Tư và Phát Triển Việt Nam - Chi nhánh Rịa Vũng Tàu</t>
  </si>
  <si>
    <t>'0100150619-006</t>
  </si>
  <si>
    <t>'00019725</t>
  </si>
  <si>
    <t>'00020313</t>
  </si>
  <si>
    <t>'00020465</t>
  </si>
  <si>
    <t>'00020707</t>
  </si>
  <si>
    <t>1K26TAD</t>
  </si>
  <si>
    <t>'187</t>
  </si>
  <si>
    <t>Chi nhánh Tổng Công Ty Điện Lực Thành Phố Hồ Chí Minh TNHH - Công Ty Điện Lực Bến Cát</t>
  </si>
  <si>
    <t>'0300951119-007</t>
  </si>
  <si>
    <t>VTTB</t>
  </si>
  <si>
    <t>1C26MTT</t>
  </si>
  <si>
    <t>'6602</t>
  </si>
  <si>
    <t>Công Ty TNHH Vận tải Duy Tung</t>
  </si>
  <si>
    <t>Cước vận chuyển cáp ra Côn Đảo</t>
  </si>
  <si>
    <t>'00021258</t>
  </si>
  <si>
    <t>'00021311</t>
  </si>
  <si>
    <t>1K26TDA</t>
  </si>
  <si>
    <t>'00000022</t>
  </si>
  <si>
    <t>NGÂN HÀNG TMCP ĐẦU TƯ VÀ PHÁT TRIỂN VIỆT NAM</t>
  </si>
  <si>
    <t>PHÍ CHUYỂN TIỀN</t>
  </si>
  <si>
    <t>GL_0726Q04</t>
  </si>
  <si>
    <t>'2153</t>
  </si>
  <si>
    <t>'00000023</t>
  </si>
  <si>
    <t>'00000024</t>
  </si>
  <si>
    <t>1C26THP</t>
  </si>
  <si>
    <t>'17</t>
  </si>
  <si>
    <t>Công ty TNHH tư vấn xây dựng điện và thương mại Hưng Phát</t>
  </si>
  <si>
    <t>'0304889905</t>
  </si>
  <si>
    <t>Tư vấn khảo sát lập BCNCKT</t>
  </si>
  <si>
    <t>1C26TQH</t>
  </si>
  <si>
    <t>'241</t>
  </si>
  <si>
    <t>Công ty TNHH xây lắp điện Quang Huy</t>
  </si>
  <si>
    <t>'3500522497</t>
  </si>
  <si>
    <t>Khối lượng thi công</t>
  </si>
  <si>
    <t>1C26TAX</t>
  </si>
  <si>
    <t>'220</t>
  </si>
  <si>
    <t>Công ty TNHH kiểm toán và tư vấn thuế ATAX</t>
  </si>
  <si>
    <t>'0400544325</t>
  </si>
  <si>
    <t>Kiểm toán BCQT</t>
  </si>
  <si>
    <t>1C26TVU</t>
  </si>
  <si>
    <t>'464</t>
  </si>
  <si>
    <t>Công ty TNHH kiểm toán Việt Úc</t>
  </si>
  <si>
    <t>'0305277616</t>
  </si>
  <si>
    <t>1C26TDL</t>
  </si>
  <si>
    <t>'202</t>
  </si>
  <si>
    <t>Công ty cổ phần đầu tư kinh doanh Điện lực Thành phố Hồ Chí Minh</t>
  </si>
  <si>
    <t>'0305173790</t>
  </si>
  <si>
    <t>1C26TYY</t>
  </si>
  <si>
    <t>Công ty TNHH tư vấn xây dựng 78</t>
  </si>
  <si>
    <t>'0400469854</t>
  </si>
  <si>
    <t>1C26TTV</t>
  </si>
  <si>
    <t>'45</t>
  </si>
  <si>
    <t>Công ty cổ phần tư vấn xây dựng Điện lực Thành phố Hồ Chí Minh</t>
  </si>
  <si>
    <t>'0305423225</t>
  </si>
  <si>
    <t>'46</t>
  </si>
  <si>
    <t>1C26TTL</t>
  </si>
  <si>
    <t>'270</t>
  </si>
  <si>
    <t>Công ty TNHH thương mại dịch vụ Hồng Thuyên</t>
  </si>
  <si>
    <t>'0305326341</t>
  </si>
  <si>
    <t>Tư vấn khảo sát lập BCKTKT</t>
  </si>
  <si>
    <t>'01</t>
  </si>
  <si>
    <t>Công ty TNHH tư vấn xây dựng điện Văn Lang</t>
  </si>
  <si>
    <t>'3502419350</t>
  </si>
  <si>
    <t>1C26TPM</t>
  </si>
  <si>
    <t>'02</t>
  </si>
  <si>
    <t>Công ty TNHH xây dựng - thương mại - dịch vụ Phú Mỹ</t>
  </si>
  <si>
    <t>'3501352343</t>
  </si>
  <si>
    <t>1C26TTT</t>
  </si>
  <si>
    <t>Công ty TNHH Tâm Tiến</t>
  </si>
  <si>
    <t>'3500746553</t>
  </si>
  <si>
    <t>1C26TNV</t>
  </si>
  <si>
    <t>'11</t>
  </si>
  <si>
    <t>Công ty TNHH tư vấn - xây dựng Nguyên Việt</t>
  </si>
  <si>
    <t>'0303719675</t>
  </si>
  <si>
    <t>Tư vấn khảo sát , lập BCNCKT</t>
  </si>
  <si>
    <t>'12</t>
  </si>
  <si>
    <t>Lập thiết kế BVTC dự toán</t>
  </si>
  <si>
    <t>1C26TPY</t>
  </si>
  <si>
    <t>'13</t>
  </si>
  <si>
    <t>Công ty Cổ Phần Năng Lượng Phúc Ý</t>
  </si>
  <si>
    <t>'0901082015</t>
  </si>
  <si>
    <t>ĐIỆN MTMN T06-2026</t>
  </si>
  <si>
    <t>'2156</t>
  </si>
  <si>
    <t>Năng lượng mặt trời</t>
  </si>
  <si>
    <t>'14</t>
  </si>
  <si>
    <t>1C26MTV</t>
  </si>
  <si>
    <t>'147</t>
  </si>
  <si>
    <t>CÔNG TY CỔ PHẦN CÔNG NGHỆ TÁO VÀNG</t>
  </si>
  <si>
    <t>'3502275892</t>
  </si>
  <si>
    <t>'148</t>
  </si>
  <si>
    <t>Công Ty Cổ Phần Công Nghệ Táo Vàng</t>
  </si>
  <si>
    <t>'149</t>
  </si>
  <si>
    <t>1C26TVH</t>
  </si>
  <si>
    <t>'15</t>
  </si>
  <si>
    <t>Công ty TNHH Tư Vấn Đầu Tư Và Xây Dựng Điện Việt Hưng</t>
  </si>
  <si>
    <t>'3502250175</t>
  </si>
  <si>
    <t>'16</t>
  </si>
  <si>
    <t>1C26THQ</t>
  </si>
  <si>
    <t>'204</t>
  </si>
  <si>
    <t>Công Ty Cổ Phần Thương Mại  Kỹ Thuật Hà Quang</t>
  </si>
  <si>
    <t>'3500885684</t>
  </si>
  <si>
    <t>1C26TEP</t>
  </si>
  <si>
    <t>'22</t>
  </si>
  <si>
    <t>Công ty TNHH Kỹ Thuật ECOPOWER</t>
  </si>
  <si>
    <t>'0312112291</t>
  </si>
  <si>
    <t>1C26TNA</t>
  </si>
  <si>
    <t>'24</t>
  </si>
  <si>
    <t>Công ty TNHH đầu tư thương mại dịch vụ Ngân Anh</t>
  </si>
  <si>
    <t>'3502469947</t>
  </si>
  <si>
    <t>Công ty Cổ Phần Năng Lượng Tái Tạo Sông Đà</t>
  </si>
  <si>
    <t>'0109295961</t>
  </si>
  <si>
    <t>'25</t>
  </si>
  <si>
    <t>'26</t>
  </si>
  <si>
    <t>'27</t>
  </si>
  <si>
    <t>1C26TPE</t>
  </si>
  <si>
    <t>'2742</t>
  </si>
  <si>
    <t>Cty cổ phần dịch vụ tổng hợp dầu khí Vũng Tàu</t>
  </si>
  <si>
    <t>'3500835690</t>
  </si>
  <si>
    <t>'28</t>
  </si>
  <si>
    <t>'29</t>
  </si>
  <si>
    <t>Công ty Cổ Phần Đầu Tư Xây Dựng Đại Dũng</t>
  </si>
  <si>
    <t>'3502281889</t>
  </si>
  <si>
    <t>1C26TVT</t>
  </si>
  <si>
    <t>'33</t>
  </si>
  <si>
    <t>Công Ty Cổ Phần Năng Lượng Xanh Vũng Tàu( Chiếu Sáng Công Cộng )</t>
  </si>
  <si>
    <t>'3502349671</t>
  </si>
  <si>
    <t>1C26THA</t>
  </si>
  <si>
    <t>'3683</t>
  </si>
  <si>
    <t>Công ty Cổ Phần HANACANS</t>
  </si>
  <si>
    <t>'2300372796</t>
  </si>
  <si>
    <t>'44</t>
  </si>
  <si>
    <t>Công Ty Cổ Phần Năng Lượng Tái Tạo Sông Hồng</t>
  </si>
  <si>
    <t>'0109295954</t>
  </si>
  <si>
    <t>1C26TPC</t>
  </si>
  <si>
    <t>'7</t>
  </si>
  <si>
    <t>CÔNG TY TNHH THỦY SẢN PHÚC CHÂU</t>
  </si>
  <si>
    <t>'3502301045</t>
  </si>
  <si>
    <t>1C26TQK</t>
  </si>
  <si>
    <t>Cty TNHH dịch vụ kỹ thuật Quang Khánh</t>
  </si>
  <si>
    <t>'3501816958</t>
  </si>
  <si>
    <t>1C26TBH</t>
  </si>
  <si>
    <t>'9</t>
  </si>
  <si>
    <t>Công ty TNHH Dịch vụ Kỹ thuật Bắc Hải</t>
  </si>
  <si>
    <t>'3502264883</t>
  </si>
  <si>
    <t>1C26TDV</t>
  </si>
  <si>
    <t>Công Ty TNHH Truyền Thông Quảng Cáo Da Vàng</t>
  </si>
  <si>
    <t>'3502434278</t>
  </si>
  <si>
    <t>1C26THH</t>
  </si>
  <si>
    <t>'762</t>
  </si>
  <si>
    <t>Công ty TNHH đầu tư thương mại vận tải Hồng Hải</t>
  </si>
  <si>
    <t>'3502235402</t>
  </si>
  <si>
    <t>ĐIỆN MTMN T05-2026</t>
  </si>
  <si>
    <t>'1006</t>
  </si>
  <si>
    <t>Chi nhánh Công ty CP Đầu tư Phan Huỳnh Gia Phát tại Tân Thành</t>
  </si>
  <si>
    <t>'0312765212</t>
  </si>
  <si>
    <t>1C26TSP</t>
  </si>
  <si>
    <t>'111</t>
  </si>
  <si>
    <t>Công ty TNHH Chất Lượng Toàn Cầu SUPERIOR</t>
  </si>
  <si>
    <t>'3502398943</t>
  </si>
  <si>
    <t>1C26TMD</t>
  </si>
  <si>
    <t>'1156</t>
  </si>
  <si>
    <t>Chi nhánh Công ty TNHH Phòng khám Đa khoa MEDIC Sài Gòn</t>
  </si>
  <si>
    <t>'3502316958</t>
  </si>
  <si>
    <t>1C26TQS</t>
  </si>
  <si>
    <t>'118</t>
  </si>
  <si>
    <t>CÔNG TY TNHH QUANG SÁNG</t>
  </si>
  <si>
    <t>'3500385868</t>
  </si>
  <si>
    <t>'119</t>
  </si>
  <si>
    <t>Công ty Cổ Phần Năng Lượng Tái Tạo Sông Thao</t>
  </si>
  <si>
    <t>'0109325038</t>
  </si>
  <si>
    <t>1C26TDS</t>
  </si>
  <si>
    <t>Công ty TNHH điện mặt trời Đông Á</t>
  </si>
  <si>
    <t>'3502402318</t>
  </si>
  <si>
    <t>1C26TAP</t>
  </si>
  <si>
    <t>Công ty TNHH ATLAS POWER 1</t>
  </si>
  <si>
    <t>'0109255729</t>
  </si>
  <si>
    <t>1C26TPT</t>
  </si>
  <si>
    <t>Công ty Cổ Phần CHPT GROUP</t>
  </si>
  <si>
    <t>'0109003922</t>
  </si>
  <si>
    <t>1C26TVA</t>
  </si>
  <si>
    <t>'133</t>
  </si>
  <si>
    <t>Công ty Cổ Phần Hợp Tác Phát Triển Năng Lượng Tái Tạo VI-JA</t>
  </si>
  <si>
    <t>'0316274631</t>
  </si>
  <si>
    <t>1C26TEV</t>
  </si>
  <si>
    <t>'135</t>
  </si>
  <si>
    <t>Công ty Cổ Phần Đầu Tư EVERSOLAR</t>
  </si>
  <si>
    <t>'0108762162</t>
  </si>
  <si>
    <t>1C26TTA</t>
  </si>
  <si>
    <t>Công ty TNHH Đầu Tư Trường An Solar</t>
  </si>
  <si>
    <t>'0315553664</t>
  </si>
  <si>
    <t>Công ty TNHH Thương Mại Dịch Vụ Nam Trường An</t>
  </si>
  <si>
    <t>'0313553235</t>
  </si>
  <si>
    <t>Công Ty TNHH Điện Mặt Trời Đông Á</t>
  </si>
  <si>
    <t>1C26TAS</t>
  </si>
  <si>
    <t>Công ty TNHH ALPHA SOLAR 2</t>
  </si>
  <si>
    <t>'0109204788</t>
  </si>
  <si>
    <t>Công ty TNHH ALPHA SOLAR 3</t>
  </si>
  <si>
    <t>'0109204749</t>
  </si>
  <si>
    <t>1C26TSO</t>
  </si>
  <si>
    <t>'160</t>
  </si>
  <si>
    <t>Công ty Cổ Phần Nhà Máy Điện Mặt Trời Trúc Sơn</t>
  </si>
  <si>
    <t>'6400396685</t>
  </si>
  <si>
    <t>'161</t>
  </si>
  <si>
    <t>'18</t>
  </si>
  <si>
    <t>Công ty Cổ Phần Năng Lượng Tái Tạo Sông Mã</t>
  </si>
  <si>
    <t>'0109295986</t>
  </si>
  <si>
    <t>Công ty Cổ Phần Năng Lượng Tái Tạo Sông Gianh</t>
  </si>
  <si>
    <t>'0109325045</t>
  </si>
  <si>
    <t>1C26TDD</t>
  </si>
  <si>
    <t>'19</t>
  </si>
  <si>
    <t>Công ty Cổ Phần Xuất Nhập Khẩu Duy Sơn</t>
  </si>
  <si>
    <t>'0105283228</t>
  </si>
  <si>
    <t>1K26TSC</t>
  </si>
  <si>
    <t>'191</t>
  </si>
  <si>
    <t>Công ty dịch vụ sửa chữa các nhà máy điện EVNGENCO 3</t>
  </si>
  <si>
    <t>'3502208399-009</t>
  </si>
  <si>
    <t>Công ty TNHH ALPHA SOLAR 4</t>
  </si>
  <si>
    <t>'0109204770</t>
  </si>
  <si>
    <t>Công Ty Cổ Phần HELIO ENERGY</t>
  </si>
  <si>
    <t>'0109204756</t>
  </si>
  <si>
    <t>1C26TMT</t>
  </si>
  <si>
    <t>CÔNG TY TNHH CƠ KHÍ VÀ XÂY DỰNG MẠNH THẮNG</t>
  </si>
  <si>
    <t>'3502309894</t>
  </si>
  <si>
    <t>1C26TGX</t>
  </si>
  <si>
    <t>Công ty TNHH Đầu Tư Thương Mại Thế Giới Xanh</t>
  </si>
  <si>
    <t>'3502436081</t>
  </si>
  <si>
    <t>1C26TUP</t>
  </si>
  <si>
    <t>Công ty TNHH Uy Phong Tân Thành</t>
  </si>
  <si>
    <t>1C26TSM</t>
  </si>
  <si>
    <t>'2708</t>
  </si>
  <si>
    <t>CÔNG TY TNHH SMARTLOG LONG PHÚ</t>
  </si>
  <si>
    <t>'0309985835</t>
  </si>
  <si>
    <t>'275</t>
  </si>
  <si>
    <t>Công Ty TNHH Sản Xuất Lê Hà PLASTIC</t>
  </si>
  <si>
    <t>'3502501012</t>
  </si>
  <si>
    <t>'276</t>
  </si>
  <si>
    <t>'277</t>
  </si>
  <si>
    <t>'278</t>
  </si>
  <si>
    <t>'279</t>
  </si>
  <si>
    <t>'280</t>
  </si>
  <si>
    <t>1C26TTC</t>
  </si>
  <si>
    <t>Công ty TNHH Sản Xuất Thương Mại Dịch Vụ Nam Thành Công</t>
  </si>
  <si>
    <t>'0312564675</t>
  </si>
  <si>
    <t>1C26TDA</t>
  </si>
  <si>
    <t>'31</t>
  </si>
  <si>
    <t>Công ty Cổ phần Xây lắp Dầu khí Đông Á</t>
  </si>
  <si>
    <t>'3500732889</t>
  </si>
  <si>
    <t>'32</t>
  </si>
  <si>
    <t>Công Ty Cổ Phần Xây Lắp Dầu Khí Đông Á</t>
  </si>
  <si>
    <t>1C26TNL</t>
  </si>
  <si>
    <t>'36</t>
  </si>
  <si>
    <t>Công ty Cổ Phần TECH SOUTH</t>
  </si>
  <si>
    <t>'3502395300</t>
  </si>
  <si>
    <t>1C26TCS</t>
  </si>
  <si>
    <t>'37</t>
  </si>
  <si>
    <t>Công Ty TNHH Can Sports Năng Lượng Xanh</t>
  </si>
  <si>
    <t>'0316473820</t>
  </si>
  <si>
    <t>1C26TAB</t>
  </si>
  <si>
    <t>'427</t>
  </si>
  <si>
    <t>Công Ty TNHH Đại Lý Tàu Biển Hải Nam</t>
  </si>
  <si>
    <t>'3500545991</t>
  </si>
  <si>
    <t>1C26TSC</t>
  </si>
  <si>
    <t>'43</t>
  </si>
  <si>
    <t>Công ty Cổ Phần INTERSOLAR</t>
  </si>
  <si>
    <t>'0315939812</t>
  </si>
  <si>
    <t>1C26TCL</t>
  </si>
  <si>
    <t>'5641</t>
  </si>
  <si>
    <t>Công ty TNHH Chấn Long</t>
  </si>
  <si>
    <t>'3500442146</t>
  </si>
  <si>
    <t>1C26TEC</t>
  </si>
  <si>
    <t>'60</t>
  </si>
  <si>
    <t>Công ty TNHH Công Nghệ Xanh ECOSOLAR</t>
  </si>
  <si>
    <t>'3502278068</t>
  </si>
  <si>
    <t>'61</t>
  </si>
  <si>
    <t>'618</t>
  </si>
  <si>
    <t>Công ty Cổ phần Solar Esco</t>
  </si>
  <si>
    <t>'0312062509</t>
  </si>
  <si>
    <t>1C26MYY</t>
  </si>
  <si>
    <t>'668</t>
  </si>
  <si>
    <t>Công Ty TNHH Hoàng Minh HOTEL</t>
  </si>
  <si>
    <t>'3502526923</t>
  </si>
  <si>
    <t>'680</t>
  </si>
  <si>
    <t>Công ty TNHH Thương Mại Dịch Vụ Công Nghệ Thông Tin Đất Việt</t>
  </si>
  <si>
    <t>'3501593821</t>
  </si>
  <si>
    <t>CÔNG TY TNHH PHÁT TRIỂN NĂNG LƯỢNG DVG VIỆT NAM</t>
  </si>
  <si>
    <t>'0315978794</t>
  </si>
  <si>
    <t>1C26TSW</t>
  </si>
  <si>
    <t>Công ty Cổ Phần Điện Mặt Trời SUNWORD</t>
  </si>
  <si>
    <t>'3502429623</t>
  </si>
  <si>
    <t>1C26THS</t>
  </si>
  <si>
    <t>Công ty TNHH Công nghệ - Năng Lượng Hưng Hải Sơn</t>
  </si>
  <si>
    <t>'0316413532</t>
  </si>
  <si>
    <t>Công ty TNHH Kỹ Thuật và Đầu Tư Tiến Thành</t>
  </si>
  <si>
    <t>'0109297334</t>
  </si>
  <si>
    <t>Công ty TNHH Một Thành Viên Hoàng Nguyên SOLAR - PM1</t>
  </si>
  <si>
    <t>'0316388999</t>
  </si>
  <si>
    <t>Công ty TNHH Xây Dựng và Thương Mại Anh Phúc</t>
  </si>
  <si>
    <t>'0301417164</t>
  </si>
  <si>
    <t>Công ty TNHH Một Thành Viên Hoàng Nguyên SOLAR - PM2</t>
  </si>
  <si>
    <t>'0316384987</t>
  </si>
  <si>
    <t>1C26TTP</t>
  </si>
  <si>
    <t>Công ty Cổ Phần Kim Thành Phát</t>
  </si>
  <si>
    <t>'0308925368</t>
  </si>
  <si>
    <t>1C26TGN</t>
  </si>
  <si>
    <t>Công ty TNHH Một Thành Viên Công nghệ - Năng Lượng Gia Nguyên</t>
  </si>
  <si>
    <t>'0316369756</t>
  </si>
  <si>
    <t>Công ty TNHH Sản Xuất Thương Mại Dịch Vụ Xuất Nhập Khẩu An Phát</t>
  </si>
  <si>
    <t>'0316226652</t>
  </si>
  <si>
    <t>1C26TNE</t>
  </si>
  <si>
    <t>Công ty TNHH Sản Xuất Thương Mại Xuất Nhập Khẩu NESADO</t>
  </si>
  <si>
    <t>'1101850799</t>
  </si>
  <si>
    <t>1C26TPN</t>
  </si>
  <si>
    <t>'77</t>
  </si>
  <si>
    <t>Công Ty Cổ Phần Đầu Tư  Phương Nam</t>
  </si>
  <si>
    <t>'1300498814</t>
  </si>
  <si>
    <t>1C26TVL</t>
  </si>
  <si>
    <t>'867</t>
  </si>
  <si>
    <t>Công ty TNHH Kho Vận Việt Thăng Long</t>
  </si>
  <si>
    <t>'0303019560</t>
  </si>
  <si>
    <t>'570</t>
  </si>
  <si>
    <t>ĐIỆN MTMN T04-2026</t>
  </si>
  <si>
    <t>1C26THL</t>
  </si>
  <si>
    <t>Công Ty TNHH Nuôi Trồng Nấm Hòa Long</t>
  </si>
  <si>
    <t>'3502321651</t>
  </si>
  <si>
    <t>'41</t>
  </si>
  <si>
    <t>CÔNG TY CỔ PHẦN KỸ THUẬT CÔNG NGHỆ NĂNG LƯỢNG SÀI GÒN</t>
  </si>
  <si>
    <t>'0302657088</t>
  </si>
  <si>
    <t>'6</t>
  </si>
  <si>
    <t>Công Ty Cổ Phần Thương Mại Dịch Vụ Đầu Tư HTN</t>
  </si>
  <si>
    <t>'0314578779</t>
  </si>
  <si>
    <t>1C26TET</t>
  </si>
  <si>
    <t>'21</t>
  </si>
  <si>
    <t>Công Ty TNHH Dịch Vụ Kỹ Thuật ECS</t>
  </si>
  <si>
    <t>'3502414560</t>
  </si>
  <si>
    <t>1C26TSB</t>
  </si>
  <si>
    <t>'378</t>
  </si>
  <si>
    <t>Chi nhánh Công ty cổ phần Dầu khí Thái Bình Dương - cửa hàng số 4</t>
  </si>
  <si>
    <t>'3500816070</t>
  </si>
  <si>
    <t>1C26TSA</t>
  </si>
  <si>
    <t>Công Ty Cổ Phần SARA Vũng Tàu</t>
  </si>
  <si>
    <t>'3502354632</t>
  </si>
  <si>
    <t>'934</t>
  </si>
  <si>
    <t>1C26MNH</t>
  </si>
  <si>
    <t>'95</t>
  </si>
  <si>
    <t>ĐIỆN MTMN T01-2026</t>
  </si>
  <si>
    <t>'195</t>
  </si>
  <si>
    <t>Công ty TNHH Huyền Sâm</t>
  </si>
  <si>
    <t>'3500733032</t>
  </si>
  <si>
    <t>'196</t>
  </si>
  <si>
    <t>CÔNG TY TNHH HUYỀN SÂM</t>
  </si>
  <si>
    <t>1C26TAA</t>
  </si>
  <si>
    <t>Công ty TNHH Vận Tải Thương Mại Dịch Vụ Trường An Phát</t>
  </si>
  <si>
    <t>'3502212035</t>
  </si>
  <si>
    <t>1C26TNT</t>
  </si>
  <si>
    <t>'100</t>
  </si>
  <si>
    <t>Công ty TNHH Năng Lượng GELEX Ninh Thuận</t>
  </si>
  <si>
    <t>'4500618017</t>
  </si>
  <si>
    <t>'101</t>
  </si>
  <si>
    <t>1C26MPN</t>
  </si>
  <si>
    <t>'1139</t>
  </si>
  <si>
    <t>Công ty TNHH Rượu Phương Nam</t>
  </si>
  <si>
    <t>'3501490738</t>
  </si>
  <si>
    <t>'1140</t>
  </si>
  <si>
    <t>1C26TNP</t>
  </si>
  <si>
    <t>Doanh nghiệp tư nhân Nguyễn Phước</t>
  </si>
  <si>
    <t>'3500435011</t>
  </si>
  <si>
    <t>1C26TXX</t>
  </si>
  <si>
    <t>'139</t>
  </si>
  <si>
    <t>Công ty Cổ Phần SKYX SOLAR</t>
  </si>
  <si>
    <t>'0315895611</t>
  </si>
  <si>
    <t>'146</t>
  </si>
  <si>
    <t>Công ty Cổ phần năng lượng IREX</t>
  </si>
  <si>
    <t>'0311974661</t>
  </si>
  <si>
    <t>1C26TLD</t>
  </si>
  <si>
    <t>Công ty TNHH L&amp;D AUTO</t>
  </si>
  <si>
    <t>'3502312336</t>
  </si>
  <si>
    <t>'177</t>
  </si>
  <si>
    <t>Công Ty TNHH Kính Thiên Phú</t>
  </si>
  <si>
    <t>'3502467763</t>
  </si>
  <si>
    <t>1C26TLP</t>
  </si>
  <si>
    <t>'197</t>
  </si>
  <si>
    <t>Công ty TNHH XD TM Lập Phương</t>
  </si>
  <si>
    <t>'3502260127</t>
  </si>
  <si>
    <t>1C26TMN</t>
  </si>
  <si>
    <t>Công ty TNHH Điện Mặt Trời Mái Nhà</t>
  </si>
  <si>
    <t>'4500643493</t>
  </si>
  <si>
    <t>Công ty TNHH MTV NEPTUNE</t>
  </si>
  <si>
    <t>'2100656134</t>
  </si>
  <si>
    <t>1C26TCA</t>
  </si>
  <si>
    <t>'215</t>
  </si>
  <si>
    <t>Công ty Cổ Phần Đầu Tư CME SOLAR</t>
  </si>
  <si>
    <t>'0108830052</t>
  </si>
  <si>
    <t>'216</t>
  </si>
  <si>
    <t>'217</t>
  </si>
  <si>
    <t>Công Ty Cổ Phần Tư Vấn Xây Dựng Miền Nam</t>
  </si>
  <si>
    <t>'0302362510</t>
  </si>
  <si>
    <t>1C26TBK</t>
  </si>
  <si>
    <t>'222</t>
  </si>
  <si>
    <t>Công ty Cổ Phần Đầu Tư Và Phát Triển Năng Lượng Mặt Trời Bách Khoa.</t>
  </si>
  <si>
    <t>'0304194942</t>
  </si>
  <si>
    <t>1C26TSS</t>
  </si>
  <si>
    <t>Công ty TNHH REE SE Thái Dương</t>
  </si>
  <si>
    <t>'0316387339</t>
  </si>
  <si>
    <t>1C26TTM</t>
  </si>
  <si>
    <t>Công ty TNHH Cơ khí - Xây dựng - Thương mại Thành Mỹ</t>
  </si>
  <si>
    <t>'3501658797</t>
  </si>
  <si>
    <t>'334</t>
  </si>
  <si>
    <t>Công ty TNHH May Thạnh Mỹ</t>
  </si>
  <si>
    <t>'3500885701</t>
  </si>
  <si>
    <t>'34</t>
  </si>
  <si>
    <t>Công ty TNHH REE SE Ánh Dương</t>
  </si>
  <si>
    <t>'0316389713</t>
  </si>
  <si>
    <t>'35</t>
  </si>
  <si>
    <t>1C26TUN</t>
  </si>
  <si>
    <t>Công ty TNHH MTV URANUS</t>
  </si>
  <si>
    <t>'3502423734</t>
  </si>
  <si>
    <t>Công ty Cổ Phần Chí Ninh Năng Lượng Xanh</t>
  </si>
  <si>
    <t>'0316350191</t>
  </si>
  <si>
    <t>Công ty TNHH MTV Uranus</t>
  </si>
  <si>
    <t>'39</t>
  </si>
  <si>
    <t>'40</t>
  </si>
  <si>
    <t>Công ty TNHH Điện Năng Lượng VT</t>
  </si>
  <si>
    <t>'3502426090</t>
  </si>
  <si>
    <t>Công ty TNHH Điện Mặt Trời Tân Bình</t>
  </si>
  <si>
    <t>'0316426517</t>
  </si>
  <si>
    <t>'42</t>
  </si>
  <si>
    <t>'442</t>
  </si>
  <si>
    <t>BQL Vườn Quốc Gia Côn Đảo</t>
  </si>
  <si>
    <t>'3500122442</t>
  </si>
  <si>
    <t>'443</t>
  </si>
  <si>
    <t>1C26TMS</t>
  </si>
  <si>
    <t>Công ty TNHH Đầu Tư Phát Triển Mimosa</t>
  </si>
  <si>
    <t>'0316294652</t>
  </si>
  <si>
    <t>'47</t>
  </si>
  <si>
    <t>Công ty Cổ Phần Hàng Hải và Năng Lượng  Hải Mã</t>
  </si>
  <si>
    <t>'0314628148</t>
  </si>
  <si>
    <t>'48</t>
  </si>
  <si>
    <t>Công ty TNHH Năng Lượng Điện Mái Nhà</t>
  </si>
  <si>
    <t>'4500642387</t>
  </si>
  <si>
    <t>'49</t>
  </si>
  <si>
    <t>'50</t>
  </si>
  <si>
    <t>'51</t>
  </si>
  <si>
    <t>'52</t>
  </si>
  <si>
    <t>'57</t>
  </si>
  <si>
    <t>Công ty TNHH SKYX SOLAR CENTRAL</t>
  </si>
  <si>
    <t>'0316380245</t>
  </si>
  <si>
    <t>1C26TXD</t>
  </si>
  <si>
    <t>'582</t>
  </si>
  <si>
    <t>Công ty Cổ phần Tư Vấn Và Xây Dựng Miền Nam</t>
  </si>
  <si>
    <t>'3500979808</t>
  </si>
  <si>
    <t>1C26TLH</t>
  </si>
  <si>
    <t>Công ty TNHH  Phú Lộc Hưng</t>
  </si>
  <si>
    <t>'3501509280</t>
  </si>
  <si>
    <t>Công ty TNHH SKYX SOLAR 1</t>
  </si>
  <si>
    <t>'0316377933</t>
  </si>
  <si>
    <t>'648</t>
  </si>
  <si>
    <t>Công ty TNHH Một Thành Viên Công Nghiệp Hóa Chất Mỏ Nam Bộ - MICCO</t>
  </si>
  <si>
    <t>'3502007678</t>
  </si>
  <si>
    <t>'649</t>
  </si>
  <si>
    <t>1C26TKD</t>
  </si>
  <si>
    <t>Công ty Trách Nhiệm Hữu Hạn TM Khang Khang Đạt</t>
  </si>
  <si>
    <t>'3502439491</t>
  </si>
  <si>
    <t>1C26TSE</t>
  </si>
  <si>
    <t>Công ty Trách Nhiệm Hữu Hạn SERENITY GREEN TA</t>
  </si>
  <si>
    <t>'3502439533</t>
  </si>
  <si>
    <t>1C26TKT</t>
  </si>
  <si>
    <t>Công ty Trách Nhiệm Hữu Hạn Đầu Tư Khang Khang Tiến</t>
  </si>
  <si>
    <t>'3502439526</t>
  </si>
  <si>
    <t>1C26TKP</t>
  </si>
  <si>
    <t>Công ty Trách Nhiệm Hữu Hạn Duyên &amp; Khang Phát</t>
  </si>
  <si>
    <t>'3502439540</t>
  </si>
  <si>
    <t>Công ty TNHH Năng Lượng Gia Phúc Thịnh</t>
  </si>
  <si>
    <t>'3502436606</t>
  </si>
  <si>
    <t>Công ty TNHH Năng Lượng Mặt Trời Đồng Minh</t>
  </si>
  <si>
    <t>'0316399863</t>
  </si>
  <si>
    <t>'797</t>
  </si>
  <si>
    <t>Công Ty TNHH Dịch Vụ Vận Tải Trung Việt</t>
  </si>
  <si>
    <t>'3500441720</t>
  </si>
  <si>
    <t>'798</t>
  </si>
  <si>
    <t>'83</t>
  </si>
  <si>
    <t>Công ty Cổ Phần Năng Lượng Mặt Trời REE</t>
  </si>
  <si>
    <t>'0300970376</t>
  </si>
  <si>
    <t>'84</t>
  </si>
  <si>
    <t>Công ty Cổ phần Năng Lượng Mặt Trời REE</t>
  </si>
  <si>
    <t>'85</t>
  </si>
  <si>
    <t>'88</t>
  </si>
  <si>
    <t>Công ty TNHH SKYX SOLAR SOUTH</t>
  </si>
  <si>
    <t>'0316379264</t>
  </si>
  <si>
    <t>'99</t>
  </si>
  <si>
    <t>Công ty Cổ Phần Năng Lượng Thanh Tùng</t>
  </si>
  <si>
    <t>'0109288851</t>
  </si>
  <si>
    <t>Công ty TNHH Năng Lượng SUN TIMES 6</t>
  </si>
  <si>
    <t>'0316356757</t>
  </si>
  <si>
    <t>Công ty TNHH Năng Lượng SUN TIMES 3</t>
  </si>
  <si>
    <t>'0316355104</t>
  </si>
  <si>
    <t>Công ty TNHH Năng Lượng SUN TIMES 5</t>
  </si>
  <si>
    <t>'0316355143</t>
  </si>
  <si>
    <t>'282</t>
  </si>
  <si>
    <t>'283</t>
  </si>
  <si>
    <t>CÔNG TY CỔ PHẦN NĂNG LƯỢNG TÁI TẠO ĐIỆN LỰC DẦU KHÍ</t>
  </si>
  <si>
    <t>'0109308963</t>
  </si>
  <si>
    <t>Công Ty Cổ Phần Năng Lượng Tái Tạo Điện Lực Dầu Khí</t>
  </si>
  <si>
    <t>'54</t>
  </si>
  <si>
    <t>Công ty TNHH Huy Phát Vũng Tàu</t>
  </si>
  <si>
    <t>'3502385905</t>
  </si>
  <si>
    <t>Công Ty TNHH Trường Thọ</t>
  </si>
  <si>
    <t>'3500717513</t>
  </si>
  <si>
    <t>1C26TDP</t>
  </si>
  <si>
    <t>'80</t>
  </si>
  <si>
    <t>Cty TNHH Đông Phong</t>
  </si>
  <si>
    <t>'3500689369</t>
  </si>
  <si>
    <t>'81</t>
  </si>
  <si>
    <t>'2772</t>
  </si>
  <si>
    <t>Công Ty Cổ Phần Thương Mại 125</t>
  </si>
  <si>
    <t>'3502269313</t>
  </si>
  <si>
    <t>'403</t>
  </si>
  <si>
    <t>Công ty TNHH Hải Lưu</t>
  </si>
  <si>
    <t>'3501755776</t>
  </si>
  <si>
    <t>1C26TTN</t>
  </si>
  <si>
    <t>'666</t>
  </si>
  <si>
    <t>Công ty CP DV Gia công và thử nghiệm Vũng tàu</t>
  </si>
  <si>
    <t>'3502283445</t>
  </si>
  <si>
    <t>Công Ty TNHH Đầu Tư Minh Hùng Phát</t>
  </si>
  <si>
    <t>'3502352522</t>
  </si>
  <si>
    <t>ĐIỆN MTMN T02-2026</t>
  </si>
  <si>
    <t>1C26TMG</t>
  </si>
  <si>
    <t>Công ty TNHH đầu tư Công nghệ Phương Nam</t>
  </si>
  <si>
    <t>'3502343694</t>
  </si>
  <si>
    <t>ĐIỆN MTMN T03-2026</t>
  </si>
  <si>
    <t>'8</t>
  </si>
  <si>
    <t>'152</t>
  </si>
  <si>
    <t>Công ty cổ phần công nghệ Táo vàng</t>
  </si>
  <si>
    <t>'5</t>
  </si>
  <si>
    <t>Công ty TNHH Dịch Vụ Sửa Chữa Thành Lương</t>
  </si>
  <si>
    <t>'3502300700</t>
  </si>
  <si>
    <t>1C26TTD</t>
  </si>
  <si>
    <t>Doanh Nghiệp TN Trung Đức</t>
  </si>
  <si>
    <t>'3500419884</t>
  </si>
  <si>
    <t>'881</t>
  </si>
  <si>
    <t>'102</t>
  </si>
  <si>
    <t>1C26TBD</t>
  </si>
  <si>
    <t>CTY CỔ PHẦN DỊCH VỤ KỸ THUẬT DẦU KHÍ BIỂN ĐÔNG</t>
  </si>
  <si>
    <t>'3501977874</t>
  </si>
  <si>
    <t>1C26TMA</t>
  </si>
  <si>
    <t>'274</t>
  </si>
  <si>
    <t>Công ty TNHH Thông Tin Kỹ Thuật Minh Anh</t>
  </si>
  <si>
    <t>'3500391149</t>
  </si>
  <si>
    <t>Công Ty TNHH Thông tin kỹ thuật MInh Anh</t>
  </si>
  <si>
    <t>'154</t>
  </si>
  <si>
    <t>'210</t>
  </si>
  <si>
    <t>Cty TNHH Kiểm Toán Vũng Tàu</t>
  </si>
  <si>
    <t>'3500770612</t>
  </si>
  <si>
    <t>'211</t>
  </si>
  <si>
    <t>'230</t>
  </si>
  <si>
    <t>'231</t>
  </si>
  <si>
    <t>'232</t>
  </si>
  <si>
    <t>1C26TTS</t>
  </si>
  <si>
    <t>'1804</t>
  </si>
  <si>
    <t>Công ty TNHH Suất Ăn Công Nghiệp Tiến Sang</t>
  </si>
  <si>
    <t>'3501533893</t>
  </si>
  <si>
    <t>1C26TDT</t>
  </si>
  <si>
    <t>'86</t>
  </si>
  <si>
    <t>CÔNG TY TNHH THƯƠNG MẠI VÀ DỊCH VỤ KỸ THUẬT ĐỨC TOÀN</t>
  </si>
  <si>
    <t>'3502397026</t>
  </si>
  <si>
    <t>'2158</t>
  </si>
  <si>
    <t>1C26MCD</t>
  </si>
  <si>
    <t>'90402</t>
  </si>
  <si>
    <t>CÔNG TY CP TÀU CAO TỐC PHÚ QUỐC - CHI NHÁNH CÔN ĐẢO</t>
  </si>
  <si>
    <t>'1702067575-002</t>
  </si>
  <si>
    <t>vé tàu cao tốc Côn Đảo</t>
  </si>
  <si>
    <t>'90548</t>
  </si>
  <si>
    <t>1C26MBA</t>
  </si>
  <si>
    <t>CÔNG TY TNHH TMDV NHÀ HÀNG BÌNH AN</t>
  </si>
  <si>
    <t>'3502570520</t>
  </si>
  <si>
    <t>đặt ăn</t>
  </si>
  <si>
    <t>1C26TTH</t>
  </si>
  <si>
    <t>CÔNG TY TNHH VẬN TẢI TUẤN HẬU</t>
  </si>
  <si>
    <t>'3502449563</t>
  </si>
  <si>
    <t>'1418321</t>
  </si>
  <si>
    <t>tiền điện T06-2026</t>
  </si>
  <si>
    <t>'1462794</t>
  </si>
  <si>
    <t>'1462795</t>
  </si>
  <si>
    <t>'1462887</t>
  </si>
  <si>
    <t>'1462910</t>
  </si>
  <si>
    <t>'1477743</t>
  </si>
  <si>
    <t>'1554981</t>
  </si>
  <si>
    <t>'1605565</t>
  </si>
  <si>
    <t>'1658701</t>
  </si>
  <si>
    <t>1K26DAB</t>
  </si>
  <si>
    <t>'20498561</t>
  </si>
  <si>
    <t>cước điện thoại Viettel T06-2026</t>
  </si>
  <si>
    <t>'20500664</t>
  </si>
  <si>
    <t>'20502307</t>
  </si>
  <si>
    <t>'20503280</t>
  </si>
  <si>
    <t>'20507315</t>
  </si>
  <si>
    <t>'20507863</t>
  </si>
  <si>
    <t>'20516963</t>
  </si>
  <si>
    <t>'20517090</t>
  </si>
  <si>
    <t>'20517839</t>
  </si>
  <si>
    <t>'20518218</t>
  </si>
  <si>
    <t>'20522081</t>
  </si>
  <si>
    <t>'20522843</t>
  </si>
  <si>
    <t>'20523231</t>
  </si>
  <si>
    <t>'20524809</t>
  </si>
  <si>
    <t>'20529202</t>
  </si>
  <si>
    <t>'20531481</t>
  </si>
  <si>
    <t>'20532124</t>
  </si>
  <si>
    <t>'20532887</t>
  </si>
  <si>
    <t>'20533049</t>
  </si>
  <si>
    <t>'20533077</t>
  </si>
  <si>
    <t>'20535953</t>
  </si>
  <si>
    <t>'20538638</t>
  </si>
  <si>
    <t>'20541334</t>
  </si>
  <si>
    <t>'20542807</t>
  </si>
  <si>
    <t>'20543015</t>
  </si>
  <si>
    <t>'20544129</t>
  </si>
  <si>
    <t>'20544587</t>
  </si>
  <si>
    <t>'20545795</t>
  </si>
  <si>
    <t>'20546758</t>
  </si>
  <si>
    <t>'20546833</t>
  </si>
  <si>
    <t>'20546894</t>
  </si>
  <si>
    <t>'20546930</t>
  </si>
  <si>
    <t>'20547005</t>
  </si>
  <si>
    <t>'20577800</t>
  </si>
  <si>
    <t>CÔNG TY TNHH MTV LƯU THÀNH CÔNG</t>
  </si>
  <si>
    <t>'3502492368</t>
  </si>
  <si>
    <t>thuê xe máy cuốc</t>
  </si>
  <si>
    <t>1K26THE</t>
  </si>
  <si>
    <t>'640868</t>
  </si>
  <si>
    <t>CN Tập đoàn bưu chính viễn thông Việt Nam ( Loại hình doanh nghiệp công ty TNHH)- Viễn Thông Thành Phố Hồ Chí Minh</t>
  </si>
  <si>
    <t>cước điện thoại VNPT T06-26</t>
  </si>
  <si>
    <t>'646154</t>
  </si>
  <si>
    <t>'646234</t>
  </si>
  <si>
    <t>'677748</t>
  </si>
  <si>
    <t>'707626</t>
  </si>
  <si>
    <t>'712600</t>
  </si>
  <si>
    <t>'717216</t>
  </si>
  <si>
    <t>'765433</t>
  </si>
  <si>
    <t>1C26MGB</t>
  </si>
  <si>
    <t>'7700</t>
  </si>
  <si>
    <t>QUÁN ĂN GÀNH HÀO 2-DOANH NGHIỆP TƯ NHÂN XĂNG DẦU LONG PHƯỚC</t>
  </si>
  <si>
    <t>'3500354108</t>
  </si>
  <si>
    <t>'786132</t>
  </si>
  <si>
    <t>'791523</t>
  </si>
  <si>
    <t>'804485</t>
  </si>
  <si>
    <t>'815984</t>
  </si>
  <si>
    <t>'818559</t>
  </si>
  <si>
    <t>'826592</t>
  </si>
  <si>
    <t>'826702</t>
  </si>
  <si>
    <t>'834614</t>
  </si>
  <si>
    <t>'850063</t>
  </si>
  <si>
    <t>'861680</t>
  </si>
  <si>
    <t>'869212</t>
  </si>
  <si>
    <t>'869858</t>
  </si>
  <si>
    <t>'878386</t>
  </si>
  <si>
    <t>'884091</t>
  </si>
  <si>
    <t>1C26THM</t>
  </si>
  <si>
    <t>'151</t>
  </si>
  <si>
    <t>CÔNG TY CP DỊCH VỤ VỆ SINH CÔNG NGHIỆP HOÀN MỸ SÀI GÒN</t>
  </si>
  <si>
    <t>'0315759922</t>
  </si>
  <si>
    <t>thuê nhân công</t>
  </si>
  <si>
    <t>1C26MBT</t>
  </si>
  <si>
    <t>'1738</t>
  </si>
  <si>
    <t>CÔNG TY TNHH TMDV DU LỊCH BÁ THẮNG</t>
  </si>
  <si>
    <t>'3502512800</t>
  </si>
  <si>
    <t>'4443</t>
  </si>
  <si>
    <t>BAN QUẢN LÝ CẢNG BẾN ĐẦM ĐẶC KHU CÔN ĐẢO</t>
  </si>
  <si>
    <t>'3500408480</t>
  </si>
  <si>
    <t>vé bến tàu côn đảo</t>
  </si>
  <si>
    <t>'12680</t>
  </si>
  <si>
    <t>TRẠM CUNG CẤP NƯỚC ĐẶC KHU CÔN ĐẢO</t>
  </si>
  <si>
    <t>'3500121590</t>
  </si>
  <si>
    <t>nước sinh hoạt T07-26</t>
  </si>
  <si>
    <t>'13243</t>
  </si>
  <si>
    <t>1C26TDK</t>
  </si>
  <si>
    <t>'19070</t>
  </si>
  <si>
    <t>kiểm định ô tô</t>
  </si>
  <si>
    <t>'235805</t>
  </si>
  <si>
    <t>cước hòa mạng VNPT T06-26</t>
  </si>
  <si>
    <t>'237767</t>
  </si>
  <si>
    <t>'237775</t>
  </si>
  <si>
    <t>'237778</t>
  </si>
  <si>
    <t>1C26MLN</t>
  </si>
  <si>
    <t>DNTN THƯƠNG MẠI LƯƠNG NHÂN</t>
  </si>
  <si>
    <t>'3502224312</t>
  </si>
  <si>
    <t>tea break</t>
  </si>
  <si>
    <t>1C26MAA</t>
  </si>
  <si>
    <t>'1158</t>
  </si>
  <si>
    <t>CÔNG TY TNHH DỊCH VỤ NHÀ HÀNG QUÁN NHÀ</t>
  </si>
  <si>
    <t>'3502350645</t>
  </si>
  <si>
    <t>'5087</t>
  </si>
  <si>
    <t>DOANH NGHIỆP TƯ NHÂN XĂNG DẦU LONG PHƯỚC</t>
  </si>
  <si>
    <t>ăn uống</t>
  </si>
  <si>
    <t>1C26MBP</t>
  </si>
  <si>
    <t>'00061245</t>
  </si>
  <si>
    <t>nhớt xe T06-2026</t>
  </si>
  <si>
    <t>1C26MHM</t>
  </si>
  <si>
    <t>'1821049</t>
  </si>
  <si>
    <t>CN BRVT - CÔNG TY CỔ PHẦN DI CHUYỂN XANH VÀ THÔNG MINH GSM</t>
  </si>
  <si>
    <t>'0110269067-014</t>
  </si>
  <si>
    <t>phí taxi</t>
  </si>
  <si>
    <t>CÔNG TY TNHH DỊCH VỤ Y TẾ LAO ĐỘNG MIỀN NAM</t>
  </si>
  <si>
    <t>'0315760879</t>
  </si>
  <si>
    <t>đào tạo sơ cấp cứu</t>
  </si>
  <si>
    <t>1C26MVM</t>
  </si>
  <si>
    <t>'2862561</t>
  </si>
  <si>
    <t>CÔNG TY CỔ PHẦN SỮA VIỆT NAM</t>
  </si>
  <si>
    <t>'0300588569</t>
  </si>
  <si>
    <t>thuê máy photo T07-26</t>
  </si>
  <si>
    <t>'96</t>
  </si>
  <si>
    <t>'97</t>
  </si>
  <si>
    <t>'98</t>
  </si>
  <si>
    <t>'654</t>
  </si>
  <si>
    <t>CÔNG TY TNHH DỊCH VỤ NHÀ HÀNG HỘI TỤ QUÁN</t>
  </si>
  <si>
    <t>'3502483476</t>
  </si>
  <si>
    <t>'134</t>
  </si>
  <si>
    <t>CÔNG TY TNHH TMDV ẨM THỰC MINH PHƯƠNG</t>
  </si>
  <si>
    <t>'3502497817</t>
  </si>
  <si>
    <t>'1795</t>
  </si>
  <si>
    <t>CÔNG TY TNHH THƯƠNG MẠI - DỊCH VỤ KỸ THUẬT THÀNH VIỄN</t>
  </si>
  <si>
    <t>'0303253680</t>
  </si>
  <si>
    <t>thẻ cào điện thoại</t>
  </si>
  <si>
    <t>'604</t>
  </si>
  <si>
    <t>'1207899</t>
  </si>
  <si>
    <t>CÔNG TY CỔ PHẦN CẤP NƯỚC BRVT</t>
  </si>
  <si>
    <t>'3500101386</t>
  </si>
  <si>
    <t>tiền nước T07-26</t>
  </si>
  <si>
    <t>1K26TPM</t>
  </si>
  <si>
    <t>'194042</t>
  </si>
  <si>
    <t>CÔNG TY CỔ PHẦN CẤP NƯỚC PHÚ MỸ</t>
  </si>
  <si>
    <t>'3500677525</t>
  </si>
  <si>
    <t>1C26MST</t>
  </si>
  <si>
    <t>CÔNG TY TRÁCH NHIỆM HỮU HẠN HỒNG THANH</t>
  </si>
  <si>
    <t>'3500405761</t>
  </si>
  <si>
    <t>đồ dùng văn phòng</t>
  </si>
  <si>
    <t>'236</t>
  </si>
  <si>
    <t>CÔNG TY TNHH LỐP PHÚ MỸ</t>
  </si>
  <si>
    <t>'3502526271</t>
  </si>
  <si>
    <t>thay lốp xe</t>
  </si>
  <si>
    <t>1C26MPD</t>
  </si>
  <si>
    <t>'417</t>
  </si>
  <si>
    <t>KHÁCH SẠN GRAND PALACE</t>
  </si>
  <si>
    <t>'3500101844-001</t>
  </si>
  <si>
    <t>'9385</t>
  </si>
  <si>
    <t>1C26TPL</t>
  </si>
  <si>
    <t>CÔNG TY TNHH NGỌC PHÁT LONG EXPRESS &amp; LOGISTICS</t>
  </si>
  <si>
    <t>'0315973186</t>
  </si>
  <si>
    <t>'898</t>
  </si>
  <si>
    <t>CÔNG TY CỔ PHẦN THIẾT KẾ LÂM NGUYỄN</t>
  </si>
  <si>
    <t>'3502518055</t>
  </si>
  <si>
    <t>'982</t>
  </si>
  <si>
    <t>CÔNG TY TNHH SỰ KIỆN QUEN</t>
  </si>
  <si>
    <t>'3502467770</t>
  </si>
  <si>
    <t>1C26TPA</t>
  </si>
  <si>
    <t>'7982</t>
  </si>
  <si>
    <t>VIỆN PASTEUR TP HỒ CHÍ MINH</t>
  </si>
  <si>
    <t>'0301225896</t>
  </si>
  <si>
    <t>thử nghiệm nước uống</t>
  </si>
  <si>
    <t>'816</t>
  </si>
  <si>
    <t>'103</t>
  </si>
  <si>
    <t>'1153</t>
  </si>
  <si>
    <t>'1242481</t>
  </si>
  <si>
    <t>'440</t>
  </si>
  <si>
    <t>'1007</t>
  </si>
  <si>
    <t>1K26TSB</t>
  </si>
  <si>
    <t>'15836</t>
  </si>
  <si>
    <t>TỔNG CÔNG TY CƠ KHÍ GIAO THÔNG VẬN TẢI SÀI GÒN - TNHH MTV-XÍ NGHIỆP Ô TÔ TOYOTA BẾN THÀNH</t>
  </si>
  <si>
    <t>'0300481551</t>
  </si>
  <si>
    <t>sửa chữa ô tô</t>
  </si>
  <si>
    <t>1C26MAT</t>
  </si>
  <si>
    <t>'1860</t>
  </si>
  <si>
    <t>CÔNG TY TNHH ĐẦU TƯ VÀ PHÁT TRIỂN ẨM THỰC THIÊN HƯƠNG</t>
  </si>
  <si>
    <t>'3502547056</t>
  </si>
  <si>
    <t>1C26TLK</t>
  </si>
  <si>
    <t>thuê kho bãi</t>
  </si>
  <si>
    <t>'1261702</t>
  </si>
  <si>
    <t>CÔNG TY TNHH XÂY DỰNG CẦU ĐƯỜNG VĂN HÙNG</t>
  </si>
  <si>
    <t>'3502237590</t>
  </si>
  <si>
    <t>tái lập mặt đường</t>
  </si>
  <si>
    <t>'2291</t>
  </si>
  <si>
    <t>'915</t>
  </si>
  <si>
    <t>CÔNG TY TNHH DV TM XÂY DỰNG ĐIỆN HOÀNG HẠNH</t>
  </si>
  <si>
    <t>'3502289711</t>
  </si>
  <si>
    <t>vật tư điện</t>
  </si>
  <si>
    <t>'1045</t>
  </si>
  <si>
    <t>'1644</t>
  </si>
  <si>
    <t>1C26MDT</t>
  </si>
  <si>
    <t>'1756</t>
  </si>
  <si>
    <t>CÔNG TY TNHH TMDV DU LỊCH NHÀ HÀNG ĐỒNG TÂM</t>
  </si>
  <si>
    <t>'3502508674</t>
  </si>
  <si>
    <t>1C26MQC</t>
  </si>
  <si>
    <t>'244</t>
  </si>
  <si>
    <t>CÔNG TY TNHH TM DV QUẢNG CÁO NGUYỄN TOÀN</t>
  </si>
  <si>
    <t>sơn trụ điện</t>
  </si>
  <si>
    <t>'1276</t>
  </si>
  <si>
    <t>1C26TGS</t>
  </si>
  <si>
    <t>'38324</t>
  </si>
  <si>
    <t>CÔNG TY CỔ PHẦN THIẾT BỊ CÔNG NGHIỆP GEIC</t>
  </si>
  <si>
    <t>'0108166233</t>
  </si>
  <si>
    <t>thiết bị truyền tin PCCC</t>
  </si>
  <si>
    <t>'38407</t>
  </si>
  <si>
    <t>'137</t>
  </si>
  <si>
    <t>CÔNG TY CỔ PHẦN CHUYỂN PHÁT NHANH TÍN TÂM EXPRESS</t>
  </si>
  <si>
    <t>'0317524179</t>
  </si>
  <si>
    <t>phí chuyển phát nhanh</t>
  </si>
  <si>
    <t>'337</t>
  </si>
  <si>
    <t>CÔNG TY TNHH SẢN XUẤT THƯƠNG MẠI DỊCH VỤ MASALAN</t>
  </si>
  <si>
    <t>'0318734700</t>
  </si>
  <si>
    <t>sửa chữa hồ cá</t>
  </si>
  <si>
    <t>'1048</t>
  </si>
  <si>
    <t>'1982</t>
  </si>
  <si>
    <t>'247</t>
  </si>
  <si>
    <t>băng rôn</t>
  </si>
  <si>
    <t>'4587</t>
  </si>
  <si>
    <t>CÔNG TY TNHH HỒNG THANH</t>
  </si>
  <si>
    <t>'6749</t>
  </si>
  <si>
    <t>'2027</t>
  </si>
  <si>
    <t>1C26TBB</t>
  </si>
  <si>
    <t>'48087</t>
  </si>
  <si>
    <t>CÔNG TY CỔ PHẦN DI CHUYỂN XANH VÀ THÔNG MINH GSM</t>
  </si>
  <si>
    <t>'0110269067</t>
  </si>
  <si>
    <t>'1823</t>
  </si>
  <si>
    <t>'2002</t>
  </si>
  <si>
    <t>'379</t>
  </si>
  <si>
    <t>'380</t>
  </si>
  <si>
    <t>1C26TQA</t>
  </si>
  <si>
    <t>CÔNG TY TNHH TM KỸ THUẬT DỊCH VỤ QUANG THÁI</t>
  </si>
  <si>
    <t>'3501544704</t>
  </si>
  <si>
    <t>thiết bị mạng</t>
  </si>
  <si>
    <t>1C26THT</t>
  </si>
  <si>
    <t>'519</t>
  </si>
  <si>
    <t>CÔNG TY CP TRỪ MỐI - CÔN TRÙNG HẢI TRIỀU</t>
  </si>
  <si>
    <t>'0303478532</t>
  </si>
  <si>
    <t>phí phun diệt côn trùng</t>
  </si>
  <si>
    <t>CÔNG TY TNHH DV SX TM PHÚC TRƯỜNG</t>
  </si>
  <si>
    <t>'0315878856</t>
  </si>
  <si>
    <t>kỷ niệm chương hưu trí</t>
  </si>
  <si>
    <t>1C26THC</t>
  </si>
  <si>
    <t>'69457</t>
  </si>
  <si>
    <t>CÔNG TY TNHH LA VIE</t>
  </si>
  <si>
    <t>'1100101187</t>
  </si>
  <si>
    <t>tiền nước uống T06-26</t>
  </si>
  <si>
    <t>'740</t>
  </si>
  <si>
    <t>dịch vụ vệ sinh T6-26</t>
  </si>
  <si>
    <t>'741</t>
  </si>
  <si>
    <t>'2161</t>
  </si>
  <si>
    <t>1C26MPC</t>
  </si>
  <si>
    <t>'43065</t>
  </si>
  <si>
    <t>Công Ty Cổ Phần Dược Phẩm Pharmacity</t>
  </si>
  <si>
    <t>'0311770883</t>
  </si>
  <si>
    <t>Thuốc</t>
  </si>
  <si>
    <t>AP0726-Y3</t>
  </si>
  <si>
    <t>'2318</t>
  </si>
  <si>
    <t>CN TCT Điện Lực TPHCM TNHH - Trung Tâm Chăm Sóc Khách Hàng</t>
  </si>
  <si>
    <t>dịch vụ chăm sóc khách hàng</t>
  </si>
  <si>
    <t>AP0726-Y5</t>
  </si>
  <si>
    <t>'2347</t>
  </si>
  <si>
    <t>1K26TAQ</t>
  </si>
  <si>
    <t>'1398</t>
  </si>
  <si>
    <t>CN TCT Điện Lực TPHCM TNHH - Công Ty Điện Lực Chợ Lớn</t>
  </si>
  <si>
    <t>'0300951119-003</t>
  </si>
  <si>
    <t>Biến dòng 22KV</t>
  </si>
  <si>
    <t>AP0726-Y6</t>
  </si>
  <si>
    <t>'2348</t>
  </si>
  <si>
    <t>'00000389</t>
  </si>
  <si>
    <t>Công Ty TNHH Kỹ Thuật Tin Học NLT</t>
  </si>
  <si>
    <t>'0314190986</t>
  </si>
  <si>
    <t>Máy đo khoảng cách, máy tính</t>
  </si>
  <si>
    <t>'00000112</t>
  </si>
  <si>
    <t>Công Ty TNHH Khách Đế</t>
  </si>
  <si>
    <t>'3500452666</t>
  </si>
  <si>
    <t>Máy tính</t>
  </si>
  <si>
    <t>'00000114</t>
  </si>
  <si>
    <t>'1450</t>
  </si>
  <si>
    <t>Nối IPC</t>
  </si>
  <si>
    <t>1K26TAG</t>
  </si>
  <si>
    <t>'535</t>
  </si>
  <si>
    <t>CN TCT Điện lực TPHCM TNHH - Công Ty Điện Lực Củ Chi</t>
  </si>
  <si>
    <t>'0300951119-009</t>
  </si>
  <si>
    <t>Vỏ hộp domino 6 cực</t>
  </si>
  <si>
    <t>'1204</t>
  </si>
  <si>
    <t>1K26TAS</t>
  </si>
  <si>
    <t>CN TCT Điện Lực TPHCM TNHH - Công Ty Điện Lực Đất Đỏ</t>
  </si>
  <si>
    <t>'343</t>
  </si>
  <si>
    <t>Công Ty TNHH TMDV Tiến Thành Water</t>
  </si>
  <si>
    <t>'0315462953</t>
  </si>
  <si>
    <t>Máy lọc nước</t>
  </si>
  <si>
    <t>'1484</t>
  </si>
  <si>
    <t>1C26TMK</t>
  </si>
  <si>
    <t>'371</t>
  </si>
  <si>
    <t>Công Ty TNHH Kim Minh</t>
  </si>
  <si>
    <t>'3500679593</t>
  </si>
  <si>
    <t>Máy lạnh</t>
  </si>
  <si>
    <t>'00000876</t>
  </si>
  <si>
    <t>Công Ty Cổ phần Đầu Tư EPT</t>
  </si>
  <si>
    <t>'0104083642</t>
  </si>
  <si>
    <t>Hộp bốn công tơ</t>
  </si>
  <si>
    <t>1C26TMP</t>
  </si>
  <si>
    <t>Công Ty Cổ Phần Thiết Bị Kỹ Thuật Hiệp Minh Phát</t>
  </si>
  <si>
    <t>'0303677633</t>
  </si>
  <si>
    <t>'00000025</t>
  </si>
  <si>
    <t>'00000026</t>
  </si>
  <si>
    <t>'58</t>
  </si>
  <si>
    <t>CN TCT Điện Lực TPHCM TNHH - Công Ty Điện lực Đất Đỏ</t>
  </si>
  <si>
    <t>'00000108</t>
  </si>
  <si>
    <t>Công Ty Cổ Phần Mộc Đại</t>
  </si>
  <si>
    <t>'3700715640</t>
  </si>
  <si>
    <t>Hộp bảng quảng cáo</t>
  </si>
  <si>
    <t>1K26TAC</t>
  </si>
  <si>
    <t>CN TCT Điện Lực TPHCM TNHH- Công Ty Điện Lực Thuận An</t>
  </si>
  <si>
    <t>'0300951119-002</t>
  </si>
  <si>
    <t>Cáp đồng trần</t>
  </si>
  <si>
    <t>Công Ty TNHH Dịch Vụ Bảo Vệ Chính Tín Nghĩa</t>
  </si>
  <si>
    <t>'3500774039</t>
  </si>
  <si>
    <t>Phí dịch vụ bảo vệ</t>
  </si>
  <si>
    <t>'957</t>
  </si>
  <si>
    <t>Tổng Công ty Điện lực Thành Phố Hồ Chí Minh TNHH</t>
  </si>
  <si>
    <t>Điện mua nội bộ</t>
  </si>
  <si>
    <t>'2367</t>
  </si>
  <si>
    <t>1C26MLB</t>
  </si>
  <si>
    <t>'649271</t>
  </si>
  <si>
    <t>CÔNG TY CP TRUNG TÂM THƯƠNG MẠI LOTTE VIỆT NAM</t>
  </si>
  <si>
    <t>'0304741634</t>
  </si>
  <si>
    <t>dung dịch diệt muỗi</t>
  </si>
  <si>
    <t>TM</t>
  </si>
  <si>
    <t>AR_REC</t>
  </si>
  <si>
    <t>'C0726C203</t>
  </si>
  <si>
    <t>Cleared</t>
  </si>
  <si>
    <t>'2530</t>
  </si>
  <si>
    <t>DNTN XĂNG DẦU LONG PHƯỚC</t>
  </si>
  <si>
    <t>'C0726C208</t>
  </si>
  <si>
    <t>1K26TCA</t>
  </si>
  <si>
    <t>'00362795</t>
  </si>
  <si>
    <t>Ngân hàng Nông nghiệp và Phát triển nông thôn Việt nam - CN Vũng Tàu</t>
  </si>
  <si>
    <t>'0100686174-034</t>
  </si>
  <si>
    <t>phí ngân hàng</t>
  </si>
  <si>
    <t>'R0726AG042</t>
  </si>
  <si>
    <t>'00379781</t>
  </si>
  <si>
    <t>phí chuyển tiền AGR</t>
  </si>
  <si>
    <t>'R0726AG044</t>
  </si>
  <si>
    <t>NGÂN HÀNG NÔNG NGHIỆP VÀ PHÁT TRIỂN NÔNG THÔN VIỆT NAM-CHI NHÁNH VŨNG TÀU</t>
  </si>
  <si>
    <t>PHÍ QLTK</t>
  </si>
  <si>
    <t>'R0726NNT0484</t>
  </si>
  <si>
    <t>'320</t>
  </si>
  <si>
    <t>Công Ty TNHH Thương Mại Quà Tặng Sao Mai</t>
  </si>
  <si>
    <t>'0313066383</t>
  </si>
  <si>
    <t>Ly sứ Bát Tràng</t>
  </si>
  <si>
    <t>'R0726SC0835</t>
  </si>
  <si>
    <t>1K26TAB</t>
  </si>
  <si>
    <t>'0200801</t>
  </si>
  <si>
    <t>Ngân Hàng TMCP Sài Gòn Tài Lộc</t>
  </si>
  <si>
    <t>'0301103908-045</t>
  </si>
  <si>
    <t>Phí QLTK</t>
  </si>
  <si>
    <t>'R0726SC0850</t>
  </si>
  <si>
    <t>'0200895</t>
  </si>
  <si>
    <t>SACOMBANK</t>
  </si>
  <si>
    <t>Phí NH</t>
  </si>
  <si>
    <t>'R0726SK0032</t>
  </si>
  <si>
    <t>'0200343</t>
  </si>
  <si>
    <t>'R0726SQ0119</t>
  </si>
  <si>
    <t>FEE.C260725050160841009</t>
  </si>
  <si>
    <t>'0200415</t>
  </si>
  <si>
    <t>Phí ngân hàng</t>
  </si>
  <si>
    <t>'R0726ST013</t>
  </si>
  <si>
    <t>'00019671</t>
  </si>
  <si>
    <t>'R0726ĐTT0442</t>
  </si>
  <si>
    <t>'00020315</t>
  </si>
  <si>
    <t>'R0726ĐTT0454</t>
  </si>
  <si>
    <t>'00020509</t>
  </si>
  <si>
    <t>'R0726ĐTT0462</t>
  </si>
  <si>
    <t>'00020666</t>
  </si>
  <si>
    <t>PHÍ CHUYỀN TIỀN</t>
  </si>
  <si>
    <t>'R0726ĐTT0474</t>
  </si>
  <si>
    <t>'00021070</t>
  </si>
  <si>
    <t>PHÍ CHUYỂN TIỀN+DUY TRÌ DỊCH VỤ</t>
  </si>
  <si>
    <t>'R0726ĐTT0486</t>
  </si>
  <si>
    <t>'00021210</t>
  </si>
  <si>
    <t>'R0726ĐTT0494</t>
  </si>
  <si>
    <t>2. Hàng hóa, dịch vụ không đủ điều kiện khấu trừ</t>
  </si>
  <si>
    <t>3. Hàng hóa, dịch vụ dùng chung cho SXKD chịu thuế và không chịu thuế đủ điều kiện được khấu trừ</t>
  </si>
  <si>
    <t>4. Hàng hóa, dịch vụ dùng cho dự án đầu tư đủ điều kiện được khấu trừ</t>
  </si>
  <si>
    <t>5. Hàng hóa, dịch vụ không phải tổng hợp trên tờ khai 01/GTGT</t>
  </si>
  <si>
    <t>6. Có số liệu hóa đơn nhưng không lên bảng kê</t>
  </si>
  <si>
    <t>Tổng doanh thu dịch vụ hàng hóa mua vào : 1295895825163</t>
  </si>
  <si>
    <t>Tổng thuế GTGT của dịch vụ hàng hóa mua vào : 103673307829</t>
  </si>
  <si>
    <t xml:space="preserve">Tài khoản: </t>
  </si>
  <si>
    <t>13311</t>
  </si>
  <si>
    <t>13313</t>
  </si>
  <si>
    <t>Tài khoản: 1331 - Thuế GTGT được khấu trừ – Thuế GTGT được khấu trừ của hàng hoá, dịch vụ</t>
  </si>
  <si>
    <t>cuối kỳ 1331</t>
  </si>
  <si>
    <t>Tài khoản: 13311000000</t>
  </si>
  <si>
    <t>Chuyển trả phí chuyển tiền T07/2026 BIDV HĐS 00019671-07/07/2026</t>
  </si>
  <si>
    <t>Chuyển trả phí QLTK T07/2026 BIDV HĐS 00020315-13/07/2026</t>
  </si>
  <si>
    <t>Thanh toán chi phí dung dich diệt muỗi hđơn 649271/01.07.26</t>
  </si>
  <si>
    <t>Thanh toán tiền đặt ăn hđơn 2530/16.05.26 - P.TCNS</t>
  </si>
  <si>
    <t>Chuyển trả phí chuyển tiền T07/2026 BIDV HĐS 00020509-16/07/2026</t>
  </si>
  <si>
    <t>Chuyển trả phí chuyển tiền từ tk chuyên thu tiền điện sang tk thu chi SXK T05+06/2026 theo TT 105/TCKT-08/07/2026</t>
  </si>
  <si>
    <t>Thuế GTGT điện MTMN T06-2026</t>
  </si>
  <si>
    <t>Thuế GTGT điện MTMN T05-2026</t>
  </si>
  <si>
    <t>Thuế GTGT điện MTMN T04-2026</t>
  </si>
  <si>
    <t>Thuế GTGT điện MTMN T03-2026</t>
  </si>
  <si>
    <t>Thuế GTGT điện MTMN T02-2026</t>
  </si>
  <si>
    <t>Thuế GTGT điện MTMN T01-2026</t>
  </si>
  <si>
    <t xml:space="preserve">Thanh toán phí QLTk Agribank MTMN T07-2026 </t>
  </si>
  <si>
    <t>Chuyển trả phí quản lý tài khoản T07/2026 HĐS 00362795-23/07/2026 NH Nông Nghiệp</t>
  </si>
  <si>
    <t xml:space="preserve">Thanh toán phí chuyển tiền Agribank MTMN ngày 24/07/2026 </t>
  </si>
  <si>
    <t>Chuyển TT tiền mua quà tặng (ly sứ Bát Tràng) cho KH cài app, zalo nhân dịp kỷ niệm 50 năm thành lập sở Điện Lực của CTy Quà Tặng Sao Mai theo HĐơn 320-15/7/26</t>
  </si>
  <si>
    <t>Chuyển trả phí chuyển tiền T07/2026+duy trì dịch vụ T06/2026 NH BIDV HĐS 00021070-24/07/2026</t>
  </si>
  <si>
    <t>hóa đơn xăng dầu T12-2025</t>
  </si>
  <si>
    <t>hđơn kiểm định ô tô</t>
  </si>
  <si>
    <t>hóa đơn điện T07-2025</t>
  </si>
  <si>
    <t>(489 120)</t>
  </si>
  <si>
    <t>hóa đơn tiền DV Vệ sinh T12-25</t>
  </si>
  <si>
    <t>hóa đơn tiền DV bảo vệ T12-25</t>
  </si>
  <si>
    <t>hóa đơn tiền áo sơ mi</t>
  </si>
  <si>
    <t>hđơn dầu Diezel</t>
  </si>
  <si>
    <t>hđơn logo nhận diện thương hiệu</t>
  </si>
  <si>
    <t>hóa đơn kệ CPU Cđảo</t>
  </si>
  <si>
    <t>hđơn nước uống</t>
  </si>
  <si>
    <t>hđơn thu gom rác</t>
  </si>
  <si>
    <t>hđơn thuê máy cẩu</t>
  </si>
  <si>
    <t>hóa đơn phòng nghỉ</t>
  </si>
  <si>
    <t>hóa đơn vé máy bay</t>
  </si>
  <si>
    <t>hóa đơn vé xe</t>
  </si>
  <si>
    <t>hđơn đặt ăn</t>
  </si>
  <si>
    <t>hđơn cước vận chuyển VTTB</t>
  </si>
  <si>
    <t>hóa đơn cước điện thoại Viettel</t>
  </si>
  <si>
    <t>Chuyển trả phí CTĐLVT chuyển tiền bù trừ từ tk chuyên thu tiền điện sang tk chuyên chi do thu tiền điện của khách hàng 2 lần theo CV 3992 TB EVNHCMC-22/07/2026 NH BIDV HĐS 00021210-27/07/226</t>
  </si>
  <si>
    <t>Trích phí quản lý TK050160456868 T7/26</t>
  </si>
  <si>
    <t>Phí ngân hàng tháng 07/2026 TK 050160457979-QLTK</t>
  </si>
  <si>
    <t>Trích phí QLTK T7/26 TK050160898989</t>
  </si>
  <si>
    <t>Phí ngân hàng tháng 07/2026</t>
  </si>
  <si>
    <t>Thuế GTGT VTĐĐ- hđơn 941-06.07.26-TỔNG CÔNG TY ĐIỆN LỰC THÀNH PHỐ HỒ CHÍ MINH</t>
  </si>
  <si>
    <t>Thuế GTGT phí chuyển tiền T07/2026 BIDV HĐS 00000024-31/07/2026</t>
  </si>
  <si>
    <t>Thuế GTGT phí chuyển tiền T07/2026 BIDV HĐS 00000022-31/07/2026</t>
  </si>
  <si>
    <t>Thuế GTGT phí chuyển tiền T07/2026 BIDV HĐS 00000023-31/07/2026</t>
  </si>
  <si>
    <t>hóa đơn cước điện thoại Viettel T06-26</t>
  </si>
  <si>
    <t>hóa đơn nhớt xe oto T06-26</t>
  </si>
  <si>
    <t>hóa đơn đặt ăn</t>
  </si>
  <si>
    <t>hóa đơn thuê máy photo T07-26</t>
  </si>
  <si>
    <t>Đầu kỳ SPC ko được khấu trừ</t>
  </si>
  <si>
    <t>Đàu kỳ HCM còn được khấu trừ</t>
  </si>
  <si>
    <t>hóa đơn cước hòa mạng VNPT T06-26</t>
  </si>
  <si>
    <t>hóa đơn cước điện thoại VNPT T06-26</t>
  </si>
  <si>
    <t>hóa đơn đào tạo sơ cấp cứu</t>
  </si>
  <si>
    <t>hóa đơn Ăn uống</t>
  </si>
  <si>
    <t>hóa đơn phí taxi</t>
  </si>
  <si>
    <t>hóa đơn tái lập mặt đường</t>
  </si>
  <si>
    <t>hóa đơn vận chuyển VTTB</t>
  </si>
  <si>
    <t>hóa đơn sửa chữa hồ cá</t>
  </si>
  <si>
    <t>hóa đơn tea break</t>
  </si>
  <si>
    <t>hóa đơn ăn uống</t>
  </si>
  <si>
    <t>hóa đơn vé tàu</t>
  </si>
  <si>
    <t>hóa đơn kiểm định ô tô</t>
  </si>
  <si>
    <t>hóa đơn điện T06-2026</t>
  </si>
  <si>
    <t>hóa đơn tiền nước T07-26</t>
  </si>
  <si>
    <t>hóa đơn sửa chữa ô tô</t>
  </si>
  <si>
    <t>hóa đơn sơn trụ điện</t>
  </si>
  <si>
    <t>hóa đơn kỷ niệm chương hưu trí</t>
  </si>
  <si>
    <t>hóa đơn tiền nước uống T06-26</t>
  </si>
  <si>
    <t>hóa đơn đồ dùng văn phòng</t>
  </si>
  <si>
    <t>hóa đơn phí chuyển phát nhanh</t>
  </si>
  <si>
    <t>hóa đơn thiết bị mạng</t>
  </si>
  <si>
    <t>hóa đơn phí phun diệt côn trùng</t>
  </si>
  <si>
    <t>hóa đơn thiết bị truyền tin PCCC</t>
  </si>
  <si>
    <t>hóa đơn băng rôn</t>
  </si>
  <si>
    <t>hóa đơn nước sinh hoạt T07-26</t>
  </si>
  <si>
    <t>hóa đơn thuê xe máy cuốc</t>
  </si>
  <si>
    <t>hóa đơn thẻ cào điện thoại</t>
  </si>
  <si>
    <t>hóa đơn thuê nhân công</t>
  </si>
  <si>
    <t>hóa đơn thuê kho bãi</t>
  </si>
  <si>
    <t>hóa đơn thử nghiệm nước uống</t>
  </si>
  <si>
    <t>hóa đơn dịch vụ vệ sinh T6-26</t>
  </si>
  <si>
    <t>hóa đơn thay lốp xe</t>
  </si>
  <si>
    <t>hóa đơn vật tư điện</t>
  </si>
  <si>
    <t>Giải trừ thuế 33194 T7/26 tiền thuốc y tế theo HĐơn 43065-29/6/26, R760-7/7/26</t>
  </si>
  <si>
    <t>Giải trừ thuế 13895 Hđơn 80-30/12/25 theo R0126SC0083-29/01/26</t>
  </si>
  <si>
    <t>Giải trừ thuế 13895 T7/26 VTTB điều động CTy Điện Lực Đất Đỏ theo HĐơn 58-28/05/26</t>
  </si>
  <si>
    <t>Giải trừ thuế 13895 T7/26 VTTB điều động CTy Điện Lực Đất Đỏ theo HĐơn 57-21/05/26</t>
  </si>
  <si>
    <t>Giải trừ thuế 13895 T7/26 mua Hộp 4 công tơ CTy EPT theo HĐơn 876-24/06/26, R0726SC0768-9/7/26</t>
  </si>
  <si>
    <t>Giải trừ thuế 13895 T7/26 máy lọc nước CTY Tiến Thành Wter theo HĐơn 343-21/7/26, R0726SC0846-27/7/26</t>
  </si>
  <si>
    <t>Giải trừ thuế 13895 T7/26 tiền dịch vụ bảo vệ T6/26 theo R0726SC0758-7/7/26, HĐơn 67-30/06/26</t>
  </si>
  <si>
    <t>Giải trừ thuế 13895 T7/26 tiền máy lạnh CTy Kim Minh theo R0726SC0759-7/7/26, Hđơn 371-22/6/26</t>
  </si>
  <si>
    <t>Giải trừ thuế 13895 T7/26 VTTB điều động PC Thuận An theo HĐơn 187-30/06/26, R0726SC0763</t>
  </si>
  <si>
    <t>Giải trừ thuế 13895 T7/26 mua máy tính CTy Khách Đế theo HĐơn 112-11/6/26, theo R0726SC0765-9/7/26</t>
  </si>
  <si>
    <t>Giải trừ thuế 13895 T7/26 mua máy tính CTy Khách Đế theo HĐơn 114-12/6/26, theo R0726SC0764-8/7/26</t>
  </si>
  <si>
    <t>Giải trừ thuế 13895 T7/26 VTTB CTy NLT, HĐơn 389-10/06/26, R0726SC0767-9/7/26</t>
  </si>
  <si>
    <t>Giải trừ thuế 13895 T7/26 VTTB điều động CTy Điện Lực Củ Chi theo Hđơn 535-15/06/26</t>
  </si>
  <si>
    <t>Giải trừ thuế 13895 T7/26 Hộp bảng quảng cáo CTy Mộc Đại theo HĐơn 108-30/6/26, R822-21/07/26</t>
  </si>
  <si>
    <t>Giải trừ thuế 13895 T7/26 CTy Hiệp Minh Phát theo HĐơn 22-28/05/26, R0726SC0831-22/7/26</t>
  </si>
  <si>
    <t>Giải trừ thuế 13895 T7/26 CTy Hiệp Minh Phát theo HĐơn 23-28/05/26, R0726SC0831-22/7/26</t>
  </si>
  <si>
    <t>Giải trừ thuế 13895 T7/26 CTy Hiệp Minh Phát theo HĐơn 24-28/05/26, R0726SC0831-22/7/26</t>
  </si>
  <si>
    <t>Giải trừ thuế 13895 T7/26 CTy Hiệp Minh Phát theo HĐơn 25-28/05/26, R0726SC0831-22/7/26</t>
  </si>
  <si>
    <t>Giải trừ thuế 13895 T7/26 CTy Hiệp Minh Phát theo HĐơn 26-28/05/26, R0726SC0831-22/7/26</t>
  </si>
  <si>
    <t>Giải trừ thuế 13895 T7/26 VTTB điều động CT Điện Lực Chợ Lớn theo HĐơn 1398-09/06/26, R0726SC0843-27/7/26</t>
  </si>
  <si>
    <t>Giải trừ thuế 13895 T7/26 VTTB điều động CT Điện Lực Chợ Lớn theo HĐơn 1450-15/06/26, R0726SC0843-27/7/26</t>
  </si>
  <si>
    <t>Giải trừ thuế 13895 T7/26 VTTB điều động CT Điện Lực Chợ Lớn theo HĐơn 1484-22/06/26, R0726SC0843-27/7/26</t>
  </si>
  <si>
    <t>Giải trừ thuế 13895 T7/26 VTTB điều động CT Điện Lực Chợ Lớn theo HĐơn 1204-19/05/26, R0726SC0843-27/7/26</t>
  </si>
  <si>
    <t>Khai thuế GTGT đầu vào tháng 7/2026 điện mua nội bộ Tổng cty (Hđ: 957/6.7.2026)</t>
  </si>
  <si>
    <t>Tài khoản: 13313000000</t>
  </si>
  <si>
    <t>Kê khai VAT đầu vào tháng 7.2026 (XDCB) phí DVNH BIDV hóa đơn 20313/13.07.26</t>
  </si>
  <si>
    <t>Kê khai VAT đầu vào tháng 7.2026 (XDCB) hóa đơn 187/23.06.26 Cty Điện lực Bến Cát_CT25039</t>
  </si>
  <si>
    <t>Kê khai VAT đầu vào tháng 7.2026 (XDCB) phí DVNH BIDV hóa đơn 19725/08.07.26</t>
  </si>
  <si>
    <t>Kê khai VAT đầu vào tháng 7.2026 (XDCB) phí DVBH BIDV hóa đơn 19425/02.07.26</t>
  </si>
  <si>
    <t>Kê khai VAT đầu vào tháng 7.2026 (XDCB) phí DVNH BIDV hóa đơn 20465/15.07.26</t>
  </si>
  <si>
    <t>Kê khai VAT đầu vào tháng 7.2026 (XDCB) phí DVNH ACB hóa đơn 35367211/01.07.26</t>
  </si>
  <si>
    <t>Kê khai VAT đầu vào tháng 7.2026 (XDCB) phí DVNH BIDV hóa đơn 21311/29.07.26</t>
  </si>
  <si>
    <t>Kê khai VAT đầu vào tháng 7.2026 (XDCB) phí DVNH BIDV hóa đơn 20707/21.07.26</t>
  </si>
  <si>
    <t>Kê khai VAT đầu vào tháng 7.2026 (XDCB) phí DVNH BIDV hóa đơn 21258/28.07.26</t>
  </si>
  <si>
    <t>Kê khai VAT đầu vào tháng 7.2026 (XDCB) hóa đơn 6602/24.06.26 CP vận chuyển Cty Duy Tung</t>
  </si>
  <si>
    <t>Kê khai thuế GTGT hóa đơn 220 / 13.05.26- Cty ATAX</t>
  </si>
  <si>
    <t>Kê khai thuế GTGT hóa đơn 464 / 16.06.26- Cty Việt Úc</t>
  </si>
  <si>
    <t>Kê khai thuế GTGT hóa đơn 270 / 22.04.26- Cty Hồng Thuyên</t>
  </si>
  <si>
    <t>Kê khai thuế GTGT hóa đơn 202 / 17.06.26- Cty CP ĐTKDĐLTPHCM</t>
  </si>
  <si>
    <t>Kê khai thuế GTGT hóa đơn 46 / 18.06.26- Cty TVXDĐLTPHCM</t>
  </si>
  <si>
    <t>Kê khai thuế GTGT hóa đơn 45 / 18.06.26- Cty TVXDĐLTPHCM</t>
  </si>
  <si>
    <t>Kê khai thuế GTGT hóa đơn 17 / 09.06.26- Cty 78</t>
  </si>
  <si>
    <t>Kê khai thuế GTGT hóa đơn 17 / 09.06.26-Cty Hưng Phát</t>
  </si>
  <si>
    <t>Kê khai thuế GTGT hóa đơn 12 / 28.05.26-Cty Nguyên Việt</t>
  </si>
  <si>
    <t>Kê khai thuế GTGT hóa đơn 11 / 28.05.26-Cty Nguyên Việt</t>
  </si>
  <si>
    <t>Kê khai thuế GTGT hóa đơn 1 / 26.05.26-Cty Văn Lang</t>
  </si>
  <si>
    <t>Kê khai thuế GTGT hóa đơn 241/ 12.05.26-Cty Quang Huy</t>
  </si>
  <si>
    <t>Kê khai thuế GTGT hóa đơn 46/ 27.05.26-Cty Tâm Tiến</t>
  </si>
  <si>
    <t>Kê khai thuế GTGT hóa đơn 2 / 26.05.26-Cty Phú Mỹ</t>
  </si>
  <si>
    <t>EVN_TA_030, người in: TUAN2HM.HCM.VTA, ngày in: 10/08/2026 14:40:49.</t>
  </si>
  <si>
    <t>CỘNG HÒA XÃ HỘI CHỦ NGHĨA VIỆT NAM</t>
  </si>
  <si>
    <t>ĐỘI QUẢN LÝ THU GHI</t>
  </si>
  <si>
    <t>Độc Lập - Tự Do - Hạnh Phúc</t>
  </si>
  <si>
    <t>Vũng Tàu, ngày 03 tháng 08  năm 2026</t>
  </si>
  <si>
    <t>TD</t>
  </si>
  <si>
    <t>VC</t>
  </si>
  <si>
    <t>BẢNG KÊ SẢN LƯỢNG TIÊU THỤ VÀ TIỀN ĐIỆN CỦA 
Công Ty TNHH Nhôm Toàn Cầu Việt Nam Thuế GTGT 0%</t>
  </si>
  <si>
    <t>Mã Khách Hàng</t>
  </si>
  <si>
    <t>Danh Số</t>
  </si>
  <si>
    <t>Địa Chỉ</t>
  </si>
  <si>
    <t>Kỳ-Tháng/Năm</t>
  </si>
  <si>
    <t>Ngày phát hành</t>
  </si>
  <si>
    <t>Loại HĐ</t>
  </si>
  <si>
    <t>Điện Tiêu
 Thụ</t>
  </si>
  <si>
    <t>Tiền PS</t>
  </si>
  <si>
    <t>Thuế PS</t>
  </si>
  <si>
    <t>PB15040049659</t>
  </si>
  <si>
    <t>AW06880</t>
  </si>
  <si>
    <t>KCN Mỹ Xuân, huyện Tân Thành, tỉnh BRVT</t>
  </si>
  <si>
    <t>01-07/2026</t>
  </si>
  <si>
    <t>02-07/2026</t>
  </si>
  <si>
    <t>21/07/2026</t>
  </si>
  <si>
    <t>03-07/2026</t>
  </si>
  <si>
    <t>PB15040050211</t>
  </si>
  <si>
    <t>AW06890</t>
  </si>
  <si>
    <t>Tổng Cộng</t>
  </si>
  <si>
    <t>LẬP BIỂU</t>
  </si>
  <si>
    <t>KT GIÁM ĐỐC</t>
  </si>
  <si>
    <t>PHÓ GIÁM ĐỐC</t>
  </si>
  <si>
    <t>Phạm Quốc Việt</t>
  </si>
  <si>
    <t>Nguyễn Xuân Quang</t>
  </si>
  <si>
    <t>Đặng Quang Trung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</si>
</sst>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_-* #,##0.00_-;\-* #,##0.00_-;_-* &quot;-&quot;??_-;_-@_-"/>
    <numFmt numFmtId="166" formatCode="_-* #,##0_-;\-* #,##0_-;_-* &quot;-&quot;??_-;_-@_-"/>
    <numFmt numFmtId="167" formatCode="#,##0;#,##0"/>
    <numFmt numFmtId="168" formatCode="_ * #,##0_ ;_ * \-#,##0_ ;_ * &quot;-&quot;??_ ;_ @_ "/>
    <numFmt numFmtId="169" formatCode="yyyy\-mm\-dd\ h:mm:ss"/>
  </numFmts>
  <fonts count="60">
    <font>
      <sz val="12"/>
      <name val="Times New Roman"/>
      <family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name val="Times New Roman"/>
      <family val="1"/>
    </font>
    <font>
      <sz val="9"/>
      <color rgb="FF000000"/>
      <name val="Times New Roman"/>
      <family val="1"/>
    </font>
    <font>
      <b/>
      <sz val="9"/>
      <color rgb="FF000000"/>
      <name val="Times New Roman"/>
      <family val="1"/>
    </font>
    <font>
      <b/>
      <sz val="9"/>
      <color rgb="FF000000"/>
      <name val="Tahoma"/>
      <family val="2"/>
    </font>
    <font>
      <b/>
      <sz val="8"/>
      <color rgb="FF000000"/>
      <name val="Tahoma"/>
      <family val="2"/>
    </font>
    <font>
      <sz val="8"/>
      <color rgb="FFFFFFFF"/>
      <name val="Tahoma"/>
      <family val="2"/>
    </font>
    <font>
      <sz val="8"/>
      <color rgb="FF000000"/>
      <name val="Tahoma"/>
      <family val="2"/>
    </font>
    <font>
      <sz val="10"/>
      <color rgb="FF000000"/>
      <name val="Arial"/>
      <family val="2"/>
    </font>
    <font>
      <sz val="10"/>
      <color rgb="FF000000"/>
      <name val="Times New Roman"/>
      <family val="1"/>
    </font>
    <font>
      <b/>
      <sz val="14"/>
      <color rgb="FF000000"/>
      <name val="Times New Roman"/>
      <family val="1"/>
    </font>
    <font>
      <sz val="8"/>
      <color rgb="FF000000"/>
      <name val="Times New Roman"/>
      <family val="1"/>
    </font>
    <font>
      <i/>
      <sz val="9"/>
      <color rgb="FF000000"/>
      <name val="Times New Roman"/>
      <family val="1"/>
    </font>
    <font>
      <sz val="9"/>
      <color rgb="FFFFFFFF"/>
      <name val="Times New Roman"/>
      <family val="1"/>
    </font>
    <font>
      <b/>
      <sz val="10"/>
      <color rgb="FF000000"/>
      <name val="Times New Roman"/>
      <family val="1"/>
    </font>
    <font>
      <sz val="11"/>
      <name val="Calibri"/>
      <family val="2"/>
      <scheme val="minor"/>
    </font>
    <font>
      <sz val="10"/>
      <color indexed="8"/>
      <name val="Arial"/>
      <family val="2"/>
    </font>
    <font>
      <sz val="12"/>
      <color theme="1"/>
      <name val="Calibri"/>
      <family val="2"/>
      <scheme val="minor"/>
    </font>
    <font>
      <sz val="11"/>
      <color rgb="FFFF0000"/>
      <name val="Calibri"/>
      <family val="2"/>
      <scheme val="minor"/>
    </font>
    <font>
      <sz val="11"/>
      <color indexed="8"/>
      <name val="Times New Roman"/>
      <family val="1"/>
    </font>
    <font>
      <b/>
      <sz val="11"/>
      <color indexed="8"/>
      <name val="Times New Roman"/>
      <family val="1"/>
    </font>
    <font>
      <sz val="9"/>
      <name val="Times New Roman"/>
      <family val="1"/>
    </font>
    <font>
      <sz val="9"/>
      <color theme="1"/>
      <name val="Times New Roman"/>
      <family val="1"/>
    </font>
    <font>
      <sz val="9"/>
      <color rgb="FFFF0000"/>
      <name val="Times New Roman"/>
      <family val="1"/>
    </font>
    <font>
      <sz val="9"/>
      <color theme="1"/>
      <name val="Calibri"/>
      <family val="2"/>
      <scheme val="minor"/>
    </font>
    <font>
      <b/>
      <sz val="9"/>
      <name val="Times New Roman"/>
      <family val="1"/>
    </font>
    <font>
      <b/>
      <sz val="9"/>
      <color rgb="FFFF0000"/>
      <name val="Times New Roman"/>
      <family val="1"/>
    </font>
    <font>
      <sz val="12"/>
      <color rgb="FFFF0000"/>
      <name val="Times New Roman"/>
      <family val="1"/>
    </font>
    <font>
      <sz val="11"/>
      <color rgb="FF000000"/>
      <name val="Times New Roman"/>
      <family val="1"/>
    </font>
    <font>
      <b/>
      <sz val="11"/>
      <color rgb="FF000000"/>
      <name val="Times New Roman"/>
      <family val="1"/>
    </font>
    <font>
      <b/>
      <sz val="12"/>
      <color rgb="FF000000"/>
      <name val="Times New Roman"/>
      <family val="1"/>
    </font>
    <font>
      <b/>
      <sz val="12"/>
      <name val="Times New Roman"/>
      <family val="1"/>
    </font>
    <font>
      <i/>
      <sz val="12"/>
      <name val="Times New Roman"/>
      <family val="1"/>
    </font>
    <font>
      <b/>
      <sz val="8"/>
      <name val="Arial"/>
      <family val="2"/>
    </font>
    <font>
      <sz val="10"/>
      <color indexed="8"/>
      <name val="Arial"/>
    </font>
    <font>
      <sz val="11"/>
      <color indexed="8"/>
      <name val="Times New Roman"/>
      <charset val="134"/>
    </font>
    <font>
      <b/>
      <sz val="11"/>
      <color indexed="8"/>
      <name val="Times New Roman"/>
      <charset val="134"/>
    </font>
    <font>
      <b/>
      <sz val="15"/>
      <color indexed="8"/>
      <name val="Times New Roman"/>
      <charset val="134"/>
    </font>
    <font>
      <sz val="15"/>
      <color indexed="8"/>
      <name val="Times New Roman"/>
      <charset val="134"/>
    </font>
    <font>
      <sz val="11"/>
      <color rgb="FFFF0000"/>
      <name val="Times New Roman"/>
      <charset val="134"/>
    </font>
    <font>
      <b/>
      <sz val="11"/>
      <color rgb="FFFF0000"/>
      <name val="Times New Roman"/>
      <charset val="134"/>
    </font>
    <font>
      <sz val="12"/>
      <name val="Times New Roman"/>
      <charset val="134"/>
    </font>
    <font>
      <b/>
      <sz val="12"/>
      <name val="Times New Roman"/>
      <charset val="134"/>
    </font>
    <font>
      <i/>
      <sz val="12"/>
      <color rgb="FFFF0000"/>
      <name val="Times New Roman"/>
      <charset val="134"/>
    </font>
    <font>
      <i/>
      <sz val="12"/>
      <name val="Times New Roman"/>
      <charset val="134"/>
    </font>
    <font>
      <b/>
      <sz val="11"/>
      <name val="Times New Roman"/>
      <charset val="134"/>
    </font>
    <font>
      <sz val="11"/>
      <name val="Times New Roman"/>
      <charset val="134"/>
    </font>
    <font>
      <sz val="11"/>
      <color rgb="FF000000"/>
      <name val="Times New Roman"/>
      <charset val="134"/>
    </font>
    <font>
      <b/>
      <sz val="11"/>
      <color rgb="FF212121"/>
      <name val="Times New Roman"/>
      <charset val="134"/>
    </font>
    <font>
      <sz val="11"/>
      <color rgb="FF212121"/>
      <name val="Times New Roman"/>
      <charset val="134"/>
    </font>
    <font>
      <sz val="11"/>
      <color rgb="FF000000"/>
      <name val="Calibri"/>
      <family val="2"/>
      <scheme val="minor"/>
    </font>
  </fonts>
  <fills count="21">
    <fill>
      <patternFill patternType="none"/>
    </fill>
    <fill>
      <patternFill patternType="gray125"/>
    </fill>
    <fill>
      <patternFill patternType="solid">
        <fgColor rgb="FFFFFFFF"/>
        <bgColor indexed="64"/>
      </patternFill>
    </fill>
    <fill>
      <patternFill patternType="solid">
        <fgColor rgb="FFFFFF00"/>
        <bgColor indexed="64"/>
      </patternFill>
    </fill>
    <fill>
      <patternFill patternType="solid">
        <fgColor rgb="FF92D05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3" tint="0.39997558519241921"/>
        <bgColor indexed="64"/>
      </patternFill>
    </fill>
    <fill>
      <patternFill patternType="solid">
        <fgColor rgb="FFF2F2F2"/>
        <bgColor indexed="64"/>
      </patternFill>
    </fill>
    <fill>
      <patternFill patternType="solid">
        <fgColor rgb="FF00B0F0"/>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rgb="FFD9D9D9"/>
        <bgColor indexed="64"/>
      </patternFill>
    </fill>
    <fill>
      <patternFill patternType="solid">
        <fgColor rgb="FFFFC000"/>
        <bgColor indexed="64"/>
      </patternFill>
    </fill>
    <fill>
      <patternFill patternType="solid">
        <fgColor rgb="FFFF00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00B050"/>
        <bgColor indexed="64"/>
      </patternFill>
    </fill>
    <fill>
      <patternFill patternType="solid">
        <fgColor indexed="4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medium">
        <color rgb="FF000000"/>
      </top>
      <bottom/>
      <diagonal/>
    </border>
    <border>
      <left/>
      <right style="medium">
        <color rgb="FF000000"/>
      </right>
      <top/>
      <bottom style="medium">
        <color rgb="FF000000"/>
      </bottom>
      <diagonal/>
    </border>
    <border>
      <left/>
      <right style="medium">
        <color rgb="FF000000"/>
      </right>
      <top/>
      <bottom/>
      <diagonal/>
    </border>
    <border>
      <left/>
      <right style="medium">
        <color rgb="FF000000"/>
      </right>
      <top style="medium">
        <color rgb="FF000000"/>
      </top>
      <bottom/>
      <diagonal/>
    </border>
    <border>
      <left/>
      <right/>
      <top style="thin">
        <color rgb="FF000000"/>
      </top>
      <bottom/>
      <diagonal/>
    </border>
    <border>
      <left style="thin">
        <color rgb="FF000000"/>
      </left>
      <right/>
      <top/>
      <bottom/>
      <diagonal/>
    </border>
    <border>
      <left/>
      <right style="thin">
        <color rgb="FF000000"/>
      </right>
      <top/>
      <bottom style="thin">
        <color rgb="FF000000"/>
      </bottom>
      <diagonal/>
    </border>
    <border>
      <left/>
      <right/>
      <top/>
      <bottom style="thin">
        <color rgb="FF000000"/>
      </bottom>
      <diagonal/>
    </border>
    <border>
      <left/>
      <right style="thin">
        <color rgb="FF000000"/>
      </right>
      <top/>
      <bottom/>
      <diagonal/>
    </border>
    <border>
      <left/>
      <right style="thin">
        <color rgb="FF000000"/>
      </right>
      <top style="thin">
        <color rgb="FF000000"/>
      </top>
      <bottom/>
      <diagonal/>
    </border>
    <border>
      <left style="thin">
        <color rgb="FF000000"/>
      </left>
      <right style="thin">
        <color rgb="FF000000"/>
      </right>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s>
  <cellStyleXfs count="8">
    <xf numFmtId="0" fontId="0" fillId="0" borderId="0"/>
    <xf numFmtId="43" fontId="10" fillId="0" borderId="0"/>
    <xf numFmtId="0" fontId="9" fillId="0" borderId="0"/>
    <xf numFmtId="0" fontId="25" fillId="0" borderId="0">
      <alignment vertical="top"/>
    </xf>
    <xf numFmtId="0" fontId="26" fillId="0" borderId="0"/>
    <xf numFmtId="43" fontId="26" fillId="0" borderId="0"/>
    <xf numFmtId="0" fontId="9" fillId="0" borderId="0"/>
    <xf numFmtId="0" fontId="43" fillId="0" borderId="0">
      <alignment vertical="top"/>
    </xf>
  </cellStyleXfs>
  <cellXfs count="367">
    <xf numFmtId="0" fontId="0" fillId="0" borderId="0" xfId="0"/>
    <xf numFmtId="164" fontId="0" fillId="0" borderId="0" xfId="1" applyNumberFormat="1" applyFont="1"/>
    <xf numFmtId="164" fontId="9" fillId="3" borderId="0" xfId="1" applyNumberFormat="1" applyFont="1" applyFill="1"/>
    <xf numFmtId="164" fontId="0" fillId="3" borderId="0" xfId="1" applyNumberFormat="1" applyFont="1" applyFill="1"/>
    <xf numFmtId="164" fontId="0" fillId="10" borderId="0" xfId="1" applyNumberFormat="1" applyFont="1" applyFill="1"/>
    <xf numFmtId="0" fontId="26" fillId="0" borderId="0" xfId="4"/>
    <xf numFmtId="0" fontId="26" fillId="6" borderId="0" xfId="4" applyFill="1"/>
    <xf numFmtId="164" fontId="0" fillId="0" borderId="0" xfId="5" applyNumberFormat="1" applyFont="1"/>
    <xf numFmtId="164" fontId="0" fillId="3" borderId="0" xfId="5" applyNumberFormat="1" applyFont="1" applyFill="1"/>
    <xf numFmtId="164" fontId="0" fillId="9" borderId="0" xfId="5" applyNumberFormat="1" applyFont="1" applyFill="1"/>
    <xf numFmtId="0" fontId="26" fillId="3" borderId="0" xfId="4" applyFill="1"/>
    <xf numFmtId="164" fontId="0" fillId="12" borderId="0" xfId="1" applyNumberFormat="1" applyFont="1" applyFill="1"/>
    <xf numFmtId="0" fontId="26" fillId="4" borderId="0" xfId="4" applyFill="1"/>
    <xf numFmtId="164" fontId="7" fillId="3" borderId="0" xfId="1" applyNumberFormat="1" applyFont="1" applyFill="1"/>
    <xf numFmtId="164" fontId="26" fillId="0" borderId="0" xfId="1" applyNumberFormat="1" applyFont="1"/>
    <xf numFmtId="164" fontId="9" fillId="0" borderId="0" xfId="1" applyNumberFormat="1" applyFont="1"/>
    <xf numFmtId="164" fontId="26" fillId="3" borderId="0" xfId="1" applyNumberFormat="1" applyFont="1" applyFill="1"/>
    <xf numFmtId="164" fontId="26" fillId="0" borderId="0" xfId="4" applyNumberFormat="1"/>
    <xf numFmtId="43" fontId="26" fillId="0" borderId="0" xfId="4" applyNumberFormat="1"/>
    <xf numFmtId="0" fontId="11" fillId="2" borderId="2" xfId="0" applyFont="1" applyFill="1" applyBorder="1" applyAlignment="1">
      <alignment wrapText="1"/>
    </xf>
    <xf numFmtId="0" fontId="28" fillId="0" borderId="0" xfId="0" applyFont="1" applyAlignment="1">
      <alignment vertical="top"/>
    </xf>
    <xf numFmtId="3" fontId="28" fillId="0" borderId="0" xfId="1" applyNumberFormat="1" applyFont="1" applyAlignment="1">
      <alignment vertical="top"/>
    </xf>
    <xf numFmtId="0" fontId="29" fillId="0" borderId="0" xfId="0" applyFont="1" applyAlignment="1">
      <alignment vertical="top" wrapText="1" readingOrder="1"/>
    </xf>
    <xf numFmtId="164" fontId="0" fillId="0" borderId="1" xfId="1" applyNumberFormat="1" applyFont="1" applyBorder="1"/>
    <xf numFmtId="0" fontId="0" fillId="0" borderId="1" xfId="0" applyBorder="1"/>
    <xf numFmtId="14" fontId="0" fillId="0" borderId="0" xfId="5" applyNumberFormat="1" applyFont="1"/>
    <xf numFmtId="14" fontId="0" fillId="3" borderId="0" xfId="5" applyNumberFormat="1" applyFont="1" applyFill="1"/>
    <xf numFmtId="0" fontId="28" fillId="0" borderId="0" xfId="0" applyFont="1" applyAlignment="1">
      <alignment horizontal="center" vertical="top"/>
    </xf>
    <xf numFmtId="3" fontId="29" fillId="0" borderId="0" xfId="1" applyNumberFormat="1" applyFont="1" applyAlignment="1">
      <alignment vertical="top"/>
    </xf>
    <xf numFmtId="0" fontId="0" fillId="0" borderId="0" xfId="0" applyAlignment="1">
      <alignment vertical="center"/>
    </xf>
    <xf numFmtId="14" fontId="11" fillId="2" borderId="2" xfId="0" applyNumberFormat="1" applyFont="1" applyFill="1" applyBorder="1" applyAlignment="1">
      <alignment horizontal="center" wrapText="1"/>
    </xf>
    <xf numFmtId="0" fontId="22" fillId="2" borderId="2" xfId="0" applyFont="1" applyFill="1" applyBorder="1" applyAlignment="1">
      <alignment horizontal="center" wrapText="1"/>
    </xf>
    <xf numFmtId="0" fontId="11" fillId="2" borderId="2" xfId="0" applyFont="1" applyFill="1" applyBorder="1" applyAlignment="1">
      <alignment horizontal="center" wrapText="1"/>
    </xf>
    <xf numFmtId="164" fontId="0" fillId="0" borderId="0" xfId="0" applyNumberFormat="1"/>
    <xf numFmtId="165" fontId="26" fillId="0" borderId="0" xfId="4" applyNumberFormat="1"/>
    <xf numFmtId="0" fontId="9" fillId="0" borderId="0" xfId="2"/>
    <xf numFmtId="0" fontId="27" fillId="0" borderId="0" xfId="2" applyFont="1"/>
    <xf numFmtId="0" fontId="0" fillId="3" borderId="0" xfId="0" applyFill="1"/>
    <xf numFmtId="0" fontId="0" fillId="3" borderId="0" xfId="0" applyFill="1" applyAlignment="1">
      <alignment vertical="center"/>
    </xf>
    <xf numFmtId="164" fontId="0" fillId="3" borderId="1" xfId="1" applyNumberFormat="1" applyFont="1" applyFill="1" applyBorder="1"/>
    <xf numFmtId="0" fontId="0" fillId="10" borderId="1" xfId="0" applyFill="1" applyBorder="1"/>
    <xf numFmtId="164" fontId="0" fillId="10" borderId="0" xfId="5" applyNumberFormat="1" applyFont="1" applyFill="1"/>
    <xf numFmtId="164" fontId="9" fillId="10" borderId="0" xfId="1" applyNumberFormat="1" applyFont="1" applyFill="1"/>
    <xf numFmtId="0" fontId="3" fillId="0" borderId="0" xfId="2" applyFont="1"/>
    <xf numFmtId="0" fontId="12" fillId="2" borderId="4" xfId="0" applyFont="1" applyFill="1" applyBorder="1"/>
    <xf numFmtId="0" fontId="12" fillId="2" borderId="2" xfId="0" applyFont="1" applyFill="1" applyBorder="1"/>
    <xf numFmtId="0" fontId="11" fillId="2" borderId="2" xfId="0" applyFont="1" applyFill="1" applyBorder="1"/>
    <xf numFmtId="43" fontId="9" fillId="0" borderId="0" xfId="2" applyNumberFormat="1"/>
    <xf numFmtId="164" fontId="9" fillId="0" borderId="0" xfId="2" applyNumberFormat="1"/>
    <xf numFmtId="43" fontId="9" fillId="14" borderId="0" xfId="2" applyNumberFormat="1" applyFill="1"/>
    <xf numFmtId="164" fontId="27" fillId="0" borderId="0" xfId="1" applyNumberFormat="1" applyFont="1"/>
    <xf numFmtId="0" fontId="4" fillId="0" borderId="0" xfId="2" applyFont="1"/>
    <xf numFmtId="0" fontId="20" fillId="0" borderId="0" xfId="0" applyFont="1"/>
    <xf numFmtId="0" fontId="9" fillId="4" borderId="0" xfId="2" applyFill="1" applyAlignment="1">
      <alignment vertical="top"/>
    </xf>
    <xf numFmtId="0" fontId="9" fillId="5" borderId="0" xfId="2" applyFill="1"/>
    <xf numFmtId="0" fontId="9" fillId="7" borderId="0" xfId="2" applyFill="1"/>
    <xf numFmtId="0" fontId="18" fillId="4" borderId="0" xfId="2" applyFont="1" applyFill="1"/>
    <xf numFmtId="0" fontId="9" fillId="4" borderId="0" xfId="2" applyFill="1"/>
    <xf numFmtId="0" fontId="9" fillId="0" borderId="0" xfId="2" quotePrefix="1"/>
    <xf numFmtId="164" fontId="9" fillId="5" borderId="0" xfId="2" applyNumberFormat="1" applyFill="1"/>
    <xf numFmtId="0" fontId="8" fillId="0" borderId="0" xfId="2" applyFont="1"/>
    <xf numFmtId="0" fontId="24" fillId="0" borderId="0" xfId="2" applyFont="1"/>
    <xf numFmtId="0" fontId="9" fillId="3" borderId="0" xfId="2" applyFill="1"/>
    <xf numFmtId="0" fontId="27" fillId="3" borderId="0" xfId="2" applyFont="1" applyFill="1"/>
    <xf numFmtId="0" fontId="5" fillId="3" borderId="0" xfId="2" applyFont="1" applyFill="1"/>
    <xf numFmtId="0" fontId="6" fillId="3" borderId="0" xfId="2" applyFont="1" applyFill="1"/>
    <xf numFmtId="0" fontId="11" fillId="2" borderId="0" xfId="0" applyFont="1" applyFill="1"/>
    <xf numFmtId="0" fontId="12" fillId="2" borderId="0" xfId="0" applyFont="1" applyFill="1"/>
    <xf numFmtId="0" fontId="16" fillId="2" borderId="1" xfId="0" applyFont="1" applyFill="1" applyBorder="1"/>
    <xf numFmtId="164" fontId="9" fillId="0" borderId="1" xfId="1" applyNumberFormat="1" applyFont="1" applyBorder="1"/>
    <xf numFmtId="164" fontId="9" fillId="3" borderId="0" xfId="2" applyNumberFormat="1" applyFill="1"/>
    <xf numFmtId="164" fontId="9" fillId="4" borderId="0" xfId="2" applyNumberFormat="1" applyFill="1"/>
    <xf numFmtId="0" fontId="16" fillId="4" borderId="2" xfId="2" applyFont="1" applyFill="1" applyBorder="1" applyAlignment="1">
      <alignment horizontal="right"/>
    </xf>
    <xf numFmtId="0" fontId="12" fillId="4" borderId="0" xfId="0" applyFont="1" applyFill="1"/>
    <xf numFmtId="0" fontId="30" fillId="0" borderId="0" xfId="0" applyFont="1"/>
    <xf numFmtId="0" fontId="30" fillId="4" borderId="0" xfId="0" applyFont="1" applyFill="1"/>
    <xf numFmtId="0" fontId="31" fillId="3" borderId="0" xfId="6" applyFont="1" applyFill="1"/>
    <xf numFmtId="0" fontId="31" fillId="4" borderId="0" xfId="6" applyFont="1" applyFill="1"/>
    <xf numFmtId="0" fontId="31" fillId="0" borderId="0" xfId="6" applyFont="1"/>
    <xf numFmtId="0" fontId="30" fillId="2" borderId="0" xfId="0" applyFont="1" applyFill="1"/>
    <xf numFmtId="0" fontId="30" fillId="2" borderId="2" xfId="0" applyFont="1" applyFill="1" applyBorder="1"/>
    <xf numFmtId="3" fontId="31" fillId="0" borderId="0" xfId="6" applyNumberFormat="1" applyFont="1"/>
    <xf numFmtId="164" fontId="31" fillId="0" borderId="0" xfId="1" applyNumberFormat="1" applyFont="1"/>
    <xf numFmtId="164" fontId="31" fillId="0" borderId="0" xfId="6" applyNumberFormat="1" applyFont="1"/>
    <xf numFmtId="0" fontId="32" fillId="0" borderId="0" xfId="6" applyFont="1"/>
    <xf numFmtId="0" fontId="31" fillId="0" borderId="1" xfId="6" applyFont="1" applyBorder="1"/>
    <xf numFmtId="0" fontId="30" fillId="0" borderId="1" xfId="0" applyFont="1" applyBorder="1"/>
    <xf numFmtId="164" fontId="31" fillId="0" borderId="1" xfId="1" applyNumberFormat="1" applyFont="1" applyBorder="1"/>
    <xf numFmtId="164" fontId="31" fillId="3" borderId="1" xfId="6" applyNumberFormat="1" applyFont="1" applyFill="1" applyBorder="1"/>
    <xf numFmtId="164" fontId="31" fillId="4" borderId="1" xfId="6" applyNumberFormat="1" applyFont="1" applyFill="1" applyBorder="1"/>
    <xf numFmtId="164" fontId="31" fillId="17" borderId="1" xfId="6" applyNumberFormat="1" applyFont="1" applyFill="1" applyBorder="1"/>
    <xf numFmtId="164" fontId="33" fillId="0" borderId="0" xfId="1" applyNumberFormat="1" applyFont="1"/>
    <xf numFmtId="0" fontId="31" fillId="11" borderId="0" xfId="2" applyFont="1" applyFill="1"/>
    <xf numFmtId="0" fontId="31" fillId="10" borderId="0" xfId="2" applyFont="1" applyFill="1"/>
    <xf numFmtId="0" fontId="31" fillId="0" borderId="0" xfId="2" applyFont="1"/>
    <xf numFmtId="0" fontId="12" fillId="2" borderId="7" xfId="0" applyFont="1" applyFill="1" applyBorder="1"/>
    <xf numFmtId="0" fontId="12" fillId="2" borderId="6" xfId="0" applyFont="1" applyFill="1" applyBorder="1"/>
    <xf numFmtId="0" fontId="32" fillId="0" borderId="0" xfId="2" applyFont="1"/>
    <xf numFmtId="0" fontId="12" fillId="2" borderId="12" xfId="0" applyFont="1" applyFill="1" applyBorder="1"/>
    <xf numFmtId="164" fontId="31" fillId="0" borderId="0" xfId="2" applyNumberFormat="1" applyFont="1"/>
    <xf numFmtId="164" fontId="11" fillId="9" borderId="0" xfId="0" applyNumberFormat="1" applyFont="1" applyFill="1"/>
    <xf numFmtId="0" fontId="31" fillId="10" borderId="0" xfId="2" applyFont="1" applyFill="1" applyAlignment="1">
      <alignment horizontal="right"/>
    </xf>
    <xf numFmtId="164" fontId="11" fillId="12" borderId="0" xfId="0" applyNumberFormat="1" applyFont="1" applyFill="1"/>
    <xf numFmtId="0" fontId="33" fillId="10" borderId="0" xfId="6" applyFont="1" applyFill="1"/>
    <xf numFmtId="164" fontId="33" fillId="3" borderId="0" xfId="1" applyNumberFormat="1" applyFont="1" applyFill="1"/>
    <xf numFmtId="0" fontId="33" fillId="0" borderId="0" xfId="6" applyFont="1"/>
    <xf numFmtId="0" fontId="33" fillId="0" borderId="1" xfId="6" applyFont="1" applyBorder="1"/>
    <xf numFmtId="164" fontId="33" fillId="0" borderId="1" xfId="1" applyNumberFormat="1" applyFont="1" applyBorder="1"/>
    <xf numFmtId="164" fontId="33" fillId="4" borderId="1" xfId="1" applyNumberFormat="1" applyFont="1" applyFill="1" applyBorder="1"/>
    <xf numFmtId="164" fontId="33" fillId="3" borderId="1" xfId="1" applyNumberFormat="1" applyFont="1" applyFill="1" applyBorder="1"/>
    <xf numFmtId="164" fontId="11" fillId="2" borderId="7" xfId="1" applyNumberFormat="1" applyFont="1" applyFill="1" applyBorder="1" applyAlignment="1">
      <alignment horizontal="right"/>
    </xf>
    <xf numFmtId="164" fontId="30" fillId="10" borderId="0" xfId="1" applyNumberFormat="1" applyFont="1" applyFill="1"/>
    <xf numFmtId="164" fontId="30" fillId="0" borderId="0" xfId="1" applyNumberFormat="1" applyFont="1"/>
    <xf numFmtId="0" fontId="30" fillId="0" borderId="0" xfId="1" applyNumberFormat="1" applyFont="1"/>
    <xf numFmtId="164" fontId="30" fillId="3" borderId="0" xfId="1" applyNumberFormat="1" applyFont="1" applyFill="1"/>
    <xf numFmtId="164" fontId="30" fillId="9" borderId="0" xfId="1" applyNumberFormat="1" applyFont="1" applyFill="1"/>
    <xf numFmtId="164" fontId="30" fillId="0" borderId="0" xfId="1" applyNumberFormat="1" applyFont="1" applyAlignment="1">
      <alignment horizontal="right"/>
    </xf>
    <xf numFmtId="164" fontId="30" fillId="0" borderId="0" xfId="5" applyNumberFormat="1" applyFont="1"/>
    <xf numFmtId="164" fontId="30" fillId="12" borderId="0" xfId="1" applyNumberFormat="1" applyFont="1" applyFill="1"/>
    <xf numFmtId="164" fontId="30" fillId="0" borderId="1" xfId="1" applyNumberFormat="1" applyFont="1" applyBorder="1"/>
    <xf numFmtId="164" fontId="32" fillId="14" borderId="1" xfId="1" applyNumberFormat="1" applyFont="1" applyFill="1" applyBorder="1"/>
    <xf numFmtId="164" fontId="30" fillId="14" borderId="1" xfId="1" applyNumberFormat="1" applyFont="1" applyFill="1" applyBorder="1"/>
    <xf numFmtId="164" fontId="30" fillId="11" borderId="0" xfId="1" applyNumberFormat="1" applyFont="1" applyFill="1"/>
    <xf numFmtId="164" fontId="34" fillId="0" borderId="0" xfId="1" applyNumberFormat="1" applyFont="1" applyAlignment="1">
      <alignment horizontal="right"/>
    </xf>
    <xf numFmtId="164" fontId="34" fillId="0" borderId="0" xfId="1" applyNumberFormat="1" applyFont="1"/>
    <xf numFmtId="43" fontId="30" fillId="0" borderId="0" xfId="1" applyFont="1"/>
    <xf numFmtId="164" fontId="30" fillId="16" borderId="0" xfId="1" applyNumberFormat="1" applyFont="1" applyFill="1"/>
    <xf numFmtId="164" fontId="32" fillId="0" borderId="0" xfId="1" applyNumberFormat="1" applyFont="1"/>
    <xf numFmtId="164" fontId="30" fillId="3" borderId="21" xfId="1" applyNumberFormat="1" applyFont="1" applyFill="1" applyBorder="1"/>
    <xf numFmtId="164" fontId="35" fillId="0" borderId="21" xfId="1" applyNumberFormat="1" applyFont="1" applyBorder="1"/>
    <xf numFmtId="164" fontId="34" fillId="0" borderId="21" xfId="1" applyNumberFormat="1" applyFont="1" applyBorder="1"/>
    <xf numFmtId="164" fontId="30" fillId="0" borderId="21" xfId="1" applyNumberFormat="1" applyFont="1" applyBorder="1"/>
    <xf numFmtId="164" fontId="30" fillId="16" borderId="21" xfId="1" applyNumberFormat="1" applyFont="1" applyFill="1" applyBorder="1"/>
    <xf numFmtId="164" fontId="30" fillId="0" borderId="23" xfId="1" applyNumberFormat="1" applyFont="1" applyBorder="1"/>
    <xf numFmtId="164" fontId="30" fillId="0" borderId="22" xfId="1" applyNumberFormat="1" applyFont="1" applyBorder="1"/>
    <xf numFmtId="164" fontId="30" fillId="9" borderId="20" xfId="1" applyNumberFormat="1" applyFont="1" applyFill="1" applyBorder="1"/>
    <xf numFmtId="164" fontId="30" fillId="14" borderId="20" xfId="1" applyNumberFormat="1" applyFont="1" applyFill="1" applyBorder="1"/>
    <xf numFmtId="164" fontId="30" fillId="15" borderId="0" xfId="1" applyNumberFormat="1" applyFont="1" applyFill="1"/>
    <xf numFmtId="164" fontId="12" fillId="2" borderId="0" xfId="0" applyNumberFormat="1" applyFont="1" applyFill="1"/>
    <xf numFmtId="164" fontId="30" fillId="3" borderId="1" xfId="1" applyNumberFormat="1" applyFont="1" applyFill="1" applyBorder="1"/>
    <xf numFmtId="164" fontId="34" fillId="0" borderId="1" xfId="1" applyNumberFormat="1" applyFont="1" applyBorder="1"/>
    <xf numFmtId="164" fontId="0" fillId="4" borderId="0" xfId="1" applyNumberFormat="1" applyFont="1" applyFill="1"/>
    <xf numFmtId="164" fontId="0" fillId="12" borderId="0" xfId="5" applyNumberFormat="1" applyFont="1" applyFill="1"/>
    <xf numFmtId="164" fontId="2" fillId="3" borderId="0" xfId="1" applyNumberFormat="1" applyFont="1" applyFill="1"/>
    <xf numFmtId="164" fontId="9" fillId="9" borderId="0" xfId="1" applyNumberFormat="1" applyFont="1" applyFill="1"/>
    <xf numFmtId="164" fontId="36" fillId="0" borderId="0" xfId="1" applyNumberFormat="1" applyFont="1"/>
    <xf numFmtId="3" fontId="31" fillId="9" borderId="0" xfId="6" applyNumberFormat="1" applyFont="1" applyFill="1"/>
    <xf numFmtId="164" fontId="30" fillId="18" borderId="0" xfId="1" applyNumberFormat="1" applyFont="1" applyFill="1"/>
    <xf numFmtId="164" fontId="32" fillId="18" borderId="20" xfId="1" applyNumberFormat="1" applyFont="1" applyFill="1" applyBorder="1"/>
    <xf numFmtId="164" fontId="30" fillId="12" borderId="0" xfId="1" applyNumberFormat="1" applyFont="1" applyFill="1" applyAlignment="1">
      <alignment horizontal="right"/>
    </xf>
    <xf numFmtId="164" fontId="30" fillId="12" borderId="20" xfId="1" applyNumberFormat="1" applyFont="1" applyFill="1" applyBorder="1"/>
    <xf numFmtId="164" fontId="30" fillId="4" borderId="0" xfId="1" applyNumberFormat="1" applyFont="1" applyFill="1"/>
    <xf numFmtId="164" fontId="31" fillId="4" borderId="0" xfId="6" applyNumberFormat="1" applyFont="1" applyFill="1"/>
    <xf numFmtId="164" fontId="9" fillId="4" borderId="0" xfId="1" applyNumberFormat="1" applyFont="1" applyFill="1"/>
    <xf numFmtId="164" fontId="30" fillId="0" borderId="0" xfId="1" applyNumberFormat="1" applyFont="1" applyAlignment="1">
      <alignment horizontal="center"/>
    </xf>
    <xf numFmtId="164" fontId="34" fillId="0" borderId="0" xfId="1" applyNumberFormat="1" applyFont="1" applyAlignment="1">
      <alignment horizontal="center"/>
    </xf>
    <xf numFmtId="0" fontId="23" fillId="2" borderId="0" xfId="0" applyFont="1" applyFill="1" applyAlignment="1">
      <alignment wrapText="1"/>
    </xf>
    <xf numFmtId="0" fontId="19" fillId="2" borderId="0" xfId="0" applyFont="1" applyFill="1" applyAlignment="1">
      <alignment horizontal="center" wrapText="1"/>
    </xf>
    <xf numFmtId="0" fontId="23" fillId="2" borderId="0" xfId="0" applyFont="1" applyFill="1" applyAlignment="1">
      <alignment horizontal="center" wrapText="1"/>
    </xf>
    <xf numFmtId="0" fontId="0" fillId="2" borderId="0" xfId="0" applyFill="1" applyAlignment="1">
      <alignment wrapText="1"/>
    </xf>
    <xf numFmtId="0" fontId="12" fillId="8" borderId="2" xfId="0" applyFont="1" applyFill="1" applyBorder="1" applyAlignment="1">
      <alignment horizontal="center" wrapText="1"/>
    </xf>
    <xf numFmtId="0" fontId="12" fillId="2" borderId="2" xfId="0" applyFont="1" applyFill="1" applyBorder="1" applyAlignment="1">
      <alignment horizontal="center" wrapText="1"/>
    </xf>
    <xf numFmtId="0" fontId="0" fillId="2" borderId="2" xfId="0" applyFill="1" applyBorder="1" applyAlignment="1">
      <alignment wrapText="1"/>
    </xf>
    <xf numFmtId="164" fontId="30" fillId="14" borderId="0" xfId="1" applyNumberFormat="1" applyFont="1" applyFill="1"/>
    <xf numFmtId="0" fontId="38" fillId="13" borderId="17" xfId="0" applyFont="1" applyFill="1" applyBorder="1" applyAlignment="1">
      <alignment horizontal="center" wrapText="1"/>
    </xf>
    <xf numFmtId="0" fontId="38" fillId="13" borderId="17" xfId="0" applyFont="1" applyFill="1" applyBorder="1" applyAlignment="1">
      <alignment horizontal="center" vertical="top" wrapText="1"/>
    </xf>
    <xf numFmtId="0" fontId="38" fillId="13" borderId="16" xfId="0" applyFont="1" applyFill="1" applyBorder="1" applyAlignment="1">
      <alignment horizontal="center" wrapText="1"/>
    </xf>
    <xf numFmtId="0" fontId="38" fillId="13" borderId="14" xfId="0" applyFont="1" applyFill="1" applyBorder="1" applyAlignment="1">
      <alignment horizontal="center" vertical="top" wrapText="1"/>
    </xf>
    <xf numFmtId="0" fontId="0" fillId="13" borderId="16" xfId="0" applyFill="1" applyBorder="1" applyAlignment="1">
      <alignment wrapText="1"/>
    </xf>
    <xf numFmtId="0" fontId="12" fillId="2" borderId="3" xfId="0" applyFont="1" applyFill="1" applyBorder="1" applyAlignment="1">
      <alignment horizontal="justify" wrapText="1"/>
    </xf>
    <xf numFmtId="0" fontId="0" fillId="2" borderId="3" xfId="0" applyFill="1" applyBorder="1" applyAlignment="1">
      <alignment wrapText="1"/>
    </xf>
    <xf numFmtId="0" fontId="0" fillId="2" borderId="3" xfId="0" applyFill="1" applyBorder="1" applyAlignment="1">
      <alignment vertical="top" wrapText="1"/>
    </xf>
    <xf numFmtId="0" fontId="0" fillId="2" borderId="0" xfId="0" applyFill="1" applyAlignment="1">
      <alignment vertical="top" wrapText="1"/>
    </xf>
    <xf numFmtId="0" fontId="21" fillId="2" borderId="0" xfId="0" applyFont="1" applyFill="1" applyAlignment="1">
      <alignment horizontal="center" wrapText="1"/>
    </xf>
    <xf numFmtId="0" fontId="11" fillId="2" borderId="0" xfId="0" applyFont="1" applyFill="1" applyAlignment="1">
      <alignment horizontal="center" wrapText="1"/>
    </xf>
    <xf numFmtId="0" fontId="14" fillId="2" borderId="2" xfId="0" applyFont="1" applyFill="1" applyBorder="1" applyAlignment="1">
      <alignment horizontal="center" wrapText="1"/>
    </xf>
    <xf numFmtId="0" fontId="16" fillId="2" borderId="2" xfId="0" applyFont="1" applyFill="1" applyBorder="1" applyAlignment="1">
      <alignment horizontal="center" wrapText="1"/>
    </xf>
    <xf numFmtId="14" fontId="16" fillId="2" borderId="2" xfId="0" applyNumberFormat="1" applyFont="1" applyFill="1" applyBorder="1" applyAlignment="1">
      <alignment horizontal="center" wrapText="1"/>
    </xf>
    <xf numFmtId="0" fontId="16" fillId="2" borderId="2" xfId="0" applyFont="1" applyFill="1" applyBorder="1" applyAlignment="1">
      <alignment wrapText="1"/>
    </xf>
    <xf numFmtId="164" fontId="34" fillId="0" borderId="1" xfId="1" applyNumberFormat="1" applyFont="1" applyBorder="1" applyAlignment="1">
      <alignment horizontal="right"/>
    </xf>
    <xf numFmtId="164" fontId="30" fillId="0" borderId="1" xfId="1" applyNumberFormat="1" applyFont="1" applyBorder="1" applyAlignment="1">
      <alignment horizontal="left"/>
    </xf>
    <xf numFmtId="37" fontId="30" fillId="0" borderId="1" xfId="1" applyNumberFormat="1" applyFont="1" applyBorder="1"/>
    <xf numFmtId="0" fontId="0" fillId="2" borderId="0" xfId="0" applyFill="1"/>
    <xf numFmtId="0" fontId="23" fillId="2" borderId="0" xfId="0" applyFont="1" applyFill="1"/>
    <xf numFmtId="0" fontId="2" fillId="0" borderId="0" xfId="2" applyFont="1"/>
    <xf numFmtId="0" fontId="0" fillId="2" borderId="15" xfId="0" applyFill="1" applyBorder="1" applyAlignment="1">
      <alignment wrapText="1"/>
    </xf>
    <xf numFmtId="0" fontId="0" fillId="2" borderId="12" xfId="0" applyFill="1" applyBorder="1" applyAlignment="1">
      <alignment wrapText="1"/>
    </xf>
    <xf numFmtId="0" fontId="15" fillId="2" borderId="2" xfId="0" applyFont="1" applyFill="1" applyBorder="1" applyAlignment="1">
      <alignment horizontal="center" wrapText="1"/>
    </xf>
    <xf numFmtId="0" fontId="16" fillId="2" borderId="2" xfId="0" applyFont="1" applyFill="1" applyBorder="1" applyAlignment="1">
      <alignment horizontal="right" wrapText="1"/>
    </xf>
    <xf numFmtId="0" fontId="14" fillId="2" borderId="2" xfId="0" applyFont="1" applyFill="1" applyBorder="1" applyAlignment="1">
      <alignment horizontal="right" wrapText="1"/>
    </xf>
    <xf numFmtId="164" fontId="23" fillId="2" borderId="0" xfId="1" applyNumberFormat="1" applyFont="1" applyFill="1"/>
    <xf numFmtId="164" fontId="0" fillId="2" borderId="0" xfId="1" applyNumberFormat="1" applyFont="1" applyFill="1"/>
    <xf numFmtId="0" fontId="37" fillId="2" borderId="2" xfId="0" applyFont="1" applyFill="1" applyBorder="1" applyAlignment="1">
      <alignment horizontal="justify" wrapText="1"/>
    </xf>
    <xf numFmtId="0" fontId="40" fillId="0" borderId="0" xfId="0" applyFont="1" applyAlignment="1">
      <alignment horizontal="center"/>
    </xf>
    <xf numFmtId="0" fontId="41" fillId="0" borderId="0" xfId="0" applyFont="1" applyAlignment="1">
      <alignment horizontal="center"/>
    </xf>
    <xf numFmtId="0" fontId="40" fillId="0" borderId="0" xfId="0" applyFont="1"/>
    <xf numFmtId="164" fontId="40" fillId="0" borderId="0" xfId="1" applyNumberFormat="1" applyFont="1"/>
    <xf numFmtId="0" fontId="0" fillId="2" borderId="16" xfId="0" applyFill="1" applyBorder="1" applyAlignment="1">
      <alignment wrapText="1"/>
    </xf>
    <xf numFmtId="164" fontId="32" fillId="19" borderId="1" xfId="1" applyNumberFormat="1" applyFont="1" applyFill="1" applyBorder="1"/>
    <xf numFmtId="164" fontId="30" fillId="19" borderId="1" xfId="1" applyNumberFormat="1" applyFont="1" applyFill="1" applyBorder="1"/>
    <xf numFmtId="164" fontId="30" fillId="0" borderId="19" xfId="1" applyNumberFormat="1" applyFont="1" applyBorder="1" applyAlignment="1">
      <alignment horizontal="left"/>
    </xf>
    <xf numFmtId="3" fontId="42" fillId="20" borderId="1" xfId="0" applyNumberFormat="1" applyFont="1" applyFill="1" applyBorder="1" applyAlignment="1">
      <alignment horizontal="center" vertical="center" wrapText="1"/>
    </xf>
    <xf numFmtId="49" fontId="42" fillId="20" borderId="1" xfId="0" applyNumberFormat="1" applyFont="1" applyFill="1" applyBorder="1" applyAlignment="1">
      <alignment horizontal="center" vertical="center" wrapText="1"/>
    </xf>
    <xf numFmtId="49" fontId="42" fillId="20" borderId="1" xfId="0" applyNumberFormat="1" applyFont="1" applyFill="1" applyBorder="1" applyAlignment="1">
      <alignment vertical="center" wrapText="1"/>
    </xf>
    <xf numFmtId="3" fontId="42" fillId="20" borderId="1" xfId="0" applyNumberFormat="1" applyFont="1" applyFill="1" applyBorder="1" applyAlignment="1">
      <alignment vertical="center" wrapText="1"/>
    </xf>
    <xf numFmtId="0" fontId="42" fillId="20" borderId="1" xfId="0" applyFont="1" applyFill="1" applyBorder="1" applyAlignment="1">
      <alignment vertical="center" wrapText="1"/>
    </xf>
    <xf numFmtId="164" fontId="30" fillId="0" borderId="0" xfId="1" applyNumberFormat="1" applyFont="1" applyAlignment="1">
      <alignment horizontal="center" vertical="center"/>
    </xf>
    <xf numFmtId="164" fontId="32" fillId="3" borderId="0" xfId="1" applyNumberFormat="1" applyFont="1" applyFill="1"/>
    <xf numFmtId="166" fontId="12" fillId="2" borderId="4" xfId="0" applyNumberFormat="1" applyFont="1" applyFill="1" applyBorder="1"/>
    <xf numFmtId="0" fontId="10" fillId="0" borderId="0" xfId="0" applyFont="1" applyAlignment="1">
      <alignment wrapText="1"/>
    </xf>
    <xf numFmtId="164" fontId="10" fillId="0" borderId="0" xfId="1" applyNumberFormat="1" applyAlignment="1">
      <alignment wrapText="1"/>
    </xf>
    <xf numFmtId="0" fontId="39" fillId="2" borderId="0" xfId="0" applyFont="1" applyFill="1" applyAlignment="1">
      <alignment vertical="center"/>
    </xf>
    <xf numFmtId="0" fontId="0" fillId="2" borderId="0" xfId="0" applyFill="1" applyAlignment="1">
      <alignment vertical="center"/>
    </xf>
    <xf numFmtId="0" fontId="19" fillId="2" borderId="0" xfId="0" applyFont="1" applyFill="1" applyAlignment="1">
      <alignment horizontal="center" vertical="center"/>
    </xf>
    <xf numFmtId="0" fontId="37" fillId="2" borderId="0" xfId="0" applyFont="1" applyFill="1" applyAlignment="1">
      <alignment horizontal="center" vertical="center"/>
    </xf>
    <xf numFmtId="0" fontId="0" fillId="2" borderId="15" xfId="0" applyFill="1" applyBorder="1" applyAlignment="1">
      <alignment vertical="center"/>
    </xf>
    <xf numFmtId="0" fontId="18" fillId="2" borderId="0" xfId="0" applyFont="1" applyFill="1" applyAlignment="1">
      <alignment horizontal="right" vertical="center"/>
    </xf>
    <xf numFmtId="0" fontId="18" fillId="0" borderId="0" xfId="0" applyFont="1" applyAlignment="1">
      <alignment horizontal="center" vertical="center"/>
    </xf>
    <xf numFmtId="0" fontId="44" fillId="0" borderId="0" xfId="0" applyFont="1" applyAlignment="1">
      <alignment horizontal="center" vertical="top"/>
    </xf>
    <xf numFmtId="0" fontId="44" fillId="0" borderId="0" xfId="0" applyFont="1" applyAlignment="1">
      <alignment vertical="top"/>
    </xf>
    <xf numFmtId="3" fontId="44" fillId="0" borderId="0" xfId="1" applyNumberFormat="1" applyFont="1" applyAlignment="1">
      <alignment vertical="top"/>
    </xf>
    <xf numFmtId="3" fontId="44" fillId="0" borderId="0" xfId="1" applyNumberFormat="1" applyFont="1" applyAlignment="1">
      <alignment horizontal="right" vertical="top"/>
    </xf>
    <xf numFmtId="3" fontId="44" fillId="0" borderId="0" xfId="0" applyNumberFormat="1" applyFont="1" applyAlignment="1">
      <alignment vertical="top"/>
    </xf>
    <xf numFmtId="3" fontId="44" fillId="0" borderId="0" xfId="1" applyNumberFormat="1" applyFont="1" applyAlignment="1">
      <alignment horizontal="left" vertical="top"/>
    </xf>
    <xf numFmtId="3" fontId="44" fillId="0" borderId="0" xfId="1" applyNumberFormat="1" applyFont="1" applyAlignment="1">
      <alignment horizontal="center" vertical="top"/>
    </xf>
    <xf numFmtId="3" fontId="44" fillId="0" borderId="0" xfId="0" applyNumberFormat="1" applyFont="1" applyAlignment="1">
      <alignment horizontal="center" vertical="top"/>
    </xf>
    <xf numFmtId="3" fontId="45" fillId="0" borderId="1" xfId="1" applyNumberFormat="1" applyFont="1" applyBorder="1" applyAlignment="1">
      <alignment horizontal="center" vertical="center"/>
    </xf>
    <xf numFmtId="3" fontId="44" fillId="0" borderId="1" xfId="1" applyNumberFormat="1" applyFont="1" applyBorder="1" applyAlignment="1">
      <alignment vertical="top"/>
    </xf>
    <xf numFmtId="3" fontId="44" fillId="0" borderId="1" xfId="1" applyNumberFormat="1" applyFont="1" applyBorder="1" applyAlignment="1">
      <alignment horizontal="right" vertical="top"/>
    </xf>
    <xf numFmtId="0" fontId="44" fillId="0" borderId="1" xfId="0" applyFont="1" applyBorder="1" applyAlignment="1">
      <alignment vertical="top"/>
    </xf>
    <xf numFmtId="3" fontId="44" fillId="0" borderId="1" xfId="0" applyNumberFormat="1" applyFont="1" applyBorder="1" applyAlignment="1">
      <alignment vertical="top"/>
    </xf>
    <xf numFmtId="167" fontId="44" fillId="0" borderId="1" xfId="0" applyNumberFormat="1" applyFont="1" applyBorder="1" applyAlignment="1">
      <alignment horizontal="center" vertical="top"/>
    </xf>
    <xf numFmtId="14" fontId="44" fillId="0" borderId="1" xfId="0" applyNumberFormat="1" applyFont="1" applyBorder="1" applyAlignment="1">
      <alignment vertical="top"/>
    </xf>
    <xf numFmtId="14" fontId="48" fillId="0" borderId="1" xfId="1" applyNumberFormat="1" applyFont="1" applyBorder="1" applyAlignment="1">
      <alignment horizontal="right" vertical="top"/>
    </xf>
    <xf numFmtId="1" fontId="44" fillId="0" borderId="1" xfId="1" applyNumberFormat="1" applyFont="1" applyBorder="1" applyAlignment="1">
      <alignment vertical="top"/>
    </xf>
    <xf numFmtId="3" fontId="45" fillId="0" borderId="23" xfId="1" applyNumberFormat="1" applyFont="1" applyBorder="1" applyAlignment="1">
      <alignment vertical="top"/>
    </xf>
    <xf numFmtId="3" fontId="48" fillId="0" borderId="1" xfId="1" applyNumberFormat="1" applyFont="1" applyBorder="1" applyAlignment="1">
      <alignment horizontal="right" vertical="top"/>
    </xf>
    <xf numFmtId="3" fontId="44" fillId="0" borderId="1" xfId="1" applyNumberFormat="1" applyFont="1" applyBorder="1" applyAlignment="1">
      <alignment horizontal="center" vertical="top"/>
    </xf>
    <xf numFmtId="3" fontId="45" fillId="0" borderId="1" xfId="1" applyNumberFormat="1" applyFont="1" applyBorder="1" applyAlignment="1">
      <alignment vertical="top"/>
    </xf>
    <xf numFmtId="3" fontId="49" fillId="0" borderId="1" xfId="1" applyNumberFormat="1" applyFont="1" applyBorder="1" applyAlignment="1">
      <alignment horizontal="right" vertical="top"/>
    </xf>
    <xf numFmtId="0" fontId="45" fillId="0" borderId="25" xfId="0" applyFont="1" applyBorder="1" applyAlignment="1">
      <alignment vertical="top"/>
    </xf>
    <xf numFmtId="0" fontId="45" fillId="0" borderId="22" xfId="0" applyFont="1" applyBorder="1" applyAlignment="1">
      <alignment vertical="top"/>
    </xf>
    <xf numFmtId="0" fontId="45" fillId="0" borderId="23" xfId="0" applyFont="1" applyBorder="1" applyAlignment="1">
      <alignment vertical="top"/>
    </xf>
    <xf numFmtId="3" fontId="45" fillId="0" borderId="1" xfId="1" applyNumberFormat="1" applyFont="1" applyBorder="1" applyAlignment="1">
      <alignment horizontal="right" vertical="top"/>
    </xf>
    <xf numFmtId="0" fontId="50" fillId="0" borderId="0" xfId="0" applyFont="1"/>
    <xf numFmtId="164" fontId="50" fillId="0" borderId="0" xfId="1" applyNumberFormat="1" applyFont="1"/>
    <xf numFmtId="0" fontId="53" fillId="0" borderId="0" xfId="0" applyFont="1" applyAlignment="1">
      <alignment horizontal="right"/>
    </xf>
    <xf numFmtId="0" fontId="54" fillId="0" borderId="1" xfId="0" applyFont="1" applyBorder="1" applyAlignment="1">
      <alignment horizontal="center" vertical="center"/>
    </xf>
    <xf numFmtId="164" fontId="54" fillId="0" borderId="1" xfId="1" applyNumberFormat="1" applyFont="1" applyBorder="1" applyAlignment="1">
      <alignment horizontal="center" vertical="center" wrapText="1"/>
    </xf>
    <xf numFmtId="164" fontId="54" fillId="0" borderId="1" xfId="1" applyNumberFormat="1" applyFont="1" applyBorder="1" applyAlignment="1">
      <alignment horizontal="center" vertical="center"/>
    </xf>
    <xf numFmtId="14" fontId="48" fillId="2" borderId="25" xfId="0" quotePrefix="1" applyNumberFormat="1" applyFont="1" applyFill="1" applyBorder="1" applyAlignment="1">
      <alignment horizontal="center" vertical="center" wrapText="1"/>
    </xf>
    <xf numFmtId="14" fontId="48" fillId="2" borderId="25" xfId="0" applyNumberFormat="1" applyFont="1" applyFill="1" applyBorder="1" applyAlignment="1">
      <alignment horizontal="center" vertical="center" wrapText="1"/>
    </xf>
    <xf numFmtId="14" fontId="55" fillId="2" borderId="1" xfId="0" quotePrefix="1" applyNumberFormat="1" applyFont="1" applyFill="1" applyBorder="1" applyAlignment="1">
      <alignment horizontal="center" vertical="center" wrapText="1"/>
    </xf>
    <xf numFmtId="168" fontId="56" fillId="0" borderId="1" xfId="0" applyNumberFormat="1" applyFont="1" applyBorder="1"/>
    <xf numFmtId="164" fontId="57" fillId="2" borderId="1" xfId="1" applyNumberFormat="1" applyFont="1" applyFill="1" applyBorder="1" applyAlignment="1">
      <alignment horizontal="center" vertical="center" wrapText="1"/>
    </xf>
    <xf numFmtId="164" fontId="58" fillId="2" borderId="1" xfId="1" applyNumberFormat="1" applyFont="1" applyFill="1" applyBorder="1" applyAlignment="1">
      <alignment horizontal="center" vertical="center" wrapText="1"/>
    </xf>
    <xf numFmtId="164" fontId="55" fillId="0" borderId="1" xfId="1" applyNumberFormat="1" applyFont="1" applyBorder="1"/>
    <xf numFmtId="0" fontId="54" fillId="0" borderId="1" xfId="0" applyFont="1" applyBorder="1" applyAlignment="1">
      <alignment horizontal="center"/>
    </xf>
    <xf numFmtId="164" fontId="54" fillId="0" borderId="1" xfId="1" applyNumberFormat="1" applyFont="1" applyBorder="1" applyAlignment="1">
      <alignment horizontal="center"/>
    </xf>
    <xf numFmtId="0" fontId="23" fillId="2" borderId="2" xfId="0" applyFont="1" applyFill="1" applyBorder="1" applyAlignment="1">
      <alignment horizontal="center"/>
    </xf>
    <xf numFmtId="0" fontId="38" fillId="2" borderId="2" xfId="0" applyFont="1" applyFill="1" applyBorder="1" applyAlignment="1">
      <alignment horizontal="center"/>
    </xf>
    <xf numFmtId="0" fontId="18" fillId="2" borderId="2" xfId="0" applyFont="1" applyFill="1" applyBorder="1" applyAlignment="1">
      <alignment vertical="top"/>
    </xf>
    <xf numFmtId="15" fontId="18" fillId="2" borderId="2" xfId="0" applyNumberFormat="1" applyFont="1" applyFill="1" applyBorder="1" applyAlignment="1">
      <alignment vertical="top"/>
    </xf>
    <xf numFmtId="3" fontId="0" fillId="2" borderId="2" xfId="0" applyNumberFormat="1" applyFill="1" applyBorder="1" applyAlignment="1">
      <alignment vertical="top"/>
    </xf>
    <xf numFmtId="3" fontId="18" fillId="2" borderId="2" xfId="0" applyNumberFormat="1" applyFont="1" applyFill="1" applyBorder="1" applyAlignment="1">
      <alignment horizontal="right" vertical="top"/>
    </xf>
    <xf numFmtId="0" fontId="59" fillId="2" borderId="2" xfId="0" applyFont="1" applyFill="1" applyBorder="1" applyAlignment="1">
      <alignment wrapText="1"/>
    </xf>
    <xf numFmtId="0" fontId="12" fillId="2" borderId="3" xfId="0" applyFont="1" applyFill="1" applyBorder="1" applyAlignment="1">
      <alignment horizontal="left" wrapText="1" indent="1"/>
    </xf>
    <xf numFmtId="0" fontId="11" fillId="2" borderId="7" xfId="0" applyFont="1" applyFill="1" applyBorder="1" applyAlignment="1">
      <alignment horizontal="left" wrapText="1" indent="1"/>
    </xf>
    <xf numFmtId="0" fontId="11" fillId="2" borderId="6" xfId="0" applyFont="1" applyFill="1" applyBorder="1" applyAlignment="1">
      <alignment horizontal="left" wrapText="1" indent="1"/>
    </xf>
    <xf numFmtId="0" fontId="0" fillId="2" borderId="8" xfId="0" applyFill="1" applyBorder="1" applyAlignment="1">
      <alignment wrapText="1"/>
    </xf>
    <xf numFmtId="0" fontId="17" fillId="2" borderId="2" xfId="0" applyFont="1" applyFill="1" applyBorder="1" applyAlignment="1">
      <alignment horizontal="center" wrapText="1"/>
    </xf>
    <xf numFmtId="0" fontId="15" fillId="2" borderId="2" xfId="0" applyFont="1" applyFill="1" applyBorder="1" applyAlignment="1">
      <alignment wrapText="1"/>
    </xf>
    <xf numFmtId="164" fontId="0" fillId="2" borderId="2" xfId="1" applyNumberFormat="1" applyFont="1" applyFill="1" applyBorder="1" applyAlignment="1">
      <alignment wrapText="1"/>
    </xf>
    <xf numFmtId="164" fontId="0" fillId="0" borderId="0" xfId="1" applyNumberFormat="1" applyFont="1" applyAlignment="1">
      <alignment vertical="center"/>
    </xf>
    <xf numFmtId="164" fontId="12" fillId="2" borderId="2" xfId="1" applyNumberFormat="1" applyFont="1" applyFill="1" applyBorder="1" applyAlignment="1">
      <alignment horizontal="right" wrapText="1"/>
    </xf>
    <xf numFmtId="164" fontId="11" fillId="2" borderId="2" xfId="1" applyNumberFormat="1" applyFont="1" applyFill="1" applyBorder="1" applyAlignment="1">
      <alignment horizontal="right" wrapText="1"/>
    </xf>
    <xf numFmtId="0" fontId="1" fillId="0" borderId="0" xfId="2" applyFont="1"/>
    <xf numFmtId="0" fontId="13" fillId="2" borderId="0" xfId="0" applyFont="1" applyFill="1" applyAlignment="1">
      <alignment wrapText="1"/>
    </xf>
    <xf numFmtId="169" fontId="0" fillId="0" borderId="0" xfId="0" applyNumberFormat="1"/>
    <xf numFmtId="0" fontId="14" fillId="2" borderId="2" xfId="0" applyFont="1" applyFill="1" applyBorder="1" applyAlignment="1">
      <alignment wrapText="1"/>
    </xf>
    <xf numFmtId="164" fontId="30" fillId="0" borderId="19" xfId="1" applyNumberFormat="1" applyFont="1" applyBorder="1" applyAlignment="1">
      <alignment horizontal="center"/>
    </xf>
    <xf numFmtId="0" fontId="0" fillId="0" borderId="19" xfId="0" applyBorder="1"/>
    <xf numFmtId="164" fontId="10" fillId="0" borderId="27" xfId="1" applyNumberFormat="1" applyBorder="1" applyAlignment="1">
      <alignment horizontal="center" vertical="center" wrapText="1"/>
    </xf>
    <xf numFmtId="0" fontId="0" fillId="0" borderId="27" xfId="0" applyBorder="1"/>
    <xf numFmtId="0" fontId="45" fillId="0" borderId="1" xfId="0" applyFont="1" applyBorder="1" applyAlignment="1">
      <alignment horizontal="center" vertical="top"/>
    </xf>
    <xf numFmtId="0" fontId="0" fillId="0" borderId="23" xfId="0" applyBorder="1"/>
    <xf numFmtId="3" fontId="45" fillId="0" borderId="1" xfId="1" applyNumberFormat="1" applyFont="1" applyBorder="1" applyAlignment="1">
      <alignment horizontal="center" vertical="center" wrapText="1"/>
    </xf>
    <xf numFmtId="0" fontId="0" fillId="0" borderId="24" xfId="0" applyBorder="1"/>
    <xf numFmtId="3" fontId="45" fillId="0" borderId="1" xfId="1" applyNumberFormat="1" applyFont="1" applyBorder="1" applyAlignment="1">
      <alignment horizontal="center" vertical="top"/>
    </xf>
    <xf numFmtId="3" fontId="45" fillId="0" borderId="1" xfId="1" applyNumberFormat="1" applyFont="1" applyBorder="1" applyAlignment="1">
      <alignment horizontal="center" vertical="center"/>
    </xf>
    <xf numFmtId="0" fontId="0" fillId="0" borderId="22" xfId="0" applyBorder="1"/>
    <xf numFmtId="0" fontId="45" fillId="0" borderId="1" xfId="0" applyFont="1" applyBorder="1" applyAlignment="1">
      <alignment horizontal="center" vertical="center"/>
    </xf>
    <xf numFmtId="0" fontId="45" fillId="0" borderId="0" xfId="0" applyFont="1" applyAlignment="1">
      <alignment horizontal="center" vertical="top"/>
    </xf>
    <xf numFmtId="0" fontId="28" fillId="0" borderId="0" xfId="0" applyFont="1" applyAlignment="1">
      <alignment vertical="top"/>
    </xf>
    <xf numFmtId="0" fontId="44" fillId="0" borderId="0" xfId="0" applyFont="1" applyAlignment="1">
      <alignment horizontal="center" vertical="top"/>
    </xf>
    <xf numFmtId="0" fontId="46" fillId="0" borderId="0" xfId="0" applyFont="1" applyAlignment="1">
      <alignment horizontal="center" vertical="top" wrapText="1" readingOrder="1"/>
    </xf>
    <xf numFmtId="14" fontId="45" fillId="0" borderId="25" xfId="0" applyNumberFormat="1" applyFont="1" applyBorder="1" applyAlignment="1">
      <alignment horizontal="center" vertical="top"/>
    </xf>
    <xf numFmtId="0" fontId="45" fillId="0" borderId="1" xfId="0" applyFont="1" applyBorder="1" applyAlignment="1">
      <alignment horizontal="left" vertical="top"/>
    </xf>
    <xf numFmtId="3" fontId="45" fillId="0" borderId="1" xfId="0" applyNumberFormat="1" applyFont="1" applyBorder="1" applyAlignment="1">
      <alignment horizontal="center" vertical="center"/>
    </xf>
    <xf numFmtId="0" fontId="47" fillId="0" borderId="0" xfId="0" applyFont="1" applyAlignment="1">
      <alignment horizontal="center" vertical="top"/>
    </xf>
    <xf numFmtId="0" fontId="18" fillId="2" borderId="0" xfId="0" applyFont="1" applyFill="1" applyAlignment="1">
      <alignment horizontal="center" wrapText="1"/>
    </xf>
    <xf numFmtId="0" fontId="0" fillId="0" borderId="0" xfId="0"/>
    <xf numFmtId="0" fontId="0" fillId="2" borderId="0" xfId="0" applyFill="1" applyAlignment="1">
      <alignment wrapText="1"/>
    </xf>
    <xf numFmtId="0" fontId="23" fillId="2" borderId="0" xfId="0" applyFont="1" applyFill="1" applyAlignment="1">
      <alignment wrapText="1"/>
    </xf>
    <xf numFmtId="0" fontId="14" fillId="2" borderId="2" xfId="0" applyFont="1" applyFill="1" applyBorder="1" applyAlignment="1">
      <alignment horizontal="center" wrapText="1"/>
    </xf>
    <xf numFmtId="0" fontId="0" fillId="0" borderId="4" xfId="0" applyBorder="1"/>
    <xf numFmtId="0" fontId="0" fillId="0" borderId="3" xfId="0" applyBorder="1"/>
    <xf numFmtId="0" fontId="0" fillId="0" borderId="6" xfId="0" applyBorder="1"/>
    <xf numFmtId="0" fontId="0" fillId="2" borderId="13" xfId="0" applyFill="1" applyBorder="1" applyAlignment="1">
      <alignment wrapText="1"/>
    </xf>
    <xf numFmtId="0" fontId="16" fillId="2" borderId="0" xfId="0" applyFont="1" applyFill="1" applyAlignment="1">
      <alignment horizontal="center" wrapText="1"/>
    </xf>
    <xf numFmtId="0" fontId="11" fillId="2" borderId="6" xfId="0" applyFont="1" applyFill="1" applyBorder="1" applyAlignment="1">
      <alignment horizontal="center" wrapText="1"/>
    </xf>
    <xf numFmtId="0" fontId="0" fillId="0" borderId="15" xfId="0" applyBorder="1"/>
    <xf numFmtId="0" fontId="0" fillId="0" borderId="14" xfId="0" applyBorder="1"/>
    <xf numFmtId="0" fontId="11" fillId="2" borderId="18" xfId="0" applyFont="1" applyFill="1" applyBorder="1" applyAlignment="1">
      <alignment horizontal="center" wrapText="1"/>
    </xf>
    <xf numFmtId="0" fontId="0" fillId="0" borderId="16" xfId="0" applyBorder="1"/>
    <xf numFmtId="0" fontId="0" fillId="2" borderId="12" xfId="0" applyFill="1" applyBorder="1" applyAlignment="1">
      <alignment wrapText="1"/>
    </xf>
    <xf numFmtId="0" fontId="0" fillId="0" borderId="12" xfId="0" applyBorder="1"/>
    <xf numFmtId="0" fontId="0" fillId="2" borderId="2" xfId="0" applyFill="1" applyBorder="1" applyAlignment="1">
      <alignment wrapText="1"/>
    </xf>
    <xf numFmtId="0" fontId="14" fillId="2" borderId="2" xfId="0" applyFont="1" applyFill="1" applyBorder="1" applyAlignment="1">
      <alignment wrapText="1"/>
    </xf>
    <xf numFmtId="0" fontId="14" fillId="2" borderId="12" xfId="0" applyFont="1" applyFill="1" applyBorder="1" applyAlignment="1">
      <alignment wrapText="1"/>
    </xf>
    <xf numFmtId="0" fontId="12" fillId="2" borderId="18" xfId="0" applyFont="1" applyFill="1" applyBorder="1" applyAlignment="1">
      <alignment horizontal="center" wrapText="1"/>
    </xf>
    <xf numFmtId="0" fontId="14" fillId="2" borderId="0" xfId="0" applyFont="1" applyFill="1" applyAlignment="1">
      <alignment horizontal="center" wrapText="1"/>
    </xf>
    <xf numFmtId="0" fontId="14" fillId="2" borderId="0" xfId="0" applyFont="1" applyFill="1" applyAlignment="1">
      <alignment wrapText="1"/>
    </xf>
    <xf numFmtId="0" fontId="11" fillId="2" borderId="7" xfId="0" applyFont="1" applyFill="1" applyBorder="1" applyAlignment="1">
      <alignment horizontal="center" wrapText="1"/>
    </xf>
    <xf numFmtId="0" fontId="0" fillId="0" borderId="17" xfId="0" applyBorder="1"/>
    <xf numFmtId="0" fontId="19" fillId="2" borderId="0" xfId="0" applyFont="1" applyFill="1" applyAlignment="1">
      <alignment horizontal="center" wrapText="1"/>
    </xf>
    <xf numFmtId="0" fontId="12" fillId="8" borderId="2" xfId="0" applyFont="1" applyFill="1" applyBorder="1" applyAlignment="1">
      <alignment horizontal="center" wrapText="1"/>
    </xf>
    <xf numFmtId="0" fontId="12" fillId="2" borderId="2" xfId="0" applyFont="1" applyFill="1" applyBorder="1" applyAlignment="1">
      <alignment horizontal="center" wrapText="1"/>
    </xf>
    <xf numFmtId="164" fontId="12" fillId="8" borderId="2" xfId="1" applyNumberFormat="1" applyFont="1" applyFill="1" applyBorder="1" applyAlignment="1">
      <alignment horizontal="center" wrapText="1"/>
    </xf>
    <xf numFmtId="0" fontId="21" fillId="0" borderId="0" xfId="0" applyFont="1" applyAlignment="1">
      <alignment horizontal="right" wrapText="1"/>
    </xf>
    <xf numFmtId="164" fontId="0" fillId="0" borderId="0" xfId="1" applyNumberFormat="1" applyFont="1"/>
    <xf numFmtId="0" fontId="11" fillId="2" borderId="2" xfId="0" applyFont="1" applyFill="1" applyBorder="1" applyAlignment="1">
      <alignment wrapText="1"/>
    </xf>
    <xf numFmtId="0" fontId="38" fillId="2" borderId="2" xfId="0" applyFont="1" applyFill="1" applyBorder="1" applyAlignment="1">
      <alignment horizontal="left" wrapText="1" indent="1"/>
    </xf>
    <xf numFmtId="14" fontId="11" fillId="2" borderId="2" xfId="0" applyNumberFormat="1" applyFont="1" applyFill="1" applyBorder="1" applyAlignment="1">
      <alignment horizontal="left" wrapText="1" indent="1"/>
    </xf>
    <xf numFmtId="0" fontId="12" fillId="0" borderId="0" xfId="0" applyFont="1" applyAlignment="1">
      <alignment horizontal="justify" wrapText="1"/>
    </xf>
    <xf numFmtId="0" fontId="38" fillId="13" borderId="2" xfId="0" applyFont="1" applyFill="1" applyBorder="1" applyAlignment="1">
      <alignment horizontal="center" wrapText="1"/>
    </xf>
    <xf numFmtId="0" fontId="0" fillId="0" borderId="18" xfId="0" applyBorder="1"/>
    <xf numFmtId="0" fontId="11" fillId="2" borderId="2" xfId="0" applyFont="1" applyFill="1" applyBorder="1" applyAlignment="1">
      <alignment horizontal="left" wrapText="1" indent="1"/>
    </xf>
    <xf numFmtId="0" fontId="0" fillId="2" borderId="5" xfId="0" applyFill="1" applyBorder="1" applyAlignment="1">
      <alignment wrapText="1"/>
    </xf>
    <xf numFmtId="0" fontId="11" fillId="2" borderId="2" xfId="0" applyFont="1" applyFill="1" applyBorder="1" applyAlignment="1">
      <alignment horizontal="justify" wrapText="1"/>
    </xf>
    <xf numFmtId="0" fontId="38" fillId="2" borderId="2" xfId="0" applyFont="1" applyFill="1" applyBorder="1" applyAlignment="1">
      <alignment horizontal="justify" wrapText="1"/>
    </xf>
    <xf numFmtId="0" fontId="12" fillId="2" borderId="2" xfId="0" applyFont="1" applyFill="1" applyBorder="1" applyAlignment="1">
      <alignment horizontal="justify" wrapText="1"/>
    </xf>
    <xf numFmtId="0" fontId="19" fillId="0" borderId="0" xfId="0" applyFont="1" applyAlignment="1">
      <alignment horizontal="center" wrapText="1"/>
    </xf>
    <xf numFmtId="0" fontId="12" fillId="0" borderId="0" xfId="0" applyFont="1" applyAlignment="1">
      <alignment horizontal="center" wrapText="1"/>
    </xf>
    <xf numFmtId="0" fontId="51" fillId="0" borderId="0" xfId="0" applyFont="1" applyAlignment="1">
      <alignment horizontal="center"/>
    </xf>
    <xf numFmtId="0" fontId="55" fillId="0" borderId="1" xfId="0" applyFont="1" applyBorder="1" applyAlignment="1">
      <alignment horizontal="center" vertical="center"/>
    </xf>
    <xf numFmtId="0" fontId="0" fillId="0" borderId="28" xfId="0" applyBorder="1"/>
    <xf numFmtId="0" fontId="54" fillId="0" borderId="1" xfId="0" applyFont="1" applyBorder="1" applyAlignment="1">
      <alignment horizontal="center"/>
    </xf>
    <xf numFmtId="0" fontId="55" fillId="0" borderId="1" xfId="0" applyFont="1" applyBorder="1" applyAlignment="1">
      <alignment horizontal="left" vertical="center" wrapText="1"/>
    </xf>
    <xf numFmtId="0" fontId="40" fillId="0" borderId="0" xfId="0" applyFont="1" applyAlignment="1">
      <alignment horizontal="center"/>
    </xf>
    <xf numFmtId="0" fontId="41" fillId="0" borderId="26" xfId="0" applyFont="1" applyBorder="1" applyAlignment="1">
      <alignment horizontal="center"/>
    </xf>
    <xf numFmtId="0" fontId="0" fillId="0" borderId="26" xfId="0" applyBorder="1"/>
    <xf numFmtId="0" fontId="50" fillId="0" borderId="0" xfId="0" applyFont="1" applyAlignment="1">
      <alignment horizontal="center"/>
    </xf>
    <xf numFmtId="0" fontId="51" fillId="0" borderId="19" xfId="0" applyFont="1" applyBorder="1" applyAlignment="1">
      <alignment horizontal="center" vertical="center" wrapText="1"/>
    </xf>
    <xf numFmtId="0" fontId="52" fillId="0" borderId="0" xfId="0" applyFont="1" applyAlignment="1">
      <alignment horizontal="center"/>
    </xf>
    <xf numFmtId="0" fontId="0" fillId="0" borderId="10" xfId="0" applyBorder="1" applyAlignment="1"/>
    <xf numFmtId="0" fontId="0" fillId="0" borderId="4" xfId="0" applyBorder="1" applyAlignment="1"/>
    <xf numFmtId="0" fontId="0" fillId="0" borderId="3" xfId="0" applyBorder="1" applyAlignment="1"/>
    <xf numFmtId="0" fontId="0" fillId="0" borderId="0" xfId="0" applyAlignment="1"/>
    <xf numFmtId="0" fontId="0" fillId="0" borderId="6" xfId="0" applyBorder="1" applyAlignment="1"/>
    <xf numFmtId="0" fontId="18" fillId="2" borderId="0" xfId="0" applyFont="1" applyFill="1" applyAlignment="1">
      <alignment wrapText="1"/>
    </xf>
    <xf numFmtId="0" fontId="11" fillId="2" borderId="0" xfId="0" applyFont="1" applyFill="1" applyAlignment="1">
      <alignment wrapText="1"/>
    </xf>
    <xf numFmtId="0" fontId="12" fillId="2" borderId="0" xfId="0" applyFont="1" applyFill="1" applyAlignment="1">
      <alignment wrapText="1"/>
    </xf>
    <xf numFmtId="0" fontId="0" fillId="0" borderId="9" xfId="0" applyBorder="1" applyAlignment="1"/>
    <xf numFmtId="0" fontId="0" fillId="0" borderId="11" xfId="0" applyBorder="1" applyAlignment="1"/>
    <xf numFmtId="0" fontId="19" fillId="2" borderId="0" xfId="0" applyFont="1" applyFill="1" applyAlignment="1">
      <alignment wrapText="1"/>
    </xf>
    <xf numFmtId="164" fontId="10" fillId="0" borderId="0" xfId="1" applyNumberFormat="1"/>
  </cellXfs>
  <cellStyles count="8">
    <cellStyle name="Comma" xfId="1" builtinId="3"/>
    <cellStyle name="Comma 2" xfId="5" xr:uid="{00000000-0005-0000-0000-000005000000}"/>
    <cellStyle name="Normal" xfId="0" builtinId="0"/>
    <cellStyle name="Normal 2" xfId="2" xr:uid="{00000000-0005-0000-0000-000002000000}"/>
    <cellStyle name="Normal 3" xfId="3" xr:uid="{00000000-0005-0000-0000-000003000000}"/>
    <cellStyle name="Normal 4" xfId="4" xr:uid="{00000000-0005-0000-0000-000004000000}"/>
    <cellStyle name="Normal 5" xfId="6" xr:uid="{00000000-0005-0000-0000-000006000000}"/>
    <cellStyle name="Normal 6" xfId="7" xr:uid="{00000000-0005-0000-0000-000007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116</xdr:row>
      <xdr:rowOff>0</xdr:rowOff>
    </xdr:from>
    <xdr:to>
      <xdr:col>6</xdr:col>
      <xdr:colOff>135831</xdr:colOff>
      <xdr:row>158</xdr:row>
      <xdr:rowOff>27785</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1347107" y="26139321"/>
          <a:ext cx="7266667" cy="6314286"/>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155"/>
  <sheetViews>
    <sheetView zoomScale="115" zoomScaleNormal="115" workbookViewId="0">
      <selection activeCell="F4" sqref="F4"/>
    </sheetView>
  </sheetViews>
  <sheetFormatPr defaultColWidth="9" defaultRowHeight="11.5"/>
  <cols>
    <col min="1" max="1" width="20.4140625" style="112" customWidth="1"/>
    <col min="2" max="2" width="17.58203125" style="112" bestFit="1" customWidth="1"/>
    <col min="3" max="3" width="19.1640625" style="112" customWidth="1"/>
    <col min="4" max="4" width="18.33203125" style="112" bestFit="1" customWidth="1"/>
    <col min="5" max="5" width="16.9140625" style="112" customWidth="1"/>
    <col min="6" max="6" width="21.58203125" style="112" customWidth="1"/>
    <col min="7" max="7" width="17.08203125" style="112" customWidth="1"/>
    <col min="8" max="8" width="14.58203125" style="112" customWidth="1"/>
    <col min="9" max="9" width="14.08203125" style="112" bestFit="1" customWidth="1"/>
    <col min="10" max="10" width="22.1640625" style="112" bestFit="1" customWidth="1"/>
    <col min="11" max="11" width="17.1640625" style="112" customWidth="1"/>
    <col min="12" max="12" width="17.08203125" style="112" customWidth="1"/>
    <col min="13" max="13" width="16.6640625" style="112" customWidth="1"/>
    <col min="14" max="14" width="10" style="112" bestFit="1" customWidth="1"/>
    <col min="15" max="15" width="18.83203125" style="112" customWidth="1"/>
    <col min="16" max="16" width="20.58203125" style="112" customWidth="1"/>
    <col min="17" max="17" width="14.83203125" style="112" customWidth="1"/>
    <col min="18" max="18" width="15.1640625" style="112" customWidth="1"/>
    <col min="19" max="19" width="8.1640625" style="112" bestFit="1" customWidth="1"/>
    <col min="20" max="20" width="13.6640625" style="112" bestFit="1" customWidth="1"/>
    <col min="21" max="21" width="13.58203125" style="112" customWidth="1"/>
    <col min="22" max="22" width="11.5" style="112" bestFit="1" customWidth="1"/>
    <col min="23" max="25" width="10" style="112" bestFit="1" customWidth="1"/>
    <col min="26" max="26" width="16.9140625" style="112" bestFit="1" customWidth="1"/>
    <col min="27" max="27" width="18" style="112" bestFit="1" customWidth="1"/>
    <col min="28" max="28" width="9" style="112" customWidth="1"/>
    <col min="29" max="16384" width="9" style="112"/>
  </cols>
  <sheetData>
    <row r="1" spans="1:18" s="111" customFormat="1">
      <c r="A1" s="111" t="s">
        <v>0</v>
      </c>
    </row>
    <row r="2" spans="1:18">
      <c r="K2" s="163" t="s">
        <v>1</v>
      </c>
    </row>
    <row r="3" spans="1:18">
      <c r="A3" s="112" t="s">
        <v>2</v>
      </c>
      <c r="C3" s="112" t="s">
        <v>3</v>
      </c>
      <c r="D3" s="112" t="s">
        <v>4</v>
      </c>
      <c r="E3" s="112" t="s">
        <v>5</v>
      </c>
      <c r="F3" s="112" t="s">
        <v>6</v>
      </c>
      <c r="G3" s="112" t="s">
        <v>7</v>
      </c>
      <c r="I3" s="112" t="s">
        <v>8</v>
      </c>
      <c r="J3" s="112" t="s">
        <v>6</v>
      </c>
      <c r="K3" s="163" t="s">
        <v>9</v>
      </c>
    </row>
    <row r="4" spans="1:18">
      <c r="A4" s="112" t="s">
        <v>2</v>
      </c>
      <c r="C4" s="113">
        <v>13311</v>
      </c>
      <c r="D4" s="112">
        <f>SUMIF('TA36'!$V:$V,TAXVTA!C4,'TA36'!$H:$H)</f>
        <v>3887687475489</v>
      </c>
      <c r="F4" s="112">
        <f>SUMIF('TA36'!$V:$V,TAXVTA!C4,'TA36'!$J:$J)</f>
        <v>311019923487</v>
      </c>
      <c r="G4" s="112">
        <f>+D4+F4</f>
        <v>4198707398976</v>
      </c>
      <c r="I4" s="112" t="s">
        <v>8</v>
      </c>
      <c r="J4" s="112">
        <f>'13311'!L2</f>
        <v>102967637809</v>
      </c>
      <c r="K4" s="163">
        <f>+F4-J4</f>
        <v>208052285678</v>
      </c>
    </row>
    <row r="5" spans="1:18">
      <c r="A5" s="112" t="s">
        <v>2</v>
      </c>
      <c r="C5" s="113">
        <v>13313</v>
      </c>
      <c r="D5" s="112">
        <f>SUMIF('TA36'!$V:$V,TAXVTA!C5,'TA36'!$H:$H)</f>
        <v>0</v>
      </c>
      <c r="F5" s="112">
        <f>SUMIF('TA36'!$V:$V,TAXVTA!C5,'TA36'!$J:$J)</f>
        <v>0</v>
      </c>
      <c r="G5" s="112">
        <f>+D5+F5</f>
        <v>0</v>
      </c>
      <c r="I5" s="112" t="s">
        <v>8</v>
      </c>
      <c r="J5" s="112">
        <f>'13311'!L3</f>
        <v>706159140</v>
      </c>
      <c r="K5" s="163">
        <f>+F5-J5</f>
        <v>-706159140</v>
      </c>
    </row>
    <row r="6" spans="1:18" ht="12" customHeight="1">
      <c r="D6" s="114">
        <f>SUM(D4:D5)</f>
        <v>3887687475489</v>
      </c>
      <c r="E6" s="114"/>
      <c r="F6" s="114">
        <f>SUM(F4:F5)</f>
        <v>311019923487</v>
      </c>
      <c r="G6" s="114">
        <f>SUM(G4:G5)</f>
        <v>4198707398976</v>
      </c>
      <c r="J6" s="114">
        <f>SUM(J4:J5)</f>
        <v>103673796949</v>
      </c>
      <c r="K6" s="163">
        <f>SUM(K4:K5)</f>
        <v>207346126538</v>
      </c>
    </row>
    <row r="8" spans="1:18" s="206" customFormat="1" ht="42" customHeight="1">
      <c r="C8" s="206" t="s">
        <v>10</v>
      </c>
      <c r="D8" s="206" t="s">
        <v>4</v>
      </c>
      <c r="E8" s="206" t="s">
        <v>5</v>
      </c>
      <c r="F8" s="206" t="s">
        <v>6</v>
      </c>
      <c r="G8" s="206" t="s">
        <v>7</v>
      </c>
      <c r="O8" s="202" t="s">
        <v>11</v>
      </c>
      <c r="P8" s="201" t="s">
        <v>12</v>
      </c>
      <c r="Q8" s="202" t="s">
        <v>13</v>
      </c>
    </row>
    <row r="9" spans="1:18">
      <c r="D9" s="112">
        <f>SUMIFS('TA36'!$H:$H,'TA36'!$I:$I,TAXVTA!$E9)</f>
        <v>31220807</v>
      </c>
      <c r="E9" s="112">
        <v>5</v>
      </c>
      <c r="F9" s="112">
        <f>SUMIFS('TA36'!$J:$J,'TA36'!$I:$I,TAXVTA!$E$9)</f>
        <v>1561073</v>
      </c>
      <c r="G9" s="112">
        <f>D9+F9</f>
        <v>32781880</v>
      </c>
      <c r="O9" s="119" t="s">
        <v>14</v>
      </c>
      <c r="P9" s="119">
        <f>D10</f>
        <v>1295735697624</v>
      </c>
      <c r="Q9" s="119">
        <f>F10</f>
        <v>103658856096</v>
      </c>
    </row>
    <row r="10" spans="1:18">
      <c r="D10" s="112">
        <f>SUMIFS('TA36'!$H:$H,'TA36'!$I:$I,TAXVTA!$E10)</f>
        <v>1295735697624</v>
      </c>
      <c r="E10" s="112">
        <v>8</v>
      </c>
      <c r="F10" s="112">
        <f>SUMIFS('TA36'!$J:$J,'TA36'!$I:$I,TAXVTA!$E10)</f>
        <v>103658856096</v>
      </c>
      <c r="G10" s="112">
        <f>D10+F10</f>
        <v>1399394553720</v>
      </c>
    </row>
    <row r="11" spans="1:18">
      <c r="D11" s="112">
        <f>SUMIFS('TA36'!$H:$H,'TA36'!$I:$I,TAXVTA!$E11)</f>
        <v>128906732</v>
      </c>
      <c r="E11" s="112">
        <v>10</v>
      </c>
      <c r="F11" s="112">
        <f>SUMIFS('TA36'!$J:$J,'TA36'!$I:$I,TAXVTA!$E11)</f>
        <v>12890660</v>
      </c>
      <c r="G11" s="112">
        <f>D11+F11</f>
        <v>141797392</v>
      </c>
    </row>
    <row r="12" spans="1:18">
      <c r="D12" s="114">
        <f>SUM(D9:D11)</f>
        <v>1295895825163</v>
      </c>
      <c r="E12" s="114"/>
      <c r="F12" s="114">
        <f>SUM(F9:F11)</f>
        <v>103673307829</v>
      </c>
      <c r="G12" s="114">
        <f>SUM(G9:G11)</f>
        <v>1399569132992</v>
      </c>
    </row>
    <row r="13" spans="1:18">
      <c r="D13" s="112">
        <f>'TA36'!X15</f>
        <v>34757220542</v>
      </c>
      <c r="F13" s="112">
        <f>'TA36'!Y15</f>
        <v>2782219459</v>
      </c>
    </row>
    <row r="14" spans="1:18" s="111" customFormat="1">
      <c r="A14" s="111" t="s">
        <v>15</v>
      </c>
      <c r="D14" s="111">
        <f>+D12-D13</f>
        <v>1261138604621</v>
      </c>
      <c r="F14" s="111">
        <f>+F12-F13</f>
        <v>100891088370</v>
      </c>
    </row>
    <row r="15" spans="1:18">
      <c r="C15" s="112" t="s">
        <v>16</v>
      </c>
      <c r="D15" s="112" t="s">
        <v>16</v>
      </c>
      <c r="E15" s="112" t="s">
        <v>16</v>
      </c>
      <c r="F15" s="112" t="s">
        <v>16</v>
      </c>
      <c r="G15" s="112" t="s">
        <v>17</v>
      </c>
      <c r="H15" s="112" t="s">
        <v>17</v>
      </c>
      <c r="I15" s="112" t="s">
        <v>17</v>
      </c>
      <c r="J15" s="112" t="s">
        <v>17</v>
      </c>
      <c r="K15" s="112" t="s">
        <v>18</v>
      </c>
      <c r="L15" s="112" t="s">
        <v>18</v>
      </c>
      <c r="M15" s="112" t="s">
        <v>18</v>
      </c>
      <c r="N15" s="112" t="s">
        <v>18</v>
      </c>
      <c r="O15" s="112" t="s">
        <v>19</v>
      </c>
      <c r="P15" s="112" t="s">
        <v>19</v>
      </c>
      <c r="Q15" s="112" t="s">
        <v>19</v>
      </c>
      <c r="R15" s="112" t="s">
        <v>19</v>
      </c>
    </row>
    <row r="16" spans="1:18">
      <c r="C16" s="112" t="s">
        <v>20</v>
      </c>
      <c r="D16" s="112" t="s">
        <v>21</v>
      </c>
      <c r="E16" s="112" t="s">
        <v>22</v>
      </c>
      <c r="F16" s="112" t="s">
        <v>23</v>
      </c>
      <c r="G16" s="112" t="s">
        <v>20</v>
      </c>
      <c r="H16" s="112" t="s">
        <v>21</v>
      </c>
      <c r="I16" s="112" t="s">
        <v>22</v>
      </c>
      <c r="J16" s="112" t="s">
        <v>23</v>
      </c>
      <c r="K16" s="112" t="s">
        <v>20</v>
      </c>
      <c r="L16" s="112" t="s">
        <v>21</v>
      </c>
      <c r="M16" s="112" t="s">
        <v>22</v>
      </c>
      <c r="N16" s="112" t="s">
        <v>23</v>
      </c>
      <c r="O16" s="112" t="s">
        <v>20</v>
      </c>
      <c r="P16" s="112" t="s">
        <v>21</v>
      </c>
      <c r="Q16" s="112" t="s">
        <v>22</v>
      </c>
      <c r="R16" s="112" t="s">
        <v>23</v>
      </c>
    </row>
    <row r="17" spans="1:18">
      <c r="A17" s="112" t="s">
        <v>24</v>
      </c>
      <c r="B17" s="117" t="s">
        <v>25</v>
      </c>
      <c r="C17" s="112">
        <f>GCS!H38</f>
        <v>646444991758</v>
      </c>
      <c r="E17" s="112">
        <f>GCS!I38</f>
        <v>51715599341</v>
      </c>
      <c r="F17" s="112">
        <f>GCS!J38</f>
        <v>698160591099</v>
      </c>
      <c r="G17" s="112">
        <f>+GCS!K33</f>
        <v>162897655</v>
      </c>
      <c r="I17" s="112">
        <f>GCS!L33</f>
        <v>13031816</v>
      </c>
      <c r="J17" s="112">
        <f>GCS!M33</f>
        <v>175929471</v>
      </c>
      <c r="K17" s="112">
        <f>GCS!H39</f>
        <v>186323800</v>
      </c>
      <c r="M17" s="112">
        <v>0</v>
      </c>
      <c r="N17" s="112">
        <f>GCS!J39</f>
        <v>186323800</v>
      </c>
      <c r="O17" s="112">
        <f>C17+G17+K17</f>
        <v>646794213213</v>
      </c>
      <c r="Q17" s="112">
        <f>+E17+I17</f>
        <v>51728631157</v>
      </c>
      <c r="R17" s="112">
        <f>+O17+Q17</f>
        <v>698522844370</v>
      </c>
    </row>
    <row r="18" spans="1:18">
      <c r="A18" s="112" t="s">
        <v>24</v>
      </c>
      <c r="B18" s="117" t="s">
        <v>26</v>
      </c>
      <c r="C18" s="112">
        <f>+GCS!H45</f>
        <v>723840776758</v>
      </c>
      <c r="E18" s="112">
        <f>+GCS!I45</f>
        <v>57907262194</v>
      </c>
      <c r="F18" s="112">
        <f>GCS!J45</f>
        <v>781748038952</v>
      </c>
      <c r="G18" s="112">
        <f>+GCS!K34</f>
        <v>552108768</v>
      </c>
      <c r="I18" s="112">
        <f>GCS!L34</f>
        <v>44168705</v>
      </c>
      <c r="J18" s="112">
        <f>GCS!M34</f>
        <v>596277473</v>
      </c>
      <c r="K18" s="112">
        <f>GCS!H46</f>
        <v>100199100</v>
      </c>
      <c r="N18" s="112">
        <f>GCS!J46</f>
        <v>100199100</v>
      </c>
      <c r="O18" s="112">
        <f>+C18+G18+K18</f>
        <v>724493084626</v>
      </c>
      <c r="Q18" s="112">
        <f>+E18+I18</f>
        <v>57951430899</v>
      </c>
      <c r="R18" s="112">
        <f>+O18+Q18</f>
        <v>782444515525</v>
      </c>
    </row>
    <row r="19" spans="1:18">
      <c r="C19" s="114">
        <f>SUM(C17:C18)</f>
        <v>1370285768516</v>
      </c>
      <c r="E19" s="114">
        <f>SUM(E17:E18)</f>
        <v>109622861535</v>
      </c>
      <c r="F19" s="114">
        <f>SUM(F17:F18)</f>
        <v>1479908630051</v>
      </c>
      <c r="G19" s="114">
        <f>SUM(G17:G18)</f>
        <v>715006423</v>
      </c>
      <c r="I19" s="114">
        <f t="shared" ref="I19:O19" si="0">SUM(I17:I18)</f>
        <v>57200521</v>
      </c>
      <c r="J19" s="114">
        <f t="shared" si="0"/>
        <v>772206944</v>
      </c>
      <c r="K19" s="114">
        <f t="shared" si="0"/>
        <v>286522900</v>
      </c>
      <c r="L19" s="114">
        <f t="shared" si="0"/>
        <v>0</v>
      </c>
      <c r="M19" s="114">
        <f t="shared" si="0"/>
        <v>0</v>
      </c>
      <c r="N19" s="114">
        <f t="shared" si="0"/>
        <v>286522900</v>
      </c>
      <c r="O19" s="114">
        <f t="shared" si="0"/>
        <v>1371287297839</v>
      </c>
      <c r="Q19" s="114">
        <f>SUM(Q17:Q18)</f>
        <v>109680062056</v>
      </c>
      <c r="R19" s="114">
        <f>SUM(R17:R18)</f>
        <v>1480967359895</v>
      </c>
    </row>
    <row r="20" spans="1:18">
      <c r="A20" s="112" t="s">
        <v>27</v>
      </c>
      <c r="C20" s="111">
        <f>'4A'!D13</f>
        <v>1370572291416</v>
      </c>
      <c r="E20" s="111">
        <f>'4A'!E13</f>
        <v>109622861535</v>
      </c>
      <c r="F20" s="112">
        <f>'4A'!F13</f>
        <v>1480195152951</v>
      </c>
      <c r="G20" s="111">
        <f>+'4A'!D9</f>
        <v>715006423</v>
      </c>
      <c r="I20" s="111">
        <f>+'4A'!E9</f>
        <v>57200521</v>
      </c>
      <c r="J20" s="111">
        <f>+'4A'!F9</f>
        <v>772206944</v>
      </c>
      <c r="K20" s="111">
        <f>'4A'!D12</f>
        <v>0</v>
      </c>
      <c r="L20" s="111"/>
      <c r="M20" s="111">
        <f>+'4A'!I9</f>
        <v>0</v>
      </c>
      <c r="N20" s="111">
        <f>'4A'!F12</f>
        <v>0</v>
      </c>
      <c r="O20" s="111">
        <f>C20+G20+K20</f>
        <v>1371287297839</v>
      </c>
      <c r="Q20" s="111">
        <f>+E20+I20</f>
        <v>109680062056</v>
      </c>
      <c r="R20" s="112">
        <f>O20+Q20</f>
        <v>1480967359895</v>
      </c>
    </row>
    <row r="21" spans="1:18" s="163" customFormat="1">
      <c r="A21" s="163" t="s">
        <v>28</v>
      </c>
      <c r="B21" s="163" t="s">
        <v>29</v>
      </c>
      <c r="C21" s="163">
        <f t="shared" ref="C21:R21" si="1">+C19-C20</f>
        <v>-286522900</v>
      </c>
      <c r="D21" s="163">
        <f t="shared" si="1"/>
        <v>0</v>
      </c>
      <c r="E21" s="163">
        <f t="shared" si="1"/>
        <v>0</v>
      </c>
      <c r="F21" s="163">
        <f t="shared" si="1"/>
        <v>-286522900</v>
      </c>
      <c r="G21" s="163">
        <f t="shared" si="1"/>
        <v>0</v>
      </c>
      <c r="H21" s="163">
        <f t="shared" si="1"/>
        <v>0</v>
      </c>
      <c r="I21" s="163">
        <f t="shared" si="1"/>
        <v>0</v>
      </c>
      <c r="J21" s="163">
        <f t="shared" si="1"/>
        <v>0</v>
      </c>
      <c r="K21" s="163">
        <f t="shared" si="1"/>
        <v>286522900</v>
      </c>
      <c r="L21" s="163">
        <f t="shared" si="1"/>
        <v>0</v>
      </c>
      <c r="M21" s="163">
        <f t="shared" si="1"/>
        <v>0</v>
      </c>
      <c r="N21" s="163">
        <f t="shared" si="1"/>
        <v>286522900</v>
      </c>
      <c r="O21" s="163">
        <f t="shared" si="1"/>
        <v>0</v>
      </c>
      <c r="P21" s="163">
        <f t="shared" si="1"/>
        <v>0</v>
      </c>
      <c r="Q21" s="163">
        <f t="shared" si="1"/>
        <v>0</v>
      </c>
      <c r="R21" s="163">
        <f t="shared" si="1"/>
        <v>0</v>
      </c>
    </row>
    <row r="23" spans="1:18">
      <c r="A23" s="112" t="s">
        <v>30</v>
      </c>
      <c r="C23" s="118">
        <f>'0903'!X3</f>
        <v>1370285768516</v>
      </c>
      <c r="G23" s="118">
        <f>'0903'!X4+'0903'!X1</f>
        <v>715006423</v>
      </c>
      <c r="K23" s="118">
        <f>'0903'!X2</f>
        <v>286522900</v>
      </c>
      <c r="O23" s="118">
        <f>SUM(C23:N23)</f>
        <v>1371287297839</v>
      </c>
    </row>
    <row r="24" spans="1:18" s="163" customFormat="1">
      <c r="A24" s="163" t="s">
        <v>28</v>
      </c>
      <c r="B24" s="163" t="s">
        <v>31</v>
      </c>
      <c r="C24" s="163">
        <f>+C20-C23</f>
        <v>286522900</v>
      </c>
      <c r="G24" s="163">
        <f>+G20-G23</f>
        <v>0</v>
      </c>
      <c r="K24" s="163">
        <f>+K20-K23</f>
        <v>-286522900</v>
      </c>
      <c r="O24" s="163">
        <f>+O20-O23</f>
        <v>0</v>
      </c>
    </row>
    <row r="26" spans="1:18">
      <c r="A26" s="112" t="s">
        <v>32</v>
      </c>
      <c r="C26" s="119"/>
      <c r="D26" s="120" t="s">
        <v>33</v>
      </c>
      <c r="E26" s="120"/>
      <c r="F26" s="198" t="s">
        <v>34</v>
      </c>
      <c r="G26" s="198"/>
      <c r="H26" s="120" t="s">
        <v>35</v>
      </c>
      <c r="I26" s="120"/>
      <c r="J26" s="121" t="s">
        <v>36</v>
      </c>
      <c r="K26" s="121"/>
      <c r="L26" s="147"/>
    </row>
    <row r="27" spans="1:18">
      <c r="C27" s="119"/>
      <c r="D27" s="119" t="s">
        <v>4</v>
      </c>
      <c r="E27" s="119" t="s">
        <v>6</v>
      </c>
      <c r="F27" s="199" t="s">
        <v>4</v>
      </c>
      <c r="G27" s="199" t="s">
        <v>6</v>
      </c>
      <c r="H27" s="119" t="s">
        <v>4</v>
      </c>
      <c r="I27" s="119" t="s">
        <v>6</v>
      </c>
      <c r="J27" s="119" t="s">
        <v>4</v>
      </c>
      <c r="K27" s="119" t="s">
        <v>6</v>
      </c>
      <c r="L27" s="147"/>
    </row>
    <row r="28" spans="1:18">
      <c r="C28" s="139" t="s">
        <v>18</v>
      </c>
      <c r="D28" s="139">
        <f>SUMIFS('TA35'!$H:$H,'TA35'!$T:$T,TAXVTA!$C28)</f>
        <v>281522100</v>
      </c>
      <c r="E28" s="139">
        <f>SUMIFS('TA35'!$J:$J,'TA35'!$T:$T,TAXVTA!$C28)</f>
        <v>0</v>
      </c>
      <c r="F28" s="199">
        <v>95198300</v>
      </c>
      <c r="G28" s="199"/>
      <c r="H28" s="139">
        <f>GCS!H39</f>
        <v>186323800</v>
      </c>
      <c r="I28" s="139"/>
      <c r="J28" s="139">
        <f t="shared" ref="J28:K30" si="2">D28-F28-H28</f>
        <v>0</v>
      </c>
      <c r="K28" s="139">
        <f t="shared" si="2"/>
        <v>0</v>
      </c>
      <c r="L28" s="147"/>
    </row>
    <row r="29" spans="1:18">
      <c r="C29" s="139" t="s">
        <v>16</v>
      </c>
      <c r="D29" s="139">
        <f>SUMIFS('TA35'!$H:$H,'TA35'!$T:$T,TAXVTA!$C29)</f>
        <v>1339462457401</v>
      </c>
      <c r="E29" s="139">
        <f>SUMIFS('TA35'!$J:$J,'TA35'!$T:$T,TAXVTA!$C29)</f>
        <v>107156996674</v>
      </c>
      <c r="F29" s="199">
        <v>693017465643</v>
      </c>
      <c r="G29" s="199">
        <f>'33895'!M2</f>
        <v>55441397333</v>
      </c>
      <c r="H29" s="139">
        <f>GCS!H38</f>
        <v>646444991758</v>
      </c>
      <c r="I29" s="139">
        <f>GCS!I38</f>
        <v>51715599341</v>
      </c>
      <c r="J29" s="139">
        <f t="shared" si="2"/>
        <v>0</v>
      </c>
      <c r="K29" s="139">
        <f t="shared" si="2"/>
        <v>0</v>
      </c>
      <c r="L29" s="147"/>
    </row>
    <row r="30" spans="1:18">
      <c r="C30" s="139" t="s">
        <v>17</v>
      </c>
      <c r="D30" s="139">
        <f>SUMIFS('TA35'!$H:$H,'TA35'!$T:$T,TAXVTA!$C30)+'TA35'!W5</f>
        <v>701847879</v>
      </c>
      <c r="E30" s="139">
        <f>SUMIFS('TA35'!$J:$J,'TA35'!$T:$T,TAXVTA!$C30)</f>
        <v>56147836</v>
      </c>
      <c r="F30" s="199">
        <v>538950224</v>
      </c>
      <c r="G30" s="199">
        <f>'33895'!M3</f>
        <v>43116020</v>
      </c>
      <c r="H30" s="139">
        <f>GCS!L40</f>
        <v>162897655</v>
      </c>
      <c r="I30" s="139">
        <f>GCS!M38</f>
        <v>13031816</v>
      </c>
      <c r="J30" s="139">
        <f t="shared" si="2"/>
        <v>0</v>
      </c>
      <c r="K30" s="139">
        <f t="shared" si="2"/>
        <v>0</v>
      </c>
      <c r="L30" s="147"/>
    </row>
    <row r="31" spans="1:18">
      <c r="C31" s="119" t="s">
        <v>37</v>
      </c>
      <c r="D31" s="119">
        <f>SUMIFS('TA35'!$H:$H,'TA35'!$T:$T,TAXVTA!$C31)</f>
        <v>206369578</v>
      </c>
      <c r="E31" s="119">
        <f>SUMIFS('TA35'!$J:$J,'TA35'!$T:$T,TAXVTA!$C31)</f>
        <v>16509566</v>
      </c>
      <c r="F31" s="199"/>
      <c r="G31" s="199"/>
      <c r="H31" s="119"/>
      <c r="I31" s="119"/>
      <c r="J31" s="119"/>
      <c r="K31" s="119"/>
      <c r="L31" s="147"/>
    </row>
    <row r="32" spans="1:18">
      <c r="C32" s="119" t="s">
        <v>38</v>
      </c>
      <c r="D32" s="119">
        <f>SUMIFS('TA35'!$H:$H,'TA35'!$T:$T,TAXVTA!$C32)</f>
        <v>0</v>
      </c>
      <c r="E32" s="119">
        <f>SUMIFS('TA35'!$J:$J,'TA35'!$T:$T,TAXVTA!$C32)</f>
        <v>0</v>
      </c>
      <c r="F32" s="199"/>
      <c r="G32" s="199"/>
      <c r="H32" s="119"/>
      <c r="I32" s="119"/>
      <c r="J32" s="119"/>
      <c r="K32" s="119"/>
      <c r="L32" s="147"/>
    </row>
    <row r="33" spans="1:17">
      <c r="C33" s="119" t="s">
        <v>39</v>
      </c>
      <c r="D33" s="119">
        <f>SUMIFS('TA35'!$H:$H,'TA35'!$T:$T,TAXVTA!$C33)</f>
        <v>253573360</v>
      </c>
      <c r="E33" s="119">
        <f>SUMIFS('TA35'!$J:$J,'TA35'!$T:$T,TAXVTA!$C33)</f>
        <v>20285870</v>
      </c>
      <c r="F33" s="199"/>
      <c r="G33" s="199"/>
      <c r="H33" s="119"/>
      <c r="I33" s="119"/>
      <c r="J33" s="119"/>
      <c r="K33" s="119"/>
      <c r="L33" s="147"/>
    </row>
    <row r="34" spans="1:17">
      <c r="C34" s="140" t="s">
        <v>40</v>
      </c>
      <c r="D34" s="119">
        <f t="shared" ref="D34:K34" si="3">SUM(D28:D33)</f>
        <v>1340905770318</v>
      </c>
      <c r="E34" s="119">
        <f t="shared" si="3"/>
        <v>107249939946</v>
      </c>
      <c r="F34" s="199">
        <f t="shared" si="3"/>
        <v>693651614167</v>
      </c>
      <c r="G34" s="199">
        <f t="shared" si="3"/>
        <v>55484513353</v>
      </c>
      <c r="H34" s="119">
        <f t="shared" si="3"/>
        <v>646794213213</v>
      </c>
      <c r="I34" s="119">
        <f t="shared" si="3"/>
        <v>51728631157</v>
      </c>
      <c r="J34" s="119">
        <f t="shared" si="3"/>
        <v>0</v>
      </c>
      <c r="K34" s="119">
        <f t="shared" si="3"/>
        <v>0</v>
      </c>
      <c r="L34" s="147"/>
    </row>
    <row r="35" spans="1:17">
      <c r="L35" s="147"/>
    </row>
    <row r="36" spans="1:17">
      <c r="A36" s="112" t="s">
        <v>41</v>
      </c>
      <c r="E36" s="122">
        <f>SUMIFS('33895'!$K:$K,'33895'!$J:$J,TAXVTA!C$15)</f>
        <v>0</v>
      </c>
      <c r="I36" s="122">
        <f>SUMIFS('33895'!$K:$K,'33895'!$J:$J,TAXVTA!G$15)</f>
        <v>0</v>
      </c>
      <c r="L36" s="147"/>
      <c r="Q36" s="122">
        <f>+E36+I36</f>
        <v>0</v>
      </c>
    </row>
    <row r="37" spans="1:17" s="163" customFormat="1">
      <c r="A37" s="163" t="s">
        <v>28</v>
      </c>
      <c r="B37" s="163" t="s">
        <v>42</v>
      </c>
      <c r="E37" s="163">
        <f>+E18-E36</f>
        <v>57907262194</v>
      </c>
      <c r="I37" s="163">
        <f>+I18-I36</f>
        <v>44168705</v>
      </c>
      <c r="Q37" s="163">
        <f>+Q18-Q36</f>
        <v>57951430899</v>
      </c>
    </row>
    <row r="38" spans="1:17">
      <c r="D38" s="112" t="s">
        <v>4</v>
      </c>
      <c r="E38" s="112" t="s">
        <v>6</v>
      </c>
      <c r="L38" s="147"/>
    </row>
    <row r="39" spans="1:17">
      <c r="A39" s="112" t="s">
        <v>43</v>
      </c>
      <c r="B39" s="112" t="s">
        <v>44</v>
      </c>
      <c r="D39" s="118">
        <f>'333111'!M2</f>
        <v>107178022371</v>
      </c>
      <c r="E39" s="112">
        <f>+'333111'!M7</f>
        <v>107234170207</v>
      </c>
      <c r="L39" s="147"/>
    </row>
    <row r="40" spans="1:17" s="163" customFormat="1">
      <c r="A40" s="163" t="s">
        <v>28</v>
      </c>
      <c r="B40" s="163" t="s">
        <v>45</v>
      </c>
      <c r="D40" s="163">
        <f>E17-D39</f>
        <v>-55462423030</v>
      </c>
      <c r="E40" s="163">
        <f>D40+G29</f>
        <v>-21025697</v>
      </c>
    </row>
    <row r="41" spans="1:17" s="163" customFormat="1">
      <c r="A41" s="163" t="s">
        <v>28</v>
      </c>
      <c r="B41" s="163" t="s">
        <v>46</v>
      </c>
      <c r="D41" s="163">
        <f>E29-G29-D39</f>
        <v>-55462423030</v>
      </c>
    </row>
    <row r="43" spans="1:17" ht="20.399999999999999" customHeight="1">
      <c r="O43" s="203" t="s">
        <v>11</v>
      </c>
      <c r="P43" s="204" t="s">
        <v>47</v>
      </c>
      <c r="Q43" s="205" t="s">
        <v>48</v>
      </c>
    </row>
    <row r="44" spans="1:17">
      <c r="A44" s="119"/>
      <c r="B44" s="179" t="s">
        <v>49</v>
      </c>
      <c r="C44" s="140" t="s">
        <v>20</v>
      </c>
      <c r="D44" s="140" t="s">
        <v>21</v>
      </c>
      <c r="E44" s="140" t="s">
        <v>22</v>
      </c>
      <c r="F44" s="140" t="s">
        <v>23</v>
      </c>
      <c r="G44" s="119"/>
      <c r="H44" s="119"/>
      <c r="I44" s="119"/>
      <c r="J44" s="119"/>
      <c r="K44" s="119"/>
      <c r="L44" s="119"/>
      <c r="M44" s="282" t="s">
        <v>50</v>
      </c>
      <c r="O44" s="119" t="s">
        <v>51</v>
      </c>
      <c r="P44" s="119">
        <f>C46+C48</f>
        <v>1340164305280</v>
      </c>
      <c r="Q44" s="119">
        <f>E46+E48</f>
        <v>107213144510</v>
      </c>
    </row>
    <row r="45" spans="1:17">
      <c r="A45" s="119" t="s">
        <v>52</v>
      </c>
      <c r="B45" s="180" t="s">
        <v>18</v>
      </c>
      <c r="C45" s="119">
        <f>SUMIFS('TA35'!$H:$H,'TA35'!$T:$T,TAXVTA!B45,'TA35'!$I:$I,TAXVTA!D45)</f>
        <v>281522100</v>
      </c>
      <c r="D45" s="181">
        <v>0</v>
      </c>
      <c r="E45" s="119">
        <f>SUMIFS('TA35'!$J:$J,'TA35'!$T:$T,TAXVTA!B45,'TA35'!$I:$I,TAXVTA!D45)</f>
        <v>0</v>
      </c>
      <c r="F45" s="119">
        <f>C45+E45</f>
        <v>281522100</v>
      </c>
      <c r="G45" s="119"/>
      <c r="H45" s="119"/>
      <c r="I45" s="119"/>
      <c r="J45" s="119"/>
      <c r="K45" s="119">
        <v>91678635810</v>
      </c>
      <c r="L45" s="119"/>
      <c r="M45" s="283"/>
      <c r="O45" s="119" t="s">
        <v>53</v>
      </c>
      <c r="P45" s="119">
        <f>C49</f>
        <v>206369578</v>
      </c>
      <c r="Q45" s="119">
        <f>E49</f>
        <v>16509566</v>
      </c>
    </row>
    <row r="46" spans="1:17">
      <c r="A46" s="119" t="s">
        <v>52</v>
      </c>
      <c r="B46" s="119" t="s">
        <v>16</v>
      </c>
      <c r="C46" s="119">
        <f>SUMIFS('TA35'!$H:$H,'TA35'!$T:$T,TAXVTA!B46,'TA35'!$I:$I,TAXVTA!D46)</f>
        <v>1339462457401</v>
      </c>
      <c r="D46" s="119">
        <v>8</v>
      </c>
      <c r="E46" s="119">
        <f>SUMIFS('TA35'!$J:$J,'TA35'!$T:$T,TAXVTA!B46,'TA35'!$I:$I,TAXVTA!D46)</f>
        <v>107156996674</v>
      </c>
      <c r="F46" s="119">
        <f>C46+E46</f>
        <v>1446619454075</v>
      </c>
      <c r="G46" s="119"/>
      <c r="H46" s="119"/>
      <c r="I46" s="119"/>
      <c r="J46" s="119"/>
      <c r="K46" s="119">
        <v>14156022</v>
      </c>
      <c r="L46" s="119"/>
      <c r="M46" s="283"/>
      <c r="O46" s="119" t="s">
        <v>54</v>
      </c>
      <c r="P46" s="119">
        <f>C51</f>
        <v>253573360</v>
      </c>
      <c r="Q46" s="119">
        <f>E51</f>
        <v>20285870</v>
      </c>
    </row>
    <row r="47" spans="1:17">
      <c r="A47" s="119" t="s">
        <v>55</v>
      </c>
      <c r="B47" s="119" t="s">
        <v>56</v>
      </c>
      <c r="C47" s="119">
        <f>SUMIFS('TA35'!$H:$H,'TA35'!$T:$T,TAXVTA!B47,'TA35'!$I:$I,TAXVTA!D47)</f>
        <v>0</v>
      </c>
      <c r="D47" s="181">
        <v>0</v>
      </c>
      <c r="E47" s="119">
        <f>SUMIFS('TA35'!$J:$J,'TA35'!$T:$T,TAXVTA!B47,'TA35'!$I:$I,TAXVTA!D47)</f>
        <v>0</v>
      </c>
      <c r="F47" s="119">
        <f>C47+E47</f>
        <v>0</v>
      </c>
      <c r="G47" s="119"/>
      <c r="H47" s="119"/>
      <c r="I47" s="119"/>
      <c r="J47" s="119"/>
      <c r="K47" s="119">
        <v>7350000</v>
      </c>
      <c r="L47" s="119"/>
      <c r="M47" s="283"/>
      <c r="P47" s="112">
        <f>SUM(P44:P46)</f>
        <v>1340624248218</v>
      </c>
      <c r="Q47" s="112">
        <f>SUM(Q44:Q46)</f>
        <v>107249939946</v>
      </c>
    </row>
    <row r="48" spans="1:17">
      <c r="A48" s="119" t="s">
        <v>55</v>
      </c>
      <c r="B48" s="119" t="s">
        <v>17</v>
      </c>
      <c r="C48" s="119">
        <f>SUMIFS('TA35'!$H:$H,'TA35'!$T:$T,TAXVTA!B48,'TA35'!$I:$I,TAXVTA!D48)</f>
        <v>701847879</v>
      </c>
      <c r="D48" s="119">
        <v>8</v>
      </c>
      <c r="E48" s="119">
        <f>SUMIFS('TA35'!$J:$J,'TA35'!$T:$T,TAXVTA!B48,'TA35'!$I:$I,TAXVTA!D48)</f>
        <v>56147836</v>
      </c>
      <c r="F48" s="119">
        <f>C48+E48</f>
        <v>757995715</v>
      </c>
      <c r="G48" s="119"/>
      <c r="H48" s="119">
        <f>C46+C47</f>
        <v>1339462457401</v>
      </c>
      <c r="I48" s="119">
        <f>E46+E47</f>
        <v>107156996674</v>
      </c>
      <c r="J48" s="119">
        <f>H48*10%</f>
        <v>133946245740.10001</v>
      </c>
      <c r="K48" s="119">
        <v>127322953</v>
      </c>
      <c r="L48" s="119"/>
      <c r="M48" s="283"/>
    </row>
    <row r="49" spans="1:17">
      <c r="A49" s="119" t="s">
        <v>57</v>
      </c>
      <c r="B49" s="119" t="s">
        <v>37</v>
      </c>
      <c r="C49" s="119">
        <f>SUMIFS('TA35'!$H:$H,'TA35'!$T:$T,TAXVTA!B49,'TA35'!$I:$I,TAXVTA!D49)</f>
        <v>206369578</v>
      </c>
      <c r="D49" s="119">
        <v>8</v>
      </c>
      <c r="E49" s="119">
        <f>SUMIFS('TA35'!$J:$J,'TA35'!$T:$T,TAXVTA!B49,'TA35'!$I:$I,TAXVTA!D49)</f>
        <v>16509566</v>
      </c>
      <c r="F49" s="119">
        <f>C49+E49</f>
        <v>222879144</v>
      </c>
      <c r="G49" s="119"/>
      <c r="H49" s="119">
        <f>C46+C47+C48+C49+C52</f>
        <v>1340370674858</v>
      </c>
      <c r="I49" s="119"/>
      <c r="J49" s="119">
        <f>H49*10%</f>
        <v>134037067485.8</v>
      </c>
      <c r="K49" s="119">
        <f>SUM(K45:K48)</f>
        <v>91827464785</v>
      </c>
      <c r="L49" s="119">
        <f>J49-K49</f>
        <v>42209602700.800003</v>
      </c>
      <c r="M49" s="283"/>
    </row>
    <row r="50" spans="1:17">
      <c r="A50" s="119" t="s">
        <v>57</v>
      </c>
      <c r="B50" s="119" t="s">
        <v>58</v>
      </c>
      <c r="C50" s="119">
        <f>SUMIFS('TA35'!$H:$H,'TA35'!$T:$T,TAXVTA!B50,'TA35'!$I:$I,TAXVTA!D50)</f>
        <v>0</v>
      </c>
      <c r="D50" s="119">
        <v>10</v>
      </c>
      <c r="E50" s="119">
        <f>SUMIFS('TA35'!$J:$J,'TA35'!$T:$T,TAXVTA!B50,'TA35'!$I:$I,TAXVTA!D50)</f>
        <v>0</v>
      </c>
      <c r="F50" s="119"/>
      <c r="G50" s="119"/>
      <c r="H50" s="119"/>
      <c r="I50" s="119"/>
      <c r="J50" s="119"/>
      <c r="K50" s="119"/>
      <c r="L50" s="119"/>
      <c r="M50" s="283"/>
    </row>
    <row r="51" spans="1:17" ht="12" customHeight="1">
      <c r="A51" s="119" t="s">
        <v>59</v>
      </c>
      <c r="B51" s="119" t="s">
        <v>39</v>
      </c>
      <c r="C51" s="119">
        <f>SUMIFS('TA35'!$H:$H,'TA35'!$T:$T,TAXVTA!B51,'TA35'!$I:$I,TAXVTA!D51)</f>
        <v>253573360</v>
      </c>
      <c r="D51" s="119">
        <v>8</v>
      </c>
      <c r="E51" s="119">
        <f>SUMIFS('TA35'!$J:$J,'TA35'!$T:$T,TAXVTA!B51,'TA35'!$I:$I,TAXVTA!D51)</f>
        <v>20285870</v>
      </c>
      <c r="F51" s="119">
        <f>C51+E51</f>
        <v>273859230</v>
      </c>
      <c r="G51" s="119"/>
      <c r="H51" s="119"/>
      <c r="I51" s="119"/>
      <c r="J51" s="119"/>
      <c r="K51" s="119"/>
      <c r="L51" s="119"/>
      <c r="M51" s="283"/>
    </row>
    <row r="52" spans="1:17">
      <c r="A52" s="119"/>
      <c r="B52" s="119"/>
      <c r="C52" s="119">
        <f>SUMIFS('TA35'!$H:$H,'TA35'!$T:$T,TAXVTA!$B52,'TA35'!$I:$I,TAXVTA!$D52)</f>
        <v>0</v>
      </c>
      <c r="D52" s="119"/>
      <c r="E52" s="119">
        <f>SUMIFS('TA35'!$J:$J,'TA35'!$T:$T,TAXVTA!B52,'TA35'!$I:$I,TAXVTA!D52)</f>
        <v>0</v>
      </c>
      <c r="F52" s="119">
        <f>C52+E52</f>
        <v>0</v>
      </c>
      <c r="G52" s="119"/>
      <c r="H52" s="119"/>
      <c r="I52" s="119"/>
      <c r="J52" s="119"/>
      <c r="K52" s="119"/>
      <c r="L52" s="119"/>
      <c r="M52" s="283"/>
    </row>
    <row r="53" spans="1:17">
      <c r="A53" s="119"/>
      <c r="B53" s="119"/>
      <c r="C53" s="139">
        <f>SUM(C45:C52)</f>
        <v>1340905770318</v>
      </c>
      <c r="D53" s="119"/>
      <c r="E53" s="139">
        <f>SUM(E45:E52)</f>
        <v>107249939946</v>
      </c>
      <c r="F53" s="139">
        <f>SUM(F45:F52)</f>
        <v>1448155710264</v>
      </c>
      <c r="G53" s="119"/>
      <c r="H53" s="119">
        <f>C53-C45</f>
        <v>1340624248218</v>
      </c>
      <c r="I53" s="119"/>
      <c r="J53" s="119"/>
      <c r="K53" s="119"/>
      <c r="L53" s="119"/>
      <c r="M53" s="283"/>
    </row>
    <row r="54" spans="1:17">
      <c r="A54" s="119"/>
      <c r="B54" s="119"/>
      <c r="C54" s="119">
        <f>'TA35'!H59</f>
        <v>1340874233995</v>
      </c>
      <c r="D54" s="119"/>
      <c r="E54" s="119">
        <f>'TA35'!J51</f>
        <v>-2226899</v>
      </c>
      <c r="F54" s="119">
        <f>'TA35'!J54</f>
        <v>43116020</v>
      </c>
      <c r="G54" s="119"/>
      <c r="H54" s="119"/>
      <c r="I54" s="119"/>
      <c r="J54" s="119"/>
      <c r="K54" s="119"/>
      <c r="L54" s="119"/>
      <c r="M54" s="283"/>
    </row>
    <row r="55" spans="1:17">
      <c r="C55" s="112">
        <f>+C53-C54</f>
        <v>31536323</v>
      </c>
      <c r="E55" s="112">
        <f>+E53-E54</f>
        <v>107252166845</v>
      </c>
      <c r="F55" s="112">
        <f>+F53-F54</f>
        <v>1448112594244</v>
      </c>
      <c r="O55" s="111"/>
      <c r="P55" s="111"/>
      <c r="Q55" s="111"/>
    </row>
    <row r="56" spans="1:17" s="111" customFormat="1">
      <c r="A56" s="111" t="s">
        <v>60</v>
      </c>
      <c r="C56" s="111" t="s">
        <v>61</v>
      </c>
      <c r="O56" s="112"/>
      <c r="P56" s="112"/>
      <c r="Q56" s="112"/>
    </row>
    <row r="57" spans="1:17">
      <c r="O57" s="154"/>
      <c r="P57" s="154"/>
      <c r="Q57" s="154"/>
    </row>
    <row r="58" spans="1:17" s="154" customFormat="1">
      <c r="C58" s="155" t="s">
        <v>62</v>
      </c>
      <c r="D58" s="155" t="s">
        <v>4</v>
      </c>
      <c r="E58" s="155" t="s">
        <v>5</v>
      </c>
      <c r="F58" s="155" t="s">
        <v>6</v>
      </c>
      <c r="G58" s="155" t="s">
        <v>7</v>
      </c>
      <c r="I58" s="155" t="s">
        <v>63</v>
      </c>
      <c r="J58" s="155" t="s">
        <v>4</v>
      </c>
      <c r="K58" s="155" t="s">
        <v>5</v>
      </c>
      <c r="L58" s="155" t="s">
        <v>6</v>
      </c>
      <c r="M58" s="155" t="s">
        <v>7</v>
      </c>
      <c r="N58" s="155"/>
      <c r="O58" s="112"/>
      <c r="P58" s="112"/>
      <c r="Q58" s="112"/>
    </row>
    <row r="59" spans="1:17">
      <c r="B59" s="123"/>
      <c r="D59" s="124"/>
      <c r="E59" s="124"/>
      <c r="F59" s="124"/>
      <c r="G59" s="124"/>
      <c r="J59" s="112">
        <f>SUMIF('TA35'!$I:$I,TAXVTA!K59,'TA35'!$H:$H)</f>
        <v>281522100</v>
      </c>
      <c r="K59" s="112">
        <v>0</v>
      </c>
      <c r="L59" s="112">
        <f>SUMIF('TA35'!$I:$I,TAXVTA!K59,'TA35'!$J:$J)</f>
        <v>0</v>
      </c>
      <c r="M59" s="112">
        <f>J59+L59</f>
        <v>281522100</v>
      </c>
      <c r="N59" s="124"/>
    </row>
    <row r="60" spans="1:17">
      <c r="D60" s="112">
        <f>D9</f>
        <v>31220807</v>
      </c>
      <c r="E60" s="112">
        <v>5</v>
      </c>
      <c r="F60" s="112">
        <f>F9</f>
        <v>1561073</v>
      </c>
      <c r="G60" s="112">
        <f>D60+F60</f>
        <v>32781880</v>
      </c>
      <c r="J60" s="112">
        <f>SUMIF('TA35'!$I:$I,TAXVTA!K60,'TA35'!$H:$H)</f>
        <v>0</v>
      </c>
      <c r="K60" s="112">
        <v>5</v>
      </c>
      <c r="L60" s="112">
        <f>SUMIF('TA35'!$I:$I,TAXVTA!K60,'TA35'!$J:$J)</f>
        <v>0</v>
      </c>
      <c r="M60" s="112">
        <f>J60+L60</f>
        <v>0</v>
      </c>
      <c r="N60" s="124"/>
    </row>
    <row r="61" spans="1:17">
      <c r="D61" s="112">
        <f>D10</f>
        <v>1295735697624</v>
      </c>
      <c r="E61" s="112">
        <v>8</v>
      </c>
      <c r="F61" s="112">
        <f>F10</f>
        <v>103658856096</v>
      </c>
      <c r="G61" s="112">
        <f>D61+F61</f>
        <v>1399394553720</v>
      </c>
      <c r="J61" s="112">
        <f>SUMIF('TA35'!$I:$I,TAXVTA!K61,'TA35'!$H:$H)</f>
        <v>1340592109168</v>
      </c>
      <c r="K61" s="112">
        <v>8</v>
      </c>
      <c r="L61" s="112">
        <f>SUMIF('TA35'!$I:$I,TAXVTA!K61,'TA35'!$J:$J)</f>
        <v>107247368822</v>
      </c>
      <c r="M61" s="112">
        <f>J61+L61</f>
        <v>1447839477990</v>
      </c>
      <c r="N61" s="124"/>
    </row>
    <row r="62" spans="1:17">
      <c r="D62" s="112">
        <f>D11</f>
        <v>128906732</v>
      </c>
      <c r="E62" s="112">
        <v>10</v>
      </c>
      <c r="F62" s="112">
        <f>F11</f>
        <v>12890660</v>
      </c>
      <c r="G62" s="112">
        <f>D62+F62</f>
        <v>141797392</v>
      </c>
      <c r="J62" s="112">
        <f>SUMIF('TA35'!$I:$I,TAXVTA!K62,'TA35'!$H:$H)</f>
        <v>602727</v>
      </c>
      <c r="K62" s="112">
        <v>10</v>
      </c>
      <c r="L62" s="112">
        <f>SUMIF('TA35'!$I:$I,TAXVTA!K62,'TA35'!$J:$J)</f>
        <v>60273</v>
      </c>
      <c r="M62" s="112">
        <f>J62+L62</f>
        <v>663000</v>
      </c>
      <c r="N62" s="124"/>
      <c r="Q62" s="126"/>
    </row>
    <row r="63" spans="1:17">
      <c r="A63" s="125"/>
      <c r="D63" s="114">
        <f>SUM(D60:D62)</f>
        <v>1295895825163</v>
      </c>
      <c r="E63" s="114"/>
      <c r="F63" s="114">
        <f>SUM(F60:F62)</f>
        <v>103673307829</v>
      </c>
      <c r="G63" s="114">
        <f>SUM(G60:G62)</f>
        <v>1399569132992</v>
      </c>
      <c r="J63" s="114">
        <f>SUM(J59:J62)</f>
        <v>1340874233995</v>
      </c>
      <c r="K63" s="114"/>
      <c r="L63" s="114">
        <f>SUM(L59:L62)</f>
        <v>107247429095</v>
      </c>
      <c r="M63" s="114">
        <f>SUM(M59:M62)</f>
        <v>1448121663090</v>
      </c>
      <c r="N63" s="124"/>
    </row>
    <row r="64" spans="1:17">
      <c r="D64" s="112">
        <v>1291317159290</v>
      </c>
      <c r="F64" s="112">
        <v>103209196176</v>
      </c>
      <c r="G64" s="112">
        <f>D64+F64</f>
        <v>1394526355466</v>
      </c>
      <c r="J64" s="112">
        <f>'TA35'!H54</f>
        <v>538950224</v>
      </c>
      <c r="K64" s="124"/>
      <c r="L64" s="112">
        <f>'TA35'!J54</f>
        <v>43116020</v>
      </c>
      <c r="M64" s="124"/>
      <c r="N64" s="124"/>
    </row>
    <row r="65" spans="1:17">
      <c r="D65" s="112">
        <f>D63-D64</f>
        <v>4578665873</v>
      </c>
      <c r="F65" s="112">
        <f>F63-F64</f>
        <v>464111653</v>
      </c>
      <c r="J65" s="112">
        <f>J63-J64</f>
        <v>1340335283771</v>
      </c>
      <c r="K65" s="124"/>
      <c r="L65" s="112">
        <f>L63-L64</f>
        <v>107204313075</v>
      </c>
      <c r="M65" s="124"/>
      <c r="N65" s="124"/>
    </row>
    <row r="66" spans="1:17">
      <c r="A66" s="112" t="s">
        <v>64</v>
      </c>
      <c r="B66" s="112" t="s">
        <v>65</v>
      </c>
      <c r="E66" s="114">
        <f>'13311'!I1</f>
        <v>0</v>
      </c>
      <c r="G66" s="112">
        <f>+(E66+F68)-(F69-E67)-G67</f>
        <v>-3574121266</v>
      </c>
      <c r="H66" s="112" t="s">
        <v>66</v>
      </c>
      <c r="K66" s="124"/>
      <c r="L66" s="124"/>
      <c r="M66" s="124"/>
      <c r="N66" s="124"/>
    </row>
    <row r="67" spans="1:17">
      <c r="B67" s="112" t="s">
        <v>67</v>
      </c>
      <c r="E67" s="147">
        <f>'333111'!J1</f>
        <v>0</v>
      </c>
      <c r="G67" s="112">
        <f>+E67</f>
        <v>0</v>
      </c>
      <c r="H67" s="112" t="s">
        <v>68</v>
      </c>
      <c r="K67" s="124"/>
      <c r="L67" s="124"/>
      <c r="M67" s="124"/>
      <c r="N67" s="124"/>
    </row>
    <row r="68" spans="1:17">
      <c r="B68" s="112" t="s">
        <v>69</v>
      </c>
      <c r="D68" s="112">
        <f>D63</f>
        <v>1295895825163</v>
      </c>
      <c r="F68" s="112">
        <f>F63</f>
        <v>103673307829</v>
      </c>
      <c r="K68" s="124"/>
      <c r="L68" s="124"/>
      <c r="M68" s="124"/>
      <c r="N68" s="124"/>
    </row>
    <row r="69" spans="1:17">
      <c r="B69" s="112" t="s">
        <v>70</v>
      </c>
      <c r="D69" s="112">
        <f>J63</f>
        <v>1340874233995</v>
      </c>
      <c r="F69" s="112">
        <f>L63</f>
        <v>107247429095</v>
      </c>
      <c r="K69" s="124"/>
      <c r="L69" s="124"/>
      <c r="M69" s="124"/>
      <c r="N69" s="124"/>
    </row>
    <row r="70" spans="1:17" ht="15.5" customHeight="1">
      <c r="D70" s="112">
        <f>SUM(D68:D69)</f>
        <v>2636770059158</v>
      </c>
      <c r="F70" s="115">
        <f>F69-F68-E67</f>
        <v>3574121266</v>
      </c>
      <c r="G70" s="112">
        <f>SUM(G66:G67)</f>
        <v>-3574121266</v>
      </c>
      <c r="H70" s="145" t="str">
        <f>IF(F70&lt;0,"còn được khấu trừ tháng sau, 333111=0, dư nợ 13311", "nộp thuế tháng này")</f>
        <v>nộp thuế tháng này</v>
      </c>
      <c r="K70" s="124"/>
      <c r="L70" s="124"/>
      <c r="M70" s="124"/>
      <c r="N70" s="124"/>
    </row>
    <row r="71" spans="1:17">
      <c r="K71" s="124"/>
      <c r="L71" s="124"/>
      <c r="M71" s="124"/>
      <c r="N71" s="124"/>
      <c r="O71" s="115"/>
      <c r="P71" s="115"/>
      <c r="Q71" s="115"/>
    </row>
    <row r="72" spans="1:17" s="115" customFormat="1">
      <c r="O72" s="200"/>
      <c r="P72" s="112"/>
      <c r="Q72" s="112"/>
    </row>
    <row r="73" spans="1:17" ht="15.5">
      <c r="E73" s="280" t="s">
        <v>71</v>
      </c>
      <c r="F73" s="281"/>
      <c r="K73" s="200" t="s">
        <v>72</v>
      </c>
      <c r="L73" s="200"/>
      <c r="M73" s="200"/>
      <c r="N73" s="200"/>
    </row>
    <row r="74" spans="1:17">
      <c r="D74" s="112" t="s">
        <v>73</v>
      </c>
      <c r="E74" s="148">
        <f>+'333111'!J1-E75</f>
        <v>-1500000000</v>
      </c>
      <c r="F74" s="112" t="s">
        <v>74</v>
      </c>
      <c r="J74" s="112" t="s">
        <v>75</v>
      </c>
      <c r="K74" s="150">
        <f>'13311'!I1</f>
        <v>0</v>
      </c>
      <c r="M74" s="127" t="s">
        <v>76</v>
      </c>
      <c r="N74" s="127"/>
    </row>
    <row r="75" spans="1:17">
      <c r="D75" s="112" t="s">
        <v>77</v>
      </c>
      <c r="E75" s="149">
        <v>1500000000</v>
      </c>
      <c r="F75" s="127" t="s">
        <v>78</v>
      </c>
      <c r="J75" s="116"/>
      <c r="K75" s="116"/>
      <c r="L75" s="151"/>
      <c r="M75" s="112" t="s">
        <v>79</v>
      </c>
      <c r="N75" s="127"/>
    </row>
    <row r="76" spans="1:17">
      <c r="D76" s="116"/>
      <c r="E76" s="129"/>
      <c r="K76" s="130"/>
      <c r="L76" s="127"/>
      <c r="M76" s="127"/>
      <c r="N76" s="127"/>
    </row>
    <row r="77" spans="1:17">
      <c r="E77" s="131"/>
      <c r="K77" s="131"/>
      <c r="L77" s="127"/>
      <c r="M77" s="127"/>
      <c r="N77" s="127"/>
    </row>
    <row r="78" spans="1:17">
      <c r="D78" s="112" t="s">
        <v>80</v>
      </c>
      <c r="E78" s="132"/>
      <c r="F78" s="114">
        <f>'333111'!F29</f>
        <v>107247429095</v>
      </c>
      <c r="J78" s="112" t="s">
        <v>80</v>
      </c>
      <c r="K78" s="128">
        <f>'13311'!E1090</f>
        <v>102967148689</v>
      </c>
      <c r="L78" s="127"/>
      <c r="M78" s="127"/>
      <c r="N78" s="127"/>
      <c r="O78" s="112" t="s">
        <v>81</v>
      </c>
    </row>
    <row r="79" spans="1:17">
      <c r="D79" s="116" t="s">
        <v>82</v>
      </c>
      <c r="E79" s="131">
        <f>+L79</f>
        <v>106541269955</v>
      </c>
      <c r="J79" s="116" t="s">
        <v>83</v>
      </c>
      <c r="K79" s="131"/>
      <c r="L79" s="112">
        <f>'13311'!F1090</f>
        <v>106541269955</v>
      </c>
      <c r="M79" s="127"/>
      <c r="N79" s="127"/>
    </row>
    <row r="80" spans="1:17">
      <c r="D80" s="116" t="s">
        <v>84</v>
      </c>
      <c r="E80" s="131">
        <f>'333111'!E24+'333111'!E25</f>
        <v>706159140</v>
      </c>
      <c r="K80" s="131"/>
      <c r="L80" s="127"/>
      <c r="M80" s="127"/>
      <c r="N80" s="127"/>
    </row>
    <row r="81" spans="1:17">
      <c r="D81" s="116"/>
      <c r="E81" s="131"/>
      <c r="K81" s="131"/>
      <c r="M81" s="127"/>
      <c r="N81" s="127"/>
    </row>
    <row r="82" spans="1:17">
      <c r="E82" s="131"/>
      <c r="K82" s="130"/>
      <c r="M82" s="127"/>
      <c r="N82" s="127"/>
    </row>
    <row r="83" spans="1:17">
      <c r="E83" s="133">
        <f>+E79+E80</f>
        <v>107247429095</v>
      </c>
      <c r="F83" s="134">
        <f>+F78</f>
        <v>107247429095</v>
      </c>
      <c r="K83" s="133">
        <f>+K78</f>
        <v>102967148689</v>
      </c>
      <c r="L83" s="134">
        <f>+L79</f>
        <v>106541269955</v>
      </c>
      <c r="M83" s="127"/>
      <c r="N83" s="127"/>
    </row>
    <row r="84" spans="1:17">
      <c r="A84" s="112">
        <v>91242750075</v>
      </c>
      <c r="D84" s="112" t="s">
        <v>73</v>
      </c>
      <c r="E84" s="136">
        <f>+E74+E83-F83</f>
        <v>-1500000000</v>
      </c>
      <c r="G84" s="112" t="s">
        <v>85</v>
      </c>
      <c r="K84" s="135">
        <f>K74+K83-L75-L83</f>
        <v>-3574121266</v>
      </c>
      <c r="M84" s="112" t="s">
        <v>86</v>
      </c>
      <c r="N84" s="127"/>
    </row>
    <row r="85" spans="1:17">
      <c r="D85" s="112" t="s">
        <v>77</v>
      </c>
      <c r="E85" s="151">
        <f>+E75</f>
        <v>1500000000</v>
      </c>
      <c r="G85" s="112" t="s">
        <v>86</v>
      </c>
      <c r="J85" s="112" t="s">
        <v>77</v>
      </c>
      <c r="K85" s="112">
        <v>60549888887</v>
      </c>
      <c r="N85" s="127"/>
    </row>
    <row r="86" spans="1:17">
      <c r="D86" s="115" t="s">
        <v>19</v>
      </c>
      <c r="E86" s="135">
        <f>+E84+E85</f>
        <v>0</v>
      </c>
      <c r="F86" s="115"/>
      <c r="G86" s="115" t="s">
        <v>87</v>
      </c>
      <c r="J86" s="112" t="s">
        <v>88</v>
      </c>
      <c r="K86" s="207">
        <f>K84-K85</f>
        <v>-64124010153</v>
      </c>
      <c r="L86" s="112">
        <v>17787372540</v>
      </c>
      <c r="M86" s="112">
        <f>K86-L86</f>
        <v>-81911382693</v>
      </c>
      <c r="N86" s="127"/>
    </row>
    <row r="87" spans="1:17">
      <c r="E87" s="112" t="s">
        <v>89</v>
      </c>
      <c r="N87" s="127"/>
    </row>
    <row r="89" spans="1:17">
      <c r="E89" s="112">
        <f>'333111'!J3</f>
        <v>0</v>
      </c>
      <c r="K89" s="112">
        <f>'13311'!I4</f>
        <v>0</v>
      </c>
      <c r="O89" s="163"/>
      <c r="P89" s="163"/>
      <c r="Q89" s="163"/>
    </row>
    <row r="90" spans="1:17" s="163" customFormat="1">
      <c r="D90" s="163" t="s">
        <v>28</v>
      </c>
      <c r="E90" s="163">
        <f>E86-E89</f>
        <v>0</v>
      </c>
      <c r="J90" s="163" t="s">
        <v>28</v>
      </c>
      <c r="K90" s="163">
        <f>K84-K89</f>
        <v>-3574121266</v>
      </c>
      <c r="O90" s="112"/>
      <c r="P90" s="112"/>
      <c r="Q90" s="112"/>
    </row>
    <row r="93" spans="1:17">
      <c r="C93" s="112" t="s">
        <v>90</v>
      </c>
      <c r="E93" s="112">
        <v>-1477840</v>
      </c>
    </row>
    <row r="94" spans="1:17">
      <c r="C94" s="112" t="s">
        <v>91</v>
      </c>
      <c r="E94" s="112">
        <v>-2920764</v>
      </c>
    </row>
    <row r="95" spans="1:17">
      <c r="E95" s="112">
        <f>SUM(E93:E94)</f>
        <v>-4398604</v>
      </c>
    </row>
    <row r="96" spans="1:17">
      <c r="E96" s="112">
        <f>E84+E95</f>
        <v>-1504398604</v>
      </c>
    </row>
    <row r="97" spans="11:11">
      <c r="K97" s="112">
        <v>17787372540</v>
      </c>
    </row>
    <row r="98" spans="11:11">
      <c r="K98" s="112">
        <f>K97-K86</f>
        <v>81911382693</v>
      </c>
    </row>
    <row r="99" spans="11:11">
      <c r="K99" s="112">
        <v>6687911564</v>
      </c>
    </row>
    <row r="100" spans="11:11">
      <c r="K100" s="112">
        <f>K98-K99</f>
        <v>75223471129</v>
      </c>
    </row>
    <row r="103" spans="11:11">
      <c r="K103" s="112">
        <f>K101-K102</f>
        <v>0</v>
      </c>
    </row>
    <row r="117" spans="8:8">
      <c r="H117" s="112" t="s">
        <v>92</v>
      </c>
    </row>
    <row r="123" spans="8:8">
      <c r="H123" s="112" t="s">
        <v>93</v>
      </c>
    </row>
    <row r="136" spans="8:11">
      <c r="H136" s="112" t="s">
        <v>94</v>
      </c>
    </row>
    <row r="143" spans="8:11">
      <c r="K143" s="112">
        <f>-I117</f>
        <v>0</v>
      </c>
    </row>
    <row r="144" spans="8:11">
      <c r="K144" s="112">
        <f>-I123</f>
        <v>0</v>
      </c>
    </row>
    <row r="145" spans="2:14">
      <c r="K145" s="112">
        <f>+I136</f>
        <v>0</v>
      </c>
    </row>
    <row r="146" spans="2:14">
      <c r="K146" s="114">
        <f>SUM(K143:K145)</f>
        <v>0</v>
      </c>
      <c r="L146" s="114"/>
      <c r="M146" s="114"/>
      <c r="N146" s="114"/>
    </row>
    <row r="147" spans="2:14">
      <c r="K147" s="112">
        <f>K146-E81</f>
        <v>0</v>
      </c>
    </row>
    <row r="150" spans="2:14">
      <c r="H150" s="112" t="s">
        <v>95</v>
      </c>
      <c r="I150" s="115">
        <f>K146</f>
        <v>0</v>
      </c>
    </row>
    <row r="151" spans="2:14">
      <c r="B151" s="127" t="s">
        <v>96</v>
      </c>
    </row>
    <row r="152" spans="2:14">
      <c r="B152" s="127" t="s">
        <v>97</v>
      </c>
    </row>
    <row r="153" spans="2:14">
      <c r="H153" s="116" t="s">
        <v>98</v>
      </c>
      <c r="I153" s="112">
        <f>I150</f>
        <v>0</v>
      </c>
    </row>
    <row r="154" spans="2:14">
      <c r="H154" s="116" t="s">
        <v>99</v>
      </c>
      <c r="I154" s="112">
        <f>E75</f>
        <v>1500000000</v>
      </c>
    </row>
    <row r="155" spans="2:14">
      <c r="I155" s="137">
        <f>+I153-I154</f>
        <v>-1500000000</v>
      </c>
      <c r="J155" s="112" t="s">
        <v>100</v>
      </c>
    </row>
  </sheetData>
  <autoFilter ref="J73:K74" xr:uid="{00000000-0009-0000-0000-000000000000}"/>
  <mergeCells count="2">
    <mergeCell ref="E73:F73"/>
    <mergeCell ref="M44:M54"/>
  </mergeCells>
  <pageMargins left="0.7" right="0.7" top="0.75" bottom="0.75" header="0.3" footer="0.3"/>
  <pageSetup orientation="portrait" horizontalDpi="300" verticalDpi="300"/>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T64"/>
  <sheetViews>
    <sheetView zoomScale="80" zoomScaleNormal="80" workbookViewId="0">
      <selection activeCell="D54" sqref="D54"/>
    </sheetView>
  </sheetViews>
  <sheetFormatPr defaultColWidth="9" defaultRowHeight="15.5"/>
  <cols>
    <col min="1" max="1" width="6.4140625" style="5" customWidth="1"/>
    <col min="2" max="2" width="11.9140625" style="5" customWidth="1"/>
    <col min="3" max="3" width="5.9140625" style="5" customWidth="1"/>
    <col min="4" max="4" width="20.58203125" style="5" customWidth="1"/>
    <col min="5" max="5" width="22.08203125" style="25" customWidth="1"/>
    <col min="6" max="6" width="21.1640625" style="7" customWidth="1"/>
    <col min="7" max="7" width="15.9140625" style="7" bestFit="1" customWidth="1"/>
    <col min="8" max="8" width="18.58203125" style="1" customWidth="1"/>
    <col min="9" max="9" width="17.6640625" style="7" customWidth="1"/>
    <col min="10" max="10" width="17.5" style="7" bestFit="1" customWidth="1"/>
    <col min="11" max="11" width="19.08203125" style="7" customWidth="1"/>
    <col min="12" max="12" width="14.58203125" style="7" customWidth="1"/>
    <col min="13" max="13" width="15.9140625" style="7" bestFit="1" customWidth="1"/>
    <col min="14" max="14" width="17.5" style="7" bestFit="1" customWidth="1"/>
    <col min="15" max="15" width="18.08203125" style="12" customWidth="1"/>
    <col min="16" max="16" width="15.9140625" style="12" bestFit="1" customWidth="1"/>
    <col min="17" max="19" width="9" style="5" customWidth="1"/>
    <col min="20" max="20" width="11.4140625" style="5" customWidth="1"/>
    <col min="21" max="23" width="9" style="5" customWidth="1"/>
    <col min="24" max="24" width="17.6640625" style="5" customWidth="1"/>
    <col min="25" max="25" width="9" style="5" customWidth="1"/>
    <col min="26" max="16384" width="9" style="5"/>
  </cols>
  <sheetData>
    <row r="1" spans="1:17" s="20" customFormat="1" ht="12.75" customHeight="1">
      <c r="A1" s="218"/>
      <c r="B1" s="219"/>
      <c r="C1" s="220"/>
      <c r="D1" s="220"/>
      <c r="E1" s="221"/>
      <c r="F1" s="220"/>
      <c r="G1" s="220"/>
      <c r="H1" s="220"/>
      <c r="I1" s="220"/>
      <c r="J1" s="220"/>
      <c r="K1" s="220"/>
      <c r="L1" s="220"/>
      <c r="M1" s="220"/>
      <c r="N1" s="219"/>
      <c r="O1" s="222"/>
    </row>
    <row r="2" spans="1:17" s="20" customFormat="1" ht="14" customHeight="1">
      <c r="A2" s="294" t="s">
        <v>101</v>
      </c>
      <c r="B2" s="293"/>
      <c r="C2" s="293"/>
      <c r="D2" s="293"/>
      <c r="E2" s="293"/>
      <c r="F2" s="293"/>
      <c r="G2" s="223"/>
      <c r="H2" s="223"/>
      <c r="I2" s="223"/>
      <c r="J2" s="220"/>
      <c r="K2" s="220"/>
      <c r="L2" s="220"/>
      <c r="M2" s="220"/>
      <c r="N2" s="219"/>
      <c r="O2" s="222"/>
    </row>
    <row r="3" spans="1:17" s="20" customFormat="1" ht="14" customHeight="1">
      <c r="A3" s="292" t="s">
        <v>102</v>
      </c>
      <c r="B3" s="293"/>
      <c r="C3" s="293"/>
      <c r="D3" s="293"/>
      <c r="E3" s="293"/>
      <c r="F3" s="293"/>
      <c r="G3" s="223"/>
      <c r="H3" s="223"/>
      <c r="I3" s="223"/>
      <c r="J3" s="220"/>
      <c r="K3" s="220"/>
      <c r="L3" s="220"/>
      <c r="M3" s="220"/>
      <c r="N3" s="219"/>
      <c r="O3" s="222"/>
    </row>
    <row r="4" spans="1:17" s="20" customFormat="1" ht="12.75" customHeight="1">
      <c r="A4" s="218"/>
      <c r="B4" s="219"/>
      <c r="C4" s="220"/>
      <c r="D4" s="220"/>
      <c r="E4" s="221"/>
      <c r="F4" s="220"/>
      <c r="G4" s="220"/>
      <c r="H4" s="220"/>
      <c r="I4" s="220"/>
      <c r="J4" s="220"/>
      <c r="K4" s="220"/>
      <c r="L4" s="220"/>
      <c r="M4" s="220"/>
      <c r="N4" s="219"/>
      <c r="O4" s="222"/>
    </row>
    <row r="5" spans="1:17" s="20" customFormat="1" ht="19" customHeight="1">
      <c r="A5" s="295" t="s">
        <v>103</v>
      </c>
      <c r="B5" s="293"/>
      <c r="C5" s="293"/>
      <c r="D5" s="293"/>
      <c r="E5" s="293"/>
      <c r="F5" s="293"/>
      <c r="G5" s="293"/>
      <c r="H5" s="293"/>
      <c r="I5" s="293"/>
      <c r="J5" s="293"/>
      <c r="K5" s="293"/>
      <c r="L5" s="293"/>
      <c r="M5" s="293"/>
      <c r="N5" s="293"/>
      <c r="O5" s="293"/>
      <c r="P5" s="22"/>
      <c r="Q5" s="22"/>
    </row>
    <row r="6" spans="1:17" s="20" customFormat="1" ht="19" customHeight="1">
      <c r="A6" s="299" t="s">
        <v>104</v>
      </c>
      <c r="B6" s="293"/>
      <c r="C6" s="293"/>
      <c r="D6" s="293"/>
      <c r="E6" s="293"/>
      <c r="F6" s="293"/>
      <c r="G6" s="293"/>
      <c r="H6" s="293"/>
      <c r="I6" s="293"/>
      <c r="J6" s="293"/>
      <c r="K6" s="293"/>
      <c r="L6" s="293"/>
      <c r="M6" s="293"/>
      <c r="N6" s="293"/>
      <c r="O6" s="293"/>
    </row>
    <row r="7" spans="1:17" s="20" customFormat="1" ht="14" customHeight="1">
      <c r="A7" s="218"/>
      <c r="B7" s="218"/>
      <c r="C7" s="224"/>
      <c r="D7" s="224"/>
      <c r="E7" s="221"/>
      <c r="F7" s="224"/>
      <c r="G7" s="224"/>
      <c r="H7" s="224"/>
      <c r="I7" s="224"/>
      <c r="J7" s="224"/>
      <c r="K7" s="224"/>
      <c r="L7" s="224"/>
      <c r="M7" s="224"/>
      <c r="N7" s="218"/>
      <c r="O7" s="225"/>
      <c r="P7" s="27"/>
      <c r="Q7" s="27"/>
    </row>
    <row r="8" spans="1:17" s="20" customFormat="1" ht="14" customHeight="1">
      <c r="A8" s="291" t="s">
        <v>105</v>
      </c>
      <c r="B8" s="291" t="s">
        <v>106</v>
      </c>
      <c r="C8" s="289" t="s">
        <v>107</v>
      </c>
      <c r="D8" s="289" t="s">
        <v>108</v>
      </c>
      <c r="E8" s="286" t="s">
        <v>109</v>
      </c>
      <c r="F8" s="289" t="s">
        <v>110</v>
      </c>
      <c r="G8" s="290"/>
      <c r="H8" s="285"/>
      <c r="I8" s="289" t="s">
        <v>111</v>
      </c>
      <c r="J8" s="289" t="s">
        <v>112</v>
      </c>
      <c r="K8" s="289" t="s">
        <v>113</v>
      </c>
      <c r="L8" s="289" t="s">
        <v>114</v>
      </c>
      <c r="M8" s="289" t="s">
        <v>115</v>
      </c>
      <c r="N8" s="291" t="s">
        <v>116</v>
      </c>
      <c r="O8" s="298" t="s">
        <v>117</v>
      </c>
      <c r="P8" s="27"/>
      <c r="Q8" s="27"/>
    </row>
    <row r="9" spans="1:17" s="20" customFormat="1" ht="14" customHeight="1">
      <c r="A9" s="287"/>
      <c r="B9" s="287"/>
      <c r="C9" s="287"/>
      <c r="D9" s="287"/>
      <c r="E9" s="287"/>
      <c r="F9" s="226" t="s">
        <v>118</v>
      </c>
      <c r="G9" s="226" t="s">
        <v>119</v>
      </c>
      <c r="H9" s="226" t="s">
        <v>120</v>
      </c>
      <c r="I9" s="287"/>
      <c r="J9" s="287"/>
      <c r="K9" s="287"/>
      <c r="L9" s="287"/>
      <c r="M9" s="287"/>
      <c r="N9" s="287"/>
      <c r="O9" s="287"/>
      <c r="P9" s="27"/>
      <c r="Q9" s="27"/>
    </row>
    <row r="10" spans="1:17" s="20" customFormat="1">
      <c r="A10" s="297" t="s">
        <v>121</v>
      </c>
      <c r="B10" s="290"/>
      <c r="C10" s="285"/>
      <c r="D10" s="227"/>
      <c r="E10" s="228"/>
      <c r="F10" s="227"/>
      <c r="G10" s="227"/>
      <c r="H10" s="227"/>
      <c r="I10" s="227"/>
      <c r="J10" s="227"/>
      <c r="K10" s="227"/>
      <c r="L10" s="227"/>
      <c r="M10" s="227"/>
      <c r="N10" s="229"/>
      <c r="O10" s="230"/>
      <c r="P10" s="7"/>
    </row>
    <row r="11" spans="1:17" s="20" customFormat="1">
      <c r="A11" s="231">
        <v>1</v>
      </c>
      <c r="B11" s="232" t="s">
        <v>122</v>
      </c>
      <c r="C11" s="227">
        <v>27</v>
      </c>
      <c r="D11" s="227">
        <v>35</v>
      </c>
      <c r="E11" s="233">
        <v>46234</v>
      </c>
      <c r="F11" s="227">
        <v>-26210</v>
      </c>
      <c r="G11" s="227">
        <v>-69044</v>
      </c>
      <c r="H11" s="227">
        <v>-95254</v>
      </c>
      <c r="I11" s="227">
        <v>-234984967</v>
      </c>
      <c r="J11" s="227">
        <v>-18798798</v>
      </c>
      <c r="K11" s="227">
        <v>-253783765</v>
      </c>
      <c r="L11" s="227">
        <v>0</v>
      </c>
      <c r="M11" s="227">
        <v>0</v>
      </c>
      <c r="N11" s="234">
        <v>0</v>
      </c>
      <c r="O11" s="227">
        <v>-253783765</v>
      </c>
      <c r="P11" s="7" t="s">
        <v>25</v>
      </c>
    </row>
    <row r="12" spans="1:17" s="20" customFormat="1">
      <c r="A12" s="296" t="s">
        <v>123</v>
      </c>
      <c r="B12" s="290"/>
      <c r="C12" s="235">
        <v>27</v>
      </c>
      <c r="D12" s="235">
        <v>35</v>
      </c>
      <c r="E12" s="235"/>
      <c r="F12" s="235">
        <v>-26210</v>
      </c>
      <c r="G12" s="235">
        <v>-69044</v>
      </c>
      <c r="H12" s="235">
        <v>-95254</v>
      </c>
      <c r="I12" s="235">
        <v>-234984967</v>
      </c>
      <c r="J12" s="235">
        <v>-18798798</v>
      </c>
      <c r="K12" s="235">
        <v>-253783765</v>
      </c>
      <c r="L12" s="235">
        <v>0</v>
      </c>
      <c r="M12" s="235">
        <v>0</v>
      </c>
      <c r="N12" s="235">
        <v>0</v>
      </c>
      <c r="O12" s="235">
        <v>-253783765</v>
      </c>
      <c r="P12" s="7"/>
    </row>
    <row r="13" spans="1:17" s="21" customFormat="1">
      <c r="A13" s="297" t="s">
        <v>124</v>
      </c>
      <c r="B13" s="290"/>
      <c r="C13" s="285"/>
      <c r="D13" s="227"/>
      <c r="E13" s="236"/>
      <c r="F13" s="227"/>
      <c r="G13" s="227"/>
      <c r="H13" s="227"/>
      <c r="I13" s="227"/>
      <c r="J13" s="227"/>
      <c r="K13" s="227"/>
      <c r="L13" s="227"/>
      <c r="M13" s="227"/>
      <c r="N13" s="227"/>
      <c r="O13" s="227"/>
      <c r="P13" s="7"/>
    </row>
    <row r="14" spans="1:17" s="21" customFormat="1">
      <c r="A14" s="237">
        <v>2</v>
      </c>
      <c r="B14" s="232" t="s">
        <v>122</v>
      </c>
      <c r="C14" s="227">
        <v>27</v>
      </c>
      <c r="D14" s="227">
        <v>35</v>
      </c>
      <c r="E14" s="233">
        <v>46234</v>
      </c>
      <c r="F14" s="227">
        <v>15287</v>
      </c>
      <c r="G14" s="227">
        <v>44914</v>
      </c>
      <c r="H14" s="227">
        <v>60201</v>
      </c>
      <c r="I14" s="227">
        <v>136913985</v>
      </c>
      <c r="J14" s="227">
        <v>10953121</v>
      </c>
      <c r="K14" s="227">
        <v>147867106</v>
      </c>
      <c r="L14" s="227">
        <v>0</v>
      </c>
      <c r="M14" s="227">
        <v>0</v>
      </c>
      <c r="N14" s="234">
        <v>0</v>
      </c>
      <c r="O14" s="227">
        <v>147867106</v>
      </c>
      <c r="P14" s="7" t="s">
        <v>25</v>
      </c>
    </row>
    <row r="15" spans="1:17" s="21" customFormat="1">
      <c r="A15" s="288" t="s">
        <v>125</v>
      </c>
      <c r="B15" s="285"/>
      <c r="C15" s="238">
        <v>27</v>
      </c>
      <c r="D15" s="238">
        <v>35</v>
      </c>
      <c r="E15" s="238"/>
      <c r="F15" s="238">
        <v>15287</v>
      </c>
      <c r="G15" s="238">
        <v>44914</v>
      </c>
      <c r="H15" s="238">
        <v>60201</v>
      </c>
      <c r="I15" s="238">
        <v>136913985</v>
      </c>
      <c r="J15" s="238">
        <v>10953121</v>
      </c>
      <c r="K15" s="238">
        <v>147867106</v>
      </c>
      <c r="L15" s="238">
        <v>0</v>
      </c>
      <c r="M15" s="238">
        <v>0</v>
      </c>
      <c r="N15" s="238">
        <v>0</v>
      </c>
      <c r="O15" s="238">
        <v>147867106</v>
      </c>
      <c r="P15" s="7"/>
    </row>
    <row r="16" spans="1:17" s="21" customFormat="1">
      <c r="A16" s="297" t="s">
        <v>126</v>
      </c>
      <c r="B16" s="290"/>
      <c r="C16" s="285"/>
      <c r="D16" s="227"/>
      <c r="E16" s="236"/>
      <c r="F16" s="227"/>
      <c r="G16" s="227"/>
      <c r="H16" s="227"/>
      <c r="I16" s="227"/>
      <c r="J16" s="227"/>
      <c r="K16" s="227"/>
      <c r="L16" s="227"/>
      <c r="M16" s="227"/>
      <c r="N16" s="227"/>
      <c r="O16" s="227"/>
      <c r="P16" s="7"/>
    </row>
    <row r="17" spans="1:20" s="21" customFormat="1">
      <c r="A17" s="237">
        <v>3</v>
      </c>
      <c r="B17" s="232" t="s">
        <v>127</v>
      </c>
      <c r="C17" s="227">
        <v>20</v>
      </c>
      <c r="D17" s="227">
        <v>441</v>
      </c>
      <c r="E17" s="233">
        <v>46214</v>
      </c>
      <c r="F17" s="227">
        <v>1441</v>
      </c>
      <c r="G17" s="227">
        <v>165274736</v>
      </c>
      <c r="H17" s="227">
        <v>165276177</v>
      </c>
      <c r="I17" s="227">
        <v>317594230904</v>
      </c>
      <c r="J17" s="227">
        <v>25399596965</v>
      </c>
      <c r="K17" s="227">
        <v>342993827869</v>
      </c>
      <c r="L17" s="227">
        <v>68479512</v>
      </c>
      <c r="M17" s="227">
        <v>5478363</v>
      </c>
      <c r="N17" s="234">
        <v>73957875</v>
      </c>
      <c r="O17" s="227">
        <v>343067785744</v>
      </c>
      <c r="P17" s="7" t="s">
        <v>25</v>
      </c>
    </row>
    <row r="18" spans="1:20" s="21" customFormat="1">
      <c r="A18" s="237">
        <v>4</v>
      </c>
      <c r="B18" s="232" t="s">
        <v>128</v>
      </c>
      <c r="C18" s="227">
        <v>9</v>
      </c>
      <c r="D18" s="227">
        <v>193</v>
      </c>
      <c r="E18" s="233">
        <v>46219</v>
      </c>
      <c r="F18" s="227">
        <v>10433</v>
      </c>
      <c r="G18" s="227">
        <v>5190099</v>
      </c>
      <c r="H18" s="227">
        <v>5200532</v>
      </c>
      <c r="I18" s="227">
        <v>12770571358</v>
      </c>
      <c r="J18" s="227">
        <v>1021645710</v>
      </c>
      <c r="K18" s="227">
        <v>13792217068</v>
      </c>
      <c r="L18" s="227">
        <v>21856349</v>
      </c>
      <c r="M18" s="227">
        <v>1748507</v>
      </c>
      <c r="N18" s="234">
        <v>23604856</v>
      </c>
      <c r="O18" s="227">
        <v>13815821924</v>
      </c>
      <c r="P18" s="7" t="s">
        <v>25</v>
      </c>
      <c r="T18" s="7"/>
    </row>
    <row r="19" spans="1:20" s="21" customFormat="1">
      <c r="A19" s="237">
        <v>5</v>
      </c>
      <c r="B19" s="232" t="s">
        <v>129</v>
      </c>
      <c r="C19" s="227">
        <v>21</v>
      </c>
      <c r="D19" s="227">
        <v>442</v>
      </c>
      <c r="E19" s="233">
        <v>46224</v>
      </c>
      <c r="F19" s="227">
        <v>1482</v>
      </c>
      <c r="G19" s="227">
        <v>166922343</v>
      </c>
      <c r="H19" s="227">
        <v>166923825</v>
      </c>
      <c r="I19" s="227">
        <v>315639019534</v>
      </c>
      <c r="J19" s="227">
        <v>25244157162</v>
      </c>
      <c r="K19" s="227">
        <v>340883176696</v>
      </c>
      <c r="L19" s="227">
        <v>72561794</v>
      </c>
      <c r="M19" s="227">
        <v>5804946</v>
      </c>
      <c r="N19" s="234">
        <v>78366740</v>
      </c>
      <c r="O19" s="227">
        <v>340961543436</v>
      </c>
      <c r="P19" s="7" t="s">
        <v>25</v>
      </c>
    </row>
    <row r="20" spans="1:20" s="20" customFormat="1">
      <c r="A20" s="237">
        <v>6</v>
      </c>
      <c r="B20" s="232" t="s">
        <v>122</v>
      </c>
      <c r="C20" s="227">
        <v>2029</v>
      </c>
      <c r="D20" s="227">
        <v>236345</v>
      </c>
      <c r="E20" s="233">
        <v>46236</v>
      </c>
      <c r="F20" s="227">
        <v>83959632</v>
      </c>
      <c r="G20" s="227">
        <v>234886481</v>
      </c>
      <c r="H20" s="227">
        <v>318846113</v>
      </c>
      <c r="I20" s="227">
        <v>723940975858</v>
      </c>
      <c r="J20" s="227">
        <v>57907262194</v>
      </c>
      <c r="K20" s="227">
        <v>781848238052</v>
      </c>
      <c r="L20" s="227">
        <v>552108768</v>
      </c>
      <c r="M20" s="227">
        <v>44168705</v>
      </c>
      <c r="N20" s="234">
        <v>596277473</v>
      </c>
      <c r="O20" s="227">
        <v>782444515525</v>
      </c>
      <c r="P20" s="7" t="s">
        <v>26</v>
      </c>
    </row>
    <row r="21" spans="1:20" s="21" customFormat="1">
      <c r="A21" s="288" t="s">
        <v>125</v>
      </c>
      <c r="B21" s="285"/>
      <c r="C21" s="238">
        <v>2079</v>
      </c>
      <c r="D21" s="238">
        <v>237421</v>
      </c>
      <c r="E21" s="239"/>
      <c r="F21" s="238">
        <v>83972988</v>
      </c>
      <c r="G21" s="238">
        <v>572273659</v>
      </c>
      <c r="H21" s="238">
        <v>656246647</v>
      </c>
      <c r="I21" s="238">
        <v>1369944797654</v>
      </c>
      <c r="J21" s="238">
        <v>109572662031</v>
      </c>
      <c r="K21" s="238">
        <v>1479517459685</v>
      </c>
      <c r="L21" s="238">
        <v>715006423</v>
      </c>
      <c r="M21" s="238">
        <v>57200521</v>
      </c>
      <c r="N21" s="238">
        <v>772206944</v>
      </c>
      <c r="O21" s="238">
        <v>1480289666629</v>
      </c>
      <c r="P21" s="7"/>
    </row>
    <row r="22" spans="1:20" s="21" customFormat="1">
      <c r="A22" s="240" t="s">
        <v>130</v>
      </c>
      <c r="B22" s="241"/>
      <c r="C22" s="242"/>
      <c r="D22" s="227"/>
      <c r="E22" s="236"/>
      <c r="F22" s="227"/>
      <c r="G22" s="227"/>
      <c r="H22" s="227"/>
      <c r="I22" s="227"/>
      <c r="J22" s="227"/>
      <c r="K22" s="227"/>
      <c r="L22" s="227"/>
      <c r="M22" s="227"/>
      <c r="N22" s="229"/>
      <c r="O22" s="230"/>
      <c r="P22" s="7"/>
    </row>
    <row r="23" spans="1:20" s="20" customFormat="1">
      <c r="A23" s="237">
        <v>7</v>
      </c>
      <c r="B23" s="232" t="s">
        <v>122</v>
      </c>
      <c r="C23" s="227">
        <v>11</v>
      </c>
      <c r="D23" s="227">
        <v>11</v>
      </c>
      <c r="E23" s="233">
        <v>46234</v>
      </c>
      <c r="F23" s="227">
        <v>-7226</v>
      </c>
      <c r="G23" s="227">
        <v>0</v>
      </c>
      <c r="H23" s="227">
        <v>-7226</v>
      </c>
      <c r="I23" s="227">
        <v>-27836249</v>
      </c>
      <c r="J23" s="227">
        <v>-2226899</v>
      </c>
      <c r="K23" s="227">
        <v>-30063148</v>
      </c>
      <c r="L23" s="227">
        <v>0</v>
      </c>
      <c r="M23" s="227">
        <v>0</v>
      </c>
      <c r="N23" s="234">
        <v>0</v>
      </c>
      <c r="O23" s="227">
        <v>-30063148</v>
      </c>
      <c r="P23" s="7" t="s">
        <v>25</v>
      </c>
    </row>
    <row r="24" spans="1:20" s="20" customFormat="1">
      <c r="A24" s="284" t="s">
        <v>125</v>
      </c>
      <c r="B24" s="285"/>
      <c r="C24" s="238">
        <v>11</v>
      </c>
      <c r="D24" s="238">
        <v>11</v>
      </c>
      <c r="E24" s="238">
        <v>46234</v>
      </c>
      <c r="F24" s="238">
        <v>-7226</v>
      </c>
      <c r="G24" s="238">
        <v>0</v>
      </c>
      <c r="H24" s="238">
        <v>-7226</v>
      </c>
      <c r="I24" s="238">
        <v>-27836249</v>
      </c>
      <c r="J24" s="238">
        <v>-2226899</v>
      </c>
      <c r="K24" s="238">
        <v>-30063148</v>
      </c>
      <c r="L24" s="238">
        <v>0</v>
      </c>
      <c r="M24" s="238">
        <v>0</v>
      </c>
      <c r="N24" s="238">
        <v>0</v>
      </c>
      <c r="O24" s="238">
        <v>-30063148</v>
      </c>
      <c r="P24" s="7"/>
    </row>
    <row r="25" spans="1:20" s="20" customFormat="1">
      <c r="A25" s="240" t="s">
        <v>131</v>
      </c>
      <c r="B25" s="242"/>
      <c r="C25" s="227"/>
      <c r="D25" s="227"/>
      <c r="E25" s="236"/>
      <c r="F25" s="227"/>
      <c r="G25" s="227"/>
      <c r="H25" s="227"/>
      <c r="I25" s="227"/>
      <c r="J25" s="227"/>
      <c r="K25" s="227"/>
      <c r="L25" s="227"/>
      <c r="M25" s="227"/>
      <c r="N25" s="229"/>
      <c r="O25" s="230"/>
      <c r="P25" s="7"/>
    </row>
    <row r="26" spans="1:20" s="20" customFormat="1">
      <c r="A26" s="231">
        <v>8</v>
      </c>
      <c r="B26" s="232" t="s">
        <v>128</v>
      </c>
      <c r="C26" s="227">
        <v>2</v>
      </c>
      <c r="D26" s="227">
        <v>2</v>
      </c>
      <c r="E26" s="233">
        <v>46219</v>
      </c>
      <c r="F26" s="227">
        <v>0</v>
      </c>
      <c r="G26" s="227">
        <v>40958</v>
      </c>
      <c r="H26" s="227">
        <v>40958</v>
      </c>
      <c r="I26" s="227">
        <v>129099616</v>
      </c>
      <c r="J26" s="227">
        <v>10327969</v>
      </c>
      <c r="K26" s="227">
        <v>139427585</v>
      </c>
      <c r="L26" s="227">
        <v>0</v>
      </c>
      <c r="M26" s="227">
        <v>0</v>
      </c>
      <c r="N26" s="234">
        <v>0</v>
      </c>
      <c r="O26" s="227">
        <v>139427585</v>
      </c>
      <c r="P26" s="7" t="s">
        <v>25</v>
      </c>
    </row>
    <row r="27" spans="1:20" s="20" customFormat="1">
      <c r="A27" s="231">
        <v>9</v>
      </c>
      <c r="B27" s="232" t="s">
        <v>122</v>
      </c>
      <c r="C27" s="227">
        <v>42</v>
      </c>
      <c r="D27" s="227">
        <v>57</v>
      </c>
      <c r="E27" s="233">
        <v>46234</v>
      </c>
      <c r="F27" s="227">
        <v>18816</v>
      </c>
      <c r="G27" s="227">
        <v>226562</v>
      </c>
      <c r="H27" s="227">
        <v>245378</v>
      </c>
      <c r="I27" s="227">
        <v>624301377</v>
      </c>
      <c r="J27" s="227">
        <v>49944111</v>
      </c>
      <c r="K27" s="227">
        <v>674245488</v>
      </c>
      <c r="L27" s="227">
        <v>0</v>
      </c>
      <c r="M27" s="227">
        <v>0</v>
      </c>
      <c r="N27" s="234">
        <v>0</v>
      </c>
      <c r="O27" s="227">
        <v>674245488</v>
      </c>
      <c r="P27" s="7" t="s">
        <v>25</v>
      </c>
    </row>
    <row r="28" spans="1:20" s="28" customFormat="1">
      <c r="A28" s="284" t="s">
        <v>125</v>
      </c>
      <c r="B28" s="285"/>
      <c r="C28" s="238">
        <v>44</v>
      </c>
      <c r="D28" s="238">
        <v>59</v>
      </c>
      <c r="E28" s="238">
        <v>92453</v>
      </c>
      <c r="F28" s="238">
        <v>18816</v>
      </c>
      <c r="G28" s="238">
        <v>267520</v>
      </c>
      <c r="H28" s="238">
        <v>286336</v>
      </c>
      <c r="I28" s="238">
        <v>753400993</v>
      </c>
      <c r="J28" s="238">
        <v>60272080</v>
      </c>
      <c r="K28" s="238">
        <v>813673073</v>
      </c>
      <c r="L28" s="238">
        <v>0</v>
      </c>
      <c r="M28" s="238">
        <v>0</v>
      </c>
      <c r="N28" s="238">
        <v>0</v>
      </c>
      <c r="O28" s="238">
        <v>813673073</v>
      </c>
      <c r="P28" s="7"/>
    </row>
    <row r="29" spans="1:20" s="28" customFormat="1">
      <c r="A29" s="288" t="s">
        <v>125</v>
      </c>
      <c r="B29" s="285"/>
      <c r="C29" s="238">
        <v>2188</v>
      </c>
      <c r="D29" s="238">
        <v>237561</v>
      </c>
      <c r="E29" s="243"/>
      <c r="F29" s="238">
        <v>83973655</v>
      </c>
      <c r="G29" s="238">
        <v>572517049</v>
      </c>
      <c r="H29" s="238">
        <v>656490704</v>
      </c>
      <c r="I29" s="238">
        <v>1370572291416</v>
      </c>
      <c r="J29" s="238">
        <v>109622861535</v>
      </c>
      <c r="K29" s="238">
        <v>1480195152951</v>
      </c>
      <c r="L29" s="238">
        <v>715006423</v>
      </c>
      <c r="M29" s="238">
        <v>57200521</v>
      </c>
      <c r="N29" s="238">
        <v>772206944</v>
      </c>
      <c r="O29" s="238">
        <v>1480967359895</v>
      </c>
      <c r="P29" s="7"/>
    </row>
    <row r="30" spans="1:20">
      <c r="O30" s="7"/>
    </row>
    <row r="31" spans="1:20" s="10" customFormat="1">
      <c r="E31" s="26"/>
      <c r="F31" s="8"/>
      <c r="G31" s="8"/>
      <c r="H31" s="3" t="s">
        <v>132</v>
      </c>
      <c r="I31" s="8" t="s">
        <v>133</v>
      </c>
      <c r="J31" s="8" t="s">
        <v>134</v>
      </c>
      <c r="K31" s="8" t="s">
        <v>135</v>
      </c>
      <c r="L31" s="8" t="s">
        <v>136</v>
      </c>
      <c r="M31" s="8" t="s">
        <v>137</v>
      </c>
      <c r="N31" s="8"/>
      <c r="O31" s="12"/>
      <c r="P31" s="12"/>
    </row>
    <row r="33" spans="5:15">
      <c r="G33" s="7" t="s">
        <v>25</v>
      </c>
      <c r="H33" s="1">
        <f>SUMIF($P:$P,G33,$I:$I)</f>
        <v>646631315558</v>
      </c>
      <c r="I33" s="1">
        <f>SUMIF($P:$P,G33,$J:$J)</f>
        <v>51715599341</v>
      </c>
      <c r="J33" s="1">
        <f>SUMIF($P:$P,G33,$K:$K)</f>
        <v>698346914899</v>
      </c>
      <c r="K33" s="1">
        <f>SUMIF($P:$P,G33,$L:$L)</f>
        <v>162897655</v>
      </c>
      <c r="L33" s="1">
        <f>SUMIF($P:$P,G33,$M:$M)</f>
        <v>13031816</v>
      </c>
      <c r="M33" s="1">
        <f>SUMIF($P:$P,G33,$N:$N)</f>
        <v>175929471</v>
      </c>
      <c r="N33" s="1">
        <f>SUMIF($P:$P,G33,$O:$O)</f>
        <v>698522844370</v>
      </c>
    </row>
    <row r="34" spans="5:15">
      <c r="G34" s="7" t="s">
        <v>26</v>
      </c>
      <c r="H34" s="1">
        <f>SUMIF($P:$P,G34,$I:$I)</f>
        <v>723940975858</v>
      </c>
      <c r="I34" s="1">
        <f>SUMIF($P:$P,G34,$J:$J)</f>
        <v>57907262194</v>
      </c>
      <c r="J34" s="1">
        <f>SUMIF($P:$P,G34,$K:$K)</f>
        <v>781848238052</v>
      </c>
      <c r="K34" s="1">
        <f>SUMIF($P:$P,G34,$L:$L)</f>
        <v>552108768</v>
      </c>
      <c r="L34" s="1">
        <f>SUMIF($P:$P,G34,$M:$M)</f>
        <v>44168705</v>
      </c>
      <c r="M34" s="1">
        <f>SUMIF($P:$P,G34,$N:$N)</f>
        <v>596277473</v>
      </c>
      <c r="N34" s="1">
        <f>SUMIF($P:$P,G34,$O:$O)</f>
        <v>782444515525</v>
      </c>
    </row>
    <row r="35" spans="5:15">
      <c r="H35" s="3">
        <f t="shared" ref="H35:N35" si="0">SUM(H33:H34)</f>
        <v>1370572291416</v>
      </c>
      <c r="I35" s="8">
        <f t="shared" si="0"/>
        <v>109622861535</v>
      </c>
      <c r="J35" s="9">
        <f t="shared" si="0"/>
        <v>1480195152951</v>
      </c>
      <c r="K35" s="8">
        <f t="shared" si="0"/>
        <v>715006423</v>
      </c>
      <c r="L35" s="8">
        <f t="shared" si="0"/>
        <v>57200521</v>
      </c>
      <c r="M35" s="9">
        <f t="shared" si="0"/>
        <v>772206944</v>
      </c>
      <c r="N35" s="8">
        <f t="shared" si="0"/>
        <v>1480967359895</v>
      </c>
    </row>
    <row r="36" spans="5:15">
      <c r="H36" s="1">
        <f>H35-D54-D56</f>
        <v>0</v>
      </c>
      <c r="I36" s="1">
        <f>I35-E54</f>
        <v>0</v>
      </c>
      <c r="J36" s="1">
        <f>J35-F54-F56</f>
        <v>0</v>
      </c>
      <c r="K36" s="1">
        <f>K35-D55</f>
        <v>0</v>
      </c>
      <c r="L36" s="1">
        <f>L35-E55</f>
        <v>0</v>
      </c>
      <c r="M36" s="1">
        <f>M35-F55</f>
        <v>0</v>
      </c>
      <c r="N36" s="1">
        <f>N35-F58</f>
        <v>0</v>
      </c>
    </row>
    <row r="37" spans="5:15">
      <c r="E37" s="7" t="s">
        <v>138</v>
      </c>
      <c r="F37" s="142" t="s">
        <v>25</v>
      </c>
      <c r="G37" s="142"/>
      <c r="H37" s="11"/>
      <c r="I37" s="11"/>
      <c r="J37" s="11"/>
      <c r="K37" s="11"/>
      <c r="L37" s="11"/>
      <c r="M37" s="11"/>
      <c r="N37" s="11"/>
    </row>
    <row r="38" spans="5:15">
      <c r="G38" s="7" t="s">
        <v>16</v>
      </c>
      <c r="H38" s="1">
        <f>H33-H39</f>
        <v>646444991758</v>
      </c>
      <c r="I38" s="1">
        <f>I33-I39</f>
        <v>51715599341</v>
      </c>
      <c r="J38" s="1">
        <f>J33-J39</f>
        <v>698160591099</v>
      </c>
      <c r="L38" s="1">
        <f>K33-L39</f>
        <v>162897655</v>
      </c>
      <c r="M38" s="1">
        <f>L33</f>
        <v>13031816</v>
      </c>
      <c r="N38" s="1">
        <f>L38+M38</f>
        <v>175929471</v>
      </c>
      <c r="O38" s="8" t="s">
        <v>17</v>
      </c>
    </row>
    <row r="39" spans="5:15">
      <c r="G39" s="7" t="s">
        <v>18</v>
      </c>
      <c r="H39" s="14">
        <f>'Nhom TC'!O1</f>
        <v>186323800</v>
      </c>
      <c r="I39" s="7">
        <v>0</v>
      </c>
      <c r="J39" s="14">
        <f>H39+I39</f>
        <v>186323800</v>
      </c>
      <c r="L39" s="1"/>
      <c r="M39" s="1">
        <v>0</v>
      </c>
      <c r="N39" s="1">
        <f>L39+M39</f>
        <v>0</v>
      </c>
      <c r="O39" s="8" t="s">
        <v>56</v>
      </c>
    </row>
    <row r="40" spans="5:15">
      <c r="H40" s="1">
        <f>SUM(H38:H39)</f>
        <v>646631315558</v>
      </c>
      <c r="I40" s="141">
        <f>SUM(I38:I39)</f>
        <v>51715599341</v>
      </c>
      <c r="J40" s="1">
        <f>SUM(J38:J39)</f>
        <v>698346914899</v>
      </c>
      <c r="K40" s="1"/>
      <c r="L40" s="1">
        <f>SUM(L38:L39)</f>
        <v>162897655</v>
      </c>
      <c r="M40" s="141">
        <f>SUM(M38:M39)</f>
        <v>13031816</v>
      </c>
      <c r="N40" s="1">
        <f>L40+M40</f>
        <v>175929471</v>
      </c>
    </row>
    <row r="41" spans="5:15">
      <c r="H41" s="1">
        <f>H33-H40</f>
        <v>0</v>
      </c>
      <c r="I41" s="1">
        <f>I33-I40</f>
        <v>0</v>
      </c>
      <c r="J41" s="1">
        <f>J33-J40</f>
        <v>0</v>
      </c>
      <c r="K41" s="1"/>
      <c r="L41" s="1"/>
      <c r="M41" s="1"/>
      <c r="N41" s="1"/>
    </row>
    <row r="42" spans="5:15">
      <c r="G42" s="5" t="s">
        <v>17</v>
      </c>
      <c r="I42" s="1"/>
      <c r="J42" s="1"/>
      <c r="K42" s="1">
        <f>K33</f>
        <v>162897655</v>
      </c>
      <c r="L42" s="1">
        <f>L33</f>
        <v>13031816</v>
      </c>
      <c r="M42" s="1">
        <f>M33</f>
        <v>175929471</v>
      </c>
      <c r="N42" s="1">
        <f>N33</f>
        <v>698522844370</v>
      </c>
    </row>
    <row r="43" spans="5:15">
      <c r="H43" s="1">
        <f t="shared" ref="H43:N43" si="1">+H40+H42-H33</f>
        <v>0</v>
      </c>
      <c r="I43" s="1">
        <f t="shared" si="1"/>
        <v>0</v>
      </c>
      <c r="J43" s="1">
        <f t="shared" si="1"/>
        <v>0</v>
      </c>
      <c r="K43" s="1">
        <f t="shared" si="1"/>
        <v>0</v>
      </c>
      <c r="L43" s="1">
        <f t="shared" si="1"/>
        <v>162897655</v>
      </c>
      <c r="M43" s="1">
        <f t="shared" si="1"/>
        <v>13031816</v>
      </c>
      <c r="N43" s="1">
        <f t="shared" si="1"/>
        <v>175929471</v>
      </c>
    </row>
    <row r="44" spans="5:15">
      <c r="F44" s="142" t="s">
        <v>26</v>
      </c>
      <c r="G44" s="142"/>
      <c r="H44" s="11"/>
      <c r="I44" s="11"/>
      <c r="J44" s="11"/>
      <c r="K44" s="11"/>
      <c r="L44" s="11"/>
      <c r="M44" s="11"/>
      <c r="N44" s="11"/>
    </row>
    <row r="45" spans="5:15">
      <c r="G45" s="7" t="s">
        <v>16</v>
      </c>
      <c r="H45" s="1">
        <f>H34-H46</f>
        <v>723840776758</v>
      </c>
      <c r="I45" s="1">
        <f>I34</f>
        <v>57907262194</v>
      </c>
      <c r="J45" s="1">
        <f>J34-J46</f>
        <v>781748038952</v>
      </c>
      <c r="K45" s="1"/>
      <c r="L45" s="1"/>
      <c r="M45" s="1"/>
      <c r="N45" s="1"/>
    </row>
    <row r="46" spans="5:15">
      <c r="G46" s="7" t="s">
        <v>18</v>
      </c>
      <c r="H46" s="1">
        <f>'Nhom TC'!O2</f>
        <v>100199100</v>
      </c>
      <c r="I46" s="1">
        <v>0</v>
      </c>
      <c r="J46" s="1">
        <f>H46+I46</f>
        <v>100199100</v>
      </c>
      <c r="K46" s="1"/>
      <c r="L46" s="1"/>
      <c r="M46" s="1"/>
      <c r="N46" s="1"/>
    </row>
    <row r="47" spans="5:15">
      <c r="H47" s="1">
        <f>SUM(H45:H46)</f>
        <v>723940975858</v>
      </c>
      <c r="I47" s="1">
        <f>SUM(I45:I46)</f>
        <v>57907262194</v>
      </c>
      <c r="J47" s="1">
        <f>SUM(J45:J46)</f>
        <v>781848238052</v>
      </c>
      <c r="K47" s="1"/>
      <c r="L47" s="1"/>
      <c r="M47" s="1"/>
      <c r="N47" s="1"/>
    </row>
    <row r="48" spans="5:15">
      <c r="G48" s="5" t="s">
        <v>17</v>
      </c>
      <c r="I48" s="1"/>
      <c r="J48" s="1"/>
      <c r="K48" s="1">
        <f>K34</f>
        <v>552108768</v>
      </c>
      <c r="L48" s="1">
        <f>L34</f>
        <v>44168705</v>
      </c>
      <c r="M48" s="1">
        <f>M34</f>
        <v>596277473</v>
      </c>
      <c r="N48" s="1">
        <f>N34</f>
        <v>782444515525</v>
      </c>
    </row>
    <row r="49" spans="1:14">
      <c r="I49" s="1">
        <f>I34-I47</f>
        <v>0</v>
      </c>
      <c r="J49" s="1">
        <f>J34-J47</f>
        <v>0</v>
      </c>
      <c r="K49" s="1"/>
      <c r="L49" s="1"/>
      <c r="M49" s="1"/>
      <c r="N49" s="1"/>
    </row>
    <row r="50" spans="1:14">
      <c r="H50" s="1">
        <f t="shared" ref="H50:N50" si="2">+H47+H48-H34</f>
        <v>0</v>
      </c>
      <c r="I50" s="1">
        <f t="shared" si="2"/>
        <v>0</v>
      </c>
      <c r="J50" s="1">
        <f t="shared" si="2"/>
        <v>0</v>
      </c>
      <c r="K50" s="1">
        <f t="shared" si="2"/>
        <v>0</v>
      </c>
      <c r="L50" s="1">
        <f t="shared" si="2"/>
        <v>0</v>
      </c>
      <c r="M50" s="1">
        <f t="shared" si="2"/>
        <v>0</v>
      </c>
      <c r="N50" s="1">
        <f t="shared" si="2"/>
        <v>0</v>
      </c>
    </row>
    <row r="51" spans="1:14">
      <c r="F51" s="142"/>
      <c r="G51" s="142"/>
      <c r="H51" s="11">
        <f>H40+H47</f>
        <v>1370572291416</v>
      </c>
      <c r="I51" s="11">
        <f>I40+I47</f>
        <v>109622861535</v>
      </c>
      <c r="J51" s="11">
        <f>J40+J47</f>
        <v>1480195152951</v>
      </c>
      <c r="K51" s="11">
        <f>+K42+K48</f>
        <v>715006423</v>
      </c>
      <c r="L51" s="11">
        <f>+L42+L48</f>
        <v>57200521</v>
      </c>
      <c r="M51" s="11">
        <f>+M42+M48</f>
        <v>772206944</v>
      </c>
      <c r="N51" s="11">
        <f>+N42+N48</f>
        <v>1480967359895</v>
      </c>
    </row>
    <row r="52" spans="1:14">
      <c r="A52" s="5" t="s">
        <v>139</v>
      </c>
      <c r="H52" s="1">
        <f t="shared" ref="H52:N52" si="3">+H35-H51</f>
        <v>0</v>
      </c>
      <c r="I52" s="1">
        <f t="shared" si="3"/>
        <v>0</v>
      </c>
      <c r="J52" s="1">
        <f t="shared" si="3"/>
        <v>0</v>
      </c>
      <c r="K52" s="1">
        <f t="shared" si="3"/>
        <v>0</v>
      </c>
      <c r="L52" s="1">
        <f t="shared" si="3"/>
        <v>0</v>
      </c>
      <c r="M52" s="1">
        <f t="shared" si="3"/>
        <v>0</v>
      </c>
      <c r="N52" s="1">
        <f t="shared" si="3"/>
        <v>0</v>
      </c>
    </row>
    <row r="53" spans="1:14">
      <c r="D53" s="5" t="s">
        <v>140</v>
      </c>
      <c r="E53" s="25" t="s">
        <v>141</v>
      </c>
      <c r="F53" s="7" t="s">
        <v>142</v>
      </c>
    </row>
    <row r="54" spans="1:14">
      <c r="A54" s="5" t="s">
        <v>52</v>
      </c>
      <c r="B54" s="5" t="s">
        <v>16</v>
      </c>
      <c r="D54" s="14">
        <f>'4A'!D13</f>
        <v>1370572291416</v>
      </c>
      <c r="E54" s="1">
        <f>'4A'!E13</f>
        <v>109622861535</v>
      </c>
      <c r="F54" s="7">
        <f>'4A'!F13</f>
        <v>1480195152951</v>
      </c>
    </row>
    <row r="55" spans="1:14">
      <c r="A55" s="5" t="s">
        <v>135</v>
      </c>
      <c r="B55" s="5" t="s">
        <v>17</v>
      </c>
      <c r="D55" s="14">
        <f>'4A'!D9</f>
        <v>715006423</v>
      </c>
      <c r="E55" s="1">
        <f>'4A'!E9</f>
        <v>57200521</v>
      </c>
      <c r="F55" s="7">
        <f>'4A'!F9</f>
        <v>772206944</v>
      </c>
      <c r="J55" s="4">
        <f>'4A'!F13</f>
        <v>1480195152951</v>
      </c>
    </row>
    <row r="56" spans="1:14">
      <c r="A56" s="5" t="s">
        <v>52</v>
      </c>
      <c r="B56" s="5" t="s">
        <v>18</v>
      </c>
      <c r="D56" s="14">
        <f>'4A'!D12</f>
        <v>0</v>
      </c>
      <c r="E56" s="1">
        <v>0</v>
      </c>
      <c r="F56" s="14">
        <f>'4A'!F12</f>
        <v>0</v>
      </c>
      <c r="J56" s="7">
        <f>J55-J35</f>
        <v>0</v>
      </c>
    </row>
    <row r="57" spans="1:14">
      <c r="B57" s="5" t="s">
        <v>56</v>
      </c>
      <c r="D57" s="14">
        <v>25367337</v>
      </c>
      <c r="E57" s="1"/>
      <c r="F57" s="14"/>
    </row>
    <row r="58" spans="1:14">
      <c r="D58" s="14">
        <f>SUM(D54:D57)</f>
        <v>1371312665176</v>
      </c>
      <c r="E58" s="14"/>
      <c r="F58" s="14">
        <f>SUM(F54:F56)</f>
        <v>1480967359895</v>
      </c>
    </row>
    <row r="59" spans="1:14">
      <c r="H59" s="1" t="s">
        <v>143</v>
      </c>
      <c r="I59" s="7">
        <f>I45+L34</f>
        <v>57951430899</v>
      </c>
    </row>
    <row r="60" spans="1:14">
      <c r="D60" s="14"/>
      <c r="F60" s="14"/>
      <c r="I60" s="7">
        <f>'33895'!G37</f>
        <v>57951430899</v>
      </c>
    </row>
    <row r="61" spans="1:14">
      <c r="I61" s="8">
        <f>I59-I60</f>
        <v>0</v>
      </c>
    </row>
    <row r="64" spans="1:14">
      <c r="M64" s="7">
        <v>100833864242</v>
      </c>
    </row>
  </sheetData>
  <mergeCells count="26">
    <mergeCell ref="A29:B29"/>
    <mergeCell ref="J8:J9"/>
    <mergeCell ref="A28:B28"/>
    <mergeCell ref="A6:O6"/>
    <mergeCell ref="A16:C16"/>
    <mergeCell ref="A3:F3"/>
    <mergeCell ref="A2:F2"/>
    <mergeCell ref="L8:L9"/>
    <mergeCell ref="N8:N9"/>
    <mergeCell ref="A5:O5"/>
    <mergeCell ref="A8:A9"/>
    <mergeCell ref="C8:C9"/>
    <mergeCell ref="I8:I9"/>
    <mergeCell ref="K8:K9"/>
    <mergeCell ref="M8:M9"/>
    <mergeCell ref="O8:O9"/>
    <mergeCell ref="D8:D9"/>
    <mergeCell ref="A24:B24"/>
    <mergeCell ref="E8:E9"/>
    <mergeCell ref="A15:B15"/>
    <mergeCell ref="F8:H8"/>
    <mergeCell ref="B8:B9"/>
    <mergeCell ref="A12:B12"/>
    <mergeCell ref="A10:C10"/>
    <mergeCell ref="A21:B21"/>
    <mergeCell ref="A13:C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26"/>
  <sheetViews>
    <sheetView workbookViewId="0">
      <selection activeCell="S30" sqref="S30"/>
    </sheetView>
  </sheetViews>
  <sheetFormatPr defaultColWidth="5.4140625" defaultRowHeight="15.5"/>
  <cols>
    <col min="1" max="1" width="9.1640625" style="29" customWidth="1"/>
    <col min="2" max="3" width="9.08203125" style="29" customWidth="1"/>
    <col min="4" max="5" width="9.5" style="29" customWidth="1"/>
    <col min="6" max="6" width="14.25" style="29" customWidth="1"/>
    <col min="7" max="11" width="9.5" style="29" customWidth="1"/>
    <col min="12" max="12" width="12.1640625" style="29" customWidth="1"/>
    <col min="13" max="13" width="9.08203125" style="29" customWidth="1"/>
    <col min="14" max="14" width="9.5" style="29" customWidth="1"/>
    <col min="15" max="15" width="12" style="29" bestFit="1" customWidth="1"/>
    <col min="16" max="16" width="9.08203125" style="29" customWidth="1"/>
    <col min="17" max="17" width="12" style="29" bestFit="1" customWidth="1"/>
    <col min="18" max="20" width="9.08203125" style="29" customWidth="1"/>
    <col min="21" max="21" width="11.83203125" style="29" customWidth="1"/>
    <col min="22" max="22" width="7.9140625" style="93" customWidth="1"/>
    <col min="23" max="23" width="6.08203125" style="94" bestFit="1" customWidth="1"/>
    <col min="24" max="24" width="13.1640625" style="94" bestFit="1" customWidth="1"/>
    <col min="25" max="25" width="13.08203125" style="94" bestFit="1" customWidth="1"/>
    <col min="26" max="26" width="8.58203125" style="94" bestFit="1" customWidth="1"/>
    <col min="27" max="27" width="5.4140625" style="94" customWidth="1"/>
    <col min="28" max="16384" width="5.4140625" style="94"/>
  </cols>
  <sheetData>
    <row r="1" spans="1:26" ht="15" customHeight="1">
      <c r="A1" s="211" t="s">
        <v>144</v>
      </c>
      <c r="B1" s="211"/>
      <c r="C1" s="211"/>
      <c r="D1" s="211"/>
      <c r="E1" s="211"/>
      <c r="F1" s="211"/>
      <c r="G1" s="211"/>
      <c r="H1" s="211"/>
      <c r="I1" s="211"/>
      <c r="J1" s="211"/>
      <c r="K1" s="211"/>
      <c r="L1" s="211"/>
      <c r="M1" s="211"/>
      <c r="N1" s="211"/>
      <c r="O1" s="211"/>
      <c r="P1" s="211"/>
      <c r="Q1" s="211"/>
      <c r="R1" s="211"/>
      <c r="S1" s="211"/>
      <c r="T1" s="211"/>
      <c r="U1" s="211"/>
      <c r="W1" s="86" t="s">
        <v>56</v>
      </c>
      <c r="X1" s="87">
        <f t="shared" ref="X1:X7" si="0">SUMIF($V:$V,$W1,$O:$O)</f>
        <v>0</v>
      </c>
    </row>
    <row r="2" spans="1:26">
      <c r="A2" s="212"/>
      <c r="B2" s="212"/>
      <c r="C2" s="212"/>
      <c r="D2" s="212"/>
      <c r="E2" s="212"/>
      <c r="F2" s="212"/>
      <c r="G2" s="212"/>
      <c r="H2" s="212"/>
      <c r="I2" s="212"/>
      <c r="J2" s="212"/>
      <c r="K2" s="212"/>
      <c r="L2" s="212"/>
      <c r="M2" s="212"/>
      <c r="N2" s="212"/>
      <c r="O2" s="212"/>
      <c r="P2" s="212"/>
      <c r="Q2" s="212"/>
      <c r="R2" s="212"/>
      <c r="S2" s="212"/>
      <c r="T2" s="212"/>
      <c r="U2" s="212"/>
      <c r="W2" s="86" t="s">
        <v>18</v>
      </c>
      <c r="X2" s="87">
        <f t="shared" si="0"/>
        <v>286522900</v>
      </c>
    </row>
    <row r="3" spans="1:26" ht="17.5" customHeight="1">
      <c r="A3" s="213" t="s">
        <v>145</v>
      </c>
      <c r="B3" s="213"/>
      <c r="C3" s="213"/>
      <c r="D3" s="213"/>
      <c r="E3" s="213"/>
      <c r="F3" s="213"/>
      <c r="G3" s="213"/>
      <c r="H3" s="213"/>
      <c r="I3" s="213"/>
      <c r="J3" s="213"/>
      <c r="K3" s="213"/>
      <c r="L3" s="213"/>
      <c r="M3" s="213"/>
      <c r="N3" s="213"/>
      <c r="O3" s="213"/>
      <c r="P3" s="213"/>
      <c r="Q3" s="213"/>
      <c r="R3" s="213"/>
      <c r="S3" s="213"/>
      <c r="T3" s="213"/>
      <c r="U3" s="213"/>
      <c r="W3" s="86" t="s">
        <v>16</v>
      </c>
      <c r="X3" s="87">
        <f t="shared" si="0"/>
        <v>1370285768516</v>
      </c>
    </row>
    <row r="4" spans="1:26" ht="14" customHeight="1">
      <c r="A4" s="214" t="s">
        <v>146</v>
      </c>
      <c r="B4" s="214"/>
      <c r="C4" s="214"/>
      <c r="D4" s="214"/>
      <c r="E4" s="214"/>
      <c r="F4" s="214"/>
      <c r="G4" s="214"/>
      <c r="H4" s="214"/>
      <c r="I4" s="214"/>
      <c r="J4" s="214"/>
      <c r="K4" s="214"/>
      <c r="L4" s="214"/>
      <c r="M4" s="214"/>
      <c r="N4" s="214"/>
      <c r="O4" s="214"/>
      <c r="P4" s="214"/>
      <c r="Q4" s="214"/>
      <c r="R4" s="214"/>
      <c r="S4" s="214"/>
      <c r="T4" s="214"/>
      <c r="U4" s="214"/>
      <c r="W4" s="86" t="s">
        <v>17</v>
      </c>
      <c r="X4" s="87">
        <f t="shared" si="0"/>
        <v>715006423</v>
      </c>
      <c r="Y4" s="82"/>
      <c r="Z4" s="99"/>
    </row>
    <row r="5" spans="1:26">
      <c r="A5" s="215"/>
      <c r="B5" s="215"/>
      <c r="C5" s="215"/>
      <c r="D5" s="215"/>
      <c r="E5" s="215"/>
      <c r="F5" s="215"/>
      <c r="G5" s="215"/>
      <c r="H5" s="215"/>
      <c r="I5" s="215"/>
      <c r="J5" s="215"/>
      <c r="K5" s="215"/>
      <c r="L5" s="215"/>
      <c r="M5" s="215"/>
      <c r="N5" s="215"/>
      <c r="O5" s="215"/>
      <c r="P5" s="215"/>
      <c r="Q5" s="215"/>
      <c r="R5" s="215"/>
      <c r="S5" s="215"/>
      <c r="T5" s="215"/>
      <c r="U5" s="215"/>
      <c r="W5" s="86" t="s">
        <v>58</v>
      </c>
      <c r="X5" s="87">
        <f t="shared" si="0"/>
        <v>0</v>
      </c>
      <c r="Y5" s="78" t="s">
        <v>147</v>
      </c>
    </row>
    <row r="6" spans="1:26" ht="14" customHeight="1">
      <c r="A6" s="259" t="s">
        <v>148</v>
      </c>
      <c r="B6" s="259" t="s">
        <v>149</v>
      </c>
      <c r="C6" s="259" t="s">
        <v>150</v>
      </c>
      <c r="D6" s="259" t="s">
        <v>151</v>
      </c>
      <c r="E6" s="260" t="s">
        <v>152</v>
      </c>
      <c r="F6" s="260" t="s">
        <v>3</v>
      </c>
      <c r="G6" s="260" t="s">
        <v>153</v>
      </c>
      <c r="H6" s="260" t="s">
        <v>154</v>
      </c>
      <c r="I6" s="260" t="s">
        <v>155</v>
      </c>
      <c r="J6" s="260" t="s">
        <v>156</v>
      </c>
      <c r="K6" s="260" t="s">
        <v>157</v>
      </c>
      <c r="L6" s="260" t="s">
        <v>158</v>
      </c>
      <c r="M6" s="259" t="s">
        <v>159</v>
      </c>
      <c r="N6" s="259" t="s">
        <v>160</v>
      </c>
      <c r="O6" s="259" t="s">
        <v>161</v>
      </c>
      <c r="P6" s="259" t="s">
        <v>162</v>
      </c>
      <c r="Q6" s="259" t="s">
        <v>163</v>
      </c>
      <c r="R6" s="259" t="s">
        <v>164</v>
      </c>
      <c r="S6" s="259" t="s">
        <v>165</v>
      </c>
      <c r="T6" s="259" t="s">
        <v>166</v>
      </c>
      <c r="U6" s="259" t="s">
        <v>167</v>
      </c>
      <c r="W6" s="86" t="s">
        <v>38</v>
      </c>
      <c r="X6" s="87">
        <f t="shared" si="0"/>
        <v>0</v>
      </c>
      <c r="Y6" s="78" t="s">
        <v>168</v>
      </c>
    </row>
    <row r="7" spans="1:26">
      <c r="A7" s="261" t="s">
        <v>169</v>
      </c>
      <c r="B7" s="261" t="s">
        <v>170</v>
      </c>
      <c r="C7" s="262">
        <v>46216</v>
      </c>
      <c r="D7" s="261">
        <v>0</v>
      </c>
      <c r="E7" s="261">
        <v>0</v>
      </c>
      <c r="F7" s="261">
        <v>62740000000</v>
      </c>
      <c r="G7" s="261">
        <v>1310</v>
      </c>
      <c r="H7" s="261">
        <v>2004</v>
      </c>
      <c r="I7" s="261">
        <v>400</v>
      </c>
      <c r="J7" s="261">
        <v>0</v>
      </c>
      <c r="K7" s="261">
        <v>0</v>
      </c>
      <c r="L7" s="261">
        <v>0</v>
      </c>
      <c r="M7" s="261" t="s">
        <v>171</v>
      </c>
      <c r="N7" s="263">
        <v>1059002</v>
      </c>
      <c r="O7" s="264"/>
      <c r="P7" s="263">
        <v>1059002</v>
      </c>
      <c r="Q7" s="264"/>
      <c r="R7" s="261" t="s">
        <v>172</v>
      </c>
      <c r="S7" s="261" t="s">
        <v>173</v>
      </c>
      <c r="T7" s="261" t="s">
        <v>174</v>
      </c>
      <c r="U7" s="261" t="s">
        <v>174</v>
      </c>
      <c r="V7" s="93" t="str">
        <f t="shared" ref="V7:V26" si="1">LEFT(R7,6)</f>
        <v>MBA 3P</v>
      </c>
      <c r="W7" s="86" t="s">
        <v>39</v>
      </c>
      <c r="X7" s="87">
        <f t="shared" si="0"/>
        <v>253573360</v>
      </c>
      <c r="Y7" s="78" t="s">
        <v>175</v>
      </c>
    </row>
    <row r="8" spans="1:26">
      <c r="A8" s="261" t="s">
        <v>169</v>
      </c>
      <c r="B8" s="261" t="s">
        <v>170</v>
      </c>
      <c r="C8" s="262">
        <v>46216</v>
      </c>
      <c r="D8" s="261">
        <v>0</v>
      </c>
      <c r="E8" s="261">
        <v>0</v>
      </c>
      <c r="F8" s="261">
        <v>21412000000</v>
      </c>
      <c r="G8" s="261">
        <v>0</v>
      </c>
      <c r="H8" s="261">
        <v>0</v>
      </c>
      <c r="I8" s="261">
        <v>0</v>
      </c>
      <c r="J8" s="261">
        <v>0</v>
      </c>
      <c r="K8" s="261">
        <v>0</v>
      </c>
      <c r="L8" s="261">
        <v>0</v>
      </c>
      <c r="M8" s="261" t="s">
        <v>171</v>
      </c>
      <c r="N8" s="263"/>
      <c r="O8" s="264">
        <v>1059002</v>
      </c>
      <c r="P8" s="263"/>
      <c r="Q8" s="264">
        <v>1059002</v>
      </c>
      <c r="R8" s="261" t="s">
        <v>172</v>
      </c>
      <c r="S8" s="261" t="s">
        <v>173</v>
      </c>
      <c r="T8" s="261" t="s">
        <v>174</v>
      </c>
      <c r="U8" s="261" t="s">
        <v>174</v>
      </c>
      <c r="V8" s="93" t="str">
        <f t="shared" si="1"/>
        <v>MBA 3P</v>
      </c>
      <c r="W8" s="85"/>
      <c r="X8" s="88">
        <f>SUM(X2:X7)</f>
        <v>1371540871199</v>
      </c>
    </row>
    <row r="9" spans="1:26">
      <c r="A9" s="261" t="s">
        <v>176</v>
      </c>
      <c r="B9" s="261">
        <v>1886</v>
      </c>
      <c r="C9" s="262">
        <v>46224</v>
      </c>
      <c r="D9" s="261">
        <v>0</v>
      </c>
      <c r="E9" s="261">
        <v>0</v>
      </c>
      <c r="F9" s="261">
        <v>51111000000</v>
      </c>
      <c r="G9" s="261">
        <v>1310</v>
      </c>
      <c r="H9" s="261">
        <v>0</v>
      </c>
      <c r="I9" s="261">
        <v>0</v>
      </c>
      <c r="J9" s="261">
        <v>0</v>
      </c>
      <c r="K9" s="261">
        <v>0</v>
      </c>
      <c r="L9" s="261">
        <v>0</v>
      </c>
      <c r="M9" s="261" t="s">
        <v>171</v>
      </c>
      <c r="N9" s="263"/>
      <c r="O9" s="264">
        <v>315551964534</v>
      </c>
      <c r="P9" s="263"/>
      <c r="Q9" s="264">
        <v>315551964534</v>
      </c>
      <c r="R9" s="261" t="s">
        <v>177</v>
      </c>
      <c r="S9" s="261" t="s">
        <v>173</v>
      </c>
      <c r="T9" s="261" t="s">
        <v>178</v>
      </c>
      <c r="U9" s="261" t="s">
        <v>178</v>
      </c>
      <c r="V9" s="93" t="str">
        <f t="shared" si="1"/>
        <v>DIEN01</v>
      </c>
    </row>
    <row r="10" spans="1:26">
      <c r="A10" s="261" t="s">
        <v>176</v>
      </c>
      <c r="B10" s="261">
        <v>1887</v>
      </c>
      <c r="C10" s="262">
        <v>46224</v>
      </c>
      <c r="D10" s="261">
        <v>0</v>
      </c>
      <c r="E10" s="261">
        <v>0</v>
      </c>
      <c r="F10" s="261">
        <v>51111000000</v>
      </c>
      <c r="G10" s="261">
        <v>1310</v>
      </c>
      <c r="H10" s="261">
        <v>0</v>
      </c>
      <c r="I10" s="261">
        <v>0</v>
      </c>
      <c r="J10" s="261">
        <v>0</v>
      </c>
      <c r="K10" s="261">
        <v>0</v>
      </c>
      <c r="L10" s="261">
        <v>0</v>
      </c>
      <c r="M10" s="261" t="s">
        <v>171</v>
      </c>
      <c r="N10" s="263"/>
      <c r="O10" s="264">
        <v>87055000</v>
      </c>
      <c r="P10" s="263"/>
      <c r="Q10" s="264">
        <v>87055000</v>
      </c>
      <c r="R10" s="261" t="s">
        <v>179</v>
      </c>
      <c r="S10" s="261" t="s">
        <v>173</v>
      </c>
      <c r="T10" s="261" t="s">
        <v>178</v>
      </c>
      <c r="U10" s="261" t="s">
        <v>178</v>
      </c>
      <c r="V10" s="93" t="str">
        <f t="shared" si="1"/>
        <v>DIEN00</v>
      </c>
    </row>
    <row r="11" spans="1:26">
      <c r="A11" s="261" t="s">
        <v>176</v>
      </c>
      <c r="B11" s="261">
        <v>1888</v>
      </c>
      <c r="C11" s="262">
        <v>46224</v>
      </c>
      <c r="D11" s="261">
        <v>0</v>
      </c>
      <c r="E11" s="261">
        <v>0</v>
      </c>
      <c r="F11" s="261">
        <v>51113000000</v>
      </c>
      <c r="G11" s="261">
        <v>1310</v>
      </c>
      <c r="H11" s="261">
        <v>0</v>
      </c>
      <c r="I11" s="261">
        <v>0</v>
      </c>
      <c r="J11" s="261">
        <v>0</v>
      </c>
      <c r="K11" s="261">
        <v>0</v>
      </c>
      <c r="L11" s="261">
        <v>0</v>
      </c>
      <c r="M11" s="261" t="s">
        <v>171</v>
      </c>
      <c r="N11" s="263"/>
      <c r="O11" s="264">
        <v>72561794</v>
      </c>
      <c r="P11" s="263"/>
      <c r="Q11" s="264">
        <v>72561794</v>
      </c>
      <c r="R11" s="261" t="s">
        <v>180</v>
      </c>
      <c r="S11" s="261" t="s">
        <v>173</v>
      </c>
      <c r="T11" s="261" t="s">
        <v>178</v>
      </c>
      <c r="U11" s="261" t="s">
        <v>178</v>
      </c>
      <c r="V11" s="93" t="str">
        <f t="shared" si="1"/>
        <v>CSPK02</v>
      </c>
    </row>
    <row r="12" spans="1:26">
      <c r="A12" s="261" t="s">
        <v>176</v>
      </c>
      <c r="B12" s="261">
        <v>1862</v>
      </c>
      <c r="C12" s="262">
        <v>46214</v>
      </c>
      <c r="D12" s="261">
        <v>0</v>
      </c>
      <c r="E12" s="261">
        <v>0</v>
      </c>
      <c r="F12" s="261">
        <v>51111000000</v>
      </c>
      <c r="G12" s="261">
        <v>1310</v>
      </c>
      <c r="H12" s="261">
        <v>0</v>
      </c>
      <c r="I12" s="261">
        <v>0</v>
      </c>
      <c r="J12" s="261">
        <v>0</v>
      </c>
      <c r="K12" s="261">
        <v>0</v>
      </c>
      <c r="L12" s="261">
        <v>0</v>
      </c>
      <c r="M12" s="261" t="s">
        <v>171</v>
      </c>
      <c r="N12" s="263"/>
      <c r="O12" s="264">
        <v>317494962104</v>
      </c>
      <c r="P12" s="263"/>
      <c r="Q12" s="264">
        <v>317494962104</v>
      </c>
      <c r="R12" s="261" t="s">
        <v>181</v>
      </c>
      <c r="S12" s="261" t="s">
        <v>173</v>
      </c>
      <c r="T12" s="261" t="s">
        <v>178</v>
      </c>
      <c r="U12" s="261" t="s">
        <v>178</v>
      </c>
      <c r="V12" s="93" t="str">
        <f t="shared" si="1"/>
        <v>DIEN01</v>
      </c>
    </row>
    <row r="13" spans="1:26">
      <c r="A13" s="261" t="s">
        <v>176</v>
      </c>
      <c r="B13" s="261">
        <v>1863</v>
      </c>
      <c r="C13" s="262">
        <v>46214</v>
      </c>
      <c r="D13" s="261">
        <v>0</v>
      </c>
      <c r="E13" s="261">
        <v>0</v>
      </c>
      <c r="F13" s="261">
        <v>51111000000</v>
      </c>
      <c r="G13" s="261">
        <v>1310</v>
      </c>
      <c r="H13" s="261">
        <v>0</v>
      </c>
      <c r="I13" s="261">
        <v>0</v>
      </c>
      <c r="J13" s="261">
        <v>0</v>
      </c>
      <c r="K13" s="261">
        <v>0</v>
      </c>
      <c r="L13" s="261">
        <v>0</v>
      </c>
      <c r="M13" s="261" t="s">
        <v>171</v>
      </c>
      <c r="N13" s="263"/>
      <c r="O13" s="264">
        <v>99268800</v>
      </c>
      <c r="P13" s="263"/>
      <c r="Q13" s="264">
        <v>99268800</v>
      </c>
      <c r="R13" s="261" t="s">
        <v>182</v>
      </c>
      <c r="S13" s="261" t="s">
        <v>173</v>
      </c>
      <c r="T13" s="261" t="s">
        <v>178</v>
      </c>
      <c r="U13" s="261" t="s">
        <v>178</v>
      </c>
      <c r="V13" s="93" t="str">
        <f t="shared" si="1"/>
        <v>DIEN00</v>
      </c>
    </row>
    <row r="14" spans="1:26">
      <c r="A14" s="261" t="s">
        <v>176</v>
      </c>
      <c r="B14" s="261">
        <v>1864</v>
      </c>
      <c r="C14" s="262">
        <v>46214</v>
      </c>
      <c r="D14" s="261">
        <v>0</v>
      </c>
      <c r="E14" s="261">
        <v>0</v>
      </c>
      <c r="F14" s="261">
        <v>51113000000</v>
      </c>
      <c r="G14" s="261">
        <v>1310</v>
      </c>
      <c r="H14" s="261">
        <v>0</v>
      </c>
      <c r="I14" s="261">
        <v>0</v>
      </c>
      <c r="J14" s="261">
        <v>0</v>
      </c>
      <c r="K14" s="261">
        <v>0</v>
      </c>
      <c r="L14" s="261">
        <v>0</v>
      </c>
      <c r="M14" s="261" t="s">
        <v>171</v>
      </c>
      <c r="N14" s="263"/>
      <c r="O14" s="264">
        <v>68479512</v>
      </c>
      <c r="P14" s="263"/>
      <c r="Q14" s="264">
        <v>68479512</v>
      </c>
      <c r="R14" s="261" t="s">
        <v>183</v>
      </c>
      <c r="S14" s="261" t="s">
        <v>173</v>
      </c>
      <c r="T14" s="261" t="s">
        <v>178</v>
      </c>
      <c r="U14" s="261" t="s">
        <v>178</v>
      </c>
      <c r="V14" s="93" t="str">
        <f t="shared" si="1"/>
        <v>CSPK02</v>
      </c>
    </row>
    <row r="15" spans="1:26">
      <c r="A15" s="261" t="s">
        <v>176</v>
      </c>
      <c r="B15" s="261">
        <v>1893</v>
      </c>
      <c r="C15" s="262">
        <v>46230</v>
      </c>
      <c r="D15" s="261">
        <v>0</v>
      </c>
      <c r="E15" s="261">
        <v>0</v>
      </c>
      <c r="F15" s="261">
        <v>51140000000</v>
      </c>
      <c r="G15" s="261">
        <v>4500</v>
      </c>
      <c r="H15" s="261">
        <v>0</v>
      </c>
      <c r="I15" s="261">
        <v>0</v>
      </c>
      <c r="J15" s="261">
        <v>0</v>
      </c>
      <c r="K15" s="261">
        <v>0</v>
      </c>
      <c r="L15" s="261">
        <v>0</v>
      </c>
      <c r="M15" s="261" t="s">
        <v>171</v>
      </c>
      <c r="N15" s="263"/>
      <c r="O15" s="264">
        <v>150296766</v>
      </c>
      <c r="P15" s="263"/>
      <c r="Q15" s="264">
        <v>150296766</v>
      </c>
      <c r="R15" s="261" t="s">
        <v>184</v>
      </c>
      <c r="S15" s="261" t="s">
        <v>173</v>
      </c>
      <c r="T15" s="261" t="s">
        <v>185</v>
      </c>
      <c r="U15" s="261" t="s">
        <v>185</v>
      </c>
      <c r="V15" s="93" t="str">
        <f t="shared" si="1"/>
        <v>4500TT</v>
      </c>
    </row>
    <row r="16" spans="1:26">
      <c r="A16" s="261" t="s">
        <v>176</v>
      </c>
      <c r="B16" s="261">
        <v>1899</v>
      </c>
      <c r="C16" s="262">
        <v>46234</v>
      </c>
      <c r="D16" s="261">
        <v>0</v>
      </c>
      <c r="E16" s="261">
        <v>0</v>
      </c>
      <c r="F16" s="261">
        <v>51111000000</v>
      </c>
      <c r="G16" s="261">
        <v>1310</v>
      </c>
      <c r="H16" s="261">
        <v>0</v>
      </c>
      <c r="I16" s="261">
        <v>0</v>
      </c>
      <c r="J16" s="261">
        <v>0</v>
      </c>
      <c r="K16" s="261">
        <v>0</v>
      </c>
      <c r="L16" s="261">
        <v>0</v>
      </c>
      <c r="M16" s="261" t="s">
        <v>171</v>
      </c>
      <c r="N16" s="263"/>
      <c r="O16" s="264">
        <v>723840776758</v>
      </c>
      <c r="P16" s="263"/>
      <c r="Q16" s="264">
        <v>723840776758</v>
      </c>
      <c r="R16" s="261" t="s">
        <v>186</v>
      </c>
      <c r="S16" s="261" t="s">
        <v>173</v>
      </c>
      <c r="T16" s="261" t="s">
        <v>178</v>
      </c>
      <c r="U16" s="261" t="s">
        <v>178</v>
      </c>
      <c r="V16" s="93" t="str">
        <f t="shared" si="1"/>
        <v>DIEN01</v>
      </c>
    </row>
    <row r="17" spans="1:22">
      <c r="A17" s="261" t="s">
        <v>176</v>
      </c>
      <c r="B17" s="261">
        <v>1900</v>
      </c>
      <c r="C17" s="262">
        <v>46234</v>
      </c>
      <c r="D17" s="261">
        <v>0</v>
      </c>
      <c r="E17" s="261">
        <v>0</v>
      </c>
      <c r="F17" s="261">
        <v>51111000000</v>
      </c>
      <c r="G17" s="261">
        <v>1310</v>
      </c>
      <c r="H17" s="261">
        <v>0</v>
      </c>
      <c r="I17" s="261">
        <v>0</v>
      </c>
      <c r="J17" s="261">
        <v>0</v>
      </c>
      <c r="K17" s="261">
        <v>0</v>
      </c>
      <c r="L17" s="261">
        <v>0</v>
      </c>
      <c r="M17" s="261" t="s">
        <v>171</v>
      </c>
      <c r="N17" s="263"/>
      <c r="O17" s="264">
        <v>100199100</v>
      </c>
      <c r="P17" s="263"/>
      <c r="Q17" s="264">
        <v>100199100</v>
      </c>
      <c r="R17" s="261" t="s">
        <v>187</v>
      </c>
      <c r="S17" s="261" t="s">
        <v>173</v>
      </c>
      <c r="T17" s="261" t="s">
        <v>178</v>
      </c>
      <c r="U17" s="261" t="s">
        <v>178</v>
      </c>
      <c r="V17" s="94" t="str">
        <f t="shared" si="1"/>
        <v>DIEN00</v>
      </c>
    </row>
    <row r="18" spans="1:22">
      <c r="A18" s="261" t="s">
        <v>176</v>
      </c>
      <c r="B18" s="261">
        <v>1901</v>
      </c>
      <c r="C18" s="262">
        <v>46234</v>
      </c>
      <c r="D18" s="261">
        <v>0</v>
      </c>
      <c r="E18" s="261">
        <v>0</v>
      </c>
      <c r="F18" s="261">
        <v>51113000000</v>
      </c>
      <c r="G18" s="261">
        <v>1310</v>
      </c>
      <c r="H18" s="261">
        <v>0</v>
      </c>
      <c r="I18" s="261">
        <v>0</v>
      </c>
      <c r="J18" s="261">
        <v>0</v>
      </c>
      <c r="K18" s="261">
        <v>0</v>
      </c>
      <c r="L18" s="261">
        <v>0</v>
      </c>
      <c r="M18" s="261" t="s">
        <v>171</v>
      </c>
      <c r="N18" s="263"/>
      <c r="O18" s="264">
        <v>552108768</v>
      </c>
      <c r="P18" s="263"/>
      <c r="Q18" s="264">
        <v>552108768</v>
      </c>
      <c r="R18" s="261" t="s">
        <v>188</v>
      </c>
      <c r="S18" s="261" t="s">
        <v>173</v>
      </c>
      <c r="T18" s="261" t="s">
        <v>178</v>
      </c>
      <c r="U18" s="261" t="s">
        <v>178</v>
      </c>
      <c r="V18" s="93" t="str">
        <f t="shared" si="1"/>
        <v>CSPK02</v>
      </c>
    </row>
    <row r="19" spans="1:22">
      <c r="A19" s="261" t="s">
        <v>176</v>
      </c>
      <c r="B19" s="261">
        <v>1858</v>
      </c>
      <c r="C19" s="262">
        <v>46230</v>
      </c>
      <c r="D19" s="261">
        <v>0</v>
      </c>
      <c r="E19" s="261">
        <v>0</v>
      </c>
      <c r="F19" s="261">
        <v>51140000000</v>
      </c>
      <c r="G19" s="261">
        <v>4500</v>
      </c>
      <c r="H19" s="261">
        <v>0</v>
      </c>
      <c r="I19" s="261">
        <v>0</v>
      </c>
      <c r="J19" s="261">
        <v>0</v>
      </c>
      <c r="K19" s="261">
        <v>0</v>
      </c>
      <c r="L19" s="261">
        <v>0</v>
      </c>
      <c r="M19" s="261" t="s">
        <v>171</v>
      </c>
      <c r="N19" s="263"/>
      <c r="O19" s="264">
        <v>45940071</v>
      </c>
      <c r="P19" s="263"/>
      <c r="Q19" s="264">
        <v>45940071</v>
      </c>
      <c r="R19" s="261" t="s">
        <v>189</v>
      </c>
      <c r="S19" s="261" t="s">
        <v>173</v>
      </c>
      <c r="T19" s="261" t="s">
        <v>185</v>
      </c>
      <c r="U19" s="261" t="s">
        <v>185</v>
      </c>
      <c r="V19" s="93" t="str">
        <f t="shared" si="1"/>
        <v>4500TT</v>
      </c>
    </row>
    <row r="20" spans="1:22">
      <c r="A20" s="261" t="s">
        <v>176</v>
      </c>
      <c r="B20" s="261">
        <v>1850</v>
      </c>
      <c r="C20" s="262">
        <v>46219</v>
      </c>
      <c r="D20" s="261">
        <v>0</v>
      </c>
      <c r="E20" s="261">
        <v>0</v>
      </c>
      <c r="F20" s="261">
        <v>51111000000</v>
      </c>
      <c r="G20" s="261">
        <v>1310</v>
      </c>
      <c r="H20" s="261">
        <v>0</v>
      </c>
      <c r="I20" s="261">
        <v>0</v>
      </c>
      <c r="J20" s="261">
        <v>0</v>
      </c>
      <c r="K20" s="261">
        <v>0</v>
      </c>
      <c r="L20" s="261">
        <v>0</v>
      </c>
      <c r="M20" s="261" t="s">
        <v>171</v>
      </c>
      <c r="N20" s="263"/>
      <c r="O20" s="264">
        <v>12770571358</v>
      </c>
      <c r="P20" s="263"/>
      <c r="Q20" s="264">
        <v>12770571358</v>
      </c>
      <c r="R20" s="261" t="s">
        <v>190</v>
      </c>
      <c r="S20" s="261" t="s">
        <v>173</v>
      </c>
      <c r="T20" s="261" t="s">
        <v>178</v>
      </c>
      <c r="U20" s="261" t="s">
        <v>178</v>
      </c>
      <c r="V20" s="93" t="str">
        <f t="shared" si="1"/>
        <v>DIEN01</v>
      </c>
    </row>
    <row r="21" spans="1:22">
      <c r="A21" s="261" t="s">
        <v>176</v>
      </c>
      <c r="B21" s="261">
        <v>1851</v>
      </c>
      <c r="C21" s="262">
        <v>46219</v>
      </c>
      <c r="D21" s="261">
        <v>0</v>
      </c>
      <c r="E21" s="261">
        <v>0</v>
      </c>
      <c r="F21" s="261">
        <v>51113000000</v>
      </c>
      <c r="G21" s="261">
        <v>1310</v>
      </c>
      <c r="H21" s="261">
        <v>0</v>
      </c>
      <c r="I21" s="261">
        <v>0</v>
      </c>
      <c r="J21" s="261">
        <v>0</v>
      </c>
      <c r="K21" s="261">
        <v>0</v>
      </c>
      <c r="L21" s="261">
        <v>0</v>
      </c>
      <c r="M21" s="261" t="s">
        <v>171</v>
      </c>
      <c r="N21" s="263"/>
      <c r="O21" s="264">
        <v>21856349</v>
      </c>
      <c r="P21" s="263"/>
      <c r="Q21" s="264">
        <v>21856349</v>
      </c>
      <c r="R21" s="261" t="s">
        <v>191</v>
      </c>
      <c r="S21" s="261" t="s">
        <v>173</v>
      </c>
      <c r="T21" s="261" t="s">
        <v>178</v>
      </c>
      <c r="U21" s="261" t="s">
        <v>178</v>
      </c>
      <c r="V21" s="93" t="str">
        <f t="shared" si="1"/>
        <v>CSPK02</v>
      </c>
    </row>
    <row r="22" spans="1:22">
      <c r="A22" s="261" t="s">
        <v>176</v>
      </c>
      <c r="B22" s="261">
        <v>1906</v>
      </c>
      <c r="C22" s="262">
        <v>46234</v>
      </c>
      <c r="D22" s="261">
        <v>0</v>
      </c>
      <c r="E22" s="261">
        <v>0</v>
      </c>
      <c r="F22" s="261">
        <v>51111000000</v>
      </c>
      <c r="G22" s="261">
        <v>1310</v>
      </c>
      <c r="H22" s="261">
        <v>0</v>
      </c>
      <c r="I22" s="261">
        <v>0</v>
      </c>
      <c r="J22" s="261">
        <v>0</v>
      </c>
      <c r="K22" s="261">
        <v>0</v>
      </c>
      <c r="L22" s="261">
        <v>0</v>
      </c>
      <c r="M22" s="261" t="s">
        <v>171</v>
      </c>
      <c r="N22" s="263"/>
      <c r="O22" s="264">
        <v>-234984967</v>
      </c>
      <c r="P22" s="263"/>
      <c r="Q22" s="264">
        <v>-234984967</v>
      </c>
      <c r="R22" s="261" t="s">
        <v>192</v>
      </c>
      <c r="S22" s="261" t="s">
        <v>173</v>
      </c>
      <c r="T22" s="261" t="s">
        <v>178</v>
      </c>
      <c r="U22" s="261" t="s">
        <v>178</v>
      </c>
      <c r="V22" s="93" t="str">
        <f t="shared" si="1"/>
        <v>DIEN01</v>
      </c>
    </row>
    <row r="23" spans="1:22">
      <c r="A23" s="261" t="s">
        <v>176</v>
      </c>
      <c r="B23" s="261">
        <v>1907</v>
      </c>
      <c r="C23" s="262">
        <v>46234</v>
      </c>
      <c r="D23" s="261">
        <v>0</v>
      </c>
      <c r="E23" s="261">
        <v>0</v>
      </c>
      <c r="F23" s="261">
        <v>51111000000</v>
      </c>
      <c r="G23" s="261">
        <v>1310</v>
      </c>
      <c r="H23" s="261">
        <v>0</v>
      </c>
      <c r="I23" s="261">
        <v>0</v>
      </c>
      <c r="J23" s="261">
        <v>0</v>
      </c>
      <c r="K23" s="261">
        <v>0</v>
      </c>
      <c r="L23" s="261">
        <v>0</v>
      </c>
      <c r="M23" s="261" t="s">
        <v>171</v>
      </c>
      <c r="N23" s="263"/>
      <c r="O23" s="264">
        <v>136913985</v>
      </c>
      <c r="P23" s="263"/>
      <c r="Q23" s="264">
        <v>136913985</v>
      </c>
      <c r="R23" s="261" t="s">
        <v>193</v>
      </c>
      <c r="S23" s="261" t="s">
        <v>173</v>
      </c>
      <c r="T23" s="261" t="s">
        <v>178</v>
      </c>
      <c r="U23" s="261" t="s">
        <v>178</v>
      </c>
      <c r="V23" s="93" t="str">
        <f t="shared" si="1"/>
        <v>DIEN01</v>
      </c>
    </row>
    <row r="24" spans="1:22">
      <c r="A24" s="261" t="s">
        <v>176</v>
      </c>
      <c r="B24" s="261">
        <v>1908</v>
      </c>
      <c r="C24" s="262">
        <v>46234</v>
      </c>
      <c r="D24" s="261">
        <v>0</v>
      </c>
      <c r="E24" s="261">
        <v>0</v>
      </c>
      <c r="F24" s="261">
        <v>51111000000</v>
      </c>
      <c r="G24" s="261">
        <v>1310</v>
      </c>
      <c r="H24" s="261">
        <v>0</v>
      </c>
      <c r="I24" s="261">
        <v>0</v>
      </c>
      <c r="J24" s="261">
        <v>0</v>
      </c>
      <c r="K24" s="261">
        <v>0</v>
      </c>
      <c r="L24" s="261">
        <v>0</v>
      </c>
      <c r="M24" s="261" t="s">
        <v>171</v>
      </c>
      <c r="N24" s="263"/>
      <c r="O24" s="264">
        <v>-27836249</v>
      </c>
      <c r="P24" s="263"/>
      <c r="Q24" s="264">
        <v>-27836249</v>
      </c>
      <c r="R24" s="261" t="s">
        <v>194</v>
      </c>
      <c r="S24" s="261" t="s">
        <v>173</v>
      </c>
      <c r="T24" s="261" t="s">
        <v>178</v>
      </c>
      <c r="U24" s="261" t="s">
        <v>178</v>
      </c>
      <c r="V24" s="93" t="str">
        <f t="shared" si="1"/>
        <v>DIEN01</v>
      </c>
    </row>
    <row r="25" spans="1:22">
      <c r="A25" s="261" t="s">
        <v>176</v>
      </c>
      <c r="B25" s="261">
        <v>1909</v>
      </c>
      <c r="C25" s="262">
        <v>46234</v>
      </c>
      <c r="D25" s="261">
        <v>0</v>
      </c>
      <c r="E25" s="261">
        <v>0</v>
      </c>
      <c r="F25" s="261">
        <v>51111000000</v>
      </c>
      <c r="G25" s="261">
        <v>1310</v>
      </c>
      <c r="H25" s="261">
        <v>0</v>
      </c>
      <c r="I25" s="261">
        <v>0</v>
      </c>
      <c r="J25" s="261">
        <v>0</v>
      </c>
      <c r="K25" s="261">
        <v>0</v>
      </c>
      <c r="L25" s="261">
        <v>0</v>
      </c>
      <c r="M25" s="261" t="s">
        <v>171</v>
      </c>
      <c r="N25" s="263"/>
      <c r="O25" s="264">
        <v>753400993</v>
      </c>
      <c r="P25" s="263"/>
      <c r="Q25" s="264">
        <v>753400993</v>
      </c>
      <c r="R25" s="261" t="s">
        <v>195</v>
      </c>
      <c r="S25" s="261" t="s">
        <v>173</v>
      </c>
      <c r="T25" s="261" t="s">
        <v>178</v>
      </c>
      <c r="U25" s="261" t="s">
        <v>178</v>
      </c>
      <c r="V25" s="93" t="str">
        <f t="shared" si="1"/>
        <v>DIEN01</v>
      </c>
    </row>
    <row r="26" spans="1:22">
      <c r="A26" t="s">
        <v>176</v>
      </c>
      <c r="B26">
        <v>1857</v>
      </c>
      <c r="C26" s="278">
        <v>46230</v>
      </c>
      <c r="D26">
        <v>0</v>
      </c>
      <c r="E26">
        <v>0</v>
      </c>
      <c r="F26">
        <v>51140000000</v>
      </c>
      <c r="G26">
        <v>4500</v>
      </c>
      <c r="H26">
        <v>0</v>
      </c>
      <c r="I26">
        <v>0</v>
      </c>
      <c r="J26">
        <v>0</v>
      </c>
      <c r="K26">
        <v>0</v>
      </c>
      <c r="L26">
        <v>0</v>
      </c>
      <c r="M26" t="s">
        <v>171</v>
      </c>
      <c r="O26">
        <v>57336523</v>
      </c>
      <c r="Q26">
        <v>57336523</v>
      </c>
      <c r="R26" t="s">
        <v>196</v>
      </c>
      <c r="S26" t="s">
        <v>173</v>
      </c>
      <c r="T26" t="s">
        <v>185</v>
      </c>
      <c r="U26" t="s">
        <v>185</v>
      </c>
      <c r="V26" s="93" t="str">
        <f t="shared" si="1"/>
        <v>4500TT</v>
      </c>
    </row>
  </sheetData>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outlinePr summaryBelow="0" summaryRight="0"/>
    <pageSetUpPr autoPageBreaks="0"/>
  </sheetPr>
  <dimension ref="A1"/>
  <sheetViews>
    <sheetView showOutlineSymbols="0" zoomScaleNormal="100" workbookViewId="0">
      <pane xSplit="2" topLeftCell="C1" activePane="topRight" state="frozen"/>
      <selection pane="topRight" activeCell="J27" sqref="J27"/>
    </sheetView>
  </sheetViews>
  <sheetFormatPr defaultRowHeight="15.5"/>
  <sheetData/>
  <pageMargins left="0.5" right="0.5" top="0.5" bottom="0.5" header="0" footer="0"/>
  <pageSetup paperSize="9"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J26"/>
  <sheetViews>
    <sheetView workbookViewId="0">
      <selection activeCell="J2" sqref="J2"/>
    </sheetView>
  </sheetViews>
  <sheetFormatPr defaultColWidth="9" defaultRowHeight="15.5"/>
  <cols>
    <col min="1" max="1" width="14.6640625" style="5" bestFit="1" customWidth="1"/>
    <col min="2" max="2" width="24" style="5" bestFit="1" customWidth="1"/>
    <col min="3" max="3" width="14.9140625" style="5" bestFit="1" customWidth="1"/>
    <col min="4" max="4" width="20" style="5" bestFit="1" customWidth="1"/>
    <col min="5" max="5" width="22.5" style="5" customWidth="1"/>
    <col min="6" max="6" width="20" style="5" bestFit="1" customWidth="1"/>
    <col min="7" max="7" width="18.5" style="5" bestFit="1" customWidth="1"/>
    <col min="8" max="8" width="21.1640625" style="5" customWidth="1"/>
    <col min="9" max="9" width="14.5" style="5" customWidth="1"/>
    <col min="10" max="10" width="19.4140625" style="5" customWidth="1"/>
    <col min="11" max="11" width="20.58203125" style="5" customWidth="1"/>
    <col min="12" max="12" width="9" style="5" customWidth="1"/>
    <col min="13" max="16384" width="9" style="5"/>
  </cols>
  <sheetData>
    <row r="1" spans="1:10">
      <c r="A1" t="s">
        <v>197</v>
      </c>
      <c r="B1" t="s">
        <v>198</v>
      </c>
      <c r="C1" t="s">
        <v>199</v>
      </c>
      <c r="D1" t="s">
        <v>132</v>
      </c>
      <c r="E1" t="s">
        <v>200</v>
      </c>
      <c r="F1" t="s">
        <v>201</v>
      </c>
      <c r="G1" t="s">
        <v>202</v>
      </c>
      <c r="H1" t="s">
        <v>203</v>
      </c>
      <c r="I1" t="s">
        <v>204</v>
      </c>
      <c r="J1" t="s">
        <v>205</v>
      </c>
    </row>
    <row r="2" spans="1:10">
      <c r="A2" t="s">
        <v>206</v>
      </c>
      <c r="B2" t="s">
        <v>207</v>
      </c>
      <c r="C2">
        <v>656490704</v>
      </c>
      <c r="D2">
        <v>1370572291416</v>
      </c>
      <c r="E2">
        <v>715006423</v>
      </c>
      <c r="F2">
        <v>109622861535</v>
      </c>
      <c r="G2">
        <v>57200521</v>
      </c>
      <c r="H2">
        <v>7416000000</v>
      </c>
      <c r="I2">
        <v>0</v>
      </c>
      <c r="J2">
        <v>2066</v>
      </c>
    </row>
    <row r="3" spans="1:10">
      <c r="C3" s="14">
        <f t="shared" ref="C3:J3" si="0">VALUE(C2)</f>
        <v>656490704</v>
      </c>
      <c r="D3" s="14">
        <f t="shared" si="0"/>
        <v>1370572291416</v>
      </c>
      <c r="E3" s="14">
        <f t="shared" si="0"/>
        <v>715006423</v>
      </c>
      <c r="F3" s="14">
        <f t="shared" si="0"/>
        <v>109622861535</v>
      </c>
      <c r="G3" s="14">
        <f t="shared" si="0"/>
        <v>57200521</v>
      </c>
      <c r="H3" s="14">
        <f t="shared" si="0"/>
        <v>7416000000</v>
      </c>
      <c r="I3" s="14">
        <f t="shared" si="0"/>
        <v>0</v>
      </c>
      <c r="J3" s="14">
        <f t="shared" si="0"/>
        <v>2066</v>
      </c>
    </row>
    <row r="4" spans="1:10" s="6" customFormat="1"/>
    <row r="7" spans="1:10">
      <c r="D7" s="5" t="s">
        <v>140</v>
      </c>
      <c r="E7" s="5" t="s">
        <v>141</v>
      </c>
      <c r="F7" s="5" t="s">
        <v>142</v>
      </c>
    </row>
    <row r="8" spans="1:10">
      <c r="A8" s="5" t="s">
        <v>52</v>
      </c>
      <c r="B8" s="5" t="s">
        <v>16</v>
      </c>
      <c r="D8" s="14">
        <f>D3</f>
        <v>1370572291416</v>
      </c>
      <c r="E8" s="14">
        <f>F3</f>
        <v>109622861535</v>
      </c>
      <c r="F8" s="14">
        <f>+D8+E8</f>
        <v>1480195152951</v>
      </c>
      <c r="G8" s="17">
        <f>D8*8%</f>
        <v>109645783313.28</v>
      </c>
      <c r="H8" s="17">
        <f>E8-G8</f>
        <v>-22921778.279998779</v>
      </c>
    </row>
    <row r="9" spans="1:10">
      <c r="A9" s="5" t="s">
        <v>135</v>
      </c>
      <c r="B9" s="5" t="s">
        <v>17</v>
      </c>
      <c r="D9" s="14">
        <f>E3</f>
        <v>715006423</v>
      </c>
      <c r="E9" s="14">
        <f>G3</f>
        <v>57200521</v>
      </c>
      <c r="F9" s="14">
        <f>+D9+E9</f>
        <v>772206944</v>
      </c>
      <c r="G9" s="17">
        <f>D9*8%</f>
        <v>57200513.840000004</v>
      </c>
      <c r="H9" s="17">
        <f>E9-G9</f>
        <v>7.1599999964237213</v>
      </c>
      <c r="I9" s="34"/>
    </row>
    <row r="10" spans="1:10">
      <c r="D10" s="16">
        <f>SUM(D8:D9)</f>
        <v>1371287297839</v>
      </c>
      <c r="E10" s="16">
        <f>SUM(E8:E9)</f>
        <v>109680062056</v>
      </c>
      <c r="F10" s="16">
        <f>SUM(F8:F9)</f>
        <v>1480967359895</v>
      </c>
    </row>
    <row r="12" spans="1:10">
      <c r="A12" s="5" t="s">
        <v>208</v>
      </c>
      <c r="B12" s="5" t="s">
        <v>18</v>
      </c>
      <c r="D12" s="14">
        <f>'Nhom TC'!O4</f>
        <v>0</v>
      </c>
      <c r="E12" s="14">
        <v>0</v>
      </c>
      <c r="F12" s="14">
        <f>D12+E12</f>
        <v>0</v>
      </c>
    </row>
    <row r="13" spans="1:10">
      <c r="B13" s="5" t="s">
        <v>16</v>
      </c>
      <c r="D13" s="17">
        <f>D8-D12</f>
        <v>1370572291416</v>
      </c>
      <c r="E13" s="17">
        <f>E8-E12</f>
        <v>109622861535</v>
      </c>
      <c r="F13" s="17">
        <f>F8-F12</f>
        <v>1480195152951</v>
      </c>
      <c r="G13" s="18">
        <f>D13*8%</f>
        <v>109645783313.28</v>
      </c>
      <c r="H13" s="18">
        <f>E13-G13</f>
        <v>-22921778.279998779</v>
      </c>
    </row>
    <row r="16" spans="1:10">
      <c r="A16" s="5" t="s">
        <v>208</v>
      </c>
      <c r="B16" s="5" t="s">
        <v>17</v>
      </c>
      <c r="D16" s="14">
        <f>E2-D17</f>
        <v>715006423</v>
      </c>
      <c r="E16" s="14"/>
      <c r="F16" s="14"/>
    </row>
    <row r="17" spans="1:8">
      <c r="B17" s="5" t="s">
        <v>56</v>
      </c>
      <c r="D17" s="17">
        <f>'Nhom TC'!O5</f>
        <v>0</v>
      </c>
      <c r="E17" s="17"/>
      <c r="F17" s="17"/>
      <c r="G17" s="18"/>
      <c r="H17" s="18"/>
    </row>
    <row r="19" spans="1:8">
      <c r="E19" s="17"/>
    </row>
    <row r="20" spans="1:8">
      <c r="A20" s="5" t="s">
        <v>209</v>
      </c>
      <c r="B20" s="5" t="s">
        <v>16</v>
      </c>
      <c r="D20" s="14">
        <f>'0903'!X3</f>
        <v>1370285768516</v>
      </c>
      <c r="E20" s="17">
        <f>D13-D20</f>
        <v>286522900</v>
      </c>
    </row>
    <row r="21" spans="1:8">
      <c r="B21" s="5" t="s">
        <v>17</v>
      </c>
      <c r="D21" s="17">
        <f>'0903'!X2</f>
        <v>286522900</v>
      </c>
      <c r="E21" s="17">
        <f>D12-D21</f>
        <v>-286522900</v>
      </c>
    </row>
    <row r="22" spans="1:8">
      <c r="B22" s="5" t="s">
        <v>56</v>
      </c>
      <c r="D22" s="5">
        <f>'0903'!X1</f>
        <v>0</v>
      </c>
      <c r="E22" s="17">
        <f>D17-D22</f>
        <v>0</v>
      </c>
    </row>
    <row r="26" spans="1:8">
      <c r="D26" s="1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AC71"/>
  <sheetViews>
    <sheetView zoomScale="95" zoomScaleNormal="95" workbookViewId="0">
      <pane xSplit="10" topLeftCell="R1" activePane="topRight" state="frozen"/>
      <selection activeCell="A19" sqref="A19"/>
      <selection pane="topRight" activeCell="X24" sqref="X24"/>
    </sheetView>
  </sheetViews>
  <sheetFormatPr defaultColWidth="6.6640625" defaultRowHeight="15.5"/>
  <cols>
    <col min="1" max="1" width="3.4140625" bestFit="1" customWidth="1"/>
    <col min="2" max="2" width="11.58203125" bestFit="1" customWidth="1"/>
    <col min="3" max="3" width="8.25" bestFit="1" customWidth="1"/>
    <col min="4" max="4" width="20.1640625" bestFit="1" customWidth="1"/>
    <col min="5" max="5" width="32" bestFit="1" customWidth="1"/>
    <col min="6" max="6" width="15.9140625" bestFit="1" customWidth="1"/>
    <col min="7" max="7" width="32" bestFit="1" customWidth="1"/>
    <col min="8" max="8" width="19.1640625" bestFit="1" customWidth="1"/>
    <col min="9" max="9" width="7.5" bestFit="1" customWidth="1"/>
    <col min="10" max="10" width="10.1640625" bestFit="1" customWidth="1"/>
    <col min="11" max="11" width="32" bestFit="1" customWidth="1"/>
    <col min="12" max="12" width="11.5" bestFit="1" customWidth="1"/>
    <col min="13" max="13" width="8.83203125" bestFit="1" customWidth="1"/>
    <col min="14" max="14" width="13.1640625" bestFit="1" customWidth="1"/>
    <col min="15" max="15" width="21.1640625" bestFit="1" customWidth="1"/>
    <col min="16" max="16" width="15.58203125" bestFit="1" customWidth="1"/>
    <col min="17" max="17" width="14.9140625" bestFit="1" customWidth="1"/>
    <col min="18" max="18" width="13.75" bestFit="1" customWidth="1"/>
    <col min="19" max="19" width="8.58203125" bestFit="1" customWidth="1"/>
    <col min="20" max="20" width="6.6640625" style="92" customWidth="1"/>
    <col min="21" max="21" width="6.9140625" style="93" bestFit="1" customWidth="1"/>
    <col min="22" max="22" width="14" style="74" bestFit="1" customWidth="1"/>
    <col min="23" max="23" width="14" style="94" bestFit="1" customWidth="1"/>
    <col min="24" max="24" width="12.4140625" style="94" bestFit="1" customWidth="1"/>
    <col min="25" max="25" width="13.1640625" style="94" bestFit="1" customWidth="1"/>
    <col min="26" max="26" width="11.9140625" style="94" bestFit="1" customWidth="1"/>
    <col min="27" max="27" width="11" style="94" bestFit="1" customWidth="1"/>
    <col min="28" max="29" width="9.9140625" style="94" bestFit="1" customWidth="1"/>
    <col min="30" max="30" width="13.1640625" style="94" bestFit="1" customWidth="1"/>
    <col min="31" max="31" width="6.6640625" style="94" customWidth="1"/>
    <col min="32" max="16384" width="6.6640625" style="94"/>
  </cols>
  <sheetData>
    <row r="1" spans="1:29">
      <c r="A1" s="159"/>
      <c r="B1" s="159"/>
      <c r="C1" s="159"/>
      <c r="D1" s="159"/>
      <c r="E1" s="159"/>
      <c r="F1" s="159"/>
      <c r="G1" s="159"/>
      <c r="H1" s="159"/>
      <c r="I1" s="159"/>
      <c r="J1" s="185"/>
      <c r="K1" s="185"/>
      <c r="L1" s="185"/>
      <c r="M1" s="185"/>
      <c r="N1" s="302"/>
      <c r="O1" s="301"/>
      <c r="P1" s="302"/>
      <c r="Q1" s="301"/>
      <c r="R1" s="302"/>
      <c r="S1" s="301"/>
      <c r="V1" s="85"/>
      <c r="X1" s="85" t="s">
        <v>210</v>
      </c>
      <c r="Z1" s="85" t="s">
        <v>211</v>
      </c>
      <c r="AB1" s="85" t="s">
        <v>212</v>
      </c>
    </row>
    <row r="2" spans="1:29">
      <c r="A2" s="159"/>
      <c r="B2" s="159"/>
      <c r="C2" s="159"/>
      <c r="D2" s="159"/>
      <c r="E2" s="159"/>
      <c r="F2" s="159"/>
      <c r="G2" s="159"/>
      <c r="H2" s="159"/>
      <c r="I2" s="197"/>
      <c r="J2" s="323" t="s">
        <v>213</v>
      </c>
      <c r="K2" s="316"/>
      <c r="L2" s="316"/>
      <c r="M2" s="324"/>
      <c r="N2" s="308"/>
      <c r="O2" s="301"/>
      <c r="P2" s="302"/>
      <c r="Q2" s="301"/>
      <c r="R2" s="302"/>
      <c r="S2" s="301"/>
      <c r="V2" s="86" t="s">
        <v>18</v>
      </c>
      <c r="W2" s="87">
        <f t="shared" ref="W2:W8" si="0">SUMIFS($H:$H,$T:$T,$V2)</f>
        <v>281522100</v>
      </c>
      <c r="X2" s="87">
        <f t="shared" ref="X2:X8" si="1">SUMIFS($J:$J,$T:$T,$V2)</f>
        <v>0</v>
      </c>
      <c r="Y2" s="87"/>
      <c r="Z2" s="87"/>
      <c r="AA2" s="87"/>
    </row>
    <row r="3" spans="1:29" ht="15.65" customHeight="1">
      <c r="A3" s="159"/>
      <c r="B3" s="159"/>
      <c r="C3" s="159"/>
      <c r="D3" s="159"/>
      <c r="E3" s="159"/>
      <c r="F3" s="159"/>
      <c r="G3" s="159"/>
      <c r="H3" s="159"/>
      <c r="I3" s="197"/>
      <c r="J3" s="320" t="s">
        <v>214</v>
      </c>
      <c r="K3" s="301"/>
      <c r="L3" s="301"/>
      <c r="M3" s="314"/>
      <c r="N3" s="308"/>
      <c r="O3" s="301"/>
      <c r="P3" s="302"/>
      <c r="Q3" s="301"/>
      <c r="R3" s="302"/>
      <c r="S3" s="301"/>
      <c r="V3" s="86" t="s">
        <v>16</v>
      </c>
      <c r="W3" s="87">
        <f t="shared" si="0"/>
        <v>1339462457401</v>
      </c>
      <c r="X3" s="87">
        <f t="shared" si="1"/>
        <v>107156996674</v>
      </c>
      <c r="Y3" s="87"/>
      <c r="Z3" s="87"/>
      <c r="AA3" s="87"/>
    </row>
    <row r="4" spans="1:29" ht="15.65" customHeight="1">
      <c r="A4" s="159"/>
      <c r="B4" s="159"/>
      <c r="C4" s="159"/>
      <c r="D4" s="159"/>
      <c r="E4" s="159"/>
      <c r="F4" s="159"/>
      <c r="G4" s="159"/>
      <c r="H4" s="159"/>
      <c r="I4" s="197"/>
      <c r="J4" s="313" t="s">
        <v>215</v>
      </c>
      <c r="K4" s="301"/>
      <c r="L4" s="301"/>
      <c r="M4" s="314"/>
      <c r="N4" s="308"/>
      <c r="O4" s="301"/>
      <c r="P4" s="302"/>
      <c r="Q4" s="301"/>
      <c r="R4" s="302"/>
      <c r="S4" s="301"/>
      <c r="V4" s="86" t="s">
        <v>17</v>
      </c>
      <c r="W4" s="87">
        <f t="shared" si="0"/>
        <v>701847879</v>
      </c>
      <c r="X4" s="87">
        <f t="shared" si="1"/>
        <v>56147836</v>
      </c>
      <c r="Y4" s="87"/>
      <c r="Z4" s="87"/>
      <c r="AA4" s="87"/>
      <c r="AB4" s="85"/>
    </row>
    <row r="5" spans="1:29" ht="15.65" customHeight="1">
      <c r="A5" s="159"/>
      <c r="B5" s="159"/>
      <c r="C5" s="159"/>
      <c r="D5" s="159"/>
      <c r="E5" s="159"/>
      <c r="F5" s="159"/>
      <c r="G5" s="159"/>
      <c r="H5" s="159"/>
      <c r="I5" s="197"/>
      <c r="J5" s="310" t="s">
        <v>216</v>
      </c>
      <c r="K5" s="311"/>
      <c r="L5" s="311"/>
      <c r="M5" s="312"/>
      <c r="N5" s="308"/>
      <c r="O5" s="301"/>
      <c r="P5" s="302"/>
      <c r="Q5" s="301"/>
      <c r="R5" s="302"/>
      <c r="S5" s="301"/>
      <c r="V5" s="86" t="s">
        <v>56</v>
      </c>
      <c r="W5" s="87">
        <f t="shared" si="0"/>
        <v>0</v>
      </c>
      <c r="X5" s="87">
        <f t="shared" si="1"/>
        <v>0</v>
      </c>
      <c r="Y5" s="87"/>
      <c r="Z5" s="87"/>
      <c r="AA5" s="87"/>
      <c r="AB5" s="85"/>
    </row>
    <row r="6" spans="1:29" ht="15.65" customHeight="1">
      <c r="A6" s="159"/>
      <c r="B6" s="159"/>
      <c r="C6" s="159"/>
      <c r="D6" s="159"/>
      <c r="E6" s="159"/>
      <c r="F6" s="159"/>
      <c r="G6" s="159"/>
      <c r="H6" s="159"/>
      <c r="I6" s="159"/>
      <c r="J6" s="186"/>
      <c r="K6" s="186"/>
      <c r="L6" s="186"/>
      <c r="M6" s="186"/>
      <c r="N6" s="302"/>
      <c r="O6" s="301"/>
      <c r="P6" s="302"/>
      <c r="Q6" s="301"/>
      <c r="R6" s="302"/>
      <c r="S6" s="301"/>
      <c r="V6" s="86" t="s">
        <v>37</v>
      </c>
      <c r="W6" s="87">
        <f t="shared" si="0"/>
        <v>206369578</v>
      </c>
      <c r="X6" s="87">
        <f t="shared" si="1"/>
        <v>16509566</v>
      </c>
      <c r="Y6" s="87">
        <f>SUMIFS($H:$H,$T:$T,$V6)</f>
        <v>206369578</v>
      </c>
      <c r="Z6" s="87">
        <f>SUMIFS($J:$J,$T:$T,$V6)</f>
        <v>16509566</v>
      </c>
      <c r="AA6" s="87"/>
      <c r="AB6" s="85"/>
      <c r="AC6" s="78" t="s">
        <v>147</v>
      </c>
    </row>
    <row r="7" spans="1:29" ht="17.399999999999999" customHeight="1">
      <c r="A7" s="325" t="s">
        <v>217</v>
      </c>
      <c r="B7" s="301"/>
      <c r="C7" s="301"/>
      <c r="D7" s="301"/>
      <c r="E7" s="301"/>
      <c r="F7" s="301"/>
      <c r="G7" s="301"/>
      <c r="H7" s="301"/>
      <c r="I7" s="301"/>
      <c r="J7" s="301"/>
      <c r="K7" s="301"/>
      <c r="L7" s="301"/>
      <c r="M7" s="301"/>
      <c r="N7" s="301"/>
      <c r="O7" s="302"/>
      <c r="P7" s="301"/>
      <c r="Q7" s="302"/>
      <c r="R7" s="301"/>
      <c r="S7" s="182"/>
      <c r="V7" s="86" t="s">
        <v>38</v>
      </c>
      <c r="W7" s="87">
        <f t="shared" si="0"/>
        <v>0</v>
      </c>
      <c r="X7" s="87">
        <f t="shared" si="1"/>
        <v>0</v>
      </c>
      <c r="Y7" s="87">
        <f>SUMIFS($H:$H,$T:$T,$V7)</f>
        <v>0</v>
      </c>
      <c r="Z7" s="87">
        <f>SUMIFS($J:$J,$T:$T,$V7)</f>
        <v>0</v>
      </c>
      <c r="AA7" s="87"/>
      <c r="AB7" s="85"/>
      <c r="AC7" s="78" t="s">
        <v>168</v>
      </c>
    </row>
    <row r="8" spans="1:29" ht="17.399999999999999" customHeight="1">
      <c r="A8" s="300" t="s">
        <v>218</v>
      </c>
      <c r="B8" s="301"/>
      <c r="C8" s="301"/>
      <c r="D8" s="301"/>
      <c r="E8" s="301"/>
      <c r="F8" s="301"/>
      <c r="G8" s="301"/>
      <c r="H8" s="301"/>
      <c r="I8" s="301"/>
      <c r="J8" s="301"/>
      <c r="K8" s="301"/>
      <c r="L8" s="301"/>
      <c r="M8" s="301"/>
      <c r="N8" s="301"/>
      <c r="O8" s="302"/>
      <c r="P8" s="301"/>
      <c r="Q8" s="302"/>
      <c r="R8" s="301"/>
      <c r="S8" s="79"/>
      <c r="V8" s="86" t="s">
        <v>39</v>
      </c>
      <c r="W8" s="87">
        <f t="shared" si="0"/>
        <v>253573360</v>
      </c>
      <c r="X8" s="87">
        <f t="shared" si="1"/>
        <v>20285870</v>
      </c>
      <c r="Y8" s="87"/>
      <c r="AA8" s="87">
        <f>SUMIFS($H:$H,$T:$T,$V8)</f>
        <v>253573360</v>
      </c>
      <c r="AB8" s="87">
        <f>SUMIFS($J:$J,$T:$T,$V8)</f>
        <v>20285870</v>
      </c>
      <c r="AC8" s="78" t="s">
        <v>175</v>
      </c>
    </row>
    <row r="9" spans="1:29" ht="15.65" customHeight="1">
      <c r="A9" s="300" t="s">
        <v>146</v>
      </c>
      <c r="B9" s="301"/>
      <c r="C9" s="301"/>
      <c r="D9" s="301"/>
      <c r="E9" s="301"/>
      <c r="F9" s="301"/>
      <c r="G9" s="301"/>
      <c r="H9" s="301"/>
      <c r="I9" s="301"/>
      <c r="J9" s="301"/>
      <c r="K9" s="301"/>
      <c r="L9" s="301"/>
      <c r="M9" s="301"/>
      <c r="N9" s="301"/>
      <c r="O9" s="302"/>
      <c r="P9" s="301"/>
      <c r="Q9" s="302"/>
      <c r="R9" s="301"/>
      <c r="S9" s="79"/>
      <c r="V9" s="85"/>
      <c r="W9" s="88">
        <f t="shared" ref="W9:AB9" si="2">SUM(W2:W8)</f>
        <v>1340905770318</v>
      </c>
      <c r="X9" s="88">
        <f t="shared" si="2"/>
        <v>107249939946</v>
      </c>
      <c r="Y9" s="89">
        <f t="shared" si="2"/>
        <v>206369578</v>
      </c>
      <c r="Z9" s="89">
        <f t="shared" si="2"/>
        <v>16509566</v>
      </c>
      <c r="AA9" s="90">
        <f t="shared" si="2"/>
        <v>253573360</v>
      </c>
      <c r="AB9" s="90">
        <f t="shared" si="2"/>
        <v>20285870</v>
      </c>
    </row>
    <row r="10" spans="1:29" ht="15.65" customHeight="1">
      <c r="A10" s="302"/>
      <c r="B10" s="301"/>
      <c r="C10" s="301"/>
      <c r="D10" s="301"/>
      <c r="E10" s="301"/>
      <c r="F10" s="301"/>
      <c r="G10" s="301"/>
      <c r="H10" s="301"/>
      <c r="I10" s="301"/>
      <c r="J10" s="301"/>
      <c r="K10" s="301"/>
      <c r="L10" s="301"/>
      <c r="M10" s="301"/>
      <c r="N10" s="301"/>
      <c r="O10" s="302"/>
      <c r="P10" s="301"/>
      <c r="Q10" s="302"/>
      <c r="R10" s="301"/>
      <c r="S10" s="79"/>
      <c r="V10" s="66"/>
    </row>
    <row r="11" spans="1:29" ht="15.65" customHeight="1">
      <c r="A11" s="303" t="s">
        <v>219</v>
      </c>
      <c r="B11" s="301"/>
      <c r="C11" s="301"/>
      <c r="D11" s="301"/>
      <c r="E11" s="301"/>
      <c r="F11" s="301"/>
      <c r="G11" s="301"/>
      <c r="H11" s="301"/>
      <c r="I11" s="301"/>
      <c r="J11" s="301"/>
      <c r="K11" s="301"/>
      <c r="L11" s="301"/>
      <c r="M11" s="301"/>
      <c r="N11" s="301"/>
      <c r="O11" s="302"/>
      <c r="P11" s="301"/>
      <c r="Q11" s="302"/>
      <c r="R11" s="301"/>
      <c r="S11" s="79"/>
      <c r="U11" s="101" t="s">
        <v>140</v>
      </c>
      <c r="V11" s="102">
        <f>SUM(W11:AB11)</f>
        <v>1341365713256</v>
      </c>
      <c r="W11" s="99">
        <f>W9</f>
        <v>1340905770318</v>
      </c>
      <c r="Y11" s="99">
        <f>Y9</f>
        <v>206369578</v>
      </c>
      <c r="AA11" s="99">
        <f>AA9</f>
        <v>253573360</v>
      </c>
    </row>
    <row r="12" spans="1:29" ht="15.65" customHeight="1">
      <c r="A12" s="303" t="s">
        <v>220</v>
      </c>
      <c r="B12" s="301"/>
      <c r="C12" s="301"/>
      <c r="D12" s="301"/>
      <c r="E12" s="301"/>
      <c r="F12" s="301"/>
      <c r="G12" s="301"/>
      <c r="H12" s="301"/>
      <c r="I12" s="301"/>
      <c r="J12" s="301"/>
      <c r="K12" s="301"/>
      <c r="L12" s="301"/>
      <c r="M12" s="301"/>
      <c r="N12" s="301"/>
      <c r="O12" s="302"/>
      <c r="P12" s="301"/>
      <c r="Q12" s="302"/>
      <c r="R12" s="301"/>
      <c r="S12" s="79"/>
      <c r="U12" s="101" t="s">
        <v>141</v>
      </c>
      <c r="V12" s="100">
        <f>SUM(W12:AB12)</f>
        <v>107286735382</v>
      </c>
      <c r="X12" s="99">
        <f>X9</f>
        <v>107249939946</v>
      </c>
      <c r="Z12" s="99">
        <f>Z9</f>
        <v>16509566</v>
      </c>
      <c r="AB12" s="99">
        <f>AB9</f>
        <v>20285870</v>
      </c>
    </row>
    <row r="13" spans="1:29" ht="15.65" customHeight="1">
      <c r="A13" s="183" t="s">
        <v>221</v>
      </c>
      <c r="B13" s="183"/>
      <c r="C13" s="183"/>
      <c r="D13" s="183"/>
      <c r="E13" s="183"/>
      <c r="F13" s="183"/>
      <c r="G13" s="183"/>
      <c r="H13" s="190"/>
      <c r="I13" s="190"/>
      <c r="J13" s="190"/>
      <c r="K13" s="183"/>
      <c r="L13" s="183"/>
      <c r="M13" s="183"/>
      <c r="N13" s="183"/>
      <c r="O13" s="182"/>
      <c r="P13" s="191"/>
      <c r="Q13" s="182"/>
      <c r="R13" s="182"/>
      <c r="S13" s="79"/>
      <c r="V13" s="138">
        <f>SUM(V11:V12)</f>
        <v>1448652448638</v>
      </c>
    </row>
    <row r="14" spans="1:29" ht="12" customHeight="1">
      <c r="A14" s="304" t="s">
        <v>222</v>
      </c>
      <c r="B14" s="304" t="s">
        <v>223</v>
      </c>
      <c r="C14" s="305"/>
      <c r="D14" s="306"/>
      <c r="E14" s="304" t="s">
        <v>224</v>
      </c>
      <c r="F14" s="304" t="s">
        <v>225</v>
      </c>
      <c r="G14" s="304" t="s">
        <v>226</v>
      </c>
      <c r="H14" s="304" t="s">
        <v>227</v>
      </c>
      <c r="I14" s="304" t="s">
        <v>228</v>
      </c>
      <c r="J14" s="304" t="s">
        <v>229</v>
      </c>
      <c r="K14" s="304" t="s">
        <v>230</v>
      </c>
      <c r="L14" s="304" t="s">
        <v>231</v>
      </c>
      <c r="M14" s="304" t="s">
        <v>232</v>
      </c>
      <c r="N14" s="304" t="s">
        <v>233</v>
      </c>
      <c r="O14" s="304" t="s">
        <v>234</v>
      </c>
      <c r="P14" s="304" t="s">
        <v>235</v>
      </c>
      <c r="Q14" s="304" t="s">
        <v>236</v>
      </c>
      <c r="R14" s="304" t="s">
        <v>237</v>
      </c>
      <c r="S14" s="304" t="s">
        <v>238</v>
      </c>
    </row>
    <row r="15" spans="1:29" ht="12" customHeight="1">
      <c r="A15" s="307"/>
      <c r="B15" s="175" t="s">
        <v>239</v>
      </c>
      <c r="C15" s="175" t="s">
        <v>108</v>
      </c>
      <c r="D15" s="175" t="s">
        <v>240</v>
      </c>
      <c r="E15" s="307"/>
      <c r="F15" s="307"/>
      <c r="G15" s="307"/>
      <c r="H15" s="307"/>
      <c r="I15" s="307"/>
      <c r="J15" s="307"/>
      <c r="K15" s="307"/>
      <c r="L15" s="307"/>
      <c r="M15" s="307"/>
      <c r="N15" s="307"/>
      <c r="O15" s="307"/>
      <c r="P15" s="307"/>
      <c r="Q15" s="307"/>
      <c r="R15" s="307"/>
      <c r="S15" s="307"/>
      <c r="U15" s="93" t="s">
        <v>241</v>
      </c>
      <c r="V15" s="95" t="s">
        <v>228</v>
      </c>
    </row>
    <row r="16" spans="1:29" ht="11.5" customHeight="1">
      <c r="A16" s="175">
        <v>1</v>
      </c>
      <c r="B16" s="175">
        <v>2</v>
      </c>
      <c r="C16" s="175">
        <v>3</v>
      </c>
      <c r="D16" s="175">
        <v>4</v>
      </c>
      <c r="E16" s="175">
        <v>5</v>
      </c>
      <c r="F16" s="175">
        <v>6</v>
      </c>
      <c r="G16" s="175">
        <v>7</v>
      </c>
      <c r="H16" s="175">
        <v>8</v>
      </c>
      <c r="I16" s="175">
        <v>9</v>
      </c>
      <c r="J16" s="175">
        <v>10</v>
      </c>
      <c r="K16" s="175">
        <v>11</v>
      </c>
      <c r="L16" s="175">
        <v>12</v>
      </c>
      <c r="M16" s="175">
        <v>13</v>
      </c>
      <c r="N16" s="175">
        <v>14</v>
      </c>
      <c r="O16" s="175">
        <v>15</v>
      </c>
      <c r="P16" s="175">
        <v>16</v>
      </c>
      <c r="Q16" s="175">
        <v>17</v>
      </c>
      <c r="R16" s="175">
        <v>18</v>
      </c>
      <c r="S16" s="175">
        <v>19</v>
      </c>
      <c r="V16" s="96"/>
      <c r="W16" s="99">
        <f>W9-H51</f>
        <v>1340933606567</v>
      </c>
    </row>
    <row r="17" spans="1:25" ht="12" customHeight="1">
      <c r="A17" s="318" t="s">
        <v>242</v>
      </c>
      <c r="B17" s="305"/>
      <c r="C17" s="305"/>
      <c r="D17" s="305"/>
      <c r="E17" s="305"/>
      <c r="F17" s="305"/>
      <c r="G17" s="305"/>
      <c r="H17" s="305"/>
      <c r="I17" s="305"/>
      <c r="J17" s="305"/>
      <c r="K17" s="305"/>
      <c r="L17" s="305"/>
      <c r="M17" s="305"/>
      <c r="N17" s="305"/>
      <c r="O17" s="305"/>
      <c r="P17" s="305"/>
      <c r="Q17" s="305"/>
      <c r="R17" s="305"/>
      <c r="S17" s="306"/>
      <c r="V17" s="45">
        <v>9</v>
      </c>
    </row>
    <row r="18" spans="1:25" ht="12" customHeight="1">
      <c r="A18" s="176">
        <v>1</v>
      </c>
      <c r="B18" s="162"/>
      <c r="C18" s="187" t="s">
        <v>243</v>
      </c>
      <c r="D18" s="162"/>
      <c r="E18" s="162"/>
      <c r="F18" s="187" t="s">
        <v>243</v>
      </c>
      <c r="G18" s="162"/>
      <c r="H18" s="162"/>
      <c r="I18" s="162"/>
      <c r="J18" s="162"/>
      <c r="K18" s="162"/>
      <c r="L18" s="162"/>
      <c r="M18" s="162"/>
      <c r="N18" s="162"/>
      <c r="O18" s="162"/>
      <c r="P18" s="162"/>
      <c r="Q18" s="162"/>
      <c r="R18" s="265"/>
      <c r="S18" s="162"/>
      <c r="V18" s="44"/>
    </row>
    <row r="19" spans="1:25" ht="15.65" customHeight="1">
      <c r="A19" s="304" t="s">
        <v>117</v>
      </c>
      <c r="B19" s="305"/>
      <c r="C19" s="305"/>
      <c r="D19" s="305"/>
      <c r="E19" s="305"/>
      <c r="F19" s="305"/>
      <c r="G19" s="306"/>
      <c r="H19" s="162"/>
      <c r="I19" s="162"/>
      <c r="J19" s="162"/>
      <c r="K19" s="162"/>
      <c r="L19" s="162"/>
      <c r="M19" s="162"/>
      <c r="N19" s="162"/>
      <c r="O19" s="162"/>
      <c r="P19" s="162"/>
      <c r="Q19" s="162"/>
      <c r="R19" s="162"/>
      <c r="S19" s="162"/>
      <c r="T19" s="92" t="str">
        <f t="shared" ref="T19:T61" si="3">LEFT(G19,6)</f>
        <v/>
      </c>
      <c r="V19" s="80"/>
      <c r="Y19">
        <v>5</v>
      </c>
    </row>
    <row r="20" spans="1:25" ht="6" customHeight="1">
      <c r="A20" s="318" t="s">
        <v>244</v>
      </c>
      <c r="B20" s="305"/>
      <c r="C20" s="305"/>
      <c r="D20" s="305"/>
      <c r="E20" s="305"/>
      <c r="F20" s="305"/>
      <c r="G20" s="305"/>
      <c r="H20" s="305"/>
      <c r="I20" s="305"/>
      <c r="J20" s="305"/>
      <c r="K20" s="305"/>
      <c r="L20" s="305"/>
      <c r="M20" s="305"/>
      <c r="N20" s="305"/>
      <c r="O20" s="305"/>
      <c r="P20" s="305"/>
      <c r="Q20" s="305"/>
      <c r="R20" s="305"/>
      <c r="S20" s="306"/>
      <c r="T20" s="92" t="str">
        <f t="shared" si="3"/>
        <v/>
      </c>
      <c r="U20">
        <f t="shared" ref="U20:U54" si="4">LEN(F20)</f>
        <v>0</v>
      </c>
      <c r="V20" s="80"/>
      <c r="Y20">
        <v>8</v>
      </c>
    </row>
    <row r="21" spans="1:25" ht="21.65" customHeight="1">
      <c r="A21" s="176">
        <v>1</v>
      </c>
      <c r="B21" s="162"/>
      <c r="C21" s="187" t="s">
        <v>243</v>
      </c>
      <c r="D21" s="177">
        <v>46214</v>
      </c>
      <c r="E21" s="178" t="s">
        <v>245</v>
      </c>
      <c r="F21" s="187" t="s">
        <v>246</v>
      </c>
      <c r="G21" s="176" t="s">
        <v>18</v>
      </c>
      <c r="H21" s="188">
        <v>99268800</v>
      </c>
      <c r="I21" s="188">
        <v>0</v>
      </c>
      <c r="J21" s="188">
        <v>0</v>
      </c>
      <c r="K21" s="176" t="s">
        <v>182</v>
      </c>
      <c r="L21" s="176" t="s">
        <v>247</v>
      </c>
      <c r="M21" s="176">
        <v>1863</v>
      </c>
      <c r="N21" s="177">
        <v>46214</v>
      </c>
      <c r="O21" s="177">
        <v>46214</v>
      </c>
      <c r="P21" s="162"/>
      <c r="Q21" s="176" t="s">
        <v>248</v>
      </c>
      <c r="R21" s="176" t="s">
        <v>249</v>
      </c>
      <c r="S21" s="176" t="s">
        <v>250</v>
      </c>
      <c r="T21" s="92" t="str">
        <f t="shared" si="3"/>
        <v>DIEN00</v>
      </c>
      <c r="U21" s="93">
        <f t="shared" si="4"/>
        <v>16</v>
      </c>
      <c r="V21" s="44"/>
      <c r="Y21">
        <v>10</v>
      </c>
    </row>
    <row r="22" spans="1:25" ht="31.5" customHeight="1">
      <c r="A22" s="176">
        <v>2</v>
      </c>
      <c r="B22" s="162"/>
      <c r="C22" s="187" t="s">
        <v>243</v>
      </c>
      <c r="D22" s="177">
        <v>46224</v>
      </c>
      <c r="E22" s="178" t="s">
        <v>245</v>
      </c>
      <c r="F22" s="187" t="s">
        <v>246</v>
      </c>
      <c r="G22" s="176" t="s">
        <v>18</v>
      </c>
      <c r="H22" s="188">
        <v>87055000</v>
      </c>
      <c r="I22" s="188">
        <v>0</v>
      </c>
      <c r="J22" s="188">
        <v>0</v>
      </c>
      <c r="K22" s="176" t="s">
        <v>179</v>
      </c>
      <c r="L22" s="176" t="s">
        <v>247</v>
      </c>
      <c r="M22" s="176">
        <v>1887</v>
      </c>
      <c r="N22" s="177">
        <v>46224</v>
      </c>
      <c r="O22" s="177">
        <v>46224</v>
      </c>
      <c r="P22" s="162"/>
      <c r="Q22" s="176" t="s">
        <v>248</v>
      </c>
      <c r="R22" s="176" t="s">
        <v>249</v>
      </c>
      <c r="S22" s="176" t="s">
        <v>250</v>
      </c>
      <c r="T22" s="92" t="str">
        <f t="shared" si="3"/>
        <v>DIEN00</v>
      </c>
      <c r="U22" s="93">
        <f t="shared" si="4"/>
        <v>16</v>
      </c>
      <c r="V22" s="46">
        <v>0</v>
      </c>
    </row>
    <row r="23" spans="1:25" s="97" customFormat="1" ht="31.5" customHeight="1">
      <c r="A23" s="176">
        <v>3</v>
      </c>
      <c r="B23" s="162"/>
      <c r="C23" s="187" t="s">
        <v>243</v>
      </c>
      <c r="D23" s="162"/>
      <c r="E23" s="178" t="s">
        <v>251</v>
      </c>
      <c r="F23" s="187" t="s">
        <v>243</v>
      </c>
      <c r="G23" s="176" t="s">
        <v>18</v>
      </c>
      <c r="H23" s="188">
        <v>95198300</v>
      </c>
      <c r="I23" s="188">
        <v>0</v>
      </c>
      <c r="J23" s="188">
        <v>0</v>
      </c>
      <c r="K23" s="162"/>
      <c r="L23" s="176" t="s">
        <v>252</v>
      </c>
      <c r="M23" s="176">
        <v>2103</v>
      </c>
      <c r="N23" s="177">
        <v>46214</v>
      </c>
      <c r="O23" s="177">
        <v>46214</v>
      </c>
      <c r="P23" s="188">
        <v>95198300</v>
      </c>
      <c r="Q23" s="176" t="s">
        <v>248</v>
      </c>
      <c r="R23" s="176" t="s">
        <v>249</v>
      </c>
      <c r="S23" s="176" t="s">
        <v>253</v>
      </c>
      <c r="T23" s="92" t="str">
        <f t="shared" si="3"/>
        <v>DIEN00</v>
      </c>
      <c r="U23" s="93">
        <f t="shared" si="4"/>
        <v>1</v>
      </c>
      <c r="V23" s="46">
        <v>0</v>
      </c>
    </row>
    <row r="24" spans="1:25" s="97" customFormat="1" ht="15.65" customHeight="1">
      <c r="A24" s="304" t="s">
        <v>117</v>
      </c>
      <c r="B24" s="305"/>
      <c r="C24" s="305"/>
      <c r="D24" s="305"/>
      <c r="E24" s="305"/>
      <c r="F24" s="305"/>
      <c r="G24" s="306"/>
      <c r="H24" s="189">
        <v>281522100</v>
      </c>
      <c r="I24" s="162"/>
      <c r="J24" s="189">
        <v>0</v>
      </c>
      <c r="K24" s="162"/>
      <c r="L24" s="162"/>
      <c r="M24" s="162"/>
      <c r="N24" s="162"/>
      <c r="O24" s="162"/>
      <c r="P24" s="189">
        <v>95198300</v>
      </c>
      <c r="Q24" s="162"/>
      <c r="R24" s="162"/>
      <c r="S24" s="162"/>
      <c r="T24" s="92" t="str">
        <f t="shared" si="3"/>
        <v/>
      </c>
      <c r="U24" s="93">
        <f t="shared" si="4"/>
        <v>0</v>
      </c>
      <c r="V24" s="46">
        <v>0</v>
      </c>
    </row>
    <row r="25" spans="1:25" s="97" customFormat="1" ht="24.65" customHeight="1">
      <c r="A25" s="318" t="s">
        <v>254</v>
      </c>
      <c r="B25" s="305"/>
      <c r="C25" s="305"/>
      <c r="D25" s="305"/>
      <c r="E25" s="305"/>
      <c r="F25" s="305"/>
      <c r="G25" s="305"/>
      <c r="H25" s="305"/>
      <c r="I25" s="305"/>
      <c r="J25" s="305"/>
      <c r="K25" s="305"/>
      <c r="L25" s="305"/>
      <c r="M25" s="305"/>
      <c r="N25" s="305"/>
      <c r="O25" s="305"/>
      <c r="P25" s="305"/>
      <c r="Q25" s="305"/>
      <c r="R25" s="305"/>
      <c r="S25" s="306"/>
      <c r="T25" s="92" t="str">
        <f t="shared" si="3"/>
        <v/>
      </c>
      <c r="U25" s="93">
        <f t="shared" si="4"/>
        <v>0</v>
      </c>
      <c r="V25" s="80"/>
    </row>
    <row r="26" spans="1:25" ht="15.65" customHeight="1">
      <c r="A26" s="176">
        <v>1</v>
      </c>
      <c r="B26" s="162"/>
      <c r="C26" s="187" t="s">
        <v>243</v>
      </c>
      <c r="D26" s="162"/>
      <c r="E26" s="162"/>
      <c r="F26" s="187" t="s">
        <v>243</v>
      </c>
      <c r="G26" s="162"/>
      <c r="H26" s="162"/>
      <c r="I26" s="162"/>
      <c r="J26" s="162"/>
      <c r="K26" s="162"/>
      <c r="L26" s="162"/>
      <c r="M26" s="162"/>
      <c r="N26" s="162"/>
      <c r="O26" s="162"/>
      <c r="P26" s="162"/>
      <c r="Q26" s="162"/>
      <c r="R26" s="265"/>
      <c r="S26" s="162"/>
      <c r="T26" s="92" t="str">
        <f t="shared" si="3"/>
        <v/>
      </c>
      <c r="U26" s="93">
        <f t="shared" si="4"/>
        <v>1</v>
      </c>
      <c r="V26" s="44"/>
    </row>
    <row r="27" spans="1:25" ht="12" customHeight="1">
      <c r="A27" s="304" t="s">
        <v>117</v>
      </c>
      <c r="B27" s="305"/>
      <c r="C27" s="305"/>
      <c r="D27" s="305"/>
      <c r="E27" s="305"/>
      <c r="F27" s="305"/>
      <c r="G27" s="306"/>
      <c r="H27" s="162"/>
      <c r="I27" s="162"/>
      <c r="J27" s="162"/>
      <c r="K27" s="162"/>
      <c r="L27" s="162"/>
      <c r="M27" s="162"/>
      <c r="N27" s="162"/>
      <c r="O27" s="162"/>
      <c r="P27" s="162"/>
      <c r="Q27" s="162"/>
      <c r="R27" s="162"/>
      <c r="S27" s="162"/>
      <c r="T27" s="92" t="str">
        <f t="shared" si="3"/>
        <v/>
      </c>
      <c r="U27" s="93">
        <f t="shared" si="4"/>
        <v>0</v>
      </c>
      <c r="V27" s="80"/>
    </row>
    <row r="28" spans="1:25" ht="12" customHeight="1">
      <c r="A28" s="318" t="s">
        <v>255</v>
      </c>
      <c r="B28" s="305"/>
      <c r="C28" s="305"/>
      <c r="D28" s="305"/>
      <c r="E28" s="305"/>
      <c r="F28" s="305"/>
      <c r="G28" s="305"/>
      <c r="H28" s="305"/>
      <c r="I28" s="305"/>
      <c r="J28" s="305"/>
      <c r="K28" s="305"/>
      <c r="L28" s="305"/>
      <c r="M28" s="305"/>
      <c r="N28" s="305"/>
      <c r="O28" s="305"/>
      <c r="P28" s="305"/>
      <c r="Q28" s="305"/>
      <c r="R28" s="305"/>
      <c r="S28" s="306"/>
      <c r="T28" s="92" t="str">
        <f t="shared" si="3"/>
        <v/>
      </c>
      <c r="U28" s="93">
        <f t="shared" si="4"/>
        <v>0</v>
      </c>
      <c r="V28" s="80"/>
    </row>
    <row r="29" spans="1:25" ht="31.5" customHeight="1">
      <c r="A29" s="176">
        <v>1</v>
      </c>
      <c r="B29" s="176" t="s">
        <v>256</v>
      </c>
      <c r="C29" s="187" t="s">
        <v>257</v>
      </c>
      <c r="D29" s="177">
        <v>46216</v>
      </c>
      <c r="E29" s="178" t="s">
        <v>258</v>
      </c>
      <c r="F29" s="187" t="s">
        <v>259</v>
      </c>
      <c r="G29" s="176" t="s">
        <v>260</v>
      </c>
      <c r="H29" s="188">
        <v>52157</v>
      </c>
      <c r="I29" s="188">
        <v>8</v>
      </c>
      <c r="J29" s="188">
        <v>4173</v>
      </c>
      <c r="K29" s="176" t="s">
        <v>261</v>
      </c>
      <c r="L29" s="176" t="s">
        <v>247</v>
      </c>
      <c r="M29" s="176">
        <v>1796</v>
      </c>
      <c r="N29" s="177">
        <v>46216</v>
      </c>
      <c r="O29" s="177">
        <v>46216</v>
      </c>
      <c r="P29" s="162"/>
      <c r="Q29" s="176" t="s">
        <v>248</v>
      </c>
      <c r="R29" s="176" t="s">
        <v>262</v>
      </c>
      <c r="S29" s="176" t="s">
        <v>250</v>
      </c>
      <c r="T29" s="92" t="str">
        <f t="shared" si="3"/>
        <v>1388ĐĐ</v>
      </c>
      <c r="U29" s="93">
        <f t="shared" si="4"/>
        <v>15</v>
      </c>
      <c r="V29" s="208"/>
    </row>
    <row r="30" spans="1:25" ht="30.5" customHeight="1">
      <c r="A30" s="176">
        <v>2</v>
      </c>
      <c r="B30" s="176" t="s">
        <v>256</v>
      </c>
      <c r="C30" s="187" t="s">
        <v>263</v>
      </c>
      <c r="D30" s="177">
        <v>46219</v>
      </c>
      <c r="E30" s="178" t="s">
        <v>264</v>
      </c>
      <c r="F30" s="187" t="s">
        <v>265</v>
      </c>
      <c r="G30" s="176" t="s">
        <v>266</v>
      </c>
      <c r="H30" s="188">
        <v>16002431</v>
      </c>
      <c r="I30" s="188">
        <v>8</v>
      </c>
      <c r="J30" s="188">
        <v>1280195</v>
      </c>
      <c r="K30" s="176" t="s">
        <v>261</v>
      </c>
      <c r="L30" s="176" t="s">
        <v>247</v>
      </c>
      <c r="M30" s="176">
        <v>1854</v>
      </c>
      <c r="N30" s="177">
        <v>46219</v>
      </c>
      <c r="O30" s="177">
        <v>46219</v>
      </c>
      <c r="P30" s="188">
        <v>17282626</v>
      </c>
      <c r="Q30" s="176" t="s">
        <v>248</v>
      </c>
      <c r="R30" s="176" t="s">
        <v>262</v>
      </c>
      <c r="S30" s="176" t="s">
        <v>250</v>
      </c>
      <c r="T30" s="92" t="str">
        <f t="shared" si="3"/>
        <v>3220TK</v>
      </c>
      <c r="U30" s="93">
        <f t="shared" si="4"/>
        <v>11</v>
      </c>
      <c r="V30" s="208">
        <v>8</v>
      </c>
    </row>
    <row r="31" spans="1:25" ht="31.5" customHeight="1">
      <c r="A31" s="176">
        <v>3</v>
      </c>
      <c r="B31" s="176" t="s">
        <v>256</v>
      </c>
      <c r="C31" s="187" t="s">
        <v>267</v>
      </c>
      <c r="D31" s="177">
        <v>46219</v>
      </c>
      <c r="E31" s="178" t="s">
        <v>268</v>
      </c>
      <c r="F31" s="187" t="s">
        <v>269</v>
      </c>
      <c r="G31" s="176" t="s">
        <v>270</v>
      </c>
      <c r="H31" s="188">
        <v>13240742</v>
      </c>
      <c r="I31" s="188">
        <v>8</v>
      </c>
      <c r="J31" s="188">
        <v>1059259</v>
      </c>
      <c r="K31" s="176" t="s">
        <v>261</v>
      </c>
      <c r="L31" s="176" t="s">
        <v>247</v>
      </c>
      <c r="M31" s="176">
        <v>1855</v>
      </c>
      <c r="N31" s="177">
        <v>46219</v>
      </c>
      <c r="O31" s="177">
        <v>46219</v>
      </c>
      <c r="P31" s="162"/>
      <c r="Q31" s="176" t="s">
        <v>248</v>
      </c>
      <c r="R31" s="176" t="s">
        <v>262</v>
      </c>
      <c r="S31" s="176" t="s">
        <v>250</v>
      </c>
      <c r="T31" s="92" t="str">
        <f t="shared" si="3"/>
        <v>1388ĐĐ</v>
      </c>
      <c r="U31" s="93">
        <f t="shared" si="4"/>
        <v>15</v>
      </c>
      <c r="V31" s="208">
        <v>8</v>
      </c>
    </row>
    <row r="32" spans="1:25" ht="31.5" customHeight="1">
      <c r="A32" s="176">
        <v>4</v>
      </c>
      <c r="B32" s="176" t="s">
        <v>256</v>
      </c>
      <c r="C32" s="187" t="s">
        <v>271</v>
      </c>
      <c r="D32" s="177">
        <v>46225</v>
      </c>
      <c r="E32" s="178" t="s">
        <v>272</v>
      </c>
      <c r="F32" s="187" t="s">
        <v>243</v>
      </c>
      <c r="G32" s="176" t="s">
        <v>273</v>
      </c>
      <c r="H32" s="188">
        <v>36400000</v>
      </c>
      <c r="I32" s="188">
        <v>8</v>
      </c>
      <c r="J32" s="188">
        <v>2912000</v>
      </c>
      <c r="K32" s="162"/>
      <c r="L32" s="176" t="s">
        <v>252</v>
      </c>
      <c r="M32" s="176">
        <v>2105</v>
      </c>
      <c r="N32" s="177">
        <v>46225</v>
      </c>
      <c r="O32" s="177">
        <v>46225</v>
      </c>
      <c r="P32" s="188">
        <v>39312000</v>
      </c>
      <c r="Q32" s="176" t="s">
        <v>248</v>
      </c>
      <c r="R32" s="176" t="s">
        <v>262</v>
      </c>
      <c r="S32" s="176" t="s">
        <v>253</v>
      </c>
      <c r="T32" s="92" t="str">
        <f t="shared" si="3"/>
        <v xml:space="preserve">QBQT  </v>
      </c>
      <c r="U32" s="93">
        <f t="shared" si="4"/>
        <v>1</v>
      </c>
      <c r="V32" s="208">
        <v>8</v>
      </c>
    </row>
    <row r="33" spans="1:22" ht="31.5" customHeight="1">
      <c r="A33" s="176">
        <v>5</v>
      </c>
      <c r="B33" s="176" t="s">
        <v>256</v>
      </c>
      <c r="C33" s="187" t="s">
        <v>274</v>
      </c>
      <c r="D33" s="177">
        <v>46226</v>
      </c>
      <c r="E33" s="178" t="s">
        <v>275</v>
      </c>
      <c r="F33" s="187" t="s">
        <v>276</v>
      </c>
      <c r="G33" s="176" t="s">
        <v>277</v>
      </c>
      <c r="H33" s="188">
        <v>87550000</v>
      </c>
      <c r="I33" s="188">
        <v>8</v>
      </c>
      <c r="J33" s="188">
        <v>7004000</v>
      </c>
      <c r="K33" s="176" t="s">
        <v>261</v>
      </c>
      <c r="L33" s="176" t="s">
        <v>247</v>
      </c>
      <c r="M33" s="176">
        <v>1856</v>
      </c>
      <c r="N33" s="177">
        <v>46226</v>
      </c>
      <c r="O33" s="177">
        <v>46226</v>
      </c>
      <c r="P33" s="162"/>
      <c r="Q33" s="176" t="s">
        <v>248</v>
      </c>
      <c r="R33" s="176" t="s">
        <v>262</v>
      </c>
      <c r="S33" s="176" t="s">
        <v>250</v>
      </c>
      <c r="T33" s="92" t="str">
        <f t="shared" si="3"/>
        <v>1388ĐĐ</v>
      </c>
      <c r="U33" s="93">
        <f t="shared" si="4"/>
        <v>15</v>
      </c>
      <c r="V33" s="208">
        <v>8</v>
      </c>
    </row>
    <row r="34" spans="1:22" ht="21.5" customHeight="1">
      <c r="A34" s="176">
        <v>6</v>
      </c>
      <c r="B34" s="176" t="s">
        <v>278</v>
      </c>
      <c r="C34" s="187" t="s">
        <v>274</v>
      </c>
      <c r="D34" s="177">
        <v>46234</v>
      </c>
      <c r="E34" s="178" t="s">
        <v>279</v>
      </c>
      <c r="F34" s="187" t="s">
        <v>276</v>
      </c>
      <c r="G34" s="176" t="s">
        <v>280</v>
      </c>
      <c r="H34" s="188">
        <v>-87550000</v>
      </c>
      <c r="I34" s="188">
        <v>8</v>
      </c>
      <c r="J34" s="188">
        <v>-7004000</v>
      </c>
      <c r="K34" s="162"/>
      <c r="L34" s="176" t="s">
        <v>247</v>
      </c>
      <c r="M34" s="176">
        <v>1920</v>
      </c>
      <c r="N34" s="177">
        <v>46234</v>
      </c>
      <c r="O34" s="177">
        <v>46234</v>
      </c>
      <c r="P34" s="162"/>
      <c r="Q34" s="176" t="s">
        <v>248</v>
      </c>
      <c r="R34" s="176" t="s">
        <v>262</v>
      </c>
      <c r="S34" s="176" t="s">
        <v>250</v>
      </c>
      <c r="T34" s="92" t="str">
        <f t="shared" si="3"/>
        <v>ĐC giả</v>
      </c>
      <c r="U34" s="93">
        <f t="shared" si="4"/>
        <v>15</v>
      </c>
      <c r="V34" s="208">
        <v>8</v>
      </c>
    </row>
    <row r="35" spans="1:22" s="97" customFormat="1" ht="21.5" customHeight="1">
      <c r="A35" s="176">
        <v>7</v>
      </c>
      <c r="B35" s="176" t="s">
        <v>256</v>
      </c>
      <c r="C35" s="187" t="s">
        <v>281</v>
      </c>
      <c r="D35" s="177">
        <v>46230</v>
      </c>
      <c r="E35" s="178" t="s">
        <v>282</v>
      </c>
      <c r="F35" s="187" t="s">
        <v>283</v>
      </c>
      <c r="G35" s="176" t="s">
        <v>184</v>
      </c>
      <c r="H35" s="188">
        <v>150296766</v>
      </c>
      <c r="I35" s="188">
        <v>8</v>
      </c>
      <c r="J35" s="188">
        <v>12023742</v>
      </c>
      <c r="K35" s="176" t="s">
        <v>261</v>
      </c>
      <c r="L35" s="176" t="s">
        <v>247</v>
      </c>
      <c r="M35" s="176">
        <v>1893</v>
      </c>
      <c r="N35" s="177">
        <v>46230</v>
      </c>
      <c r="O35" s="177">
        <v>46230</v>
      </c>
      <c r="P35" s="162"/>
      <c r="Q35" s="176" t="s">
        <v>248</v>
      </c>
      <c r="R35" s="176" t="s">
        <v>262</v>
      </c>
      <c r="S35" s="176" t="s">
        <v>250</v>
      </c>
      <c r="T35" s="92" t="str">
        <f t="shared" si="3"/>
        <v>4500TT</v>
      </c>
      <c r="U35" s="93">
        <f t="shared" si="4"/>
        <v>11</v>
      </c>
      <c r="V35" s="208">
        <v>8</v>
      </c>
    </row>
    <row r="36" spans="1:22" ht="31.5" customHeight="1">
      <c r="A36" s="176">
        <v>8</v>
      </c>
      <c r="B36" s="176" t="s">
        <v>256</v>
      </c>
      <c r="C36" s="187" t="s">
        <v>284</v>
      </c>
      <c r="D36" s="177">
        <v>46230</v>
      </c>
      <c r="E36" s="178" t="s">
        <v>285</v>
      </c>
      <c r="F36" s="187" t="s">
        <v>286</v>
      </c>
      <c r="G36" s="176" t="s">
        <v>196</v>
      </c>
      <c r="H36" s="188">
        <v>57336523</v>
      </c>
      <c r="I36" s="188">
        <v>8</v>
      </c>
      <c r="J36" s="188">
        <v>4586922</v>
      </c>
      <c r="K36" s="176" t="s">
        <v>261</v>
      </c>
      <c r="L36" s="176" t="s">
        <v>247</v>
      </c>
      <c r="M36" s="176">
        <v>1857</v>
      </c>
      <c r="N36" s="177">
        <v>46230</v>
      </c>
      <c r="O36" s="177">
        <v>46230</v>
      </c>
      <c r="P36" s="162"/>
      <c r="Q36" s="176" t="s">
        <v>248</v>
      </c>
      <c r="R36" s="176" t="s">
        <v>262</v>
      </c>
      <c r="S36" s="176" t="s">
        <v>250</v>
      </c>
      <c r="T36" s="92" t="str">
        <f t="shared" si="3"/>
        <v>4500TT</v>
      </c>
      <c r="U36" s="93">
        <f t="shared" si="4"/>
        <v>15</v>
      </c>
      <c r="V36" s="208">
        <v>8</v>
      </c>
    </row>
    <row r="37" spans="1:22" ht="31.5" customHeight="1">
      <c r="A37" s="176">
        <v>9</v>
      </c>
      <c r="B37" s="176" t="s">
        <v>256</v>
      </c>
      <c r="C37" s="187" t="s">
        <v>287</v>
      </c>
      <c r="D37" s="177">
        <v>46230</v>
      </c>
      <c r="E37" s="178" t="s">
        <v>288</v>
      </c>
      <c r="F37" s="187" t="s">
        <v>289</v>
      </c>
      <c r="G37" s="176" t="s">
        <v>189</v>
      </c>
      <c r="H37" s="188">
        <v>45940071</v>
      </c>
      <c r="I37" s="188">
        <v>8</v>
      </c>
      <c r="J37" s="188">
        <v>3675206</v>
      </c>
      <c r="K37" s="176" t="s">
        <v>261</v>
      </c>
      <c r="L37" s="176" t="s">
        <v>247</v>
      </c>
      <c r="M37" s="176">
        <v>1858</v>
      </c>
      <c r="N37" s="177">
        <v>46230</v>
      </c>
      <c r="O37" s="177">
        <v>46230</v>
      </c>
      <c r="P37" s="162"/>
      <c r="Q37" s="176" t="s">
        <v>248</v>
      </c>
      <c r="R37" s="176" t="s">
        <v>262</v>
      </c>
      <c r="S37" s="176" t="s">
        <v>250</v>
      </c>
      <c r="T37" s="92" t="str">
        <f t="shared" si="3"/>
        <v>4500TT</v>
      </c>
      <c r="U37" s="93">
        <f t="shared" si="4"/>
        <v>15</v>
      </c>
      <c r="V37" s="208">
        <v>8</v>
      </c>
    </row>
    <row r="38" spans="1:22" ht="31.5" customHeight="1">
      <c r="A38" s="176">
        <v>10</v>
      </c>
      <c r="B38" s="176" t="s">
        <v>256</v>
      </c>
      <c r="C38" s="187" t="s">
        <v>290</v>
      </c>
      <c r="D38" s="177">
        <v>46230</v>
      </c>
      <c r="E38" s="178" t="s">
        <v>275</v>
      </c>
      <c r="F38" s="187" t="s">
        <v>276</v>
      </c>
      <c r="G38" s="176" t="s">
        <v>291</v>
      </c>
      <c r="H38" s="188">
        <v>6547500</v>
      </c>
      <c r="I38" s="188">
        <v>8</v>
      </c>
      <c r="J38" s="188">
        <v>523800</v>
      </c>
      <c r="K38" s="176" t="s">
        <v>261</v>
      </c>
      <c r="L38" s="176" t="s">
        <v>247</v>
      </c>
      <c r="M38" s="176">
        <v>1894</v>
      </c>
      <c r="N38" s="177">
        <v>46230</v>
      </c>
      <c r="O38" s="177">
        <v>46230</v>
      </c>
      <c r="P38" s="162"/>
      <c r="Q38" s="176" t="s">
        <v>248</v>
      </c>
      <c r="R38" s="176" t="s">
        <v>262</v>
      </c>
      <c r="S38" s="176" t="s">
        <v>250</v>
      </c>
      <c r="T38" s="92" t="str">
        <f t="shared" si="3"/>
        <v>1388ĐĐ</v>
      </c>
      <c r="U38" s="93">
        <f t="shared" si="4"/>
        <v>15</v>
      </c>
      <c r="V38" s="208">
        <v>10</v>
      </c>
    </row>
    <row r="39" spans="1:22" ht="31.5" customHeight="1">
      <c r="A39" s="176">
        <v>11</v>
      </c>
      <c r="B39" s="176" t="s">
        <v>256</v>
      </c>
      <c r="C39" s="187" t="s">
        <v>292</v>
      </c>
      <c r="D39" s="177">
        <v>46230</v>
      </c>
      <c r="E39" s="178" t="s">
        <v>275</v>
      </c>
      <c r="F39" s="187" t="s">
        <v>276</v>
      </c>
      <c r="G39" s="176" t="s">
        <v>293</v>
      </c>
      <c r="H39" s="188">
        <v>11429179</v>
      </c>
      <c r="I39" s="188">
        <v>8</v>
      </c>
      <c r="J39" s="188">
        <v>914334</v>
      </c>
      <c r="K39" s="176" t="s">
        <v>261</v>
      </c>
      <c r="L39" s="176" t="s">
        <v>247</v>
      </c>
      <c r="M39" s="176">
        <v>1895</v>
      </c>
      <c r="N39" s="177">
        <v>46230</v>
      </c>
      <c r="O39" s="177">
        <v>46230</v>
      </c>
      <c r="P39" s="162"/>
      <c r="Q39" s="176" t="s">
        <v>248</v>
      </c>
      <c r="R39" s="176" t="s">
        <v>262</v>
      </c>
      <c r="S39" s="176" t="s">
        <v>250</v>
      </c>
      <c r="T39" s="92" t="str">
        <f t="shared" si="3"/>
        <v>1388ĐĐ</v>
      </c>
      <c r="U39" s="93">
        <f t="shared" si="4"/>
        <v>15</v>
      </c>
      <c r="V39" s="208">
        <v>8</v>
      </c>
    </row>
    <row r="40" spans="1:22" ht="31.5" customHeight="1">
      <c r="A40" s="176">
        <v>12</v>
      </c>
      <c r="B40" s="176" t="s">
        <v>256</v>
      </c>
      <c r="C40" s="187" t="s">
        <v>294</v>
      </c>
      <c r="D40" s="177">
        <v>46230</v>
      </c>
      <c r="E40" s="178" t="s">
        <v>275</v>
      </c>
      <c r="F40" s="187" t="s">
        <v>276</v>
      </c>
      <c r="G40" s="176" t="s">
        <v>295</v>
      </c>
      <c r="H40" s="188">
        <v>87550000</v>
      </c>
      <c r="I40" s="188">
        <v>8</v>
      </c>
      <c r="J40" s="188">
        <v>7004000</v>
      </c>
      <c r="K40" s="176" t="s">
        <v>261</v>
      </c>
      <c r="L40" s="176" t="s">
        <v>247</v>
      </c>
      <c r="M40" s="176">
        <v>1896</v>
      </c>
      <c r="N40" s="177">
        <v>46230</v>
      </c>
      <c r="O40" s="177">
        <v>46230</v>
      </c>
      <c r="P40" s="162"/>
      <c r="Q40" s="176" t="s">
        <v>248</v>
      </c>
      <c r="R40" s="176" t="s">
        <v>262</v>
      </c>
      <c r="S40" s="176" t="s">
        <v>250</v>
      </c>
      <c r="T40" s="92" t="str">
        <f t="shared" si="3"/>
        <v>1388ĐĐ</v>
      </c>
      <c r="U40" s="93">
        <f t="shared" si="4"/>
        <v>15</v>
      </c>
      <c r="V40" s="208">
        <v>10</v>
      </c>
    </row>
    <row r="41" spans="1:22" ht="31.5" customHeight="1">
      <c r="A41" s="176">
        <v>13</v>
      </c>
      <c r="B41" s="176" t="s">
        <v>256</v>
      </c>
      <c r="C41" s="187" t="s">
        <v>296</v>
      </c>
      <c r="D41" s="177">
        <v>46234</v>
      </c>
      <c r="E41" s="178" t="s">
        <v>272</v>
      </c>
      <c r="F41" s="187" t="s">
        <v>243</v>
      </c>
      <c r="G41" s="176" t="s">
        <v>297</v>
      </c>
      <c r="H41" s="188">
        <v>602727</v>
      </c>
      <c r="I41" s="188">
        <v>10</v>
      </c>
      <c r="J41" s="188">
        <v>60273</v>
      </c>
      <c r="K41" s="162"/>
      <c r="L41" s="176" t="s">
        <v>252</v>
      </c>
      <c r="M41" s="176">
        <v>2115</v>
      </c>
      <c r="N41" s="177">
        <v>46234</v>
      </c>
      <c r="O41" s="177">
        <v>46234</v>
      </c>
      <c r="P41" s="188">
        <v>663000</v>
      </c>
      <c r="Q41" s="176" t="s">
        <v>248</v>
      </c>
      <c r="R41" s="176" t="s">
        <v>262</v>
      </c>
      <c r="S41" s="176" t="s">
        <v>253</v>
      </c>
      <c r="T41" s="92" t="str">
        <f t="shared" si="3"/>
        <v>QTQT -</v>
      </c>
      <c r="U41" s="93">
        <f t="shared" si="4"/>
        <v>1</v>
      </c>
      <c r="V41" s="208">
        <v>10</v>
      </c>
    </row>
    <row r="42" spans="1:22" ht="31.5" customHeight="1">
      <c r="A42" s="176">
        <v>14</v>
      </c>
      <c r="B42" s="176" t="s">
        <v>256</v>
      </c>
      <c r="C42" s="187" t="s">
        <v>298</v>
      </c>
      <c r="D42" s="177">
        <v>46234</v>
      </c>
      <c r="E42" s="178" t="s">
        <v>272</v>
      </c>
      <c r="F42" s="187" t="s">
        <v>243</v>
      </c>
      <c r="G42" s="176" t="s">
        <v>299</v>
      </c>
      <c r="H42" s="188">
        <v>3008519</v>
      </c>
      <c r="I42" s="188">
        <v>8</v>
      </c>
      <c r="J42" s="188">
        <v>240681</v>
      </c>
      <c r="K42" s="162"/>
      <c r="L42" s="176" t="s">
        <v>252</v>
      </c>
      <c r="M42" s="176">
        <v>2116</v>
      </c>
      <c r="N42" s="177">
        <v>46234</v>
      </c>
      <c r="O42" s="177">
        <v>46234</v>
      </c>
      <c r="P42" s="188">
        <v>3249200</v>
      </c>
      <c r="Q42" s="176" t="s">
        <v>248</v>
      </c>
      <c r="R42" s="176" t="s">
        <v>262</v>
      </c>
      <c r="S42" s="176" t="s">
        <v>253</v>
      </c>
      <c r="T42" s="92" t="str">
        <f t="shared" si="3"/>
        <v>QBQT -</v>
      </c>
      <c r="U42" s="93">
        <f t="shared" si="4"/>
        <v>1</v>
      </c>
      <c r="V42" s="208">
        <v>8</v>
      </c>
    </row>
    <row r="43" spans="1:22" ht="15.65" customHeight="1">
      <c r="A43" s="176">
        <v>15</v>
      </c>
      <c r="B43" s="162"/>
      <c r="C43" s="187" t="s">
        <v>243</v>
      </c>
      <c r="D43" s="177">
        <v>46219</v>
      </c>
      <c r="E43" s="178" t="s">
        <v>300</v>
      </c>
      <c r="F43" s="187" t="s">
        <v>246</v>
      </c>
      <c r="G43" s="176" t="s">
        <v>16</v>
      </c>
      <c r="H43" s="188">
        <v>12770571358</v>
      </c>
      <c r="I43" s="188">
        <v>8</v>
      </c>
      <c r="J43" s="188">
        <v>1021645710</v>
      </c>
      <c r="K43" s="176" t="s">
        <v>190</v>
      </c>
      <c r="L43" s="176" t="s">
        <v>247</v>
      </c>
      <c r="M43" s="176">
        <v>1850</v>
      </c>
      <c r="N43" s="177">
        <v>46219</v>
      </c>
      <c r="O43" s="177">
        <v>46219</v>
      </c>
      <c r="P43" s="162"/>
      <c r="Q43" s="176" t="s">
        <v>248</v>
      </c>
      <c r="R43" s="176" t="s">
        <v>249</v>
      </c>
      <c r="S43" s="176" t="s">
        <v>250</v>
      </c>
      <c r="T43" s="92" t="str">
        <f t="shared" si="3"/>
        <v>DIEN01</v>
      </c>
      <c r="U43" s="93">
        <f t="shared" si="4"/>
        <v>16</v>
      </c>
      <c r="V43" s="208">
        <v>8</v>
      </c>
    </row>
    <row r="44" spans="1:22" ht="12" customHeight="1">
      <c r="A44" s="176">
        <v>16</v>
      </c>
      <c r="B44" s="162"/>
      <c r="C44" s="187" t="s">
        <v>243</v>
      </c>
      <c r="D44" s="177">
        <v>46219</v>
      </c>
      <c r="E44" s="178" t="s">
        <v>301</v>
      </c>
      <c r="F44" s="187" t="s">
        <v>302</v>
      </c>
      <c r="G44" s="176" t="s">
        <v>17</v>
      </c>
      <c r="H44" s="188">
        <v>21856349</v>
      </c>
      <c r="I44" s="188">
        <v>8</v>
      </c>
      <c r="J44" s="188">
        <v>1748507</v>
      </c>
      <c r="K44" s="176" t="s">
        <v>191</v>
      </c>
      <c r="L44" s="176" t="s">
        <v>247</v>
      </c>
      <c r="M44" s="176">
        <v>1851</v>
      </c>
      <c r="N44" s="177">
        <v>46219</v>
      </c>
      <c r="O44" s="177">
        <v>46219</v>
      </c>
      <c r="P44" s="162"/>
      <c r="Q44" s="176" t="s">
        <v>248</v>
      </c>
      <c r="R44" s="176" t="s">
        <v>249</v>
      </c>
      <c r="S44" s="176" t="s">
        <v>250</v>
      </c>
      <c r="T44" s="92" t="str">
        <f t="shared" si="3"/>
        <v>CSPK02</v>
      </c>
      <c r="U44" s="93">
        <f t="shared" si="4"/>
        <v>13</v>
      </c>
      <c r="V44" s="208">
        <v>8</v>
      </c>
    </row>
    <row r="45" spans="1:22" ht="21.5" customHeight="1">
      <c r="A45" s="176">
        <v>17</v>
      </c>
      <c r="B45" s="162"/>
      <c r="C45" s="187" t="s">
        <v>243</v>
      </c>
      <c r="D45" s="177">
        <v>46214</v>
      </c>
      <c r="E45" s="178" t="s">
        <v>300</v>
      </c>
      <c r="F45" s="187" t="s">
        <v>246</v>
      </c>
      <c r="G45" s="176" t="s">
        <v>16</v>
      </c>
      <c r="H45" s="188">
        <v>317494962104</v>
      </c>
      <c r="I45" s="188">
        <v>8</v>
      </c>
      <c r="J45" s="188">
        <v>25399596965</v>
      </c>
      <c r="K45" s="176" t="s">
        <v>181</v>
      </c>
      <c r="L45" s="176" t="s">
        <v>247</v>
      </c>
      <c r="M45" s="176">
        <v>1862</v>
      </c>
      <c r="N45" s="177">
        <v>46214</v>
      </c>
      <c r="O45" s="177">
        <v>46214</v>
      </c>
      <c r="P45" s="188">
        <v>187567938729</v>
      </c>
      <c r="Q45" s="176" t="s">
        <v>248</v>
      </c>
      <c r="R45" s="176" t="s">
        <v>249</v>
      </c>
      <c r="S45" s="176" t="s">
        <v>250</v>
      </c>
      <c r="T45" s="92" t="str">
        <f t="shared" si="3"/>
        <v>DIEN01</v>
      </c>
      <c r="U45" s="93">
        <f t="shared" si="4"/>
        <v>16</v>
      </c>
      <c r="V45" s="208">
        <v>8</v>
      </c>
    </row>
    <row r="46" spans="1:22" ht="15.65" customHeight="1">
      <c r="A46" s="176">
        <v>18</v>
      </c>
      <c r="B46" s="162"/>
      <c r="C46" s="187" t="s">
        <v>243</v>
      </c>
      <c r="D46" s="177">
        <v>46214</v>
      </c>
      <c r="E46" s="178" t="s">
        <v>301</v>
      </c>
      <c r="F46" s="187" t="s">
        <v>302</v>
      </c>
      <c r="G46" s="176" t="s">
        <v>17</v>
      </c>
      <c r="H46" s="188">
        <v>68479512</v>
      </c>
      <c r="I46" s="188">
        <v>8</v>
      </c>
      <c r="J46" s="188">
        <v>5478363</v>
      </c>
      <c r="K46" s="176" t="s">
        <v>183</v>
      </c>
      <c r="L46" s="176" t="s">
        <v>247</v>
      </c>
      <c r="M46" s="176">
        <v>1864</v>
      </c>
      <c r="N46" s="177">
        <v>46214</v>
      </c>
      <c r="O46" s="177">
        <v>46214</v>
      </c>
      <c r="P46" s="162"/>
      <c r="Q46" s="176" t="s">
        <v>248</v>
      </c>
      <c r="R46" s="176" t="s">
        <v>249</v>
      </c>
      <c r="S46" s="176" t="s">
        <v>250</v>
      </c>
      <c r="T46" s="92" t="str">
        <f t="shared" si="3"/>
        <v>CSPK02</v>
      </c>
      <c r="U46" s="93">
        <f t="shared" si="4"/>
        <v>13</v>
      </c>
      <c r="V46" s="208">
        <v>8</v>
      </c>
    </row>
    <row r="47" spans="1:22" ht="15.65" customHeight="1">
      <c r="A47" s="176">
        <v>19</v>
      </c>
      <c r="B47" s="162"/>
      <c r="C47" s="187" t="s">
        <v>243</v>
      </c>
      <c r="D47" s="177">
        <v>46224</v>
      </c>
      <c r="E47" s="178" t="s">
        <v>300</v>
      </c>
      <c r="F47" s="187" t="s">
        <v>246</v>
      </c>
      <c r="G47" s="176" t="s">
        <v>16</v>
      </c>
      <c r="H47" s="188">
        <v>315551964534</v>
      </c>
      <c r="I47" s="188">
        <v>8</v>
      </c>
      <c r="J47" s="188">
        <v>25244157162</v>
      </c>
      <c r="K47" s="176" t="s">
        <v>177</v>
      </c>
      <c r="L47" s="176" t="s">
        <v>247</v>
      </c>
      <c r="M47" s="176">
        <v>1886</v>
      </c>
      <c r="N47" s="177">
        <v>46224</v>
      </c>
      <c r="O47" s="177">
        <v>46224</v>
      </c>
      <c r="P47" s="188">
        <v>5004172868</v>
      </c>
      <c r="Q47" s="176" t="s">
        <v>248</v>
      </c>
      <c r="R47" s="176" t="s">
        <v>249</v>
      </c>
      <c r="S47" s="176" t="s">
        <v>250</v>
      </c>
      <c r="T47" s="92" t="str">
        <f t="shared" si="3"/>
        <v>DIEN01</v>
      </c>
      <c r="U47" s="93">
        <f t="shared" si="4"/>
        <v>16</v>
      </c>
      <c r="V47" s="208"/>
    </row>
    <row r="48" spans="1:22" ht="15.65" customHeight="1">
      <c r="A48" s="176">
        <v>20</v>
      </c>
      <c r="B48" s="162"/>
      <c r="C48" s="187" t="s">
        <v>243</v>
      </c>
      <c r="D48" s="177">
        <v>46224</v>
      </c>
      <c r="E48" s="178" t="s">
        <v>301</v>
      </c>
      <c r="F48" s="187" t="s">
        <v>302</v>
      </c>
      <c r="G48" s="176" t="s">
        <v>17</v>
      </c>
      <c r="H48" s="188">
        <v>72561794</v>
      </c>
      <c r="I48" s="188">
        <v>8</v>
      </c>
      <c r="J48" s="188">
        <v>5804946</v>
      </c>
      <c r="K48" s="176" t="s">
        <v>180</v>
      </c>
      <c r="L48" s="176" t="s">
        <v>247</v>
      </c>
      <c r="M48" s="176">
        <v>1888</v>
      </c>
      <c r="N48" s="177">
        <v>46224</v>
      </c>
      <c r="O48" s="177">
        <v>46224</v>
      </c>
      <c r="P48" s="188">
        <v>34870544</v>
      </c>
      <c r="Q48" s="176" t="s">
        <v>248</v>
      </c>
      <c r="R48" s="176" t="s">
        <v>249</v>
      </c>
      <c r="S48" s="176" t="s">
        <v>250</v>
      </c>
      <c r="T48" s="92" t="str">
        <f t="shared" si="3"/>
        <v>CSPK02</v>
      </c>
      <c r="U48" s="93">
        <f t="shared" si="4"/>
        <v>13</v>
      </c>
      <c r="V48" s="208"/>
    </row>
    <row r="49" spans="1:23" ht="15.65" customHeight="1">
      <c r="A49" s="176">
        <v>21</v>
      </c>
      <c r="B49" s="162"/>
      <c r="C49" s="187" t="s">
        <v>243</v>
      </c>
      <c r="D49" s="177">
        <v>46234</v>
      </c>
      <c r="E49" s="178" t="s">
        <v>303</v>
      </c>
      <c r="F49" s="187" t="s">
        <v>246</v>
      </c>
      <c r="G49" s="176" t="s">
        <v>16</v>
      </c>
      <c r="H49" s="188">
        <v>-234984967</v>
      </c>
      <c r="I49" s="188">
        <v>8</v>
      </c>
      <c r="J49" s="188">
        <v>-18798798</v>
      </c>
      <c r="K49" s="176" t="s">
        <v>192</v>
      </c>
      <c r="L49" s="176" t="s">
        <v>247</v>
      </c>
      <c r="M49" s="176">
        <v>1906</v>
      </c>
      <c r="N49" s="177">
        <v>46234</v>
      </c>
      <c r="O49" s="177">
        <v>46234</v>
      </c>
      <c r="P49" s="188">
        <v>-253783765</v>
      </c>
      <c r="Q49" s="176" t="s">
        <v>248</v>
      </c>
      <c r="R49" s="176" t="s">
        <v>249</v>
      </c>
      <c r="S49" s="176" t="s">
        <v>250</v>
      </c>
      <c r="T49" s="92" t="str">
        <f t="shared" si="3"/>
        <v>DIEN01</v>
      </c>
      <c r="U49" s="93">
        <f t="shared" si="4"/>
        <v>16</v>
      </c>
      <c r="V49" s="208"/>
    </row>
    <row r="50" spans="1:23" ht="15.65" customHeight="1">
      <c r="A50" s="176">
        <v>22</v>
      </c>
      <c r="B50" s="162"/>
      <c r="C50" s="187" t="s">
        <v>243</v>
      </c>
      <c r="D50" s="177">
        <v>46234</v>
      </c>
      <c r="E50" s="178" t="s">
        <v>304</v>
      </c>
      <c r="F50" s="187" t="s">
        <v>246</v>
      </c>
      <c r="G50" s="176" t="s">
        <v>16</v>
      </c>
      <c r="H50" s="188">
        <v>136913985</v>
      </c>
      <c r="I50" s="188">
        <v>8</v>
      </c>
      <c r="J50" s="188">
        <v>10953121</v>
      </c>
      <c r="K50" s="176" t="s">
        <v>193</v>
      </c>
      <c r="L50" s="176" t="s">
        <v>247</v>
      </c>
      <c r="M50" s="176">
        <v>1907</v>
      </c>
      <c r="N50" s="177">
        <v>46234</v>
      </c>
      <c r="O50" s="177">
        <v>46234</v>
      </c>
      <c r="P50" s="162"/>
      <c r="Q50" s="176" t="s">
        <v>248</v>
      </c>
      <c r="R50" s="176" t="s">
        <v>249</v>
      </c>
      <c r="S50" s="176" t="s">
        <v>250</v>
      </c>
      <c r="T50" s="92" t="str">
        <f t="shared" si="3"/>
        <v>DIEN01</v>
      </c>
      <c r="U50" s="93">
        <f t="shared" si="4"/>
        <v>16</v>
      </c>
      <c r="V50" s="208"/>
    </row>
    <row r="51" spans="1:23" ht="15.65" customHeight="1">
      <c r="A51" s="176">
        <v>23</v>
      </c>
      <c r="B51" s="162"/>
      <c r="C51" s="187" t="s">
        <v>243</v>
      </c>
      <c r="D51" s="177">
        <v>46234</v>
      </c>
      <c r="E51" s="178" t="s">
        <v>305</v>
      </c>
      <c r="F51" s="187" t="s">
        <v>246</v>
      </c>
      <c r="G51" s="176" t="s">
        <v>16</v>
      </c>
      <c r="H51" s="188">
        <v>-27836249</v>
      </c>
      <c r="I51" s="188">
        <v>8</v>
      </c>
      <c r="J51" s="188">
        <v>-2226899</v>
      </c>
      <c r="K51" s="176" t="s">
        <v>194</v>
      </c>
      <c r="L51" s="176" t="s">
        <v>247</v>
      </c>
      <c r="M51" s="176">
        <v>1908</v>
      </c>
      <c r="N51" s="177">
        <v>46234</v>
      </c>
      <c r="O51" s="177">
        <v>46234</v>
      </c>
      <c r="P51" s="188">
        <v>-30063148</v>
      </c>
      <c r="Q51" s="176" t="s">
        <v>248</v>
      </c>
      <c r="R51" s="176" t="s">
        <v>249</v>
      </c>
      <c r="S51" s="176" t="s">
        <v>250</v>
      </c>
      <c r="T51" s="92" t="str">
        <f t="shared" si="3"/>
        <v>DIEN01</v>
      </c>
      <c r="U51" s="93">
        <f t="shared" si="4"/>
        <v>16</v>
      </c>
      <c r="V51" s="208"/>
    </row>
    <row r="52" spans="1:23" ht="15.65" customHeight="1">
      <c r="A52" s="176">
        <v>24</v>
      </c>
      <c r="B52" s="162"/>
      <c r="C52" s="187" t="s">
        <v>243</v>
      </c>
      <c r="D52" s="177">
        <v>46234</v>
      </c>
      <c r="E52" s="178" t="s">
        <v>306</v>
      </c>
      <c r="F52" s="187" t="s">
        <v>246</v>
      </c>
      <c r="G52" s="176" t="s">
        <v>16</v>
      </c>
      <c r="H52" s="188">
        <v>753400993</v>
      </c>
      <c r="I52" s="188">
        <v>8</v>
      </c>
      <c r="J52" s="188">
        <v>60272080</v>
      </c>
      <c r="K52" s="176" t="s">
        <v>195</v>
      </c>
      <c r="L52" s="176" t="s">
        <v>247</v>
      </c>
      <c r="M52" s="176">
        <v>1909</v>
      </c>
      <c r="N52" s="177">
        <v>46234</v>
      </c>
      <c r="O52" s="177">
        <v>46234</v>
      </c>
      <c r="P52" s="162"/>
      <c r="Q52" s="176" t="s">
        <v>248</v>
      </c>
      <c r="R52" s="176" t="s">
        <v>249</v>
      </c>
      <c r="S52" s="176" t="s">
        <v>250</v>
      </c>
      <c r="T52" s="92" t="str">
        <f t="shared" si="3"/>
        <v>DIEN01</v>
      </c>
      <c r="U52" s="93">
        <f t="shared" si="4"/>
        <v>16</v>
      </c>
      <c r="V52" s="208"/>
    </row>
    <row r="53" spans="1:23" ht="15.65" customHeight="1">
      <c r="A53" s="176">
        <v>25</v>
      </c>
      <c r="B53" s="162"/>
      <c r="C53" s="187" t="s">
        <v>243</v>
      </c>
      <c r="D53" s="162"/>
      <c r="E53" s="178" t="s">
        <v>307</v>
      </c>
      <c r="F53" s="187" t="s">
        <v>243</v>
      </c>
      <c r="G53" s="176" t="s">
        <v>16</v>
      </c>
      <c r="H53" s="188">
        <v>693017465643</v>
      </c>
      <c r="I53" s="188">
        <v>8</v>
      </c>
      <c r="J53" s="188">
        <v>55441397333</v>
      </c>
      <c r="K53" s="162"/>
      <c r="L53" s="176" t="s">
        <v>252</v>
      </c>
      <c r="M53" s="176">
        <v>2103</v>
      </c>
      <c r="N53" s="177">
        <v>46214</v>
      </c>
      <c r="O53" s="177">
        <v>46214</v>
      </c>
      <c r="P53" s="188">
        <v>748458862976</v>
      </c>
      <c r="Q53" s="176" t="s">
        <v>248</v>
      </c>
      <c r="R53" s="176" t="s">
        <v>249</v>
      </c>
      <c r="S53" s="176" t="s">
        <v>253</v>
      </c>
      <c r="T53" s="92" t="str">
        <f t="shared" si="3"/>
        <v>DIEN01</v>
      </c>
      <c r="U53" s="93">
        <f t="shared" si="4"/>
        <v>1</v>
      </c>
      <c r="V53" s="208"/>
    </row>
    <row r="54" spans="1:23" ht="15.65" customHeight="1">
      <c r="A54" s="176">
        <v>26</v>
      </c>
      <c r="B54" s="162"/>
      <c r="C54" s="187" t="s">
        <v>243</v>
      </c>
      <c r="D54" s="162"/>
      <c r="E54" s="178" t="s">
        <v>308</v>
      </c>
      <c r="F54" s="187" t="s">
        <v>243</v>
      </c>
      <c r="G54" s="176" t="s">
        <v>17</v>
      </c>
      <c r="H54" s="188">
        <v>538950224</v>
      </c>
      <c r="I54" s="188">
        <v>8</v>
      </c>
      <c r="J54" s="188">
        <v>43116020</v>
      </c>
      <c r="K54" s="162"/>
      <c r="L54" s="176" t="s">
        <v>252</v>
      </c>
      <c r="M54" s="176">
        <v>2103</v>
      </c>
      <c r="N54" s="177">
        <v>46214</v>
      </c>
      <c r="O54" s="177">
        <v>46214</v>
      </c>
      <c r="P54" s="188">
        <v>582066244</v>
      </c>
      <c r="Q54" s="176" t="s">
        <v>248</v>
      </c>
      <c r="R54" s="176" t="s">
        <v>249</v>
      </c>
      <c r="S54" s="176" t="s">
        <v>253</v>
      </c>
      <c r="T54" s="92" t="str">
        <f t="shared" si="3"/>
        <v>CSPK02</v>
      </c>
      <c r="U54" s="93">
        <f t="shared" si="4"/>
        <v>1</v>
      </c>
      <c r="V54" s="208"/>
    </row>
    <row r="55" spans="1:23" ht="15.65" customHeight="1">
      <c r="A55" s="304" t="s">
        <v>117</v>
      </c>
      <c r="B55" s="305"/>
      <c r="C55" s="305"/>
      <c r="D55" s="305"/>
      <c r="E55" s="305"/>
      <c r="F55" s="305"/>
      <c r="G55" s="306"/>
      <c r="H55" s="189">
        <v>1340592711895</v>
      </c>
      <c r="I55" s="162"/>
      <c r="J55" s="189">
        <v>107247429095</v>
      </c>
      <c r="K55" s="162"/>
      <c r="L55" s="162"/>
      <c r="M55" s="162"/>
      <c r="N55" s="162"/>
      <c r="O55" s="162"/>
      <c r="P55" s="189">
        <v>941424571274</v>
      </c>
      <c r="Q55" s="162"/>
      <c r="R55" s="162"/>
      <c r="S55" s="162"/>
      <c r="T55" s="92" t="str">
        <f t="shared" si="3"/>
        <v/>
      </c>
      <c r="V55" s="208"/>
    </row>
    <row r="56" spans="1:23" ht="15.65" customHeight="1">
      <c r="A56" s="318" t="s">
        <v>309</v>
      </c>
      <c r="B56" s="305"/>
      <c r="C56" s="305"/>
      <c r="D56" s="305"/>
      <c r="E56" s="305"/>
      <c r="F56" s="305"/>
      <c r="G56" s="305"/>
      <c r="H56" s="305"/>
      <c r="I56" s="305"/>
      <c r="J56" s="305"/>
      <c r="K56" s="305"/>
      <c r="L56" s="305"/>
      <c r="M56" s="305"/>
      <c r="N56" s="305"/>
      <c r="O56" s="305"/>
      <c r="P56" s="305"/>
      <c r="Q56" s="305"/>
      <c r="R56" s="305"/>
      <c r="S56" s="306"/>
      <c r="T56" s="92" t="str">
        <f t="shared" si="3"/>
        <v/>
      </c>
      <c r="U56" s="93">
        <f>LEN(F56)</f>
        <v>0</v>
      </c>
      <c r="V56" s="208"/>
    </row>
    <row r="57" spans="1:23">
      <c r="A57" s="176">
        <v>1</v>
      </c>
      <c r="B57" s="162"/>
      <c r="C57" s="187" t="s">
        <v>243</v>
      </c>
      <c r="D57" s="162"/>
      <c r="E57" s="162"/>
      <c r="F57" s="187" t="s">
        <v>243</v>
      </c>
      <c r="G57" s="162"/>
      <c r="H57" s="162"/>
      <c r="I57" s="162"/>
      <c r="J57" s="162"/>
      <c r="K57" s="162"/>
      <c r="L57" s="162"/>
      <c r="M57" s="162"/>
      <c r="N57" s="162"/>
      <c r="O57" s="162"/>
      <c r="P57" s="162"/>
      <c r="Q57" s="162"/>
      <c r="R57" s="265"/>
      <c r="S57" s="162"/>
      <c r="T57" s="92" t="str">
        <f t="shared" si="3"/>
        <v/>
      </c>
      <c r="U57" s="93">
        <f>LEN(F57)</f>
        <v>1</v>
      </c>
      <c r="V57" s="208"/>
    </row>
    <row r="58" spans="1:23" ht="15.65" customHeight="1">
      <c r="A58" s="304" t="s">
        <v>117</v>
      </c>
      <c r="B58" s="305"/>
      <c r="C58" s="305"/>
      <c r="D58" s="305"/>
      <c r="E58" s="305"/>
      <c r="F58" s="305"/>
      <c r="G58" s="306"/>
      <c r="H58" s="162"/>
      <c r="I58" s="162"/>
      <c r="J58" s="162"/>
      <c r="K58" s="162"/>
      <c r="L58" s="162"/>
      <c r="M58" s="162"/>
      <c r="N58" s="162"/>
      <c r="O58" s="162"/>
      <c r="P58" s="162"/>
      <c r="Q58" s="162"/>
      <c r="R58" s="162"/>
      <c r="S58" s="162"/>
      <c r="T58" s="92" t="str">
        <f t="shared" si="3"/>
        <v/>
      </c>
      <c r="V58" s="208"/>
      <c r="W58" s="82"/>
    </row>
    <row r="59" spans="1:23" ht="15.65" customHeight="1">
      <c r="A59" s="304" t="s">
        <v>117</v>
      </c>
      <c r="B59" s="305"/>
      <c r="C59" s="305"/>
      <c r="D59" s="305"/>
      <c r="E59" s="305"/>
      <c r="F59" s="305"/>
      <c r="G59" s="306"/>
      <c r="H59" s="189">
        <v>1340874233995</v>
      </c>
      <c r="I59" s="162"/>
      <c r="J59" s="189">
        <v>107247429095</v>
      </c>
      <c r="K59" s="162"/>
      <c r="L59" s="162"/>
      <c r="M59" s="162"/>
      <c r="N59" s="162"/>
      <c r="O59" s="162"/>
      <c r="P59" s="162"/>
      <c r="Q59" s="162"/>
      <c r="R59" s="317"/>
      <c r="S59" s="306"/>
      <c r="T59" t="str">
        <f t="shared" si="3"/>
        <v/>
      </c>
      <c r="V59" s="98"/>
    </row>
    <row r="60" spans="1:23" ht="11.5" customHeight="1">
      <c r="A60" s="319" t="s">
        <v>310</v>
      </c>
      <c r="B60" s="316"/>
      <c r="C60" s="316"/>
      <c r="D60" s="316"/>
      <c r="E60" s="316"/>
      <c r="F60" s="316"/>
      <c r="G60" s="316"/>
      <c r="H60" s="316"/>
      <c r="I60" s="316"/>
      <c r="J60" s="316"/>
      <c r="K60" s="316"/>
      <c r="L60" s="316"/>
      <c r="M60" s="186"/>
      <c r="N60" s="186"/>
      <c r="O60" s="186"/>
      <c r="P60" s="186"/>
      <c r="Q60" s="186"/>
      <c r="R60" s="315"/>
      <c r="S60" s="316"/>
      <c r="T60" t="str">
        <f t="shared" si="3"/>
        <v/>
      </c>
      <c r="U60">
        <f>LEN(F60)</f>
        <v>0</v>
      </c>
      <c r="V60" s="67"/>
    </row>
    <row r="61" spans="1:23" ht="15.5" customHeight="1">
      <c r="A61" s="322" t="s">
        <v>311</v>
      </c>
      <c r="B61" s="301"/>
      <c r="C61" s="301"/>
      <c r="D61" s="301"/>
      <c r="E61" s="301"/>
      <c r="F61" s="301"/>
      <c r="G61" s="301"/>
      <c r="H61" s="301"/>
      <c r="I61" s="301"/>
      <c r="J61" s="301"/>
      <c r="K61" s="301"/>
      <c r="L61" s="301"/>
      <c r="M61" s="159"/>
      <c r="N61" s="159"/>
      <c r="O61" s="159"/>
      <c r="P61" s="159"/>
      <c r="Q61" s="159"/>
      <c r="R61" s="302"/>
      <c r="S61" s="301"/>
      <c r="T61" t="str">
        <f t="shared" si="3"/>
        <v/>
      </c>
      <c r="U61">
        <f>LEN(F61)</f>
        <v>0</v>
      </c>
    </row>
    <row r="62" spans="1:23" ht="15.5" customHeight="1"/>
    <row r="63" spans="1:23" ht="15.5" customHeight="1">
      <c r="A63" s="159"/>
      <c r="B63" s="159"/>
      <c r="C63" s="159"/>
      <c r="D63" s="159"/>
      <c r="E63" s="159"/>
      <c r="F63" s="159"/>
      <c r="G63" s="159"/>
      <c r="H63" s="159"/>
      <c r="I63" s="159"/>
      <c r="J63" s="159"/>
      <c r="K63" s="159"/>
      <c r="L63" s="159"/>
      <c r="M63" s="159"/>
      <c r="N63" s="159"/>
      <c r="O63" s="159"/>
      <c r="P63" s="159"/>
      <c r="Q63" s="159"/>
      <c r="V63" s="79"/>
    </row>
    <row r="64" spans="1:23" ht="15.5" customHeight="1">
      <c r="A64" s="159"/>
      <c r="B64" s="159"/>
      <c r="C64" s="159"/>
      <c r="D64" s="159"/>
      <c r="E64" s="159"/>
      <c r="F64" s="159"/>
      <c r="G64" s="159"/>
      <c r="H64" s="159"/>
      <c r="I64" s="159"/>
      <c r="J64" s="309" t="s">
        <v>312</v>
      </c>
      <c r="K64" s="301"/>
      <c r="L64" s="301"/>
      <c r="M64" s="301"/>
      <c r="N64" s="159"/>
      <c r="O64" s="159"/>
      <c r="P64" s="159"/>
      <c r="Q64" s="159"/>
      <c r="V64" s="79"/>
    </row>
    <row r="65" spans="1:22" ht="15.5" customHeight="1">
      <c r="A65" s="159"/>
      <c r="B65" s="159"/>
      <c r="C65" s="159"/>
      <c r="D65" s="159"/>
      <c r="E65" s="159"/>
      <c r="F65" s="159"/>
      <c r="G65" s="159"/>
      <c r="H65" s="159"/>
      <c r="I65" s="159"/>
      <c r="J65" s="321" t="s">
        <v>313</v>
      </c>
      <c r="K65" s="301"/>
      <c r="L65" s="301"/>
      <c r="M65" s="301"/>
      <c r="N65" s="159"/>
      <c r="O65" s="159"/>
      <c r="P65" s="159"/>
      <c r="Q65" s="159"/>
      <c r="V65" s="79"/>
    </row>
    <row r="66" spans="1:22" ht="15.5" customHeight="1">
      <c r="A66" s="159"/>
      <c r="B66" s="159"/>
      <c r="C66" s="159"/>
      <c r="D66" s="159"/>
      <c r="E66" s="159"/>
      <c r="F66" s="159"/>
      <c r="G66" s="159"/>
      <c r="H66" s="159"/>
      <c r="I66" s="159"/>
      <c r="J66" s="321" t="s">
        <v>314</v>
      </c>
      <c r="K66" s="301"/>
      <c r="L66" s="301"/>
      <c r="M66" s="301"/>
      <c r="N66" s="159"/>
      <c r="O66" s="159"/>
      <c r="P66" s="159"/>
      <c r="Q66" s="159"/>
      <c r="V66" s="79"/>
    </row>
    <row r="67" spans="1:22" ht="15.5" customHeight="1">
      <c r="A67" s="159"/>
      <c r="B67" s="159"/>
      <c r="C67" s="159"/>
      <c r="D67" s="159"/>
      <c r="E67" s="159"/>
      <c r="F67" s="159"/>
      <c r="G67" s="159"/>
      <c r="H67" s="159"/>
      <c r="I67" s="159"/>
      <c r="J67" s="309" t="s">
        <v>315</v>
      </c>
      <c r="K67" s="301"/>
      <c r="L67" s="301"/>
      <c r="M67" s="301"/>
      <c r="N67" s="159"/>
      <c r="O67" s="159"/>
      <c r="P67" s="159"/>
      <c r="Q67" s="159"/>
    </row>
    <row r="68" spans="1:22" ht="15.5" customHeight="1">
      <c r="A68" s="159"/>
      <c r="B68" s="159"/>
      <c r="C68" s="159"/>
      <c r="D68" s="159"/>
      <c r="E68" s="159"/>
      <c r="F68" s="159"/>
      <c r="G68" s="159"/>
      <c r="H68" s="159"/>
      <c r="I68" s="159"/>
      <c r="J68" s="159"/>
      <c r="K68" s="159"/>
      <c r="L68" s="159"/>
      <c r="M68" s="159"/>
      <c r="N68" s="159"/>
      <c r="O68" s="159"/>
      <c r="P68" s="159"/>
      <c r="Q68" s="159"/>
    </row>
    <row r="69" spans="1:22" ht="15.5" customHeight="1"/>
    <row r="70" spans="1:22" ht="15.5" customHeight="1"/>
    <row r="71" spans="1:22" ht="15.5" customHeight="1"/>
  </sheetData>
  <mergeCells count="77">
    <mergeCell ref="R61:S61"/>
    <mergeCell ref="J66:M66"/>
    <mergeCell ref="O10:P10"/>
    <mergeCell ref="A17:S17"/>
    <mergeCell ref="J2:M2"/>
    <mergeCell ref="R4:S4"/>
    <mergeCell ref="Q8:R8"/>
    <mergeCell ref="A28:S28"/>
    <mergeCell ref="A7:N7"/>
    <mergeCell ref="Q10:R10"/>
    <mergeCell ref="G14:G15"/>
    <mergeCell ref="I14:I15"/>
    <mergeCell ref="K14:K15"/>
    <mergeCell ref="R3:S3"/>
    <mergeCell ref="O14:O15"/>
    <mergeCell ref="O12:P12"/>
    <mergeCell ref="R1:S1"/>
    <mergeCell ref="N4:O4"/>
    <mergeCell ref="P4:Q4"/>
    <mergeCell ref="B14:D14"/>
    <mergeCell ref="J3:M3"/>
    <mergeCell ref="P1:Q1"/>
    <mergeCell ref="O9:P9"/>
    <mergeCell ref="M14:M15"/>
    <mergeCell ref="F14:F15"/>
    <mergeCell ref="P3:Q3"/>
    <mergeCell ref="P14:P15"/>
    <mergeCell ref="R14:R15"/>
    <mergeCell ref="P5:Q5"/>
    <mergeCell ref="R5:S5"/>
    <mergeCell ref="N1:O1"/>
    <mergeCell ref="R2:S2"/>
    <mergeCell ref="N2:O2"/>
    <mergeCell ref="J64:M64"/>
    <mergeCell ref="P2:Q2"/>
    <mergeCell ref="A12:N12"/>
    <mergeCell ref="A25:S25"/>
    <mergeCell ref="H14:H15"/>
    <mergeCell ref="J14:J15"/>
    <mergeCell ref="A60:L60"/>
    <mergeCell ref="N6:O6"/>
    <mergeCell ref="A55:G55"/>
    <mergeCell ref="A20:S20"/>
    <mergeCell ref="A58:G58"/>
    <mergeCell ref="A24:G24"/>
    <mergeCell ref="A14:A15"/>
    <mergeCell ref="A56:S56"/>
    <mergeCell ref="A61:L61"/>
    <mergeCell ref="J67:M67"/>
    <mergeCell ref="N5:O5"/>
    <mergeCell ref="J5:M5"/>
    <mergeCell ref="Q9:R9"/>
    <mergeCell ref="O8:P8"/>
    <mergeCell ref="A8:N8"/>
    <mergeCell ref="O11:P11"/>
    <mergeCell ref="Q11:R11"/>
    <mergeCell ref="A10:N10"/>
    <mergeCell ref="E14:E15"/>
    <mergeCell ref="Q14:Q15"/>
    <mergeCell ref="R60:S60"/>
    <mergeCell ref="Q12:R12"/>
    <mergeCell ref="S14:S15"/>
    <mergeCell ref="R59:S59"/>
    <mergeCell ref="J65:M65"/>
    <mergeCell ref="N3:O3"/>
    <mergeCell ref="N14:N15"/>
    <mergeCell ref="P6:Q6"/>
    <mergeCell ref="R6:S6"/>
    <mergeCell ref="A59:G59"/>
    <mergeCell ref="J4:M4"/>
    <mergeCell ref="A27:G27"/>
    <mergeCell ref="A9:N9"/>
    <mergeCell ref="O7:P7"/>
    <mergeCell ref="Q7:R7"/>
    <mergeCell ref="A11:N11"/>
    <mergeCell ref="A19:G19"/>
    <mergeCell ref="L14:L15"/>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Q60"/>
  <sheetViews>
    <sheetView workbookViewId="0">
      <selection activeCell="J4" sqref="J4"/>
    </sheetView>
  </sheetViews>
  <sheetFormatPr defaultColWidth="9" defaultRowHeight="15.5"/>
  <cols>
    <col min="1" max="1" width="32" bestFit="1" customWidth="1"/>
    <col min="2" max="2" width="8.6640625" bestFit="1" customWidth="1"/>
    <col min="3" max="3" width="11.33203125" bestFit="1" customWidth="1"/>
    <col min="4" max="4" width="32" bestFit="1" customWidth="1"/>
    <col min="5" max="6" width="13.83203125" style="1" bestFit="1" customWidth="1"/>
    <col min="7" max="7" width="15.58203125" bestFit="1" customWidth="1"/>
    <col min="8" max="8" width="8.75" bestFit="1" customWidth="1"/>
    <col min="9" max="9" width="2.4140625" style="75" bestFit="1" customWidth="1"/>
    <col min="10" max="10" width="11.1640625" style="76" bestFit="1" customWidth="1"/>
    <col min="11" max="11" width="5.4140625" style="77" bestFit="1" customWidth="1"/>
    <col min="12" max="12" width="6.08203125" style="78" bestFit="1" customWidth="1"/>
    <col min="13" max="13" width="12.6640625" style="78" customWidth="1"/>
    <col min="14" max="14" width="15.4140625" style="78" customWidth="1"/>
    <col min="15" max="15" width="9.4140625" style="78" bestFit="1" customWidth="1"/>
    <col min="16" max="16" width="11.1640625" style="78" bestFit="1" customWidth="1"/>
    <col min="17" max="17" width="13.08203125" style="78" bestFit="1" customWidth="1"/>
    <col min="18" max="18" width="9" style="78" customWidth="1"/>
    <col min="19" max="16384" width="9" style="78"/>
  </cols>
  <sheetData>
    <row r="1" spans="1:17" ht="26.5" customHeight="1">
      <c r="A1" s="156" t="s">
        <v>101</v>
      </c>
      <c r="J1" s="146"/>
      <c r="L1" s="85"/>
      <c r="M1" s="85" t="s">
        <v>210</v>
      </c>
      <c r="N1" s="85" t="s">
        <v>211</v>
      </c>
      <c r="O1" s="85" t="s">
        <v>212</v>
      </c>
      <c r="P1" s="85"/>
    </row>
    <row r="2" spans="1:17" ht="52.5" customHeight="1">
      <c r="A2" s="156" t="s">
        <v>316</v>
      </c>
      <c r="L2" s="86" t="s">
        <v>16</v>
      </c>
      <c r="M2" s="87">
        <f t="shared" ref="M2:O6" si="0">SUMIFS($F:$F,$K:$K,M$1,$J:$J,$L2,$I:$I,5)</f>
        <v>107178022371</v>
      </c>
      <c r="N2" s="87">
        <f t="shared" si="0"/>
        <v>0</v>
      </c>
      <c r="O2" s="87">
        <f t="shared" si="0"/>
        <v>0</v>
      </c>
      <c r="P2" s="85"/>
    </row>
    <row r="3" spans="1:17" ht="35" customHeight="1">
      <c r="A3" s="157" t="s">
        <v>317</v>
      </c>
      <c r="J3" s="152"/>
      <c r="L3" s="86" t="s">
        <v>17</v>
      </c>
      <c r="M3" s="87">
        <f t="shared" si="0"/>
        <v>56147836</v>
      </c>
      <c r="N3" s="87">
        <f t="shared" si="0"/>
        <v>0</v>
      </c>
      <c r="O3" s="87">
        <f t="shared" si="0"/>
        <v>0</v>
      </c>
      <c r="P3" s="85"/>
    </row>
    <row r="4" spans="1:17" ht="39.5" customHeight="1">
      <c r="A4" s="158" t="s">
        <v>318</v>
      </c>
      <c r="L4" s="86" t="s">
        <v>37</v>
      </c>
      <c r="M4" s="87">
        <f t="shared" si="0"/>
        <v>0</v>
      </c>
      <c r="N4" s="87">
        <f t="shared" si="0"/>
        <v>16509566</v>
      </c>
      <c r="O4" s="87">
        <f t="shared" si="0"/>
        <v>0</v>
      </c>
      <c r="P4" s="85"/>
      <c r="Q4" s="78" t="s">
        <v>147</v>
      </c>
    </row>
    <row r="5" spans="1:17">
      <c r="A5" s="158" t="s">
        <v>319</v>
      </c>
      <c r="L5" s="86" t="s">
        <v>38</v>
      </c>
      <c r="M5" s="87">
        <f t="shared" si="0"/>
        <v>0</v>
      </c>
      <c r="N5" s="87">
        <f t="shared" si="0"/>
        <v>0</v>
      </c>
      <c r="O5" s="87">
        <f t="shared" si="0"/>
        <v>0</v>
      </c>
      <c r="P5" s="85"/>
      <c r="Q5" s="78" t="s">
        <v>168</v>
      </c>
    </row>
    <row r="6" spans="1:17">
      <c r="A6" s="158" t="s">
        <v>320</v>
      </c>
      <c r="L6" s="86" t="s">
        <v>39</v>
      </c>
      <c r="M6" s="87">
        <f t="shared" si="0"/>
        <v>0</v>
      </c>
      <c r="N6" s="87">
        <f t="shared" si="0"/>
        <v>0</v>
      </c>
      <c r="O6" s="87">
        <f t="shared" si="0"/>
        <v>20285870</v>
      </c>
      <c r="P6" s="85"/>
      <c r="Q6" s="78" t="s">
        <v>175</v>
      </c>
    </row>
    <row r="7" spans="1:17">
      <c r="A7" s="159"/>
      <c r="L7" s="85"/>
      <c r="M7" s="88">
        <f>SUM(M2:M6)</f>
        <v>107234170207</v>
      </c>
      <c r="N7" s="88">
        <f>SUM(N2:N6)</f>
        <v>16509566</v>
      </c>
      <c r="O7" s="88">
        <f>SUM(O2:O6)</f>
        <v>20285870</v>
      </c>
      <c r="P7" s="88">
        <f>SUM(P2:P6)</f>
        <v>0</v>
      </c>
    </row>
    <row r="9" spans="1:17" ht="11.5" customHeight="1">
      <c r="A9" s="326" t="s">
        <v>321</v>
      </c>
      <c r="B9" s="305"/>
      <c r="C9" s="306"/>
      <c r="D9" s="326" t="s">
        <v>322</v>
      </c>
      <c r="E9" s="328" t="s">
        <v>323</v>
      </c>
      <c r="F9" s="328" t="s">
        <v>324</v>
      </c>
      <c r="G9" s="326" t="s">
        <v>325</v>
      </c>
      <c r="H9" s="326" t="s">
        <v>238</v>
      </c>
      <c r="I9" s="73"/>
    </row>
    <row r="10" spans="1:17" ht="11.5" customHeight="1">
      <c r="A10" s="160" t="s">
        <v>326</v>
      </c>
      <c r="B10" s="160" t="s">
        <v>232</v>
      </c>
      <c r="C10" s="160" t="s">
        <v>231</v>
      </c>
      <c r="D10" s="307"/>
      <c r="E10" s="307"/>
      <c r="F10" s="307"/>
      <c r="G10" s="307"/>
      <c r="H10" s="307"/>
      <c r="I10" s="73"/>
    </row>
    <row r="11" spans="1:17">
      <c r="A11" s="327" t="s">
        <v>327</v>
      </c>
      <c r="B11" s="305"/>
      <c r="C11" s="306"/>
      <c r="D11" s="161" t="s">
        <v>328</v>
      </c>
      <c r="E11" s="274">
        <v>1500000000</v>
      </c>
      <c r="F11" s="272"/>
      <c r="G11" s="162"/>
      <c r="H11" s="162"/>
      <c r="I11" s="75">
        <f t="shared" ref="I11:I42" si="1">LEN(A11)</f>
        <v>22</v>
      </c>
      <c r="J11" t="str">
        <f t="shared" ref="J11:J42" si="2">LEFT(D11,6)</f>
        <v>Dư đầu</v>
      </c>
      <c r="K11" s="77" t="str">
        <f t="shared" ref="K11:K42" si="3">IF(LEFT(A11,11)="Tài khoản: ",MID(A11,12,6),K10)</f>
        <v>333111</v>
      </c>
    </row>
    <row r="12" spans="1:17" ht="35.5" customHeight="1">
      <c r="A12" s="30">
        <v>46214</v>
      </c>
      <c r="B12" s="31" t="s">
        <v>329</v>
      </c>
      <c r="C12" s="32" t="s">
        <v>247</v>
      </c>
      <c r="D12" s="19" t="s">
        <v>181</v>
      </c>
      <c r="E12" s="272"/>
      <c r="F12" s="275">
        <v>25399596965</v>
      </c>
      <c r="G12" s="32" t="s">
        <v>178</v>
      </c>
      <c r="H12" s="32" t="s">
        <v>330</v>
      </c>
      <c r="I12" s="75">
        <f t="shared" si="1"/>
        <v>5</v>
      </c>
      <c r="J12" s="76" t="str">
        <f t="shared" si="2"/>
        <v>DIEN01</v>
      </c>
      <c r="K12" s="77" t="str">
        <f t="shared" si="3"/>
        <v>333111</v>
      </c>
      <c r="M12" s="81"/>
    </row>
    <row r="13" spans="1:17" ht="35.5" customHeight="1">
      <c r="A13" s="30">
        <v>46214</v>
      </c>
      <c r="B13" s="31" t="s">
        <v>331</v>
      </c>
      <c r="C13" s="32" t="s">
        <v>247</v>
      </c>
      <c r="D13" s="19" t="s">
        <v>183</v>
      </c>
      <c r="E13" s="272"/>
      <c r="F13" s="275">
        <v>5478363</v>
      </c>
      <c r="G13" s="32" t="s">
        <v>178</v>
      </c>
      <c r="H13" s="32" t="s">
        <v>330</v>
      </c>
      <c r="I13" s="75">
        <f t="shared" si="1"/>
        <v>5</v>
      </c>
      <c r="J13" s="76" t="str">
        <f t="shared" si="2"/>
        <v>CSPK02</v>
      </c>
      <c r="K13" s="77" t="str">
        <f t="shared" si="3"/>
        <v>333111</v>
      </c>
      <c r="L13" s="82"/>
      <c r="M13" s="83"/>
    </row>
    <row r="14" spans="1:17" ht="24" customHeight="1">
      <c r="A14" s="30">
        <v>46214</v>
      </c>
      <c r="B14" s="31" t="s">
        <v>332</v>
      </c>
      <c r="C14" s="32" t="s">
        <v>252</v>
      </c>
      <c r="D14" s="19" t="s">
        <v>333</v>
      </c>
      <c r="E14" s="272"/>
      <c r="F14" s="275">
        <v>55441397333</v>
      </c>
      <c r="G14" s="32" t="s">
        <v>178</v>
      </c>
      <c r="H14" s="32" t="s">
        <v>334</v>
      </c>
      <c r="I14" s="75">
        <f t="shared" si="1"/>
        <v>5</v>
      </c>
      <c r="J14" s="76" t="str">
        <f t="shared" si="2"/>
        <v>DIEN01</v>
      </c>
      <c r="K14" s="77" t="str">
        <f t="shared" si="3"/>
        <v>333111</v>
      </c>
    </row>
    <row r="15" spans="1:17" ht="24" customHeight="1">
      <c r="A15" s="30">
        <v>46214</v>
      </c>
      <c r="B15" s="31" t="s">
        <v>332</v>
      </c>
      <c r="C15" s="32" t="s">
        <v>252</v>
      </c>
      <c r="D15" s="19" t="s">
        <v>335</v>
      </c>
      <c r="E15" s="272"/>
      <c r="F15" s="275">
        <v>43116020</v>
      </c>
      <c r="G15" s="32" t="s">
        <v>178</v>
      </c>
      <c r="H15" s="32" t="s">
        <v>334</v>
      </c>
      <c r="I15" s="75">
        <f t="shared" si="1"/>
        <v>5</v>
      </c>
      <c r="J15" s="76" t="str">
        <f t="shared" si="2"/>
        <v>CSPK02</v>
      </c>
      <c r="K15" s="77" t="str">
        <f t="shared" si="3"/>
        <v>333111</v>
      </c>
    </row>
    <row r="16" spans="1:17" ht="35.5" customHeight="1">
      <c r="A16" s="30">
        <v>46219</v>
      </c>
      <c r="B16" s="31" t="s">
        <v>336</v>
      </c>
      <c r="C16" s="32" t="s">
        <v>247</v>
      </c>
      <c r="D16" s="19" t="s">
        <v>190</v>
      </c>
      <c r="E16" s="272"/>
      <c r="F16" s="275">
        <v>1021645710</v>
      </c>
      <c r="G16" s="32" t="s">
        <v>178</v>
      </c>
      <c r="H16" s="32" t="s">
        <v>330</v>
      </c>
      <c r="I16" s="75">
        <f t="shared" si="1"/>
        <v>5</v>
      </c>
      <c r="J16" s="76" t="str">
        <f t="shared" si="2"/>
        <v>DIEN01</v>
      </c>
      <c r="K16" s="77" t="str">
        <f t="shared" si="3"/>
        <v>333111</v>
      </c>
    </row>
    <row r="17" spans="1:15" ht="35.5" customHeight="1">
      <c r="A17" s="30">
        <v>46219</v>
      </c>
      <c r="B17" s="31" t="s">
        <v>337</v>
      </c>
      <c r="C17" s="32" t="s">
        <v>247</v>
      </c>
      <c r="D17" s="19" t="s">
        <v>191</v>
      </c>
      <c r="E17" s="272"/>
      <c r="F17" s="275">
        <v>1748507</v>
      </c>
      <c r="G17" s="32" t="s">
        <v>178</v>
      </c>
      <c r="H17" s="32" t="s">
        <v>330</v>
      </c>
      <c r="I17" s="75">
        <f t="shared" si="1"/>
        <v>5</v>
      </c>
      <c r="J17" s="76" t="str">
        <f t="shared" si="2"/>
        <v>CSPK02</v>
      </c>
      <c r="K17" s="77" t="str">
        <f t="shared" si="3"/>
        <v>333111</v>
      </c>
    </row>
    <row r="18" spans="1:15" ht="35.5" customHeight="1">
      <c r="A18" s="30">
        <v>46224</v>
      </c>
      <c r="B18" s="31" t="s">
        <v>338</v>
      </c>
      <c r="C18" s="32" t="s">
        <v>247</v>
      </c>
      <c r="D18" s="19" t="s">
        <v>177</v>
      </c>
      <c r="E18" s="272"/>
      <c r="F18" s="275">
        <v>25244157162</v>
      </c>
      <c r="G18" s="32" t="s">
        <v>178</v>
      </c>
      <c r="H18" s="32" t="s">
        <v>330</v>
      </c>
      <c r="I18" s="75">
        <f t="shared" si="1"/>
        <v>5</v>
      </c>
      <c r="J18" s="76" t="str">
        <f t="shared" si="2"/>
        <v>DIEN01</v>
      </c>
      <c r="K18" s="77" t="str">
        <f t="shared" si="3"/>
        <v>333111</v>
      </c>
      <c r="L18" s="83"/>
      <c r="O18" s="83"/>
    </row>
    <row r="19" spans="1:15" ht="35.5" customHeight="1">
      <c r="A19" s="30">
        <v>46224</v>
      </c>
      <c r="B19" s="31" t="s">
        <v>339</v>
      </c>
      <c r="C19" s="32" t="s">
        <v>247</v>
      </c>
      <c r="D19" s="19" t="s">
        <v>180</v>
      </c>
      <c r="E19" s="272"/>
      <c r="F19" s="275">
        <v>5804946</v>
      </c>
      <c r="G19" s="32" t="s">
        <v>178</v>
      </c>
      <c r="H19" s="32" t="s">
        <v>330</v>
      </c>
      <c r="I19" s="75">
        <f t="shared" si="1"/>
        <v>5</v>
      </c>
      <c r="J19" s="76" t="str">
        <f t="shared" si="2"/>
        <v>CSPK02</v>
      </c>
      <c r="K19" s="77" t="str">
        <f t="shared" si="3"/>
        <v>333111</v>
      </c>
      <c r="L19" s="83"/>
      <c r="O19" s="83"/>
    </row>
    <row r="20" spans="1:15" ht="24" customHeight="1">
      <c r="A20" s="30">
        <v>46234</v>
      </c>
      <c r="B20" s="31" t="s">
        <v>340</v>
      </c>
      <c r="C20" s="32" t="s">
        <v>247</v>
      </c>
      <c r="D20" s="19" t="s">
        <v>192</v>
      </c>
      <c r="E20" s="272"/>
      <c r="F20" s="275" t="s">
        <v>341</v>
      </c>
      <c r="G20" s="32" t="s">
        <v>178</v>
      </c>
      <c r="H20" s="32" t="s">
        <v>330</v>
      </c>
      <c r="I20" s="75">
        <f t="shared" si="1"/>
        <v>5</v>
      </c>
      <c r="J20" s="76" t="str">
        <f t="shared" si="2"/>
        <v>DIEN01</v>
      </c>
      <c r="K20" s="77" t="str">
        <f t="shared" si="3"/>
        <v>333111</v>
      </c>
      <c r="L20" s="83"/>
      <c r="O20" s="83"/>
    </row>
    <row r="21" spans="1:15" ht="24" customHeight="1">
      <c r="A21" s="30">
        <v>46234</v>
      </c>
      <c r="B21" s="31" t="s">
        <v>342</v>
      </c>
      <c r="C21" s="32" t="s">
        <v>247</v>
      </c>
      <c r="D21" s="19" t="s">
        <v>193</v>
      </c>
      <c r="E21" s="272"/>
      <c r="F21" s="275">
        <v>10953121</v>
      </c>
      <c r="G21" s="32" t="s">
        <v>178</v>
      </c>
      <c r="H21" s="32" t="s">
        <v>330</v>
      </c>
      <c r="I21" s="75">
        <f t="shared" si="1"/>
        <v>5</v>
      </c>
      <c r="J21" s="76" t="str">
        <f t="shared" si="2"/>
        <v>DIEN01</v>
      </c>
      <c r="K21" s="77" t="str">
        <f t="shared" si="3"/>
        <v>333111</v>
      </c>
      <c r="L21" s="83"/>
      <c r="O21" s="83"/>
    </row>
    <row r="22" spans="1:15" ht="24" customHeight="1">
      <c r="A22" s="30">
        <v>46234</v>
      </c>
      <c r="B22" s="31" t="s">
        <v>343</v>
      </c>
      <c r="C22" s="32" t="s">
        <v>247</v>
      </c>
      <c r="D22" s="19" t="s">
        <v>194</v>
      </c>
      <c r="E22" s="272"/>
      <c r="F22" s="275" t="s">
        <v>344</v>
      </c>
      <c r="G22" s="32" t="s">
        <v>178</v>
      </c>
      <c r="H22" s="32" t="s">
        <v>330</v>
      </c>
      <c r="I22" s="75">
        <f t="shared" si="1"/>
        <v>5</v>
      </c>
      <c r="J22" s="76" t="str">
        <f t="shared" si="2"/>
        <v>DIEN01</v>
      </c>
      <c r="K22" s="77" t="str">
        <f t="shared" si="3"/>
        <v>333111</v>
      </c>
      <c r="L22" s="83"/>
      <c r="O22" s="83"/>
    </row>
    <row r="23" spans="1:15" ht="24" customHeight="1">
      <c r="A23" s="30">
        <v>46234</v>
      </c>
      <c r="B23" s="31" t="s">
        <v>345</v>
      </c>
      <c r="C23" s="32" t="s">
        <v>247</v>
      </c>
      <c r="D23" s="19" t="s">
        <v>195</v>
      </c>
      <c r="E23" s="272"/>
      <c r="F23" s="275">
        <v>60272080</v>
      </c>
      <c r="G23" s="32" t="s">
        <v>178</v>
      </c>
      <c r="H23" s="32" t="s">
        <v>330</v>
      </c>
      <c r="I23" s="75">
        <f t="shared" si="1"/>
        <v>5</v>
      </c>
      <c r="J23" s="76" t="str">
        <f t="shared" si="2"/>
        <v>DIEN01</v>
      </c>
      <c r="K23" s="77" t="str">
        <f t="shared" si="3"/>
        <v>333111</v>
      </c>
      <c r="L23" s="83"/>
      <c r="O23" s="83"/>
    </row>
    <row r="24" spans="1:15">
      <c r="A24" s="30">
        <v>46234</v>
      </c>
      <c r="B24" s="31" t="s">
        <v>346</v>
      </c>
      <c r="C24" s="32" t="s">
        <v>252</v>
      </c>
      <c r="D24" s="19" t="s">
        <v>347</v>
      </c>
      <c r="E24" s="275">
        <v>8923356</v>
      </c>
      <c r="F24" s="272"/>
      <c r="G24" s="32" t="s">
        <v>348</v>
      </c>
      <c r="H24" s="32" t="s">
        <v>334</v>
      </c>
      <c r="I24" s="75">
        <f t="shared" si="1"/>
        <v>5</v>
      </c>
      <c r="J24" s="76" t="str">
        <f t="shared" si="2"/>
        <v>Kết ch</v>
      </c>
      <c r="K24" s="77" t="str">
        <f t="shared" si="3"/>
        <v>333111</v>
      </c>
      <c r="L24" s="83"/>
      <c r="O24" s="83"/>
    </row>
    <row r="25" spans="1:15">
      <c r="A25" s="30">
        <v>46234</v>
      </c>
      <c r="B25" s="31" t="s">
        <v>349</v>
      </c>
      <c r="C25" s="32" t="s">
        <v>252</v>
      </c>
      <c r="D25" s="19" t="s">
        <v>350</v>
      </c>
      <c r="E25" s="275">
        <v>697235784</v>
      </c>
      <c r="F25" s="272"/>
      <c r="G25" s="32" t="s">
        <v>351</v>
      </c>
      <c r="H25" s="32" t="s">
        <v>334</v>
      </c>
      <c r="I25" s="75">
        <f t="shared" si="1"/>
        <v>5</v>
      </c>
      <c r="J25" s="76" t="str">
        <f t="shared" si="2"/>
        <v>Kết ch</v>
      </c>
      <c r="K25" s="77" t="str">
        <f t="shared" si="3"/>
        <v>333111</v>
      </c>
      <c r="L25" s="83"/>
      <c r="O25" s="83"/>
    </row>
    <row r="26" spans="1:15" ht="24" customHeight="1">
      <c r="A26" s="30">
        <v>46234</v>
      </c>
      <c r="B26" s="31" t="s">
        <v>352</v>
      </c>
      <c r="C26" s="32" t="s">
        <v>252</v>
      </c>
      <c r="D26" s="19" t="s">
        <v>353</v>
      </c>
      <c r="E26" s="272"/>
      <c r="F26" s="275">
        <v>20285870</v>
      </c>
      <c r="G26" s="32" t="s">
        <v>354</v>
      </c>
      <c r="H26" s="32" t="s">
        <v>334</v>
      </c>
      <c r="I26" s="75">
        <f t="shared" si="1"/>
        <v>5</v>
      </c>
      <c r="J26" s="76" t="str">
        <f t="shared" si="2"/>
        <v>Kết ch</v>
      </c>
      <c r="K26" s="77" t="str">
        <f t="shared" si="3"/>
        <v>333111</v>
      </c>
      <c r="L26" s="83"/>
      <c r="O26" s="83"/>
    </row>
    <row r="27" spans="1:15" ht="24" customHeight="1">
      <c r="A27" s="30">
        <v>46234</v>
      </c>
      <c r="B27" s="31" t="s">
        <v>352</v>
      </c>
      <c r="C27" s="32" t="s">
        <v>252</v>
      </c>
      <c r="D27" s="19" t="s">
        <v>355</v>
      </c>
      <c r="E27" s="272"/>
      <c r="F27" s="275">
        <v>13998715</v>
      </c>
      <c r="G27" s="32" t="s">
        <v>354</v>
      </c>
      <c r="H27" s="32" t="s">
        <v>334</v>
      </c>
      <c r="I27" s="75">
        <f t="shared" si="1"/>
        <v>5</v>
      </c>
      <c r="J27" s="76" t="str">
        <f t="shared" si="2"/>
        <v>Kết ch</v>
      </c>
      <c r="K27" s="77" t="str">
        <f t="shared" si="3"/>
        <v>333111</v>
      </c>
      <c r="L27" s="83"/>
      <c r="O27" s="83"/>
    </row>
    <row r="28" spans="1:15" ht="24" customHeight="1">
      <c r="A28" s="30">
        <v>46234</v>
      </c>
      <c r="B28" s="31" t="s">
        <v>356</v>
      </c>
      <c r="C28" s="32" t="s">
        <v>252</v>
      </c>
      <c r="D28" s="19" t="s">
        <v>357</v>
      </c>
      <c r="E28" s="275">
        <v>106541269955</v>
      </c>
      <c r="F28" s="272"/>
      <c r="G28" s="32" t="s">
        <v>354</v>
      </c>
      <c r="H28" s="32" t="s">
        <v>358</v>
      </c>
      <c r="I28" s="75">
        <f t="shared" si="1"/>
        <v>5</v>
      </c>
      <c r="J28" s="76" t="str">
        <f t="shared" si="2"/>
        <v>Kết ch</v>
      </c>
      <c r="K28" s="77" t="str">
        <f t="shared" si="3"/>
        <v>333111</v>
      </c>
      <c r="L28" s="83"/>
      <c r="M28" s="82"/>
      <c r="N28" s="82"/>
      <c r="O28" s="83"/>
    </row>
    <row r="29" spans="1:15">
      <c r="A29" s="162"/>
      <c r="B29" s="162"/>
      <c r="C29" s="162"/>
      <c r="D29" s="161" t="s">
        <v>81</v>
      </c>
      <c r="E29" s="274">
        <v>107247429095</v>
      </c>
      <c r="F29" s="274">
        <v>107247429095</v>
      </c>
      <c r="G29" s="162"/>
      <c r="H29" s="162"/>
      <c r="I29" s="75">
        <f t="shared" si="1"/>
        <v>0</v>
      </c>
      <c r="J29" s="76" t="str">
        <f t="shared" si="2"/>
        <v>Cộng p</v>
      </c>
      <c r="K29" s="77" t="str">
        <f t="shared" si="3"/>
        <v>333111</v>
      </c>
      <c r="L29" s="83"/>
      <c r="M29" s="82"/>
      <c r="N29" s="82"/>
      <c r="O29" s="83"/>
    </row>
    <row r="30" spans="1:15">
      <c r="A30" s="162"/>
      <c r="B30" s="162"/>
      <c r="C30" s="162"/>
      <c r="D30" s="161" t="s">
        <v>359</v>
      </c>
      <c r="E30" s="274">
        <v>1500000000</v>
      </c>
      <c r="F30" s="272"/>
      <c r="G30" s="162"/>
      <c r="H30" s="162"/>
      <c r="I30" s="75">
        <f t="shared" si="1"/>
        <v>0</v>
      </c>
      <c r="J30" s="76" t="str">
        <f t="shared" si="2"/>
        <v>Dư cuố</v>
      </c>
      <c r="K30" s="77" t="str">
        <f t="shared" si="3"/>
        <v>333111</v>
      </c>
      <c r="L30" s="83"/>
      <c r="M30" s="81"/>
      <c r="N30" s="83"/>
      <c r="O30" s="83"/>
    </row>
    <row r="31" spans="1:15">
      <c r="A31" s="327" t="s">
        <v>360</v>
      </c>
      <c r="B31" s="305"/>
      <c r="C31" s="306"/>
      <c r="D31" s="161" t="s">
        <v>328</v>
      </c>
      <c r="E31" s="272"/>
      <c r="F31" s="272"/>
      <c r="G31" s="162"/>
      <c r="H31" s="162"/>
      <c r="I31" s="75">
        <f t="shared" si="1"/>
        <v>22</v>
      </c>
      <c r="J31" s="76" t="str">
        <f t="shared" si="2"/>
        <v>Dư đầu</v>
      </c>
      <c r="K31" s="77" t="str">
        <f t="shared" si="3"/>
        <v>333113</v>
      </c>
      <c r="L31" s="83"/>
      <c r="O31" s="83"/>
    </row>
    <row r="32" spans="1:15" ht="35.5" customHeight="1">
      <c r="A32" s="30">
        <v>46216</v>
      </c>
      <c r="B32" s="31" t="s">
        <v>361</v>
      </c>
      <c r="C32" s="32" t="s">
        <v>247</v>
      </c>
      <c r="D32" s="19" t="s">
        <v>260</v>
      </c>
      <c r="E32" s="272"/>
      <c r="F32" s="275">
        <v>4173</v>
      </c>
      <c r="G32" s="32" t="s">
        <v>185</v>
      </c>
      <c r="H32" s="32" t="s">
        <v>330</v>
      </c>
      <c r="I32" s="75">
        <f t="shared" si="1"/>
        <v>5</v>
      </c>
      <c r="J32" s="76" t="str">
        <f t="shared" si="2"/>
        <v>1388ĐĐ</v>
      </c>
      <c r="K32" s="77" t="str">
        <f t="shared" si="3"/>
        <v>333113</v>
      </c>
      <c r="L32" s="83"/>
      <c r="O32" s="83"/>
    </row>
    <row r="33" spans="1:15" ht="35.5" customHeight="1">
      <c r="A33" s="30">
        <v>46219</v>
      </c>
      <c r="B33" s="31" t="s">
        <v>362</v>
      </c>
      <c r="C33" s="32" t="s">
        <v>247</v>
      </c>
      <c r="D33" s="19" t="s">
        <v>363</v>
      </c>
      <c r="E33" s="272"/>
      <c r="F33" s="275">
        <v>1280195</v>
      </c>
      <c r="G33" s="32" t="s">
        <v>185</v>
      </c>
      <c r="H33" s="32" t="s">
        <v>330</v>
      </c>
      <c r="I33" s="75">
        <f t="shared" si="1"/>
        <v>5</v>
      </c>
      <c r="J33" s="76" t="str">
        <f t="shared" si="2"/>
        <v>3220TK</v>
      </c>
      <c r="K33" s="77" t="str">
        <f t="shared" si="3"/>
        <v>333113</v>
      </c>
      <c r="L33" s="83"/>
      <c r="O33" s="83"/>
    </row>
    <row r="34" spans="1:15" ht="35.5" customHeight="1">
      <c r="A34" s="30">
        <v>46219</v>
      </c>
      <c r="B34" s="31" t="s">
        <v>364</v>
      </c>
      <c r="C34" s="32" t="s">
        <v>247</v>
      </c>
      <c r="D34" s="19" t="s">
        <v>270</v>
      </c>
      <c r="E34" s="272"/>
      <c r="F34" s="275">
        <v>1059259</v>
      </c>
      <c r="G34" s="32" t="s">
        <v>185</v>
      </c>
      <c r="H34" s="32" t="s">
        <v>330</v>
      </c>
      <c r="I34" s="75">
        <f t="shared" si="1"/>
        <v>5</v>
      </c>
      <c r="J34" s="76" t="str">
        <f t="shared" si="2"/>
        <v>1388ĐĐ</v>
      </c>
      <c r="K34" s="77" t="str">
        <f t="shared" si="3"/>
        <v>333113</v>
      </c>
      <c r="L34" s="83"/>
      <c r="O34" s="83"/>
    </row>
    <row r="35" spans="1:15" ht="35.5" customHeight="1">
      <c r="A35" s="30">
        <v>46225</v>
      </c>
      <c r="B35" s="31" t="s">
        <v>365</v>
      </c>
      <c r="C35" s="32" t="s">
        <v>252</v>
      </c>
      <c r="D35" s="19" t="s">
        <v>273</v>
      </c>
      <c r="E35" s="272"/>
      <c r="F35" s="275">
        <v>2912000</v>
      </c>
      <c r="G35" s="32" t="s">
        <v>185</v>
      </c>
      <c r="H35" s="32" t="s">
        <v>334</v>
      </c>
      <c r="I35" s="75">
        <f t="shared" si="1"/>
        <v>5</v>
      </c>
      <c r="J35" s="76" t="str">
        <f t="shared" si="2"/>
        <v xml:space="preserve">QBQT  </v>
      </c>
      <c r="K35" s="77" t="str">
        <f t="shared" si="3"/>
        <v>333113</v>
      </c>
      <c r="L35" s="83"/>
      <c r="O35" s="83"/>
    </row>
    <row r="36" spans="1:15" ht="35.5" customHeight="1">
      <c r="A36" s="30">
        <v>46226</v>
      </c>
      <c r="B36" s="31" t="s">
        <v>366</v>
      </c>
      <c r="C36" s="32" t="s">
        <v>247</v>
      </c>
      <c r="D36" s="19" t="s">
        <v>277</v>
      </c>
      <c r="E36" s="272"/>
      <c r="F36" s="275">
        <v>7004000</v>
      </c>
      <c r="G36" s="32" t="s">
        <v>185</v>
      </c>
      <c r="H36" s="32" t="s">
        <v>330</v>
      </c>
      <c r="I36" s="75">
        <f t="shared" si="1"/>
        <v>5</v>
      </c>
      <c r="J36" s="76" t="str">
        <f t="shared" si="2"/>
        <v>1388ĐĐ</v>
      </c>
      <c r="K36" s="77" t="str">
        <f t="shared" si="3"/>
        <v>333113</v>
      </c>
      <c r="L36" s="83"/>
      <c r="O36" s="83"/>
    </row>
    <row r="37" spans="1:15" ht="35.5" customHeight="1">
      <c r="A37" s="30">
        <v>46230</v>
      </c>
      <c r="B37" s="31" t="s">
        <v>367</v>
      </c>
      <c r="C37" s="32" t="s">
        <v>247</v>
      </c>
      <c r="D37" s="19" t="s">
        <v>291</v>
      </c>
      <c r="E37" s="272"/>
      <c r="F37" s="275">
        <v>523800</v>
      </c>
      <c r="G37" s="32" t="s">
        <v>185</v>
      </c>
      <c r="H37" s="32" t="s">
        <v>330</v>
      </c>
      <c r="I37" s="75">
        <f t="shared" si="1"/>
        <v>5</v>
      </c>
      <c r="J37" s="76" t="str">
        <f t="shared" si="2"/>
        <v>1388ĐĐ</v>
      </c>
      <c r="K37" s="77" t="str">
        <f t="shared" si="3"/>
        <v>333113</v>
      </c>
      <c r="L37" s="83"/>
      <c r="O37" s="83"/>
    </row>
    <row r="38" spans="1:15" ht="35.5" customHeight="1">
      <c r="A38" s="30">
        <v>46230</v>
      </c>
      <c r="B38" s="31" t="s">
        <v>368</v>
      </c>
      <c r="C38" s="32" t="s">
        <v>247</v>
      </c>
      <c r="D38" s="19" t="s">
        <v>293</v>
      </c>
      <c r="E38" s="272"/>
      <c r="F38" s="275">
        <v>914334</v>
      </c>
      <c r="G38" s="32" t="s">
        <v>185</v>
      </c>
      <c r="H38" s="32" t="s">
        <v>330</v>
      </c>
      <c r="I38" s="75">
        <f t="shared" si="1"/>
        <v>5</v>
      </c>
      <c r="J38" s="76" t="str">
        <f t="shared" si="2"/>
        <v>1388ĐĐ</v>
      </c>
      <c r="K38" s="77" t="str">
        <f t="shared" si="3"/>
        <v>333113</v>
      </c>
      <c r="L38" s="83"/>
      <c r="O38" s="83"/>
    </row>
    <row r="39" spans="1:15" s="84" customFormat="1" ht="47" customHeight="1">
      <c r="A39" s="30">
        <v>46230</v>
      </c>
      <c r="B39" s="31" t="s">
        <v>369</v>
      </c>
      <c r="C39" s="32" t="s">
        <v>247</v>
      </c>
      <c r="D39" s="19" t="s">
        <v>370</v>
      </c>
      <c r="E39" s="272"/>
      <c r="F39" s="275">
        <v>7004000</v>
      </c>
      <c r="G39" s="32" t="s">
        <v>185</v>
      </c>
      <c r="H39" s="32" t="s">
        <v>330</v>
      </c>
      <c r="I39" s="75">
        <f t="shared" si="1"/>
        <v>5</v>
      </c>
      <c r="J39" s="76" t="str">
        <f t="shared" si="2"/>
        <v>1388ĐĐ</v>
      </c>
      <c r="K39" s="77" t="str">
        <f t="shared" si="3"/>
        <v>333113</v>
      </c>
      <c r="L39" s="83"/>
      <c r="M39" s="81"/>
      <c r="N39" s="78"/>
      <c r="O39" s="83"/>
    </row>
    <row r="40" spans="1:15" s="84" customFormat="1" ht="24" customHeight="1">
      <c r="A40" s="30">
        <v>46234</v>
      </c>
      <c r="B40" s="31" t="s">
        <v>371</v>
      </c>
      <c r="C40" s="32" t="s">
        <v>247</v>
      </c>
      <c r="D40" s="19" t="s">
        <v>280</v>
      </c>
      <c r="E40" s="272"/>
      <c r="F40" s="275" t="s">
        <v>372</v>
      </c>
      <c r="G40" s="32" t="s">
        <v>185</v>
      </c>
      <c r="H40" s="32" t="s">
        <v>330</v>
      </c>
      <c r="I40" s="75">
        <f t="shared" si="1"/>
        <v>5</v>
      </c>
      <c r="J40" s="76" t="str">
        <f t="shared" si="2"/>
        <v>ĐC giả</v>
      </c>
      <c r="K40" s="77" t="str">
        <f t="shared" si="3"/>
        <v>333113</v>
      </c>
      <c r="L40" s="83"/>
      <c r="M40" s="78"/>
      <c r="N40" s="78"/>
      <c r="O40" s="83"/>
    </row>
    <row r="41" spans="1:15" s="84" customFormat="1" ht="35.5" customHeight="1">
      <c r="A41" s="30">
        <v>46234</v>
      </c>
      <c r="B41" s="31" t="s">
        <v>373</v>
      </c>
      <c r="C41" s="32" t="s">
        <v>252</v>
      </c>
      <c r="D41" s="19" t="s">
        <v>374</v>
      </c>
      <c r="E41" s="272"/>
      <c r="F41" s="275">
        <v>60273</v>
      </c>
      <c r="G41" s="32" t="s">
        <v>185</v>
      </c>
      <c r="H41" s="32" t="s">
        <v>334</v>
      </c>
      <c r="I41" s="75">
        <f t="shared" si="1"/>
        <v>5</v>
      </c>
      <c r="J41" s="76" t="str">
        <f t="shared" si="2"/>
        <v>QTQT -</v>
      </c>
      <c r="K41" s="77" t="str">
        <f t="shared" si="3"/>
        <v>333113</v>
      </c>
      <c r="L41" s="83"/>
      <c r="M41" s="78"/>
      <c r="N41" s="78"/>
      <c r="O41" s="83"/>
    </row>
    <row r="42" spans="1:15" ht="35.5" customHeight="1">
      <c r="A42" s="30">
        <v>46234</v>
      </c>
      <c r="B42" s="31" t="s">
        <v>375</v>
      </c>
      <c r="C42" s="32" t="s">
        <v>252</v>
      </c>
      <c r="D42" s="19" t="s">
        <v>299</v>
      </c>
      <c r="E42" s="272"/>
      <c r="F42" s="275">
        <v>240681</v>
      </c>
      <c r="G42" s="32" t="s">
        <v>185</v>
      </c>
      <c r="H42" s="32" t="s">
        <v>334</v>
      </c>
      <c r="I42" s="75">
        <f t="shared" si="1"/>
        <v>5</v>
      </c>
      <c r="J42" s="76" t="str">
        <f t="shared" si="2"/>
        <v>QBQT -</v>
      </c>
      <c r="K42" s="77" t="str">
        <f t="shared" si="3"/>
        <v>333113</v>
      </c>
      <c r="L42" s="83"/>
      <c r="O42" s="83"/>
    </row>
    <row r="43" spans="1:15" ht="24" customHeight="1">
      <c r="A43" s="30">
        <v>46234</v>
      </c>
      <c r="B43" s="31" t="s">
        <v>352</v>
      </c>
      <c r="C43" s="32" t="s">
        <v>252</v>
      </c>
      <c r="D43" s="19" t="s">
        <v>355</v>
      </c>
      <c r="E43" s="272"/>
      <c r="F43" s="275" t="s">
        <v>376</v>
      </c>
      <c r="G43" s="32" t="s">
        <v>354</v>
      </c>
      <c r="H43" s="32" t="s">
        <v>334</v>
      </c>
      <c r="I43" s="75">
        <f t="shared" ref="I43:I60" si="4">LEN(A43)</f>
        <v>5</v>
      </c>
      <c r="J43" s="76" t="str">
        <f t="shared" ref="J43:J60" si="5">LEFT(D43,6)</f>
        <v>Kết ch</v>
      </c>
      <c r="K43" s="77" t="str">
        <f t="shared" ref="K43:K60" si="6">IF(LEFT(A43,11)="Tài khoản: ",MID(A43,12,6),K42)</f>
        <v>333113</v>
      </c>
      <c r="L43" s="83"/>
      <c r="O43" s="83"/>
    </row>
    <row r="44" spans="1:15" s="84" customFormat="1">
      <c r="A44" s="162"/>
      <c r="B44" s="162"/>
      <c r="C44" s="162"/>
      <c r="D44" s="161" t="s">
        <v>81</v>
      </c>
      <c r="E44" s="272"/>
      <c r="F44" s="274">
        <v>0</v>
      </c>
      <c r="G44" s="162"/>
      <c r="H44" s="162"/>
      <c r="I44" s="75">
        <f t="shared" si="4"/>
        <v>0</v>
      </c>
      <c r="J44" s="76" t="str">
        <f t="shared" si="5"/>
        <v>Cộng p</v>
      </c>
      <c r="K44" s="77" t="str">
        <f t="shared" si="6"/>
        <v>333113</v>
      </c>
      <c r="L44" s="83"/>
      <c r="M44" s="78"/>
      <c r="N44" s="78"/>
      <c r="O44" s="83"/>
    </row>
    <row r="45" spans="1:15" s="84" customFormat="1">
      <c r="A45" s="162"/>
      <c r="B45" s="162"/>
      <c r="C45" s="162"/>
      <c r="D45" s="161" t="s">
        <v>359</v>
      </c>
      <c r="E45" s="272"/>
      <c r="F45" s="272"/>
      <c r="G45" s="162"/>
      <c r="H45" s="162"/>
      <c r="I45" s="75">
        <f t="shared" si="4"/>
        <v>0</v>
      </c>
      <c r="J45" s="76" t="str">
        <f t="shared" si="5"/>
        <v>Dư cuố</v>
      </c>
      <c r="K45" s="77" t="str">
        <f t="shared" si="6"/>
        <v>333113</v>
      </c>
      <c r="L45" s="83"/>
      <c r="M45" s="78"/>
      <c r="N45" s="78"/>
      <c r="O45" s="83"/>
    </row>
    <row r="46" spans="1:15">
      <c r="A46" s="327" t="s">
        <v>377</v>
      </c>
      <c r="B46" s="305"/>
      <c r="C46" s="306"/>
      <c r="D46" s="161" t="s">
        <v>328</v>
      </c>
      <c r="E46" s="272"/>
      <c r="F46" s="272"/>
      <c r="G46" s="162"/>
      <c r="H46" s="162"/>
      <c r="I46" s="75">
        <f t="shared" si="4"/>
        <v>22</v>
      </c>
      <c r="J46" s="76" t="str">
        <f t="shared" si="5"/>
        <v>Dư đầu</v>
      </c>
      <c r="K46" s="77" t="str">
        <f t="shared" si="6"/>
        <v>333114</v>
      </c>
      <c r="L46" s="83"/>
      <c r="O46" s="83"/>
    </row>
    <row r="47" spans="1:15" ht="35.5" customHeight="1">
      <c r="A47" s="30">
        <v>46230</v>
      </c>
      <c r="B47" s="31" t="s">
        <v>378</v>
      </c>
      <c r="C47" s="32" t="s">
        <v>247</v>
      </c>
      <c r="D47" s="19" t="s">
        <v>196</v>
      </c>
      <c r="E47" s="272"/>
      <c r="F47" s="275">
        <v>4586922</v>
      </c>
      <c r="G47" s="32" t="s">
        <v>185</v>
      </c>
      <c r="H47" s="32" t="s">
        <v>330</v>
      </c>
      <c r="I47">
        <f t="shared" si="4"/>
        <v>5</v>
      </c>
      <c r="J47" s="76" t="str">
        <f t="shared" si="5"/>
        <v>4500TT</v>
      </c>
      <c r="K47" s="77" t="str">
        <f t="shared" si="6"/>
        <v>333114</v>
      </c>
      <c r="L47" s="83"/>
      <c r="O47" s="83"/>
    </row>
    <row r="48" spans="1:15" ht="35.5" customHeight="1">
      <c r="A48" s="30">
        <v>46230</v>
      </c>
      <c r="B48" s="31" t="s">
        <v>379</v>
      </c>
      <c r="C48" s="32" t="s">
        <v>247</v>
      </c>
      <c r="D48" s="19" t="s">
        <v>189</v>
      </c>
      <c r="E48" s="272"/>
      <c r="F48" s="275">
        <v>3675206</v>
      </c>
      <c r="G48" s="32" t="s">
        <v>185</v>
      </c>
      <c r="H48" s="32" t="s">
        <v>330</v>
      </c>
      <c r="I48">
        <f t="shared" si="4"/>
        <v>5</v>
      </c>
      <c r="J48" s="76" t="str">
        <f t="shared" si="5"/>
        <v>4500TT</v>
      </c>
      <c r="K48" s="77" t="str">
        <f t="shared" si="6"/>
        <v>333114</v>
      </c>
      <c r="L48" s="83"/>
      <c r="O48" s="83"/>
    </row>
    <row r="49" spans="1:15" ht="24" customHeight="1">
      <c r="A49" s="30">
        <v>46230</v>
      </c>
      <c r="B49" s="31" t="s">
        <v>380</v>
      </c>
      <c r="C49" s="32" t="s">
        <v>247</v>
      </c>
      <c r="D49" s="19" t="s">
        <v>184</v>
      </c>
      <c r="E49" s="272"/>
      <c r="F49" s="275">
        <v>12023742</v>
      </c>
      <c r="G49" s="32" t="s">
        <v>185</v>
      </c>
      <c r="H49" s="32" t="s">
        <v>330</v>
      </c>
      <c r="I49">
        <f t="shared" si="4"/>
        <v>5</v>
      </c>
      <c r="J49" s="76" t="str">
        <f t="shared" si="5"/>
        <v>4500TT</v>
      </c>
      <c r="K49" s="77" t="str">
        <f t="shared" si="6"/>
        <v>333114</v>
      </c>
      <c r="L49" s="83"/>
      <c r="O49" s="83"/>
    </row>
    <row r="50" spans="1:15" ht="24" customHeight="1">
      <c r="A50" s="30">
        <v>46234</v>
      </c>
      <c r="B50" s="31" t="s">
        <v>352</v>
      </c>
      <c r="C50" s="32" t="s">
        <v>252</v>
      </c>
      <c r="D50" s="19" t="s">
        <v>353</v>
      </c>
      <c r="E50" s="272"/>
      <c r="F50" s="275" t="s">
        <v>381</v>
      </c>
      <c r="G50" s="32" t="s">
        <v>354</v>
      </c>
      <c r="H50" s="32" t="s">
        <v>334</v>
      </c>
      <c r="I50">
        <f t="shared" si="4"/>
        <v>5</v>
      </c>
      <c r="J50" s="76" t="str">
        <f t="shared" si="5"/>
        <v>Kết ch</v>
      </c>
      <c r="K50" s="77" t="str">
        <f t="shared" si="6"/>
        <v>333114</v>
      </c>
    </row>
    <row r="51" spans="1:15">
      <c r="A51" s="162"/>
      <c r="B51" s="162"/>
      <c r="C51" s="162"/>
      <c r="D51" s="161" t="s">
        <v>81</v>
      </c>
      <c r="E51" s="272"/>
      <c r="F51" s="274">
        <v>0</v>
      </c>
      <c r="G51" s="162"/>
      <c r="H51" s="162"/>
      <c r="I51">
        <f t="shared" si="4"/>
        <v>0</v>
      </c>
      <c r="J51" s="76" t="str">
        <f t="shared" si="5"/>
        <v>Cộng p</v>
      </c>
      <c r="K51" s="77" t="str">
        <f t="shared" si="6"/>
        <v>333114</v>
      </c>
    </row>
    <row r="52" spans="1:15">
      <c r="A52" s="162"/>
      <c r="B52" s="162"/>
      <c r="C52" s="162"/>
      <c r="D52" s="161" t="s">
        <v>359</v>
      </c>
      <c r="E52" s="272"/>
      <c r="F52" s="272"/>
      <c r="G52" s="162"/>
      <c r="H52" s="162"/>
      <c r="I52">
        <f t="shared" si="4"/>
        <v>0</v>
      </c>
      <c r="J52" s="76" t="str">
        <f t="shared" si="5"/>
        <v>Dư cuố</v>
      </c>
      <c r="K52" s="77" t="str">
        <f t="shared" si="6"/>
        <v>333114</v>
      </c>
    </row>
    <row r="53" spans="1:15">
      <c r="A53" s="162"/>
      <c r="B53" s="162"/>
      <c r="C53" s="162"/>
      <c r="D53" s="161" t="s">
        <v>382</v>
      </c>
      <c r="E53" s="274">
        <v>1500000000</v>
      </c>
      <c r="F53" s="272"/>
      <c r="G53" s="162"/>
      <c r="H53" s="162"/>
      <c r="I53">
        <f t="shared" si="4"/>
        <v>0</v>
      </c>
      <c r="J53" s="76" t="str">
        <f t="shared" si="5"/>
        <v>Tổng D</v>
      </c>
      <c r="K53" s="77" t="str">
        <f t="shared" si="6"/>
        <v>333114</v>
      </c>
    </row>
    <row r="54" spans="1:15">
      <c r="A54" s="162"/>
      <c r="B54" s="162"/>
      <c r="C54" s="162"/>
      <c r="D54" s="161" t="s">
        <v>383</v>
      </c>
      <c r="E54" s="274">
        <v>107247429095</v>
      </c>
      <c r="F54" s="274">
        <v>107247429095</v>
      </c>
      <c r="G54" s="162"/>
      <c r="H54" s="162"/>
      <c r="I54">
        <f t="shared" si="4"/>
        <v>0</v>
      </c>
      <c r="J54" t="str">
        <f t="shared" si="5"/>
        <v>Tổng C</v>
      </c>
      <c r="K54" t="str">
        <f t="shared" si="6"/>
        <v>333114</v>
      </c>
    </row>
    <row r="55" spans="1:15">
      <c r="A55" s="162"/>
      <c r="B55" s="162"/>
      <c r="C55" s="162"/>
      <c r="D55" s="161" t="s">
        <v>384</v>
      </c>
      <c r="E55" s="274">
        <v>1500000000</v>
      </c>
      <c r="F55" s="272"/>
      <c r="G55" s="162"/>
      <c r="H55" s="162"/>
      <c r="I55">
        <f t="shared" si="4"/>
        <v>0</v>
      </c>
      <c r="J55" t="str">
        <f t="shared" si="5"/>
        <v>Tổng D</v>
      </c>
      <c r="K55" t="str">
        <f t="shared" si="6"/>
        <v>333114</v>
      </c>
    </row>
    <row r="56" spans="1:15" ht="15.5" customHeight="1">
      <c r="I56">
        <f t="shared" si="4"/>
        <v>0</v>
      </c>
      <c r="J56" t="str">
        <f t="shared" si="5"/>
        <v/>
      </c>
      <c r="K56" t="str">
        <f t="shared" si="6"/>
        <v>333114</v>
      </c>
    </row>
    <row r="57" spans="1:15">
      <c r="A57" s="329" t="s">
        <v>385</v>
      </c>
      <c r="B57" s="301"/>
      <c r="C57" s="301"/>
      <c r="D57" s="301"/>
      <c r="E57" s="330"/>
      <c r="F57" s="330"/>
      <c r="G57" s="301"/>
      <c r="H57" s="301"/>
      <c r="I57">
        <f t="shared" si="4"/>
        <v>54</v>
      </c>
      <c r="J57" t="str">
        <f t="shared" si="5"/>
        <v/>
      </c>
      <c r="K57" t="str">
        <f t="shared" si="6"/>
        <v>333114</v>
      </c>
    </row>
    <row r="58" spans="1:15">
      <c r="A58" s="159"/>
      <c r="I58">
        <f t="shared" si="4"/>
        <v>0</v>
      </c>
      <c r="J58" t="str">
        <f t="shared" si="5"/>
        <v/>
      </c>
      <c r="K58" t="str">
        <f t="shared" si="6"/>
        <v>333114</v>
      </c>
    </row>
    <row r="59" spans="1:15">
      <c r="I59">
        <f t="shared" si="4"/>
        <v>0</v>
      </c>
      <c r="J59" t="str">
        <f t="shared" si="5"/>
        <v/>
      </c>
      <c r="K59" t="str">
        <f t="shared" si="6"/>
        <v>333114</v>
      </c>
    </row>
    <row r="60" spans="1:15">
      <c r="A60" s="52" t="s">
        <v>386</v>
      </c>
      <c r="I60">
        <f t="shared" si="4"/>
        <v>68</v>
      </c>
      <c r="J60" t="str">
        <f t="shared" si="5"/>
        <v/>
      </c>
      <c r="K60" t="str">
        <f t="shared" si="6"/>
        <v>333114</v>
      </c>
    </row>
  </sheetData>
  <mergeCells count="10">
    <mergeCell ref="A46:C46"/>
    <mergeCell ref="A57:H57"/>
    <mergeCell ref="A31:C31"/>
    <mergeCell ref="A9:C9"/>
    <mergeCell ref="G9:G10"/>
    <mergeCell ref="D9:D10"/>
    <mergeCell ref="A11:C11"/>
    <mergeCell ref="H9:H10"/>
    <mergeCell ref="F9:F10"/>
    <mergeCell ref="E9:E10"/>
  </mergeCells>
  <pageMargins left="0.75" right="0.75" top="1" bottom="1" header="0.5" footer="0.5"/>
  <pageSetup paperSize="9" orientation="portrait"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O118"/>
  <sheetViews>
    <sheetView zoomScale="90" zoomScaleNormal="90" workbookViewId="0">
      <selection activeCell="F7" sqref="F1:G1048576"/>
    </sheetView>
  </sheetViews>
  <sheetFormatPr defaultColWidth="9" defaultRowHeight="15.5"/>
  <cols>
    <col min="1" max="1" width="13" bestFit="1" customWidth="1"/>
    <col min="2" max="2" width="9" bestFit="1" customWidth="1"/>
    <col min="3" max="3" width="16.33203125" bestFit="1" customWidth="1"/>
    <col min="4" max="4" width="10.58203125" bestFit="1" customWidth="1"/>
    <col min="5" max="5" width="32" bestFit="1" customWidth="1"/>
    <col min="6" max="6" width="13.33203125" bestFit="1" customWidth="1"/>
    <col min="7" max="7" width="13.25" bestFit="1" customWidth="1"/>
    <col min="8" max="8" width="16.83203125" bestFit="1" customWidth="1"/>
    <col min="9" max="9" width="10.4140625" bestFit="1" customWidth="1"/>
    <col min="10" max="10" width="12" style="103" customWidth="1"/>
    <col min="11" max="11" width="13.4140625" style="104" customWidth="1"/>
    <col min="12" max="12" width="9" style="105" customWidth="1"/>
    <col min="13" max="14" width="13.4140625" style="105" bestFit="1" customWidth="1"/>
    <col min="15" max="15" width="9" style="105" customWidth="1"/>
    <col min="16" max="16384" width="9" style="105"/>
  </cols>
  <sheetData>
    <row r="1" spans="1:15" ht="15.75" customHeight="1">
      <c r="A1" s="334" t="s">
        <v>101</v>
      </c>
      <c r="B1" s="301"/>
      <c r="C1" s="301"/>
      <c r="D1" s="301"/>
      <c r="E1" s="301"/>
      <c r="F1" s="301"/>
      <c r="G1" s="301"/>
      <c r="H1" s="301"/>
      <c r="I1" s="301"/>
      <c r="L1" s="106"/>
      <c r="M1" s="106" t="s">
        <v>387</v>
      </c>
      <c r="N1" s="106" t="s">
        <v>388</v>
      </c>
    </row>
    <row r="2" spans="1:15" ht="15.75" customHeight="1">
      <c r="A2" s="334" t="s">
        <v>316</v>
      </c>
      <c r="B2" s="301"/>
      <c r="C2" s="301"/>
      <c r="D2" s="301"/>
      <c r="E2" s="301"/>
      <c r="F2" s="301"/>
      <c r="G2" s="301"/>
      <c r="H2" s="301"/>
      <c r="I2" s="301"/>
      <c r="L2" s="106" t="s">
        <v>16</v>
      </c>
      <c r="M2" s="107">
        <f>SUMIF($J:$J,$L2,F:F)</f>
        <v>55441397333</v>
      </c>
      <c r="N2" s="107">
        <f>SUMIF($J:$J,$L2,G:G)</f>
        <v>57907262194</v>
      </c>
      <c r="O2" s="91"/>
    </row>
    <row r="3" spans="1:15" ht="18.75" customHeight="1">
      <c r="A3" s="342" t="s">
        <v>389</v>
      </c>
      <c r="B3" s="301"/>
      <c r="C3" s="301"/>
      <c r="D3" s="301"/>
      <c r="E3" s="301"/>
      <c r="F3" s="301"/>
      <c r="G3" s="301"/>
      <c r="H3" s="301"/>
      <c r="I3" s="301"/>
      <c r="L3" s="106" t="s">
        <v>17</v>
      </c>
      <c r="M3" s="107">
        <f>SUMIF($J:$J,$L3,F:F)</f>
        <v>43116020</v>
      </c>
      <c r="N3" s="107">
        <f>SUMIF($J:$J,$L3,G:G)</f>
        <v>44168705</v>
      </c>
      <c r="O3" s="91"/>
    </row>
    <row r="4" spans="1:15" ht="15.75" customHeight="1">
      <c r="A4" s="343" t="s">
        <v>390</v>
      </c>
      <c r="B4" s="301"/>
      <c r="C4" s="301"/>
      <c r="D4" s="301"/>
      <c r="E4" s="301"/>
      <c r="F4" s="301"/>
      <c r="G4" s="301"/>
      <c r="H4" s="301"/>
      <c r="I4" s="301"/>
      <c r="L4" s="106"/>
      <c r="M4" s="108">
        <f>SUM(M2:M3)</f>
        <v>55484513353</v>
      </c>
      <c r="N4" s="109">
        <f>SUM(N2:N3)</f>
        <v>57951430899</v>
      </c>
      <c r="O4" s="91"/>
    </row>
    <row r="5" spans="1:15">
      <c r="A5" s="343" t="s">
        <v>391</v>
      </c>
      <c r="B5" s="301"/>
      <c r="C5" s="301"/>
      <c r="D5" s="301"/>
      <c r="E5" s="301"/>
      <c r="F5" s="301"/>
      <c r="G5" s="301"/>
      <c r="H5" s="301"/>
      <c r="I5" s="301"/>
      <c r="M5" s="91"/>
      <c r="N5" s="91"/>
      <c r="O5" s="91"/>
    </row>
    <row r="6" spans="1:15" ht="15.75" customHeight="1">
      <c r="A6" s="343" t="s">
        <v>146</v>
      </c>
      <c r="B6" s="301"/>
      <c r="C6" s="301"/>
      <c r="D6" s="301"/>
      <c r="E6" s="301"/>
      <c r="F6" s="301"/>
      <c r="G6" s="301"/>
      <c r="H6" s="301"/>
      <c r="I6" s="301"/>
    </row>
    <row r="7" spans="1:15" ht="16.25" customHeight="1">
      <c r="A7" s="335" t="s">
        <v>392</v>
      </c>
      <c r="B7" s="335" t="s">
        <v>393</v>
      </c>
      <c r="C7" s="305"/>
      <c r="D7" s="306"/>
      <c r="E7" s="335" t="s">
        <v>394</v>
      </c>
      <c r="F7" s="335" t="s">
        <v>395</v>
      </c>
      <c r="G7" s="335" t="s">
        <v>396</v>
      </c>
      <c r="H7" s="164" t="s">
        <v>397</v>
      </c>
      <c r="I7" s="335" t="s">
        <v>398</v>
      </c>
    </row>
    <row r="8" spans="1:15" ht="15.9" customHeight="1">
      <c r="A8" s="336"/>
      <c r="B8" s="335" t="s">
        <v>399</v>
      </c>
      <c r="C8" s="335" t="s">
        <v>400</v>
      </c>
      <c r="D8" s="165" t="s">
        <v>401</v>
      </c>
      <c r="E8" s="336"/>
      <c r="F8" s="336"/>
      <c r="G8" s="336"/>
      <c r="H8" s="166" t="s">
        <v>393</v>
      </c>
      <c r="I8" s="336"/>
    </row>
    <row r="9" spans="1:15" ht="15.9" customHeight="1">
      <c r="A9" s="307"/>
      <c r="B9" s="307"/>
      <c r="C9" s="307"/>
      <c r="D9" s="167" t="s">
        <v>402</v>
      </c>
      <c r="E9" s="307"/>
      <c r="F9" s="307"/>
      <c r="G9" s="307"/>
      <c r="H9" s="168"/>
      <c r="I9" s="307"/>
      <c r="K9" s="110"/>
    </row>
    <row r="10" spans="1:15" ht="14" customHeight="1">
      <c r="A10" s="341" t="s">
        <v>403</v>
      </c>
      <c r="B10" s="305"/>
      <c r="C10" s="305"/>
      <c r="D10" s="305"/>
      <c r="E10" s="305"/>
      <c r="F10" s="305"/>
      <c r="G10" s="305"/>
      <c r="H10" s="305"/>
      <c r="I10" s="306"/>
    </row>
    <row r="11" spans="1:15" ht="14" customHeight="1">
      <c r="A11" s="338"/>
      <c r="B11" s="305"/>
      <c r="C11" s="305"/>
      <c r="D11" s="305"/>
      <c r="E11" s="169" t="s">
        <v>404</v>
      </c>
      <c r="F11" s="170"/>
      <c r="G11" s="266">
        <v>55484513353</v>
      </c>
      <c r="H11" s="171"/>
      <c r="I11" s="171"/>
    </row>
    <row r="12" spans="1:15" ht="14" customHeight="1">
      <c r="A12" s="339" t="s">
        <v>405</v>
      </c>
      <c r="B12" s="305"/>
      <c r="C12" s="305"/>
      <c r="D12" s="305"/>
      <c r="E12" s="306"/>
      <c r="F12" s="170"/>
      <c r="G12" s="266">
        <v>55484513353</v>
      </c>
      <c r="H12" s="171"/>
      <c r="I12" s="171"/>
    </row>
    <row r="13" spans="1:15" ht="14" customHeight="1">
      <c r="A13" s="339" t="s">
        <v>406</v>
      </c>
      <c r="B13" s="305"/>
      <c r="C13" s="305"/>
      <c r="D13" s="305"/>
      <c r="E13" s="306"/>
      <c r="F13" s="170"/>
      <c r="G13" s="266">
        <v>55484513353</v>
      </c>
      <c r="H13" s="171"/>
      <c r="I13" s="171"/>
    </row>
    <row r="14" spans="1:15" ht="14" customHeight="1">
      <c r="A14" s="339" t="s">
        <v>407</v>
      </c>
      <c r="B14" s="305"/>
      <c r="C14" s="305"/>
      <c r="D14" s="305"/>
      <c r="E14" s="306"/>
      <c r="F14" s="170"/>
      <c r="G14" s="266">
        <v>55484513353</v>
      </c>
      <c r="H14" s="171"/>
      <c r="I14" s="171"/>
    </row>
    <row r="15" spans="1:15" ht="15" customHeight="1">
      <c r="A15" s="331" t="s">
        <v>408</v>
      </c>
      <c r="B15" s="333">
        <v>46214</v>
      </c>
      <c r="C15" s="331"/>
      <c r="D15" s="337">
        <v>2103</v>
      </c>
      <c r="E15" s="267" t="s">
        <v>409</v>
      </c>
      <c r="F15" s="337">
        <v>55441397333</v>
      </c>
      <c r="G15" s="317"/>
      <c r="H15" s="337" t="s">
        <v>178</v>
      </c>
      <c r="I15" s="337" t="s">
        <v>410</v>
      </c>
      <c r="J15" s="103" t="s">
        <v>16</v>
      </c>
      <c r="K15" s="104">
        <f t="shared" ref="K15:K26" si="0">IF(H15=$K$9,G15,0)</f>
        <v>0</v>
      </c>
    </row>
    <row r="16" spans="1:15" ht="15" customHeight="1">
      <c r="A16" s="307"/>
      <c r="B16" s="307"/>
      <c r="C16" s="307"/>
      <c r="D16" s="307"/>
      <c r="E16" s="268" t="s">
        <v>333</v>
      </c>
      <c r="F16" s="307"/>
      <c r="G16" s="307"/>
      <c r="H16" s="307"/>
      <c r="I16" s="307"/>
      <c r="J16" s="103" t="s">
        <v>16</v>
      </c>
      <c r="K16" s="104">
        <f t="shared" si="0"/>
        <v>0</v>
      </c>
    </row>
    <row r="17" spans="1:11" ht="15" customHeight="1">
      <c r="A17" s="331" t="s">
        <v>408</v>
      </c>
      <c r="B17" s="333">
        <v>46214</v>
      </c>
      <c r="C17" s="331"/>
      <c r="D17" s="337">
        <v>2103</v>
      </c>
      <c r="E17" s="267" t="s">
        <v>409</v>
      </c>
      <c r="F17" s="337">
        <v>43116020</v>
      </c>
      <c r="G17" s="317"/>
      <c r="H17" s="337" t="s">
        <v>178</v>
      </c>
      <c r="I17" s="337" t="s">
        <v>410</v>
      </c>
      <c r="J17" s="103" t="s">
        <v>17</v>
      </c>
      <c r="K17" s="104">
        <f t="shared" si="0"/>
        <v>0</v>
      </c>
    </row>
    <row r="18" spans="1:11" ht="15" customHeight="1">
      <c r="A18" s="307"/>
      <c r="B18" s="307"/>
      <c r="C18" s="307"/>
      <c r="D18" s="307"/>
      <c r="E18" s="268" t="s">
        <v>335</v>
      </c>
      <c r="F18" s="307"/>
      <c r="G18" s="307"/>
      <c r="H18" s="307"/>
      <c r="I18" s="307"/>
      <c r="J18" s="103" t="s">
        <v>17</v>
      </c>
      <c r="K18" s="104">
        <f t="shared" si="0"/>
        <v>0</v>
      </c>
    </row>
    <row r="19" spans="1:11" ht="15" customHeight="1">
      <c r="A19" s="331" t="s">
        <v>408</v>
      </c>
      <c r="B19" s="333">
        <v>46214</v>
      </c>
      <c r="C19" s="331"/>
      <c r="D19" s="337">
        <v>2103</v>
      </c>
      <c r="E19" s="267" t="s">
        <v>409</v>
      </c>
      <c r="F19" s="317"/>
      <c r="G19" s="317"/>
      <c r="H19" s="337" t="s">
        <v>178</v>
      </c>
      <c r="I19" s="337" t="s">
        <v>410</v>
      </c>
      <c r="J19" s="103" t="s">
        <v>18</v>
      </c>
      <c r="K19" s="104">
        <f t="shared" si="0"/>
        <v>0</v>
      </c>
    </row>
    <row r="20" spans="1:11" ht="15" customHeight="1">
      <c r="A20" s="307"/>
      <c r="B20" s="307"/>
      <c r="C20" s="307"/>
      <c r="D20" s="307"/>
      <c r="E20" s="268" t="s">
        <v>411</v>
      </c>
      <c r="F20" s="307"/>
      <c r="G20" s="307"/>
      <c r="H20" s="307"/>
      <c r="I20" s="307"/>
      <c r="J20" s="103" t="s">
        <v>18</v>
      </c>
      <c r="K20" s="104">
        <f t="shared" si="0"/>
        <v>0</v>
      </c>
    </row>
    <row r="21" spans="1:11" ht="15" customHeight="1">
      <c r="A21" s="331" t="s">
        <v>412</v>
      </c>
      <c r="B21" s="333">
        <v>46234</v>
      </c>
      <c r="C21" s="337">
        <v>1899</v>
      </c>
      <c r="D21" s="331"/>
      <c r="E21" s="267" t="s">
        <v>409</v>
      </c>
      <c r="F21" s="317"/>
      <c r="G21" s="337">
        <v>57907262194</v>
      </c>
      <c r="H21" s="337" t="s">
        <v>178</v>
      </c>
      <c r="I21" s="337" t="s">
        <v>413</v>
      </c>
      <c r="J21" s="103" t="s">
        <v>16</v>
      </c>
      <c r="K21" s="104">
        <f t="shared" si="0"/>
        <v>0</v>
      </c>
    </row>
    <row r="22" spans="1:11" ht="45.75" customHeight="1">
      <c r="A22" s="307"/>
      <c r="B22" s="307"/>
      <c r="C22" s="307"/>
      <c r="D22" s="307"/>
      <c r="E22" s="268" t="s">
        <v>186</v>
      </c>
      <c r="F22" s="307"/>
      <c r="G22" s="307"/>
      <c r="H22" s="307"/>
      <c r="I22" s="307"/>
      <c r="J22" s="103" t="s">
        <v>16</v>
      </c>
      <c r="K22" s="104">
        <f t="shared" si="0"/>
        <v>0</v>
      </c>
    </row>
    <row r="23" spans="1:11" ht="15" customHeight="1">
      <c r="A23" s="331" t="s">
        <v>412</v>
      </c>
      <c r="B23" s="333">
        <v>46234</v>
      </c>
      <c r="C23" s="337">
        <v>1900</v>
      </c>
      <c r="D23" s="331"/>
      <c r="E23" s="267" t="s">
        <v>409</v>
      </c>
      <c r="F23" s="317"/>
      <c r="G23" s="317"/>
      <c r="H23" s="337" t="s">
        <v>178</v>
      </c>
      <c r="I23" s="337" t="s">
        <v>413</v>
      </c>
      <c r="J23" s="103" t="s">
        <v>18</v>
      </c>
      <c r="K23" s="104">
        <f t="shared" si="0"/>
        <v>0</v>
      </c>
    </row>
    <row r="24" spans="1:11" ht="15" customHeight="1">
      <c r="A24" s="307"/>
      <c r="B24" s="307"/>
      <c r="C24" s="307"/>
      <c r="D24" s="307"/>
      <c r="E24" s="268" t="s">
        <v>187</v>
      </c>
      <c r="F24" s="307"/>
      <c r="G24" s="307"/>
      <c r="H24" s="307"/>
      <c r="I24" s="307"/>
      <c r="J24" s="103" t="s">
        <v>18</v>
      </c>
      <c r="K24" s="104">
        <f t="shared" si="0"/>
        <v>0</v>
      </c>
    </row>
    <row r="25" spans="1:11" ht="15" customHeight="1">
      <c r="A25" s="331" t="s">
        <v>412</v>
      </c>
      <c r="B25" s="333">
        <v>46234</v>
      </c>
      <c r="C25" s="337">
        <v>1901</v>
      </c>
      <c r="D25" s="331"/>
      <c r="E25" s="267" t="s">
        <v>409</v>
      </c>
      <c r="F25" s="317"/>
      <c r="G25" s="337">
        <v>44168705</v>
      </c>
      <c r="H25" s="337" t="s">
        <v>178</v>
      </c>
      <c r="I25" s="337" t="s">
        <v>413</v>
      </c>
      <c r="J25" s="103" t="s">
        <v>17</v>
      </c>
      <c r="K25" s="104">
        <f t="shared" si="0"/>
        <v>0</v>
      </c>
    </row>
    <row r="26" spans="1:11" ht="47.25" customHeight="1">
      <c r="A26" s="307"/>
      <c r="B26" s="307"/>
      <c r="C26" s="307"/>
      <c r="D26" s="307"/>
      <c r="E26" s="268" t="s">
        <v>188</v>
      </c>
      <c r="F26" s="307"/>
      <c r="G26" s="307"/>
      <c r="H26" s="307"/>
      <c r="I26" s="307"/>
      <c r="J26" s="103" t="s">
        <v>17</v>
      </c>
      <c r="K26" s="104">
        <f t="shared" si="0"/>
        <v>0</v>
      </c>
    </row>
    <row r="27" spans="1:11" ht="15" customHeight="1">
      <c r="A27" s="192"/>
      <c r="B27" s="340" t="s">
        <v>414</v>
      </c>
      <c r="C27" s="305"/>
      <c r="D27" s="305"/>
      <c r="E27" s="306"/>
      <c r="F27" s="266">
        <v>55484513353</v>
      </c>
      <c r="G27" s="266">
        <v>57951430899</v>
      </c>
      <c r="H27" s="170"/>
      <c r="I27" s="171"/>
    </row>
    <row r="28" spans="1:11" ht="15" customHeight="1">
      <c r="A28" s="162"/>
      <c r="B28" s="332" t="s">
        <v>415</v>
      </c>
      <c r="C28" s="305"/>
      <c r="D28" s="305"/>
      <c r="E28" s="306"/>
      <c r="F28" s="170"/>
      <c r="G28" s="266">
        <v>57951430899</v>
      </c>
      <c r="H28" s="171"/>
      <c r="I28" s="171"/>
    </row>
    <row r="29" spans="1:11" ht="15" customHeight="1">
      <c r="A29" s="162"/>
      <c r="B29" s="332" t="s">
        <v>416</v>
      </c>
      <c r="C29" s="305"/>
      <c r="D29" s="305"/>
      <c r="E29" s="306"/>
      <c r="F29" s="266">
        <v>55484513353</v>
      </c>
      <c r="G29" s="266">
        <v>57951430899</v>
      </c>
      <c r="H29" s="171"/>
      <c r="I29" s="171"/>
    </row>
    <row r="30" spans="1:11" ht="15" customHeight="1">
      <c r="A30" s="162"/>
      <c r="B30" s="332" t="s">
        <v>417</v>
      </c>
      <c r="C30" s="305"/>
      <c r="D30" s="305"/>
      <c r="E30" s="306"/>
      <c r="F30" s="170"/>
      <c r="G30" s="266">
        <v>57951430899</v>
      </c>
      <c r="H30" s="171"/>
      <c r="I30" s="171"/>
    </row>
    <row r="31" spans="1:11" ht="15" customHeight="1">
      <c r="A31" s="162"/>
      <c r="B31" s="332" t="s">
        <v>418</v>
      </c>
      <c r="C31" s="305"/>
      <c r="D31" s="305"/>
      <c r="E31" s="306"/>
      <c r="F31" s="266">
        <v>55484513353</v>
      </c>
      <c r="G31" s="266">
        <v>57951430899</v>
      </c>
      <c r="H31" s="171"/>
      <c r="I31" s="171"/>
    </row>
    <row r="32" spans="1:11" ht="15" customHeight="1">
      <c r="A32" s="162"/>
      <c r="B32" s="332" t="s">
        <v>415</v>
      </c>
      <c r="C32" s="305"/>
      <c r="D32" s="305"/>
      <c r="E32" s="306"/>
      <c r="F32" s="170"/>
      <c r="G32" s="266">
        <v>57951430899</v>
      </c>
      <c r="H32" s="171"/>
      <c r="I32" s="171"/>
    </row>
    <row r="33" spans="1:9" ht="15" customHeight="1">
      <c r="A33" s="162"/>
      <c r="B33" s="332" t="s">
        <v>419</v>
      </c>
      <c r="C33" s="305"/>
      <c r="D33" s="305"/>
      <c r="E33" s="306"/>
      <c r="F33" s="266">
        <v>55484513353</v>
      </c>
      <c r="G33" s="266">
        <v>57951430899</v>
      </c>
      <c r="H33" s="171"/>
      <c r="I33" s="171"/>
    </row>
    <row r="34" spans="1:9" ht="15" customHeight="1">
      <c r="A34" s="162"/>
      <c r="B34" s="332" t="s">
        <v>420</v>
      </c>
      <c r="C34" s="305"/>
      <c r="D34" s="305"/>
      <c r="E34" s="306"/>
      <c r="F34" s="170"/>
      <c r="G34" s="266">
        <v>57951430899</v>
      </c>
      <c r="H34" s="171"/>
      <c r="I34" s="171"/>
    </row>
    <row r="35" spans="1:9" ht="15" customHeight="1">
      <c r="A35" s="162"/>
      <c r="B35" s="332" t="s">
        <v>421</v>
      </c>
      <c r="C35" s="305"/>
      <c r="D35" s="305"/>
      <c r="E35" s="306"/>
      <c r="F35" s="170"/>
      <c r="G35" s="266">
        <v>55484513353</v>
      </c>
      <c r="H35" s="171"/>
      <c r="I35" s="171"/>
    </row>
    <row r="36" spans="1:9" ht="15" customHeight="1">
      <c r="A36" s="162"/>
      <c r="B36" s="332" t="s">
        <v>422</v>
      </c>
      <c r="C36" s="305"/>
      <c r="D36" s="305"/>
      <c r="E36" s="306"/>
      <c r="F36" s="266">
        <v>55484513353</v>
      </c>
      <c r="G36" s="266">
        <v>57951430899</v>
      </c>
      <c r="H36" s="171"/>
      <c r="I36" s="171"/>
    </row>
    <row r="37" spans="1:9" ht="16.25" customHeight="1">
      <c r="A37" s="162"/>
      <c r="B37" s="332" t="s">
        <v>423</v>
      </c>
      <c r="C37" s="305"/>
      <c r="D37" s="305"/>
      <c r="E37" s="306"/>
      <c r="F37" s="170"/>
      <c r="G37" s="266">
        <v>57951430899</v>
      </c>
      <c r="H37" s="171"/>
      <c r="I37" s="171"/>
    </row>
    <row r="38" spans="1:9" ht="18.899999999999999" customHeight="1">
      <c r="A38" s="172"/>
      <c r="B38" s="159"/>
      <c r="C38" s="173" t="s">
        <v>424</v>
      </c>
      <c r="D38" s="173" t="s">
        <v>425</v>
      </c>
      <c r="E38" s="172"/>
    </row>
    <row r="39" spans="1:9" ht="16.25" customHeight="1">
      <c r="A39" s="172"/>
      <c r="B39" s="159"/>
      <c r="C39" s="174" t="s">
        <v>426</v>
      </c>
      <c r="D39" s="174" t="s">
        <v>426</v>
      </c>
      <c r="E39" s="172"/>
    </row>
    <row r="40" spans="1:9" ht="16.25" customHeight="1">
      <c r="A40" s="172"/>
      <c r="B40" s="159"/>
      <c r="C40" s="159"/>
      <c r="D40" s="159"/>
      <c r="E40" s="172"/>
    </row>
    <row r="41" spans="1:9" ht="16.25" customHeight="1">
      <c r="A41" s="172"/>
      <c r="B41" s="159"/>
      <c r="C41" s="159"/>
      <c r="D41" s="159"/>
      <c r="E41" s="172"/>
    </row>
    <row r="42" spans="1:9" ht="16.25" customHeight="1">
      <c r="A42" s="172"/>
      <c r="B42" s="159"/>
      <c r="C42" s="159"/>
      <c r="D42" s="159"/>
      <c r="E42" s="172"/>
    </row>
    <row r="43" spans="1:9" ht="14" customHeight="1">
      <c r="A43" s="172"/>
      <c r="B43" s="159"/>
      <c r="C43" s="159"/>
      <c r="D43" s="159"/>
      <c r="E43" s="172"/>
    </row>
    <row r="44" spans="1:9" ht="14" customHeight="1">
      <c r="A44" s="172"/>
      <c r="B44" s="159"/>
      <c r="C44" s="159"/>
      <c r="D44" s="159"/>
      <c r="E44" s="172"/>
    </row>
    <row r="45" spans="1:9" ht="14" customHeight="1"/>
    <row r="46" spans="1:9" ht="15" customHeight="1"/>
    <row r="47" spans="1:9" ht="15" customHeight="1"/>
    <row r="48" spans="1:9" ht="15" customHeight="1"/>
    <row r="49" ht="15" customHeight="1"/>
    <row r="50" ht="15" customHeight="1"/>
    <row r="51" ht="15" customHeight="1"/>
    <row r="52" ht="16.25" customHeight="1"/>
    <row r="53" ht="18.899999999999999" customHeight="1"/>
    <row r="54" ht="16.25" customHeight="1"/>
    <row r="55" ht="16.25" customHeight="1"/>
    <row r="56" ht="16.25" customHeight="1"/>
    <row r="57" ht="16.25" customHeight="1"/>
    <row r="58" ht="14" customHeight="1"/>
    <row r="59" ht="14" customHeight="1"/>
    <row r="60" ht="14"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6.25" customHeight="1"/>
    <row r="102" ht="18.899999999999999" customHeight="1"/>
    <row r="103" ht="16.25" customHeight="1"/>
    <row r="104" ht="16.25" customHeight="1"/>
    <row r="105" ht="16.25" customHeight="1"/>
    <row r="106" ht="16.25" customHeight="1"/>
    <row r="107" ht="16.25" customHeight="1"/>
    <row r="108" ht="17.399999999999999" customHeight="1"/>
    <row r="109" ht="16.25" customHeight="1"/>
    <row r="110" ht="16.25" customHeight="1"/>
    <row r="111" ht="16.25" customHeight="1"/>
    <row r="112" ht="23.75" customHeight="1"/>
    <row r="113" ht="23.75" customHeight="1"/>
    <row r="114" ht="26.15" customHeight="1"/>
    <row r="115" ht="26.15" customHeight="1"/>
    <row r="116" ht="26.15" customHeight="1"/>
    <row r="117" ht="26.15" customHeight="1"/>
    <row r="118" ht="26.15" customHeight="1"/>
  </sheetData>
  <mergeCells count="78">
    <mergeCell ref="A6:I6"/>
    <mergeCell ref="A13:E13"/>
    <mergeCell ref="B34:E34"/>
    <mergeCell ref="B28:E28"/>
    <mergeCell ref="B21:B22"/>
    <mergeCell ref="F15:F16"/>
    <mergeCell ref="G17:G18"/>
    <mergeCell ref="F25:F26"/>
    <mergeCell ref="B30:E30"/>
    <mergeCell ref="H21:H22"/>
    <mergeCell ref="G19:G20"/>
    <mergeCell ref="I25:I26"/>
    <mergeCell ref="A25:A26"/>
    <mergeCell ref="C25:C26"/>
    <mergeCell ref="I21:I22"/>
    <mergeCell ref="B19:B20"/>
    <mergeCell ref="A1:I1"/>
    <mergeCell ref="B29:E29"/>
    <mergeCell ref="D23:D24"/>
    <mergeCell ref="B37:E37"/>
    <mergeCell ref="B8:B9"/>
    <mergeCell ref="A3:I3"/>
    <mergeCell ref="F21:F22"/>
    <mergeCell ref="A5:I5"/>
    <mergeCell ref="F17:F18"/>
    <mergeCell ref="C21:C22"/>
    <mergeCell ref="G15:G16"/>
    <mergeCell ref="F23:F24"/>
    <mergeCell ref="A4:I4"/>
    <mergeCell ref="C23:C24"/>
    <mergeCell ref="F7:F9"/>
    <mergeCell ref="I23:I24"/>
    <mergeCell ref="C8:C9"/>
    <mergeCell ref="A10:I10"/>
    <mergeCell ref="A17:A18"/>
    <mergeCell ref="C17:C18"/>
    <mergeCell ref="D25:D26"/>
    <mergeCell ref="A23:A24"/>
    <mergeCell ref="A14:E14"/>
    <mergeCell ref="G25:G26"/>
    <mergeCell ref="I19:I20"/>
    <mergeCell ref="A19:A20"/>
    <mergeCell ref="C19:C20"/>
    <mergeCell ref="A7:A9"/>
    <mergeCell ref="G7:G9"/>
    <mergeCell ref="I7:I9"/>
    <mergeCell ref="B7:D7"/>
    <mergeCell ref="D19:D20"/>
    <mergeCell ref="A11:D11"/>
    <mergeCell ref="H19:H20"/>
    <mergeCell ref="A21:A22"/>
    <mergeCell ref="A12:E12"/>
    <mergeCell ref="B27:E27"/>
    <mergeCell ref="F19:F20"/>
    <mergeCell ref="A15:A16"/>
    <mergeCell ref="C15:C16"/>
    <mergeCell ref="H25:H26"/>
    <mergeCell ref="D17:D18"/>
    <mergeCell ref="B33:E33"/>
    <mergeCell ref="B32:E32"/>
    <mergeCell ref="B35:E35"/>
    <mergeCell ref="H17:H18"/>
    <mergeCell ref="D21:D22"/>
    <mergeCell ref="B36:E36"/>
    <mergeCell ref="B23:B24"/>
    <mergeCell ref="A2:I2"/>
    <mergeCell ref="E7:E9"/>
    <mergeCell ref="I17:I18"/>
    <mergeCell ref="B15:B16"/>
    <mergeCell ref="D15:D16"/>
    <mergeCell ref="B31:E31"/>
    <mergeCell ref="H15:H16"/>
    <mergeCell ref="G21:G22"/>
    <mergeCell ref="B25:B26"/>
    <mergeCell ref="I15:I16"/>
    <mergeCell ref="H23:H24"/>
    <mergeCell ref="G23:G24"/>
    <mergeCell ref="B17:B18"/>
  </mergeCell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AB1143"/>
  <sheetViews>
    <sheetView showGridLines="0" tabSelected="1" zoomScale="90" zoomScaleNormal="90" workbookViewId="0">
      <pane xSplit="6" ySplit="20" topLeftCell="Q21" activePane="bottomRight" state="frozen"/>
      <selection activeCell="S16" sqref="S16"/>
      <selection pane="topRight" activeCell="S16" sqref="S16"/>
      <selection pane="bottomLeft" activeCell="S16" sqref="S16"/>
      <selection pane="bottomRight" activeCell="R27" sqref="R27"/>
    </sheetView>
  </sheetViews>
  <sheetFormatPr defaultColWidth="9" defaultRowHeight="15.5"/>
  <cols>
    <col min="1" max="1" width="7.75" bestFit="1" customWidth="1"/>
    <col min="2" max="2" width="17.83203125" bestFit="1" customWidth="1"/>
    <col min="3" max="3" width="8.25" bestFit="1" customWidth="1"/>
    <col min="4" max="4" width="20.1640625" bestFit="1" customWidth="1"/>
    <col min="5" max="5" width="32" bestFit="1" customWidth="1"/>
    <col min="6" max="6" width="15.4140625" bestFit="1" customWidth="1"/>
    <col min="7" max="7" width="24.33203125" bestFit="1" customWidth="1"/>
    <col min="8" max="8" width="19.6640625" style="366" bestFit="1" customWidth="1"/>
    <col min="9" max="9" width="10.6640625" bestFit="1" customWidth="1"/>
    <col min="10" max="10" width="18.5" style="366" bestFit="1" customWidth="1"/>
    <col min="11" max="11" width="8.58203125" bestFit="1" customWidth="1"/>
    <col min="12" max="12" width="11.5" bestFit="1" customWidth="1"/>
    <col min="13" max="13" width="10.5" bestFit="1" customWidth="1"/>
    <col min="14" max="14" width="13.1640625" bestFit="1" customWidth="1"/>
    <col min="15" max="15" width="21.1640625" bestFit="1" customWidth="1"/>
    <col min="16" max="16" width="20" style="366" bestFit="1" customWidth="1"/>
    <col min="17" max="17" width="12.9140625" bestFit="1" customWidth="1"/>
    <col min="18" max="18" width="14" bestFit="1" customWidth="1"/>
    <col min="19" max="19" width="8.58203125" bestFit="1" customWidth="1"/>
    <col min="20" max="20" width="7.1640625" style="57" customWidth="1"/>
    <col min="21" max="21" width="15.5" style="54" customWidth="1"/>
    <col min="22" max="22" width="6.58203125" style="55" customWidth="1"/>
    <col min="23" max="23" width="15.08203125" style="35" bestFit="1" customWidth="1"/>
    <col min="24" max="24" width="17" style="35" bestFit="1" customWidth="1"/>
    <col min="25" max="26" width="15.5" style="35" bestFit="1" customWidth="1"/>
    <col min="27" max="27" width="16.08203125" style="35" bestFit="1" customWidth="1"/>
    <col min="28" max="28" width="9" style="35" customWidth="1"/>
    <col min="29" max="16384" width="9" style="35"/>
  </cols>
  <sheetData>
    <row r="1" spans="1:28" ht="15.65" customHeight="1">
      <c r="A1" s="159"/>
      <c r="B1" s="159"/>
      <c r="C1" s="159"/>
      <c r="D1" s="159"/>
      <c r="E1" s="159"/>
      <c r="F1" s="159"/>
      <c r="G1" s="159"/>
      <c r="I1" s="159"/>
      <c r="J1" s="366" t="s">
        <v>427</v>
      </c>
      <c r="K1" s="364"/>
      <c r="L1" s="159"/>
      <c r="M1" s="159"/>
      <c r="N1" s="172"/>
      <c r="O1" s="172"/>
      <c r="Q1" s="172"/>
      <c r="R1" s="172"/>
      <c r="S1" s="172"/>
      <c r="T1" s="53"/>
      <c r="W1" s="68" t="s">
        <v>428</v>
      </c>
      <c r="X1" s="69">
        <f t="shared" ref="X1:X9" si="0">SUMIF($R:$R,$W1,$H:$H)</f>
        <v>0</v>
      </c>
      <c r="Y1" s="69">
        <f t="shared" ref="Y1:Y9" si="1">SUMIF($R:$R,$W1,$J:$J)</f>
        <v>0</v>
      </c>
      <c r="Z1" s="69">
        <f>SUMIF('13311'!$G:$G,'TA36'!$W1,'13311'!$E:$E)</f>
        <v>0</v>
      </c>
      <c r="AA1" s="69">
        <f t="shared" ref="AA1:AA9" si="2">Y1-Z1</f>
        <v>0</v>
      </c>
    </row>
    <row r="2" spans="1:28" ht="15.65" customHeight="1">
      <c r="A2" s="159"/>
      <c r="B2" s="159"/>
      <c r="C2" s="159"/>
      <c r="D2" s="159"/>
      <c r="E2" s="159"/>
      <c r="F2" s="159"/>
      <c r="G2" s="159"/>
      <c r="I2" s="159"/>
      <c r="J2" s="366" t="s">
        <v>429</v>
      </c>
      <c r="K2" s="355"/>
      <c r="L2" s="159"/>
      <c r="M2" s="159"/>
      <c r="N2" s="172"/>
      <c r="O2" s="172"/>
      <c r="Q2" s="172"/>
      <c r="R2" s="172"/>
      <c r="S2" s="172"/>
      <c r="T2" s="53"/>
      <c r="W2" s="68" t="s">
        <v>348</v>
      </c>
      <c r="X2" s="69">
        <f t="shared" si="0"/>
        <v>109837536</v>
      </c>
      <c r="Y2" s="69">
        <f t="shared" si="1"/>
        <v>8923356</v>
      </c>
      <c r="Z2" s="69">
        <f>SUMIF('13311'!$G:$G,'TA36'!$W2,'13311'!$E:$E)</f>
        <v>8923356</v>
      </c>
      <c r="AA2" s="69">
        <f t="shared" si="2"/>
        <v>0</v>
      </c>
    </row>
    <row r="3" spans="1:28" ht="15.65" customHeight="1">
      <c r="A3" s="159"/>
      <c r="B3" s="159"/>
      <c r="C3" s="159"/>
      <c r="D3" s="159"/>
      <c r="E3" s="159"/>
      <c r="F3" s="159"/>
      <c r="G3" s="159"/>
      <c r="I3" s="159"/>
      <c r="J3" s="366" t="s">
        <v>430</v>
      </c>
      <c r="K3" s="355"/>
      <c r="L3" s="159"/>
      <c r="M3" s="159"/>
      <c r="N3" s="172"/>
      <c r="O3" s="172"/>
      <c r="Q3" s="172"/>
      <c r="R3" s="172"/>
      <c r="S3" s="172"/>
      <c r="T3" s="53"/>
      <c r="W3" s="68" t="s">
        <v>431</v>
      </c>
      <c r="X3" s="69">
        <f t="shared" si="0"/>
        <v>1075800000</v>
      </c>
      <c r="Y3" s="69">
        <f t="shared" si="1"/>
        <v>86064000</v>
      </c>
      <c r="Z3" s="69">
        <f>SUMIF('13311'!$G:$G,'TA36'!$W3,'13311'!$E:$E)</f>
        <v>86064000</v>
      </c>
      <c r="AA3" s="69">
        <f t="shared" si="2"/>
        <v>0</v>
      </c>
    </row>
    <row r="4" spans="1:28" ht="16.25" customHeight="1" thickBot="1">
      <c r="A4" s="159"/>
      <c r="B4" s="159"/>
      <c r="C4" s="159"/>
      <c r="D4" s="159"/>
      <c r="E4" s="159"/>
      <c r="F4" s="159"/>
      <c r="G4" s="159"/>
      <c r="I4" s="159"/>
      <c r="J4" s="366" t="s">
        <v>216</v>
      </c>
      <c r="K4" s="363"/>
      <c r="L4" s="159"/>
      <c r="M4" s="159"/>
      <c r="N4" s="172"/>
      <c r="O4" s="172"/>
      <c r="Q4" s="172"/>
      <c r="R4" s="172"/>
      <c r="S4" s="172"/>
      <c r="T4" s="53"/>
      <c r="W4" s="68" t="s">
        <v>351</v>
      </c>
      <c r="X4" s="69">
        <f t="shared" si="0"/>
        <v>8715447310</v>
      </c>
      <c r="Y4" s="69">
        <f t="shared" si="1"/>
        <v>697235784</v>
      </c>
      <c r="Z4" s="69">
        <f>SUMIF('13311'!$G:$G,'TA36'!$W4,'13311'!$E:$E)</f>
        <v>697235784</v>
      </c>
      <c r="AA4" s="69">
        <f t="shared" si="2"/>
        <v>0</v>
      </c>
    </row>
    <row r="5" spans="1:28" ht="17.5" customHeight="1">
      <c r="A5" s="159"/>
      <c r="B5" s="159"/>
      <c r="C5" s="159"/>
      <c r="D5" s="159"/>
      <c r="E5" s="159"/>
      <c r="F5" s="159"/>
      <c r="G5" s="159"/>
      <c r="I5" s="159"/>
      <c r="K5" s="269"/>
      <c r="L5" s="159"/>
      <c r="M5" s="159"/>
      <c r="N5" s="172"/>
      <c r="O5" s="172"/>
      <c r="Q5" s="172"/>
      <c r="R5" s="172"/>
      <c r="S5" s="172"/>
      <c r="T5" s="53"/>
      <c r="W5" s="68" t="s">
        <v>178</v>
      </c>
      <c r="X5" s="69">
        <f t="shared" si="0"/>
        <v>17112767</v>
      </c>
      <c r="Y5" s="69">
        <f t="shared" si="1"/>
        <v>1711276</v>
      </c>
      <c r="Z5" s="69">
        <f>SUMIF('13311'!$G:$G,'TA36'!$W5,'13311'!$E:$E)</f>
        <v>1711276</v>
      </c>
      <c r="AA5" s="69">
        <f t="shared" si="2"/>
        <v>0</v>
      </c>
    </row>
    <row r="6" spans="1:28" ht="17.399999999999999" customHeight="1">
      <c r="A6" s="159"/>
      <c r="B6" s="365" t="s">
        <v>432</v>
      </c>
      <c r="C6" s="358"/>
      <c r="D6" s="358"/>
      <c r="E6" s="358"/>
      <c r="F6" s="358"/>
      <c r="G6" s="358"/>
      <c r="I6" s="358"/>
      <c r="K6" s="358"/>
      <c r="L6" s="358"/>
      <c r="M6" s="358"/>
      <c r="N6" s="172"/>
      <c r="O6" s="172"/>
      <c r="Q6" s="172"/>
      <c r="R6" s="172"/>
      <c r="S6" s="172"/>
      <c r="T6" s="53"/>
      <c r="W6" s="68" t="s">
        <v>433</v>
      </c>
      <c r="X6" s="69">
        <f t="shared" si="0"/>
        <v>3203504937</v>
      </c>
      <c r="Y6" s="69">
        <f t="shared" si="1"/>
        <v>255965774</v>
      </c>
      <c r="Z6" s="69">
        <f>SUMIF('13311'!$G:$G,'TA36'!$W6,'13311'!$E:$E)</f>
        <v>255965774</v>
      </c>
      <c r="AA6" s="69">
        <f t="shared" si="2"/>
        <v>0</v>
      </c>
    </row>
    <row r="7" spans="1:28" ht="15.65" customHeight="1">
      <c r="A7" s="159"/>
      <c r="B7" s="360" t="s">
        <v>218</v>
      </c>
      <c r="C7" s="358"/>
      <c r="D7" s="358"/>
      <c r="E7" s="358"/>
      <c r="F7" s="358"/>
      <c r="G7" s="358"/>
      <c r="I7" s="358"/>
      <c r="K7" s="358"/>
      <c r="L7" s="358"/>
      <c r="M7" s="358"/>
      <c r="N7" s="172"/>
      <c r="O7" s="172"/>
      <c r="Q7" s="172"/>
      <c r="R7" s="172"/>
      <c r="S7" s="172"/>
      <c r="T7" s="53"/>
      <c r="W7" s="68" t="s">
        <v>434</v>
      </c>
      <c r="X7" s="69">
        <f t="shared" si="0"/>
        <v>21635417992</v>
      </c>
      <c r="Y7" s="69">
        <f t="shared" si="1"/>
        <v>1732309269</v>
      </c>
      <c r="Z7" s="69">
        <f>SUMIF('13311'!$G:$G,'TA36'!$W7,'13311'!$E:$E)</f>
        <v>1732798389</v>
      </c>
      <c r="AA7" s="69">
        <f t="shared" si="2"/>
        <v>-489120</v>
      </c>
    </row>
    <row r="8" spans="1:28" ht="15.65" customHeight="1">
      <c r="A8" s="159"/>
      <c r="B8" s="360" t="s">
        <v>146</v>
      </c>
      <c r="C8" s="358"/>
      <c r="D8" s="358"/>
      <c r="E8" s="358"/>
      <c r="F8" s="358"/>
      <c r="G8" s="358"/>
      <c r="I8" s="358"/>
      <c r="K8" s="358"/>
      <c r="L8" s="358"/>
      <c r="M8" s="358"/>
      <c r="N8" s="172"/>
      <c r="O8" s="172"/>
      <c r="Q8" s="172"/>
      <c r="R8" s="172"/>
      <c r="S8" s="172"/>
      <c r="T8" s="53"/>
      <c r="W8" s="68" t="s">
        <v>185</v>
      </c>
      <c r="X8" s="69">
        <f t="shared" si="0"/>
        <v>100000</v>
      </c>
      <c r="Y8" s="69">
        <f t="shared" si="1"/>
        <v>10000</v>
      </c>
      <c r="Z8" s="69">
        <f>SUMIF('13311'!$G:$G,'TA36'!$W8,'13311'!$E:$E)</f>
        <v>10000</v>
      </c>
      <c r="AA8" s="69">
        <f t="shared" si="2"/>
        <v>0</v>
      </c>
    </row>
    <row r="9" spans="1:28">
      <c r="A9" s="159"/>
      <c r="B9" s="159"/>
      <c r="C9" s="358"/>
      <c r="D9" s="358"/>
      <c r="E9" s="358"/>
      <c r="F9" s="358"/>
      <c r="G9" s="358"/>
      <c r="I9" s="358"/>
      <c r="K9" s="358"/>
      <c r="L9" s="358"/>
      <c r="M9" s="358"/>
      <c r="N9" s="172"/>
      <c r="O9" s="172"/>
      <c r="Q9" s="172"/>
      <c r="R9" s="172"/>
      <c r="S9" s="172"/>
      <c r="T9" s="53"/>
      <c r="W9" s="68" t="s">
        <v>435</v>
      </c>
      <c r="X9" s="69">
        <f t="shared" si="0"/>
        <v>0</v>
      </c>
      <c r="Y9" s="69">
        <f t="shared" si="1"/>
        <v>0</v>
      </c>
      <c r="Z9" s="69">
        <f>SUMIF('13311'!$G:$G,'TA36'!$W9,'13311'!$E:$E)</f>
        <v>0</v>
      </c>
      <c r="AA9" s="69">
        <f t="shared" si="2"/>
        <v>0</v>
      </c>
    </row>
    <row r="10" spans="1:28" ht="15.65" customHeight="1">
      <c r="A10" s="159"/>
      <c r="B10" s="277" t="s">
        <v>219</v>
      </c>
      <c r="C10" s="358"/>
      <c r="D10" s="358"/>
      <c r="E10" s="358"/>
      <c r="F10" s="358"/>
      <c r="G10" s="358"/>
      <c r="I10" s="358"/>
      <c r="K10" s="358"/>
      <c r="L10" s="358"/>
      <c r="M10" s="358"/>
      <c r="N10" s="172"/>
      <c r="O10" s="172"/>
      <c r="Q10" s="172"/>
      <c r="R10" s="172"/>
      <c r="S10" s="172"/>
      <c r="T10" s="53"/>
      <c r="X10" s="71">
        <f>SUM(X1:X9)</f>
        <v>34757220542</v>
      </c>
      <c r="Y10" s="70">
        <f>SUM(Y1:Y9)</f>
        <v>2782219459</v>
      </c>
      <c r="Z10" s="71">
        <f>SUM(Z1:Z9)</f>
        <v>2782708579</v>
      </c>
      <c r="AA10" s="70">
        <f>SUM(AA1:AA9)</f>
        <v>-489120</v>
      </c>
    </row>
    <row r="11" spans="1:28" ht="15.65" customHeight="1">
      <c r="A11" s="159"/>
      <c r="B11" s="277" t="s">
        <v>220</v>
      </c>
      <c r="C11" s="358"/>
      <c r="D11" s="358"/>
      <c r="E11" s="358"/>
      <c r="F11" s="358"/>
      <c r="G11" s="358"/>
      <c r="I11" s="358"/>
      <c r="K11" s="358"/>
      <c r="L11" s="358"/>
      <c r="M11" s="358"/>
      <c r="N11" s="172"/>
      <c r="O11" s="172"/>
      <c r="Q11" s="172"/>
      <c r="R11" s="172"/>
      <c r="S11" s="172"/>
      <c r="T11" s="53"/>
      <c r="X11" s="43" t="s">
        <v>436</v>
      </c>
      <c r="Y11" s="43" t="s">
        <v>436</v>
      </c>
      <c r="Z11" s="43" t="s">
        <v>43</v>
      </c>
    </row>
    <row r="12" spans="1:28">
      <c r="A12" s="159"/>
      <c r="B12" s="159"/>
      <c r="C12" s="358"/>
      <c r="D12" s="358"/>
      <c r="E12" s="358"/>
      <c r="F12" s="358"/>
      <c r="G12" s="358"/>
      <c r="I12" s="358"/>
      <c r="K12" s="358"/>
      <c r="L12" s="358"/>
      <c r="M12" s="358"/>
      <c r="N12" s="216" t="s">
        <v>221</v>
      </c>
      <c r="O12" s="216"/>
      <c r="Q12" s="216"/>
      <c r="R12" s="216"/>
      <c r="S12" s="216"/>
      <c r="T12" s="56"/>
      <c r="V12" s="72" t="s">
        <v>437</v>
      </c>
      <c r="X12" s="43" t="s">
        <v>140</v>
      </c>
      <c r="Y12" s="43" t="s">
        <v>438</v>
      </c>
    </row>
    <row r="13" spans="1:28">
      <c r="A13" s="217"/>
      <c r="B13" s="29"/>
      <c r="C13" s="29"/>
      <c r="D13" s="29"/>
      <c r="E13" s="29"/>
      <c r="F13" s="29"/>
      <c r="G13" s="29"/>
      <c r="I13" s="273"/>
      <c r="K13" s="29"/>
      <c r="L13" s="29"/>
      <c r="M13" s="29"/>
      <c r="N13" s="29"/>
      <c r="O13" s="29"/>
      <c r="Q13" s="29"/>
      <c r="R13" s="29"/>
      <c r="S13" s="29"/>
      <c r="W13" s="43" t="s">
        <v>439</v>
      </c>
      <c r="X13" s="15">
        <f>X10-X14</f>
        <v>34757220542</v>
      </c>
      <c r="Y13" s="15">
        <f>Y10-Y14</f>
        <v>2782219459</v>
      </c>
      <c r="Z13" s="15"/>
      <c r="AA13" s="15"/>
      <c r="AB13" s="15"/>
    </row>
    <row r="14" spans="1:28" ht="14.4" customHeight="1">
      <c r="A14" s="279" t="s">
        <v>222</v>
      </c>
      <c r="B14" s="279" t="s">
        <v>440</v>
      </c>
      <c r="C14" s="356"/>
      <c r="D14" s="357"/>
      <c r="E14" s="279" t="s">
        <v>441</v>
      </c>
      <c r="F14" s="279" t="s">
        <v>442</v>
      </c>
      <c r="G14" s="279" t="s">
        <v>226</v>
      </c>
      <c r="H14" s="366" t="s">
        <v>443</v>
      </c>
      <c r="I14" s="279" t="s">
        <v>444</v>
      </c>
      <c r="J14" s="366" t="s">
        <v>229</v>
      </c>
      <c r="K14" s="279" t="s">
        <v>230</v>
      </c>
      <c r="L14" s="279" t="s">
        <v>231</v>
      </c>
      <c r="M14" s="279" t="s">
        <v>232</v>
      </c>
      <c r="N14" s="279" t="s">
        <v>233</v>
      </c>
      <c r="O14" s="279" t="s">
        <v>234</v>
      </c>
      <c r="P14" s="366" t="s">
        <v>235</v>
      </c>
      <c r="Q14" s="279" t="s">
        <v>445</v>
      </c>
      <c r="R14" s="279" t="s">
        <v>237</v>
      </c>
      <c r="S14" s="279" t="s">
        <v>238</v>
      </c>
      <c r="T14" s="57" t="str">
        <f t="shared" ref="T14:T77" si="3">IF(OR(LEN(F14)=11,LEN(F14)=15),"Đ","SAI")</f>
        <v>SAI</v>
      </c>
      <c r="U14" s="54" t="e">
        <f t="shared" ref="U14:U77" si="4">ROUND(H14*I14%,0)-J14</f>
        <v>#VALUE!</v>
      </c>
      <c r="V14" s="55">
        <f t="shared" ref="V14:V77" si="5">IF(Q14=$V$12,13313,13311)</f>
        <v>13311</v>
      </c>
      <c r="W14" s="43" t="s">
        <v>437</v>
      </c>
      <c r="X14" s="15">
        <f>SUMIF($Q:$Q,$V$12,$H:$H)</f>
        <v>0</v>
      </c>
      <c r="Y14" s="15">
        <f>SUMIF($Q:$Q,$V$12,$J:$J)</f>
        <v>0</v>
      </c>
      <c r="Z14" s="15"/>
      <c r="AA14" s="15"/>
      <c r="AB14" s="15"/>
    </row>
    <row r="15" spans="1:28" ht="14.4" customHeight="1">
      <c r="A15" s="359"/>
      <c r="B15" s="175" t="s">
        <v>239</v>
      </c>
      <c r="C15" s="175" t="s">
        <v>108</v>
      </c>
      <c r="D15" s="175" t="s">
        <v>240</v>
      </c>
      <c r="E15" s="359"/>
      <c r="F15" s="359"/>
      <c r="G15" s="359"/>
      <c r="I15" s="359"/>
      <c r="K15" s="359"/>
      <c r="L15" s="359"/>
      <c r="M15" s="359"/>
      <c r="N15" s="359"/>
      <c r="O15" s="359"/>
      <c r="Q15" s="359"/>
      <c r="R15" s="359"/>
      <c r="S15" s="359"/>
      <c r="T15" s="57" t="str">
        <f t="shared" si="3"/>
        <v>SAI</v>
      </c>
      <c r="U15" s="54">
        <f t="shared" si="4"/>
        <v>0</v>
      </c>
      <c r="V15">
        <f t="shared" si="5"/>
        <v>13311</v>
      </c>
      <c r="W15" s="58"/>
      <c r="X15" s="71">
        <f>SUM(X13:X14)</f>
        <v>34757220542</v>
      </c>
      <c r="Y15" s="71">
        <f>SUM(Y13:Y14)</f>
        <v>2782219459</v>
      </c>
      <c r="Z15" s="15"/>
      <c r="AA15" s="15"/>
      <c r="AB15" s="15"/>
    </row>
    <row r="16" spans="1:28" ht="14.5" customHeight="1">
      <c r="A16" s="270" t="s">
        <v>446</v>
      </c>
      <c r="B16" s="270" t="s">
        <v>447</v>
      </c>
      <c r="C16" s="270" t="s">
        <v>448</v>
      </c>
      <c r="D16" s="270" t="s">
        <v>449</v>
      </c>
      <c r="E16" s="270" t="s">
        <v>450</v>
      </c>
      <c r="F16" s="270" t="s">
        <v>451</v>
      </c>
      <c r="G16" s="270" t="s">
        <v>452</v>
      </c>
      <c r="H16" s="366" t="s">
        <v>453</v>
      </c>
      <c r="I16" s="270" t="s">
        <v>454</v>
      </c>
      <c r="J16" s="366" t="s">
        <v>455</v>
      </c>
      <c r="K16" s="270" t="s">
        <v>456</v>
      </c>
      <c r="L16" s="270" t="s">
        <v>457</v>
      </c>
      <c r="M16" s="270" t="s">
        <v>458</v>
      </c>
      <c r="N16" s="270" t="s">
        <v>459</v>
      </c>
      <c r="O16" s="270" t="s">
        <v>460</v>
      </c>
      <c r="P16" s="366" t="s">
        <v>461</v>
      </c>
      <c r="Q16" s="270" t="s">
        <v>462</v>
      </c>
      <c r="R16" s="270" t="s">
        <v>463</v>
      </c>
      <c r="S16" s="270" t="s">
        <v>464</v>
      </c>
      <c r="T16" t="str">
        <f t="shared" si="3"/>
        <v>SAI</v>
      </c>
      <c r="U16" s="54" t="e">
        <f t="shared" si="4"/>
        <v>#VALUE!</v>
      </c>
      <c r="V16">
        <f t="shared" si="5"/>
        <v>13311</v>
      </c>
      <c r="X16" s="15"/>
      <c r="Y16" s="15"/>
      <c r="Z16" s="15"/>
      <c r="AA16" s="15"/>
      <c r="AB16" s="15"/>
    </row>
    <row r="17" spans="1:28" ht="14.4" customHeight="1">
      <c r="A17" s="279" t="s">
        <v>465</v>
      </c>
      <c r="B17" s="356"/>
      <c r="C17" s="356"/>
      <c r="D17" s="356"/>
      <c r="E17" s="356"/>
      <c r="F17" s="356"/>
      <c r="G17" s="356"/>
      <c r="I17" s="356"/>
      <c r="K17" s="356"/>
      <c r="L17" s="356"/>
      <c r="M17" s="356"/>
      <c r="N17" s="356"/>
      <c r="O17" s="356"/>
      <c r="Q17" s="356"/>
      <c r="R17" s="356"/>
      <c r="S17" s="357"/>
      <c r="T17" t="str">
        <f t="shared" si="3"/>
        <v>SAI</v>
      </c>
      <c r="U17">
        <f t="shared" si="4"/>
        <v>0</v>
      </c>
      <c r="V17">
        <f t="shared" si="5"/>
        <v>13311</v>
      </c>
      <c r="X17" s="15"/>
      <c r="Y17" s="15"/>
      <c r="Z17" s="15"/>
      <c r="AA17" s="15"/>
      <c r="AB17" s="15"/>
    </row>
    <row r="18" spans="1:28" ht="15.65" customHeight="1">
      <c r="A18" s="176">
        <v>1</v>
      </c>
      <c r="B18" s="178" t="s">
        <v>466</v>
      </c>
      <c r="C18" s="271" t="s">
        <v>467</v>
      </c>
      <c r="D18" s="177">
        <v>45992</v>
      </c>
      <c r="E18" s="178" t="s">
        <v>468</v>
      </c>
      <c r="F18" s="271" t="s">
        <v>469</v>
      </c>
      <c r="G18" s="178" t="s">
        <v>470</v>
      </c>
      <c r="H18" s="366">
        <v>852963</v>
      </c>
      <c r="I18" s="176">
        <v>8</v>
      </c>
      <c r="J18" s="366">
        <v>68237</v>
      </c>
      <c r="K18" s="178" t="s">
        <v>261</v>
      </c>
      <c r="L18" s="178" t="s">
        <v>252</v>
      </c>
      <c r="M18" s="271" t="s">
        <v>471</v>
      </c>
      <c r="N18" s="177">
        <v>46229</v>
      </c>
      <c r="O18" s="177">
        <v>46229</v>
      </c>
      <c r="P18" s="366">
        <v>921200</v>
      </c>
      <c r="Q18" s="176" t="s">
        <v>248</v>
      </c>
      <c r="R18" s="176" t="s">
        <v>434</v>
      </c>
      <c r="S18" s="178" t="s">
        <v>253</v>
      </c>
      <c r="T18" s="57" t="str">
        <f t="shared" si="3"/>
        <v>Đ</v>
      </c>
      <c r="U18" s="59">
        <f t="shared" si="4"/>
        <v>0</v>
      </c>
      <c r="V18" s="55">
        <f t="shared" si="5"/>
        <v>13311</v>
      </c>
      <c r="X18" s="15"/>
      <c r="Y18" s="15"/>
      <c r="Z18" s="15"/>
      <c r="AA18" s="15"/>
      <c r="AB18" s="15"/>
    </row>
    <row r="19" spans="1:28" ht="21.65" customHeight="1">
      <c r="A19" s="176">
        <v>2</v>
      </c>
      <c r="B19" s="178" t="s">
        <v>466</v>
      </c>
      <c r="C19" s="271" t="s">
        <v>472</v>
      </c>
      <c r="D19" s="177">
        <v>45992</v>
      </c>
      <c r="E19" s="178" t="s">
        <v>468</v>
      </c>
      <c r="F19" s="271" t="s">
        <v>469</v>
      </c>
      <c r="G19" s="178" t="s">
        <v>470</v>
      </c>
      <c r="H19" s="366">
        <v>504815</v>
      </c>
      <c r="I19" s="176">
        <v>8</v>
      </c>
      <c r="J19" s="366">
        <v>40385</v>
      </c>
      <c r="K19" s="178" t="s">
        <v>261</v>
      </c>
      <c r="L19" s="178" t="s">
        <v>252</v>
      </c>
      <c r="M19" s="271" t="s">
        <v>471</v>
      </c>
      <c r="N19" s="177">
        <v>46229</v>
      </c>
      <c r="O19" s="177">
        <v>46229</v>
      </c>
      <c r="P19" s="366">
        <v>545200</v>
      </c>
      <c r="Q19" s="176" t="s">
        <v>248</v>
      </c>
      <c r="R19" s="176" t="s">
        <v>434</v>
      </c>
      <c r="S19" s="178" t="s">
        <v>253</v>
      </c>
      <c r="T19" s="57" t="str">
        <f t="shared" si="3"/>
        <v>Đ</v>
      </c>
      <c r="U19" s="59">
        <f t="shared" si="4"/>
        <v>0</v>
      </c>
      <c r="V19" s="55">
        <f t="shared" si="5"/>
        <v>13311</v>
      </c>
    </row>
    <row r="20" spans="1:28" ht="21.65" customHeight="1">
      <c r="A20" s="176">
        <v>3</v>
      </c>
      <c r="B20" s="178" t="s">
        <v>473</v>
      </c>
      <c r="C20" s="271" t="s">
        <v>474</v>
      </c>
      <c r="D20" s="177">
        <v>45992</v>
      </c>
      <c r="E20" s="178" t="s">
        <v>475</v>
      </c>
      <c r="F20" s="271" t="s">
        <v>476</v>
      </c>
      <c r="G20" s="178" t="s">
        <v>470</v>
      </c>
      <c r="H20" s="366">
        <v>1601481</v>
      </c>
      <c r="I20" s="176">
        <v>8</v>
      </c>
      <c r="J20" s="366">
        <v>128119</v>
      </c>
      <c r="K20" s="178" t="s">
        <v>261</v>
      </c>
      <c r="L20" s="178" t="s">
        <v>252</v>
      </c>
      <c r="M20" s="271" t="s">
        <v>471</v>
      </c>
      <c r="N20" s="177">
        <v>46229</v>
      </c>
      <c r="O20" s="177">
        <v>46229</v>
      </c>
      <c r="P20" s="366">
        <v>1729600</v>
      </c>
      <c r="Q20" s="176" t="s">
        <v>248</v>
      </c>
      <c r="R20" s="176" t="s">
        <v>434</v>
      </c>
      <c r="S20" s="178" t="s">
        <v>253</v>
      </c>
      <c r="T20" s="57" t="str">
        <f t="shared" si="3"/>
        <v>Đ</v>
      </c>
      <c r="U20" s="59">
        <f t="shared" si="4"/>
        <v>-1</v>
      </c>
      <c r="V20" s="55">
        <f t="shared" si="5"/>
        <v>13311</v>
      </c>
    </row>
    <row r="21" spans="1:28" ht="21.65" customHeight="1">
      <c r="A21" s="176">
        <v>4</v>
      </c>
      <c r="B21" s="178" t="s">
        <v>473</v>
      </c>
      <c r="C21" s="271" t="s">
        <v>477</v>
      </c>
      <c r="D21" s="177">
        <v>45992</v>
      </c>
      <c r="E21" s="178" t="s">
        <v>475</v>
      </c>
      <c r="F21" s="271" t="s">
        <v>476</v>
      </c>
      <c r="G21" s="178" t="s">
        <v>470</v>
      </c>
      <c r="H21" s="366">
        <v>592593</v>
      </c>
      <c r="I21" s="176">
        <v>8</v>
      </c>
      <c r="J21" s="366">
        <v>47407</v>
      </c>
      <c r="K21" s="178" t="s">
        <v>261</v>
      </c>
      <c r="L21" s="178" t="s">
        <v>252</v>
      </c>
      <c r="M21" s="271" t="s">
        <v>471</v>
      </c>
      <c r="N21" s="177">
        <v>46229</v>
      </c>
      <c r="O21" s="177">
        <v>46229</v>
      </c>
      <c r="P21" s="366">
        <v>640000</v>
      </c>
      <c r="Q21" s="176" t="s">
        <v>248</v>
      </c>
      <c r="R21" s="176" t="s">
        <v>434</v>
      </c>
      <c r="S21" s="178" t="s">
        <v>253</v>
      </c>
      <c r="T21" s="57" t="str">
        <f t="shared" si="3"/>
        <v>Đ</v>
      </c>
      <c r="U21" s="59">
        <f t="shared" si="4"/>
        <v>0</v>
      </c>
      <c r="V21" s="55">
        <f t="shared" si="5"/>
        <v>13311</v>
      </c>
    </row>
    <row r="22" spans="1:28" ht="21.65" customHeight="1">
      <c r="A22" s="176">
        <v>5</v>
      </c>
      <c r="B22" s="178" t="s">
        <v>473</v>
      </c>
      <c r="C22" s="271" t="s">
        <v>478</v>
      </c>
      <c r="D22" s="177">
        <v>45992</v>
      </c>
      <c r="E22" s="178" t="s">
        <v>475</v>
      </c>
      <c r="F22" s="271" t="s">
        <v>476</v>
      </c>
      <c r="G22" s="178" t="s">
        <v>470</v>
      </c>
      <c r="H22" s="366">
        <v>1425926</v>
      </c>
      <c r="I22" s="176">
        <v>8</v>
      </c>
      <c r="J22" s="366">
        <v>114074</v>
      </c>
      <c r="K22" s="178" t="s">
        <v>261</v>
      </c>
      <c r="L22" s="178" t="s">
        <v>252</v>
      </c>
      <c r="M22" s="271" t="s">
        <v>471</v>
      </c>
      <c r="N22" s="177">
        <v>46229</v>
      </c>
      <c r="O22" s="177">
        <v>46229</v>
      </c>
      <c r="P22" s="366">
        <v>1540000</v>
      </c>
      <c r="Q22" s="176" t="s">
        <v>248</v>
      </c>
      <c r="R22" s="176" t="s">
        <v>434</v>
      </c>
      <c r="S22" s="178" t="s">
        <v>253</v>
      </c>
      <c r="T22" s="57" t="str">
        <f t="shared" si="3"/>
        <v>Đ</v>
      </c>
      <c r="U22" s="59">
        <f t="shared" si="4"/>
        <v>0</v>
      </c>
      <c r="V22" s="55">
        <f t="shared" si="5"/>
        <v>13311</v>
      </c>
    </row>
    <row r="23" spans="1:28" ht="21.65" customHeight="1">
      <c r="A23" s="176">
        <v>6</v>
      </c>
      <c r="B23" s="178" t="s">
        <v>473</v>
      </c>
      <c r="C23" s="271" t="s">
        <v>479</v>
      </c>
      <c r="D23" s="177">
        <v>45992</v>
      </c>
      <c r="E23" s="178" t="s">
        <v>475</v>
      </c>
      <c r="F23" s="271" t="s">
        <v>476</v>
      </c>
      <c r="G23" s="178" t="s">
        <v>470</v>
      </c>
      <c r="H23" s="366">
        <v>812778</v>
      </c>
      <c r="I23" s="176">
        <v>8</v>
      </c>
      <c r="J23" s="366">
        <v>65022</v>
      </c>
      <c r="K23" s="178" t="s">
        <v>261</v>
      </c>
      <c r="L23" s="178" t="s">
        <v>252</v>
      </c>
      <c r="M23" s="271" t="s">
        <v>471</v>
      </c>
      <c r="N23" s="177">
        <v>46229</v>
      </c>
      <c r="O23" s="177">
        <v>46229</v>
      </c>
      <c r="P23" s="366">
        <v>877800</v>
      </c>
      <c r="Q23" s="176" t="s">
        <v>248</v>
      </c>
      <c r="R23" s="176" t="s">
        <v>434</v>
      </c>
      <c r="S23" s="178" t="s">
        <v>253</v>
      </c>
      <c r="T23" s="57" t="str">
        <f t="shared" si="3"/>
        <v>Đ</v>
      </c>
      <c r="U23" s="59">
        <f t="shared" si="4"/>
        <v>0</v>
      </c>
      <c r="V23" s="55">
        <f t="shared" si="5"/>
        <v>13311</v>
      </c>
    </row>
    <row r="24" spans="1:28" ht="21.65" customHeight="1">
      <c r="A24" s="176">
        <v>7</v>
      </c>
      <c r="B24" s="178" t="s">
        <v>473</v>
      </c>
      <c r="C24" s="271" t="s">
        <v>480</v>
      </c>
      <c r="D24" s="177">
        <v>45992</v>
      </c>
      <c r="E24" s="178" t="s">
        <v>475</v>
      </c>
      <c r="F24" s="271" t="s">
        <v>476</v>
      </c>
      <c r="G24" s="178" t="s">
        <v>470</v>
      </c>
      <c r="H24" s="366">
        <v>406389</v>
      </c>
      <c r="I24" s="176">
        <v>8</v>
      </c>
      <c r="J24" s="366">
        <v>32511</v>
      </c>
      <c r="K24" s="178" t="s">
        <v>261</v>
      </c>
      <c r="L24" s="178" t="s">
        <v>252</v>
      </c>
      <c r="M24" s="271" t="s">
        <v>471</v>
      </c>
      <c r="N24" s="177">
        <v>46229</v>
      </c>
      <c r="O24" s="177">
        <v>46229</v>
      </c>
      <c r="P24" s="366">
        <v>438900</v>
      </c>
      <c r="Q24" s="176" t="s">
        <v>248</v>
      </c>
      <c r="R24" s="176" t="s">
        <v>434</v>
      </c>
      <c r="S24" s="178" t="s">
        <v>253</v>
      </c>
      <c r="T24" s="57" t="str">
        <f t="shared" si="3"/>
        <v>Đ</v>
      </c>
      <c r="U24" s="59">
        <f t="shared" si="4"/>
        <v>0</v>
      </c>
      <c r="V24" s="55">
        <f t="shared" si="5"/>
        <v>13311</v>
      </c>
    </row>
    <row r="25" spans="1:28" ht="14.4" customHeight="1">
      <c r="A25" s="176">
        <v>8</v>
      </c>
      <c r="B25" s="178" t="s">
        <v>481</v>
      </c>
      <c r="C25" s="271" t="s">
        <v>482</v>
      </c>
      <c r="D25" s="177">
        <v>45992</v>
      </c>
      <c r="E25" s="178" t="s">
        <v>483</v>
      </c>
      <c r="F25" s="271" t="s">
        <v>484</v>
      </c>
      <c r="G25" s="178" t="s">
        <v>470</v>
      </c>
      <c r="H25" s="366">
        <v>2088889</v>
      </c>
      <c r="I25" s="176">
        <v>8</v>
      </c>
      <c r="J25" s="366">
        <v>167111</v>
      </c>
      <c r="K25" s="178" t="s">
        <v>261</v>
      </c>
      <c r="L25" s="178" t="s">
        <v>252</v>
      </c>
      <c r="M25" s="271" t="s">
        <v>471</v>
      </c>
      <c r="N25" s="177">
        <v>46229</v>
      </c>
      <c r="O25" s="177">
        <v>46229</v>
      </c>
      <c r="P25" s="366">
        <v>2256000</v>
      </c>
      <c r="Q25" s="176" t="s">
        <v>248</v>
      </c>
      <c r="R25" s="176" t="s">
        <v>434</v>
      </c>
      <c r="S25" s="178" t="s">
        <v>253</v>
      </c>
      <c r="T25" s="57" t="str">
        <f t="shared" si="3"/>
        <v>Đ</v>
      </c>
      <c r="U25" s="59">
        <f t="shared" si="4"/>
        <v>0</v>
      </c>
      <c r="V25" s="55">
        <f t="shared" si="5"/>
        <v>13311</v>
      </c>
    </row>
    <row r="26" spans="1:28" s="62" customFormat="1" ht="14.4" customHeight="1">
      <c r="A26" s="176">
        <v>9</v>
      </c>
      <c r="B26" s="178" t="s">
        <v>485</v>
      </c>
      <c r="C26" s="271" t="s">
        <v>486</v>
      </c>
      <c r="D26" s="177">
        <v>45871</v>
      </c>
      <c r="E26" s="178" t="s">
        <v>487</v>
      </c>
      <c r="F26" s="271" t="s">
        <v>488</v>
      </c>
      <c r="G26" s="178" t="s">
        <v>489</v>
      </c>
      <c r="H26" s="366">
        <v>-6113999</v>
      </c>
      <c r="I26" s="176">
        <v>8</v>
      </c>
      <c r="J26" s="366">
        <v>-489120</v>
      </c>
      <c r="K26" s="178" t="s">
        <v>261</v>
      </c>
      <c r="L26" s="178" t="s">
        <v>252</v>
      </c>
      <c r="M26" s="271" t="s">
        <v>471</v>
      </c>
      <c r="N26" s="177">
        <v>46229</v>
      </c>
      <c r="O26" s="177">
        <v>46229</v>
      </c>
      <c r="P26" s="366">
        <v>-6603119</v>
      </c>
      <c r="Q26" s="176" t="s">
        <v>248</v>
      </c>
      <c r="R26" s="176" t="s">
        <v>434</v>
      </c>
      <c r="S26" s="178" t="s">
        <v>253</v>
      </c>
      <c r="T26" s="62" t="str">
        <f t="shared" si="3"/>
        <v>Đ</v>
      </c>
      <c r="U26" s="70">
        <f t="shared" si="4"/>
        <v>0</v>
      </c>
      <c r="V26" s="62">
        <f t="shared" si="5"/>
        <v>13311</v>
      </c>
      <c r="X26" s="70">
        <f>H26*8%</f>
        <v>-489119.92</v>
      </c>
    </row>
    <row r="27" spans="1:28" ht="14.4" customHeight="1">
      <c r="A27" s="176">
        <v>10</v>
      </c>
      <c r="B27" s="178" t="s">
        <v>466</v>
      </c>
      <c r="C27" s="271" t="s">
        <v>490</v>
      </c>
      <c r="D27" s="177">
        <v>45993</v>
      </c>
      <c r="E27" s="178" t="s">
        <v>468</v>
      </c>
      <c r="F27" s="271" t="s">
        <v>469</v>
      </c>
      <c r="G27" s="178" t="s">
        <v>470</v>
      </c>
      <c r="H27" s="366">
        <v>870370</v>
      </c>
      <c r="I27" s="176">
        <v>8</v>
      </c>
      <c r="J27" s="366">
        <v>69630</v>
      </c>
      <c r="K27" s="178" t="s">
        <v>261</v>
      </c>
      <c r="L27" s="178" t="s">
        <v>252</v>
      </c>
      <c r="M27" s="271" t="s">
        <v>471</v>
      </c>
      <c r="N27" s="177">
        <v>46229</v>
      </c>
      <c r="O27" s="177">
        <v>46229</v>
      </c>
      <c r="P27" s="366">
        <v>940000</v>
      </c>
      <c r="Q27" s="176" t="s">
        <v>248</v>
      </c>
      <c r="R27" s="176" t="s">
        <v>434</v>
      </c>
      <c r="S27" s="178" t="s">
        <v>253</v>
      </c>
      <c r="T27" s="57" t="str">
        <f t="shared" si="3"/>
        <v>Đ</v>
      </c>
      <c r="U27" s="59">
        <f t="shared" si="4"/>
        <v>0</v>
      </c>
      <c r="V27" s="55">
        <f t="shared" si="5"/>
        <v>13311</v>
      </c>
    </row>
    <row r="28" spans="1:28" s="62" customFormat="1" ht="15.65" customHeight="1">
      <c r="A28" s="176">
        <v>11</v>
      </c>
      <c r="B28" s="178" t="s">
        <v>473</v>
      </c>
      <c r="C28" s="271" t="s">
        <v>491</v>
      </c>
      <c r="D28" s="177">
        <v>45993</v>
      </c>
      <c r="E28" s="178" t="s">
        <v>475</v>
      </c>
      <c r="F28" s="271" t="s">
        <v>476</v>
      </c>
      <c r="G28" s="178" t="s">
        <v>470</v>
      </c>
      <c r="H28" s="366">
        <v>833333</v>
      </c>
      <c r="I28" s="176">
        <v>8</v>
      </c>
      <c r="J28" s="366">
        <v>66667</v>
      </c>
      <c r="K28" s="178" t="s">
        <v>261</v>
      </c>
      <c r="L28" s="178" t="s">
        <v>252</v>
      </c>
      <c r="M28" s="271" t="s">
        <v>471</v>
      </c>
      <c r="N28" s="177">
        <v>46229</v>
      </c>
      <c r="O28" s="177">
        <v>46229</v>
      </c>
      <c r="P28" s="366">
        <v>900000</v>
      </c>
      <c r="Q28" s="176" t="s">
        <v>248</v>
      </c>
      <c r="R28" s="176" t="s">
        <v>434</v>
      </c>
      <c r="S28" s="178" t="s">
        <v>253</v>
      </c>
      <c r="T28" s="62" t="str">
        <f t="shared" si="3"/>
        <v>Đ</v>
      </c>
      <c r="U28" s="70">
        <f t="shared" si="4"/>
        <v>0</v>
      </c>
      <c r="V28" s="62">
        <f t="shared" si="5"/>
        <v>13311</v>
      </c>
    </row>
    <row r="29" spans="1:28" ht="14.4" customHeight="1">
      <c r="A29" s="176">
        <v>12</v>
      </c>
      <c r="B29" s="178" t="s">
        <v>473</v>
      </c>
      <c r="C29" s="271" t="s">
        <v>492</v>
      </c>
      <c r="D29" s="177">
        <v>45993</v>
      </c>
      <c r="E29" s="178" t="s">
        <v>475</v>
      </c>
      <c r="F29" s="271" t="s">
        <v>476</v>
      </c>
      <c r="G29" s="178" t="s">
        <v>470</v>
      </c>
      <c r="H29" s="366">
        <v>1183704</v>
      </c>
      <c r="I29" s="176">
        <v>8</v>
      </c>
      <c r="J29" s="366">
        <v>94696</v>
      </c>
      <c r="K29" s="178" t="s">
        <v>261</v>
      </c>
      <c r="L29" s="178" t="s">
        <v>252</v>
      </c>
      <c r="M29" s="271" t="s">
        <v>471</v>
      </c>
      <c r="N29" s="177">
        <v>46229</v>
      </c>
      <c r="O29" s="177">
        <v>46229</v>
      </c>
      <c r="P29" s="366">
        <v>1278400</v>
      </c>
      <c r="Q29" s="176" t="s">
        <v>248</v>
      </c>
      <c r="R29" s="176" t="s">
        <v>434</v>
      </c>
      <c r="S29" s="178" t="s">
        <v>253</v>
      </c>
      <c r="T29" s="57" t="str">
        <f t="shared" si="3"/>
        <v>Đ</v>
      </c>
      <c r="U29" s="59">
        <f t="shared" si="4"/>
        <v>0</v>
      </c>
      <c r="V29" s="55">
        <f t="shared" si="5"/>
        <v>13311</v>
      </c>
    </row>
    <row r="30" spans="1:28" ht="14.4" customHeight="1">
      <c r="A30" s="176">
        <v>13</v>
      </c>
      <c r="B30" s="178" t="s">
        <v>473</v>
      </c>
      <c r="C30" s="271" t="s">
        <v>493</v>
      </c>
      <c r="D30" s="177">
        <v>45993</v>
      </c>
      <c r="E30" s="178" t="s">
        <v>475</v>
      </c>
      <c r="F30" s="271" t="s">
        <v>476</v>
      </c>
      <c r="G30" s="178" t="s">
        <v>470</v>
      </c>
      <c r="H30" s="366">
        <v>1131481</v>
      </c>
      <c r="I30" s="176">
        <v>8</v>
      </c>
      <c r="J30" s="366">
        <v>90519</v>
      </c>
      <c r="K30" s="178" t="s">
        <v>261</v>
      </c>
      <c r="L30" s="178" t="s">
        <v>252</v>
      </c>
      <c r="M30" s="271" t="s">
        <v>471</v>
      </c>
      <c r="N30" s="177">
        <v>46229</v>
      </c>
      <c r="O30" s="177">
        <v>46229</v>
      </c>
      <c r="P30" s="366">
        <v>1222000</v>
      </c>
      <c r="Q30" s="176" t="s">
        <v>248</v>
      </c>
      <c r="R30" s="176" t="s">
        <v>434</v>
      </c>
      <c r="S30" s="178" t="s">
        <v>253</v>
      </c>
      <c r="T30" s="57" t="str">
        <f t="shared" si="3"/>
        <v>Đ</v>
      </c>
      <c r="U30" s="59">
        <f t="shared" si="4"/>
        <v>-1</v>
      </c>
      <c r="V30" s="55">
        <f t="shared" si="5"/>
        <v>13311</v>
      </c>
    </row>
    <row r="31" spans="1:28" ht="14.4" customHeight="1">
      <c r="A31" s="176">
        <v>14</v>
      </c>
      <c r="B31" s="178" t="s">
        <v>481</v>
      </c>
      <c r="C31" s="271" t="s">
        <v>494</v>
      </c>
      <c r="D31" s="177">
        <v>45993</v>
      </c>
      <c r="E31" s="178" t="s">
        <v>483</v>
      </c>
      <c r="F31" s="271" t="s">
        <v>484</v>
      </c>
      <c r="G31" s="178" t="s">
        <v>470</v>
      </c>
      <c r="H31" s="366">
        <v>4874074</v>
      </c>
      <c r="I31" s="176">
        <v>8</v>
      </c>
      <c r="J31" s="366">
        <v>389926</v>
      </c>
      <c r="K31" s="178" t="s">
        <v>261</v>
      </c>
      <c r="L31" s="178" t="s">
        <v>252</v>
      </c>
      <c r="M31" s="271" t="s">
        <v>471</v>
      </c>
      <c r="N31" s="177">
        <v>46229</v>
      </c>
      <c r="O31" s="177">
        <v>46229</v>
      </c>
      <c r="P31" s="366">
        <v>5264000</v>
      </c>
      <c r="Q31" s="176" t="s">
        <v>248</v>
      </c>
      <c r="R31" s="176" t="s">
        <v>434</v>
      </c>
      <c r="S31" s="178" t="s">
        <v>253</v>
      </c>
      <c r="T31" s="57" t="str">
        <f t="shared" si="3"/>
        <v>Đ</v>
      </c>
      <c r="U31" s="59">
        <f t="shared" si="4"/>
        <v>0</v>
      </c>
      <c r="V31" s="55">
        <f t="shared" si="5"/>
        <v>13311</v>
      </c>
    </row>
    <row r="32" spans="1:28" ht="14.4" customHeight="1">
      <c r="A32" s="176">
        <v>15</v>
      </c>
      <c r="B32" s="178" t="s">
        <v>481</v>
      </c>
      <c r="C32" s="271" t="s">
        <v>495</v>
      </c>
      <c r="D32" s="177">
        <v>45993</v>
      </c>
      <c r="E32" s="178" t="s">
        <v>483</v>
      </c>
      <c r="F32" s="271" t="s">
        <v>484</v>
      </c>
      <c r="G32" s="178" t="s">
        <v>470</v>
      </c>
      <c r="H32" s="366">
        <v>370370</v>
      </c>
      <c r="I32" s="176">
        <v>8</v>
      </c>
      <c r="J32" s="366">
        <v>29630</v>
      </c>
      <c r="K32" s="178" t="s">
        <v>261</v>
      </c>
      <c r="L32" s="178" t="s">
        <v>252</v>
      </c>
      <c r="M32" s="271" t="s">
        <v>471</v>
      </c>
      <c r="N32" s="177">
        <v>46229</v>
      </c>
      <c r="O32" s="177">
        <v>46229</v>
      </c>
      <c r="P32" s="366">
        <v>400000</v>
      </c>
      <c r="Q32" s="176" t="s">
        <v>248</v>
      </c>
      <c r="R32" s="176" t="s">
        <v>434</v>
      </c>
      <c r="S32" s="178" t="s">
        <v>253</v>
      </c>
      <c r="T32" s="57" t="str">
        <f t="shared" si="3"/>
        <v>Đ</v>
      </c>
      <c r="U32" s="59">
        <f t="shared" si="4"/>
        <v>0</v>
      </c>
      <c r="V32" s="55">
        <f t="shared" si="5"/>
        <v>13311</v>
      </c>
    </row>
    <row r="33" spans="1:24" ht="14.4" customHeight="1">
      <c r="A33" s="176">
        <v>16</v>
      </c>
      <c r="B33" s="178" t="s">
        <v>466</v>
      </c>
      <c r="C33" s="271" t="s">
        <v>496</v>
      </c>
      <c r="D33" s="177">
        <v>45994</v>
      </c>
      <c r="E33" s="178" t="s">
        <v>468</v>
      </c>
      <c r="F33" s="271" t="s">
        <v>469</v>
      </c>
      <c r="G33" s="178" t="s">
        <v>470</v>
      </c>
      <c r="H33" s="366">
        <v>1148976</v>
      </c>
      <c r="I33" s="176">
        <v>8</v>
      </c>
      <c r="J33" s="366">
        <v>91918</v>
      </c>
      <c r="K33" s="178" t="s">
        <v>261</v>
      </c>
      <c r="L33" s="178" t="s">
        <v>252</v>
      </c>
      <c r="M33" s="271" t="s">
        <v>471</v>
      </c>
      <c r="N33" s="177">
        <v>46229</v>
      </c>
      <c r="O33" s="177">
        <v>46229</v>
      </c>
      <c r="P33" s="366">
        <v>1240894</v>
      </c>
      <c r="Q33" s="176" t="s">
        <v>248</v>
      </c>
      <c r="R33" s="176" t="s">
        <v>434</v>
      </c>
      <c r="S33" s="178" t="s">
        <v>253</v>
      </c>
      <c r="T33" s="57" t="str">
        <f t="shared" si="3"/>
        <v>Đ</v>
      </c>
      <c r="U33" s="59">
        <f t="shared" si="4"/>
        <v>0</v>
      </c>
      <c r="V33" s="55">
        <f t="shared" si="5"/>
        <v>13311</v>
      </c>
    </row>
    <row r="34" spans="1:24" ht="14.4" customHeight="1">
      <c r="A34" s="176">
        <v>17</v>
      </c>
      <c r="B34" s="178" t="s">
        <v>466</v>
      </c>
      <c r="C34" s="271" t="s">
        <v>497</v>
      </c>
      <c r="D34" s="177">
        <v>45994</v>
      </c>
      <c r="E34" s="178" t="s">
        <v>468</v>
      </c>
      <c r="F34" s="271" t="s">
        <v>469</v>
      </c>
      <c r="G34" s="178" t="s">
        <v>470</v>
      </c>
      <c r="H34" s="366">
        <v>1566667</v>
      </c>
      <c r="I34" s="176">
        <v>8</v>
      </c>
      <c r="J34" s="366">
        <v>125333</v>
      </c>
      <c r="K34" s="178" t="s">
        <v>261</v>
      </c>
      <c r="L34" s="178" t="s">
        <v>252</v>
      </c>
      <c r="M34" s="271" t="s">
        <v>471</v>
      </c>
      <c r="N34" s="177">
        <v>46229</v>
      </c>
      <c r="O34" s="177">
        <v>46229</v>
      </c>
      <c r="P34" s="366">
        <v>1692000</v>
      </c>
      <c r="Q34" s="176" t="s">
        <v>248</v>
      </c>
      <c r="R34" s="176" t="s">
        <v>434</v>
      </c>
      <c r="S34" s="178" t="s">
        <v>253</v>
      </c>
      <c r="T34" s="57" t="str">
        <f t="shared" si="3"/>
        <v>Đ</v>
      </c>
      <c r="U34" s="59">
        <f t="shared" si="4"/>
        <v>0</v>
      </c>
      <c r="V34" s="55">
        <f t="shared" si="5"/>
        <v>13311</v>
      </c>
    </row>
    <row r="35" spans="1:24" ht="14.4" customHeight="1">
      <c r="A35" s="176">
        <v>18</v>
      </c>
      <c r="B35" s="178" t="s">
        <v>466</v>
      </c>
      <c r="C35" s="271" t="s">
        <v>498</v>
      </c>
      <c r="D35" s="177">
        <v>45994</v>
      </c>
      <c r="E35" s="178" t="s">
        <v>468</v>
      </c>
      <c r="F35" s="271" t="s">
        <v>469</v>
      </c>
      <c r="G35" s="178" t="s">
        <v>470</v>
      </c>
      <c r="H35" s="366">
        <v>370370</v>
      </c>
      <c r="I35" s="176">
        <v>8</v>
      </c>
      <c r="J35" s="366">
        <v>29630</v>
      </c>
      <c r="K35" s="178" t="s">
        <v>261</v>
      </c>
      <c r="L35" s="178" t="s">
        <v>252</v>
      </c>
      <c r="M35" s="271" t="s">
        <v>471</v>
      </c>
      <c r="N35" s="177">
        <v>46229</v>
      </c>
      <c r="O35" s="177">
        <v>46229</v>
      </c>
      <c r="P35" s="366">
        <v>400000</v>
      </c>
      <c r="Q35" s="176" t="s">
        <v>248</v>
      </c>
      <c r="R35" s="176" t="s">
        <v>434</v>
      </c>
      <c r="S35" s="178" t="s">
        <v>253</v>
      </c>
      <c r="T35" s="57" t="str">
        <f t="shared" si="3"/>
        <v>Đ</v>
      </c>
      <c r="U35" s="59">
        <f t="shared" si="4"/>
        <v>0</v>
      </c>
      <c r="V35" s="55">
        <f t="shared" si="5"/>
        <v>13311</v>
      </c>
    </row>
    <row r="36" spans="1:24" ht="14.4" customHeight="1">
      <c r="A36" s="176">
        <v>19</v>
      </c>
      <c r="B36" s="178" t="s">
        <v>473</v>
      </c>
      <c r="C36" s="271" t="s">
        <v>499</v>
      </c>
      <c r="D36" s="177">
        <v>45994</v>
      </c>
      <c r="E36" s="178" t="s">
        <v>475</v>
      </c>
      <c r="F36" s="271" t="s">
        <v>476</v>
      </c>
      <c r="G36" s="178" t="s">
        <v>470</v>
      </c>
      <c r="H36" s="366">
        <v>962963</v>
      </c>
      <c r="I36" s="176">
        <v>8</v>
      </c>
      <c r="J36" s="366">
        <v>77037</v>
      </c>
      <c r="K36" s="178" t="s">
        <v>261</v>
      </c>
      <c r="L36" s="178" t="s">
        <v>252</v>
      </c>
      <c r="M36" s="271" t="s">
        <v>471</v>
      </c>
      <c r="N36" s="177">
        <v>46229</v>
      </c>
      <c r="O36" s="177">
        <v>46229</v>
      </c>
      <c r="P36" s="366">
        <v>1040000</v>
      </c>
      <c r="Q36" s="176" t="s">
        <v>248</v>
      </c>
      <c r="R36" s="176" t="s">
        <v>434</v>
      </c>
      <c r="S36" s="178" t="s">
        <v>253</v>
      </c>
      <c r="T36" s="57" t="str">
        <f t="shared" si="3"/>
        <v>Đ</v>
      </c>
      <c r="U36" s="59">
        <f t="shared" si="4"/>
        <v>0</v>
      </c>
      <c r="V36" s="55">
        <f t="shared" si="5"/>
        <v>13311</v>
      </c>
    </row>
    <row r="37" spans="1:24" ht="14.4" customHeight="1">
      <c r="A37" s="176">
        <v>20</v>
      </c>
      <c r="B37" s="178" t="s">
        <v>481</v>
      </c>
      <c r="C37" s="271" t="s">
        <v>500</v>
      </c>
      <c r="D37" s="177">
        <v>45994</v>
      </c>
      <c r="E37" s="178" t="s">
        <v>483</v>
      </c>
      <c r="F37" s="271" t="s">
        <v>484</v>
      </c>
      <c r="G37" s="178" t="s">
        <v>470</v>
      </c>
      <c r="H37" s="366">
        <v>696296</v>
      </c>
      <c r="I37" s="176">
        <v>8</v>
      </c>
      <c r="J37" s="366">
        <v>55704</v>
      </c>
      <c r="K37" s="178" t="s">
        <v>261</v>
      </c>
      <c r="L37" s="178" t="s">
        <v>252</v>
      </c>
      <c r="M37" s="271" t="s">
        <v>471</v>
      </c>
      <c r="N37" s="177">
        <v>46229</v>
      </c>
      <c r="O37" s="177">
        <v>46229</v>
      </c>
      <c r="P37" s="366">
        <v>752000</v>
      </c>
      <c r="Q37" s="176" t="s">
        <v>248</v>
      </c>
      <c r="R37" s="176" t="s">
        <v>434</v>
      </c>
      <c r="S37" s="178" t="s">
        <v>253</v>
      </c>
      <c r="T37" s="57" t="str">
        <f t="shared" si="3"/>
        <v>Đ</v>
      </c>
      <c r="U37" s="59">
        <f t="shared" si="4"/>
        <v>0</v>
      </c>
      <c r="V37" s="55">
        <f t="shared" si="5"/>
        <v>13311</v>
      </c>
    </row>
    <row r="38" spans="1:24" ht="21.65" customHeight="1">
      <c r="A38" s="176">
        <v>21</v>
      </c>
      <c r="B38" s="178" t="s">
        <v>466</v>
      </c>
      <c r="C38" s="271" t="s">
        <v>501</v>
      </c>
      <c r="D38" s="177">
        <v>45995</v>
      </c>
      <c r="E38" s="178" t="s">
        <v>468</v>
      </c>
      <c r="F38" s="271" t="s">
        <v>469</v>
      </c>
      <c r="G38" s="178" t="s">
        <v>470</v>
      </c>
      <c r="H38" s="366">
        <v>870457</v>
      </c>
      <c r="I38" s="176">
        <v>8</v>
      </c>
      <c r="J38" s="366">
        <v>69637</v>
      </c>
      <c r="K38" s="178" t="s">
        <v>261</v>
      </c>
      <c r="L38" s="178" t="s">
        <v>252</v>
      </c>
      <c r="M38" s="271" t="s">
        <v>471</v>
      </c>
      <c r="N38" s="177">
        <v>46229</v>
      </c>
      <c r="O38" s="177">
        <v>46229</v>
      </c>
      <c r="P38" s="366">
        <v>940094</v>
      </c>
      <c r="Q38" s="176" t="s">
        <v>248</v>
      </c>
      <c r="R38" s="176" t="s">
        <v>434</v>
      </c>
      <c r="S38" s="178" t="s">
        <v>253</v>
      </c>
      <c r="T38" s="57" t="str">
        <f t="shared" si="3"/>
        <v>Đ</v>
      </c>
      <c r="U38" s="59">
        <f t="shared" si="4"/>
        <v>0</v>
      </c>
      <c r="V38" s="55">
        <f t="shared" si="5"/>
        <v>13311</v>
      </c>
      <c r="W38" s="60"/>
      <c r="X38" s="60"/>
    </row>
    <row r="39" spans="1:24" ht="21.65" customHeight="1">
      <c r="A39" s="176">
        <v>22</v>
      </c>
      <c r="B39" s="178" t="s">
        <v>466</v>
      </c>
      <c r="C39" s="271" t="s">
        <v>502</v>
      </c>
      <c r="D39" s="177">
        <v>45995</v>
      </c>
      <c r="E39" s="178" t="s">
        <v>468</v>
      </c>
      <c r="F39" s="271" t="s">
        <v>469</v>
      </c>
      <c r="G39" s="178" t="s">
        <v>470</v>
      </c>
      <c r="H39" s="366">
        <v>378889</v>
      </c>
      <c r="I39" s="176">
        <v>8</v>
      </c>
      <c r="J39" s="366">
        <v>30311</v>
      </c>
      <c r="K39" s="178" t="s">
        <v>261</v>
      </c>
      <c r="L39" s="178" t="s">
        <v>252</v>
      </c>
      <c r="M39" s="271" t="s">
        <v>471</v>
      </c>
      <c r="N39" s="177">
        <v>46229</v>
      </c>
      <c r="O39" s="177">
        <v>46229</v>
      </c>
      <c r="P39" s="366">
        <v>409200</v>
      </c>
      <c r="Q39" s="176" t="s">
        <v>248</v>
      </c>
      <c r="R39" s="176" t="s">
        <v>434</v>
      </c>
      <c r="S39" s="178" t="s">
        <v>253</v>
      </c>
      <c r="T39" s="57" t="str">
        <f t="shared" si="3"/>
        <v>Đ</v>
      </c>
      <c r="U39" s="59">
        <f t="shared" si="4"/>
        <v>0</v>
      </c>
      <c r="V39" s="55">
        <f t="shared" si="5"/>
        <v>13311</v>
      </c>
    </row>
    <row r="40" spans="1:24" ht="21.65" customHeight="1">
      <c r="A40" s="176">
        <v>23</v>
      </c>
      <c r="B40" s="178" t="s">
        <v>466</v>
      </c>
      <c r="C40" s="271" t="s">
        <v>503</v>
      </c>
      <c r="D40" s="177">
        <v>45995</v>
      </c>
      <c r="E40" s="178" t="s">
        <v>468</v>
      </c>
      <c r="F40" s="271" t="s">
        <v>469</v>
      </c>
      <c r="G40" s="178" t="s">
        <v>470</v>
      </c>
      <c r="H40" s="366">
        <v>378889</v>
      </c>
      <c r="I40" s="176">
        <v>8</v>
      </c>
      <c r="J40" s="366">
        <v>30311</v>
      </c>
      <c r="K40" s="178" t="s">
        <v>261</v>
      </c>
      <c r="L40" s="178" t="s">
        <v>252</v>
      </c>
      <c r="M40" s="271" t="s">
        <v>471</v>
      </c>
      <c r="N40" s="177">
        <v>46229</v>
      </c>
      <c r="O40" s="177">
        <v>46229</v>
      </c>
      <c r="P40" s="366">
        <v>409200</v>
      </c>
      <c r="Q40" s="176" t="s">
        <v>248</v>
      </c>
      <c r="R40" s="176" t="s">
        <v>434</v>
      </c>
      <c r="S40" s="178" t="s">
        <v>253</v>
      </c>
      <c r="T40" s="57" t="str">
        <f t="shared" si="3"/>
        <v>Đ</v>
      </c>
      <c r="U40" s="59">
        <f t="shared" si="4"/>
        <v>0</v>
      </c>
      <c r="V40" s="55">
        <f t="shared" si="5"/>
        <v>13311</v>
      </c>
    </row>
    <row r="41" spans="1:24" ht="21.65" customHeight="1">
      <c r="A41" s="176">
        <v>24</v>
      </c>
      <c r="B41" s="178" t="s">
        <v>473</v>
      </c>
      <c r="C41" s="271" t="s">
        <v>504</v>
      </c>
      <c r="D41" s="177">
        <v>45995</v>
      </c>
      <c r="E41" s="178" t="s">
        <v>475</v>
      </c>
      <c r="F41" s="271" t="s">
        <v>476</v>
      </c>
      <c r="G41" s="178" t="s">
        <v>470</v>
      </c>
      <c r="H41" s="366">
        <v>680741</v>
      </c>
      <c r="I41" s="176">
        <v>8</v>
      </c>
      <c r="J41" s="366">
        <v>54459</v>
      </c>
      <c r="K41" s="178" t="s">
        <v>261</v>
      </c>
      <c r="L41" s="178" t="s">
        <v>252</v>
      </c>
      <c r="M41" s="271" t="s">
        <v>471</v>
      </c>
      <c r="N41" s="177">
        <v>46229</v>
      </c>
      <c r="O41" s="177">
        <v>46229</v>
      </c>
      <c r="P41" s="366">
        <v>735200</v>
      </c>
      <c r="Q41" s="176" t="s">
        <v>248</v>
      </c>
      <c r="R41" s="176" t="s">
        <v>434</v>
      </c>
      <c r="S41" s="178" t="s">
        <v>253</v>
      </c>
      <c r="T41" s="57" t="str">
        <f t="shared" si="3"/>
        <v>Đ</v>
      </c>
      <c r="U41" s="59">
        <f t="shared" si="4"/>
        <v>0</v>
      </c>
      <c r="V41" s="55">
        <f t="shared" si="5"/>
        <v>13311</v>
      </c>
    </row>
    <row r="42" spans="1:24" ht="21.65" customHeight="1">
      <c r="A42" s="176">
        <v>25</v>
      </c>
      <c r="B42" s="178" t="s">
        <v>481</v>
      </c>
      <c r="C42" s="271" t="s">
        <v>505</v>
      </c>
      <c r="D42" s="177">
        <v>45995</v>
      </c>
      <c r="E42" s="178" t="s">
        <v>483</v>
      </c>
      <c r="F42" s="271" t="s">
        <v>484</v>
      </c>
      <c r="G42" s="178" t="s">
        <v>470</v>
      </c>
      <c r="H42" s="366">
        <v>370370</v>
      </c>
      <c r="I42" s="176">
        <v>8</v>
      </c>
      <c r="J42" s="366">
        <v>29630</v>
      </c>
      <c r="K42" s="178" t="s">
        <v>261</v>
      </c>
      <c r="L42" s="178" t="s">
        <v>252</v>
      </c>
      <c r="M42" s="271" t="s">
        <v>471</v>
      </c>
      <c r="N42" s="177">
        <v>46229</v>
      </c>
      <c r="O42" s="177">
        <v>46229</v>
      </c>
      <c r="P42" s="366">
        <v>400000</v>
      </c>
      <c r="Q42" s="176" t="s">
        <v>248</v>
      </c>
      <c r="R42" s="176" t="s">
        <v>434</v>
      </c>
      <c r="S42" s="178" t="s">
        <v>253</v>
      </c>
      <c r="T42" s="57" t="str">
        <f t="shared" si="3"/>
        <v>Đ</v>
      </c>
      <c r="U42" s="59">
        <f t="shared" si="4"/>
        <v>0</v>
      </c>
      <c r="V42" s="55">
        <f t="shared" si="5"/>
        <v>13311</v>
      </c>
    </row>
    <row r="43" spans="1:24" ht="21.65" customHeight="1">
      <c r="A43" s="176">
        <v>26</v>
      </c>
      <c r="B43" s="178" t="s">
        <v>481</v>
      </c>
      <c r="C43" s="271" t="s">
        <v>506</v>
      </c>
      <c r="D43" s="177">
        <v>45995</v>
      </c>
      <c r="E43" s="178" t="s">
        <v>483</v>
      </c>
      <c r="F43" s="271" t="s">
        <v>484</v>
      </c>
      <c r="G43" s="178" t="s">
        <v>470</v>
      </c>
      <c r="H43" s="366">
        <v>5048148</v>
      </c>
      <c r="I43" s="176">
        <v>8</v>
      </c>
      <c r="J43" s="366">
        <v>403852</v>
      </c>
      <c r="K43" s="178" t="s">
        <v>261</v>
      </c>
      <c r="L43" s="178" t="s">
        <v>252</v>
      </c>
      <c r="M43" s="271" t="s">
        <v>471</v>
      </c>
      <c r="N43" s="177">
        <v>46229</v>
      </c>
      <c r="O43" s="177">
        <v>46229</v>
      </c>
      <c r="P43" s="366">
        <v>5452000</v>
      </c>
      <c r="Q43" s="176" t="s">
        <v>248</v>
      </c>
      <c r="R43" s="176" t="s">
        <v>434</v>
      </c>
      <c r="S43" s="178" t="s">
        <v>253</v>
      </c>
      <c r="T43" s="57" t="str">
        <f t="shared" si="3"/>
        <v>Đ</v>
      </c>
      <c r="U43" s="59">
        <f t="shared" si="4"/>
        <v>0</v>
      </c>
      <c r="V43" s="55">
        <f t="shared" si="5"/>
        <v>13311</v>
      </c>
    </row>
    <row r="44" spans="1:24" ht="21.65" customHeight="1">
      <c r="A44" s="176">
        <v>27</v>
      </c>
      <c r="B44" s="178" t="s">
        <v>481</v>
      </c>
      <c r="C44" s="271" t="s">
        <v>507</v>
      </c>
      <c r="D44" s="177">
        <v>45995</v>
      </c>
      <c r="E44" s="178" t="s">
        <v>483</v>
      </c>
      <c r="F44" s="271" t="s">
        <v>484</v>
      </c>
      <c r="G44" s="178" t="s">
        <v>470</v>
      </c>
      <c r="H44" s="366">
        <v>2042222</v>
      </c>
      <c r="I44" s="176">
        <v>8</v>
      </c>
      <c r="J44" s="366">
        <v>163378</v>
      </c>
      <c r="K44" s="178" t="s">
        <v>261</v>
      </c>
      <c r="L44" s="178" t="s">
        <v>252</v>
      </c>
      <c r="M44" s="271" t="s">
        <v>471</v>
      </c>
      <c r="N44" s="177">
        <v>46229</v>
      </c>
      <c r="O44" s="177">
        <v>46229</v>
      </c>
      <c r="P44" s="366">
        <v>2205600</v>
      </c>
      <c r="Q44" s="176" t="s">
        <v>248</v>
      </c>
      <c r="R44" s="176" t="s">
        <v>434</v>
      </c>
      <c r="S44" s="178" t="s">
        <v>253</v>
      </c>
      <c r="T44" s="57" t="str">
        <f t="shared" si="3"/>
        <v>Đ</v>
      </c>
      <c r="U44" s="59">
        <f t="shared" si="4"/>
        <v>0</v>
      </c>
      <c r="V44" s="55">
        <f t="shared" si="5"/>
        <v>13311</v>
      </c>
    </row>
    <row r="45" spans="1:24" ht="21.65" customHeight="1">
      <c r="A45" s="176">
        <v>28</v>
      </c>
      <c r="B45" s="178" t="s">
        <v>466</v>
      </c>
      <c r="C45" s="271" t="s">
        <v>508</v>
      </c>
      <c r="D45" s="177">
        <v>45996</v>
      </c>
      <c r="E45" s="178" t="s">
        <v>468</v>
      </c>
      <c r="F45" s="271" t="s">
        <v>469</v>
      </c>
      <c r="G45" s="178" t="s">
        <v>470</v>
      </c>
      <c r="H45" s="366">
        <v>2042222</v>
      </c>
      <c r="I45" s="176">
        <v>8</v>
      </c>
      <c r="J45" s="366">
        <v>163378</v>
      </c>
      <c r="K45" s="178" t="s">
        <v>261</v>
      </c>
      <c r="L45" s="178" t="s">
        <v>252</v>
      </c>
      <c r="M45" s="271" t="s">
        <v>471</v>
      </c>
      <c r="N45" s="177">
        <v>46229</v>
      </c>
      <c r="O45" s="177">
        <v>46229</v>
      </c>
      <c r="P45" s="366">
        <v>2205600</v>
      </c>
      <c r="Q45" s="176" t="s">
        <v>248</v>
      </c>
      <c r="R45" s="176" t="s">
        <v>434</v>
      </c>
      <c r="S45" s="178" t="s">
        <v>253</v>
      </c>
      <c r="T45" s="57" t="str">
        <f t="shared" si="3"/>
        <v>Đ</v>
      </c>
      <c r="U45" s="59">
        <f t="shared" si="4"/>
        <v>0</v>
      </c>
      <c r="V45" s="55">
        <f t="shared" si="5"/>
        <v>13311</v>
      </c>
    </row>
    <row r="46" spans="1:24" ht="21.65" customHeight="1">
      <c r="A46" s="176">
        <v>29</v>
      </c>
      <c r="B46" s="178" t="s">
        <v>466</v>
      </c>
      <c r="C46" s="271" t="s">
        <v>509</v>
      </c>
      <c r="D46" s="177">
        <v>45996</v>
      </c>
      <c r="E46" s="178" t="s">
        <v>468</v>
      </c>
      <c r="F46" s="271" t="s">
        <v>469</v>
      </c>
      <c r="G46" s="178" t="s">
        <v>470</v>
      </c>
      <c r="H46" s="366">
        <v>1004093</v>
      </c>
      <c r="I46" s="176">
        <v>8</v>
      </c>
      <c r="J46" s="366">
        <v>80327</v>
      </c>
      <c r="K46" s="178" t="s">
        <v>261</v>
      </c>
      <c r="L46" s="178" t="s">
        <v>252</v>
      </c>
      <c r="M46" s="271" t="s">
        <v>471</v>
      </c>
      <c r="N46" s="177">
        <v>46229</v>
      </c>
      <c r="O46" s="177">
        <v>46229</v>
      </c>
      <c r="P46" s="366">
        <v>1084420</v>
      </c>
      <c r="Q46" s="176" t="s">
        <v>248</v>
      </c>
      <c r="R46" s="176" t="s">
        <v>434</v>
      </c>
      <c r="S46" s="178" t="s">
        <v>253</v>
      </c>
      <c r="T46" s="57" t="str">
        <f t="shared" si="3"/>
        <v>Đ</v>
      </c>
      <c r="U46" s="59">
        <f t="shared" si="4"/>
        <v>0</v>
      </c>
      <c r="V46" s="55">
        <f t="shared" si="5"/>
        <v>13311</v>
      </c>
    </row>
    <row r="47" spans="1:24" s="61" customFormat="1" ht="21.65" customHeight="1">
      <c r="A47" s="176">
        <v>30</v>
      </c>
      <c r="B47" s="178" t="s">
        <v>466</v>
      </c>
      <c r="C47" s="271" t="s">
        <v>510</v>
      </c>
      <c r="D47" s="177">
        <v>45996</v>
      </c>
      <c r="E47" s="178" t="s">
        <v>468</v>
      </c>
      <c r="F47" s="271" t="s">
        <v>469</v>
      </c>
      <c r="G47" s="178" t="s">
        <v>470</v>
      </c>
      <c r="H47" s="366">
        <v>953704</v>
      </c>
      <c r="I47" s="176">
        <v>8</v>
      </c>
      <c r="J47" s="366">
        <v>76296</v>
      </c>
      <c r="K47" s="178" t="s">
        <v>261</v>
      </c>
      <c r="L47" s="178" t="s">
        <v>252</v>
      </c>
      <c r="M47" s="271" t="s">
        <v>471</v>
      </c>
      <c r="N47" s="177">
        <v>46229</v>
      </c>
      <c r="O47" s="177">
        <v>46229</v>
      </c>
      <c r="P47" s="366">
        <v>1030000</v>
      </c>
      <c r="Q47" s="176" t="s">
        <v>248</v>
      </c>
      <c r="R47" s="176" t="s">
        <v>434</v>
      </c>
      <c r="S47" s="178" t="s">
        <v>253</v>
      </c>
      <c r="T47" s="57" t="str">
        <f t="shared" si="3"/>
        <v>Đ</v>
      </c>
      <c r="U47" s="59">
        <f t="shared" si="4"/>
        <v>0</v>
      </c>
      <c r="V47" s="55">
        <f t="shared" si="5"/>
        <v>13311</v>
      </c>
    </row>
    <row r="48" spans="1:24" ht="21.65" customHeight="1">
      <c r="A48" s="176">
        <v>31</v>
      </c>
      <c r="B48" s="178" t="s">
        <v>473</v>
      </c>
      <c r="C48" s="271" t="s">
        <v>511</v>
      </c>
      <c r="D48" s="177">
        <v>45996</v>
      </c>
      <c r="E48" s="178" t="s">
        <v>475</v>
      </c>
      <c r="F48" s="271" t="s">
        <v>476</v>
      </c>
      <c r="G48" s="178" t="s">
        <v>470</v>
      </c>
      <c r="H48" s="366">
        <v>663056</v>
      </c>
      <c r="I48" s="176">
        <v>8</v>
      </c>
      <c r="J48" s="366">
        <v>53044</v>
      </c>
      <c r="K48" s="178" t="s">
        <v>261</v>
      </c>
      <c r="L48" s="178" t="s">
        <v>252</v>
      </c>
      <c r="M48" s="271" t="s">
        <v>471</v>
      </c>
      <c r="N48" s="177">
        <v>46229</v>
      </c>
      <c r="O48" s="177">
        <v>46229</v>
      </c>
      <c r="P48" s="366">
        <v>716100</v>
      </c>
      <c r="Q48" s="176" t="s">
        <v>248</v>
      </c>
      <c r="R48" s="176" t="s">
        <v>434</v>
      </c>
      <c r="S48" s="178" t="s">
        <v>253</v>
      </c>
      <c r="T48" s="57" t="str">
        <f t="shared" si="3"/>
        <v>Đ</v>
      </c>
      <c r="U48" s="59">
        <f t="shared" si="4"/>
        <v>0</v>
      </c>
      <c r="V48" s="55">
        <f t="shared" si="5"/>
        <v>13311</v>
      </c>
    </row>
    <row r="49" spans="1:23" ht="31.75" customHeight="1">
      <c r="A49" s="176">
        <v>32</v>
      </c>
      <c r="B49" s="178" t="s">
        <v>473</v>
      </c>
      <c r="C49" s="271" t="s">
        <v>512</v>
      </c>
      <c r="D49" s="177">
        <v>45996</v>
      </c>
      <c r="E49" s="178" t="s">
        <v>475</v>
      </c>
      <c r="F49" s="271" t="s">
        <v>476</v>
      </c>
      <c r="G49" s="178" t="s">
        <v>470</v>
      </c>
      <c r="H49" s="366">
        <v>1276389</v>
      </c>
      <c r="I49" s="176">
        <v>8</v>
      </c>
      <c r="J49" s="366">
        <v>102111</v>
      </c>
      <c r="K49" s="178" t="s">
        <v>261</v>
      </c>
      <c r="L49" s="178" t="s">
        <v>252</v>
      </c>
      <c r="M49" s="271" t="s">
        <v>471</v>
      </c>
      <c r="N49" s="177">
        <v>46229</v>
      </c>
      <c r="O49" s="177">
        <v>46229</v>
      </c>
      <c r="P49" s="366">
        <v>1378500</v>
      </c>
      <c r="Q49" s="176" t="s">
        <v>248</v>
      </c>
      <c r="R49" s="176" t="s">
        <v>434</v>
      </c>
      <c r="S49" s="178" t="s">
        <v>253</v>
      </c>
      <c r="T49" s="57" t="str">
        <f t="shared" si="3"/>
        <v>Đ</v>
      </c>
      <c r="U49" s="59">
        <f t="shared" si="4"/>
        <v>0</v>
      </c>
      <c r="V49" s="55">
        <f t="shared" si="5"/>
        <v>13311</v>
      </c>
    </row>
    <row r="50" spans="1:23" s="62" customFormat="1" ht="31.75" customHeight="1">
      <c r="A50" s="176">
        <v>33</v>
      </c>
      <c r="B50" s="178" t="s">
        <v>473</v>
      </c>
      <c r="C50" s="271" t="s">
        <v>513</v>
      </c>
      <c r="D50" s="177">
        <v>45996</v>
      </c>
      <c r="E50" s="178" t="s">
        <v>475</v>
      </c>
      <c r="F50" s="271" t="s">
        <v>476</v>
      </c>
      <c r="G50" s="178" t="s">
        <v>470</v>
      </c>
      <c r="H50" s="366">
        <v>765833</v>
      </c>
      <c r="I50" s="176">
        <v>8</v>
      </c>
      <c r="J50" s="366">
        <v>61267</v>
      </c>
      <c r="K50" s="178" t="s">
        <v>261</v>
      </c>
      <c r="L50" s="178" t="s">
        <v>252</v>
      </c>
      <c r="M50" s="271" t="s">
        <v>471</v>
      </c>
      <c r="N50" s="177">
        <v>46229</v>
      </c>
      <c r="O50" s="177">
        <v>46229</v>
      </c>
      <c r="P50" s="366">
        <v>827100</v>
      </c>
      <c r="Q50" s="176" t="s">
        <v>248</v>
      </c>
      <c r="R50" s="176" t="s">
        <v>434</v>
      </c>
      <c r="S50" s="178" t="s">
        <v>253</v>
      </c>
      <c r="T50" s="57" t="str">
        <f t="shared" si="3"/>
        <v>Đ</v>
      </c>
      <c r="U50" s="59">
        <f t="shared" si="4"/>
        <v>0</v>
      </c>
      <c r="V50" s="55">
        <f t="shared" si="5"/>
        <v>13311</v>
      </c>
    </row>
    <row r="51" spans="1:23" s="63" customFormat="1" ht="31.75" customHeight="1">
      <c r="A51" s="176">
        <v>34</v>
      </c>
      <c r="B51" s="178" t="s">
        <v>473</v>
      </c>
      <c r="C51" s="271" t="s">
        <v>514</v>
      </c>
      <c r="D51" s="177">
        <v>45996</v>
      </c>
      <c r="E51" s="178" t="s">
        <v>475</v>
      </c>
      <c r="F51" s="271" t="s">
        <v>476</v>
      </c>
      <c r="G51" s="178" t="s">
        <v>470</v>
      </c>
      <c r="H51" s="366">
        <v>1072167</v>
      </c>
      <c r="I51" s="176">
        <v>8</v>
      </c>
      <c r="J51" s="366">
        <v>85773</v>
      </c>
      <c r="K51" s="178" t="s">
        <v>261</v>
      </c>
      <c r="L51" s="178" t="s">
        <v>252</v>
      </c>
      <c r="M51" s="271" t="s">
        <v>471</v>
      </c>
      <c r="N51" s="177">
        <v>46229</v>
      </c>
      <c r="O51" s="177">
        <v>46229</v>
      </c>
      <c r="P51" s="366">
        <v>1157940</v>
      </c>
      <c r="Q51" s="176" t="s">
        <v>248</v>
      </c>
      <c r="R51" s="176" t="s">
        <v>434</v>
      </c>
      <c r="S51" s="178" t="s">
        <v>253</v>
      </c>
      <c r="T51" s="57" t="str">
        <f t="shared" si="3"/>
        <v>Đ</v>
      </c>
      <c r="U51" s="59">
        <f t="shared" si="4"/>
        <v>0</v>
      </c>
      <c r="V51" s="55">
        <f t="shared" si="5"/>
        <v>13311</v>
      </c>
      <c r="W51" s="63" t="s">
        <v>515</v>
      </c>
    </row>
    <row r="52" spans="1:23" ht="31.75" customHeight="1">
      <c r="A52" s="176">
        <v>35</v>
      </c>
      <c r="B52" s="178" t="s">
        <v>473</v>
      </c>
      <c r="C52" s="271" t="s">
        <v>516</v>
      </c>
      <c r="D52" s="177">
        <v>45996</v>
      </c>
      <c r="E52" s="178" t="s">
        <v>475</v>
      </c>
      <c r="F52" s="271" t="s">
        <v>476</v>
      </c>
      <c r="G52" s="178" t="s">
        <v>470</v>
      </c>
      <c r="H52" s="366">
        <v>1515556</v>
      </c>
      <c r="I52" s="176">
        <v>8</v>
      </c>
      <c r="J52" s="366">
        <v>121244</v>
      </c>
      <c r="K52" s="178" t="s">
        <v>261</v>
      </c>
      <c r="L52" s="178" t="s">
        <v>252</v>
      </c>
      <c r="M52" s="271" t="s">
        <v>471</v>
      </c>
      <c r="N52" s="177">
        <v>46229</v>
      </c>
      <c r="O52" s="177">
        <v>46229</v>
      </c>
      <c r="P52" s="366">
        <v>1636800</v>
      </c>
      <c r="Q52" s="176" t="s">
        <v>248</v>
      </c>
      <c r="R52" s="176" t="s">
        <v>434</v>
      </c>
      <c r="S52" s="178" t="s">
        <v>253</v>
      </c>
      <c r="T52" s="57" t="str">
        <f t="shared" si="3"/>
        <v>Đ</v>
      </c>
      <c r="U52" s="59">
        <f t="shared" si="4"/>
        <v>0</v>
      </c>
      <c r="V52" s="55">
        <f t="shared" si="5"/>
        <v>13311</v>
      </c>
    </row>
    <row r="53" spans="1:23" ht="31.75" customHeight="1">
      <c r="A53" s="176">
        <v>36</v>
      </c>
      <c r="B53" s="178" t="s">
        <v>473</v>
      </c>
      <c r="C53" s="271" t="s">
        <v>517</v>
      </c>
      <c r="D53" s="177">
        <v>45996</v>
      </c>
      <c r="E53" s="178" t="s">
        <v>475</v>
      </c>
      <c r="F53" s="271" t="s">
        <v>476</v>
      </c>
      <c r="G53" s="178" t="s">
        <v>470</v>
      </c>
      <c r="H53" s="366">
        <v>852500</v>
      </c>
      <c r="I53" s="176">
        <v>8</v>
      </c>
      <c r="J53" s="366">
        <v>68200</v>
      </c>
      <c r="K53" s="178" t="s">
        <v>261</v>
      </c>
      <c r="L53" s="178" t="s">
        <v>252</v>
      </c>
      <c r="M53" s="271" t="s">
        <v>471</v>
      </c>
      <c r="N53" s="177">
        <v>46229</v>
      </c>
      <c r="O53" s="177">
        <v>46229</v>
      </c>
      <c r="P53" s="366">
        <v>920700</v>
      </c>
      <c r="Q53" s="176" t="s">
        <v>248</v>
      </c>
      <c r="R53" s="176" t="s">
        <v>434</v>
      </c>
      <c r="S53" s="178" t="s">
        <v>253</v>
      </c>
      <c r="T53" s="57" t="str">
        <f t="shared" si="3"/>
        <v>Đ</v>
      </c>
      <c r="U53" s="59">
        <f t="shared" si="4"/>
        <v>0</v>
      </c>
      <c r="V53" s="55">
        <f t="shared" si="5"/>
        <v>13311</v>
      </c>
    </row>
    <row r="54" spans="1:23" ht="31.75" customHeight="1">
      <c r="A54" s="176">
        <v>37</v>
      </c>
      <c r="B54" s="178" t="s">
        <v>473</v>
      </c>
      <c r="C54" s="271" t="s">
        <v>518</v>
      </c>
      <c r="D54" s="177">
        <v>45996</v>
      </c>
      <c r="E54" s="178" t="s">
        <v>475</v>
      </c>
      <c r="F54" s="271" t="s">
        <v>476</v>
      </c>
      <c r="G54" s="178" t="s">
        <v>470</v>
      </c>
      <c r="H54" s="366">
        <v>568333</v>
      </c>
      <c r="I54" s="176">
        <v>8</v>
      </c>
      <c r="J54" s="366">
        <v>45467</v>
      </c>
      <c r="K54" s="178" t="s">
        <v>261</v>
      </c>
      <c r="L54" s="178" t="s">
        <v>252</v>
      </c>
      <c r="M54" s="271" t="s">
        <v>471</v>
      </c>
      <c r="N54" s="177">
        <v>46229</v>
      </c>
      <c r="O54" s="177">
        <v>46229</v>
      </c>
      <c r="P54" s="366">
        <v>613800</v>
      </c>
      <c r="Q54" s="176" t="s">
        <v>248</v>
      </c>
      <c r="R54" s="176" t="s">
        <v>434</v>
      </c>
      <c r="S54" s="178" t="s">
        <v>253</v>
      </c>
      <c r="T54" s="57" t="str">
        <f t="shared" si="3"/>
        <v>Đ</v>
      </c>
      <c r="U54" s="59">
        <f t="shared" si="4"/>
        <v>0</v>
      </c>
      <c r="V54" s="55">
        <f t="shared" si="5"/>
        <v>13311</v>
      </c>
    </row>
    <row r="55" spans="1:23" ht="31.75" customHeight="1">
      <c r="A55" s="176">
        <v>38</v>
      </c>
      <c r="B55" s="178" t="s">
        <v>481</v>
      </c>
      <c r="C55" s="271" t="s">
        <v>519</v>
      </c>
      <c r="D55" s="177">
        <v>45996</v>
      </c>
      <c r="E55" s="178" t="s">
        <v>483</v>
      </c>
      <c r="F55" s="271" t="s">
        <v>484</v>
      </c>
      <c r="G55" s="178" t="s">
        <v>470</v>
      </c>
      <c r="H55" s="366">
        <v>1021112</v>
      </c>
      <c r="I55" s="176">
        <v>8</v>
      </c>
      <c r="J55" s="366">
        <v>81688</v>
      </c>
      <c r="K55" s="178" t="s">
        <v>261</v>
      </c>
      <c r="L55" s="178" t="s">
        <v>252</v>
      </c>
      <c r="M55" s="271" t="s">
        <v>471</v>
      </c>
      <c r="N55" s="177">
        <v>46229</v>
      </c>
      <c r="O55" s="177">
        <v>46229</v>
      </c>
      <c r="P55" s="366">
        <v>1102800</v>
      </c>
      <c r="Q55" s="176" t="s">
        <v>248</v>
      </c>
      <c r="R55" s="176" t="s">
        <v>434</v>
      </c>
      <c r="S55" s="178" t="s">
        <v>253</v>
      </c>
      <c r="T55" s="57" t="str">
        <f t="shared" si="3"/>
        <v>Đ</v>
      </c>
      <c r="U55" s="59">
        <f t="shared" si="4"/>
        <v>1</v>
      </c>
      <c r="V55" s="55">
        <f t="shared" si="5"/>
        <v>13311</v>
      </c>
    </row>
    <row r="56" spans="1:23" ht="31.75" customHeight="1">
      <c r="A56" s="176">
        <v>39</v>
      </c>
      <c r="B56" s="178" t="s">
        <v>466</v>
      </c>
      <c r="C56" s="271" t="s">
        <v>520</v>
      </c>
      <c r="D56" s="177">
        <v>45997</v>
      </c>
      <c r="E56" s="178" t="s">
        <v>468</v>
      </c>
      <c r="F56" s="271" t="s">
        <v>469</v>
      </c>
      <c r="G56" s="178" t="s">
        <v>470</v>
      </c>
      <c r="H56" s="366">
        <v>510556</v>
      </c>
      <c r="I56" s="176">
        <v>8</v>
      </c>
      <c r="J56" s="366">
        <v>40844</v>
      </c>
      <c r="K56" s="178" t="s">
        <v>261</v>
      </c>
      <c r="L56" s="178" t="s">
        <v>252</v>
      </c>
      <c r="M56" s="271" t="s">
        <v>471</v>
      </c>
      <c r="N56" s="177">
        <v>46229</v>
      </c>
      <c r="O56" s="177">
        <v>46229</v>
      </c>
      <c r="P56" s="366">
        <v>551400</v>
      </c>
      <c r="Q56" s="176" t="s">
        <v>248</v>
      </c>
      <c r="R56" s="176" t="s">
        <v>434</v>
      </c>
      <c r="S56" s="178" t="s">
        <v>253</v>
      </c>
      <c r="T56" s="57" t="str">
        <f t="shared" si="3"/>
        <v>Đ</v>
      </c>
      <c r="U56" s="59">
        <f t="shared" si="4"/>
        <v>0</v>
      </c>
      <c r="V56" s="55">
        <f t="shared" si="5"/>
        <v>13311</v>
      </c>
    </row>
    <row r="57" spans="1:23" ht="31.75" customHeight="1">
      <c r="A57" s="176">
        <v>40</v>
      </c>
      <c r="B57" s="178" t="s">
        <v>466</v>
      </c>
      <c r="C57" s="271" t="s">
        <v>521</v>
      </c>
      <c r="D57" s="177">
        <v>45998</v>
      </c>
      <c r="E57" s="178" t="s">
        <v>468</v>
      </c>
      <c r="F57" s="271" t="s">
        <v>469</v>
      </c>
      <c r="G57" s="178" t="s">
        <v>470</v>
      </c>
      <c r="H57" s="366">
        <v>1123222</v>
      </c>
      <c r="I57" s="176">
        <v>8</v>
      </c>
      <c r="J57" s="366">
        <v>89858</v>
      </c>
      <c r="K57" s="178" t="s">
        <v>261</v>
      </c>
      <c r="L57" s="178" t="s">
        <v>252</v>
      </c>
      <c r="M57" s="271" t="s">
        <v>471</v>
      </c>
      <c r="N57" s="177">
        <v>46229</v>
      </c>
      <c r="O57" s="177">
        <v>46229</v>
      </c>
      <c r="P57" s="366">
        <v>1213080</v>
      </c>
      <c r="Q57" s="176" t="s">
        <v>248</v>
      </c>
      <c r="R57" s="176" t="s">
        <v>434</v>
      </c>
      <c r="S57" s="178" t="s">
        <v>253</v>
      </c>
      <c r="T57" s="57" t="str">
        <f t="shared" si="3"/>
        <v>Đ</v>
      </c>
      <c r="U57" s="59">
        <f t="shared" si="4"/>
        <v>0</v>
      </c>
      <c r="V57" s="55">
        <f t="shared" si="5"/>
        <v>13311</v>
      </c>
    </row>
    <row r="58" spans="1:23" ht="31.75" customHeight="1">
      <c r="A58" s="176">
        <v>41</v>
      </c>
      <c r="B58" s="178" t="s">
        <v>473</v>
      </c>
      <c r="C58" s="271" t="s">
        <v>522</v>
      </c>
      <c r="D58" s="177">
        <v>45998</v>
      </c>
      <c r="E58" s="178" t="s">
        <v>475</v>
      </c>
      <c r="F58" s="271" t="s">
        <v>476</v>
      </c>
      <c r="G58" s="178" t="s">
        <v>470</v>
      </c>
      <c r="H58" s="366">
        <v>1786944</v>
      </c>
      <c r="I58" s="176">
        <v>8</v>
      </c>
      <c r="J58" s="366">
        <v>142956</v>
      </c>
      <c r="K58" s="178" t="s">
        <v>261</v>
      </c>
      <c r="L58" s="178" t="s">
        <v>252</v>
      </c>
      <c r="M58" s="271" t="s">
        <v>471</v>
      </c>
      <c r="N58" s="177">
        <v>46229</v>
      </c>
      <c r="O58" s="177">
        <v>46229</v>
      </c>
      <c r="P58" s="366">
        <v>1929900</v>
      </c>
      <c r="Q58" s="176" t="s">
        <v>248</v>
      </c>
      <c r="R58" s="176" t="s">
        <v>434</v>
      </c>
      <c r="S58" s="178" t="s">
        <v>253</v>
      </c>
      <c r="T58" s="57" t="str">
        <f t="shared" si="3"/>
        <v>Đ</v>
      </c>
      <c r="U58" s="59">
        <f t="shared" si="4"/>
        <v>0</v>
      </c>
      <c r="V58" s="55">
        <f t="shared" si="5"/>
        <v>13311</v>
      </c>
    </row>
    <row r="59" spans="1:23" ht="31.75" customHeight="1">
      <c r="A59" s="176">
        <v>42</v>
      </c>
      <c r="B59" s="178" t="s">
        <v>481</v>
      </c>
      <c r="C59" s="271" t="s">
        <v>523</v>
      </c>
      <c r="D59" s="177">
        <v>45998</v>
      </c>
      <c r="E59" s="178" t="s">
        <v>483</v>
      </c>
      <c r="F59" s="271" t="s">
        <v>484</v>
      </c>
      <c r="G59" s="178" t="s">
        <v>470</v>
      </c>
      <c r="H59" s="366">
        <v>4697111</v>
      </c>
      <c r="I59" s="176">
        <v>8</v>
      </c>
      <c r="J59" s="366">
        <v>375769</v>
      </c>
      <c r="K59" s="178" t="s">
        <v>261</v>
      </c>
      <c r="L59" s="178" t="s">
        <v>252</v>
      </c>
      <c r="M59" s="271" t="s">
        <v>471</v>
      </c>
      <c r="N59" s="177">
        <v>46229</v>
      </c>
      <c r="O59" s="177">
        <v>46229</v>
      </c>
      <c r="P59" s="366">
        <v>5072880</v>
      </c>
      <c r="Q59" s="176" t="s">
        <v>248</v>
      </c>
      <c r="R59" s="176" t="s">
        <v>434</v>
      </c>
      <c r="S59" s="178" t="s">
        <v>253</v>
      </c>
      <c r="T59" s="57" t="str">
        <f t="shared" si="3"/>
        <v>Đ</v>
      </c>
      <c r="U59" s="59">
        <f t="shared" si="4"/>
        <v>0</v>
      </c>
      <c r="V59" s="55">
        <f t="shared" si="5"/>
        <v>13311</v>
      </c>
    </row>
    <row r="60" spans="1:23" ht="31.75" customHeight="1">
      <c r="A60" s="176">
        <v>43</v>
      </c>
      <c r="B60" s="178" t="s">
        <v>466</v>
      </c>
      <c r="C60" s="271" t="s">
        <v>524</v>
      </c>
      <c r="D60" s="177">
        <v>45999</v>
      </c>
      <c r="E60" s="178" t="s">
        <v>468</v>
      </c>
      <c r="F60" s="271" t="s">
        <v>469</v>
      </c>
      <c r="G60" s="178" t="s">
        <v>470</v>
      </c>
      <c r="H60" s="366">
        <v>378889</v>
      </c>
      <c r="I60" s="176">
        <v>8</v>
      </c>
      <c r="J60" s="366">
        <v>30311</v>
      </c>
      <c r="K60" s="178" t="s">
        <v>261</v>
      </c>
      <c r="L60" s="178" t="s">
        <v>252</v>
      </c>
      <c r="M60" s="271" t="s">
        <v>471</v>
      </c>
      <c r="N60" s="177">
        <v>46229</v>
      </c>
      <c r="O60" s="177">
        <v>46229</v>
      </c>
      <c r="P60" s="366">
        <v>409200</v>
      </c>
      <c r="Q60" s="176" t="s">
        <v>248</v>
      </c>
      <c r="R60" s="176" t="s">
        <v>434</v>
      </c>
      <c r="S60" s="178" t="s">
        <v>253</v>
      </c>
      <c r="T60" s="57" t="str">
        <f t="shared" si="3"/>
        <v>Đ</v>
      </c>
      <c r="U60" s="59">
        <f t="shared" si="4"/>
        <v>0</v>
      </c>
      <c r="V60" s="55">
        <f t="shared" si="5"/>
        <v>13311</v>
      </c>
    </row>
    <row r="61" spans="1:23" ht="31.75" customHeight="1">
      <c r="A61" s="176">
        <v>44</v>
      </c>
      <c r="B61" s="178" t="s">
        <v>466</v>
      </c>
      <c r="C61" s="271" t="s">
        <v>525</v>
      </c>
      <c r="D61" s="177">
        <v>45999</v>
      </c>
      <c r="E61" s="178" t="s">
        <v>468</v>
      </c>
      <c r="F61" s="271" t="s">
        <v>469</v>
      </c>
      <c r="G61" s="178" t="s">
        <v>470</v>
      </c>
      <c r="H61" s="366">
        <v>1701852</v>
      </c>
      <c r="I61" s="176">
        <v>8</v>
      </c>
      <c r="J61" s="366">
        <v>136148</v>
      </c>
      <c r="K61" s="178" t="s">
        <v>261</v>
      </c>
      <c r="L61" s="178" t="s">
        <v>252</v>
      </c>
      <c r="M61" s="271" t="s">
        <v>471</v>
      </c>
      <c r="N61" s="177">
        <v>46229</v>
      </c>
      <c r="O61" s="177">
        <v>46229</v>
      </c>
      <c r="P61" s="366">
        <v>1838000</v>
      </c>
      <c r="Q61" s="176" t="s">
        <v>248</v>
      </c>
      <c r="R61" s="176" t="s">
        <v>434</v>
      </c>
      <c r="S61" s="178" t="s">
        <v>253</v>
      </c>
      <c r="T61" s="57" t="str">
        <f t="shared" si="3"/>
        <v>Đ</v>
      </c>
      <c r="U61" s="59">
        <f t="shared" si="4"/>
        <v>0</v>
      </c>
      <c r="V61" s="55">
        <f t="shared" si="5"/>
        <v>13311</v>
      </c>
    </row>
    <row r="62" spans="1:23" ht="31.75" customHeight="1">
      <c r="A62" s="176">
        <v>45</v>
      </c>
      <c r="B62" s="178" t="s">
        <v>473</v>
      </c>
      <c r="C62" s="271" t="s">
        <v>526</v>
      </c>
      <c r="D62" s="177">
        <v>45999</v>
      </c>
      <c r="E62" s="178" t="s">
        <v>475</v>
      </c>
      <c r="F62" s="271" t="s">
        <v>476</v>
      </c>
      <c r="G62" s="178" t="s">
        <v>470</v>
      </c>
      <c r="H62" s="366">
        <v>435722</v>
      </c>
      <c r="I62" s="176">
        <v>8</v>
      </c>
      <c r="J62" s="366">
        <v>34858</v>
      </c>
      <c r="K62" s="178" t="s">
        <v>261</v>
      </c>
      <c r="L62" s="178" t="s">
        <v>252</v>
      </c>
      <c r="M62" s="271" t="s">
        <v>471</v>
      </c>
      <c r="N62" s="177">
        <v>46229</v>
      </c>
      <c r="O62" s="177">
        <v>46229</v>
      </c>
      <c r="P62" s="366">
        <v>470580</v>
      </c>
      <c r="Q62" s="176" t="s">
        <v>248</v>
      </c>
      <c r="R62" s="176" t="s">
        <v>434</v>
      </c>
      <c r="S62" s="178" t="s">
        <v>253</v>
      </c>
      <c r="T62" s="57" t="str">
        <f t="shared" si="3"/>
        <v>Đ</v>
      </c>
      <c r="U62" s="59">
        <f t="shared" si="4"/>
        <v>0</v>
      </c>
      <c r="V62" s="55">
        <f t="shared" si="5"/>
        <v>13311</v>
      </c>
    </row>
    <row r="63" spans="1:23" ht="31.75" customHeight="1">
      <c r="A63" s="176">
        <v>46</v>
      </c>
      <c r="B63" s="178" t="s">
        <v>473</v>
      </c>
      <c r="C63" s="271" t="s">
        <v>527</v>
      </c>
      <c r="D63" s="177">
        <v>45999</v>
      </c>
      <c r="E63" s="178" t="s">
        <v>475</v>
      </c>
      <c r="F63" s="271" t="s">
        <v>476</v>
      </c>
      <c r="G63" s="178" t="s">
        <v>470</v>
      </c>
      <c r="H63" s="366">
        <v>1140241</v>
      </c>
      <c r="I63" s="176">
        <v>8</v>
      </c>
      <c r="J63" s="366">
        <v>91219</v>
      </c>
      <c r="K63" s="178" t="s">
        <v>261</v>
      </c>
      <c r="L63" s="178" t="s">
        <v>252</v>
      </c>
      <c r="M63" s="271" t="s">
        <v>471</v>
      </c>
      <c r="N63" s="177">
        <v>46229</v>
      </c>
      <c r="O63" s="177">
        <v>46229</v>
      </c>
      <c r="P63" s="366">
        <v>1231460</v>
      </c>
      <c r="Q63" s="176" t="s">
        <v>248</v>
      </c>
      <c r="R63" s="176" t="s">
        <v>434</v>
      </c>
      <c r="S63" s="178" t="s">
        <v>253</v>
      </c>
      <c r="T63" s="57" t="str">
        <f t="shared" si="3"/>
        <v>Đ</v>
      </c>
      <c r="U63" s="59">
        <f t="shared" si="4"/>
        <v>0</v>
      </c>
      <c r="V63" s="55">
        <f t="shared" si="5"/>
        <v>13311</v>
      </c>
    </row>
    <row r="64" spans="1:23" ht="31.75" customHeight="1">
      <c r="A64" s="176">
        <v>47</v>
      </c>
      <c r="B64" s="178" t="s">
        <v>473</v>
      </c>
      <c r="C64" s="271" t="s">
        <v>528</v>
      </c>
      <c r="D64" s="177">
        <v>45999</v>
      </c>
      <c r="E64" s="178" t="s">
        <v>475</v>
      </c>
      <c r="F64" s="271" t="s">
        <v>476</v>
      </c>
      <c r="G64" s="178" t="s">
        <v>470</v>
      </c>
      <c r="H64" s="366">
        <v>1412537</v>
      </c>
      <c r="I64" s="176">
        <v>8</v>
      </c>
      <c r="J64" s="366">
        <v>113003</v>
      </c>
      <c r="K64" s="178" t="s">
        <v>261</v>
      </c>
      <c r="L64" s="178" t="s">
        <v>252</v>
      </c>
      <c r="M64" s="271" t="s">
        <v>471</v>
      </c>
      <c r="N64" s="177">
        <v>46229</v>
      </c>
      <c r="O64" s="177">
        <v>46229</v>
      </c>
      <c r="P64" s="366">
        <v>1525540</v>
      </c>
      <c r="Q64" s="176" t="s">
        <v>248</v>
      </c>
      <c r="R64" s="176" t="s">
        <v>434</v>
      </c>
      <c r="S64" s="178" t="s">
        <v>253</v>
      </c>
      <c r="T64" s="57" t="str">
        <f t="shared" si="3"/>
        <v>Đ</v>
      </c>
      <c r="U64" s="59">
        <f t="shared" si="4"/>
        <v>0</v>
      </c>
      <c r="V64" s="55">
        <f t="shared" si="5"/>
        <v>13311</v>
      </c>
    </row>
    <row r="65" spans="1:22" ht="31.75" customHeight="1">
      <c r="A65" s="176">
        <v>48</v>
      </c>
      <c r="B65" s="178" t="s">
        <v>473</v>
      </c>
      <c r="C65" s="271" t="s">
        <v>529</v>
      </c>
      <c r="D65" s="177">
        <v>45999</v>
      </c>
      <c r="E65" s="178" t="s">
        <v>475</v>
      </c>
      <c r="F65" s="271" t="s">
        <v>476</v>
      </c>
      <c r="G65" s="178" t="s">
        <v>470</v>
      </c>
      <c r="H65" s="366">
        <v>682000</v>
      </c>
      <c r="I65" s="176">
        <v>8</v>
      </c>
      <c r="J65" s="366">
        <v>54560</v>
      </c>
      <c r="K65" s="178" t="s">
        <v>261</v>
      </c>
      <c r="L65" s="178" t="s">
        <v>252</v>
      </c>
      <c r="M65" s="271" t="s">
        <v>471</v>
      </c>
      <c r="N65" s="177">
        <v>46229</v>
      </c>
      <c r="O65" s="177">
        <v>46229</v>
      </c>
      <c r="P65" s="366">
        <v>736560</v>
      </c>
      <c r="Q65" s="176" t="s">
        <v>248</v>
      </c>
      <c r="R65" s="176" t="s">
        <v>434</v>
      </c>
      <c r="S65" s="178" t="s">
        <v>253</v>
      </c>
      <c r="T65" s="57" t="str">
        <f t="shared" si="3"/>
        <v>Đ</v>
      </c>
      <c r="U65" s="59">
        <f t="shared" si="4"/>
        <v>0</v>
      </c>
      <c r="V65" s="55">
        <f t="shared" si="5"/>
        <v>13311</v>
      </c>
    </row>
    <row r="66" spans="1:22" ht="31.75" customHeight="1">
      <c r="A66" s="176">
        <v>49</v>
      </c>
      <c r="B66" s="178" t="s">
        <v>481</v>
      </c>
      <c r="C66" s="271" t="s">
        <v>530</v>
      </c>
      <c r="D66" s="177">
        <v>45999</v>
      </c>
      <c r="E66" s="178" t="s">
        <v>483</v>
      </c>
      <c r="F66" s="271" t="s">
        <v>484</v>
      </c>
      <c r="G66" s="178" t="s">
        <v>470</v>
      </c>
      <c r="H66" s="366">
        <v>189444</v>
      </c>
      <c r="I66" s="176">
        <v>8</v>
      </c>
      <c r="J66" s="366">
        <v>15156</v>
      </c>
      <c r="K66" s="178" t="s">
        <v>261</v>
      </c>
      <c r="L66" s="178" t="s">
        <v>252</v>
      </c>
      <c r="M66" s="271" t="s">
        <v>471</v>
      </c>
      <c r="N66" s="177">
        <v>46229</v>
      </c>
      <c r="O66" s="177">
        <v>46229</v>
      </c>
      <c r="P66" s="366">
        <v>204600</v>
      </c>
      <c r="Q66" s="176" t="s">
        <v>248</v>
      </c>
      <c r="R66" s="176" t="s">
        <v>434</v>
      </c>
      <c r="S66" s="178" t="s">
        <v>253</v>
      </c>
      <c r="T66" s="57" t="str">
        <f t="shared" si="3"/>
        <v>Đ</v>
      </c>
      <c r="U66" s="59">
        <f t="shared" si="4"/>
        <v>0</v>
      </c>
      <c r="V66" s="55">
        <f t="shared" si="5"/>
        <v>13311</v>
      </c>
    </row>
    <row r="67" spans="1:22" ht="31.75" customHeight="1">
      <c r="A67" s="176">
        <v>50</v>
      </c>
      <c r="B67" s="178" t="s">
        <v>481</v>
      </c>
      <c r="C67" s="271" t="s">
        <v>531</v>
      </c>
      <c r="D67" s="177">
        <v>45999</v>
      </c>
      <c r="E67" s="178" t="s">
        <v>483</v>
      </c>
      <c r="F67" s="271" t="s">
        <v>484</v>
      </c>
      <c r="G67" s="178" t="s">
        <v>470</v>
      </c>
      <c r="H67" s="366">
        <v>2127315</v>
      </c>
      <c r="I67" s="176">
        <v>8</v>
      </c>
      <c r="J67" s="366">
        <v>170185</v>
      </c>
      <c r="K67" s="178" t="s">
        <v>261</v>
      </c>
      <c r="L67" s="178" t="s">
        <v>252</v>
      </c>
      <c r="M67" s="271" t="s">
        <v>471</v>
      </c>
      <c r="N67" s="177">
        <v>46229</v>
      </c>
      <c r="O67" s="177">
        <v>46229</v>
      </c>
      <c r="P67" s="366">
        <v>2297500</v>
      </c>
      <c r="Q67" s="176" t="s">
        <v>248</v>
      </c>
      <c r="R67" s="176" t="s">
        <v>434</v>
      </c>
      <c r="S67" s="178" t="s">
        <v>253</v>
      </c>
      <c r="T67" s="57" t="str">
        <f t="shared" si="3"/>
        <v>Đ</v>
      </c>
      <c r="U67" s="59">
        <f t="shared" si="4"/>
        <v>0</v>
      </c>
      <c r="V67" s="55">
        <f t="shared" si="5"/>
        <v>13311</v>
      </c>
    </row>
    <row r="68" spans="1:22" ht="14.4" customHeight="1">
      <c r="A68" s="176">
        <v>51</v>
      </c>
      <c r="B68" s="178" t="s">
        <v>481</v>
      </c>
      <c r="C68" s="271" t="s">
        <v>532</v>
      </c>
      <c r="D68" s="177">
        <v>45999</v>
      </c>
      <c r="E68" s="178" t="s">
        <v>483</v>
      </c>
      <c r="F68" s="271" t="s">
        <v>484</v>
      </c>
      <c r="G68" s="178" t="s">
        <v>470</v>
      </c>
      <c r="H68" s="366">
        <v>3403704</v>
      </c>
      <c r="I68" s="176">
        <v>8</v>
      </c>
      <c r="J68" s="366">
        <v>272296</v>
      </c>
      <c r="K68" s="178" t="s">
        <v>261</v>
      </c>
      <c r="L68" s="178" t="s">
        <v>252</v>
      </c>
      <c r="M68" s="271" t="s">
        <v>471</v>
      </c>
      <c r="N68" s="177">
        <v>46229</v>
      </c>
      <c r="O68" s="177">
        <v>46229</v>
      </c>
      <c r="P68" s="366">
        <v>3676000</v>
      </c>
      <c r="Q68" s="176" t="s">
        <v>248</v>
      </c>
      <c r="R68" s="176" t="s">
        <v>434</v>
      </c>
      <c r="S68" s="178" t="s">
        <v>253</v>
      </c>
      <c r="T68" s="57" t="str">
        <f t="shared" si="3"/>
        <v>Đ</v>
      </c>
      <c r="U68" s="59">
        <f t="shared" si="4"/>
        <v>0</v>
      </c>
      <c r="V68" s="55">
        <f t="shared" si="5"/>
        <v>13311</v>
      </c>
    </row>
    <row r="69" spans="1:22" ht="31.75" customHeight="1">
      <c r="A69" s="176">
        <v>52</v>
      </c>
      <c r="B69" s="178" t="s">
        <v>466</v>
      </c>
      <c r="C69" s="271" t="s">
        <v>533</v>
      </c>
      <c r="D69" s="177">
        <v>46000</v>
      </c>
      <c r="E69" s="178" t="s">
        <v>468</v>
      </c>
      <c r="F69" s="271" t="s">
        <v>469</v>
      </c>
      <c r="G69" s="178" t="s">
        <v>470</v>
      </c>
      <c r="H69" s="366">
        <v>493537</v>
      </c>
      <c r="I69" s="176">
        <v>8</v>
      </c>
      <c r="J69" s="366">
        <v>39483</v>
      </c>
      <c r="K69" s="178" t="s">
        <v>261</v>
      </c>
      <c r="L69" s="178" t="s">
        <v>252</v>
      </c>
      <c r="M69" s="271" t="s">
        <v>471</v>
      </c>
      <c r="N69" s="177">
        <v>46229</v>
      </c>
      <c r="O69" s="177">
        <v>46229</v>
      </c>
      <c r="P69" s="366">
        <v>533020</v>
      </c>
      <c r="Q69" s="176" t="s">
        <v>248</v>
      </c>
      <c r="R69" s="176" t="s">
        <v>434</v>
      </c>
      <c r="S69" s="178" t="s">
        <v>253</v>
      </c>
      <c r="T69" s="57" t="str">
        <f t="shared" si="3"/>
        <v>Đ</v>
      </c>
      <c r="U69" s="59">
        <f t="shared" si="4"/>
        <v>0</v>
      </c>
      <c r="V69" s="55">
        <f t="shared" si="5"/>
        <v>13311</v>
      </c>
    </row>
    <row r="70" spans="1:22" ht="31.75" customHeight="1">
      <c r="A70" s="176">
        <v>53</v>
      </c>
      <c r="B70" s="178" t="s">
        <v>466</v>
      </c>
      <c r="C70" s="271" t="s">
        <v>534</v>
      </c>
      <c r="D70" s="177">
        <v>46000</v>
      </c>
      <c r="E70" s="178" t="s">
        <v>468</v>
      </c>
      <c r="F70" s="271" t="s">
        <v>469</v>
      </c>
      <c r="G70" s="178" t="s">
        <v>470</v>
      </c>
      <c r="H70" s="366">
        <v>850926</v>
      </c>
      <c r="I70" s="176">
        <v>8</v>
      </c>
      <c r="J70" s="366">
        <v>68074</v>
      </c>
      <c r="K70" s="178" t="s">
        <v>261</v>
      </c>
      <c r="L70" s="178" t="s">
        <v>252</v>
      </c>
      <c r="M70" s="271" t="s">
        <v>471</v>
      </c>
      <c r="N70" s="177">
        <v>46229</v>
      </c>
      <c r="O70" s="177">
        <v>46229</v>
      </c>
      <c r="P70" s="366">
        <v>919000</v>
      </c>
      <c r="Q70" s="176" t="s">
        <v>248</v>
      </c>
      <c r="R70" s="176" t="s">
        <v>434</v>
      </c>
      <c r="S70" s="178" t="s">
        <v>253</v>
      </c>
      <c r="T70" s="57" t="str">
        <f t="shared" si="3"/>
        <v>Đ</v>
      </c>
      <c r="U70" s="59">
        <f t="shared" si="4"/>
        <v>0</v>
      </c>
      <c r="V70" s="55">
        <f t="shared" si="5"/>
        <v>13311</v>
      </c>
    </row>
    <row r="71" spans="1:22" ht="14.4" customHeight="1">
      <c r="A71" s="176">
        <v>54</v>
      </c>
      <c r="B71" s="178" t="s">
        <v>473</v>
      </c>
      <c r="C71" s="271" t="s">
        <v>535</v>
      </c>
      <c r="D71" s="177">
        <v>46000</v>
      </c>
      <c r="E71" s="178" t="s">
        <v>475</v>
      </c>
      <c r="F71" s="271" t="s">
        <v>476</v>
      </c>
      <c r="G71" s="178" t="s">
        <v>470</v>
      </c>
      <c r="H71" s="366">
        <v>719889</v>
      </c>
      <c r="I71" s="176">
        <v>8</v>
      </c>
      <c r="J71" s="366">
        <v>57591</v>
      </c>
      <c r="K71" s="178" t="s">
        <v>261</v>
      </c>
      <c r="L71" s="178" t="s">
        <v>252</v>
      </c>
      <c r="M71" s="271" t="s">
        <v>471</v>
      </c>
      <c r="N71" s="177">
        <v>46229</v>
      </c>
      <c r="O71" s="177">
        <v>46229</v>
      </c>
      <c r="P71" s="366">
        <v>777480</v>
      </c>
      <c r="Q71" s="176" t="s">
        <v>248</v>
      </c>
      <c r="R71" s="176" t="s">
        <v>434</v>
      </c>
      <c r="S71" s="178" t="s">
        <v>253</v>
      </c>
      <c r="T71" s="57" t="str">
        <f t="shared" si="3"/>
        <v>Đ</v>
      </c>
      <c r="U71" s="59">
        <f t="shared" si="4"/>
        <v>0</v>
      </c>
      <c r="V71" s="55">
        <f t="shared" si="5"/>
        <v>13311</v>
      </c>
    </row>
    <row r="72" spans="1:22" ht="21.65" customHeight="1">
      <c r="A72" s="176">
        <v>55</v>
      </c>
      <c r="B72" s="178" t="s">
        <v>473</v>
      </c>
      <c r="C72" s="271" t="s">
        <v>536</v>
      </c>
      <c r="D72" s="177">
        <v>46000</v>
      </c>
      <c r="E72" s="178" t="s">
        <v>475</v>
      </c>
      <c r="F72" s="271" t="s">
        <v>476</v>
      </c>
      <c r="G72" s="178" t="s">
        <v>470</v>
      </c>
      <c r="H72" s="366">
        <v>1629222</v>
      </c>
      <c r="I72" s="176">
        <v>8</v>
      </c>
      <c r="J72" s="366">
        <v>130338</v>
      </c>
      <c r="K72" s="178" t="s">
        <v>261</v>
      </c>
      <c r="L72" s="178" t="s">
        <v>252</v>
      </c>
      <c r="M72" s="271" t="s">
        <v>471</v>
      </c>
      <c r="N72" s="177">
        <v>46229</v>
      </c>
      <c r="O72" s="177">
        <v>46229</v>
      </c>
      <c r="P72" s="366">
        <v>1759560</v>
      </c>
      <c r="Q72" s="176" t="s">
        <v>248</v>
      </c>
      <c r="R72" s="176" t="s">
        <v>434</v>
      </c>
      <c r="S72" s="178" t="s">
        <v>253</v>
      </c>
      <c r="T72" s="57" t="str">
        <f t="shared" si="3"/>
        <v>Đ</v>
      </c>
      <c r="U72" s="59">
        <f t="shared" si="4"/>
        <v>0</v>
      </c>
      <c r="V72" s="55">
        <f t="shared" si="5"/>
        <v>13311</v>
      </c>
    </row>
    <row r="73" spans="1:22" ht="21.65" customHeight="1">
      <c r="A73" s="176">
        <v>56</v>
      </c>
      <c r="B73" s="178" t="s">
        <v>466</v>
      </c>
      <c r="C73" s="271" t="s">
        <v>537</v>
      </c>
      <c r="D73" s="177">
        <v>46001</v>
      </c>
      <c r="E73" s="178" t="s">
        <v>468</v>
      </c>
      <c r="F73" s="271" t="s">
        <v>469</v>
      </c>
      <c r="G73" s="178" t="s">
        <v>470</v>
      </c>
      <c r="H73" s="366">
        <v>2042222</v>
      </c>
      <c r="I73" s="176">
        <v>8</v>
      </c>
      <c r="J73" s="366">
        <v>163378</v>
      </c>
      <c r="K73" s="178" t="s">
        <v>261</v>
      </c>
      <c r="L73" s="178" t="s">
        <v>252</v>
      </c>
      <c r="M73" s="271" t="s">
        <v>471</v>
      </c>
      <c r="N73" s="177">
        <v>46229</v>
      </c>
      <c r="O73" s="177">
        <v>46229</v>
      </c>
      <c r="P73" s="366">
        <v>2205600</v>
      </c>
      <c r="Q73" s="176" t="s">
        <v>248</v>
      </c>
      <c r="R73" s="176" t="s">
        <v>434</v>
      </c>
      <c r="S73" s="178" t="s">
        <v>253</v>
      </c>
      <c r="T73" s="57" t="str">
        <f t="shared" si="3"/>
        <v>Đ</v>
      </c>
      <c r="U73" s="59">
        <f t="shared" si="4"/>
        <v>0</v>
      </c>
      <c r="V73" s="55">
        <f t="shared" si="5"/>
        <v>13311</v>
      </c>
    </row>
    <row r="74" spans="1:22" ht="14.4" customHeight="1">
      <c r="A74" s="176">
        <v>57</v>
      </c>
      <c r="B74" s="178" t="s">
        <v>466</v>
      </c>
      <c r="C74" s="271" t="s">
        <v>538</v>
      </c>
      <c r="D74" s="177">
        <v>46001</v>
      </c>
      <c r="E74" s="178" t="s">
        <v>468</v>
      </c>
      <c r="F74" s="271" t="s">
        <v>469</v>
      </c>
      <c r="G74" s="178" t="s">
        <v>470</v>
      </c>
      <c r="H74" s="366">
        <v>765833</v>
      </c>
      <c r="I74" s="176">
        <v>8</v>
      </c>
      <c r="J74" s="366">
        <v>61267</v>
      </c>
      <c r="K74" s="178" t="s">
        <v>261</v>
      </c>
      <c r="L74" s="178" t="s">
        <v>252</v>
      </c>
      <c r="M74" s="271" t="s">
        <v>471</v>
      </c>
      <c r="N74" s="177">
        <v>46229</v>
      </c>
      <c r="O74" s="177">
        <v>46229</v>
      </c>
      <c r="P74" s="366">
        <v>827100</v>
      </c>
      <c r="Q74" s="176" t="s">
        <v>248</v>
      </c>
      <c r="R74" s="176" t="s">
        <v>434</v>
      </c>
      <c r="S74" s="178" t="s">
        <v>253</v>
      </c>
      <c r="T74" s="57" t="str">
        <f t="shared" si="3"/>
        <v>Đ</v>
      </c>
      <c r="U74" s="59">
        <f t="shared" si="4"/>
        <v>0</v>
      </c>
      <c r="V74" s="55">
        <f t="shared" si="5"/>
        <v>13311</v>
      </c>
    </row>
    <row r="75" spans="1:22" ht="14.4" customHeight="1">
      <c r="A75" s="176">
        <v>58</v>
      </c>
      <c r="B75" s="178" t="s">
        <v>473</v>
      </c>
      <c r="C75" s="271" t="s">
        <v>539</v>
      </c>
      <c r="D75" s="177">
        <v>46001</v>
      </c>
      <c r="E75" s="178" t="s">
        <v>475</v>
      </c>
      <c r="F75" s="271" t="s">
        <v>476</v>
      </c>
      <c r="G75" s="178" t="s">
        <v>470</v>
      </c>
      <c r="H75" s="366">
        <v>1989167</v>
      </c>
      <c r="I75" s="176">
        <v>8</v>
      </c>
      <c r="J75" s="366">
        <v>159133</v>
      </c>
      <c r="K75" s="178" t="s">
        <v>261</v>
      </c>
      <c r="L75" s="178" t="s">
        <v>252</v>
      </c>
      <c r="M75" s="271" t="s">
        <v>471</v>
      </c>
      <c r="N75" s="177">
        <v>46229</v>
      </c>
      <c r="O75" s="177">
        <v>46229</v>
      </c>
      <c r="P75" s="366">
        <v>2148300</v>
      </c>
      <c r="Q75" s="176" t="s">
        <v>248</v>
      </c>
      <c r="R75" s="176" t="s">
        <v>434</v>
      </c>
      <c r="S75" s="178" t="s">
        <v>253</v>
      </c>
      <c r="T75" s="57" t="str">
        <f t="shared" si="3"/>
        <v>Đ</v>
      </c>
      <c r="U75" s="59">
        <f t="shared" si="4"/>
        <v>0</v>
      </c>
      <c r="V75" s="55">
        <f t="shared" si="5"/>
        <v>13311</v>
      </c>
    </row>
    <row r="76" spans="1:22" ht="14.4" customHeight="1">
      <c r="A76" s="176">
        <v>59</v>
      </c>
      <c r="B76" s="178" t="s">
        <v>466</v>
      </c>
      <c r="C76" s="271" t="s">
        <v>540</v>
      </c>
      <c r="D76" s="177">
        <v>46002</v>
      </c>
      <c r="E76" s="178" t="s">
        <v>468</v>
      </c>
      <c r="F76" s="271" t="s">
        <v>469</v>
      </c>
      <c r="G76" s="178" t="s">
        <v>470</v>
      </c>
      <c r="H76" s="366">
        <v>1701852</v>
      </c>
      <c r="I76" s="176">
        <v>8</v>
      </c>
      <c r="J76" s="366">
        <v>136148</v>
      </c>
      <c r="K76" s="178" t="s">
        <v>261</v>
      </c>
      <c r="L76" s="178" t="s">
        <v>252</v>
      </c>
      <c r="M76" s="271" t="s">
        <v>471</v>
      </c>
      <c r="N76" s="177">
        <v>46229</v>
      </c>
      <c r="O76" s="177">
        <v>46229</v>
      </c>
      <c r="P76" s="366">
        <v>1838000</v>
      </c>
      <c r="Q76" s="176" t="s">
        <v>248</v>
      </c>
      <c r="R76" s="176" t="s">
        <v>434</v>
      </c>
      <c r="S76" s="178" t="s">
        <v>253</v>
      </c>
      <c r="T76" s="57" t="str">
        <f t="shared" si="3"/>
        <v>Đ</v>
      </c>
      <c r="U76" s="59">
        <f t="shared" si="4"/>
        <v>0</v>
      </c>
      <c r="V76" s="55">
        <f t="shared" si="5"/>
        <v>13311</v>
      </c>
    </row>
    <row r="77" spans="1:22" ht="14.4" customHeight="1">
      <c r="A77" s="176">
        <v>60</v>
      </c>
      <c r="B77" s="178" t="s">
        <v>473</v>
      </c>
      <c r="C77" s="271" t="s">
        <v>541</v>
      </c>
      <c r="D77" s="177">
        <v>46002</v>
      </c>
      <c r="E77" s="178" t="s">
        <v>475</v>
      </c>
      <c r="F77" s="271" t="s">
        <v>476</v>
      </c>
      <c r="G77" s="178" t="s">
        <v>470</v>
      </c>
      <c r="H77" s="366">
        <v>795667</v>
      </c>
      <c r="I77" s="176">
        <v>8</v>
      </c>
      <c r="J77" s="366">
        <v>63653</v>
      </c>
      <c r="K77" s="178" t="s">
        <v>261</v>
      </c>
      <c r="L77" s="178" t="s">
        <v>252</v>
      </c>
      <c r="M77" s="271" t="s">
        <v>471</v>
      </c>
      <c r="N77" s="177">
        <v>46229</v>
      </c>
      <c r="O77" s="177">
        <v>46229</v>
      </c>
      <c r="P77" s="366">
        <v>859320</v>
      </c>
      <c r="Q77" s="176" t="s">
        <v>248</v>
      </c>
      <c r="R77" s="176" t="s">
        <v>434</v>
      </c>
      <c r="S77" s="178" t="s">
        <v>253</v>
      </c>
      <c r="T77" s="57" t="str">
        <f t="shared" si="3"/>
        <v>Đ</v>
      </c>
      <c r="U77" s="59">
        <f t="shared" si="4"/>
        <v>0</v>
      </c>
      <c r="V77" s="55">
        <f t="shared" si="5"/>
        <v>13311</v>
      </c>
    </row>
    <row r="78" spans="1:22" ht="14.4" customHeight="1">
      <c r="A78" s="176">
        <v>61</v>
      </c>
      <c r="B78" s="178" t="s">
        <v>473</v>
      </c>
      <c r="C78" s="271" t="s">
        <v>542</v>
      </c>
      <c r="D78" s="177">
        <v>46002</v>
      </c>
      <c r="E78" s="178" t="s">
        <v>475</v>
      </c>
      <c r="F78" s="271" t="s">
        <v>476</v>
      </c>
      <c r="G78" s="178" t="s">
        <v>470</v>
      </c>
      <c r="H78" s="366">
        <v>871444</v>
      </c>
      <c r="I78" s="176">
        <v>8</v>
      </c>
      <c r="J78" s="366">
        <v>69716</v>
      </c>
      <c r="K78" s="178" t="s">
        <v>261</v>
      </c>
      <c r="L78" s="178" t="s">
        <v>252</v>
      </c>
      <c r="M78" s="271" t="s">
        <v>471</v>
      </c>
      <c r="N78" s="177">
        <v>46229</v>
      </c>
      <c r="O78" s="177">
        <v>46229</v>
      </c>
      <c r="P78" s="366">
        <v>941160</v>
      </c>
      <c r="Q78" s="176" t="s">
        <v>248</v>
      </c>
      <c r="R78" s="176" t="s">
        <v>434</v>
      </c>
      <c r="S78" s="178" t="s">
        <v>253</v>
      </c>
      <c r="T78" s="57" t="str">
        <f t="shared" ref="T78:T141" si="6">IF(OR(LEN(F78)=11,LEN(F78)=15),"Đ","SAI")</f>
        <v>Đ</v>
      </c>
      <c r="U78" s="59">
        <f t="shared" ref="U78:U141" si="7">ROUND(H78*I78%,0)-J78</f>
        <v>0</v>
      </c>
      <c r="V78" s="55">
        <f t="shared" ref="V78:V141" si="8">IF(Q78=$V$12,13313,13311)</f>
        <v>13311</v>
      </c>
    </row>
    <row r="79" spans="1:22" ht="14.4" customHeight="1">
      <c r="A79" s="176">
        <v>62</v>
      </c>
      <c r="B79" s="178" t="s">
        <v>473</v>
      </c>
      <c r="C79" s="271" t="s">
        <v>543</v>
      </c>
      <c r="D79" s="177">
        <v>46002</v>
      </c>
      <c r="E79" s="178" t="s">
        <v>475</v>
      </c>
      <c r="F79" s="271" t="s">
        <v>476</v>
      </c>
      <c r="G79" s="178" t="s">
        <v>470</v>
      </c>
      <c r="H79" s="366">
        <v>757778</v>
      </c>
      <c r="I79" s="176">
        <v>8</v>
      </c>
      <c r="J79" s="366">
        <v>60622</v>
      </c>
      <c r="K79" s="178" t="s">
        <v>261</v>
      </c>
      <c r="L79" s="178" t="s">
        <v>252</v>
      </c>
      <c r="M79" s="271" t="s">
        <v>471</v>
      </c>
      <c r="N79" s="177">
        <v>46229</v>
      </c>
      <c r="O79" s="177">
        <v>46229</v>
      </c>
      <c r="P79" s="366">
        <v>818400</v>
      </c>
      <c r="Q79" s="176" t="s">
        <v>248</v>
      </c>
      <c r="R79" s="176" t="s">
        <v>434</v>
      </c>
      <c r="S79" s="178" t="s">
        <v>253</v>
      </c>
      <c r="T79" s="57" t="str">
        <f t="shared" si="6"/>
        <v>Đ</v>
      </c>
      <c r="U79" s="59">
        <f t="shared" si="7"/>
        <v>0</v>
      </c>
      <c r="V79" s="55">
        <f t="shared" si="8"/>
        <v>13311</v>
      </c>
    </row>
    <row r="80" spans="1:22" ht="14.4" customHeight="1">
      <c r="A80" s="176">
        <v>63</v>
      </c>
      <c r="B80" s="178" t="s">
        <v>473</v>
      </c>
      <c r="C80" s="271" t="s">
        <v>544</v>
      </c>
      <c r="D80" s="177">
        <v>46002</v>
      </c>
      <c r="E80" s="178" t="s">
        <v>475</v>
      </c>
      <c r="F80" s="271" t="s">
        <v>476</v>
      </c>
      <c r="G80" s="178" t="s">
        <v>470</v>
      </c>
      <c r="H80" s="366">
        <v>644111</v>
      </c>
      <c r="I80" s="176">
        <v>8</v>
      </c>
      <c r="J80" s="366">
        <v>51529</v>
      </c>
      <c r="K80" s="178" t="s">
        <v>261</v>
      </c>
      <c r="L80" s="178" t="s">
        <v>252</v>
      </c>
      <c r="M80" s="271" t="s">
        <v>471</v>
      </c>
      <c r="N80" s="177">
        <v>46229</v>
      </c>
      <c r="O80" s="177">
        <v>46229</v>
      </c>
      <c r="P80" s="366">
        <v>695640</v>
      </c>
      <c r="Q80" s="176" t="s">
        <v>248</v>
      </c>
      <c r="R80" s="176" t="s">
        <v>434</v>
      </c>
      <c r="S80" s="178" t="s">
        <v>253</v>
      </c>
      <c r="T80" s="57" t="str">
        <f t="shared" si="6"/>
        <v>Đ</v>
      </c>
      <c r="U80" s="59">
        <f t="shared" si="7"/>
        <v>0</v>
      </c>
      <c r="V80" s="55">
        <f t="shared" si="8"/>
        <v>13311</v>
      </c>
    </row>
    <row r="81" spans="1:24" ht="14.4" customHeight="1">
      <c r="A81" s="176">
        <v>64</v>
      </c>
      <c r="B81" s="178" t="s">
        <v>473</v>
      </c>
      <c r="C81" s="271" t="s">
        <v>545</v>
      </c>
      <c r="D81" s="177">
        <v>46002</v>
      </c>
      <c r="E81" s="178" t="s">
        <v>475</v>
      </c>
      <c r="F81" s="271" t="s">
        <v>476</v>
      </c>
      <c r="G81" s="178" t="s">
        <v>470</v>
      </c>
      <c r="H81" s="366">
        <v>511500</v>
      </c>
      <c r="I81" s="176">
        <v>8</v>
      </c>
      <c r="J81" s="366">
        <v>40920</v>
      </c>
      <c r="K81" s="178" t="s">
        <v>261</v>
      </c>
      <c r="L81" s="178" t="s">
        <v>252</v>
      </c>
      <c r="M81" s="271" t="s">
        <v>471</v>
      </c>
      <c r="N81" s="177">
        <v>46229</v>
      </c>
      <c r="O81" s="177">
        <v>46229</v>
      </c>
      <c r="P81" s="366">
        <v>552420</v>
      </c>
      <c r="Q81" s="176" t="s">
        <v>248</v>
      </c>
      <c r="R81" s="176" t="s">
        <v>434</v>
      </c>
      <c r="S81" s="178" t="s">
        <v>253</v>
      </c>
      <c r="T81" s="57" t="str">
        <f t="shared" si="6"/>
        <v>Đ</v>
      </c>
      <c r="U81" s="59">
        <f t="shared" si="7"/>
        <v>0</v>
      </c>
      <c r="V81" s="55">
        <f t="shared" si="8"/>
        <v>13311</v>
      </c>
    </row>
    <row r="82" spans="1:24" ht="14.4" customHeight="1">
      <c r="A82" s="176">
        <v>65</v>
      </c>
      <c r="B82" s="178" t="s">
        <v>473</v>
      </c>
      <c r="C82" s="271" t="s">
        <v>546</v>
      </c>
      <c r="D82" s="177">
        <v>46002</v>
      </c>
      <c r="E82" s="178" t="s">
        <v>475</v>
      </c>
      <c r="F82" s="271" t="s">
        <v>476</v>
      </c>
      <c r="G82" s="178" t="s">
        <v>470</v>
      </c>
      <c r="H82" s="366">
        <v>1174278</v>
      </c>
      <c r="I82" s="176">
        <v>8</v>
      </c>
      <c r="J82" s="366">
        <v>93942</v>
      </c>
      <c r="K82" s="178" t="s">
        <v>261</v>
      </c>
      <c r="L82" s="178" t="s">
        <v>252</v>
      </c>
      <c r="M82" s="271" t="s">
        <v>471</v>
      </c>
      <c r="N82" s="177">
        <v>46229</v>
      </c>
      <c r="O82" s="177">
        <v>46229</v>
      </c>
      <c r="P82" s="366">
        <v>1268220</v>
      </c>
      <c r="Q82" s="176" t="s">
        <v>248</v>
      </c>
      <c r="R82" s="176" t="s">
        <v>434</v>
      </c>
      <c r="S82" s="178" t="s">
        <v>253</v>
      </c>
      <c r="T82" s="57" t="str">
        <f t="shared" si="6"/>
        <v>Đ</v>
      </c>
      <c r="U82" s="59">
        <f t="shared" si="7"/>
        <v>0</v>
      </c>
      <c r="V82" s="55">
        <f t="shared" si="8"/>
        <v>13311</v>
      </c>
    </row>
    <row r="83" spans="1:24" ht="14.4" customHeight="1">
      <c r="A83" s="176">
        <v>66</v>
      </c>
      <c r="B83" s="178" t="s">
        <v>473</v>
      </c>
      <c r="C83" s="271" t="s">
        <v>547</v>
      </c>
      <c r="D83" s="177">
        <v>46002</v>
      </c>
      <c r="E83" s="178" t="s">
        <v>475</v>
      </c>
      <c r="F83" s="271" t="s">
        <v>476</v>
      </c>
      <c r="G83" s="178" t="s">
        <v>470</v>
      </c>
      <c r="H83" s="366">
        <v>1038130</v>
      </c>
      <c r="I83" s="176">
        <v>8</v>
      </c>
      <c r="J83" s="366">
        <v>83050</v>
      </c>
      <c r="K83" s="178" t="s">
        <v>261</v>
      </c>
      <c r="L83" s="178" t="s">
        <v>252</v>
      </c>
      <c r="M83" s="271" t="s">
        <v>471</v>
      </c>
      <c r="N83" s="177">
        <v>46229</v>
      </c>
      <c r="O83" s="177">
        <v>46229</v>
      </c>
      <c r="P83" s="366">
        <v>1121180</v>
      </c>
      <c r="Q83" s="176" t="s">
        <v>248</v>
      </c>
      <c r="R83" s="176" t="s">
        <v>434</v>
      </c>
      <c r="S83" s="178" t="s">
        <v>253</v>
      </c>
      <c r="T83" s="57" t="str">
        <f t="shared" si="6"/>
        <v>Đ</v>
      </c>
      <c r="U83" s="59">
        <f t="shared" si="7"/>
        <v>0</v>
      </c>
      <c r="V83" s="55">
        <f t="shared" si="8"/>
        <v>13311</v>
      </c>
    </row>
    <row r="84" spans="1:24" ht="14.4" customHeight="1">
      <c r="A84" s="176">
        <v>67</v>
      </c>
      <c r="B84" s="178" t="s">
        <v>473</v>
      </c>
      <c r="C84" s="271" t="s">
        <v>548</v>
      </c>
      <c r="D84" s="177">
        <v>46002</v>
      </c>
      <c r="E84" s="178" t="s">
        <v>475</v>
      </c>
      <c r="F84" s="271" t="s">
        <v>476</v>
      </c>
      <c r="G84" s="178" t="s">
        <v>470</v>
      </c>
      <c r="H84" s="366">
        <v>663056</v>
      </c>
      <c r="I84" s="176">
        <v>8</v>
      </c>
      <c r="J84" s="366">
        <v>53044</v>
      </c>
      <c r="K84" s="178" t="s">
        <v>261</v>
      </c>
      <c r="L84" s="178" t="s">
        <v>252</v>
      </c>
      <c r="M84" s="271" t="s">
        <v>471</v>
      </c>
      <c r="N84" s="177">
        <v>46229</v>
      </c>
      <c r="O84" s="177">
        <v>46229</v>
      </c>
      <c r="P84" s="366">
        <v>716100</v>
      </c>
      <c r="Q84" s="176" t="s">
        <v>248</v>
      </c>
      <c r="R84" s="176" t="s">
        <v>434</v>
      </c>
      <c r="S84" s="178" t="s">
        <v>253</v>
      </c>
      <c r="T84" s="57" t="str">
        <f t="shared" si="6"/>
        <v>Đ</v>
      </c>
      <c r="U84" s="59">
        <f t="shared" si="7"/>
        <v>0</v>
      </c>
      <c r="V84" s="55">
        <f t="shared" si="8"/>
        <v>13311</v>
      </c>
    </row>
    <row r="85" spans="1:24" ht="14.4" customHeight="1">
      <c r="A85" s="176">
        <v>68</v>
      </c>
      <c r="B85" s="178" t="s">
        <v>473</v>
      </c>
      <c r="C85" s="271" t="s">
        <v>549</v>
      </c>
      <c r="D85" s="177">
        <v>46002</v>
      </c>
      <c r="E85" s="178" t="s">
        <v>475</v>
      </c>
      <c r="F85" s="271" t="s">
        <v>476</v>
      </c>
      <c r="G85" s="178" t="s">
        <v>470</v>
      </c>
      <c r="H85" s="366">
        <v>1803481</v>
      </c>
      <c r="I85" s="176">
        <v>8</v>
      </c>
      <c r="J85" s="366">
        <v>144279</v>
      </c>
      <c r="K85" s="178" t="s">
        <v>261</v>
      </c>
      <c r="L85" s="178" t="s">
        <v>252</v>
      </c>
      <c r="M85" s="271" t="s">
        <v>471</v>
      </c>
      <c r="N85" s="177">
        <v>46229</v>
      </c>
      <c r="O85" s="177">
        <v>46229</v>
      </c>
      <c r="P85" s="366">
        <v>1947760</v>
      </c>
      <c r="Q85" s="176" t="s">
        <v>248</v>
      </c>
      <c r="R85" s="176" t="s">
        <v>434</v>
      </c>
      <c r="S85" s="178" t="s">
        <v>253</v>
      </c>
      <c r="T85" s="57" t="str">
        <f t="shared" si="6"/>
        <v>Đ</v>
      </c>
      <c r="U85" s="59">
        <f t="shared" si="7"/>
        <v>-1</v>
      </c>
      <c r="V85" s="55">
        <f t="shared" si="8"/>
        <v>13311</v>
      </c>
    </row>
    <row r="86" spans="1:24" ht="14.4" customHeight="1">
      <c r="A86" s="176">
        <v>69</v>
      </c>
      <c r="B86" s="178" t="s">
        <v>550</v>
      </c>
      <c r="C86" s="271" t="s">
        <v>551</v>
      </c>
      <c r="D86" s="177">
        <v>46002</v>
      </c>
      <c r="E86" s="178" t="s">
        <v>552</v>
      </c>
      <c r="F86" s="271" t="s">
        <v>553</v>
      </c>
      <c r="G86" s="178" t="s">
        <v>554</v>
      </c>
      <c r="H86" s="366">
        <v>555556</v>
      </c>
      <c r="I86" s="176">
        <v>8</v>
      </c>
      <c r="J86" s="366">
        <v>44444</v>
      </c>
      <c r="K86" s="178" t="s">
        <v>261</v>
      </c>
      <c r="L86" s="178" t="s">
        <v>252</v>
      </c>
      <c r="M86" s="271" t="s">
        <v>471</v>
      </c>
      <c r="N86" s="177">
        <v>46229</v>
      </c>
      <c r="O86" s="177">
        <v>46229</v>
      </c>
      <c r="P86" s="366">
        <v>600000</v>
      </c>
      <c r="Q86" s="176" t="s">
        <v>248</v>
      </c>
      <c r="R86" s="176" t="s">
        <v>434</v>
      </c>
      <c r="S86" s="178" t="s">
        <v>253</v>
      </c>
      <c r="T86" s="57" t="str">
        <f t="shared" si="6"/>
        <v>Đ</v>
      </c>
      <c r="U86" s="59">
        <f t="shared" si="7"/>
        <v>0</v>
      </c>
      <c r="V86" s="55">
        <f t="shared" si="8"/>
        <v>13311</v>
      </c>
    </row>
    <row r="87" spans="1:24" ht="14.4" customHeight="1">
      <c r="A87" s="176">
        <v>70</v>
      </c>
      <c r="B87" s="178" t="s">
        <v>481</v>
      </c>
      <c r="C87" s="271" t="s">
        <v>555</v>
      </c>
      <c r="D87" s="177">
        <v>46002</v>
      </c>
      <c r="E87" s="178" t="s">
        <v>483</v>
      </c>
      <c r="F87" s="271" t="s">
        <v>484</v>
      </c>
      <c r="G87" s="178" t="s">
        <v>470</v>
      </c>
      <c r="H87" s="366">
        <v>378889</v>
      </c>
      <c r="I87" s="176">
        <v>8</v>
      </c>
      <c r="J87" s="366">
        <v>30311</v>
      </c>
      <c r="K87" s="178" t="s">
        <v>261</v>
      </c>
      <c r="L87" s="178" t="s">
        <v>252</v>
      </c>
      <c r="M87" s="271" t="s">
        <v>471</v>
      </c>
      <c r="N87" s="177">
        <v>46229</v>
      </c>
      <c r="O87" s="177">
        <v>46229</v>
      </c>
      <c r="P87" s="366">
        <v>409200</v>
      </c>
      <c r="Q87" s="176" t="s">
        <v>248</v>
      </c>
      <c r="R87" s="176" t="s">
        <v>434</v>
      </c>
      <c r="S87" s="178" t="s">
        <v>253</v>
      </c>
      <c r="T87" s="57" t="str">
        <f t="shared" si="6"/>
        <v>Đ</v>
      </c>
      <c r="U87" s="59">
        <f t="shared" si="7"/>
        <v>0</v>
      </c>
      <c r="V87" s="55">
        <f t="shared" si="8"/>
        <v>13311</v>
      </c>
    </row>
    <row r="88" spans="1:24" ht="15.65" customHeight="1">
      <c r="A88" s="176">
        <v>71</v>
      </c>
      <c r="B88" s="178" t="s">
        <v>481</v>
      </c>
      <c r="C88" s="271" t="s">
        <v>556</v>
      </c>
      <c r="D88" s="177">
        <v>46002</v>
      </c>
      <c r="E88" s="178" t="s">
        <v>483</v>
      </c>
      <c r="F88" s="271" t="s">
        <v>484</v>
      </c>
      <c r="G88" s="178" t="s">
        <v>470</v>
      </c>
      <c r="H88" s="366">
        <v>378889</v>
      </c>
      <c r="I88" s="176">
        <v>8</v>
      </c>
      <c r="J88" s="366">
        <v>30311</v>
      </c>
      <c r="K88" s="178" t="s">
        <v>261</v>
      </c>
      <c r="L88" s="178" t="s">
        <v>252</v>
      </c>
      <c r="M88" s="271" t="s">
        <v>471</v>
      </c>
      <c r="N88" s="177">
        <v>46229</v>
      </c>
      <c r="O88" s="177">
        <v>46229</v>
      </c>
      <c r="P88" s="366">
        <v>409200</v>
      </c>
      <c r="Q88" s="176" t="s">
        <v>248</v>
      </c>
      <c r="R88" s="176" t="s">
        <v>434</v>
      </c>
      <c r="S88" s="178" t="s">
        <v>253</v>
      </c>
      <c r="T88" s="57" t="str">
        <f t="shared" si="6"/>
        <v>Đ</v>
      </c>
      <c r="U88" s="59">
        <f t="shared" si="7"/>
        <v>0</v>
      </c>
      <c r="V88" s="55">
        <f t="shared" si="8"/>
        <v>13311</v>
      </c>
    </row>
    <row r="89" spans="1:24" ht="15.65" customHeight="1">
      <c r="A89" s="176">
        <v>72</v>
      </c>
      <c r="B89" s="178" t="s">
        <v>481</v>
      </c>
      <c r="C89" s="271" t="s">
        <v>557</v>
      </c>
      <c r="D89" s="177">
        <v>46002</v>
      </c>
      <c r="E89" s="178" t="s">
        <v>483</v>
      </c>
      <c r="F89" s="271" t="s">
        <v>484</v>
      </c>
      <c r="G89" s="178" t="s">
        <v>470</v>
      </c>
      <c r="H89" s="366">
        <v>2016667</v>
      </c>
      <c r="I89" s="176">
        <v>8</v>
      </c>
      <c r="J89" s="366">
        <v>161333</v>
      </c>
      <c r="K89" s="178" t="s">
        <v>261</v>
      </c>
      <c r="L89" s="178" t="s">
        <v>252</v>
      </c>
      <c r="M89" s="271" t="s">
        <v>471</v>
      </c>
      <c r="N89" s="177">
        <v>46229</v>
      </c>
      <c r="O89" s="177">
        <v>46229</v>
      </c>
      <c r="P89" s="366">
        <v>2178000</v>
      </c>
      <c r="Q89" s="176" t="s">
        <v>248</v>
      </c>
      <c r="R89" s="176" t="s">
        <v>434</v>
      </c>
      <c r="S89" s="178" t="s">
        <v>253</v>
      </c>
      <c r="T89" s="57" t="str">
        <f t="shared" si="6"/>
        <v>Đ</v>
      </c>
      <c r="U89" s="59">
        <f t="shared" si="7"/>
        <v>0</v>
      </c>
      <c r="V89" s="55">
        <f t="shared" si="8"/>
        <v>13311</v>
      </c>
    </row>
    <row r="90" spans="1:24" ht="15.65" customHeight="1">
      <c r="A90" s="176">
        <v>73</v>
      </c>
      <c r="B90" s="178" t="s">
        <v>481</v>
      </c>
      <c r="C90" s="271" t="s">
        <v>558</v>
      </c>
      <c r="D90" s="177">
        <v>45973</v>
      </c>
      <c r="E90" s="178" t="s">
        <v>483</v>
      </c>
      <c r="F90" s="271" t="s">
        <v>484</v>
      </c>
      <c r="G90" s="178" t="s">
        <v>470</v>
      </c>
      <c r="H90" s="366">
        <v>472454</v>
      </c>
      <c r="I90" s="176">
        <v>8</v>
      </c>
      <c r="J90" s="366">
        <v>37796</v>
      </c>
      <c r="K90" s="178" t="s">
        <v>261</v>
      </c>
      <c r="L90" s="178" t="s">
        <v>252</v>
      </c>
      <c r="M90" s="271" t="s">
        <v>471</v>
      </c>
      <c r="N90" s="177">
        <v>46229</v>
      </c>
      <c r="O90" s="177">
        <v>46229</v>
      </c>
      <c r="P90" s="366">
        <v>510250</v>
      </c>
      <c r="Q90" s="176" t="s">
        <v>248</v>
      </c>
      <c r="R90" s="176" t="s">
        <v>434</v>
      </c>
      <c r="S90" s="178" t="s">
        <v>253</v>
      </c>
      <c r="T90" s="57" t="str">
        <f t="shared" si="6"/>
        <v>Đ</v>
      </c>
      <c r="U90" s="59">
        <f t="shared" si="7"/>
        <v>0</v>
      </c>
      <c r="V90" s="55">
        <f t="shared" si="8"/>
        <v>13311</v>
      </c>
    </row>
    <row r="91" spans="1:24" s="62" customFormat="1" ht="15.65" customHeight="1">
      <c r="A91" s="176">
        <v>74</v>
      </c>
      <c r="B91" s="178" t="s">
        <v>466</v>
      </c>
      <c r="C91" s="271" t="s">
        <v>559</v>
      </c>
      <c r="D91" s="177">
        <v>46003</v>
      </c>
      <c r="E91" s="178" t="s">
        <v>468</v>
      </c>
      <c r="F91" s="271" t="s">
        <v>469</v>
      </c>
      <c r="G91" s="178" t="s">
        <v>470</v>
      </c>
      <c r="H91" s="366">
        <v>974722</v>
      </c>
      <c r="I91" s="176">
        <v>8</v>
      </c>
      <c r="J91" s="366">
        <v>77978</v>
      </c>
      <c r="K91" s="178" t="s">
        <v>261</v>
      </c>
      <c r="L91" s="178" t="s">
        <v>252</v>
      </c>
      <c r="M91" s="271" t="s">
        <v>471</v>
      </c>
      <c r="N91" s="177">
        <v>46229</v>
      </c>
      <c r="O91" s="177">
        <v>46229</v>
      </c>
      <c r="P91" s="366">
        <v>1052700</v>
      </c>
      <c r="Q91" s="176" t="s">
        <v>248</v>
      </c>
      <c r="R91" s="176" t="s">
        <v>434</v>
      </c>
      <c r="S91" s="178" t="s">
        <v>253</v>
      </c>
      <c r="T91" s="57" t="str">
        <f t="shared" si="6"/>
        <v>Đ</v>
      </c>
      <c r="U91" s="59">
        <f t="shared" si="7"/>
        <v>0</v>
      </c>
      <c r="V91" s="55">
        <f t="shared" si="8"/>
        <v>13311</v>
      </c>
      <c r="W91" s="64"/>
      <c r="X91" s="64"/>
    </row>
    <row r="92" spans="1:24" ht="14.4" customHeight="1">
      <c r="A92" s="176">
        <v>75</v>
      </c>
      <c r="B92" s="178" t="s">
        <v>466</v>
      </c>
      <c r="C92" s="271" t="s">
        <v>560</v>
      </c>
      <c r="D92" s="177">
        <v>46003</v>
      </c>
      <c r="E92" s="178" t="s">
        <v>468</v>
      </c>
      <c r="F92" s="271" t="s">
        <v>469</v>
      </c>
      <c r="G92" s="178" t="s">
        <v>470</v>
      </c>
      <c r="H92" s="366">
        <v>371852</v>
      </c>
      <c r="I92" s="176">
        <v>8</v>
      </c>
      <c r="J92" s="366">
        <v>29748</v>
      </c>
      <c r="K92" s="178" t="s">
        <v>261</v>
      </c>
      <c r="L92" s="178" t="s">
        <v>252</v>
      </c>
      <c r="M92" s="271" t="s">
        <v>471</v>
      </c>
      <c r="N92" s="177">
        <v>46229</v>
      </c>
      <c r="O92" s="177">
        <v>46229</v>
      </c>
      <c r="P92" s="366">
        <v>401600</v>
      </c>
      <c r="Q92" s="176" t="s">
        <v>248</v>
      </c>
      <c r="R92" s="176" t="s">
        <v>434</v>
      </c>
      <c r="S92" s="178" t="s">
        <v>253</v>
      </c>
      <c r="T92" s="57" t="str">
        <f t="shared" si="6"/>
        <v>Đ</v>
      </c>
      <c r="U92" s="59">
        <f t="shared" si="7"/>
        <v>0</v>
      </c>
      <c r="V92" s="55">
        <f t="shared" si="8"/>
        <v>13311</v>
      </c>
    </row>
    <row r="93" spans="1:24" ht="14.4" customHeight="1">
      <c r="A93" s="176">
        <v>76</v>
      </c>
      <c r="B93" s="178" t="s">
        <v>473</v>
      </c>
      <c r="C93" s="271" t="s">
        <v>561</v>
      </c>
      <c r="D93" s="177">
        <v>46003</v>
      </c>
      <c r="E93" s="178" t="s">
        <v>475</v>
      </c>
      <c r="F93" s="271" t="s">
        <v>476</v>
      </c>
      <c r="G93" s="178" t="s">
        <v>470</v>
      </c>
      <c r="H93" s="366">
        <v>613556</v>
      </c>
      <c r="I93" s="176">
        <v>8</v>
      </c>
      <c r="J93" s="366">
        <v>49084</v>
      </c>
      <c r="K93" s="178" t="s">
        <v>261</v>
      </c>
      <c r="L93" s="178" t="s">
        <v>252</v>
      </c>
      <c r="M93" s="271" t="s">
        <v>471</v>
      </c>
      <c r="N93" s="177">
        <v>46229</v>
      </c>
      <c r="O93" s="177">
        <v>46229</v>
      </c>
      <c r="P93" s="366">
        <v>662640</v>
      </c>
      <c r="Q93" s="176" t="s">
        <v>248</v>
      </c>
      <c r="R93" s="176" t="s">
        <v>434</v>
      </c>
      <c r="S93" s="178" t="s">
        <v>253</v>
      </c>
      <c r="T93" s="57" t="str">
        <f t="shared" si="6"/>
        <v>Đ</v>
      </c>
      <c r="U93" s="59">
        <f t="shared" si="7"/>
        <v>0</v>
      </c>
      <c r="V93" s="55">
        <f t="shared" si="8"/>
        <v>13311</v>
      </c>
    </row>
    <row r="94" spans="1:24" ht="14.4" customHeight="1">
      <c r="A94" s="176">
        <v>77</v>
      </c>
      <c r="B94" s="178" t="s">
        <v>473</v>
      </c>
      <c r="C94" s="271" t="s">
        <v>562</v>
      </c>
      <c r="D94" s="177">
        <v>46003</v>
      </c>
      <c r="E94" s="178" t="s">
        <v>475</v>
      </c>
      <c r="F94" s="271" t="s">
        <v>476</v>
      </c>
      <c r="G94" s="178" t="s">
        <v>470</v>
      </c>
      <c r="H94" s="366">
        <v>907500</v>
      </c>
      <c r="I94" s="176">
        <v>8</v>
      </c>
      <c r="J94" s="366">
        <v>72600</v>
      </c>
      <c r="K94" s="178" t="s">
        <v>261</v>
      </c>
      <c r="L94" s="178" t="s">
        <v>252</v>
      </c>
      <c r="M94" s="271" t="s">
        <v>471</v>
      </c>
      <c r="N94" s="177">
        <v>46229</v>
      </c>
      <c r="O94" s="177">
        <v>46229</v>
      </c>
      <c r="P94" s="366">
        <v>980100</v>
      </c>
      <c r="Q94" s="176" t="s">
        <v>248</v>
      </c>
      <c r="R94" s="176" t="s">
        <v>434</v>
      </c>
      <c r="S94" s="178" t="s">
        <v>253</v>
      </c>
      <c r="T94" s="57" t="str">
        <f t="shared" si="6"/>
        <v>Đ</v>
      </c>
      <c r="U94" s="59">
        <f t="shared" si="7"/>
        <v>0</v>
      </c>
      <c r="V94" s="55">
        <f t="shared" si="8"/>
        <v>13311</v>
      </c>
    </row>
    <row r="95" spans="1:24" ht="14.4" customHeight="1">
      <c r="A95" s="176">
        <v>78</v>
      </c>
      <c r="B95" s="178" t="s">
        <v>473</v>
      </c>
      <c r="C95" s="271" t="s">
        <v>563</v>
      </c>
      <c r="D95" s="177">
        <v>46003</v>
      </c>
      <c r="E95" s="178" t="s">
        <v>475</v>
      </c>
      <c r="F95" s="271" t="s">
        <v>476</v>
      </c>
      <c r="G95" s="178" t="s">
        <v>470</v>
      </c>
      <c r="H95" s="366">
        <v>1580370</v>
      </c>
      <c r="I95" s="176">
        <v>8</v>
      </c>
      <c r="J95" s="366">
        <v>126430</v>
      </c>
      <c r="K95" s="178" t="s">
        <v>261</v>
      </c>
      <c r="L95" s="178" t="s">
        <v>252</v>
      </c>
      <c r="M95" s="271" t="s">
        <v>471</v>
      </c>
      <c r="N95" s="177">
        <v>46229</v>
      </c>
      <c r="O95" s="177">
        <v>46229</v>
      </c>
      <c r="P95" s="366">
        <v>1706800</v>
      </c>
      <c r="Q95" s="176" t="s">
        <v>248</v>
      </c>
      <c r="R95" s="176" t="s">
        <v>434</v>
      </c>
      <c r="S95" s="178" t="s">
        <v>253</v>
      </c>
      <c r="T95" s="57" t="str">
        <f t="shared" si="6"/>
        <v>Đ</v>
      </c>
      <c r="U95" s="59">
        <f t="shared" si="7"/>
        <v>0</v>
      </c>
      <c r="V95" s="55">
        <f t="shared" si="8"/>
        <v>13311</v>
      </c>
    </row>
    <row r="96" spans="1:24" ht="14.4" customHeight="1">
      <c r="A96" s="176">
        <v>79</v>
      </c>
      <c r="B96" s="178" t="s">
        <v>473</v>
      </c>
      <c r="C96" s="271" t="s">
        <v>564</v>
      </c>
      <c r="D96" s="177">
        <v>46003</v>
      </c>
      <c r="E96" s="178" t="s">
        <v>475</v>
      </c>
      <c r="F96" s="271" t="s">
        <v>476</v>
      </c>
      <c r="G96" s="178" t="s">
        <v>470</v>
      </c>
      <c r="H96" s="366">
        <v>836667</v>
      </c>
      <c r="I96" s="176">
        <v>8</v>
      </c>
      <c r="J96" s="366">
        <v>66933</v>
      </c>
      <c r="K96" s="178" t="s">
        <v>261</v>
      </c>
      <c r="L96" s="178" t="s">
        <v>252</v>
      </c>
      <c r="M96" s="271" t="s">
        <v>471</v>
      </c>
      <c r="N96" s="177">
        <v>46229</v>
      </c>
      <c r="O96" s="177">
        <v>46229</v>
      </c>
      <c r="P96" s="366">
        <v>903600</v>
      </c>
      <c r="Q96" s="176" t="s">
        <v>248</v>
      </c>
      <c r="R96" s="176" t="s">
        <v>434</v>
      </c>
      <c r="S96" s="178" t="s">
        <v>253</v>
      </c>
      <c r="T96" s="57" t="str">
        <f t="shared" si="6"/>
        <v>Đ</v>
      </c>
      <c r="U96" s="59">
        <f t="shared" si="7"/>
        <v>0</v>
      </c>
      <c r="V96" s="55">
        <f t="shared" si="8"/>
        <v>13311</v>
      </c>
    </row>
    <row r="97" spans="1:22" ht="14.4" customHeight="1">
      <c r="A97" s="176">
        <v>80</v>
      </c>
      <c r="B97" s="178" t="s">
        <v>565</v>
      </c>
      <c r="C97" s="271" t="s">
        <v>566</v>
      </c>
      <c r="D97" s="177">
        <v>46003</v>
      </c>
      <c r="E97" s="178" t="s">
        <v>567</v>
      </c>
      <c r="F97" s="271" t="s">
        <v>568</v>
      </c>
      <c r="G97" s="178" t="s">
        <v>569</v>
      </c>
      <c r="H97" s="366">
        <v>3000000</v>
      </c>
      <c r="I97" s="176">
        <v>8</v>
      </c>
      <c r="J97" s="366">
        <v>240000</v>
      </c>
      <c r="K97" s="178" t="s">
        <v>261</v>
      </c>
      <c r="L97" s="178" t="s">
        <v>252</v>
      </c>
      <c r="M97" s="271" t="s">
        <v>471</v>
      </c>
      <c r="N97" s="177">
        <v>46229</v>
      </c>
      <c r="O97" s="177">
        <v>46229</v>
      </c>
      <c r="P97" s="366">
        <v>3240000</v>
      </c>
      <c r="Q97" s="176" t="s">
        <v>248</v>
      </c>
      <c r="R97" s="176" t="s">
        <v>434</v>
      </c>
      <c r="S97" s="178" t="s">
        <v>253</v>
      </c>
      <c r="T97" s="57" t="str">
        <f t="shared" si="6"/>
        <v>Đ</v>
      </c>
      <c r="U97" s="59">
        <f t="shared" si="7"/>
        <v>0</v>
      </c>
      <c r="V97" s="55">
        <f t="shared" si="8"/>
        <v>13311</v>
      </c>
    </row>
    <row r="98" spans="1:22" s="62" customFormat="1" ht="14.4" customHeight="1">
      <c r="A98" s="176">
        <v>81</v>
      </c>
      <c r="B98" s="178" t="s">
        <v>570</v>
      </c>
      <c r="C98" s="271" t="s">
        <v>571</v>
      </c>
      <c r="D98" s="177">
        <v>46003</v>
      </c>
      <c r="E98" s="178" t="s">
        <v>572</v>
      </c>
      <c r="F98" s="271" t="s">
        <v>573</v>
      </c>
      <c r="G98" s="178" t="s">
        <v>470</v>
      </c>
      <c r="H98" s="366">
        <v>1079750</v>
      </c>
      <c r="I98" s="176">
        <v>8</v>
      </c>
      <c r="J98" s="366">
        <v>86380</v>
      </c>
      <c r="K98" s="178" t="s">
        <v>261</v>
      </c>
      <c r="L98" s="178" t="s">
        <v>252</v>
      </c>
      <c r="M98" s="271" t="s">
        <v>471</v>
      </c>
      <c r="N98" s="177">
        <v>46229</v>
      </c>
      <c r="O98" s="177">
        <v>46229</v>
      </c>
      <c r="P98" s="366">
        <v>1166130</v>
      </c>
      <c r="Q98" s="176" t="s">
        <v>248</v>
      </c>
      <c r="R98" s="176" t="s">
        <v>434</v>
      </c>
      <c r="S98" s="178" t="s">
        <v>253</v>
      </c>
      <c r="T98" s="57" t="str">
        <f t="shared" si="6"/>
        <v>Đ</v>
      </c>
      <c r="U98" s="59">
        <f t="shared" si="7"/>
        <v>0</v>
      </c>
      <c r="V98" s="55">
        <f t="shared" si="8"/>
        <v>13311</v>
      </c>
    </row>
    <row r="99" spans="1:22" ht="14.4" customHeight="1">
      <c r="A99" s="176">
        <v>82</v>
      </c>
      <c r="B99" s="178" t="s">
        <v>574</v>
      </c>
      <c r="C99" s="271" t="s">
        <v>575</v>
      </c>
      <c r="D99" s="177">
        <v>46003</v>
      </c>
      <c r="E99" s="178" t="s">
        <v>576</v>
      </c>
      <c r="F99" s="271" t="s">
        <v>577</v>
      </c>
      <c r="G99" s="178" t="s">
        <v>578</v>
      </c>
      <c r="H99" s="366">
        <v>4583333</v>
      </c>
      <c r="I99" s="176">
        <v>8</v>
      </c>
      <c r="J99" s="366">
        <v>366667</v>
      </c>
      <c r="K99" s="178" t="s">
        <v>261</v>
      </c>
      <c r="L99" s="178" t="s">
        <v>252</v>
      </c>
      <c r="M99" s="271" t="s">
        <v>471</v>
      </c>
      <c r="N99" s="177">
        <v>46229</v>
      </c>
      <c r="O99" s="177">
        <v>46229</v>
      </c>
      <c r="P99" s="366">
        <v>4950000</v>
      </c>
      <c r="Q99" s="176" t="s">
        <v>248</v>
      </c>
      <c r="R99" s="176" t="s">
        <v>434</v>
      </c>
      <c r="S99" s="178" t="s">
        <v>253</v>
      </c>
      <c r="T99" s="57" t="str">
        <f t="shared" si="6"/>
        <v>Đ</v>
      </c>
      <c r="U99" s="59">
        <f t="shared" si="7"/>
        <v>0</v>
      </c>
      <c r="V99" s="55">
        <f t="shared" si="8"/>
        <v>13311</v>
      </c>
    </row>
    <row r="100" spans="1:22" ht="14.4" customHeight="1">
      <c r="A100" s="176">
        <v>83</v>
      </c>
      <c r="B100" s="178" t="s">
        <v>481</v>
      </c>
      <c r="C100" s="271" t="s">
        <v>579</v>
      </c>
      <c r="D100" s="177">
        <v>46003</v>
      </c>
      <c r="E100" s="178" t="s">
        <v>483</v>
      </c>
      <c r="F100" s="271" t="s">
        <v>484</v>
      </c>
      <c r="G100" s="178" t="s">
        <v>470</v>
      </c>
      <c r="H100" s="366">
        <v>2352778</v>
      </c>
      <c r="I100" s="176">
        <v>8</v>
      </c>
      <c r="J100" s="366">
        <v>188222</v>
      </c>
      <c r="K100" s="178" t="s">
        <v>261</v>
      </c>
      <c r="L100" s="178" t="s">
        <v>252</v>
      </c>
      <c r="M100" s="271" t="s">
        <v>471</v>
      </c>
      <c r="N100" s="177">
        <v>46229</v>
      </c>
      <c r="O100" s="177">
        <v>46229</v>
      </c>
      <c r="P100" s="366">
        <v>2541000</v>
      </c>
      <c r="Q100" s="176" t="s">
        <v>248</v>
      </c>
      <c r="R100" s="176" t="s">
        <v>434</v>
      </c>
      <c r="S100" s="178" t="s">
        <v>253</v>
      </c>
      <c r="T100" s="57" t="str">
        <f t="shared" si="6"/>
        <v>Đ</v>
      </c>
      <c r="U100" s="59">
        <f t="shared" si="7"/>
        <v>0</v>
      </c>
      <c r="V100" s="55">
        <f t="shared" si="8"/>
        <v>13311</v>
      </c>
    </row>
    <row r="101" spans="1:22" ht="14.4" customHeight="1">
      <c r="A101" s="176">
        <v>84</v>
      </c>
      <c r="B101" s="178" t="s">
        <v>466</v>
      </c>
      <c r="C101" s="271" t="s">
        <v>580</v>
      </c>
      <c r="D101" s="177">
        <v>46004</v>
      </c>
      <c r="E101" s="178" t="s">
        <v>468</v>
      </c>
      <c r="F101" s="271" t="s">
        <v>469</v>
      </c>
      <c r="G101" s="178" t="s">
        <v>470</v>
      </c>
      <c r="H101" s="366">
        <v>371852</v>
      </c>
      <c r="I101" s="176">
        <v>8</v>
      </c>
      <c r="J101" s="366">
        <v>29748</v>
      </c>
      <c r="K101" s="178" t="s">
        <v>261</v>
      </c>
      <c r="L101" s="178" t="s">
        <v>252</v>
      </c>
      <c r="M101" s="271" t="s">
        <v>471</v>
      </c>
      <c r="N101" s="177">
        <v>46229</v>
      </c>
      <c r="O101" s="177">
        <v>46229</v>
      </c>
      <c r="P101" s="366">
        <v>401600</v>
      </c>
      <c r="Q101" s="176" t="s">
        <v>248</v>
      </c>
      <c r="R101" s="176" t="s">
        <v>434</v>
      </c>
      <c r="S101" s="178" t="s">
        <v>253</v>
      </c>
      <c r="T101" s="57" t="str">
        <f t="shared" si="6"/>
        <v>Đ</v>
      </c>
      <c r="U101" s="59">
        <f t="shared" si="7"/>
        <v>0</v>
      </c>
      <c r="V101" s="55">
        <f t="shared" si="8"/>
        <v>13311</v>
      </c>
    </row>
    <row r="102" spans="1:22" ht="14.4" customHeight="1">
      <c r="A102" s="176">
        <v>85</v>
      </c>
      <c r="B102" s="178" t="s">
        <v>473</v>
      </c>
      <c r="C102" s="271" t="s">
        <v>581</v>
      </c>
      <c r="D102" s="177">
        <v>46004</v>
      </c>
      <c r="E102" s="178" t="s">
        <v>475</v>
      </c>
      <c r="F102" s="271" t="s">
        <v>476</v>
      </c>
      <c r="G102" s="178" t="s">
        <v>470</v>
      </c>
      <c r="H102" s="366">
        <v>1848611</v>
      </c>
      <c r="I102" s="176">
        <v>8</v>
      </c>
      <c r="J102" s="366">
        <v>147889</v>
      </c>
      <c r="K102" s="178" t="s">
        <v>261</v>
      </c>
      <c r="L102" s="178" t="s">
        <v>252</v>
      </c>
      <c r="M102" s="271" t="s">
        <v>471</v>
      </c>
      <c r="N102" s="177">
        <v>46229</v>
      </c>
      <c r="O102" s="177">
        <v>46229</v>
      </c>
      <c r="P102" s="366">
        <v>1996500</v>
      </c>
      <c r="Q102" s="176" t="s">
        <v>248</v>
      </c>
      <c r="R102" s="176" t="s">
        <v>434</v>
      </c>
      <c r="S102" s="178" t="s">
        <v>253</v>
      </c>
      <c r="T102" s="57" t="str">
        <f t="shared" si="6"/>
        <v>Đ</v>
      </c>
      <c r="U102" s="59">
        <f t="shared" si="7"/>
        <v>0</v>
      </c>
      <c r="V102" s="55">
        <f t="shared" si="8"/>
        <v>13311</v>
      </c>
    </row>
    <row r="103" spans="1:22" ht="14.4" customHeight="1">
      <c r="A103" s="176">
        <v>86</v>
      </c>
      <c r="B103" s="178" t="s">
        <v>473</v>
      </c>
      <c r="C103" s="271" t="s">
        <v>582</v>
      </c>
      <c r="D103" s="177">
        <v>46004</v>
      </c>
      <c r="E103" s="178" t="s">
        <v>475</v>
      </c>
      <c r="F103" s="271" t="s">
        <v>476</v>
      </c>
      <c r="G103" s="178" t="s">
        <v>470</v>
      </c>
      <c r="H103" s="366">
        <v>1543185</v>
      </c>
      <c r="I103" s="176">
        <v>8</v>
      </c>
      <c r="J103" s="366">
        <v>123455</v>
      </c>
      <c r="K103" s="178" t="s">
        <v>261</v>
      </c>
      <c r="L103" s="178" t="s">
        <v>252</v>
      </c>
      <c r="M103" s="271" t="s">
        <v>471</v>
      </c>
      <c r="N103" s="177">
        <v>46229</v>
      </c>
      <c r="O103" s="177">
        <v>46229</v>
      </c>
      <c r="P103" s="366">
        <v>1666640</v>
      </c>
      <c r="Q103" s="176" t="s">
        <v>248</v>
      </c>
      <c r="R103" s="176" t="s">
        <v>434</v>
      </c>
      <c r="S103" s="178" t="s">
        <v>253</v>
      </c>
      <c r="T103" s="57" t="str">
        <f t="shared" si="6"/>
        <v>Đ</v>
      </c>
      <c r="U103" s="59">
        <f t="shared" si="7"/>
        <v>0</v>
      </c>
      <c r="V103" s="55">
        <f t="shared" si="8"/>
        <v>13311</v>
      </c>
    </row>
    <row r="104" spans="1:22" ht="14.4" customHeight="1">
      <c r="A104" s="176">
        <v>87</v>
      </c>
      <c r="B104" s="178" t="s">
        <v>481</v>
      </c>
      <c r="C104" s="271" t="s">
        <v>583</v>
      </c>
      <c r="D104" s="177">
        <v>46004</v>
      </c>
      <c r="E104" s="178" t="s">
        <v>483</v>
      </c>
      <c r="F104" s="271" t="s">
        <v>484</v>
      </c>
      <c r="G104" s="178" t="s">
        <v>470</v>
      </c>
      <c r="H104" s="366">
        <v>3361111</v>
      </c>
      <c r="I104" s="176">
        <v>8</v>
      </c>
      <c r="J104" s="366">
        <v>268889</v>
      </c>
      <c r="K104" s="178" t="s">
        <v>261</v>
      </c>
      <c r="L104" s="178" t="s">
        <v>252</v>
      </c>
      <c r="M104" s="271" t="s">
        <v>471</v>
      </c>
      <c r="N104" s="177">
        <v>46229</v>
      </c>
      <c r="O104" s="177">
        <v>46229</v>
      </c>
      <c r="P104" s="366">
        <v>3630000</v>
      </c>
      <c r="Q104" s="176" t="s">
        <v>248</v>
      </c>
      <c r="R104" s="176" t="s">
        <v>434</v>
      </c>
      <c r="S104" s="178" t="s">
        <v>253</v>
      </c>
      <c r="T104" s="57" t="str">
        <f t="shared" si="6"/>
        <v>Đ</v>
      </c>
      <c r="U104" s="59">
        <f t="shared" si="7"/>
        <v>0</v>
      </c>
      <c r="V104" s="55">
        <f t="shared" si="8"/>
        <v>13311</v>
      </c>
    </row>
    <row r="105" spans="1:22" ht="14.4" customHeight="1">
      <c r="A105" s="176">
        <v>88</v>
      </c>
      <c r="B105" s="178" t="s">
        <v>466</v>
      </c>
      <c r="C105" s="271" t="s">
        <v>584</v>
      </c>
      <c r="D105" s="177">
        <v>46005</v>
      </c>
      <c r="E105" s="178" t="s">
        <v>468</v>
      </c>
      <c r="F105" s="271" t="s">
        <v>469</v>
      </c>
      <c r="G105" s="178" t="s">
        <v>470</v>
      </c>
      <c r="H105" s="366">
        <v>278889</v>
      </c>
      <c r="I105" s="176">
        <v>8</v>
      </c>
      <c r="J105" s="366">
        <v>22311</v>
      </c>
      <c r="K105" s="178" t="s">
        <v>261</v>
      </c>
      <c r="L105" s="178" t="s">
        <v>252</v>
      </c>
      <c r="M105" s="271" t="s">
        <v>471</v>
      </c>
      <c r="N105" s="177">
        <v>46229</v>
      </c>
      <c r="O105" s="177">
        <v>46229</v>
      </c>
      <c r="P105" s="366">
        <v>301200</v>
      </c>
      <c r="Q105" s="176" t="s">
        <v>248</v>
      </c>
      <c r="R105" s="176" t="s">
        <v>434</v>
      </c>
      <c r="S105" s="178" t="s">
        <v>253</v>
      </c>
      <c r="T105" s="57" t="str">
        <f t="shared" si="6"/>
        <v>Đ</v>
      </c>
      <c r="U105" s="59">
        <f t="shared" si="7"/>
        <v>0</v>
      </c>
      <c r="V105" s="55">
        <f t="shared" si="8"/>
        <v>13311</v>
      </c>
    </row>
    <row r="106" spans="1:22" ht="14.4" customHeight="1">
      <c r="A106" s="176">
        <v>89</v>
      </c>
      <c r="B106" s="178" t="s">
        <v>473</v>
      </c>
      <c r="C106" s="271" t="s">
        <v>585</v>
      </c>
      <c r="D106" s="177">
        <v>46005</v>
      </c>
      <c r="E106" s="178" t="s">
        <v>475</v>
      </c>
      <c r="F106" s="271" t="s">
        <v>476</v>
      </c>
      <c r="G106" s="178" t="s">
        <v>470</v>
      </c>
      <c r="H106" s="366">
        <v>1092361</v>
      </c>
      <c r="I106" s="176">
        <v>8</v>
      </c>
      <c r="J106" s="366">
        <v>87389</v>
      </c>
      <c r="K106" s="178" t="s">
        <v>261</v>
      </c>
      <c r="L106" s="178" t="s">
        <v>252</v>
      </c>
      <c r="M106" s="271" t="s">
        <v>471</v>
      </c>
      <c r="N106" s="177">
        <v>46229</v>
      </c>
      <c r="O106" s="177">
        <v>46229</v>
      </c>
      <c r="P106" s="366">
        <v>1179750</v>
      </c>
      <c r="Q106" s="176" t="s">
        <v>248</v>
      </c>
      <c r="R106" s="176" t="s">
        <v>434</v>
      </c>
      <c r="S106" s="178" t="s">
        <v>253</v>
      </c>
      <c r="T106" s="57" t="str">
        <f t="shared" si="6"/>
        <v>Đ</v>
      </c>
      <c r="U106" s="59">
        <f t="shared" si="7"/>
        <v>0</v>
      </c>
      <c r="V106" s="55">
        <f t="shared" si="8"/>
        <v>13311</v>
      </c>
    </row>
    <row r="107" spans="1:22" ht="14.4" customHeight="1">
      <c r="A107" s="176">
        <v>90</v>
      </c>
      <c r="B107" s="178" t="s">
        <v>481</v>
      </c>
      <c r="C107" s="271" t="s">
        <v>586</v>
      </c>
      <c r="D107" s="177">
        <v>46005</v>
      </c>
      <c r="E107" s="178" t="s">
        <v>483</v>
      </c>
      <c r="F107" s="271" t="s">
        <v>484</v>
      </c>
      <c r="G107" s="178" t="s">
        <v>470</v>
      </c>
      <c r="H107" s="366">
        <v>371852</v>
      </c>
      <c r="I107" s="176">
        <v>8</v>
      </c>
      <c r="J107" s="366">
        <v>29748</v>
      </c>
      <c r="K107" s="178" t="s">
        <v>261</v>
      </c>
      <c r="L107" s="178" t="s">
        <v>252</v>
      </c>
      <c r="M107" s="271" t="s">
        <v>471</v>
      </c>
      <c r="N107" s="177">
        <v>46229</v>
      </c>
      <c r="O107" s="177">
        <v>46229</v>
      </c>
      <c r="P107" s="366">
        <v>401600</v>
      </c>
      <c r="Q107" s="176" t="s">
        <v>248</v>
      </c>
      <c r="R107" s="176" t="s">
        <v>434</v>
      </c>
      <c r="S107" s="178" t="s">
        <v>253</v>
      </c>
      <c r="T107" s="57" t="str">
        <f t="shared" si="6"/>
        <v>Đ</v>
      </c>
      <c r="U107" s="59">
        <f t="shared" si="7"/>
        <v>0</v>
      </c>
      <c r="V107" s="55">
        <f t="shared" si="8"/>
        <v>13311</v>
      </c>
    </row>
    <row r="108" spans="1:22" ht="14.4" customHeight="1">
      <c r="A108" s="176">
        <v>91</v>
      </c>
      <c r="B108" s="178" t="s">
        <v>481</v>
      </c>
      <c r="C108" s="271" t="s">
        <v>587</v>
      </c>
      <c r="D108" s="177">
        <v>46005</v>
      </c>
      <c r="E108" s="178" t="s">
        <v>483</v>
      </c>
      <c r="F108" s="271" t="s">
        <v>484</v>
      </c>
      <c r="G108" s="178" t="s">
        <v>470</v>
      </c>
      <c r="H108" s="366">
        <v>371852</v>
      </c>
      <c r="I108" s="176">
        <v>8</v>
      </c>
      <c r="J108" s="366">
        <v>29748</v>
      </c>
      <c r="K108" s="178" t="s">
        <v>261</v>
      </c>
      <c r="L108" s="178" t="s">
        <v>252</v>
      </c>
      <c r="M108" s="271" t="s">
        <v>471</v>
      </c>
      <c r="N108" s="177">
        <v>46229</v>
      </c>
      <c r="O108" s="177">
        <v>46229</v>
      </c>
      <c r="P108" s="366">
        <v>401600</v>
      </c>
      <c r="Q108" s="176" t="s">
        <v>248</v>
      </c>
      <c r="R108" s="176" t="s">
        <v>434</v>
      </c>
      <c r="S108" s="178" t="s">
        <v>253</v>
      </c>
      <c r="T108" s="57" t="str">
        <f t="shared" si="6"/>
        <v>Đ</v>
      </c>
      <c r="U108" s="59">
        <f t="shared" si="7"/>
        <v>0</v>
      </c>
      <c r="V108" s="55">
        <f t="shared" si="8"/>
        <v>13311</v>
      </c>
    </row>
    <row r="109" spans="1:22" ht="14.4" customHeight="1">
      <c r="A109" s="176">
        <v>92</v>
      </c>
      <c r="B109" s="178" t="s">
        <v>466</v>
      </c>
      <c r="C109" s="271" t="s">
        <v>588</v>
      </c>
      <c r="D109" s="177">
        <v>46006</v>
      </c>
      <c r="E109" s="178" t="s">
        <v>468</v>
      </c>
      <c r="F109" s="271" t="s">
        <v>469</v>
      </c>
      <c r="G109" s="178" t="s">
        <v>470</v>
      </c>
      <c r="H109" s="366">
        <v>371852</v>
      </c>
      <c r="I109" s="176">
        <v>8</v>
      </c>
      <c r="J109" s="366">
        <v>29748</v>
      </c>
      <c r="K109" s="178" t="s">
        <v>261</v>
      </c>
      <c r="L109" s="178" t="s">
        <v>252</v>
      </c>
      <c r="M109" s="271" t="s">
        <v>471</v>
      </c>
      <c r="N109" s="177">
        <v>46229</v>
      </c>
      <c r="O109" s="177">
        <v>46229</v>
      </c>
      <c r="P109" s="366">
        <v>401600</v>
      </c>
      <c r="Q109" s="176" t="s">
        <v>248</v>
      </c>
      <c r="R109" s="176" t="s">
        <v>434</v>
      </c>
      <c r="S109" s="178" t="s">
        <v>253</v>
      </c>
      <c r="T109" s="57" t="str">
        <f t="shared" si="6"/>
        <v>Đ</v>
      </c>
      <c r="U109" s="59">
        <f t="shared" si="7"/>
        <v>0</v>
      </c>
      <c r="V109" s="55">
        <f t="shared" si="8"/>
        <v>13311</v>
      </c>
    </row>
    <row r="110" spans="1:22" ht="21.65" customHeight="1">
      <c r="A110" s="176">
        <v>93</v>
      </c>
      <c r="B110" s="178" t="s">
        <v>473</v>
      </c>
      <c r="C110" s="271" t="s">
        <v>589</v>
      </c>
      <c r="D110" s="177">
        <v>46006</v>
      </c>
      <c r="E110" s="178" t="s">
        <v>475</v>
      </c>
      <c r="F110" s="271" t="s">
        <v>476</v>
      </c>
      <c r="G110" s="178" t="s">
        <v>470</v>
      </c>
      <c r="H110" s="366">
        <v>1210000</v>
      </c>
      <c r="I110" s="176">
        <v>8</v>
      </c>
      <c r="J110" s="366">
        <v>96800</v>
      </c>
      <c r="K110" s="178" t="s">
        <v>261</v>
      </c>
      <c r="L110" s="178" t="s">
        <v>252</v>
      </c>
      <c r="M110" s="271" t="s">
        <v>471</v>
      </c>
      <c r="N110" s="177">
        <v>46229</v>
      </c>
      <c r="O110" s="177">
        <v>46229</v>
      </c>
      <c r="P110" s="366">
        <v>1306800</v>
      </c>
      <c r="Q110" s="176" t="s">
        <v>248</v>
      </c>
      <c r="R110" s="176" t="s">
        <v>434</v>
      </c>
      <c r="S110" s="178" t="s">
        <v>253</v>
      </c>
      <c r="T110" s="57" t="str">
        <f t="shared" si="6"/>
        <v>Đ</v>
      </c>
      <c r="U110" s="59">
        <f t="shared" si="7"/>
        <v>0</v>
      </c>
      <c r="V110" s="55">
        <f t="shared" si="8"/>
        <v>13311</v>
      </c>
    </row>
    <row r="111" spans="1:22" ht="14.4" customHeight="1">
      <c r="A111" s="176">
        <v>94</v>
      </c>
      <c r="B111" s="178" t="s">
        <v>481</v>
      </c>
      <c r="C111" s="271" t="s">
        <v>590</v>
      </c>
      <c r="D111" s="177">
        <v>46006</v>
      </c>
      <c r="E111" s="178" t="s">
        <v>483</v>
      </c>
      <c r="F111" s="271" t="s">
        <v>484</v>
      </c>
      <c r="G111" s="178" t="s">
        <v>470</v>
      </c>
      <c r="H111" s="366">
        <v>672223</v>
      </c>
      <c r="I111" s="176">
        <v>8</v>
      </c>
      <c r="J111" s="366">
        <v>53777</v>
      </c>
      <c r="K111" s="178" t="s">
        <v>261</v>
      </c>
      <c r="L111" s="178" t="s">
        <v>252</v>
      </c>
      <c r="M111" s="271" t="s">
        <v>471</v>
      </c>
      <c r="N111" s="177">
        <v>46229</v>
      </c>
      <c r="O111" s="177">
        <v>46229</v>
      </c>
      <c r="P111" s="366">
        <v>726000</v>
      </c>
      <c r="Q111" s="176" t="s">
        <v>248</v>
      </c>
      <c r="R111" s="176" t="s">
        <v>434</v>
      </c>
      <c r="S111" s="178" t="s">
        <v>253</v>
      </c>
      <c r="T111" s="57" t="str">
        <f t="shared" si="6"/>
        <v>Đ</v>
      </c>
      <c r="U111" s="59">
        <f t="shared" si="7"/>
        <v>1</v>
      </c>
      <c r="V111" s="55">
        <f t="shared" si="8"/>
        <v>13311</v>
      </c>
    </row>
    <row r="112" spans="1:22" ht="21.65" customHeight="1">
      <c r="A112" s="176">
        <v>95</v>
      </c>
      <c r="B112" s="178" t="s">
        <v>481</v>
      </c>
      <c r="C112" s="271" t="s">
        <v>591</v>
      </c>
      <c r="D112" s="177">
        <v>46006</v>
      </c>
      <c r="E112" s="178" t="s">
        <v>483</v>
      </c>
      <c r="F112" s="271" t="s">
        <v>484</v>
      </c>
      <c r="G112" s="178" t="s">
        <v>470</v>
      </c>
      <c r="H112" s="366">
        <v>672222</v>
      </c>
      <c r="I112" s="176">
        <v>8</v>
      </c>
      <c r="J112" s="366">
        <v>53778</v>
      </c>
      <c r="K112" s="178" t="s">
        <v>261</v>
      </c>
      <c r="L112" s="178" t="s">
        <v>252</v>
      </c>
      <c r="M112" s="271" t="s">
        <v>471</v>
      </c>
      <c r="N112" s="177">
        <v>46229</v>
      </c>
      <c r="O112" s="177">
        <v>46229</v>
      </c>
      <c r="P112" s="366">
        <v>726000</v>
      </c>
      <c r="Q112" s="176" t="s">
        <v>248</v>
      </c>
      <c r="R112" s="176" t="s">
        <v>434</v>
      </c>
      <c r="S112" s="178" t="s">
        <v>253</v>
      </c>
      <c r="T112" s="57" t="str">
        <f t="shared" si="6"/>
        <v>Đ</v>
      </c>
      <c r="U112" s="59">
        <f t="shared" si="7"/>
        <v>0</v>
      </c>
      <c r="V112" s="55">
        <f t="shared" si="8"/>
        <v>13311</v>
      </c>
    </row>
    <row r="113" spans="1:22" ht="21.65" customHeight="1">
      <c r="A113" s="176">
        <v>96</v>
      </c>
      <c r="B113" s="178" t="s">
        <v>481</v>
      </c>
      <c r="C113" s="271" t="s">
        <v>592</v>
      </c>
      <c r="D113" s="177">
        <v>46006</v>
      </c>
      <c r="E113" s="178" t="s">
        <v>483</v>
      </c>
      <c r="F113" s="271" t="s">
        <v>484</v>
      </c>
      <c r="G113" s="178" t="s">
        <v>470</v>
      </c>
      <c r="H113" s="366">
        <v>3361111</v>
      </c>
      <c r="I113" s="176">
        <v>8</v>
      </c>
      <c r="J113" s="366">
        <v>268889</v>
      </c>
      <c r="K113" s="178" t="s">
        <v>261</v>
      </c>
      <c r="L113" s="178" t="s">
        <v>252</v>
      </c>
      <c r="M113" s="271" t="s">
        <v>471</v>
      </c>
      <c r="N113" s="177">
        <v>46229</v>
      </c>
      <c r="O113" s="177">
        <v>46229</v>
      </c>
      <c r="P113" s="366">
        <v>3630000</v>
      </c>
      <c r="Q113" s="176" t="s">
        <v>248</v>
      </c>
      <c r="R113" s="176" t="s">
        <v>434</v>
      </c>
      <c r="S113" s="178" t="s">
        <v>253</v>
      </c>
      <c r="T113" s="57" t="str">
        <f t="shared" si="6"/>
        <v>Đ</v>
      </c>
      <c r="U113" s="59">
        <f t="shared" si="7"/>
        <v>0</v>
      </c>
      <c r="V113" s="55">
        <f t="shared" si="8"/>
        <v>13311</v>
      </c>
    </row>
    <row r="114" spans="1:22" ht="14.4" customHeight="1">
      <c r="A114" s="176">
        <v>97</v>
      </c>
      <c r="B114" s="178" t="s">
        <v>481</v>
      </c>
      <c r="C114" s="271" t="s">
        <v>593</v>
      </c>
      <c r="D114" s="177">
        <v>45977</v>
      </c>
      <c r="E114" s="178" t="s">
        <v>483</v>
      </c>
      <c r="F114" s="271" t="s">
        <v>484</v>
      </c>
      <c r="G114" s="178" t="s">
        <v>470</v>
      </c>
      <c r="H114" s="366">
        <v>5424722</v>
      </c>
      <c r="I114" s="176">
        <v>8</v>
      </c>
      <c r="J114" s="366">
        <v>433978</v>
      </c>
      <c r="K114" s="178" t="s">
        <v>261</v>
      </c>
      <c r="L114" s="178" t="s">
        <v>252</v>
      </c>
      <c r="M114" s="271" t="s">
        <v>471</v>
      </c>
      <c r="N114" s="177">
        <v>46229</v>
      </c>
      <c r="O114" s="177">
        <v>46229</v>
      </c>
      <c r="P114" s="366">
        <v>5858700</v>
      </c>
      <c r="Q114" s="176" t="s">
        <v>248</v>
      </c>
      <c r="R114" s="176" t="s">
        <v>434</v>
      </c>
      <c r="S114" s="178" t="s">
        <v>253</v>
      </c>
      <c r="T114" s="57" t="str">
        <f t="shared" si="6"/>
        <v>Đ</v>
      </c>
      <c r="U114" s="59">
        <f t="shared" si="7"/>
        <v>0</v>
      </c>
      <c r="V114" s="55">
        <f t="shared" si="8"/>
        <v>13311</v>
      </c>
    </row>
    <row r="115" spans="1:22" ht="14.4" customHeight="1">
      <c r="A115" s="176">
        <v>98</v>
      </c>
      <c r="B115" s="178" t="s">
        <v>466</v>
      </c>
      <c r="C115" s="271" t="s">
        <v>594</v>
      </c>
      <c r="D115" s="177">
        <v>46007</v>
      </c>
      <c r="E115" s="178" t="s">
        <v>468</v>
      </c>
      <c r="F115" s="271" t="s">
        <v>469</v>
      </c>
      <c r="G115" s="178" t="s">
        <v>470</v>
      </c>
      <c r="H115" s="366">
        <v>555556</v>
      </c>
      <c r="I115" s="176">
        <v>8</v>
      </c>
      <c r="J115" s="366">
        <v>44445</v>
      </c>
      <c r="K115" s="178" t="s">
        <v>261</v>
      </c>
      <c r="L115" s="178" t="s">
        <v>252</v>
      </c>
      <c r="M115" s="271" t="s">
        <v>471</v>
      </c>
      <c r="N115" s="177">
        <v>46229</v>
      </c>
      <c r="O115" s="177">
        <v>46229</v>
      </c>
      <c r="P115" s="366">
        <v>600001</v>
      </c>
      <c r="Q115" s="176" t="s">
        <v>248</v>
      </c>
      <c r="R115" s="176" t="s">
        <v>434</v>
      </c>
      <c r="S115" s="178" t="s">
        <v>253</v>
      </c>
      <c r="T115" s="57" t="str">
        <f t="shared" si="6"/>
        <v>Đ</v>
      </c>
      <c r="U115" s="59">
        <f t="shared" si="7"/>
        <v>-1</v>
      </c>
      <c r="V115" s="55">
        <f t="shared" si="8"/>
        <v>13311</v>
      </c>
    </row>
    <row r="116" spans="1:22" ht="14.4" customHeight="1">
      <c r="A116" s="176">
        <v>99</v>
      </c>
      <c r="B116" s="178" t="s">
        <v>466</v>
      </c>
      <c r="C116" s="271" t="s">
        <v>595</v>
      </c>
      <c r="D116" s="177">
        <v>46007</v>
      </c>
      <c r="E116" s="178" t="s">
        <v>468</v>
      </c>
      <c r="F116" s="271" t="s">
        <v>469</v>
      </c>
      <c r="G116" s="178" t="s">
        <v>470</v>
      </c>
      <c r="H116" s="366">
        <v>740872</v>
      </c>
      <c r="I116" s="176">
        <v>8</v>
      </c>
      <c r="J116" s="366">
        <v>59270</v>
      </c>
      <c r="K116" s="178" t="s">
        <v>261</v>
      </c>
      <c r="L116" s="178" t="s">
        <v>252</v>
      </c>
      <c r="M116" s="271" t="s">
        <v>471</v>
      </c>
      <c r="N116" s="177">
        <v>46229</v>
      </c>
      <c r="O116" s="177">
        <v>46229</v>
      </c>
      <c r="P116" s="366">
        <v>800142</v>
      </c>
      <c r="Q116" s="176" t="s">
        <v>248</v>
      </c>
      <c r="R116" s="176" t="s">
        <v>434</v>
      </c>
      <c r="S116" s="178" t="s">
        <v>253</v>
      </c>
      <c r="T116" s="57" t="str">
        <f t="shared" si="6"/>
        <v>Đ</v>
      </c>
      <c r="U116" s="59">
        <f t="shared" si="7"/>
        <v>0</v>
      </c>
      <c r="V116" s="55">
        <f t="shared" si="8"/>
        <v>13311</v>
      </c>
    </row>
    <row r="117" spans="1:22" ht="21.5" customHeight="1">
      <c r="A117" s="176">
        <v>100</v>
      </c>
      <c r="B117" s="178" t="s">
        <v>473</v>
      </c>
      <c r="C117" s="271" t="s">
        <v>596</v>
      </c>
      <c r="D117" s="177">
        <v>46007</v>
      </c>
      <c r="E117" s="178" t="s">
        <v>475</v>
      </c>
      <c r="F117" s="271" t="s">
        <v>476</v>
      </c>
      <c r="G117" s="178" t="s">
        <v>470</v>
      </c>
      <c r="H117" s="366">
        <v>911037</v>
      </c>
      <c r="I117" s="176">
        <v>8</v>
      </c>
      <c r="J117" s="366">
        <v>72883</v>
      </c>
      <c r="K117" s="178" t="s">
        <v>261</v>
      </c>
      <c r="L117" s="178" t="s">
        <v>252</v>
      </c>
      <c r="M117" s="271" t="s">
        <v>471</v>
      </c>
      <c r="N117" s="177">
        <v>46229</v>
      </c>
      <c r="O117" s="177">
        <v>46229</v>
      </c>
      <c r="P117" s="366">
        <v>983920</v>
      </c>
      <c r="Q117" s="176" t="s">
        <v>248</v>
      </c>
      <c r="R117" s="176" t="s">
        <v>434</v>
      </c>
      <c r="S117" s="178" t="s">
        <v>253</v>
      </c>
      <c r="T117" s="57" t="str">
        <f t="shared" si="6"/>
        <v>Đ</v>
      </c>
      <c r="U117" s="59">
        <f t="shared" si="7"/>
        <v>0</v>
      </c>
      <c r="V117" s="55">
        <f t="shared" si="8"/>
        <v>13311</v>
      </c>
    </row>
    <row r="118" spans="1:22" ht="21.5" customHeight="1">
      <c r="A118" s="176">
        <v>101</v>
      </c>
      <c r="B118" s="178" t="s">
        <v>473</v>
      </c>
      <c r="C118" s="271" t="s">
        <v>597</v>
      </c>
      <c r="D118" s="177">
        <v>46007</v>
      </c>
      <c r="E118" s="178" t="s">
        <v>475</v>
      </c>
      <c r="F118" s="271" t="s">
        <v>476</v>
      </c>
      <c r="G118" s="178" t="s">
        <v>470</v>
      </c>
      <c r="H118" s="366">
        <v>390444</v>
      </c>
      <c r="I118" s="176">
        <v>8</v>
      </c>
      <c r="J118" s="366">
        <v>31236</v>
      </c>
      <c r="K118" s="178" t="s">
        <v>261</v>
      </c>
      <c r="L118" s="178" t="s">
        <v>252</v>
      </c>
      <c r="M118" s="271" t="s">
        <v>471</v>
      </c>
      <c r="N118" s="177">
        <v>46229</v>
      </c>
      <c r="O118" s="177">
        <v>46229</v>
      </c>
      <c r="P118" s="366">
        <v>421680</v>
      </c>
      <c r="Q118" s="176" t="s">
        <v>248</v>
      </c>
      <c r="R118" s="176" t="s">
        <v>434</v>
      </c>
      <c r="S118" s="178" t="s">
        <v>253</v>
      </c>
      <c r="T118" s="57" t="str">
        <f t="shared" si="6"/>
        <v>Đ</v>
      </c>
      <c r="U118" s="59">
        <f t="shared" si="7"/>
        <v>0</v>
      </c>
      <c r="V118" s="55">
        <f t="shared" si="8"/>
        <v>13311</v>
      </c>
    </row>
    <row r="119" spans="1:22" ht="14.5" customHeight="1">
      <c r="A119" s="176">
        <v>102</v>
      </c>
      <c r="B119" s="178" t="s">
        <v>481</v>
      </c>
      <c r="C119" s="271" t="s">
        <v>598</v>
      </c>
      <c r="D119" s="177">
        <v>46007</v>
      </c>
      <c r="E119" s="178" t="s">
        <v>483</v>
      </c>
      <c r="F119" s="271" t="s">
        <v>484</v>
      </c>
      <c r="G119" s="178" t="s">
        <v>470</v>
      </c>
      <c r="H119" s="366">
        <v>371852</v>
      </c>
      <c r="I119" s="176">
        <v>8</v>
      </c>
      <c r="J119" s="366">
        <v>29748</v>
      </c>
      <c r="K119" s="178" t="s">
        <v>261</v>
      </c>
      <c r="L119" s="178" t="s">
        <v>252</v>
      </c>
      <c r="M119" s="271" t="s">
        <v>471</v>
      </c>
      <c r="N119" s="177">
        <v>46229</v>
      </c>
      <c r="O119" s="177">
        <v>46229</v>
      </c>
      <c r="P119" s="366">
        <v>401600</v>
      </c>
      <c r="Q119" s="176" t="s">
        <v>248</v>
      </c>
      <c r="R119" s="176" t="s">
        <v>434</v>
      </c>
      <c r="S119" s="178" t="s">
        <v>253</v>
      </c>
      <c r="T119" s="57" t="str">
        <f t="shared" si="6"/>
        <v>Đ</v>
      </c>
      <c r="U119" s="59">
        <f t="shared" si="7"/>
        <v>0</v>
      </c>
      <c r="V119" s="55">
        <f t="shared" si="8"/>
        <v>13311</v>
      </c>
    </row>
    <row r="120" spans="1:22" ht="14.4" customHeight="1">
      <c r="A120" s="176">
        <v>103</v>
      </c>
      <c r="B120" s="178" t="s">
        <v>466</v>
      </c>
      <c r="C120" s="271" t="s">
        <v>599</v>
      </c>
      <c r="D120" s="177">
        <v>46008</v>
      </c>
      <c r="E120" s="178" t="s">
        <v>468</v>
      </c>
      <c r="F120" s="271" t="s">
        <v>469</v>
      </c>
      <c r="G120" s="178" t="s">
        <v>470</v>
      </c>
      <c r="H120" s="366">
        <v>2016667</v>
      </c>
      <c r="I120" s="176">
        <v>8</v>
      </c>
      <c r="J120" s="366">
        <v>161333</v>
      </c>
      <c r="K120" s="178" t="s">
        <v>261</v>
      </c>
      <c r="L120" s="178" t="s">
        <v>252</v>
      </c>
      <c r="M120" s="271" t="s">
        <v>471</v>
      </c>
      <c r="N120" s="177">
        <v>46229</v>
      </c>
      <c r="O120" s="177">
        <v>46229</v>
      </c>
      <c r="P120" s="366">
        <v>2178000</v>
      </c>
      <c r="Q120" s="176" t="s">
        <v>248</v>
      </c>
      <c r="R120" s="176" t="s">
        <v>434</v>
      </c>
      <c r="S120" s="178" t="s">
        <v>253</v>
      </c>
      <c r="T120" s="57" t="str">
        <f t="shared" si="6"/>
        <v>Đ</v>
      </c>
      <c r="U120" s="59">
        <f t="shared" si="7"/>
        <v>0</v>
      </c>
      <c r="V120" s="55">
        <f t="shared" si="8"/>
        <v>13311</v>
      </c>
    </row>
    <row r="121" spans="1:22" ht="21.65" customHeight="1">
      <c r="A121" s="176">
        <v>104</v>
      </c>
      <c r="B121" s="178" t="s">
        <v>466</v>
      </c>
      <c r="C121" s="271" t="s">
        <v>600</v>
      </c>
      <c r="D121" s="177">
        <v>46008</v>
      </c>
      <c r="E121" s="178" t="s">
        <v>468</v>
      </c>
      <c r="F121" s="271" t="s">
        <v>469</v>
      </c>
      <c r="G121" s="178" t="s">
        <v>470</v>
      </c>
      <c r="H121" s="366">
        <v>371852</v>
      </c>
      <c r="I121" s="176">
        <v>8</v>
      </c>
      <c r="J121" s="366">
        <v>29748</v>
      </c>
      <c r="K121" s="178" t="s">
        <v>261</v>
      </c>
      <c r="L121" s="178" t="s">
        <v>252</v>
      </c>
      <c r="M121" s="271" t="s">
        <v>471</v>
      </c>
      <c r="N121" s="177">
        <v>46229</v>
      </c>
      <c r="O121" s="177">
        <v>46229</v>
      </c>
      <c r="P121" s="366">
        <v>401600</v>
      </c>
      <c r="Q121" s="176" t="s">
        <v>248</v>
      </c>
      <c r="R121" s="176" t="s">
        <v>434</v>
      </c>
      <c r="S121" s="178" t="s">
        <v>253</v>
      </c>
      <c r="T121" s="57" t="str">
        <f t="shared" si="6"/>
        <v>Đ</v>
      </c>
      <c r="U121" s="59">
        <f t="shared" si="7"/>
        <v>0</v>
      </c>
      <c r="V121" s="55">
        <f t="shared" si="8"/>
        <v>13311</v>
      </c>
    </row>
    <row r="122" spans="1:22" ht="21.65" customHeight="1">
      <c r="A122" s="176">
        <v>105</v>
      </c>
      <c r="B122" s="178" t="s">
        <v>466</v>
      </c>
      <c r="C122" s="271" t="s">
        <v>601</v>
      </c>
      <c r="D122" s="177">
        <v>46008</v>
      </c>
      <c r="E122" s="178" t="s">
        <v>468</v>
      </c>
      <c r="F122" s="271" t="s">
        <v>469</v>
      </c>
      <c r="G122" s="178" t="s">
        <v>470</v>
      </c>
      <c r="H122" s="366">
        <v>840278</v>
      </c>
      <c r="I122" s="176">
        <v>8</v>
      </c>
      <c r="J122" s="366">
        <v>67222</v>
      </c>
      <c r="K122" s="178" t="s">
        <v>261</v>
      </c>
      <c r="L122" s="178" t="s">
        <v>252</v>
      </c>
      <c r="M122" s="271" t="s">
        <v>471</v>
      </c>
      <c r="N122" s="177">
        <v>46229</v>
      </c>
      <c r="O122" s="177">
        <v>46229</v>
      </c>
      <c r="P122" s="366">
        <v>907500</v>
      </c>
      <c r="Q122" s="176" t="s">
        <v>248</v>
      </c>
      <c r="R122" s="176" t="s">
        <v>434</v>
      </c>
      <c r="S122" s="178" t="s">
        <v>253</v>
      </c>
      <c r="T122" s="57" t="str">
        <f t="shared" si="6"/>
        <v>Đ</v>
      </c>
      <c r="U122" s="59">
        <f t="shared" si="7"/>
        <v>0</v>
      </c>
      <c r="V122" s="55">
        <f t="shared" si="8"/>
        <v>13311</v>
      </c>
    </row>
    <row r="123" spans="1:22" ht="14.4" customHeight="1">
      <c r="A123" s="176">
        <v>106</v>
      </c>
      <c r="B123" s="178" t="s">
        <v>473</v>
      </c>
      <c r="C123" s="271" t="s">
        <v>602</v>
      </c>
      <c r="D123" s="177">
        <v>46008</v>
      </c>
      <c r="E123" s="178" t="s">
        <v>475</v>
      </c>
      <c r="F123" s="271" t="s">
        <v>476</v>
      </c>
      <c r="G123" s="178" t="s">
        <v>470</v>
      </c>
      <c r="H123" s="366">
        <v>743704</v>
      </c>
      <c r="I123" s="176">
        <v>8</v>
      </c>
      <c r="J123" s="366">
        <v>59496</v>
      </c>
      <c r="K123" s="178" t="s">
        <v>261</v>
      </c>
      <c r="L123" s="178" t="s">
        <v>252</v>
      </c>
      <c r="M123" s="271" t="s">
        <v>471</v>
      </c>
      <c r="N123" s="177">
        <v>46229</v>
      </c>
      <c r="O123" s="177">
        <v>46229</v>
      </c>
      <c r="P123" s="366">
        <v>803200</v>
      </c>
      <c r="Q123" s="176" t="s">
        <v>248</v>
      </c>
      <c r="R123" s="176" t="s">
        <v>434</v>
      </c>
      <c r="S123" s="178" t="s">
        <v>253</v>
      </c>
      <c r="T123" s="57" t="str">
        <f t="shared" si="6"/>
        <v>Đ</v>
      </c>
      <c r="U123" s="59">
        <f t="shared" si="7"/>
        <v>0</v>
      </c>
      <c r="V123" s="55">
        <f t="shared" si="8"/>
        <v>13311</v>
      </c>
    </row>
    <row r="124" spans="1:22" ht="21.65" customHeight="1">
      <c r="A124" s="176">
        <v>107</v>
      </c>
      <c r="B124" s="178" t="s">
        <v>473</v>
      </c>
      <c r="C124" s="271" t="s">
        <v>603</v>
      </c>
      <c r="D124" s="177">
        <v>46008</v>
      </c>
      <c r="E124" s="178" t="s">
        <v>475</v>
      </c>
      <c r="F124" s="271" t="s">
        <v>476</v>
      </c>
      <c r="G124" s="178" t="s">
        <v>470</v>
      </c>
      <c r="H124" s="366">
        <v>1512500</v>
      </c>
      <c r="I124" s="176">
        <v>8</v>
      </c>
      <c r="J124" s="366">
        <v>121000</v>
      </c>
      <c r="K124" s="178" t="s">
        <v>261</v>
      </c>
      <c r="L124" s="178" t="s">
        <v>252</v>
      </c>
      <c r="M124" s="271" t="s">
        <v>471</v>
      </c>
      <c r="N124" s="177">
        <v>46229</v>
      </c>
      <c r="O124" s="177">
        <v>46229</v>
      </c>
      <c r="P124" s="366">
        <v>1633500</v>
      </c>
      <c r="Q124" s="176" t="s">
        <v>248</v>
      </c>
      <c r="R124" s="176" t="s">
        <v>434</v>
      </c>
      <c r="S124" s="178" t="s">
        <v>253</v>
      </c>
      <c r="T124" s="57" t="str">
        <f t="shared" si="6"/>
        <v>Đ</v>
      </c>
      <c r="U124" s="59">
        <f t="shared" si="7"/>
        <v>0</v>
      </c>
      <c r="V124" s="55">
        <f t="shared" si="8"/>
        <v>13311</v>
      </c>
    </row>
    <row r="125" spans="1:22" ht="14.4" customHeight="1">
      <c r="A125" s="176">
        <v>108</v>
      </c>
      <c r="B125" s="178" t="s">
        <v>473</v>
      </c>
      <c r="C125" s="271" t="s">
        <v>604</v>
      </c>
      <c r="D125" s="177">
        <v>46008</v>
      </c>
      <c r="E125" s="178" t="s">
        <v>475</v>
      </c>
      <c r="F125" s="271" t="s">
        <v>476</v>
      </c>
      <c r="G125" s="178" t="s">
        <v>470</v>
      </c>
      <c r="H125" s="366">
        <v>743704</v>
      </c>
      <c r="I125" s="176">
        <v>8</v>
      </c>
      <c r="J125" s="366">
        <v>59496</v>
      </c>
      <c r="K125" s="178" t="s">
        <v>261</v>
      </c>
      <c r="L125" s="178" t="s">
        <v>252</v>
      </c>
      <c r="M125" s="271" t="s">
        <v>471</v>
      </c>
      <c r="N125" s="177">
        <v>46229</v>
      </c>
      <c r="O125" s="177">
        <v>46229</v>
      </c>
      <c r="P125" s="366">
        <v>803200</v>
      </c>
      <c r="Q125" s="176" t="s">
        <v>248</v>
      </c>
      <c r="R125" s="176" t="s">
        <v>434</v>
      </c>
      <c r="S125" s="178" t="s">
        <v>253</v>
      </c>
      <c r="T125" s="57" t="str">
        <f t="shared" si="6"/>
        <v>Đ</v>
      </c>
      <c r="U125" s="59">
        <f t="shared" si="7"/>
        <v>0</v>
      </c>
      <c r="V125" s="55">
        <f t="shared" si="8"/>
        <v>13311</v>
      </c>
    </row>
    <row r="126" spans="1:22" ht="21.65" customHeight="1">
      <c r="A126" s="176">
        <v>109</v>
      </c>
      <c r="B126" s="178" t="s">
        <v>473</v>
      </c>
      <c r="C126" s="271" t="s">
        <v>605</v>
      </c>
      <c r="D126" s="177">
        <v>46008</v>
      </c>
      <c r="E126" s="178" t="s">
        <v>475</v>
      </c>
      <c r="F126" s="271" t="s">
        <v>476</v>
      </c>
      <c r="G126" s="178" t="s">
        <v>470</v>
      </c>
      <c r="H126" s="366">
        <v>836667</v>
      </c>
      <c r="I126" s="176">
        <v>8</v>
      </c>
      <c r="J126" s="366">
        <v>66933</v>
      </c>
      <c r="K126" s="178" t="s">
        <v>261</v>
      </c>
      <c r="L126" s="178" t="s">
        <v>252</v>
      </c>
      <c r="M126" s="271" t="s">
        <v>471</v>
      </c>
      <c r="N126" s="177">
        <v>46229</v>
      </c>
      <c r="O126" s="177">
        <v>46229</v>
      </c>
      <c r="P126" s="366">
        <v>903600</v>
      </c>
      <c r="Q126" s="176" t="s">
        <v>248</v>
      </c>
      <c r="R126" s="176" t="s">
        <v>434</v>
      </c>
      <c r="S126" s="178" t="s">
        <v>253</v>
      </c>
      <c r="T126" s="57" t="str">
        <f t="shared" si="6"/>
        <v>Đ</v>
      </c>
      <c r="U126" s="59">
        <f t="shared" si="7"/>
        <v>0</v>
      </c>
      <c r="V126" s="55">
        <f t="shared" si="8"/>
        <v>13311</v>
      </c>
    </row>
    <row r="127" spans="1:22" ht="14.4" customHeight="1">
      <c r="A127" s="176">
        <v>110</v>
      </c>
      <c r="B127" s="178" t="s">
        <v>473</v>
      </c>
      <c r="C127" s="271" t="s">
        <v>606</v>
      </c>
      <c r="D127" s="177">
        <v>46008</v>
      </c>
      <c r="E127" s="178" t="s">
        <v>475</v>
      </c>
      <c r="F127" s="271" t="s">
        <v>476</v>
      </c>
      <c r="G127" s="178" t="s">
        <v>470</v>
      </c>
      <c r="H127" s="366">
        <v>1022593</v>
      </c>
      <c r="I127" s="176">
        <v>8</v>
      </c>
      <c r="J127" s="366">
        <v>81807</v>
      </c>
      <c r="K127" s="178" t="s">
        <v>261</v>
      </c>
      <c r="L127" s="178" t="s">
        <v>252</v>
      </c>
      <c r="M127" s="271" t="s">
        <v>471</v>
      </c>
      <c r="N127" s="177">
        <v>46229</v>
      </c>
      <c r="O127" s="177">
        <v>46229</v>
      </c>
      <c r="P127" s="366">
        <v>1104400</v>
      </c>
      <c r="Q127" s="176" t="s">
        <v>248</v>
      </c>
      <c r="R127" s="176" t="s">
        <v>434</v>
      </c>
      <c r="S127" s="178" t="s">
        <v>253</v>
      </c>
      <c r="T127" s="57" t="str">
        <f t="shared" si="6"/>
        <v>Đ</v>
      </c>
      <c r="U127" s="59">
        <f t="shared" si="7"/>
        <v>0</v>
      </c>
      <c r="V127" s="55">
        <f t="shared" si="8"/>
        <v>13311</v>
      </c>
    </row>
    <row r="128" spans="1:22" ht="14.4" customHeight="1">
      <c r="A128" s="176">
        <v>111</v>
      </c>
      <c r="B128" s="178" t="s">
        <v>473</v>
      </c>
      <c r="C128" s="271" t="s">
        <v>607</v>
      </c>
      <c r="D128" s="177">
        <v>46008</v>
      </c>
      <c r="E128" s="178" t="s">
        <v>475</v>
      </c>
      <c r="F128" s="271" t="s">
        <v>476</v>
      </c>
      <c r="G128" s="178" t="s">
        <v>470</v>
      </c>
      <c r="H128" s="366">
        <v>818074</v>
      </c>
      <c r="I128" s="176">
        <v>8</v>
      </c>
      <c r="J128" s="366">
        <v>65446</v>
      </c>
      <c r="K128" s="178" t="s">
        <v>261</v>
      </c>
      <c r="L128" s="178" t="s">
        <v>252</v>
      </c>
      <c r="M128" s="271" t="s">
        <v>471</v>
      </c>
      <c r="N128" s="177">
        <v>46229</v>
      </c>
      <c r="O128" s="177">
        <v>46229</v>
      </c>
      <c r="P128" s="366">
        <v>883520</v>
      </c>
      <c r="Q128" s="176" t="s">
        <v>248</v>
      </c>
      <c r="R128" s="176" t="s">
        <v>434</v>
      </c>
      <c r="S128" s="178" t="s">
        <v>253</v>
      </c>
      <c r="T128" s="57" t="str">
        <f t="shared" si="6"/>
        <v>Đ</v>
      </c>
      <c r="U128" s="59">
        <f t="shared" si="7"/>
        <v>0</v>
      </c>
      <c r="V128" s="55">
        <f t="shared" si="8"/>
        <v>13311</v>
      </c>
    </row>
    <row r="129" spans="1:22" ht="14.4" customHeight="1">
      <c r="A129" s="176">
        <v>112</v>
      </c>
      <c r="B129" s="178" t="s">
        <v>570</v>
      </c>
      <c r="C129" s="271" t="s">
        <v>608</v>
      </c>
      <c r="D129" s="177">
        <v>46008</v>
      </c>
      <c r="E129" s="178" t="s">
        <v>572</v>
      </c>
      <c r="F129" s="271" t="s">
        <v>573</v>
      </c>
      <c r="G129" s="178" t="s">
        <v>470</v>
      </c>
      <c r="H129" s="366">
        <v>1165444</v>
      </c>
      <c r="I129" s="176">
        <v>8</v>
      </c>
      <c r="J129" s="366">
        <v>93236</v>
      </c>
      <c r="K129" s="178" t="s">
        <v>261</v>
      </c>
      <c r="L129" s="178" t="s">
        <v>252</v>
      </c>
      <c r="M129" s="271" t="s">
        <v>471</v>
      </c>
      <c r="N129" s="177">
        <v>46229</v>
      </c>
      <c r="O129" s="177">
        <v>46229</v>
      </c>
      <c r="P129" s="366">
        <v>1258680</v>
      </c>
      <c r="Q129" s="176" t="s">
        <v>248</v>
      </c>
      <c r="R129" s="176" t="s">
        <v>434</v>
      </c>
      <c r="S129" s="178" t="s">
        <v>253</v>
      </c>
      <c r="T129" s="57" t="str">
        <f t="shared" si="6"/>
        <v>Đ</v>
      </c>
      <c r="U129" s="59">
        <f t="shared" si="7"/>
        <v>0</v>
      </c>
      <c r="V129" s="55">
        <f t="shared" si="8"/>
        <v>13311</v>
      </c>
    </row>
    <row r="130" spans="1:22" ht="14.4" customHeight="1">
      <c r="A130" s="176">
        <v>113</v>
      </c>
      <c r="B130" s="178" t="s">
        <v>570</v>
      </c>
      <c r="C130" s="271" t="s">
        <v>609</v>
      </c>
      <c r="D130" s="177">
        <v>46008</v>
      </c>
      <c r="E130" s="178" t="s">
        <v>572</v>
      </c>
      <c r="F130" s="271" t="s">
        <v>573</v>
      </c>
      <c r="G130" s="178" t="s">
        <v>470</v>
      </c>
      <c r="H130" s="366">
        <v>739556</v>
      </c>
      <c r="I130" s="176">
        <v>8</v>
      </c>
      <c r="J130" s="366">
        <v>59164</v>
      </c>
      <c r="K130" s="178" t="s">
        <v>261</v>
      </c>
      <c r="L130" s="178" t="s">
        <v>252</v>
      </c>
      <c r="M130" s="271" t="s">
        <v>471</v>
      </c>
      <c r="N130" s="177">
        <v>46229</v>
      </c>
      <c r="O130" s="177">
        <v>46229</v>
      </c>
      <c r="P130" s="366">
        <v>798720</v>
      </c>
      <c r="Q130" s="176" t="s">
        <v>248</v>
      </c>
      <c r="R130" s="176" t="s">
        <v>434</v>
      </c>
      <c r="S130" s="178" t="s">
        <v>253</v>
      </c>
      <c r="T130" s="57" t="str">
        <f t="shared" si="6"/>
        <v>Đ</v>
      </c>
      <c r="U130" s="59">
        <f t="shared" si="7"/>
        <v>0</v>
      </c>
      <c r="V130" s="55">
        <f t="shared" si="8"/>
        <v>13311</v>
      </c>
    </row>
    <row r="131" spans="1:22" ht="14.4" customHeight="1">
      <c r="A131" s="176">
        <v>114</v>
      </c>
      <c r="B131" s="178" t="s">
        <v>481</v>
      </c>
      <c r="C131" s="271" t="s">
        <v>610</v>
      </c>
      <c r="D131" s="177">
        <v>46008</v>
      </c>
      <c r="E131" s="178" t="s">
        <v>483</v>
      </c>
      <c r="F131" s="271" t="s">
        <v>484</v>
      </c>
      <c r="G131" s="178" t="s">
        <v>470</v>
      </c>
      <c r="H131" s="366">
        <v>2016667</v>
      </c>
      <c r="I131" s="176">
        <v>8</v>
      </c>
      <c r="J131" s="366">
        <v>161333</v>
      </c>
      <c r="K131" s="178" t="s">
        <v>261</v>
      </c>
      <c r="L131" s="178" t="s">
        <v>252</v>
      </c>
      <c r="M131" s="271" t="s">
        <v>471</v>
      </c>
      <c r="N131" s="177">
        <v>46229</v>
      </c>
      <c r="O131" s="177">
        <v>46229</v>
      </c>
      <c r="P131" s="366">
        <v>2178000</v>
      </c>
      <c r="Q131" s="176" t="s">
        <v>248</v>
      </c>
      <c r="R131" s="176" t="s">
        <v>434</v>
      </c>
      <c r="S131" s="178" t="s">
        <v>253</v>
      </c>
      <c r="T131" s="57" t="str">
        <f t="shared" si="6"/>
        <v>Đ</v>
      </c>
      <c r="U131" s="59">
        <f t="shared" si="7"/>
        <v>0</v>
      </c>
      <c r="V131" s="55">
        <f t="shared" si="8"/>
        <v>13311</v>
      </c>
    </row>
    <row r="132" spans="1:22" ht="21.65" customHeight="1">
      <c r="A132" s="176">
        <v>115</v>
      </c>
      <c r="B132" s="178" t="s">
        <v>466</v>
      </c>
      <c r="C132" s="271" t="s">
        <v>611</v>
      </c>
      <c r="D132" s="177">
        <v>46009</v>
      </c>
      <c r="E132" s="178" t="s">
        <v>468</v>
      </c>
      <c r="F132" s="271" t="s">
        <v>469</v>
      </c>
      <c r="G132" s="178" t="s">
        <v>470</v>
      </c>
      <c r="H132" s="366">
        <v>487361</v>
      </c>
      <c r="I132" s="176">
        <v>8</v>
      </c>
      <c r="J132" s="366">
        <v>38989</v>
      </c>
      <c r="K132" s="178" t="s">
        <v>261</v>
      </c>
      <c r="L132" s="178" t="s">
        <v>252</v>
      </c>
      <c r="M132" s="271" t="s">
        <v>471</v>
      </c>
      <c r="N132" s="177">
        <v>46229</v>
      </c>
      <c r="O132" s="177">
        <v>46229</v>
      </c>
      <c r="P132" s="366">
        <v>526350</v>
      </c>
      <c r="Q132" s="176" t="s">
        <v>248</v>
      </c>
      <c r="R132" s="176" t="s">
        <v>434</v>
      </c>
      <c r="S132" s="178" t="s">
        <v>253</v>
      </c>
      <c r="T132" s="57" t="str">
        <f t="shared" si="6"/>
        <v>Đ</v>
      </c>
      <c r="U132" s="59">
        <f t="shared" si="7"/>
        <v>0</v>
      </c>
      <c r="V132" s="55">
        <f t="shared" si="8"/>
        <v>13311</v>
      </c>
    </row>
    <row r="133" spans="1:22" ht="21.65" customHeight="1">
      <c r="A133" s="176">
        <v>116</v>
      </c>
      <c r="B133" s="178" t="s">
        <v>473</v>
      </c>
      <c r="C133" s="271" t="s">
        <v>612</v>
      </c>
      <c r="D133" s="177">
        <v>46009</v>
      </c>
      <c r="E133" s="178" t="s">
        <v>475</v>
      </c>
      <c r="F133" s="271" t="s">
        <v>476</v>
      </c>
      <c r="G133" s="178" t="s">
        <v>470</v>
      </c>
      <c r="H133" s="366">
        <v>1075556</v>
      </c>
      <c r="I133" s="176">
        <v>8</v>
      </c>
      <c r="J133" s="366">
        <v>86044</v>
      </c>
      <c r="K133" s="178" t="s">
        <v>261</v>
      </c>
      <c r="L133" s="178" t="s">
        <v>252</v>
      </c>
      <c r="M133" s="271" t="s">
        <v>471</v>
      </c>
      <c r="N133" s="177">
        <v>46229</v>
      </c>
      <c r="O133" s="177">
        <v>46229</v>
      </c>
      <c r="P133" s="366">
        <v>1161600</v>
      </c>
      <c r="Q133" s="176" t="s">
        <v>248</v>
      </c>
      <c r="R133" s="176" t="s">
        <v>434</v>
      </c>
      <c r="S133" s="178" t="s">
        <v>253</v>
      </c>
      <c r="T133" s="57" t="str">
        <f t="shared" si="6"/>
        <v>Đ</v>
      </c>
      <c r="U133" s="59">
        <f t="shared" si="7"/>
        <v>0</v>
      </c>
      <c r="V133" s="55">
        <f t="shared" si="8"/>
        <v>13311</v>
      </c>
    </row>
    <row r="134" spans="1:22" ht="21.5" customHeight="1">
      <c r="A134" s="176">
        <v>117</v>
      </c>
      <c r="B134" s="178" t="s">
        <v>473</v>
      </c>
      <c r="C134" s="271" t="s">
        <v>613</v>
      </c>
      <c r="D134" s="177">
        <v>46009</v>
      </c>
      <c r="E134" s="178" t="s">
        <v>475</v>
      </c>
      <c r="F134" s="271" t="s">
        <v>476</v>
      </c>
      <c r="G134" s="178" t="s">
        <v>470</v>
      </c>
      <c r="H134" s="366">
        <v>539185</v>
      </c>
      <c r="I134" s="176">
        <v>8</v>
      </c>
      <c r="J134" s="366">
        <v>43135</v>
      </c>
      <c r="K134" s="178" t="s">
        <v>261</v>
      </c>
      <c r="L134" s="178" t="s">
        <v>252</v>
      </c>
      <c r="M134" s="271" t="s">
        <v>471</v>
      </c>
      <c r="N134" s="177">
        <v>46229</v>
      </c>
      <c r="O134" s="177">
        <v>46229</v>
      </c>
      <c r="P134" s="366">
        <v>582320</v>
      </c>
      <c r="Q134" s="176" t="s">
        <v>248</v>
      </c>
      <c r="R134" s="176" t="s">
        <v>434</v>
      </c>
      <c r="S134" s="178" t="s">
        <v>253</v>
      </c>
      <c r="T134" s="57" t="str">
        <f t="shared" si="6"/>
        <v>Đ</v>
      </c>
      <c r="U134" s="59">
        <f t="shared" si="7"/>
        <v>0</v>
      </c>
      <c r="V134" s="55">
        <f t="shared" si="8"/>
        <v>13311</v>
      </c>
    </row>
    <row r="135" spans="1:22" ht="14.4" customHeight="1">
      <c r="A135" s="176">
        <v>118</v>
      </c>
      <c r="B135" s="178" t="s">
        <v>473</v>
      </c>
      <c r="C135" s="271" t="s">
        <v>614</v>
      </c>
      <c r="D135" s="177">
        <v>46009</v>
      </c>
      <c r="E135" s="178" t="s">
        <v>475</v>
      </c>
      <c r="F135" s="271" t="s">
        <v>476</v>
      </c>
      <c r="G135" s="178" t="s">
        <v>470</v>
      </c>
      <c r="H135" s="366">
        <v>502000</v>
      </c>
      <c r="I135" s="176">
        <v>8</v>
      </c>
      <c r="J135" s="366">
        <v>40160</v>
      </c>
      <c r="K135" s="178" t="s">
        <v>261</v>
      </c>
      <c r="L135" s="178" t="s">
        <v>252</v>
      </c>
      <c r="M135" s="271" t="s">
        <v>471</v>
      </c>
      <c r="N135" s="177">
        <v>46229</v>
      </c>
      <c r="O135" s="177">
        <v>46229</v>
      </c>
      <c r="P135" s="366">
        <v>542160</v>
      </c>
      <c r="Q135" s="176" t="s">
        <v>248</v>
      </c>
      <c r="R135" s="176" t="s">
        <v>434</v>
      </c>
      <c r="S135" s="178" t="s">
        <v>253</v>
      </c>
      <c r="T135" s="57" t="str">
        <f t="shared" si="6"/>
        <v>Đ</v>
      </c>
      <c r="U135" s="59">
        <f t="shared" si="7"/>
        <v>0</v>
      </c>
      <c r="V135" s="55">
        <f t="shared" si="8"/>
        <v>13311</v>
      </c>
    </row>
    <row r="136" spans="1:22" ht="21.5" customHeight="1">
      <c r="A136" s="176">
        <v>119</v>
      </c>
      <c r="B136" s="178" t="s">
        <v>473</v>
      </c>
      <c r="C136" s="271" t="s">
        <v>615</v>
      </c>
      <c r="D136" s="177">
        <v>46009</v>
      </c>
      <c r="E136" s="178" t="s">
        <v>475</v>
      </c>
      <c r="F136" s="271" t="s">
        <v>476</v>
      </c>
      <c r="G136" s="178" t="s">
        <v>470</v>
      </c>
      <c r="H136" s="366">
        <v>1327639</v>
      </c>
      <c r="I136" s="176">
        <v>8</v>
      </c>
      <c r="J136" s="366">
        <v>106211</v>
      </c>
      <c r="K136" s="178" t="s">
        <v>261</v>
      </c>
      <c r="L136" s="178" t="s">
        <v>252</v>
      </c>
      <c r="M136" s="271" t="s">
        <v>471</v>
      </c>
      <c r="N136" s="177">
        <v>46229</v>
      </c>
      <c r="O136" s="177">
        <v>46229</v>
      </c>
      <c r="P136" s="366">
        <v>1433850</v>
      </c>
      <c r="Q136" s="176" t="s">
        <v>248</v>
      </c>
      <c r="R136" s="176" t="s">
        <v>434</v>
      </c>
      <c r="S136" s="178" t="s">
        <v>253</v>
      </c>
      <c r="T136" s="57" t="str">
        <f t="shared" si="6"/>
        <v>Đ</v>
      </c>
      <c r="U136" s="59">
        <f t="shared" si="7"/>
        <v>0</v>
      </c>
      <c r="V136" s="55">
        <f t="shared" si="8"/>
        <v>13311</v>
      </c>
    </row>
    <row r="137" spans="1:22" ht="14.4" customHeight="1">
      <c r="A137" s="176">
        <v>120</v>
      </c>
      <c r="B137" s="178" t="s">
        <v>473</v>
      </c>
      <c r="C137" s="271" t="s">
        <v>616</v>
      </c>
      <c r="D137" s="177">
        <v>46009</v>
      </c>
      <c r="E137" s="178" t="s">
        <v>475</v>
      </c>
      <c r="F137" s="271" t="s">
        <v>476</v>
      </c>
      <c r="G137" s="178" t="s">
        <v>470</v>
      </c>
      <c r="H137" s="366">
        <v>817500</v>
      </c>
      <c r="I137" s="176">
        <v>8</v>
      </c>
      <c r="J137" s="366">
        <v>65400</v>
      </c>
      <c r="K137" s="178" t="s">
        <v>261</v>
      </c>
      <c r="L137" s="178" t="s">
        <v>252</v>
      </c>
      <c r="M137" s="271" t="s">
        <v>471</v>
      </c>
      <c r="N137" s="177">
        <v>46229</v>
      </c>
      <c r="O137" s="177">
        <v>46229</v>
      </c>
      <c r="P137" s="366">
        <v>882900</v>
      </c>
      <c r="Q137" s="176" t="s">
        <v>248</v>
      </c>
      <c r="R137" s="176" t="s">
        <v>434</v>
      </c>
      <c r="S137" s="178" t="s">
        <v>253</v>
      </c>
      <c r="T137" s="57" t="str">
        <f t="shared" si="6"/>
        <v>Đ</v>
      </c>
      <c r="U137" s="59">
        <f t="shared" si="7"/>
        <v>0</v>
      </c>
      <c r="V137" s="55">
        <f t="shared" si="8"/>
        <v>13311</v>
      </c>
    </row>
    <row r="138" spans="1:22" ht="14.4" customHeight="1">
      <c r="A138" s="176">
        <v>121</v>
      </c>
      <c r="B138" s="178" t="s">
        <v>473</v>
      </c>
      <c r="C138" s="271" t="s">
        <v>617</v>
      </c>
      <c r="D138" s="177">
        <v>46009</v>
      </c>
      <c r="E138" s="178" t="s">
        <v>475</v>
      </c>
      <c r="F138" s="271" t="s">
        <v>476</v>
      </c>
      <c r="G138" s="178" t="s">
        <v>470</v>
      </c>
      <c r="H138" s="366">
        <v>726667</v>
      </c>
      <c r="I138" s="176">
        <v>8</v>
      </c>
      <c r="J138" s="366">
        <v>58133</v>
      </c>
      <c r="K138" s="178" t="s">
        <v>261</v>
      </c>
      <c r="L138" s="178" t="s">
        <v>252</v>
      </c>
      <c r="M138" s="271" t="s">
        <v>471</v>
      </c>
      <c r="N138" s="177">
        <v>46229</v>
      </c>
      <c r="O138" s="177">
        <v>46229</v>
      </c>
      <c r="P138" s="366">
        <v>784800</v>
      </c>
      <c r="Q138" s="176" t="s">
        <v>248</v>
      </c>
      <c r="R138" s="176" t="s">
        <v>434</v>
      </c>
      <c r="S138" s="178" t="s">
        <v>253</v>
      </c>
      <c r="T138" s="57" t="str">
        <f t="shared" si="6"/>
        <v>Đ</v>
      </c>
      <c r="U138" s="59">
        <f t="shared" si="7"/>
        <v>0</v>
      </c>
      <c r="V138" s="55">
        <f t="shared" si="8"/>
        <v>13311</v>
      </c>
    </row>
    <row r="139" spans="1:22" ht="14.4" customHeight="1">
      <c r="A139" s="176">
        <v>122</v>
      </c>
      <c r="B139" s="178" t="s">
        <v>473</v>
      </c>
      <c r="C139" s="271" t="s">
        <v>618</v>
      </c>
      <c r="D139" s="177">
        <v>46009</v>
      </c>
      <c r="E139" s="178" t="s">
        <v>475</v>
      </c>
      <c r="F139" s="271" t="s">
        <v>476</v>
      </c>
      <c r="G139" s="178" t="s">
        <v>470</v>
      </c>
      <c r="H139" s="366">
        <v>1362500</v>
      </c>
      <c r="I139" s="176">
        <v>8</v>
      </c>
      <c r="J139" s="366">
        <v>109000</v>
      </c>
      <c r="K139" s="178" t="s">
        <v>261</v>
      </c>
      <c r="L139" s="178" t="s">
        <v>252</v>
      </c>
      <c r="M139" s="271" t="s">
        <v>471</v>
      </c>
      <c r="N139" s="177">
        <v>46229</v>
      </c>
      <c r="O139" s="177">
        <v>46229</v>
      </c>
      <c r="P139" s="366">
        <v>1471500</v>
      </c>
      <c r="Q139" s="176" t="s">
        <v>248</v>
      </c>
      <c r="R139" s="176" t="s">
        <v>434</v>
      </c>
      <c r="S139" s="178" t="s">
        <v>253</v>
      </c>
      <c r="T139" s="57" t="str">
        <f t="shared" si="6"/>
        <v>Đ</v>
      </c>
      <c r="U139" s="59">
        <f t="shared" si="7"/>
        <v>0</v>
      </c>
      <c r="V139" s="55">
        <f t="shared" si="8"/>
        <v>13311</v>
      </c>
    </row>
    <row r="140" spans="1:22" ht="14.4" customHeight="1">
      <c r="A140" s="176">
        <v>123</v>
      </c>
      <c r="B140" s="178" t="s">
        <v>473</v>
      </c>
      <c r="C140" s="271" t="s">
        <v>619</v>
      </c>
      <c r="D140" s="177">
        <v>46009</v>
      </c>
      <c r="E140" s="178" t="s">
        <v>475</v>
      </c>
      <c r="F140" s="271" t="s">
        <v>476</v>
      </c>
      <c r="G140" s="178" t="s">
        <v>470</v>
      </c>
      <c r="H140" s="366">
        <v>824972</v>
      </c>
      <c r="I140" s="176">
        <v>8</v>
      </c>
      <c r="J140" s="366">
        <v>65998</v>
      </c>
      <c r="K140" s="178" t="s">
        <v>261</v>
      </c>
      <c r="L140" s="178" t="s">
        <v>252</v>
      </c>
      <c r="M140" s="271" t="s">
        <v>471</v>
      </c>
      <c r="N140" s="177">
        <v>46229</v>
      </c>
      <c r="O140" s="177">
        <v>46229</v>
      </c>
      <c r="P140" s="366">
        <v>890970</v>
      </c>
      <c r="Q140" s="176" t="s">
        <v>248</v>
      </c>
      <c r="R140" s="176" t="s">
        <v>434</v>
      </c>
      <c r="S140" s="178" t="s">
        <v>253</v>
      </c>
      <c r="T140" s="57" t="str">
        <f t="shared" si="6"/>
        <v>Đ</v>
      </c>
      <c r="U140" s="59">
        <f t="shared" si="7"/>
        <v>0</v>
      </c>
      <c r="V140" s="55">
        <f t="shared" si="8"/>
        <v>13311</v>
      </c>
    </row>
    <row r="141" spans="1:22" ht="21.65" customHeight="1">
      <c r="A141" s="176">
        <v>124</v>
      </c>
      <c r="B141" s="178" t="s">
        <v>473</v>
      </c>
      <c r="C141" s="271" t="s">
        <v>620</v>
      </c>
      <c r="D141" s="177">
        <v>46009</v>
      </c>
      <c r="E141" s="178" t="s">
        <v>475</v>
      </c>
      <c r="F141" s="271" t="s">
        <v>476</v>
      </c>
      <c r="G141" s="178" t="s">
        <v>470</v>
      </c>
      <c r="H141" s="366">
        <v>545000</v>
      </c>
      <c r="I141" s="176">
        <v>8</v>
      </c>
      <c r="J141" s="366">
        <v>43600</v>
      </c>
      <c r="K141" s="178" t="s">
        <v>261</v>
      </c>
      <c r="L141" s="178" t="s">
        <v>252</v>
      </c>
      <c r="M141" s="271" t="s">
        <v>471</v>
      </c>
      <c r="N141" s="177">
        <v>46229</v>
      </c>
      <c r="O141" s="177">
        <v>46229</v>
      </c>
      <c r="P141" s="366">
        <v>588600</v>
      </c>
      <c r="Q141" s="176" t="s">
        <v>248</v>
      </c>
      <c r="R141" s="176" t="s">
        <v>434</v>
      </c>
      <c r="S141" s="178" t="s">
        <v>253</v>
      </c>
      <c r="T141" s="57" t="str">
        <f t="shared" si="6"/>
        <v>Đ</v>
      </c>
      <c r="U141" s="59">
        <f t="shared" si="7"/>
        <v>0</v>
      </c>
      <c r="V141" s="55">
        <f t="shared" si="8"/>
        <v>13311</v>
      </c>
    </row>
    <row r="142" spans="1:22" ht="21.65" customHeight="1">
      <c r="A142" s="176">
        <v>125</v>
      </c>
      <c r="B142" s="178" t="s">
        <v>481</v>
      </c>
      <c r="C142" s="271" t="s">
        <v>621</v>
      </c>
      <c r="D142" s="177">
        <v>46009</v>
      </c>
      <c r="E142" s="178" t="s">
        <v>483</v>
      </c>
      <c r="F142" s="271" t="s">
        <v>484</v>
      </c>
      <c r="G142" s="178" t="s">
        <v>470</v>
      </c>
      <c r="H142" s="366">
        <v>3361111</v>
      </c>
      <c r="I142" s="176">
        <v>8</v>
      </c>
      <c r="J142" s="366">
        <v>268889</v>
      </c>
      <c r="K142" s="178" t="s">
        <v>261</v>
      </c>
      <c r="L142" s="178" t="s">
        <v>252</v>
      </c>
      <c r="M142" s="271" t="s">
        <v>471</v>
      </c>
      <c r="N142" s="177">
        <v>46229</v>
      </c>
      <c r="O142" s="177">
        <v>46229</v>
      </c>
      <c r="P142" s="366">
        <v>3630000</v>
      </c>
      <c r="Q142" s="176" t="s">
        <v>248</v>
      </c>
      <c r="R142" s="176" t="s">
        <v>434</v>
      </c>
      <c r="S142" s="178" t="s">
        <v>253</v>
      </c>
      <c r="T142" s="57" t="str">
        <f t="shared" ref="T142:T205" si="9">IF(OR(LEN(F142)=11,LEN(F142)=15),"Đ","SAI")</f>
        <v>Đ</v>
      </c>
      <c r="U142" s="59">
        <f t="shared" ref="U142:U205" si="10">ROUND(H142*I142%,0)-J142</f>
        <v>0</v>
      </c>
      <c r="V142" s="55">
        <f t="shared" ref="V142:V205" si="11">IF(Q142=$V$12,13313,13311)</f>
        <v>13311</v>
      </c>
    </row>
    <row r="143" spans="1:22" ht="14.4" customHeight="1">
      <c r="A143" s="176">
        <v>126</v>
      </c>
      <c r="B143" s="178" t="s">
        <v>466</v>
      </c>
      <c r="C143" s="271" t="s">
        <v>622</v>
      </c>
      <c r="D143" s="177">
        <v>46010</v>
      </c>
      <c r="E143" s="178" t="s">
        <v>468</v>
      </c>
      <c r="F143" s="271" t="s">
        <v>469</v>
      </c>
      <c r="G143" s="178" t="s">
        <v>470</v>
      </c>
      <c r="H143" s="366">
        <v>857324</v>
      </c>
      <c r="I143" s="176">
        <v>8</v>
      </c>
      <c r="J143" s="366">
        <v>68586</v>
      </c>
      <c r="K143" s="178" t="s">
        <v>261</v>
      </c>
      <c r="L143" s="178" t="s">
        <v>252</v>
      </c>
      <c r="M143" s="271" t="s">
        <v>471</v>
      </c>
      <c r="N143" s="177">
        <v>46229</v>
      </c>
      <c r="O143" s="177">
        <v>46229</v>
      </c>
      <c r="P143" s="366">
        <v>925910</v>
      </c>
      <c r="Q143" s="176" t="s">
        <v>248</v>
      </c>
      <c r="R143" s="176" t="s">
        <v>434</v>
      </c>
      <c r="S143" s="178" t="s">
        <v>253</v>
      </c>
      <c r="T143" s="57" t="str">
        <f t="shared" si="9"/>
        <v>Đ</v>
      </c>
      <c r="U143" s="59">
        <f t="shared" si="10"/>
        <v>0</v>
      </c>
      <c r="V143" s="55">
        <f t="shared" si="11"/>
        <v>13311</v>
      </c>
    </row>
    <row r="144" spans="1:22" ht="21.65" customHeight="1">
      <c r="A144" s="176">
        <v>127</v>
      </c>
      <c r="B144" s="178" t="s">
        <v>466</v>
      </c>
      <c r="C144" s="271" t="s">
        <v>623</v>
      </c>
      <c r="D144" s="177">
        <v>46010</v>
      </c>
      <c r="E144" s="178" t="s">
        <v>468</v>
      </c>
      <c r="F144" s="271" t="s">
        <v>469</v>
      </c>
      <c r="G144" s="178" t="s">
        <v>470</v>
      </c>
      <c r="H144" s="366">
        <v>363333</v>
      </c>
      <c r="I144" s="176">
        <v>8</v>
      </c>
      <c r="J144" s="366">
        <v>29067</v>
      </c>
      <c r="K144" s="178" t="s">
        <v>261</v>
      </c>
      <c r="L144" s="178" t="s">
        <v>252</v>
      </c>
      <c r="M144" s="271" t="s">
        <v>471</v>
      </c>
      <c r="N144" s="177">
        <v>46229</v>
      </c>
      <c r="O144" s="177">
        <v>46229</v>
      </c>
      <c r="P144" s="366">
        <v>392400</v>
      </c>
      <c r="Q144" s="176" t="s">
        <v>248</v>
      </c>
      <c r="R144" s="176" t="s">
        <v>434</v>
      </c>
      <c r="S144" s="178" t="s">
        <v>253</v>
      </c>
      <c r="T144" s="57" t="str">
        <f t="shared" si="9"/>
        <v>Đ</v>
      </c>
      <c r="U144" s="59">
        <f t="shared" si="10"/>
        <v>0</v>
      </c>
      <c r="V144" s="55">
        <f t="shared" si="11"/>
        <v>13311</v>
      </c>
    </row>
    <row r="145" spans="1:22" ht="21.65" customHeight="1">
      <c r="A145" s="176">
        <v>128</v>
      </c>
      <c r="B145" s="178" t="s">
        <v>473</v>
      </c>
      <c r="C145" s="271" t="s">
        <v>624</v>
      </c>
      <c r="D145" s="177">
        <v>46010</v>
      </c>
      <c r="E145" s="178" t="s">
        <v>475</v>
      </c>
      <c r="F145" s="271" t="s">
        <v>476</v>
      </c>
      <c r="G145" s="178" t="s">
        <v>470</v>
      </c>
      <c r="H145" s="366">
        <v>962833</v>
      </c>
      <c r="I145" s="176">
        <v>8</v>
      </c>
      <c r="J145" s="366">
        <v>77027</v>
      </c>
      <c r="K145" s="178" t="s">
        <v>261</v>
      </c>
      <c r="L145" s="178" t="s">
        <v>252</v>
      </c>
      <c r="M145" s="271" t="s">
        <v>471</v>
      </c>
      <c r="N145" s="177">
        <v>46229</v>
      </c>
      <c r="O145" s="177">
        <v>46229</v>
      </c>
      <c r="P145" s="366">
        <v>1039860</v>
      </c>
      <c r="Q145" s="176" t="s">
        <v>248</v>
      </c>
      <c r="R145" s="176" t="s">
        <v>434</v>
      </c>
      <c r="S145" s="178" t="s">
        <v>253</v>
      </c>
      <c r="T145" s="57" t="str">
        <f t="shared" si="9"/>
        <v>Đ</v>
      </c>
      <c r="U145" s="59">
        <f t="shared" si="10"/>
        <v>0</v>
      </c>
      <c r="V145" s="55">
        <f t="shared" si="11"/>
        <v>13311</v>
      </c>
    </row>
    <row r="146" spans="1:22" ht="14.4" customHeight="1">
      <c r="A146" s="176">
        <v>129</v>
      </c>
      <c r="B146" s="178" t="s">
        <v>473</v>
      </c>
      <c r="C146" s="271" t="s">
        <v>625</v>
      </c>
      <c r="D146" s="177">
        <v>46010</v>
      </c>
      <c r="E146" s="178" t="s">
        <v>475</v>
      </c>
      <c r="F146" s="271" t="s">
        <v>476</v>
      </c>
      <c r="G146" s="178" t="s">
        <v>470</v>
      </c>
      <c r="H146" s="366">
        <v>908333</v>
      </c>
      <c r="I146" s="176">
        <v>8</v>
      </c>
      <c r="J146" s="366">
        <v>72667</v>
      </c>
      <c r="K146" s="178" t="s">
        <v>261</v>
      </c>
      <c r="L146" s="178" t="s">
        <v>252</v>
      </c>
      <c r="M146" s="271" t="s">
        <v>471</v>
      </c>
      <c r="N146" s="177">
        <v>46229</v>
      </c>
      <c r="O146" s="177">
        <v>46229</v>
      </c>
      <c r="P146" s="366">
        <v>981000</v>
      </c>
      <c r="Q146" s="176" t="s">
        <v>248</v>
      </c>
      <c r="R146" s="176" t="s">
        <v>434</v>
      </c>
      <c r="S146" s="178" t="s">
        <v>253</v>
      </c>
      <c r="T146" s="57" t="str">
        <f t="shared" si="9"/>
        <v>Đ</v>
      </c>
      <c r="U146" s="59">
        <f t="shared" si="10"/>
        <v>0</v>
      </c>
      <c r="V146" s="55">
        <f t="shared" si="11"/>
        <v>13311</v>
      </c>
    </row>
    <row r="147" spans="1:22" ht="21.65" customHeight="1">
      <c r="A147" s="176">
        <v>130</v>
      </c>
      <c r="B147" s="178" t="s">
        <v>473</v>
      </c>
      <c r="C147" s="271" t="s">
        <v>626</v>
      </c>
      <c r="D147" s="177">
        <v>46010</v>
      </c>
      <c r="E147" s="178" t="s">
        <v>475</v>
      </c>
      <c r="F147" s="271" t="s">
        <v>476</v>
      </c>
      <c r="G147" s="178" t="s">
        <v>470</v>
      </c>
      <c r="H147" s="366">
        <v>817500</v>
      </c>
      <c r="I147" s="176">
        <v>8</v>
      </c>
      <c r="J147" s="366">
        <v>65400</v>
      </c>
      <c r="K147" s="178" t="s">
        <v>261</v>
      </c>
      <c r="L147" s="178" t="s">
        <v>252</v>
      </c>
      <c r="M147" s="271" t="s">
        <v>471</v>
      </c>
      <c r="N147" s="177">
        <v>46229</v>
      </c>
      <c r="O147" s="177">
        <v>46229</v>
      </c>
      <c r="P147" s="366">
        <v>882900</v>
      </c>
      <c r="Q147" s="176" t="s">
        <v>248</v>
      </c>
      <c r="R147" s="176" t="s">
        <v>434</v>
      </c>
      <c r="S147" s="178" t="s">
        <v>253</v>
      </c>
      <c r="T147" s="57" t="str">
        <f t="shared" si="9"/>
        <v>Đ</v>
      </c>
      <c r="U147" s="59">
        <f t="shared" si="10"/>
        <v>0</v>
      </c>
      <c r="V147" s="55">
        <f t="shared" si="11"/>
        <v>13311</v>
      </c>
    </row>
    <row r="148" spans="1:22" ht="21.65" customHeight="1">
      <c r="A148" s="176">
        <v>131</v>
      </c>
      <c r="B148" s="178" t="s">
        <v>473</v>
      </c>
      <c r="C148" s="271" t="s">
        <v>627</v>
      </c>
      <c r="D148" s="177">
        <v>46010</v>
      </c>
      <c r="E148" s="178" t="s">
        <v>475</v>
      </c>
      <c r="F148" s="271" t="s">
        <v>476</v>
      </c>
      <c r="G148" s="178" t="s">
        <v>470</v>
      </c>
      <c r="H148" s="366">
        <v>726667</v>
      </c>
      <c r="I148" s="176">
        <v>8</v>
      </c>
      <c r="J148" s="366">
        <v>58133</v>
      </c>
      <c r="K148" s="178" t="s">
        <v>261</v>
      </c>
      <c r="L148" s="178" t="s">
        <v>252</v>
      </c>
      <c r="M148" s="271" t="s">
        <v>471</v>
      </c>
      <c r="N148" s="177">
        <v>46229</v>
      </c>
      <c r="O148" s="177">
        <v>46229</v>
      </c>
      <c r="P148" s="366">
        <v>784800</v>
      </c>
      <c r="Q148" s="176" t="s">
        <v>248</v>
      </c>
      <c r="R148" s="176" t="s">
        <v>434</v>
      </c>
      <c r="S148" s="178" t="s">
        <v>253</v>
      </c>
      <c r="T148" s="57" t="str">
        <f t="shared" si="9"/>
        <v>Đ</v>
      </c>
      <c r="U148" s="59">
        <f t="shared" si="10"/>
        <v>0</v>
      </c>
      <c r="V148" s="55">
        <f t="shared" si="11"/>
        <v>13311</v>
      </c>
    </row>
    <row r="149" spans="1:22" ht="21.65" customHeight="1">
      <c r="A149" s="176">
        <v>132</v>
      </c>
      <c r="B149" s="178" t="s">
        <v>473</v>
      </c>
      <c r="C149" s="271" t="s">
        <v>628</v>
      </c>
      <c r="D149" s="177">
        <v>46010</v>
      </c>
      <c r="E149" s="178" t="s">
        <v>475</v>
      </c>
      <c r="F149" s="271" t="s">
        <v>476</v>
      </c>
      <c r="G149" s="178" t="s">
        <v>470</v>
      </c>
      <c r="H149" s="366">
        <v>1453333</v>
      </c>
      <c r="I149" s="176">
        <v>8</v>
      </c>
      <c r="J149" s="366">
        <v>116267</v>
      </c>
      <c r="K149" s="178" t="s">
        <v>261</v>
      </c>
      <c r="L149" s="178" t="s">
        <v>252</v>
      </c>
      <c r="M149" s="271" t="s">
        <v>471</v>
      </c>
      <c r="N149" s="177">
        <v>46229</v>
      </c>
      <c r="O149" s="177">
        <v>46229</v>
      </c>
      <c r="P149" s="366">
        <v>1569600</v>
      </c>
      <c r="Q149" s="176" t="s">
        <v>248</v>
      </c>
      <c r="R149" s="176" t="s">
        <v>434</v>
      </c>
      <c r="S149" s="178" t="s">
        <v>253</v>
      </c>
      <c r="T149" s="57" t="str">
        <f t="shared" si="9"/>
        <v>Đ</v>
      </c>
      <c r="U149" s="59">
        <f t="shared" si="10"/>
        <v>0</v>
      </c>
      <c r="V149" s="55">
        <f t="shared" si="11"/>
        <v>13311</v>
      </c>
    </row>
    <row r="150" spans="1:22" ht="21.65" customHeight="1">
      <c r="A150" s="176">
        <v>133</v>
      </c>
      <c r="B150" s="178" t="s">
        <v>481</v>
      </c>
      <c r="C150" s="271" t="s">
        <v>629</v>
      </c>
      <c r="D150" s="177">
        <v>46010</v>
      </c>
      <c r="E150" s="178" t="s">
        <v>483</v>
      </c>
      <c r="F150" s="271" t="s">
        <v>484</v>
      </c>
      <c r="G150" s="178" t="s">
        <v>470</v>
      </c>
      <c r="H150" s="366">
        <v>363333</v>
      </c>
      <c r="I150" s="176">
        <v>8</v>
      </c>
      <c r="J150" s="366">
        <v>29067</v>
      </c>
      <c r="K150" s="178" t="s">
        <v>261</v>
      </c>
      <c r="L150" s="178" t="s">
        <v>252</v>
      </c>
      <c r="M150" s="271" t="s">
        <v>471</v>
      </c>
      <c r="N150" s="177">
        <v>46229</v>
      </c>
      <c r="O150" s="177">
        <v>46229</v>
      </c>
      <c r="P150" s="366">
        <v>392400</v>
      </c>
      <c r="Q150" s="176" t="s">
        <v>248</v>
      </c>
      <c r="R150" s="176" t="s">
        <v>434</v>
      </c>
      <c r="S150" s="178" t="s">
        <v>253</v>
      </c>
      <c r="T150" s="57" t="str">
        <f t="shared" si="9"/>
        <v>Đ</v>
      </c>
      <c r="U150" s="59">
        <f t="shared" si="10"/>
        <v>0</v>
      </c>
      <c r="V150" s="55">
        <f t="shared" si="11"/>
        <v>13311</v>
      </c>
    </row>
    <row r="151" spans="1:22" ht="21.65" customHeight="1">
      <c r="A151" s="176">
        <v>134</v>
      </c>
      <c r="B151" s="178" t="s">
        <v>481</v>
      </c>
      <c r="C151" s="271" t="s">
        <v>630</v>
      </c>
      <c r="D151" s="177">
        <v>46010</v>
      </c>
      <c r="E151" s="178" t="s">
        <v>483</v>
      </c>
      <c r="F151" s="271" t="s">
        <v>484</v>
      </c>
      <c r="G151" s="178" t="s">
        <v>470</v>
      </c>
      <c r="H151" s="366">
        <v>363333</v>
      </c>
      <c r="I151" s="176">
        <v>8</v>
      </c>
      <c r="J151" s="366">
        <v>29067</v>
      </c>
      <c r="K151" s="178" t="s">
        <v>261</v>
      </c>
      <c r="L151" s="178" t="s">
        <v>252</v>
      </c>
      <c r="M151" s="271" t="s">
        <v>471</v>
      </c>
      <c r="N151" s="177">
        <v>46229</v>
      </c>
      <c r="O151" s="177">
        <v>46229</v>
      </c>
      <c r="P151" s="366">
        <v>392400</v>
      </c>
      <c r="Q151" s="176" t="s">
        <v>248</v>
      </c>
      <c r="R151" s="176" t="s">
        <v>434</v>
      </c>
      <c r="S151" s="178" t="s">
        <v>253</v>
      </c>
      <c r="T151" s="57" t="str">
        <f t="shared" si="9"/>
        <v>Đ</v>
      </c>
      <c r="U151" s="59">
        <f t="shared" si="10"/>
        <v>0</v>
      </c>
      <c r="V151" s="55">
        <f t="shared" si="11"/>
        <v>13311</v>
      </c>
    </row>
    <row r="152" spans="1:22" ht="21.65" customHeight="1">
      <c r="A152" s="176">
        <v>135</v>
      </c>
      <c r="B152" s="178" t="s">
        <v>466</v>
      </c>
      <c r="C152" s="271" t="s">
        <v>631</v>
      </c>
      <c r="D152" s="177">
        <v>46011</v>
      </c>
      <c r="E152" s="178" t="s">
        <v>468</v>
      </c>
      <c r="F152" s="271" t="s">
        <v>469</v>
      </c>
      <c r="G152" s="178" t="s">
        <v>470</v>
      </c>
      <c r="H152" s="366">
        <v>1180843</v>
      </c>
      <c r="I152" s="176">
        <v>8</v>
      </c>
      <c r="J152" s="366">
        <v>94467</v>
      </c>
      <c r="K152" s="178" t="s">
        <v>261</v>
      </c>
      <c r="L152" s="178" t="s">
        <v>252</v>
      </c>
      <c r="M152" s="271" t="s">
        <v>471</v>
      </c>
      <c r="N152" s="177">
        <v>46229</v>
      </c>
      <c r="O152" s="177">
        <v>46229</v>
      </c>
      <c r="P152" s="366">
        <v>1275310</v>
      </c>
      <c r="Q152" s="176" t="s">
        <v>248</v>
      </c>
      <c r="R152" s="176" t="s">
        <v>434</v>
      </c>
      <c r="S152" s="178" t="s">
        <v>253</v>
      </c>
      <c r="T152" s="57" t="str">
        <f t="shared" si="9"/>
        <v>Đ</v>
      </c>
      <c r="U152" s="59">
        <f t="shared" si="10"/>
        <v>0</v>
      </c>
      <c r="V152" s="55">
        <f t="shared" si="11"/>
        <v>13311</v>
      </c>
    </row>
    <row r="153" spans="1:22" ht="21.65" customHeight="1">
      <c r="A153" s="176">
        <v>136</v>
      </c>
      <c r="B153" s="178" t="s">
        <v>466</v>
      </c>
      <c r="C153" s="271" t="s">
        <v>632</v>
      </c>
      <c r="D153" s="177">
        <v>46011</v>
      </c>
      <c r="E153" s="178" t="s">
        <v>468</v>
      </c>
      <c r="F153" s="271" t="s">
        <v>469</v>
      </c>
      <c r="G153" s="178" t="s">
        <v>470</v>
      </c>
      <c r="H153" s="366">
        <v>181667</v>
      </c>
      <c r="I153" s="176">
        <v>8</v>
      </c>
      <c r="J153" s="366">
        <v>14533</v>
      </c>
      <c r="K153" s="178" t="s">
        <v>261</v>
      </c>
      <c r="L153" s="178" t="s">
        <v>252</v>
      </c>
      <c r="M153" s="271" t="s">
        <v>471</v>
      </c>
      <c r="N153" s="177">
        <v>46229</v>
      </c>
      <c r="O153" s="177">
        <v>46229</v>
      </c>
      <c r="P153" s="366">
        <v>196200</v>
      </c>
      <c r="Q153" s="176" t="s">
        <v>248</v>
      </c>
      <c r="R153" s="176" t="s">
        <v>434</v>
      </c>
      <c r="S153" s="178" t="s">
        <v>253</v>
      </c>
      <c r="T153" s="57" t="str">
        <f t="shared" si="9"/>
        <v>Đ</v>
      </c>
      <c r="U153" s="59">
        <f t="shared" si="10"/>
        <v>0</v>
      </c>
      <c r="V153" s="55">
        <f t="shared" si="11"/>
        <v>13311</v>
      </c>
    </row>
    <row r="154" spans="1:22" ht="14.4" customHeight="1">
      <c r="A154" s="176">
        <v>137</v>
      </c>
      <c r="B154" s="178" t="s">
        <v>473</v>
      </c>
      <c r="C154" s="271" t="s">
        <v>633</v>
      </c>
      <c r="D154" s="177">
        <v>46011</v>
      </c>
      <c r="E154" s="178" t="s">
        <v>475</v>
      </c>
      <c r="F154" s="271" t="s">
        <v>476</v>
      </c>
      <c r="G154" s="178" t="s">
        <v>470</v>
      </c>
      <c r="H154" s="366">
        <v>1398833</v>
      </c>
      <c r="I154" s="176">
        <v>8</v>
      </c>
      <c r="J154" s="366">
        <v>111907</v>
      </c>
      <c r="K154" s="178" t="s">
        <v>261</v>
      </c>
      <c r="L154" s="178" t="s">
        <v>252</v>
      </c>
      <c r="M154" s="271" t="s">
        <v>471</v>
      </c>
      <c r="N154" s="177">
        <v>46229</v>
      </c>
      <c r="O154" s="177">
        <v>46229</v>
      </c>
      <c r="P154" s="366">
        <v>1510740</v>
      </c>
      <c r="Q154" s="176" t="s">
        <v>248</v>
      </c>
      <c r="R154" s="176" t="s">
        <v>434</v>
      </c>
      <c r="S154" s="178" t="s">
        <v>253</v>
      </c>
      <c r="T154" s="57" t="str">
        <f t="shared" si="9"/>
        <v>Đ</v>
      </c>
      <c r="U154" s="59">
        <f t="shared" si="10"/>
        <v>0</v>
      </c>
      <c r="V154" s="55">
        <f t="shared" si="11"/>
        <v>13311</v>
      </c>
    </row>
    <row r="155" spans="1:22" ht="14.4" customHeight="1">
      <c r="A155" s="176">
        <v>138</v>
      </c>
      <c r="B155" s="178" t="s">
        <v>473</v>
      </c>
      <c r="C155" s="271" t="s">
        <v>634</v>
      </c>
      <c r="D155" s="177">
        <v>46011</v>
      </c>
      <c r="E155" s="178" t="s">
        <v>475</v>
      </c>
      <c r="F155" s="271" t="s">
        <v>476</v>
      </c>
      <c r="G155" s="178" t="s">
        <v>470</v>
      </c>
      <c r="H155" s="366">
        <v>853833</v>
      </c>
      <c r="I155" s="176">
        <v>8</v>
      </c>
      <c r="J155" s="366">
        <v>68307</v>
      </c>
      <c r="K155" s="178" t="s">
        <v>261</v>
      </c>
      <c r="L155" s="178" t="s">
        <v>252</v>
      </c>
      <c r="M155" s="271" t="s">
        <v>471</v>
      </c>
      <c r="N155" s="177">
        <v>46229</v>
      </c>
      <c r="O155" s="177">
        <v>46229</v>
      </c>
      <c r="P155" s="366">
        <v>922140</v>
      </c>
      <c r="Q155" s="176" t="s">
        <v>248</v>
      </c>
      <c r="R155" s="176" t="s">
        <v>434</v>
      </c>
      <c r="S155" s="178" t="s">
        <v>253</v>
      </c>
      <c r="T155" s="57" t="str">
        <f t="shared" si="9"/>
        <v>Đ</v>
      </c>
      <c r="U155" s="59">
        <f t="shared" si="10"/>
        <v>0</v>
      </c>
      <c r="V155" s="55">
        <f t="shared" si="11"/>
        <v>13311</v>
      </c>
    </row>
    <row r="156" spans="1:22" ht="14.4" customHeight="1">
      <c r="A156" s="176">
        <v>139</v>
      </c>
      <c r="B156" s="178" t="s">
        <v>473</v>
      </c>
      <c r="C156" s="271" t="s">
        <v>635</v>
      </c>
      <c r="D156" s="177">
        <v>46011</v>
      </c>
      <c r="E156" s="178" t="s">
        <v>475</v>
      </c>
      <c r="F156" s="271" t="s">
        <v>476</v>
      </c>
      <c r="G156" s="178" t="s">
        <v>470</v>
      </c>
      <c r="H156" s="366">
        <v>981000</v>
      </c>
      <c r="I156" s="176">
        <v>8</v>
      </c>
      <c r="J156" s="366">
        <v>78480</v>
      </c>
      <c r="K156" s="178" t="s">
        <v>261</v>
      </c>
      <c r="L156" s="178" t="s">
        <v>252</v>
      </c>
      <c r="M156" s="271" t="s">
        <v>471</v>
      </c>
      <c r="N156" s="177">
        <v>46229</v>
      </c>
      <c r="O156" s="177">
        <v>46229</v>
      </c>
      <c r="P156" s="366">
        <v>1059480</v>
      </c>
      <c r="Q156" s="176" t="s">
        <v>248</v>
      </c>
      <c r="R156" s="176" t="s">
        <v>434</v>
      </c>
      <c r="S156" s="178" t="s">
        <v>253</v>
      </c>
      <c r="T156" s="57" t="str">
        <f t="shared" si="9"/>
        <v>Đ</v>
      </c>
      <c r="U156" s="59">
        <f t="shared" si="10"/>
        <v>0</v>
      </c>
      <c r="V156" s="55">
        <f t="shared" si="11"/>
        <v>13311</v>
      </c>
    </row>
    <row r="157" spans="1:22" ht="14.4" customHeight="1">
      <c r="A157" s="176">
        <v>140</v>
      </c>
      <c r="B157" s="178" t="s">
        <v>473</v>
      </c>
      <c r="C157" s="271" t="s">
        <v>636</v>
      </c>
      <c r="D157" s="177">
        <v>46011</v>
      </c>
      <c r="E157" s="178" t="s">
        <v>475</v>
      </c>
      <c r="F157" s="271" t="s">
        <v>476</v>
      </c>
      <c r="G157" s="178" t="s">
        <v>470</v>
      </c>
      <c r="H157" s="366">
        <v>690333</v>
      </c>
      <c r="I157" s="176">
        <v>8</v>
      </c>
      <c r="J157" s="366">
        <v>55227</v>
      </c>
      <c r="K157" s="178" t="s">
        <v>261</v>
      </c>
      <c r="L157" s="178" t="s">
        <v>252</v>
      </c>
      <c r="M157" s="271" t="s">
        <v>471</v>
      </c>
      <c r="N157" s="177">
        <v>46229</v>
      </c>
      <c r="O157" s="177">
        <v>46229</v>
      </c>
      <c r="P157" s="366">
        <v>745560</v>
      </c>
      <c r="Q157" s="176" t="s">
        <v>248</v>
      </c>
      <c r="R157" s="176" t="s">
        <v>434</v>
      </c>
      <c r="S157" s="178" t="s">
        <v>253</v>
      </c>
      <c r="T157" s="57" t="str">
        <f t="shared" si="9"/>
        <v>Đ</v>
      </c>
      <c r="U157" s="59">
        <f t="shared" si="10"/>
        <v>0</v>
      </c>
      <c r="V157" s="55">
        <f t="shared" si="11"/>
        <v>13311</v>
      </c>
    </row>
    <row r="158" spans="1:22" ht="21.5" customHeight="1">
      <c r="A158" s="176">
        <v>141</v>
      </c>
      <c r="B158" s="178" t="s">
        <v>473</v>
      </c>
      <c r="C158" s="271" t="s">
        <v>637</v>
      </c>
      <c r="D158" s="177">
        <v>46012</v>
      </c>
      <c r="E158" s="178" t="s">
        <v>475</v>
      </c>
      <c r="F158" s="271" t="s">
        <v>476</v>
      </c>
      <c r="G158" s="178" t="s">
        <v>470</v>
      </c>
      <c r="H158" s="366">
        <v>708500</v>
      </c>
      <c r="I158" s="176">
        <v>8</v>
      </c>
      <c r="J158" s="366">
        <v>56680</v>
      </c>
      <c r="K158" s="178" t="s">
        <v>261</v>
      </c>
      <c r="L158" s="178" t="s">
        <v>252</v>
      </c>
      <c r="M158" s="271" t="s">
        <v>471</v>
      </c>
      <c r="N158" s="177">
        <v>46229</v>
      </c>
      <c r="O158" s="177">
        <v>46229</v>
      </c>
      <c r="P158" s="366">
        <v>765180</v>
      </c>
      <c r="Q158" s="176" t="s">
        <v>248</v>
      </c>
      <c r="R158" s="176" t="s">
        <v>434</v>
      </c>
      <c r="S158" s="178" t="s">
        <v>253</v>
      </c>
      <c r="T158" s="57" t="str">
        <f t="shared" si="9"/>
        <v>Đ</v>
      </c>
      <c r="U158" s="59">
        <f t="shared" si="10"/>
        <v>0</v>
      </c>
      <c r="V158" s="55">
        <f t="shared" si="11"/>
        <v>13311</v>
      </c>
    </row>
    <row r="159" spans="1:22" ht="14.4" customHeight="1">
      <c r="A159" s="176">
        <v>142</v>
      </c>
      <c r="B159" s="178" t="s">
        <v>481</v>
      </c>
      <c r="C159" s="271" t="s">
        <v>638</v>
      </c>
      <c r="D159" s="177">
        <v>46012</v>
      </c>
      <c r="E159" s="178" t="s">
        <v>483</v>
      </c>
      <c r="F159" s="271" t="s">
        <v>484</v>
      </c>
      <c r="G159" s="178" t="s">
        <v>470</v>
      </c>
      <c r="H159" s="366">
        <v>1779353</v>
      </c>
      <c r="I159" s="176">
        <v>8</v>
      </c>
      <c r="J159" s="366">
        <v>142347</v>
      </c>
      <c r="K159" s="178" t="s">
        <v>261</v>
      </c>
      <c r="L159" s="178" t="s">
        <v>252</v>
      </c>
      <c r="M159" s="271" t="s">
        <v>471</v>
      </c>
      <c r="N159" s="177">
        <v>46229</v>
      </c>
      <c r="O159" s="177">
        <v>46229</v>
      </c>
      <c r="P159" s="366">
        <v>1921700</v>
      </c>
      <c r="Q159" s="176" t="s">
        <v>248</v>
      </c>
      <c r="R159" s="176" t="s">
        <v>434</v>
      </c>
      <c r="S159" s="178" t="s">
        <v>253</v>
      </c>
      <c r="T159" s="57" t="str">
        <f t="shared" si="9"/>
        <v>Đ</v>
      </c>
      <c r="U159" s="59">
        <f t="shared" si="10"/>
        <v>1</v>
      </c>
      <c r="V159" s="55">
        <f t="shared" si="11"/>
        <v>13311</v>
      </c>
    </row>
    <row r="160" spans="1:22" ht="21.65" customHeight="1">
      <c r="A160" s="176">
        <v>143</v>
      </c>
      <c r="B160" s="178" t="s">
        <v>481</v>
      </c>
      <c r="C160" s="271" t="s">
        <v>639</v>
      </c>
      <c r="D160" s="177">
        <v>46012</v>
      </c>
      <c r="E160" s="178" t="s">
        <v>483</v>
      </c>
      <c r="F160" s="271" t="s">
        <v>484</v>
      </c>
      <c r="G160" s="178" t="s">
        <v>470</v>
      </c>
      <c r="H160" s="366">
        <v>4043981</v>
      </c>
      <c r="I160" s="176">
        <v>8</v>
      </c>
      <c r="J160" s="366">
        <v>323519</v>
      </c>
      <c r="K160" s="178" t="s">
        <v>261</v>
      </c>
      <c r="L160" s="178" t="s">
        <v>252</v>
      </c>
      <c r="M160" s="271" t="s">
        <v>471</v>
      </c>
      <c r="N160" s="177">
        <v>46229</v>
      </c>
      <c r="O160" s="177">
        <v>46229</v>
      </c>
      <c r="P160" s="366">
        <v>4367500</v>
      </c>
      <c r="Q160" s="176" t="s">
        <v>248</v>
      </c>
      <c r="R160" s="176" t="s">
        <v>434</v>
      </c>
      <c r="S160" s="178" t="s">
        <v>253</v>
      </c>
      <c r="T160" s="57" t="str">
        <f t="shared" si="9"/>
        <v>Đ</v>
      </c>
      <c r="U160" s="59">
        <f t="shared" si="10"/>
        <v>-1</v>
      </c>
      <c r="V160" s="55">
        <f t="shared" si="11"/>
        <v>13311</v>
      </c>
    </row>
    <row r="161" spans="1:24" ht="21.65" customHeight="1">
      <c r="A161" s="176">
        <v>144</v>
      </c>
      <c r="B161" s="178" t="s">
        <v>481</v>
      </c>
      <c r="C161" s="271" t="s">
        <v>640</v>
      </c>
      <c r="D161" s="177">
        <v>46012</v>
      </c>
      <c r="E161" s="178" t="s">
        <v>483</v>
      </c>
      <c r="F161" s="271" t="s">
        <v>484</v>
      </c>
      <c r="G161" s="178" t="s">
        <v>470</v>
      </c>
      <c r="H161" s="366">
        <v>808796</v>
      </c>
      <c r="I161" s="176">
        <v>8</v>
      </c>
      <c r="J161" s="366">
        <v>64704</v>
      </c>
      <c r="K161" s="178" t="s">
        <v>261</v>
      </c>
      <c r="L161" s="178" t="s">
        <v>252</v>
      </c>
      <c r="M161" s="271" t="s">
        <v>471</v>
      </c>
      <c r="N161" s="177">
        <v>46229</v>
      </c>
      <c r="O161" s="177">
        <v>46229</v>
      </c>
      <c r="P161" s="366">
        <v>873500</v>
      </c>
      <c r="Q161" s="176" t="s">
        <v>248</v>
      </c>
      <c r="R161" s="176" t="s">
        <v>434</v>
      </c>
      <c r="S161" s="178" t="s">
        <v>253</v>
      </c>
      <c r="T161" s="57" t="str">
        <f t="shared" si="9"/>
        <v>Đ</v>
      </c>
      <c r="U161" s="59">
        <f t="shared" si="10"/>
        <v>0</v>
      </c>
      <c r="V161" s="55">
        <f t="shared" si="11"/>
        <v>13311</v>
      </c>
    </row>
    <row r="162" spans="1:24" ht="21.65" customHeight="1">
      <c r="A162" s="176">
        <v>145</v>
      </c>
      <c r="B162" s="178" t="s">
        <v>481</v>
      </c>
      <c r="C162" s="271" t="s">
        <v>641</v>
      </c>
      <c r="D162" s="177">
        <v>46012</v>
      </c>
      <c r="E162" s="178" t="s">
        <v>483</v>
      </c>
      <c r="F162" s="271" t="s">
        <v>484</v>
      </c>
      <c r="G162" s="178" t="s">
        <v>470</v>
      </c>
      <c r="H162" s="366">
        <v>363333</v>
      </c>
      <c r="I162" s="176">
        <v>8</v>
      </c>
      <c r="J162" s="366">
        <v>29067</v>
      </c>
      <c r="K162" s="178" t="s">
        <v>261</v>
      </c>
      <c r="L162" s="178" t="s">
        <v>252</v>
      </c>
      <c r="M162" s="271" t="s">
        <v>471</v>
      </c>
      <c r="N162" s="177">
        <v>46229</v>
      </c>
      <c r="O162" s="177">
        <v>46229</v>
      </c>
      <c r="P162" s="366">
        <v>392400</v>
      </c>
      <c r="Q162" s="176" t="s">
        <v>248</v>
      </c>
      <c r="R162" s="176" t="s">
        <v>434</v>
      </c>
      <c r="S162" s="178" t="s">
        <v>253</v>
      </c>
      <c r="T162" s="57" t="str">
        <f t="shared" si="9"/>
        <v>Đ</v>
      </c>
      <c r="U162" s="59">
        <f t="shared" si="10"/>
        <v>0</v>
      </c>
      <c r="V162" s="55">
        <f t="shared" si="11"/>
        <v>13311</v>
      </c>
    </row>
    <row r="163" spans="1:24" ht="21.65" customHeight="1">
      <c r="A163" s="176">
        <v>146</v>
      </c>
      <c r="B163" s="178" t="s">
        <v>466</v>
      </c>
      <c r="C163" s="271" t="s">
        <v>642</v>
      </c>
      <c r="D163" s="177">
        <v>46013</v>
      </c>
      <c r="E163" s="178" t="s">
        <v>468</v>
      </c>
      <c r="F163" s="271" t="s">
        <v>469</v>
      </c>
      <c r="G163" s="178" t="s">
        <v>470</v>
      </c>
      <c r="H163" s="366">
        <v>363333</v>
      </c>
      <c r="I163" s="176">
        <v>8</v>
      </c>
      <c r="J163" s="366">
        <v>29067</v>
      </c>
      <c r="K163" s="178" t="s">
        <v>261</v>
      </c>
      <c r="L163" s="178" t="s">
        <v>252</v>
      </c>
      <c r="M163" s="271" t="s">
        <v>471</v>
      </c>
      <c r="N163" s="177">
        <v>46229</v>
      </c>
      <c r="O163" s="177">
        <v>46229</v>
      </c>
      <c r="P163" s="366">
        <v>392400</v>
      </c>
      <c r="Q163" s="176" t="s">
        <v>248</v>
      </c>
      <c r="R163" s="176" t="s">
        <v>434</v>
      </c>
      <c r="S163" s="178" t="s">
        <v>253</v>
      </c>
      <c r="T163" s="57" t="str">
        <f t="shared" si="9"/>
        <v>Đ</v>
      </c>
      <c r="U163" s="59">
        <f t="shared" si="10"/>
        <v>0</v>
      </c>
      <c r="V163" s="55">
        <f t="shared" si="11"/>
        <v>13311</v>
      </c>
    </row>
    <row r="164" spans="1:24" ht="21.65" customHeight="1">
      <c r="A164" s="176">
        <v>147</v>
      </c>
      <c r="B164" s="178" t="s">
        <v>466</v>
      </c>
      <c r="C164" s="271" t="s">
        <v>643</v>
      </c>
      <c r="D164" s="177">
        <v>46013</v>
      </c>
      <c r="E164" s="178" t="s">
        <v>468</v>
      </c>
      <c r="F164" s="271" t="s">
        <v>469</v>
      </c>
      <c r="G164" s="178" t="s">
        <v>470</v>
      </c>
      <c r="H164" s="366">
        <v>485278</v>
      </c>
      <c r="I164" s="176">
        <v>8</v>
      </c>
      <c r="J164" s="366">
        <v>38822</v>
      </c>
      <c r="K164" s="178" t="s">
        <v>261</v>
      </c>
      <c r="L164" s="178" t="s">
        <v>252</v>
      </c>
      <c r="M164" s="271" t="s">
        <v>471</v>
      </c>
      <c r="N164" s="177">
        <v>46229</v>
      </c>
      <c r="O164" s="177">
        <v>46229</v>
      </c>
      <c r="P164" s="366">
        <v>524100</v>
      </c>
      <c r="Q164" s="176" t="s">
        <v>248</v>
      </c>
      <c r="R164" s="176" t="s">
        <v>434</v>
      </c>
      <c r="S164" s="178" t="s">
        <v>253</v>
      </c>
      <c r="T164" s="57" t="str">
        <f t="shared" si="9"/>
        <v>Đ</v>
      </c>
      <c r="U164" s="59">
        <f t="shared" si="10"/>
        <v>0</v>
      </c>
      <c r="V164" s="55">
        <f t="shared" si="11"/>
        <v>13311</v>
      </c>
    </row>
    <row r="165" spans="1:24" ht="21.65" customHeight="1">
      <c r="A165" s="176">
        <v>148</v>
      </c>
      <c r="B165" s="178" t="s">
        <v>466</v>
      </c>
      <c r="C165" s="271" t="s">
        <v>644</v>
      </c>
      <c r="D165" s="177">
        <v>46013</v>
      </c>
      <c r="E165" s="178" t="s">
        <v>468</v>
      </c>
      <c r="F165" s="271" t="s">
        <v>469</v>
      </c>
      <c r="G165" s="178" t="s">
        <v>470</v>
      </c>
      <c r="H165" s="366">
        <v>549981</v>
      </c>
      <c r="I165" s="176">
        <v>8</v>
      </c>
      <c r="J165" s="366">
        <v>43999</v>
      </c>
      <c r="K165" s="178" t="s">
        <v>261</v>
      </c>
      <c r="L165" s="178" t="s">
        <v>252</v>
      </c>
      <c r="M165" s="271" t="s">
        <v>471</v>
      </c>
      <c r="N165" s="177">
        <v>46229</v>
      </c>
      <c r="O165" s="177">
        <v>46229</v>
      </c>
      <c r="P165" s="366">
        <v>593980</v>
      </c>
      <c r="Q165" s="176" t="s">
        <v>248</v>
      </c>
      <c r="R165" s="176" t="s">
        <v>434</v>
      </c>
      <c r="S165" s="178" t="s">
        <v>253</v>
      </c>
      <c r="T165" s="57" t="str">
        <f t="shared" si="9"/>
        <v>Đ</v>
      </c>
      <c r="U165" s="59">
        <f t="shared" si="10"/>
        <v>-1</v>
      </c>
      <c r="V165" s="55">
        <f t="shared" si="11"/>
        <v>13311</v>
      </c>
    </row>
    <row r="166" spans="1:24" ht="21.65" customHeight="1">
      <c r="A166" s="176">
        <v>149</v>
      </c>
      <c r="B166" s="178" t="s">
        <v>473</v>
      </c>
      <c r="C166" s="271" t="s">
        <v>645</v>
      </c>
      <c r="D166" s="177">
        <v>46013</v>
      </c>
      <c r="E166" s="178" t="s">
        <v>475</v>
      </c>
      <c r="F166" s="271" t="s">
        <v>476</v>
      </c>
      <c r="G166" s="178" t="s">
        <v>470</v>
      </c>
      <c r="H166" s="366">
        <v>654000</v>
      </c>
      <c r="I166" s="176">
        <v>8</v>
      </c>
      <c r="J166" s="366">
        <v>52320</v>
      </c>
      <c r="K166" s="178" t="s">
        <v>261</v>
      </c>
      <c r="L166" s="178" t="s">
        <v>252</v>
      </c>
      <c r="M166" s="271" t="s">
        <v>471</v>
      </c>
      <c r="N166" s="177">
        <v>46229</v>
      </c>
      <c r="O166" s="177">
        <v>46229</v>
      </c>
      <c r="P166" s="366">
        <v>706320</v>
      </c>
      <c r="Q166" s="176" t="s">
        <v>248</v>
      </c>
      <c r="R166" s="176" t="s">
        <v>434</v>
      </c>
      <c r="S166" s="178" t="s">
        <v>253</v>
      </c>
      <c r="T166" s="57" t="str">
        <f t="shared" si="9"/>
        <v>Đ</v>
      </c>
      <c r="U166" s="59">
        <f t="shared" si="10"/>
        <v>0</v>
      </c>
      <c r="V166" s="55">
        <f t="shared" si="11"/>
        <v>13311</v>
      </c>
    </row>
    <row r="167" spans="1:24" ht="21.5" customHeight="1">
      <c r="A167" s="176">
        <v>150</v>
      </c>
      <c r="B167" s="178" t="s">
        <v>473</v>
      </c>
      <c r="C167" s="271" t="s">
        <v>646</v>
      </c>
      <c r="D167" s="177">
        <v>46013</v>
      </c>
      <c r="E167" s="178" t="s">
        <v>475</v>
      </c>
      <c r="F167" s="271" t="s">
        <v>476</v>
      </c>
      <c r="G167" s="178" t="s">
        <v>470</v>
      </c>
      <c r="H167" s="366">
        <v>635833</v>
      </c>
      <c r="I167" s="176">
        <v>8</v>
      </c>
      <c r="J167" s="366">
        <v>50867</v>
      </c>
      <c r="K167" s="178" t="s">
        <v>261</v>
      </c>
      <c r="L167" s="178" t="s">
        <v>252</v>
      </c>
      <c r="M167" s="271" t="s">
        <v>471</v>
      </c>
      <c r="N167" s="177">
        <v>46229</v>
      </c>
      <c r="O167" s="177">
        <v>46229</v>
      </c>
      <c r="P167" s="366">
        <v>686700</v>
      </c>
      <c r="Q167" s="176" t="s">
        <v>248</v>
      </c>
      <c r="R167" s="176" t="s">
        <v>434</v>
      </c>
      <c r="S167" s="178" t="s">
        <v>253</v>
      </c>
      <c r="T167" s="57" t="str">
        <f t="shared" si="9"/>
        <v>Đ</v>
      </c>
      <c r="U167" s="59">
        <f t="shared" si="10"/>
        <v>0</v>
      </c>
      <c r="V167" s="55">
        <f t="shared" si="11"/>
        <v>13311</v>
      </c>
    </row>
    <row r="168" spans="1:24" ht="14.4" customHeight="1">
      <c r="A168" s="176">
        <v>151</v>
      </c>
      <c r="B168" s="178" t="s">
        <v>473</v>
      </c>
      <c r="C168" s="271" t="s">
        <v>647</v>
      </c>
      <c r="D168" s="177">
        <v>46013</v>
      </c>
      <c r="E168" s="178" t="s">
        <v>475</v>
      </c>
      <c r="F168" s="271" t="s">
        <v>476</v>
      </c>
      <c r="G168" s="178" t="s">
        <v>470</v>
      </c>
      <c r="H168" s="366">
        <v>526833</v>
      </c>
      <c r="I168" s="176">
        <v>8</v>
      </c>
      <c r="J168" s="366">
        <v>42147</v>
      </c>
      <c r="K168" s="178" t="s">
        <v>261</v>
      </c>
      <c r="L168" s="178" t="s">
        <v>252</v>
      </c>
      <c r="M168" s="271" t="s">
        <v>471</v>
      </c>
      <c r="N168" s="177">
        <v>46229</v>
      </c>
      <c r="O168" s="177">
        <v>46229</v>
      </c>
      <c r="P168" s="366">
        <v>568980</v>
      </c>
      <c r="Q168" s="176" t="s">
        <v>248</v>
      </c>
      <c r="R168" s="176" t="s">
        <v>434</v>
      </c>
      <c r="S168" s="178" t="s">
        <v>253</v>
      </c>
      <c r="T168" s="57" t="str">
        <f t="shared" si="9"/>
        <v>Đ</v>
      </c>
      <c r="U168" s="59">
        <f t="shared" si="10"/>
        <v>0</v>
      </c>
      <c r="V168" s="55">
        <f t="shared" si="11"/>
        <v>13311</v>
      </c>
    </row>
    <row r="169" spans="1:24" ht="21.65" customHeight="1">
      <c r="A169" s="176">
        <v>152</v>
      </c>
      <c r="B169" s="178" t="s">
        <v>473</v>
      </c>
      <c r="C169" s="271" t="s">
        <v>648</v>
      </c>
      <c r="D169" s="177">
        <v>46013</v>
      </c>
      <c r="E169" s="178" t="s">
        <v>475</v>
      </c>
      <c r="F169" s="271" t="s">
        <v>476</v>
      </c>
      <c r="G169" s="178" t="s">
        <v>470</v>
      </c>
      <c r="H169" s="366">
        <v>545000</v>
      </c>
      <c r="I169" s="176">
        <v>8</v>
      </c>
      <c r="J169" s="366">
        <v>43600</v>
      </c>
      <c r="K169" s="178" t="s">
        <v>261</v>
      </c>
      <c r="L169" s="178" t="s">
        <v>252</v>
      </c>
      <c r="M169" s="271" t="s">
        <v>471</v>
      </c>
      <c r="N169" s="177">
        <v>46229</v>
      </c>
      <c r="O169" s="177">
        <v>46229</v>
      </c>
      <c r="P169" s="366">
        <v>588600</v>
      </c>
      <c r="Q169" s="176" t="s">
        <v>248</v>
      </c>
      <c r="R169" s="176" t="s">
        <v>434</v>
      </c>
      <c r="S169" s="178" t="s">
        <v>253</v>
      </c>
      <c r="T169" s="57" t="str">
        <f t="shared" si="9"/>
        <v>Đ</v>
      </c>
      <c r="U169" s="59">
        <f t="shared" si="10"/>
        <v>0</v>
      </c>
      <c r="V169" s="55">
        <f t="shared" si="11"/>
        <v>13311</v>
      </c>
    </row>
    <row r="170" spans="1:24" ht="14.4" customHeight="1">
      <c r="A170" s="176">
        <v>153</v>
      </c>
      <c r="B170" s="178" t="s">
        <v>473</v>
      </c>
      <c r="C170" s="271" t="s">
        <v>649</v>
      </c>
      <c r="D170" s="177">
        <v>46013</v>
      </c>
      <c r="E170" s="178" t="s">
        <v>475</v>
      </c>
      <c r="F170" s="271" t="s">
        <v>476</v>
      </c>
      <c r="G170" s="178" t="s">
        <v>470</v>
      </c>
      <c r="H170" s="366">
        <v>1453333</v>
      </c>
      <c r="I170" s="176">
        <v>8</v>
      </c>
      <c r="J170" s="366">
        <v>116267</v>
      </c>
      <c r="K170" s="178" t="s">
        <v>261</v>
      </c>
      <c r="L170" s="178" t="s">
        <v>252</v>
      </c>
      <c r="M170" s="271" t="s">
        <v>471</v>
      </c>
      <c r="N170" s="177">
        <v>46229</v>
      </c>
      <c r="O170" s="177">
        <v>46229</v>
      </c>
      <c r="P170" s="366">
        <v>1569600</v>
      </c>
      <c r="Q170" s="176" t="s">
        <v>248</v>
      </c>
      <c r="R170" s="176" t="s">
        <v>434</v>
      </c>
      <c r="S170" s="178" t="s">
        <v>253</v>
      </c>
      <c r="T170" s="57" t="str">
        <f t="shared" si="9"/>
        <v>Đ</v>
      </c>
      <c r="U170" s="59">
        <f t="shared" si="10"/>
        <v>0</v>
      </c>
      <c r="V170" s="55">
        <f t="shared" si="11"/>
        <v>13311</v>
      </c>
    </row>
    <row r="171" spans="1:24" ht="14.4" customHeight="1">
      <c r="A171" s="176">
        <v>154</v>
      </c>
      <c r="B171" s="178" t="s">
        <v>473</v>
      </c>
      <c r="C171" s="271" t="s">
        <v>650</v>
      </c>
      <c r="D171" s="177">
        <v>46013</v>
      </c>
      <c r="E171" s="178" t="s">
        <v>475</v>
      </c>
      <c r="F171" s="271" t="s">
        <v>476</v>
      </c>
      <c r="G171" s="178" t="s">
        <v>470</v>
      </c>
      <c r="H171" s="366">
        <v>776444</v>
      </c>
      <c r="I171" s="176">
        <v>8</v>
      </c>
      <c r="J171" s="366">
        <v>62116</v>
      </c>
      <c r="K171" s="178" t="s">
        <v>261</v>
      </c>
      <c r="L171" s="178" t="s">
        <v>252</v>
      </c>
      <c r="M171" s="271" t="s">
        <v>471</v>
      </c>
      <c r="N171" s="177">
        <v>46229</v>
      </c>
      <c r="O171" s="177">
        <v>46229</v>
      </c>
      <c r="P171" s="366">
        <v>838560</v>
      </c>
      <c r="Q171" s="176" t="s">
        <v>248</v>
      </c>
      <c r="R171" s="176" t="s">
        <v>434</v>
      </c>
      <c r="S171" s="178" t="s">
        <v>253</v>
      </c>
      <c r="T171" s="57" t="str">
        <f t="shared" si="9"/>
        <v>Đ</v>
      </c>
      <c r="U171" s="59">
        <f t="shared" si="10"/>
        <v>0</v>
      </c>
      <c r="V171" s="55">
        <f t="shared" si="11"/>
        <v>13311</v>
      </c>
    </row>
    <row r="172" spans="1:24" ht="14.4" customHeight="1">
      <c r="A172" s="176">
        <v>155</v>
      </c>
      <c r="B172" s="178" t="s">
        <v>473</v>
      </c>
      <c r="C172" s="271" t="s">
        <v>651</v>
      </c>
      <c r="D172" s="177">
        <v>46013</v>
      </c>
      <c r="E172" s="178" t="s">
        <v>475</v>
      </c>
      <c r="F172" s="271" t="s">
        <v>476</v>
      </c>
      <c r="G172" s="178" t="s">
        <v>470</v>
      </c>
      <c r="H172" s="366">
        <v>1180843</v>
      </c>
      <c r="I172" s="176">
        <v>8</v>
      </c>
      <c r="J172" s="366">
        <v>94467</v>
      </c>
      <c r="K172" s="178" t="s">
        <v>261</v>
      </c>
      <c r="L172" s="178" t="s">
        <v>252</v>
      </c>
      <c r="M172" s="271" t="s">
        <v>471</v>
      </c>
      <c r="N172" s="177">
        <v>46229</v>
      </c>
      <c r="O172" s="177">
        <v>46229</v>
      </c>
      <c r="P172" s="366">
        <v>1275310</v>
      </c>
      <c r="Q172" s="176" t="s">
        <v>248</v>
      </c>
      <c r="R172" s="176" t="s">
        <v>434</v>
      </c>
      <c r="S172" s="178" t="s">
        <v>253</v>
      </c>
      <c r="T172" s="57" t="str">
        <f t="shared" si="9"/>
        <v>Đ</v>
      </c>
      <c r="U172" s="59">
        <f t="shared" si="10"/>
        <v>0</v>
      </c>
      <c r="V172" s="55">
        <f t="shared" si="11"/>
        <v>13311</v>
      </c>
    </row>
    <row r="173" spans="1:24" ht="21.65" customHeight="1">
      <c r="A173" s="176">
        <v>156</v>
      </c>
      <c r="B173" s="178" t="s">
        <v>473</v>
      </c>
      <c r="C173" s="271" t="s">
        <v>652</v>
      </c>
      <c r="D173" s="177">
        <v>46013</v>
      </c>
      <c r="E173" s="178" t="s">
        <v>475</v>
      </c>
      <c r="F173" s="271" t="s">
        <v>476</v>
      </c>
      <c r="G173" s="178" t="s">
        <v>470</v>
      </c>
      <c r="H173" s="366">
        <v>1439657</v>
      </c>
      <c r="I173" s="176">
        <v>8</v>
      </c>
      <c r="J173" s="366">
        <v>115173</v>
      </c>
      <c r="K173" s="178" t="s">
        <v>261</v>
      </c>
      <c r="L173" s="178" t="s">
        <v>252</v>
      </c>
      <c r="M173" s="271" t="s">
        <v>471</v>
      </c>
      <c r="N173" s="177">
        <v>46229</v>
      </c>
      <c r="O173" s="177">
        <v>46229</v>
      </c>
      <c r="P173" s="366">
        <v>1554830</v>
      </c>
      <c r="Q173" s="176" t="s">
        <v>248</v>
      </c>
      <c r="R173" s="176" t="s">
        <v>434</v>
      </c>
      <c r="S173" s="178" t="s">
        <v>253</v>
      </c>
      <c r="T173" s="57" t="str">
        <f t="shared" si="9"/>
        <v>Đ</v>
      </c>
      <c r="U173" s="59">
        <f t="shared" si="10"/>
        <v>0</v>
      </c>
      <c r="V173" s="55">
        <f t="shared" si="11"/>
        <v>13311</v>
      </c>
    </row>
    <row r="174" spans="1:24" s="62" customFormat="1" ht="21.65" customHeight="1">
      <c r="A174" s="176">
        <v>157</v>
      </c>
      <c r="B174" s="178" t="s">
        <v>473</v>
      </c>
      <c r="C174" s="271" t="s">
        <v>653</v>
      </c>
      <c r="D174" s="177">
        <v>46013</v>
      </c>
      <c r="E174" s="178" t="s">
        <v>475</v>
      </c>
      <c r="F174" s="271" t="s">
        <v>476</v>
      </c>
      <c r="G174" s="178" t="s">
        <v>470</v>
      </c>
      <c r="H174" s="366">
        <v>1779352</v>
      </c>
      <c r="I174" s="176">
        <v>8</v>
      </c>
      <c r="J174" s="366">
        <v>142348</v>
      </c>
      <c r="K174" s="178" t="s">
        <v>261</v>
      </c>
      <c r="L174" s="178" t="s">
        <v>252</v>
      </c>
      <c r="M174" s="271" t="s">
        <v>471</v>
      </c>
      <c r="N174" s="177">
        <v>46229</v>
      </c>
      <c r="O174" s="177">
        <v>46229</v>
      </c>
      <c r="P174" s="366">
        <v>1921700</v>
      </c>
      <c r="Q174" s="176" t="s">
        <v>248</v>
      </c>
      <c r="R174" s="176" t="s">
        <v>434</v>
      </c>
      <c r="S174" s="178" t="s">
        <v>253</v>
      </c>
      <c r="T174" s="57" t="str">
        <f t="shared" si="9"/>
        <v>Đ</v>
      </c>
      <c r="U174" s="59">
        <f t="shared" si="10"/>
        <v>0</v>
      </c>
      <c r="V174" s="55">
        <f t="shared" si="11"/>
        <v>13311</v>
      </c>
      <c r="W174" s="65"/>
      <c r="X174" s="65"/>
    </row>
    <row r="175" spans="1:24" ht="21.65" customHeight="1">
      <c r="A175" s="176">
        <v>158</v>
      </c>
      <c r="B175" s="178" t="s">
        <v>654</v>
      </c>
      <c r="C175" s="271" t="s">
        <v>655</v>
      </c>
      <c r="D175" s="177">
        <v>46013</v>
      </c>
      <c r="E175" s="178" t="s">
        <v>656</v>
      </c>
      <c r="F175" s="271" t="s">
        <v>657</v>
      </c>
      <c r="G175" s="178" t="s">
        <v>658</v>
      </c>
      <c r="H175" s="366">
        <v>240000000</v>
      </c>
      <c r="I175" s="176">
        <v>8</v>
      </c>
      <c r="J175" s="366">
        <v>19200000</v>
      </c>
      <c r="K175" s="178" t="s">
        <v>261</v>
      </c>
      <c r="L175" s="178" t="s">
        <v>252</v>
      </c>
      <c r="M175" s="271" t="s">
        <v>471</v>
      </c>
      <c r="N175" s="177">
        <v>46229</v>
      </c>
      <c r="O175" s="177">
        <v>46229</v>
      </c>
      <c r="P175" s="366">
        <v>259200000</v>
      </c>
      <c r="Q175" s="176" t="s">
        <v>248</v>
      </c>
      <c r="R175" s="176" t="s">
        <v>434</v>
      </c>
      <c r="S175" s="178" t="s">
        <v>253</v>
      </c>
      <c r="T175" s="57" t="str">
        <f t="shared" si="9"/>
        <v>Đ</v>
      </c>
      <c r="U175" s="59">
        <f t="shared" si="10"/>
        <v>0</v>
      </c>
      <c r="V175" s="55">
        <f t="shared" si="11"/>
        <v>13311</v>
      </c>
    </row>
    <row r="176" spans="1:24" ht="14.4" customHeight="1">
      <c r="A176" s="176">
        <v>159</v>
      </c>
      <c r="B176" s="178" t="s">
        <v>466</v>
      </c>
      <c r="C176" s="271" t="s">
        <v>659</v>
      </c>
      <c r="D176" s="177">
        <v>46014</v>
      </c>
      <c r="E176" s="178" t="s">
        <v>468</v>
      </c>
      <c r="F176" s="271" t="s">
        <v>469</v>
      </c>
      <c r="G176" s="178" t="s">
        <v>470</v>
      </c>
      <c r="H176" s="366">
        <v>1002907</v>
      </c>
      <c r="I176" s="176">
        <v>8</v>
      </c>
      <c r="J176" s="366">
        <v>80233</v>
      </c>
      <c r="K176" s="178" t="s">
        <v>261</v>
      </c>
      <c r="L176" s="178" t="s">
        <v>252</v>
      </c>
      <c r="M176" s="271" t="s">
        <v>471</v>
      </c>
      <c r="N176" s="177">
        <v>46229</v>
      </c>
      <c r="O176" s="177">
        <v>46229</v>
      </c>
      <c r="P176" s="366">
        <v>1083140</v>
      </c>
      <c r="Q176" s="176" t="s">
        <v>248</v>
      </c>
      <c r="R176" s="176" t="s">
        <v>434</v>
      </c>
      <c r="S176" s="178" t="s">
        <v>253</v>
      </c>
      <c r="T176" s="57" t="str">
        <f t="shared" si="9"/>
        <v>Đ</v>
      </c>
      <c r="U176" s="59">
        <f t="shared" si="10"/>
        <v>0</v>
      </c>
      <c r="V176" s="55">
        <f t="shared" si="11"/>
        <v>13311</v>
      </c>
    </row>
    <row r="177" spans="1:22" ht="14.4" customHeight="1">
      <c r="A177" s="176">
        <v>160</v>
      </c>
      <c r="B177" s="178" t="s">
        <v>466</v>
      </c>
      <c r="C177" s="271" t="s">
        <v>660</v>
      </c>
      <c r="D177" s="177">
        <v>46014</v>
      </c>
      <c r="E177" s="178" t="s">
        <v>468</v>
      </c>
      <c r="F177" s="271" t="s">
        <v>469</v>
      </c>
      <c r="G177" s="178" t="s">
        <v>470</v>
      </c>
      <c r="H177" s="366">
        <v>290667</v>
      </c>
      <c r="I177" s="176">
        <v>8</v>
      </c>
      <c r="J177" s="366">
        <v>23253</v>
      </c>
      <c r="K177" s="178" t="s">
        <v>261</v>
      </c>
      <c r="L177" s="178" t="s">
        <v>252</v>
      </c>
      <c r="M177" s="271" t="s">
        <v>471</v>
      </c>
      <c r="N177" s="177">
        <v>46229</v>
      </c>
      <c r="O177" s="177">
        <v>46229</v>
      </c>
      <c r="P177" s="366">
        <v>313920</v>
      </c>
      <c r="Q177" s="176" t="s">
        <v>248</v>
      </c>
      <c r="R177" s="176" t="s">
        <v>434</v>
      </c>
      <c r="S177" s="178" t="s">
        <v>253</v>
      </c>
      <c r="T177" s="57" t="str">
        <f t="shared" si="9"/>
        <v>Đ</v>
      </c>
      <c r="U177" s="59">
        <f t="shared" si="10"/>
        <v>0</v>
      </c>
      <c r="V177" s="55">
        <f t="shared" si="11"/>
        <v>13311</v>
      </c>
    </row>
    <row r="178" spans="1:22" ht="21.65" customHeight="1">
      <c r="A178" s="176">
        <v>161</v>
      </c>
      <c r="B178" s="178" t="s">
        <v>466</v>
      </c>
      <c r="C178" s="271" t="s">
        <v>661</v>
      </c>
      <c r="D178" s="177">
        <v>46014</v>
      </c>
      <c r="E178" s="178" t="s">
        <v>468</v>
      </c>
      <c r="F178" s="271" t="s">
        <v>469</v>
      </c>
      <c r="G178" s="178" t="s">
        <v>470</v>
      </c>
      <c r="H178" s="366">
        <v>1747000</v>
      </c>
      <c r="I178" s="176">
        <v>8</v>
      </c>
      <c r="J178" s="366">
        <v>139760</v>
      </c>
      <c r="K178" s="178" t="s">
        <v>261</v>
      </c>
      <c r="L178" s="178" t="s">
        <v>252</v>
      </c>
      <c r="M178" s="271" t="s">
        <v>471</v>
      </c>
      <c r="N178" s="177">
        <v>46229</v>
      </c>
      <c r="O178" s="177">
        <v>46229</v>
      </c>
      <c r="P178" s="366">
        <v>1886760</v>
      </c>
      <c r="Q178" s="176" t="s">
        <v>248</v>
      </c>
      <c r="R178" s="176" t="s">
        <v>434</v>
      </c>
      <c r="S178" s="178" t="s">
        <v>253</v>
      </c>
      <c r="T178" s="57" t="str">
        <f t="shared" si="9"/>
        <v>Đ</v>
      </c>
      <c r="U178" s="59">
        <f t="shared" si="10"/>
        <v>0</v>
      </c>
      <c r="V178" s="55">
        <f t="shared" si="11"/>
        <v>13311</v>
      </c>
    </row>
    <row r="179" spans="1:22" ht="14.4" customHeight="1">
      <c r="A179" s="176">
        <v>162</v>
      </c>
      <c r="B179" s="178" t="s">
        <v>466</v>
      </c>
      <c r="C179" s="271" t="s">
        <v>662</v>
      </c>
      <c r="D179" s="177">
        <v>46014</v>
      </c>
      <c r="E179" s="178" t="s">
        <v>468</v>
      </c>
      <c r="F179" s="271" t="s">
        <v>469</v>
      </c>
      <c r="G179" s="178" t="s">
        <v>470</v>
      </c>
      <c r="H179" s="366">
        <v>695565</v>
      </c>
      <c r="I179" s="176">
        <v>8</v>
      </c>
      <c r="J179" s="366">
        <v>55645</v>
      </c>
      <c r="K179" s="178" t="s">
        <v>261</v>
      </c>
      <c r="L179" s="178" t="s">
        <v>252</v>
      </c>
      <c r="M179" s="271" t="s">
        <v>471</v>
      </c>
      <c r="N179" s="177">
        <v>46229</v>
      </c>
      <c r="O179" s="177">
        <v>46229</v>
      </c>
      <c r="P179" s="366">
        <v>751210</v>
      </c>
      <c r="Q179" s="176" t="s">
        <v>248</v>
      </c>
      <c r="R179" s="176" t="s">
        <v>434</v>
      </c>
      <c r="S179" s="178" t="s">
        <v>253</v>
      </c>
      <c r="T179" s="57" t="str">
        <f t="shared" si="9"/>
        <v>Đ</v>
      </c>
      <c r="U179" s="59">
        <f t="shared" si="10"/>
        <v>0</v>
      </c>
      <c r="V179" s="55">
        <f t="shared" si="11"/>
        <v>13311</v>
      </c>
    </row>
    <row r="180" spans="1:22" ht="21.65" customHeight="1">
      <c r="A180" s="176">
        <v>163</v>
      </c>
      <c r="B180" s="178" t="s">
        <v>466</v>
      </c>
      <c r="C180" s="271" t="s">
        <v>663</v>
      </c>
      <c r="D180" s="177">
        <v>46014</v>
      </c>
      <c r="E180" s="178" t="s">
        <v>468</v>
      </c>
      <c r="F180" s="271" t="s">
        <v>469</v>
      </c>
      <c r="G180" s="178" t="s">
        <v>470</v>
      </c>
      <c r="H180" s="366">
        <v>1844056</v>
      </c>
      <c r="I180" s="176">
        <v>8</v>
      </c>
      <c r="J180" s="366">
        <v>147524</v>
      </c>
      <c r="K180" s="178" t="s">
        <v>261</v>
      </c>
      <c r="L180" s="178" t="s">
        <v>252</v>
      </c>
      <c r="M180" s="271" t="s">
        <v>471</v>
      </c>
      <c r="N180" s="177">
        <v>46229</v>
      </c>
      <c r="O180" s="177">
        <v>46229</v>
      </c>
      <c r="P180" s="366">
        <v>1991580</v>
      </c>
      <c r="Q180" s="176" t="s">
        <v>248</v>
      </c>
      <c r="R180" s="176" t="s">
        <v>434</v>
      </c>
      <c r="S180" s="178" t="s">
        <v>253</v>
      </c>
      <c r="T180" s="57" t="str">
        <f t="shared" si="9"/>
        <v>Đ</v>
      </c>
      <c r="U180" s="59">
        <f t="shared" si="10"/>
        <v>0</v>
      </c>
      <c r="V180" s="55">
        <f t="shared" si="11"/>
        <v>13311</v>
      </c>
    </row>
    <row r="181" spans="1:22" ht="21.65" customHeight="1">
      <c r="A181" s="176">
        <v>164</v>
      </c>
      <c r="B181" s="178" t="s">
        <v>466</v>
      </c>
      <c r="C181" s="271" t="s">
        <v>664</v>
      </c>
      <c r="D181" s="177">
        <v>46014</v>
      </c>
      <c r="E181" s="178" t="s">
        <v>468</v>
      </c>
      <c r="F181" s="271" t="s">
        <v>469</v>
      </c>
      <c r="G181" s="178" t="s">
        <v>470</v>
      </c>
      <c r="H181" s="366">
        <v>218000</v>
      </c>
      <c r="I181" s="176">
        <v>8</v>
      </c>
      <c r="J181" s="366">
        <v>17440</v>
      </c>
      <c r="K181" s="178" t="s">
        <v>261</v>
      </c>
      <c r="L181" s="178" t="s">
        <v>252</v>
      </c>
      <c r="M181" s="271" t="s">
        <v>471</v>
      </c>
      <c r="N181" s="177">
        <v>46229</v>
      </c>
      <c r="O181" s="177">
        <v>46229</v>
      </c>
      <c r="P181" s="366">
        <v>235440</v>
      </c>
      <c r="Q181" s="176" t="s">
        <v>248</v>
      </c>
      <c r="R181" s="176" t="s">
        <v>434</v>
      </c>
      <c r="S181" s="178" t="s">
        <v>253</v>
      </c>
      <c r="T181" s="57" t="str">
        <f t="shared" si="9"/>
        <v>Đ</v>
      </c>
      <c r="U181" s="59">
        <f t="shared" si="10"/>
        <v>0</v>
      </c>
      <c r="V181" s="55">
        <f t="shared" si="11"/>
        <v>13311</v>
      </c>
    </row>
    <row r="182" spans="1:22" ht="21.65" customHeight="1">
      <c r="A182" s="176">
        <v>165</v>
      </c>
      <c r="B182" s="178" t="s">
        <v>473</v>
      </c>
      <c r="C182" s="271" t="s">
        <v>665</v>
      </c>
      <c r="D182" s="177">
        <v>46014</v>
      </c>
      <c r="E182" s="178" t="s">
        <v>475</v>
      </c>
      <c r="F182" s="271" t="s">
        <v>476</v>
      </c>
      <c r="G182" s="178" t="s">
        <v>470</v>
      </c>
      <c r="H182" s="366">
        <v>1126333</v>
      </c>
      <c r="I182" s="176">
        <v>8</v>
      </c>
      <c r="J182" s="366">
        <v>90107</v>
      </c>
      <c r="K182" s="178" t="s">
        <v>261</v>
      </c>
      <c r="L182" s="178" t="s">
        <v>252</v>
      </c>
      <c r="M182" s="271" t="s">
        <v>471</v>
      </c>
      <c r="N182" s="177">
        <v>46229</v>
      </c>
      <c r="O182" s="177">
        <v>46229</v>
      </c>
      <c r="P182" s="366">
        <v>1216440</v>
      </c>
      <c r="Q182" s="176" t="s">
        <v>248</v>
      </c>
      <c r="R182" s="176" t="s">
        <v>434</v>
      </c>
      <c r="S182" s="178" t="s">
        <v>253</v>
      </c>
      <c r="T182" s="57" t="str">
        <f t="shared" si="9"/>
        <v>Đ</v>
      </c>
      <c r="U182" s="59">
        <f t="shared" si="10"/>
        <v>0</v>
      </c>
      <c r="V182" s="55">
        <f t="shared" si="11"/>
        <v>13311</v>
      </c>
    </row>
    <row r="183" spans="1:22" ht="21.65" customHeight="1">
      <c r="A183" s="176">
        <v>166</v>
      </c>
      <c r="B183" s="178" t="s">
        <v>473</v>
      </c>
      <c r="C183" s="271" t="s">
        <v>666</v>
      </c>
      <c r="D183" s="177">
        <v>46014</v>
      </c>
      <c r="E183" s="178" t="s">
        <v>475</v>
      </c>
      <c r="F183" s="271" t="s">
        <v>476</v>
      </c>
      <c r="G183" s="178" t="s">
        <v>470</v>
      </c>
      <c r="H183" s="366">
        <v>672167</v>
      </c>
      <c r="I183" s="176">
        <v>8</v>
      </c>
      <c r="J183" s="366">
        <v>53773</v>
      </c>
      <c r="K183" s="178" t="s">
        <v>261</v>
      </c>
      <c r="L183" s="178" t="s">
        <v>252</v>
      </c>
      <c r="M183" s="271" t="s">
        <v>471</v>
      </c>
      <c r="N183" s="177">
        <v>46229</v>
      </c>
      <c r="O183" s="177">
        <v>46229</v>
      </c>
      <c r="P183" s="366">
        <v>725940</v>
      </c>
      <c r="Q183" s="176" t="s">
        <v>248</v>
      </c>
      <c r="R183" s="176" t="s">
        <v>434</v>
      </c>
      <c r="S183" s="178" t="s">
        <v>253</v>
      </c>
      <c r="T183" s="57" t="str">
        <f t="shared" si="9"/>
        <v>Đ</v>
      </c>
      <c r="U183" s="59">
        <f t="shared" si="10"/>
        <v>0</v>
      </c>
      <c r="V183" s="55">
        <f t="shared" si="11"/>
        <v>13311</v>
      </c>
    </row>
    <row r="184" spans="1:22" ht="21.65" customHeight="1">
      <c r="A184" s="176">
        <v>167</v>
      </c>
      <c r="B184" s="178" t="s">
        <v>473</v>
      </c>
      <c r="C184" s="271" t="s">
        <v>667</v>
      </c>
      <c r="D184" s="177">
        <v>46014</v>
      </c>
      <c r="E184" s="178" t="s">
        <v>475</v>
      </c>
      <c r="F184" s="271" t="s">
        <v>476</v>
      </c>
      <c r="G184" s="178" t="s">
        <v>470</v>
      </c>
      <c r="H184" s="366">
        <v>1326167</v>
      </c>
      <c r="I184" s="176">
        <v>8</v>
      </c>
      <c r="J184" s="366">
        <v>106093</v>
      </c>
      <c r="K184" s="178" t="s">
        <v>261</v>
      </c>
      <c r="L184" s="178" t="s">
        <v>252</v>
      </c>
      <c r="M184" s="271" t="s">
        <v>471</v>
      </c>
      <c r="N184" s="177">
        <v>46229</v>
      </c>
      <c r="O184" s="177">
        <v>46229</v>
      </c>
      <c r="P184" s="366">
        <v>1432260</v>
      </c>
      <c r="Q184" s="176" t="s">
        <v>248</v>
      </c>
      <c r="R184" s="176" t="s">
        <v>434</v>
      </c>
      <c r="S184" s="178" t="s">
        <v>253</v>
      </c>
      <c r="T184" s="57" t="str">
        <f t="shared" si="9"/>
        <v>Đ</v>
      </c>
      <c r="U184" s="59">
        <f t="shared" si="10"/>
        <v>0</v>
      </c>
      <c r="V184" s="55">
        <f t="shared" si="11"/>
        <v>13311</v>
      </c>
    </row>
    <row r="185" spans="1:22" ht="21.65" customHeight="1">
      <c r="A185" s="176">
        <v>168</v>
      </c>
      <c r="B185" s="178" t="s">
        <v>473</v>
      </c>
      <c r="C185" s="271" t="s">
        <v>668</v>
      </c>
      <c r="D185" s="177">
        <v>46014</v>
      </c>
      <c r="E185" s="178" t="s">
        <v>475</v>
      </c>
      <c r="F185" s="271" t="s">
        <v>476</v>
      </c>
      <c r="G185" s="178" t="s">
        <v>470</v>
      </c>
      <c r="H185" s="366">
        <v>1126333</v>
      </c>
      <c r="I185" s="176">
        <v>8</v>
      </c>
      <c r="J185" s="366">
        <v>90107</v>
      </c>
      <c r="K185" s="178" t="s">
        <v>261</v>
      </c>
      <c r="L185" s="178" t="s">
        <v>252</v>
      </c>
      <c r="M185" s="271" t="s">
        <v>471</v>
      </c>
      <c r="N185" s="177">
        <v>46229</v>
      </c>
      <c r="O185" s="177">
        <v>46229</v>
      </c>
      <c r="P185" s="366">
        <v>1216440</v>
      </c>
      <c r="Q185" s="176" t="s">
        <v>248</v>
      </c>
      <c r="R185" s="176" t="s">
        <v>434</v>
      </c>
      <c r="S185" s="178" t="s">
        <v>253</v>
      </c>
      <c r="T185" s="57" t="str">
        <f t="shared" si="9"/>
        <v>Đ</v>
      </c>
      <c r="U185" s="59">
        <f t="shared" si="10"/>
        <v>0</v>
      </c>
      <c r="V185" s="55">
        <f t="shared" si="11"/>
        <v>13311</v>
      </c>
    </row>
    <row r="186" spans="1:22" ht="21.65" customHeight="1">
      <c r="A186" s="176">
        <v>169</v>
      </c>
      <c r="B186" s="178" t="s">
        <v>473</v>
      </c>
      <c r="C186" s="271" t="s">
        <v>669</v>
      </c>
      <c r="D186" s="177">
        <v>46014</v>
      </c>
      <c r="E186" s="178" t="s">
        <v>475</v>
      </c>
      <c r="F186" s="271" t="s">
        <v>476</v>
      </c>
      <c r="G186" s="178" t="s">
        <v>470</v>
      </c>
      <c r="H186" s="366">
        <v>986731</v>
      </c>
      <c r="I186" s="176">
        <v>8</v>
      </c>
      <c r="J186" s="366">
        <v>78939</v>
      </c>
      <c r="K186" s="178" t="s">
        <v>261</v>
      </c>
      <c r="L186" s="178" t="s">
        <v>252</v>
      </c>
      <c r="M186" s="271" t="s">
        <v>471</v>
      </c>
      <c r="N186" s="177">
        <v>46229</v>
      </c>
      <c r="O186" s="177">
        <v>46229</v>
      </c>
      <c r="P186" s="366">
        <v>1065670</v>
      </c>
      <c r="Q186" s="176" t="s">
        <v>248</v>
      </c>
      <c r="R186" s="176" t="s">
        <v>434</v>
      </c>
      <c r="S186" s="178" t="s">
        <v>253</v>
      </c>
      <c r="T186" s="57" t="str">
        <f t="shared" si="9"/>
        <v>Đ</v>
      </c>
      <c r="U186" s="59">
        <f t="shared" si="10"/>
        <v>-1</v>
      </c>
      <c r="V186" s="55">
        <f t="shared" si="11"/>
        <v>13311</v>
      </c>
    </row>
    <row r="187" spans="1:22" ht="14.4" customHeight="1">
      <c r="A187" s="176">
        <v>170</v>
      </c>
      <c r="B187" s="178" t="s">
        <v>481</v>
      </c>
      <c r="C187" s="271" t="s">
        <v>670</v>
      </c>
      <c r="D187" s="177">
        <v>46014</v>
      </c>
      <c r="E187" s="178" t="s">
        <v>483</v>
      </c>
      <c r="F187" s="271" t="s">
        <v>484</v>
      </c>
      <c r="G187" s="178" t="s">
        <v>470</v>
      </c>
      <c r="H187" s="366">
        <v>1067611</v>
      </c>
      <c r="I187" s="176">
        <v>8</v>
      </c>
      <c r="J187" s="366">
        <v>85409</v>
      </c>
      <c r="K187" s="178" t="s">
        <v>261</v>
      </c>
      <c r="L187" s="178" t="s">
        <v>252</v>
      </c>
      <c r="M187" s="271" t="s">
        <v>471</v>
      </c>
      <c r="N187" s="177">
        <v>46229</v>
      </c>
      <c r="O187" s="177">
        <v>46229</v>
      </c>
      <c r="P187" s="366">
        <v>1153020</v>
      </c>
      <c r="Q187" s="176" t="s">
        <v>248</v>
      </c>
      <c r="R187" s="176" t="s">
        <v>434</v>
      </c>
      <c r="S187" s="178" t="s">
        <v>253</v>
      </c>
      <c r="T187" s="57" t="str">
        <f t="shared" si="9"/>
        <v>Đ</v>
      </c>
      <c r="U187" s="59">
        <f t="shared" si="10"/>
        <v>0</v>
      </c>
      <c r="V187" s="55">
        <f t="shared" si="11"/>
        <v>13311</v>
      </c>
    </row>
    <row r="188" spans="1:22" ht="14.4" customHeight="1">
      <c r="A188" s="176">
        <v>171</v>
      </c>
      <c r="B188" s="178" t="s">
        <v>481</v>
      </c>
      <c r="C188" s="271" t="s">
        <v>671</v>
      </c>
      <c r="D188" s="177">
        <v>46014</v>
      </c>
      <c r="E188" s="178" t="s">
        <v>483</v>
      </c>
      <c r="F188" s="271" t="s">
        <v>484</v>
      </c>
      <c r="G188" s="178" t="s">
        <v>470</v>
      </c>
      <c r="H188" s="366">
        <v>363333</v>
      </c>
      <c r="I188" s="176">
        <v>8</v>
      </c>
      <c r="J188" s="366">
        <v>29067</v>
      </c>
      <c r="K188" s="178" t="s">
        <v>261</v>
      </c>
      <c r="L188" s="178" t="s">
        <v>252</v>
      </c>
      <c r="M188" s="271" t="s">
        <v>471</v>
      </c>
      <c r="N188" s="177">
        <v>46229</v>
      </c>
      <c r="O188" s="177">
        <v>46229</v>
      </c>
      <c r="P188" s="366">
        <v>392400</v>
      </c>
      <c r="Q188" s="176" t="s">
        <v>248</v>
      </c>
      <c r="R188" s="176" t="s">
        <v>434</v>
      </c>
      <c r="S188" s="178" t="s">
        <v>253</v>
      </c>
      <c r="T188" s="57" t="str">
        <f t="shared" si="9"/>
        <v>Đ</v>
      </c>
      <c r="U188" s="59">
        <f t="shared" si="10"/>
        <v>0</v>
      </c>
      <c r="V188" s="55">
        <f t="shared" si="11"/>
        <v>13311</v>
      </c>
    </row>
    <row r="189" spans="1:22" ht="14.4" customHeight="1">
      <c r="A189" s="176">
        <v>172</v>
      </c>
      <c r="B189" s="178" t="s">
        <v>481</v>
      </c>
      <c r="C189" s="271" t="s">
        <v>672</v>
      </c>
      <c r="D189" s="177">
        <v>46014</v>
      </c>
      <c r="E189" s="178" t="s">
        <v>483</v>
      </c>
      <c r="F189" s="271" t="s">
        <v>484</v>
      </c>
      <c r="G189" s="178" t="s">
        <v>470</v>
      </c>
      <c r="H189" s="366">
        <v>181667</v>
      </c>
      <c r="I189" s="176">
        <v>8</v>
      </c>
      <c r="J189" s="366">
        <v>14533</v>
      </c>
      <c r="K189" s="178" t="s">
        <v>261</v>
      </c>
      <c r="L189" s="178" t="s">
        <v>252</v>
      </c>
      <c r="M189" s="271" t="s">
        <v>471</v>
      </c>
      <c r="N189" s="177">
        <v>46229</v>
      </c>
      <c r="O189" s="177">
        <v>46229</v>
      </c>
      <c r="P189" s="366">
        <v>196200</v>
      </c>
      <c r="Q189" s="176" t="s">
        <v>248</v>
      </c>
      <c r="R189" s="176" t="s">
        <v>434</v>
      </c>
      <c r="S189" s="178" t="s">
        <v>253</v>
      </c>
      <c r="T189" s="57" t="str">
        <f t="shared" si="9"/>
        <v>Đ</v>
      </c>
      <c r="U189" s="59">
        <f t="shared" si="10"/>
        <v>0</v>
      </c>
      <c r="V189" s="55">
        <f t="shared" si="11"/>
        <v>13311</v>
      </c>
    </row>
    <row r="190" spans="1:22" ht="14.4" customHeight="1">
      <c r="A190" s="176">
        <v>173</v>
      </c>
      <c r="B190" s="178" t="s">
        <v>481</v>
      </c>
      <c r="C190" s="271" t="s">
        <v>673</v>
      </c>
      <c r="D190" s="177">
        <v>46014</v>
      </c>
      <c r="E190" s="178" t="s">
        <v>483</v>
      </c>
      <c r="F190" s="271" t="s">
        <v>484</v>
      </c>
      <c r="G190" s="178" t="s">
        <v>470</v>
      </c>
      <c r="H190" s="366">
        <v>1666120</v>
      </c>
      <c r="I190" s="176">
        <v>8</v>
      </c>
      <c r="J190" s="366">
        <v>133290</v>
      </c>
      <c r="K190" s="178" t="s">
        <v>261</v>
      </c>
      <c r="L190" s="178" t="s">
        <v>252</v>
      </c>
      <c r="M190" s="271" t="s">
        <v>471</v>
      </c>
      <c r="N190" s="177">
        <v>46229</v>
      </c>
      <c r="O190" s="177">
        <v>46229</v>
      </c>
      <c r="P190" s="366">
        <v>1799410</v>
      </c>
      <c r="Q190" s="176" t="s">
        <v>248</v>
      </c>
      <c r="R190" s="176" t="s">
        <v>434</v>
      </c>
      <c r="S190" s="178" t="s">
        <v>253</v>
      </c>
      <c r="T190" s="57" t="str">
        <f t="shared" si="9"/>
        <v>Đ</v>
      </c>
      <c r="U190" s="59">
        <f t="shared" si="10"/>
        <v>0</v>
      </c>
      <c r="V190" s="55">
        <f t="shared" si="11"/>
        <v>13311</v>
      </c>
    </row>
    <row r="191" spans="1:22" ht="14.4" customHeight="1">
      <c r="A191" s="176">
        <v>174</v>
      </c>
      <c r="B191" s="178" t="s">
        <v>481</v>
      </c>
      <c r="C191" s="271" t="s">
        <v>674</v>
      </c>
      <c r="D191" s="177">
        <v>46014</v>
      </c>
      <c r="E191" s="178" t="s">
        <v>483</v>
      </c>
      <c r="F191" s="271" t="s">
        <v>484</v>
      </c>
      <c r="G191" s="178" t="s">
        <v>470</v>
      </c>
      <c r="H191" s="366">
        <v>824972</v>
      </c>
      <c r="I191" s="176">
        <v>8</v>
      </c>
      <c r="J191" s="366">
        <v>65998</v>
      </c>
      <c r="K191" s="178" t="s">
        <v>261</v>
      </c>
      <c r="L191" s="178" t="s">
        <v>252</v>
      </c>
      <c r="M191" s="271" t="s">
        <v>471</v>
      </c>
      <c r="N191" s="177">
        <v>46229</v>
      </c>
      <c r="O191" s="177">
        <v>46229</v>
      </c>
      <c r="P191" s="366">
        <v>890970</v>
      </c>
      <c r="Q191" s="176" t="s">
        <v>248</v>
      </c>
      <c r="R191" s="176" t="s">
        <v>434</v>
      </c>
      <c r="S191" s="178" t="s">
        <v>253</v>
      </c>
      <c r="T191" s="57" t="str">
        <f t="shared" si="9"/>
        <v>Đ</v>
      </c>
      <c r="U191" s="59">
        <f t="shared" si="10"/>
        <v>0</v>
      </c>
      <c r="V191" s="55">
        <f t="shared" si="11"/>
        <v>13311</v>
      </c>
    </row>
    <row r="192" spans="1:22" ht="14.4" customHeight="1">
      <c r="A192" s="176">
        <v>175</v>
      </c>
      <c r="B192" s="178" t="s">
        <v>481</v>
      </c>
      <c r="C192" s="271" t="s">
        <v>675</v>
      </c>
      <c r="D192" s="177">
        <v>46014</v>
      </c>
      <c r="E192" s="178" t="s">
        <v>483</v>
      </c>
      <c r="F192" s="271" t="s">
        <v>484</v>
      </c>
      <c r="G192" s="178" t="s">
        <v>470</v>
      </c>
      <c r="H192" s="366">
        <v>1682296</v>
      </c>
      <c r="I192" s="176">
        <v>8</v>
      </c>
      <c r="J192" s="366">
        <v>134584</v>
      </c>
      <c r="K192" s="178" t="s">
        <v>261</v>
      </c>
      <c r="L192" s="178" t="s">
        <v>252</v>
      </c>
      <c r="M192" s="271" t="s">
        <v>471</v>
      </c>
      <c r="N192" s="177">
        <v>46229</v>
      </c>
      <c r="O192" s="177">
        <v>46229</v>
      </c>
      <c r="P192" s="366">
        <v>1816880</v>
      </c>
      <c r="Q192" s="176" t="s">
        <v>248</v>
      </c>
      <c r="R192" s="176" t="s">
        <v>434</v>
      </c>
      <c r="S192" s="178" t="s">
        <v>253</v>
      </c>
      <c r="T192" s="57" t="str">
        <f t="shared" si="9"/>
        <v>Đ</v>
      </c>
      <c r="U192" s="59">
        <f t="shared" si="10"/>
        <v>0</v>
      </c>
      <c r="V192" s="55">
        <f t="shared" si="11"/>
        <v>13311</v>
      </c>
    </row>
    <row r="193" spans="1:22" ht="14.4" customHeight="1">
      <c r="A193" s="176">
        <v>176</v>
      </c>
      <c r="B193" s="178" t="s">
        <v>481</v>
      </c>
      <c r="C193" s="271" t="s">
        <v>676</v>
      </c>
      <c r="D193" s="177">
        <v>46014</v>
      </c>
      <c r="E193" s="178" t="s">
        <v>483</v>
      </c>
      <c r="F193" s="271" t="s">
        <v>484</v>
      </c>
      <c r="G193" s="178" t="s">
        <v>470</v>
      </c>
      <c r="H193" s="366">
        <v>1358778</v>
      </c>
      <c r="I193" s="176">
        <v>8</v>
      </c>
      <c r="J193" s="366">
        <v>108702</v>
      </c>
      <c r="K193" s="178" t="s">
        <v>261</v>
      </c>
      <c r="L193" s="178" t="s">
        <v>252</v>
      </c>
      <c r="M193" s="271" t="s">
        <v>471</v>
      </c>
      <c r="N193" s="177">
        <v>46229</v>
      </c>
      <c r="O193" s="177">
        <v>46229</v>
      </c>
      <c r="P193" s="366">
        <v>1467480</v>
      </c>
      <c r="Q193" s="176" t="s">
        <v>248</v>
      </c>
      <c r="R193" s="176" t="s">
        <v>434</v>
      </c>
      <c r="S193" s="178" t="s">
        <v>253</v>
      </c>
      <c r="T193" s="57" t="str">
        <f t="shared" si="9"/>
        <v>Đ</v>
      </c>
      <c r="U193" s="59">
        <f t="shared" si="10"/>
        <v>0</v>
      </c>
      <c r="V193" s="55">
        <f t="shared" si="11"/>
        <v>13311</v>
      </c>
    </row>
    <row r="194" spans="1:22" ht="14.4" customHeight="1">
      <c r="A194" s="176">
        <v>177</v>
      </c>
      <c r="B194" s="178" t="s">
        <v>481</v>
      </c>
      <c r="C194" s="271" t="s">
        <v>677</v>
      </c>
      <c r="D194" s="177">
        <v>46014</v>
      </c>
      <c r="E194" s="178" t="s">
        <v>483</v>
      </c>
      <c r="F194" s="271" t="s">
        <v>484</v>
      </c>
      <c r="G194" s="178" t="s">
        <v>470</v>
      </c>
      <c r="H194" s="366">
        <v>1380667</v>
      </c>
      <c r="I194" s="176">
        <v>8</v>
      </c>
      <c r="J194" s="366">
        <v>110453</v>
      </c>
      <c r="K194" s="178" t="s">
        <v>261</v>
      </c>
      <c r="L194" s="178" t="s">
        <v>252</v>
      </c>
      <c r="M194" s="271" t="s">
        <v>471</v>
      </c>
      <c r="N194" s="177">
        <v>46229</v>
      </c>
      <c r="O194" s="177">
        <v>46229</v>
      </c>
      <c r="P194" s="366">
        <v>1491120</v>
      </c>
      <c r="Q194" s="176" t="s">
        <v>248</v>
      </c>
      <c r="R194" s="176" t="s">
        <v>434</v>
      </c>
      <c r="S194" s="178" t="s">
        <v>253</v>
      </c>
      <c r="T194" s="57" t="str">
        <f t="shared" si="9"/>
        <v>Đ</v>
      </c>
      <c r="U194" s="59">
        <f t="shared" si="10"/>
        <v>0</v>
      </c>
      <c r="V194" s="55">
        <f t="shared" si="11"/>
        <v>13311</v>
      </c>
    </row>
    <row r="195" spans="1:22" ht="14.4" customHeight="1">
      <c r="A195" s="176">
        <v>178</v>
      </c>
      <c r="B195" s="178" t="s">
        <v>481</v>
      </c>
      <c r="C195" s="271" t="s">
        <v>678</v>
      </c>
      <c r="D195" s="177">
        <v>46014</v>
      </c>
      <c r="E195" s="178" t="s">
        <v>483</v>
      </c>
      <c r="F195" s="271" t="s">
        <v>484</v>
      </c>
      <c r="G195" s="178" t="s">
        <v>470</v>
      </c>
      <c r="H195" s="366">
        <v>1816667</v>
      </c>
      <c r="I195" s="176">
        <v>8</v>
      </c>
      <c r="J195" s="366">
        <v>145333</v>
      </c>
      <c r="K195" s="178" t="s">
        <v>261</v>
      </c>
      <c r="L195" s="178" t="s">
        <v>252</v>
      </c>
      <c r="M195" s="271" t="s">
        <v>471</v>
      </c>
      <c r="N195" s="177">
        <v>46229</v>
      </c>
      <c r="O195" s="177">
        <v>46229</v>
      </c>
      <c r="P195" s="366">
        <v>1962000</v>
      </c>
      <c r="Q195" s="176" t="s">
        <v>248</v>
      </c>
      <c r="R195" s="176" t="s">
        <v>434</v>
      </c>
      <c r="S195" s="178" t="s">
        <v>253</v>
      </c>
      <c r="T195" s="57" t="str">
        <f t="shared" si="9"/>
        <v>Đ</v>
      </c>
      <c r="U195" s="59">
        <f t="shared" si="10"/>
        <v>0</v>
      </c>
      <c r="V195" s="55">
        <f t="shared" si="11"/>
        <v>13311</v>
      </c>
    </row>
    <row r="196" spans="1:22" ht="14.4" customHeight="1">
      <c r="A196" s="176">
        <v>179</v>
      </c>
      <c r="B196" s="178" t="s">
        <v>473</v>
      </c>
      <c r="C196" s="271" t="s">
        <v>679</v>
      </c>
      <c r="D196" s="177">
        <v>46015</v>
      </c>
      <c r="E196" s="178" t="s">
        <v>475</v>
      </c>
      <c r="F196" s="271" t="s">
        <v>476</v>
      </c>
      <c r="G196" s="178" t="s">
        <v>470</v>
      </c>
      <c r="H196" s="366">
        <v>812778</v>
      </c>
      <c r="I196" s="176">
        <v>8</v>
      </c>
      <c r="J196" s="366">
        <v>65022</v>
      </c>
      <c r="K196" s="178" t="s">
        <v>261</v>
      </c>
      <c r="L196" s="178" t="s">
        <v>252</v>
      </c>
      <c r="M196" s="271" t="s">
        <v>471</v>
      </c>
      <c r="N196" s="177">
        <v>46229</v>
      </c>
      <c r="O196" s="177">
        <v>46229</v>
      </c>
      <c r="P196" s="366">
        <v>877800</v>
      </c>
      <c r="Q196" s="176" t="s">
        <v>248</v>
      </c>
      <c r="R196" s="176" t="s">
        <v>434</v>
      </c>
      <c r="S196" s="178" t="s">
        <v>253</v>
      </c>
      <c r="T196" s="57" t="str">
        <f t="shared" si="9"/>
        <v>Đ</v>
      </c>
      <c r="U196" s="59">
        <f t="shared" si="10"/>
        <v>0</v>
      </c>
      <c r="V196" s="55">
        <f t="shared" si="11"/>
        <v>13311</v>
      </c>
    </row>
    <row r="197" spans="1:22" ht="21.65" customHeight="1">
      <c r="A197" s="176">
        <v>180</v>
      </c>
      <c r="B197" s="178" t="s">
        <v>473</v>
      </c>
      <c r="C197" s="271" t="s">
        <v>680</v>
      </c>
      <c r="D197" s="177">
        <v>46015</v>
      </c>
      <c r="E197" s="178" t="s">
        <v>475</v>
      </c>
      <c r="F197" s="271" t="s">
        <v>476</v>
      </c>
      <c r="G197" s="178" t="s">
        <v>470</v>
      </c>
      <c r="H197" s="366">
        <v>406389</v>
      </c>
      <c r="I197" s="176">
        <v>8</v>
      </c>
      <c r="J197" s="366">
        <v>32511</v>
      </c>
      <c r="K197" s="178" t="s">
        <v>261</v>
      </c>
      <c r="L197" s="178" t="s">
        <v>252</v>
      </c>
      <c r="M197" s="271" t="s">
        <v>471</v>
      </c>
      <c r="N197" s="177">
        <v>46229</v>
      </c>
      <c r="O197" s="177">
        <v>46229</v>
      </c>
      <c r="P197" s="366">
        <v>438900</v>
      </c>
      <c r="Q197" s="176" t="s">
        <v>248</v>
      </c>
      <c r="R197" s="176" t="s">
        <v>434</v>
      </c>
      <c r="S197" s="178" t="s">
        <v>253</v>
      </c>
      <c r="T197" s="57" t="str">
        <f t="shared" si="9"/>
        <v>Đ</v>
      </c>
      <c r="U197" s="59">
        <f t="shared" si="10"/>
        <v>0</v>
      </c>
      <c r="V197" s="55">
        <f t="shared" si="11"/>
        <v>13311</v>
      </c>
    </row>
    <row r="198" spans="1:22" ht="21.65" customHeight="1">
      <c r="A198" s="176">
        <v>181</v>
      </c>
      <c r="B198" s="178" t="s">
        <v>473</v>
      </c>
      <c r="C198" s="271" t="s">
        <v>681</v>
      </c>
      <c r="D198" s="177">
        <v>46015</v>
      </c>
      <c r="E198" s="178" t="s">
        <v>475</v>
      </c>
      <c r="F198" s="271" t="s">
        <v>476</v>
      </c>
      <c r="G198" s="178" t="s">
        <v>470</v>
      </c>
      <c r="H198" s="366">
        <v>406389</v>
      </c>
      <c r="I198" s="176">
        <v>8</v>
      </c>
      <c r="J198" s="366">
        <v>32511</v>
      </c>
      <c r="K198" s="178" t="s">
        <v>261</v>
      </c>
      <c r="L198" s="178" t="s">
        <v>252</v>
      </c>
      <c r="M198" s="271" t="s">
        <v>471</v>
      </c>
      <c r="N198" s="177">
        <v>46229</v>
      </c>
      <c r="O198" s="177">
        <v>46229</v>
      </c>
      <c r="P198" s="366">
        <v>438900</v>
      </c>
      <c r="Q198" s="176" t="s">
        <v>248</v>
      </c>
      <c r="R198" s="176" t="s">
        <v>434</v>
      </c>
      <c r="S198" s="178" t="s">
        <v>253</v>
      </c>
      <c r="T198" s="57" t="str">
        <f t="shared" si="9"/>
        <v>Đ</v>
      </c>
      <c r="U198" s="59">
        <f t="shared" si="10"/>
        <v>0</v>
      </c>
      <c r="V198" s="55">
        <f t="shared" si="11"/>
        <v>13311</v>
      </c>
    </row>
    <row r="199" spans="1:22" ht="14.4" customHeight="1">
      <c r="A199" s="176">
        <v>182</v>
      </c>
      <c r="B199" s="178" t="s">
        <v>473</v>
      </c>
      <c r="C199" s="271" t="s">
        <v>682</v>
      </c>
      <c r="D199" s="177">
        <v>46015</v>
      </c>
      <c r="E199" s="178" t="s">
        <v>475</v>
      </c>
      <c r="F199" s="271" t="s">
        <v>476</v>
      </c>
      <c r="G199" s="178" t="s">
        <v>470</v>
      </c>
      <c r="H199" s="366">
        <v>406389</v>
      </c>
      <c r="I199" s="176">
        <v>8</v>
      </c>
      <c r="J199" s="366">
        <v>32511</v>
      </c>
      <c r="K199" s="178" t="s">
        <v>261</v>
      </c>
      <c r="L199" s="178" t="s">
        <v>252</v>
      </c>
      <c r="M199" s="271" t="s">
        <v>471</v>
      </c>
      <c r="N199" s="177">
        <v>46229</v>
      </c>
      <c r="O199" s="177">
        <v>46229</v>
      </c>
      <c r="P199" s="366">
        <v>438900</v>
      </c>
      <c r="Q199" s="176" t="s">
        <v>248</v>
      </c>
      <c r="R199" s="176" t="s">
        <v>434</v>
      </c>
      <c r="S199" s="178" t="s">
        <v>253</v>
      </c>
      <c r="T199" s="57" t="str">
        <f t="shared" si="9"/>
        <v>Đ</v>
      </c>
      <c r="U199" s="59">
        <f t="shared" si="10"/>
        <v>0</v>
      </c>
      <c r="V199" s="55">
        <f t="shared" si="11"/>
        <v>13311</v>
      </c>
    </row>
    <row r="200" spans="1:22" ht="21.65" customHeight="1">
      <c r="A200" s="176">
        <v>183</v>
      </c>
      <c r="B200" s="178" t="s">
        <v>473</v>
      </c>
      <c r="C200" s="271" t="s">
        <v>683</v>
      </c>
      <c r="D200" s="177">
        <v>46015</v>
      </c>
      <c r="E200" s="178" t="s">
        <v>475</v>
      </c>
      <c r="F200" s="271" t="s">
        <v>476</v>
      </c>
      <c r="G200" s="178" t="s">
        <v>470</v>
      </c>
      <c r="H200" s="366">
        <v>812778</v>
      </c>
      <c r="I200" s="176">
        <v>8</v>
      </c>
      <c r="J200" s="366">
        <v>65022</v>
      </c>
      <c r="K200" s="178" t="s">
        <v>261</v>
      </c>
      <c r="L200" s="178" t="s">
        <v>252</v>
      </c>
      <c r="M200" s="271" t="s">
        <v>471</v>
      </c>
      <c r="N200" s="177">
        <v>46229</v>
      </c>
      <c r="O200" s="177">
        <v>46229</v>
      </c>
      <c r="P200" s="366">
        <v>877800</v>
      </c>
      <c r="Q200" s="176" t="s">
        <v>248</v>
      </c>
      <c r="R200" s="176" t="s">
        <v>434</v>
      </c>
      <c r="S200" s="178" t="s">
        <v>253</v>
      </c>
      <c r="T200" s="57" t="str">
        <f t="shared" si="9"/>
        <v>Đ</v>
      </c>
      <c r="U200" s="59">
        <f t="shared" si="10"/>
        <v>0</v>
      </c>
      <c r="V200" s="55">
        <f t="shared" si="11"/>
        <v>13311</v>
      </c>
    </row>
    <row r="201" spans="1:22" ht="21.65" customHeight="1">
      <c r="A201" s="176">
        <v>184</v>
      </c>
      <c r="B201" s="178" t="s">
        <v>473</v>
      </c>
      <c r="C201" s="271" t="s">
        <v>684</v>
      </c>
      <c r="D201" s="177">
        <v>46015</v>
      </c>
      <c r="E201" s="178" t="s">
        <v>475</v>
      </c>
      <c r="F201" s="271" t="s">
        <v>476</v>
      </c>
      <c r="G201" s="178" t="s">
        <v>470</v>
      </c>
      <c r="H201" s="366">
        <v>812778</v>
      </c>
      <c r="I201" s="176">
        <v>8</v>
      </c>
      <c r="J201" s="366">
        <v>65022</v>
      </c>
      <c r="K201" s="178" t="s">
        <v>261</v>
      </c>
      <c r="L201" s="178" t="s">
        <v>252</v>
      </c>
      <c r="M201" s="271" t="s">
        <v>471</v>
      </c>
      <c r="N201" s="177">
        <v>46229</v>
      </c>
      <c r="O201" s="177">
        <v>46229</v>
      </c>
      <c r="P201" s="366">
        <v>877800</v>
      </c>
      <c r="Q201" s="176" t="s">
        <v>248</v>
      </c>
      <c r="R201" s="176" t="s">
        <v>434</v>
      </c>
      <c r="S201" s="178" t="s">
        <v>253</v>
      </c>
      <c r="T201" s="57" t="str">
        <f t="shared" si="9"/>
        <v>Đ</v>
      </c>
      <c r="U201" s="59">
        <f t="shared" si="10"/>
        <v>0</v>
      </c>
      <c r="V201" s="55">
        <f t="shared" si="11"/>
        <v>13311</v>
      </c>
    </row>
    <row r="202" spans="1:22" ht="14.4" customHeight="1">
      <c r="A202" s="176">
        <v>185</v>
      </c>
      <c r="B202" s="178" t="s">
        <v>473</v>
      </c>
      <c r="C202" s="271" t="s">
        <v>685</v>
      </c>
      <c r="D202" s="177">
        <v>46015</v>
      </c>
      <c r="E202" s="178" t="s">
        <v>475</v>
      </c>
      <c r="F202" s="271" t="s">
        <v>476</v>
      </c>
      <c r="G202" s="178" t="s">
        <v>470</v>
      </c>
      <c r="H202" s="366">
        <v>1071833</v>
      </c>
      <c r="I202" s="176">
        <v>8</v>
      </c>
      <c r="J202" s="366">
        <v>85747</v>
      </c>
      <c r="K202" s="178" t="s">
        <v>261</v>
      </c>
      <c r="L202" s="178" t="s">
        <v>252</v>
      </c>
      <c r="M202" s="271" t="s">
        <v>471</v>
      </c>
      <c r="N202" s="177">
        <v>46229</v>
      </c>
      <c r="O202" s="177">
        <v>46229</v>
      </c>
      <c r="P202" s="366">
        <v>1157580</v>
      </c>
      <c r="Q202" s="176" t="s">
        <v>248</v>
      </c>
      <c r="R202" s="176" t="s">
        <v>434</v>
      </c>
      <c r="S202" s="178" t="s">
        <v>253</v>
      </c>
      <c r="T202" s="57" t="str">
        <f t="shared" si="9"/>
        <v>Đ</v>
      </c>
      <c r="U202" s="59">
        <f t="shared" si="10"/>
        <v>0</v>
      </c>
      <c r="V202" s="55">
        <f t="shared" si="11"/>
        <v>13311</v>
      </c>
    </row>
    <row r="203" spans="1:22" ht="14.4" customHeight="1">
      <c r="A203" s="176">
        <v>186</v>
      </c>
      <c r="B203" s="178" t="s">
        <v>473</v>
      </c>
      <c r="C203" s="271" t="s">
        <v>686</v>
      </c>
      <c r="D203" s="177">
        <v>46015</v>
      </c>
      <c r="E203" s="178" t="s">
        <v>475</v>
      </c>
      <c r="F203" s="271" t="s">
        <v>476</v>
      </c>
      <c r="G203" s="178" t="s">
        <v>470</v>
      </c>
      <c r="H203" s="366">
        <v>1580500</v>
      </c>
      <c r="I203" s="176">
        <v>8</v>
      </c>
      <c r="J203" s="366">
        <v>126440</v>
      </c>
      <c r="K203" s="178" t="s">
        <v>261</v>
      </c>
      <c r="L203" s="178" t="s">
        <v>252</v>
      </c>
      <c r="M203" s="271" t="s">
        <v>471</v>
      </c>
      <c r="N203" s="177">
        <v>46229</v>
      </c>
      <c r="O203" s="177">
        <v>46229</v>
      </c>
      <c r="P203" s="366">
        <v>1706940</v>
      </c>
      <c r="Q203" s="176" t="s">
        <v>248</v>
      </c>
      <c r="R203" s="176" t="s">
        <v>434</v>
      </c>
      <c r="S203" s="178" t="s">
        <v>253</v>
      </c>
      <c r="T203" s="57" t="str">
        <f t="shared" si="9"/>
        <v>Đ</v>
      </c>
      <c r="U203" s="59">
        <f t="shared" si="10"/>
        <v>0</v>
      </c>
      <c r="V203" s="55">
        <f t="shared" si="11"/>
        <v>13311</v>
      </c>
    </row>
    <row r="204" spans="1:22" ht="21.65" customHeight="1">
      <c r="A204" s="176">
        <v>187</v>
      </c>
      <c r="B204" s="178" t="s">
        <v>473</v>
      </c>
      <c r="C204" s="271" t="s">
        <v>687</v>
      </c>
      <c r="D204" s="177">
        <v>46015</v>
      </c>
      <c r="E204" s="178" t="s">
        <v>475</v>
      </c>
      <c r="F204" s="271" t="s">
        <v>476</v>
      </c>
      <c r="G204" s="178" t="s">
        <v>470</v>
      </c>
      <c r="H204" s="366">
        <v>1090000</v>
      </c>
      <c r="I204" s="176">
        <v>8</v>
      </c>
      <c r="J204" s="366">
        <v>87200</v>
      </c>
      <c r="K204" s="178" t="s">
        <v>261</v>
      </c>
      <c r="L204" s="178" t="s">
        <v>252</v>
      </c>
      <c r="M204" s="271" t="s">
        <v>471</v>
      </c>
      <c r="N204" s="177">
        <v>46229</v>
      </c>
      <c r="O204" s="177">
        <v>46229</v>
      </c>
      <c r="P204" s="366">
        <v>1177200</v>
      </c>
      <c r="Q204" s="176" t="s">
        <v>248</v>
      </c>
      <c r="R204" s="176" t="s">
        <v>434</v>
      </c>
      <c r="S204" s="178" t="s">
        <v>253</v>
      </c>
      <c r="T204" s="57" t="str">
        <f t="shared" si="9"/>
        <v>Đ</v>
      </c>
      <c r="U204" s="59">
        <f t="shared" si="10"/>
        <v>0</v>
      </c>
      <c r="V204" s="55">
        <f t="shared" si="11"/>
        <v>13311</v>
      </c>
    </row>
    <row r="205" spans="1:22" ht="14.4" customHeight="1">
      <c r="A205" s="176">
        <v>188</v>
      </c>
      <c r="B205" s="178" t="s">
        <v>473</v>
      </c>
      <c r="C205" s="271" t="s">
        <v>688</v>
      </c>
      <c r="D205" s="177">
        <v>46015</v>
      </c>
      <c r="E205" s="178" t="s">
        <v>475</v>
      </c>
      <c r="F205" s="271" t="s">
        <v>476</v>
      </c>
      <c r="G205" s="178" t="s">
        <v>470</v>
      </c>
      <c r="H205" s="366">
        <v>873500</v>
      </c>
      <c r="I205" s="176">
        <v>8</v>
      </c>
      <c r="J205" s="366">
        <v>69880</v>
      </c>
      <c r="K205" s="178" t="s">
        <v>261</v>
      </c>
      <c r="L205" s="178" t="s">
        <v>252</v>
      </c>
      <c r="M205" s="271" t="s">
        <v>471</v>
      </c>
      <c r="N205" s="177">
        <v>46229</v>
      </c>
      <c r="O205" s="177">
        <v>46229</v>
      </c>
      <c r="P205" s="366">
        <v>943380</v>
      </c>
      <c r="Q205" s="176" t="s">
        <v>248</v>
      </c>
      <c r="R205" s="176" t="s">
        <v>434</v>
      </c>
      <c r="S205" s="178" t="s">
        <v>253</v>
      </c>
      <c r="T205" s="57" t="str">
        <f t="shared" si="9"/>
        <v>Đ</v>
      </c>
      <c r="U205" s="59">
        <f t="shared" si="10"/>
        <v>0</v>
      </c>
      <c r="V205" s="55">
        <f t="shared" si="11"/>
        <v>13311</v>
      </c>
    </row>
    <row r="206" spans="1:22" ht="14.4" customHeight="1">
      <c r="A206" s="176">
        <v>189</v>
      </c>
      <c r="B206" s="178" t="s">
        <v>473</v>
      </c>
      <c r="C206" s="271" t="s">
        <v>689</v>
      </c>
      <c r="D206" s="177">
        <v>46015</v>
      </c>
      <c r="E206" s="178" t="s">
        <v>475</v>
      </c>
      <c r="F206" s="271" t="s">
        <v>476</v>
      </c>
      <c r="G206" s="178" t="s">
        <v>470</v>
      </c>
      <c r="H206" s="366">
        <v>1017333</v>
      </c>
      <c r="I206" s="176">
        <v>8</v>
      </c>
      <c r="J206" s="366">
        <v>81387</v>
      </c>
      <c r="K206" s="178" t="s">
        <v>261</v>
      </c>
      <c r="L206" s="178" t="s">
        <v>252</v>
      </c>
      <c r="M206" s="271" t="s">
        <v>471</v>
      </c>
      <c r="N206" s="177">
        <v>46229</v>
      </c>
      <c r="O206" s="177">
        <v>46229</v>
      </c>
      <c r="P206" s="366">
        <v>1098720</v>
      </c>
      <c r="Q206" s="176" t="s">
        <v>248</v>
      </c>
      <c r="R206" s="176" t="s">
        <v>434</v>
      </c>
      <c r="S206" s="178" t="s">
        <v>253</v>
      </c>
      <c r="T206" s="57" t="str">
        <f t="shared" ref="T206:T269" si="12">IF(OR(LEN(F206)=11,LEN(F206)=15),"Đ","SAI")</f>
        <v>Đ</v>
      </c>
      <c r="U206" s="59">
        <f t="shared" ref="U206:U269" si="13">ROUND(H206*I206%,0)-J206</f>
        <v>0</v>
      </c>
      <c r="V206" s="55">
        <f t="shared" ref="V206:V269" si="14">IF(Q206=$V$12,13313,13311)</f>
        <v>13311</v>
      </c>
    </row>
    <row r="207" spans="1:22" ht="21.65" customHeight="1">
      <c r="A207" s="176">
        <v>190</v>
      </c>
      <c r="B207" s="178" t="s">
        <v>473</v>
      </c>
      <c r="C207" s="271" t="s">
        <v>690</v>
      </c>
      <c r="D207" s="177">
        <v>46015</v>
      </c>
      <c r="E207" s="178" t="s">
        <v>475</v>
      </c>
      <c r="F207" s="271" t="s">
        <v>476</v>
      </c>
      <c r="G207" s="178" t="s">
        <v>470</v>
      </c>
      <c r="H207" s="366">
        <v>1213194</v>
      </c>
      <c r="I207" s="176">
        <v>8</v>
      </c>
      <c r="J207" s="366">
        <v>97056</v>
      </c>
      <c r="K207" s="178" t="s">
        <v>261</v>
      </c>
      <c r="L207" s="178" t="s">
        <v>252</v>
      </c>
      <c r="M207" s="271" t="s">
        <v>471</v>
      </c>
      <c r="N207" s="177">
        <v>46229</v>
      </c>
      <c r="O207" s="177">
        <v>46229</v>
      </c>
      <c r="P207" s="366">
        <v>1310250</v>
      </c>
      <c r="Q207" s="176" t="s">
        <v>248</v>
      </c>
      <c r="R207" s="176" t="s">
        <v>434</v>
      </c>
      <c r="S207" s="178" t="s">
        <v>253</v>
      </c>
      <c r="T207" s="57" t="str">
        <f t="shared" si="12"/>
        <v>Đ</v>
      </c>
      <c r="U207" s="59">
        <f t="shared" si="13"/>
        <v>0</v>
      </c>
      <c r="V207" s="55">
        <f t="shared" si="14"/>
        <v>13311</v>
      </c>
    </row>
    <row r="208" spans="1:22" ht="14.4" customHeight="1">
      <c r="A208" s="176">
        <v>191</v>
      </c>
      <c r="B208" s="178" t="s">
        <v>473</v>
      </c>
      <c r="C208" s="271" t="s">
        <v>691</v>
      </c>
      <c r="D208" s="177">
        <v>46015</v>
      </c>
      <c r="E208" s="178" t="s">
        <v>475</v>
      </c>
      <c r="F208" s="271" t="s">
        <v>476</v>
      </c>
      <c r="G208" s="178" t="s">
        <v>470</v>
      </c>
      <c r="H208" s="366">
        <v>727917</v>
      </c>
      <c r="I208" s="176">
        <v>8</v>
      </c>
      <c r="J208" s="366">
        <v>58233</v>
      </c>
      <c r="K208" s="178" t="s">
        <v>261</v>
      </c>
      <c r="L208" s="178" t="s">
        <v>252</v>
      </c>
      <c r="M208" s="271" t="s">
        <v>471</v>
      </c>
      <c r="N208" s="177">
        <v>46229</v>
      </c>
      <c r="O208" s="177">
        <v>46229</v>
      </c>
      <c r="P208" s="366">
        <v>786150</v>
      </c>
      <c r="Q208" s="176" t="s">
        <v>248</v>
      </c>
      <c r="R208" s="176" t="s">
        <v>434</v>
      </c>
      <c r="S208" s="178" t="s">
        <v>253</v>
      </c>
      <c r="T208" s="57" t="str">
        <f t="shared" si="12"/>
        <v>Đ</v>
      </c>
      <c r="U208" s="59">
        <f t="shared" si="13"/>
        <v>0</v>
      </c>
      <c r="V208" s="55">
        <f t="shared" si="14"/>
        <v>13311</v>
      </c>
    </row>
    <row r="209" spans="1:22" ht="21.65" customHeight="1">
      <c r="A209" s="176">
        <v>192</v>
      </c>
      <c r="B209" s="178" t="s">
        <v>692</v>
      </c>
      <c r="C209" s="271" t="s">
        <v>693</v>
      </c>
      <c r="D209" s="177">
        <v>46015</v>
      </c>
      <c r="E209" s="178" t="s">
        <v>694</v>
      </c>
      <c r="F209" s="271" t="s">
        <v>695</v>
      </c>
      <c r="G209" s="178" t="s">
        <v>696</v>
      </c>
      <c r="H209" s="366">
        <v>300000</v>
      </c>
      <c r="I209" s="176">
        <v>8</v>
      </c>
      <c r="J209" s="366">
        <v>24000</v>
      </c>
      <c r="K209" s="178" t="s">
        <v>261</v>
      </c>
      <c r="L209" s="178" t="s">
        <v>252</v>
      </c>
      <c r="M209" s="271" t="s">
        <v>471</v>
      </c>
      <c r="N209" s="177">
        <v>46229</v>
      </c>
      <c r="O209" s="177">
        <v>46229</v>
      </c>
      <c r="P209" s="366">
        <v>324000</v>
      </c>
      <c r="Q209" s="176" t="s">
        <v>248</v>
      </c>
      <c r="R209" s="176" t="s">
        <v>434</v>
      </c>
      <c r="S209" s="178" t="s">
        <v>253</v>
      </c>
      <c r="T209" s="57" t="str">
        <f t="shared" si="12"/>
        <v>Đ</v>
      </c>
      <c r="U209" s="59">
        <f t="shared" si="13"/>
        <v>0</v>
      </c>
      <c r="V209" s="55">
        <f t="shared" si="14"/>
        <v>13311</v>
      </c>
    </row>
    <row r="210" spans="1:22" ht="14.4" customHeight="1">
      <c r="A210" s="176">
        <v>193</v>
      </c>
      <c r="B210" s="178" t="s">
        <v>473</v>
      </c>
      <c r="C210" s="271" t="s">
        <v>697</v>
      </c>
      <c r="D210" s="177">
        <v>46015</v>
      </c>
      <c r="E210" s="178" t="s">
        <v>475</v>
      </c>
      <c r="F210" s="271" t="s">
        <v>476</v>
      </c>
      <c r="G210" s="178" t="s">
        <v>698</v>
      </c>
      <c r="H210" s="366">
        <v>1617593</v>
      </c>
      <c r="I210" s="176">
        <v>8</v>
      </c>
      <c r="J210" s="366">
        <v>129407</v>
      </c>
      <c r="K210" s="178" t="s">
        <v>261</v>
      </c>
      <c r="L210" s="178" t="s">
        <v>252</v>
      </c>
      <c r="M210" s="271" t="s">
        <v>471</v>
      </c>
      <c r="N210" s="177">
        <v>46229</v>
      </c>
      <c r="O210" s="177">
        <v>46229</v>
      </c>
      <c r="P210" s="366">
        <v>1747000</v>
      </c>
      <c r="Q210" s="176" t="s">
        <v>248</v>
      </c>
      <c r="R210" s="176" t="s">
        <v>434</v>
      </c>
      <c r="S210" s="178" t="s">
        <v>253</v>
      </c>
      <c r="T210" s="57" t="str">
        <f t="shared" si="12"/>
        <v>Đ</v>
      </c>
      <c r="U210" s="59">
        <f t="shared" si="13"/>
        <v>0</v>
      </c>
      <c r="V210" s="55">
        <f t="shared" si="14"/>
        <v>13311</v>
      </c>
    </row>
    <row r="211" spans="1:22" ht="15.65" customHeight="1">
      <c r="A211" s="176">
        <v>194</v>
      </c>
      <c r="B211" s="178" t="s">
        <v>699</v>
      </c>
      <c r="C211" s="271" t="s">
        <v>700</v>
      </c>
      <c r="D211" s="177">
        <v>46015</v>
      </c>
      <c r="E211" s="178" t="s">
        <v>694</v>
      </c>
      <c r="F211" s="271" t="s">
        <v>695</v>
      </c>
      <c r="G211" s="178" t="s">
        <v>696</v>
      </c>
      <c r="H211" s="366">
        <v>300000</v>
      </c>
      <c r="I211" s="176">
        <v>8</v>
      </c>
      <c r="J211" s="366">
        <v>24000</v>
      </c>
      <c r="K211" s="178" t="s">
        <v>261</v>
      </c>
      <c r="L211" s="178" t="s">
        <v>252</v>
      </c>
      <c r="M211" s="271" t="s">
        <v>471</v>
      </c>
      <c r="N211" s="177">
        <v>46229</v>
      </c>
      <c r="O211" s="177">
        <v>46229</v>
      </c>
      <c r="P211" s="366">
        <v>324000</v>
      </c>
      <c r="Q211" s="176" t="s">
        <v>248</v>
      </c>
      <c r="R211" s="176" t="s">
        <v>434</v>
      </c>
      <c r="S211" s="178" t="s">
        <v>253</v>
      </c>
      <c r="T211" s="57" t="str">
        <f t="shared" si="12"/>
        <v>Đ</v>
      </c>
      <c r="U211" s="59">
        <f t="shared" si="13"/>
        <v>0</v>
      </c>
      <c r="V211" s="55">
        <f t="shared" si="14"/>
        <v>13311</v>
      </c>
    </row>
    <row r="212" spans="1:22" ht="15.65" customHeight="1">
      <c r="A212" s="176">
        <v>195</v>
      </c>
      <c r="B212" s="178" t="s">
        <v>481</v>
      </c>
      <c r="C212" s="271" t="s">
        <v>701</v>
      </c>
      <c r="D212" s="177">
        <v>46015</v>
      </c>
      <c r="E212" s="178" t="s">
        <v>483</v>
      </c>
      <c r="F212" s="271" t="s">
        <v>484</v>
      </c>
      <c r="G212" s="178" t="s">
        <v>470</v>
      </c>
      <c r="H212" s="366">
        <v>1018519</v>
      </c>
      <c r="I212" s="176">
        <v>8</v>
      </c>
      <c r="J212" s="366">
        <v>81481</v>
      </c>
      <c r="K212" s="178" t="s">
        <v>261</v>
      </c>
      <c r="L212" s="178" t="s">
        <v>252</v>
      </c>
      <c r="M212" s="271" t="s">
        <v>471</v>
      </c>
      <c r="N212" s="177">
        <v>46229</v>
      </c>
      <c r="O212" s="177">
        <v>46229</v>
      </c>
      <c r="P212" s="366">
        <v>1100000</v>
      </c>
      <c r="Q212" s="176" t="s">
        <v>248</v>
      </c>
      <c r="R212" s="176" t="s">
        <v>434</v>
      </c>
      <c r="S212" s="178" t="s">
        <v>253</v>
      </c>
      <c r="T212" s="57" t="str">
        <f t="shared" si="12"/>
        <v>Đ</v>
      </c>
      <c r="U212" s="59">
        <f t="shared" si="13"/>
        <v>1</v>
      </c>
      <c r="V212" s="55">
        <f t="shared" si="14"/>
        <v>13311</v>
      </c>
    </row>
    <row r="213" spans="1:22" ht="15.65" customHeight="1">
      <c r="A213" s="176">
        <v>196</v>
      </c>
      <c r="B213" s="178" t="s">
        <v>466</v>
      </c>
      <c r="C213" s="271" t="s">
        <v>702</v>
      </c>
      <c r="D213" s="177">
        <v>46016</v>
      </c>
      <c r="E213" s="178" t="s">
        <v>468</v>
      </c>
      <c r="F213" s="271" t="s">
        <v>469</v>
      </c>
      <c r="G213" s="178" t="s">
        <v>470</v>
      </c>
      <c r="H213" s="366">
        <v>363333</v>
      </c>
      <c r="I213" s="176">
        <v>8</v>
      </c>
      <c r="J213" s="366">
        <v>29067</v>
      </c>
      <c r="K213" s="178" t="s">
        <v>261</v>
      </c>
      <c r="L213" s="178" t="s">
        <v>252</v>
      </c>
      <c r="M213" s="271" t="s">
        <v>471</v>
      </c>
      <c r="N213" s="177">
        <v>46229</v>
      </c>
      <c r="O213" s="177">
        <v>46229</v>
      </c>
      <c r="P213" s="366">
        <v>392400</v>
      </c>
      <c r="Q213" s="176" t="s">
        <v>248</v>
      </c>
      <c r="R213" s="176" t="s">
        <v>434</v>
      </c>
      <c r="S213" s="178" t="s">
        <v>253</v>
      </c>
      <c r="T213" s="57" t="str">
        <f t="shared" si="12"/>
        <v>Đ</v>
      </c>
      <c r="U213" s="59">
        <f t="shared" si="13"/>
        <v>0</v>
      </c>
      <c r="V213" s="55">
        <f t="shared" si="14"/>
        <v>13311</v>
      </c>
    </row>
    <row r="214" spans="1:22" ht="15.65" customHeight="1">
      <c r="A214" s="176">
        <v>197</v>
      </c>
      <c r="B214" s="178" t="s">
        <v>466</v>
      </c>
      <c r="C214" s="271" t="s">
        <v>703</v>
      </c>
      <c r="D214" s="177">
        <v>46016</v>
      </c>
      <c r="E214" s="178" t="s">
        <v>468</v>
      </c>
      <c r="F214" s="271" t="s">
        <v>469</v>
      </c>
      <c r="G214" s="178" t="s">
        <v>470</v>
      </c>
      <c r="H214" s="366">
        <v>185185</v>
      </c>
      <c r="I214" s="176">
        <v>8</v>
      </c>
      <c r="J214" s="366">
        <v>14815</v>
      </c>
      <c r="K214" s="178" t="s">
        <v>261</v>
      </c>
      <c r="L214" s="178" t="s">
        <v>252</v>
      </c>
      <c r="M214" s="271" t="s">
        <v>471</v>
      </c>
      <c r="N214" s="177">
        <v>46229</v>
      </c>
      <c r="O214" s="177">
        <v>46229</v>
      </c>
      <c r="P214" s="366">
        <v>200000</v>
      </c>
      <c r="Q214" s="176" t="s">
        <v>248</v>
      </c>
      <c r="R214" s="176" t="s">
        <v>434</v>
      </c>
      <c r="S214" s="178" t="s">
        <v>253</v>
      </c>
      <c r="T214" s="57" t="str">
        <f t="shared" si="12"/>
        <v>Đ</v>
      </c>
      <c r="U214" s="59">
        <f t="shared" si="13"/>
        <v>0</v>
      </c>
      <c r="V214" s="55">
        <f t="shared" si="14"/>
        <v>13311</v>
      </c>
    </row>
    <row r="215" spans="1:22" ht="21.65" customHeight="1">
      <c r="A215" s="176">
        <v>198</v>
      </c>
      <c r="B215" s="178" t="s">
        <v>704</v>
      </c>
      <c r="C215" s="271" t="s">
        <v>705</v>
      </c>
      <c r="D215" s="177">
        <v>46016</v>
      </c>
      <c r="E215" s="178" t="s">
        <v>706</v>
      </c>
      <c r="F215" s="271" t="s">
        <v>707</v>
      </c>
      <c r="G215" s="178" t="s">
        <v>708</v>
      </c>
      <c r="H215" s="366">
        <v>1366593</v>
      </c>
      <c r="I215" s="176">
        <v>8</v>
      </c>
      <c r="J215" s="366">
        <v>109407</v>
      </c>
      <c r="K215" s="178" t="s">
        <v>261</v>
      </c>
      <c r="L215" s="178" t="s">
        <v>252</v>
      </c>
      <c r="M215" s="271" t="s">
        <v>471</v>
      </c>
      <c r="N215" s="177">
        <v>46229</v>
      </c>
      <c r="O215" s="177">
        <v>46229</v>
      </c>
      <c r="P215" s="366">
        <v>1476000</v>
      </c>
      <c r="Q215" s="176" t="s">
        <v>248</v>
      </c>
      <c r="R215" s="176" t="s">
        <v>434</v>
      </c>
      <c r="S215" s="178" t="s">
        <v>253</v>
      </c>
      <c r="T215" s="57" t="str">
        <f t="shared" si="12"/>
        <v>Đ</v>
      </c>
      <c r="U215" s="59">
        <f t="shared" si="13"/>
        <v>-80</v>
      </c>
      <c r="V215" s="55">
        <f t="shared" si="14"/>
        <v>13311</v>
      </c>
    </row>
    <row r="216" spans="1:22" ht="15.65" customHeight="1">
      <c r="A216" s="176">
        <v>199</v>
      </c>
      <c r="B216" s="178" t="s">
        <v>699</v>
      </c>
      <c r="C216" s="271" t="s">
        <v>709</v>
      </c>
      <c r="D216" s="177">
        <v>46016</v>
      </c>
      <c r="E216" s="178" t="s">
        <v>694</v>
      </c>
      <c r="F216" s="271" t="s">
        <v>695</v>
      </c>
      <c r="G216" s="178" t="s">
        <v>696</v>
      </c>
      <c r="H216" s="366">
        <v>518181</v>
      </c>
      <c r="I216" s="176">
        <v>8</v>
      </c>
      <c r="J216" s="366">
        <v>41455</v>
      </c>
      <c r="K216" s="178" t="s">
        <v>261</v>
      </c>
      <c r="L216" s="178" t="s">
        <v>252</v>
      </c>
      <c r="M216" s="271" t="s">
        <v>471</v>
      </c>
      <c r="N216" s="177">
        <v>46229</v>
      </c>
      <c r="O216" s="177">
        <v>46229</v>
      </c>
      <c r="P216" s="366">
        <v>559636</v>
      </c>
      <c r="Q216" s="176" t="s">
        <v>248</v>
      </c>
      <c r="R216" s="176" t="s">
        <v>434</v>
      </c>
      <c r="S216" s="178" t="s">
        <v>253</v>
      </c>
      <c r="T216" s="57" t="str">
        <f t="shared" si="12"/>
        <v>Đ</v>
      </c>
      <c r="U216" s="59">
        <f t="shared" si="13"/>
        <v>-1</v>
      </c>
      <c r="V216" s="55">
        <f t="shared" si="14"/>
        <v>13311</v>
      </c>
    </row>
    <row r="217" spans="1:22" ht="15.65" customHeight="1">
      <c r="A217" s="176">
        <v>200</v>
      </c>
      <c r="B217" s="178" t="s">
        <v>570</v>
      </c>
      <c r="C217" s="271" t="s">
        <v>710</v>
      </c>
      <c r="D217" s="177">
        <v>46016</v>
      </c>
      <c r="E217" s="178" t="s">
        <v>572</v>
      </c>
      <c r="F217" s="271" t="s">
        <v>573</v>
      </c>
      <c r="G217" s="178" t="s">
        <v>470</v>
      </c>
      <c r="H217" s="366">
        <v>870806</v>
      </c>
      <c r="I217" s="176">
        <v>8</v>
      </c>
      <c r="J217" s="366">
        <v>69664</v>
      </c>
      <c r="K217" s="178" t="s">
        <v>261</v>
      </c>
      <c r="L217" s="178" t="s">
        <v>252</v>
      </c>
      <c r="M217" s="271" t="s">
        <v>471</v>
      </c>
      <c r="N217" s="177">
        <v>46229</v>
      </c>
      <c r="O217" s="177">
        <v>46229</v>
      </c>
      <c r="P217" s="366">
        <v>940470</v>
      </c>
      <c r="Q217" s="176" t="s">
        <v>248</v>
      </c>
      <c r="R217" s="176" t="s">
        <v>434</v>
      </c>
      <c r="S217" s="178" t="s">
        <v>253</v>
      </c>
      <c r="T217" s="57" t="str">
        <f t="shared" si="12"/>
        <v>Đ</v>
      </c>
      <c r="U217" s="59">
        <f t="shared" si="13"/>
        <v>0</v>
      </c>
      <c r="V217" s="55">
        <f t="shared" si="14"/>
        <v>13311</v>
      </c>
    </row>
    <row r="218" spans="1:22" ht="15.65" customHeight="1">
      <c r="A218" s="176">
        <v>201</v>
      </c>
      <c r="B218" s="178" t="s">
        <v>570</v>
      </c>
      <c r="C218" s="271" t="s">
        <v>711</v>
      </c>
      <c r="D218" s="177">
        <v>46016</v>
      </c>
      <c r="E218" s="178" t="s">
        <v>572</v>
      </c>
      <c r="F218" s="271" t="s">
        <v>573</v>
      </c>
      <c r="G218" s="178" t="s">
        <v>470</v>
      </c>
      <c r="H218" s="366">
        <v>1978888</v>
      </c>
      <c r="I218" s="176">
        <v>8</v>
      </c>
      <c r="J218" s="366">
        <v>158312</v>
      </c>
      <c r="K218" s="178" t="s">
        <v>261</v>
      </c>
      <c r="L218" s="178" t="s">
        <v>252</v>
      </c>
      <c r="M218" s="271" t="s">
        <v>471</v>
      </c>
      <c r="N218" s="177">
        <v>46229</v>
      </c>
      <c r="O218" s="177">
        <v>46229</v>
      </c>
      <c r="P218" s="366">
        <v>2137200</v>
      </c>
      <c r="Q218" s="176" t="s">
        <v>248</v>
      </c>
      <c r="R218" s="176" t="s">
        <v>434</v>
      </c>
      <c r="S218" s="178" t="s">
        <v>253</v>
      </c>
      <c r="T218" s="57" t="str">
        <f t="shared" si="12"/>
        <v>Đ</v>
      </c>
      <c r="U218" s="59">
        <f t="shared" si="13"/>
        <v>-1</v>
      </c>
      <c r="V218" s="55">
        <f t="shared" si="14"/>
        <v>13311</v>
      </c>
    </row>
    <row r="219" spans="1:22" ht="15.65" customHeight="1">
      <c r="A219" s="176">
        <v>202</v>
      </c>
      <c r="B219" s="178" t="s">
        <v>570</v>
      </c>
      <c r="C219" s="271" t="s">
        <v>712</v>
      </c>
      <c r="D219" s="177">
        <v>46016</v>
      </c>
      <c r="E219" s="178" t="s">
        <v>572</v>
      </c>
      <c r="F219" s="271" t="s">
        <v>573</v>
      </c>
      <c r="G219" s="178" t="s">
        <v>470</v>
      </c>
      <c r="H219" s="366">
        <v>362796</v>
      </c>
      <c r="I219" s="176">
        <v>8</v>
      </c>
      <c r="J219" s="366">
        <v>29024</v>
      </c>
      <c r="K219" s="178" t="s">
        <v>261</v>
      </c>
      <c r="L219" s="178" t="s">
        <v>252</v>
      </c>
      <c r="M219" s="271" t="s">
        <v>471</v>
      </c>
      <c r="N219" s="177">
        <v>46229</v>
      </c>
      <c r="O219" s="177">
        <v>46229</v>
      </c>
      <c r="P219" s="366">
        <v>391820</v>
      </c>
      <c r="Q219" s="176" t="s">
        <v>248</v>
      </c>
      <c r="R219" s="176" t="s">
        <v>434</v>
      </c>
      <c r="S219" s="178" t="s">
        <v>253</v>
      </c>
      <c r="T219" s="57" t="str">
        <f t="shared" si="12"/>
        <v>Đ</v>
      </c>
      <c r="U219" s="59">
        <f t="shared" si="13"/>
        <v>0</v>
      </c>
      <c r="V219" s="55">
        <f t="shared" si="14"/>
        <v>13311</v>
      </c>
    </row>
    <row r="220" spans="1:22" ht="14.4" customHeight="1">
      <c r="A220" s="176">
        <v>203</v>
      </c>
      <c r="B220" s="178" t="s">
        <v>570</v>
      </c>
      <c r="C220" s="271" t="s">
        <v>713</v>
      </c>
      <c r="D220" s="177">
        <v>46016</v>
      </c>
      <c r="E220" s="178" t="s">
        <v>572</v>
      </c>
      <c r="F220" s="271" t="s">
        <v>573</v>
      </c>
      <c r="G220" s="178" t="s">
        <v>470</v>
      </c>
      <c r="H220" s="366">
        <v>939972</v>
      </c>
      <c r="I220" s="176">
        <v>8</v>
      </c>
      <c r="J220" s="366">
        <v>75198</v>
      </c>
      <c r="K220" s="178" t="s">
        <v>261</v>
      </c>
      <c r="L220" s="178" t="s">
        <v>252</v>
      </c>
      <c r="M220" s="271" t="s">
        <v>471</v>
      </c>
      <c r="N220" s="177">
        <v>46229</v>
      </c>
      <c r="O220" s="177">
        <v>46229</v>
      </c>
      <c r="P220" s="366">
        <v>1015170</v>
      </c>
      <c r="Q220" s="176" t="s">
        <v>248</v>
      </c>
      <c r="R220" s="176" t="s">
        <v>434</v>
      </c>
      <c r="S220" s="178" t="s">
        <v>253</v>
      </c>
      <c r="T220" s="57" t="str">
        <f t="shared" si="12"/>
        <v>Đ</v>
      </c>
      <c r="U220" s="59">
        <f t="shared" si="13"/>
        <v>0</v>
      </c>
      <c r="V220" s="55">
        <f t="shared" si="14"/>
        <v>13311</v>
      </c>
    </row>
    <row r="221" spans="1:22" ht="14.4" customHeight="1">
      <c r="A221" s="176">
        <v>204</v>
      </c>
      <c r="B221" s="178" t="s">
        <v>570</v>
      </c>
      <c r="C221" s="271" t="s">
        <v>714</v>
      </c>
      <c r="D221" s="177">
        <v>46016</v>
      </c>
      <c r="E221" s="178" t="s">
        <v>572</v>
      </c>
      <c r="F221" s="271" t="s">
        <v>573</v>
      </c>
      <c r="G221" s="178" t="s">
        <v>470</v>
      </c>
      <c r="H221" s="366">
        <v>1170843</v>
      </c>
      <c r="I221" s="176">
        <v>8</v>
      </c>
      <c r="J221" s="366">
        <v>93667</v>
      </c>
      <c r="K221" s="178" t="s">
        <v>261</v>
      </c>
      <c r="L221" s="178" t="s">
        <v>252</v>
      </c>
      <c r="M221" s="271" t="s">
        <v>471</v>
      </c>
      <c r="N221" s="177">
        <v>46229</v>
      </c>
      <c r="O221" s="177">
        <v>46229</v>
      </c>
      <c r="P221" s="366">
        <v>1264510</v>
      </c>
      <c r="Q221" s="176" t="s">
        <v>248</v>
      </c>
      <c r="R221" s="176" t="s">
        <v>434</v>
      </c>
      <c r="S221" s="178" t="s">
        <v>253</v>
      </c>
      <c r="T221" s="57" t="str">
        <f t="shared" si="12"/>
        <v>Đ</v>
      </c>
      <c r="U221" s="59">
        <f t="shared" si="13"/>
        <v>0</v>
      </c>
      <c r="V221" s="55">
        <f t="shared" si="14"/>
        <v>13311</v>
      </c>
    </row>
    <row r="222" spans="1:22" ht="14.4" customHeight="1">
      <c r="A222" s="176">
        <v>205</v>
      </c>
      <c r="B222" s="178" t="s">
        <v>715</v>
      </c>
      <c r="C222" s="271" t="s">
        <v>716</v>
      </c>
      <c r="D222" s="177">
        <v>46016</v>
      </c>
      <c r="E222" s="178" t="s">
        <v>717</v>
      </c>
      <c r="F222" s="271" t="s">
        <v>718</v>
      </c>
      <c r="G222" s="178" t="s">
        <v>696</v>
      </c>
      <c r="H222" s="366">
        <v>300000</v>
      </c>
      <c r="I222" s="176">
        <v>8</v>
      </c>
      <c r="J222" s="366">
        <v>24000</v>
      </c>
      <c r="K222" s="178" t="s">
        <v>261</v>
      </c>
      <c r="L222" s="178" t="s">
        <v>252</v>
      </c>
      <c r="M222" s="271" t="s">
        <v>471</v>
      </c>
      <c r="N222" s="177">
        <v>46229</v>
      </c>
      <c r="O222" s="177">
        <v>46229</v>
      </c>
      <c r="P222" s="366">
        <v>324000</v>
      </c>
      <c r="Q222" s="176" t="s">
        <v>248</v>
      </c>
      <c r="R222" s="176" t="s">
        <v>434</v>
      </c>
      <c r="S222" s="178" t="s">
        <v>253</v>
      </c>
      <c r="T222" s="57" t="str">
        <f t="shared" si="12"/>
        <v>Đ</v>
      </c>
      <c r="U222" s="59">
        <f t="shared" si="13"/>
        <v>0</v>
      </c>
      <c r="V222" s="55">
        <f t="shared" si="14"/>
        <v>13311</v>
      </c>
    </row>
    <row r="223" spans="1:22" ht="14.4" customHeight="1">
      <c r="A223" s="176">
        <v>206</v>
      </c>
      <c r="B223" s="178" t="s">
        <v>719</v>
      </c>
      <c r="C223" s="271" t="s">
        <v>720</v>
      </c>
      <c r="D223" s="177">
        <v>46016</v>
      </c>
      <c r="E223" s="178" t="s">
        <v>717</v>
      </c>
      <c r="F223" s="271" t="s">
        <v>718</v>
      </c>
      <c r="G223" s="178" t="s">
        <v>696</v>
      </c>
      <c r="H223" s="366">
        <v>263636</v>
      </c>
      <c r="I223" s="176">
        <v>8</v>
      </c>
      <c r="J223" s="366">
        <v>21091</v>
      </c>
      <c r="K223" s="178" t="s">
        <v>261</v>
      </c>
      <c r="L223" s="178" t="s">
        <v>252</v>
      </c>
      <c r="M223" s="271" t="s">
        <v>471</v>
      </c>
      <c r="N223" s="177">
        <v>46229</v>
      </c>
      <c r="O223" s="177">
        <v>46229</v>
      </c>
      <c r="P223" s="366">
        <v>284727</v>
      </c>
      <c r="Q223" s="176" t="s">
        <v>248</v>
      </c>
      <c r="R223" s="176" t="s">
        <v>434</v>
      </c>
      <c r="S223" s="178" t="s">
        <v>253</v>
      </c>
      <c r="T223" s="57" t="str">
        <f t="shared" si="12"/>
        <v>Đ</v>
      </c>
      <c r="U223" s="59">
        <f t="shared" si="13"/>
        <v>0</v>
      </c>
      <c r="V223" s="55">
        <f t="shared" si="14"/>
        <v>13311</v>
      </c>
    </row>
    <row r="224" spans="1:22" ht="14.4" customHeight="1">
      <c r="A224" s="176">
        <v>207</v>
      </c>
      <c r="B224" s="178" t="s">
        <v>466</v>
      </c>
      <c r="C224" s="271" t="s">
        <v>721</v>
      </c>
      <c r="D224" s="177">
        <v>45987</v>
      </c>
      <c r="E224" s="178" t="s">
        <v>468</v>
      </c>
      <c r="F224" s="271" t="s">
        <v>469</v>
      </c>
      <c r="G224" s="178" t="s">
        <v>470</v>
      </c>
      <c r="H224" s="366">
        <v>285278</v>
      </c>
      <c r="I224" s="176">
        <v>8</v>
      </c>
      <c r="J224" s="366">
        <v>22822</v>
      </c>
      <c r="K224" s="178" t="s">
        <v>261</v>
      </c>
      <c r="L224" s="178" t="s">
        <v>252</v>
      </c>
      <c r="M224" s="271" t="s">
        <v>471</v>
      </c>
      <c r="N224" s="177">
        <v>46229</v>
      </c>
      <c r="O224" s="177">
        <v>46229</v>
      </c>
      <c r="P224" s="366">
        <v>308100</v>
      </c>
      <c r="Q224" s="176" t="s">
        <v>248</v>
      </c>
      <c r="R224" s="176" t="s">
        <v>434</v>
      </c>
      <c r="S224" s="178" t="s">
        <v>253</v>
      </c>
      <c r="T224" s="57" t="str">
        <f t="shared" si="12"/>
        <v>Đ</v>
      </c>
      <c r="U224" s="59">
        <f t="shared" si="13"/>
        <v>0</v>
      </c>
      <c r="V224" s="55">
        <f t="shared" si="14"/>
        <v>13311</v>
      </c>
    </row>
    <row r="225" spans="1:22" ht="21.65" customHeight="1">
      <c r="A225" s="176">
        <v>208</v>
      </c>
      <c r="B225" s="178" t="s">
        <v>722</v>
      </c>
      <c r="C225" s="271" t="s">
        <v>723</v>
      </c>
      <c r="D225" s="177">
        <v>46017</v>
      </c>
      <c r="E225" s="178" t="s">
        <v>724</v>
      </c>
      <c r="F225" s="271" t="s">
        <v>725</v>
      </c>
      <c r="G225" s="178" t="s">
        <v>708</v>
      </c>
      <c r="H225" s="366">
        <v>2037037</v>
      </c>
      <c r="I225" s="176">
        <v>8</v>
      </c>
      <c r="J225" s="366">
        <v>162963</v>
      </c>
      <c r="K225" s="178" t="s">
        <v>261</v>
      </c>
      <c r="L225" s="178" t="s">
        <v>252</v>
      </c>
      <c r="M225" s="271" t="s">
        <v>471</v>
      </c>
      <c r="N225" s="177">
        <v>46229</v>
      </c>
      <c r="O225" s="177">
        <v>46229</v>
      </c>
      <c r="P225" s="366">
        <v>2200000</v>
      </c>
      <c r="Q225" s="176" t="s">
        <v>248</v>
      </c>
      <c r="R225" s="176" t="s">
        <v>434</v>
      </c>
      <c r="S225" s="178" t="s">
        <v>253</v>
      </c>
      <c r="T225" s="57" t="str">
        <f t="shared" si="12"/>
        <v>Đ</v>
      </c>
      <c r="U225" s="59">
        <f t="shared" si="13"/>
        <v>0</v>
      </c>
      <c r="V225" s="55">
        <f t="shared" si="14"/>
        <v>13311</v>
      </c>
    </row>
    <row r="226" spans="1:22" ht="21.65" customHeight="1">
      <c r="A226" s="176">
        <v>209</v>
      </c>
      <c r="B226" s="178" t="s">
        <v>726</v>
      </c>
      <c r="C226" s="271" t="s">
        <v>727</v>
      </c>
      <c r="D226" s="177">
        <v>46017</v>
      </c>
      <c r="E226" s="178" t="s">
        <v>728</v>
      </c>
      <c r="F226" s="271" t="s">
        <v>729</v>
      </c>
      <c r="G226" s="178" t="s">
        <v>730</v>
      </c>
      <c r="H226" s="366">
        <v>6944860</v>
      </c>
      <c r="I226" s="176">
        <v>8</v>
      </c>
      <c r="J226" s="366">
        <v>555589</v>
      </c>
      <c r="K226" s="178" t="s">
        <v>261</v>
      </c>
      <c r="L226" s="178" t="s">
        <v>252</v>
      </c>
      <c r="M226" s="271" t="s">
        <v>471</v>
      </c>
      <c r="N226" s="177">
        <v>46229</v>
      </c>
      <c r="O226" s="177">
        <v>46229</v>
      </c>
      <c r="P226" s="366">
        <v>7500449</v>
      </c>
      <c r="Q226" s="176" t="s">
        <v>248</v>
      </c>
      <c r="R226" s="176" t="s">
        <v>434</v>
      </c>
      <c r="S226" s="178" t="s">
        <v>253</v>
      </c>
      <c r="T226" s="57" t="str">
        <f t="shared" si="12"/>
        <v>Đ</v>
      </c>
      <c r="U226" s="59">
        <f t="shared" si="13"/>
        <v>0</v>
      </c>
      <c r="V226" s="55">
        <f t="shared" si="14"/>
        <v>13311</v>
      </c>
    </row>
    <row r="227" spans="1:22" ht="14.4" customHeight="1">
      <c r="A227" s="176">
        <v>210</v>
      </c>
      <c r="B227" s="178" t="s">
        <v>466</v>
      </c>
      <c r="C227" s="271" t="s">
        <v>731</v>
      </c>
      <c r="D227" s="177">
        <v>45988</v>
      </c>
      <c r="E227" s="178" t="s">
        <v>468</v>
      </c>
      <c r="F227" s="271" t="s">
        <v>469</v>
      </c>
      <c r="G227" s="178" t="s">
        <v>470</v>
      </c>
      <c r="H227" s="366">
        <v>1101111</v>
      </c>
      <c r="I227" s="176">
        <v>8</v>
      </c>
      <c r="J227" s="366">
        <v>88089</v>
      </c>
      <c r="K227" s="178" t="s">
        <v>261</v>
      </c>
      <c r="L227" s="178" t="s">
        <v>252</v>
      </c>
      <c r="M227" s="271" t="s">
        <v>471</v>
      </c>
      <c r="N227" s="177">
        <v>46229</v>
      </c>
      <c r="O227" s="177">
        <v>46229</v>
      </c>
      <c r="P227" s="366">
        <v>1189200</v>
      </c>
      <c r="Q227" s="176" t="s">
        <v>248</v>
      </c>
      <c r="R227" s="176" t="s">
        <v>434</v>
      </c>
      <c r="S227" s="178" t="s">
        <v>253</v>
      </c>
      <c r="T227" s="57" t="str">
        <f t="shared" si="12"/>
        <v>Đ</v>
      </c>
      <c r="U227" s="59">
        <f t="shared" si="13"/>
        <v>0</v>
      </c>
      <c r="V227" s="55">
        <f t="shared" si="14"/>
        <v>13311</v>
      </c>
    </row>
    <row r="228" spans="1:22" ht="14.4" customHeight="1">
      <c r="A228" s="176">
        <v>211</v>
      </c>
      <c r="B228" s="178" t="s">
        <v>481</v>
      </c>
      <c r="C228" s="271" t="s">
        <v>732</v>
      </c>
      <c r="D228" s="177">
        <v>45988</v>
      </c>
      <c r="E228" s="178" t="s">
        <v>483</v>
      </c>
      <c r="F228" s="271" t="s">
        <v>484</v>
      </c>
      <c r="G228" s="178" t="s">
        <v>470</v>
      </c>
      <c r="H228" s="366">
        <v>1835185</v>
      </c>
      <c r="I228" s="176">
        <v>8</v>
      </c>
      <c r="J228" s="366">
        <v>146815</v>
      </c>
      <c r="K228" s="178" t="s">
        <v>261</v>
      </c>
      <c r="L228" s="178" t="s">
        <v>252</v>
      </c>
      <c r="M228" s="271" t="s">
        <v>471</v>
      </c>
      <c r="N228" s="177">
        <v>46229</v>
      </c>
      <c r="O228" s="177">
        <v>46229</v>
      </c>
      <c r="P228" s="366">
        <v>1982000</v>
      </c>
      <c r="Q228" s="176" t="s">
        <v>248</v>
      </c>
      <c r="R228" s="176" t="s">
        <v>434</v>
      </c>
      <c r="S228" s="178" t="s">
        <v>253</v>
      </c>
      <c r="T228" s="57" t="str">
        <f t="shared" si="12"/>
        <v>Đ</v>
      </c>
      <c r="U228" s="59">
        <f t="shared" si="13"/>
        <v>0</v>
      </c>
      <c r="V228" s="55">
        <f t="shared" si="14"/>
        <v>13311</v>
      </c>
    </row>
    <row r="229" spans="1:22" ht="21.65" customHeight="1">
      <c r="A229" s="176">
        <v>212</v>
      </c>
      <c r="B229" s="178" t="s">
        <v>473</v>
      </c>
      <c r="C229" s="271" t="s">
        <v>733</v>
      </c>
      <c r="D229" s="177">
        <v>45989</v>
      </c>
      <c r="E229" s="178" t="s">
        <v>475</v>
      </c>
      <c r="F229" s="271" t="s">
        <v>476</v>
      </c>
      <c r="G229" s="178" t="s">
        <v>470</v>
      </c>
      <c r="H229" s="366">
        <v>1357778</v>
      </c>
      <c r="I229" s="176">
        <v>8</v>
      </c>
      <c r="J229" s="366">
        <v>108622</v>
      </c>
      <c r="K229" s="178" t="s">
        <v>261</v>
      </c>
      <c r="L229" s="178" t="s">
        <v>252</v>
      </c>
      <c r="M229" s="271" t="s">
        <v>471</v>
      </c>
      <c r="N229" s="177">
        <v>46229</v>
      </c>
      <c r="O229" s="177">
        <v>46229</v>
      </c>
      <c r="P229" s="366">
        <v>1466400</v>
      </c>
      <c r="Q229" s="176" t="s">
        <v>248</v>
      </c>
      <c r="R229" s="176" t="s">
        <v>434</v>
      </c>
      <c r="S229" s="178" t="s">
        <v>253</v>
      </c>
      <c r="T229" s="57" t="str">
        <f t="shared" si="12"/>
        <v>Đ</v>
      </c>
      <c r="U229" s="59">
        <f t="shared" si="13"/>
        <v>0</v>
      </c>
      <c r="V229" s="55">
        <f t="shared" si="14"/>
        <v>13311</v>
      </c>
    </row>
    <row r="230" spans="1:22" ht="21.65" customHeight="1">
      <c r="A230" s="176">
        <v>213</v>
      </c>
      <c r="B230" s="178" t="s">
        <v>473</v>
      </c>
      <c r="C230" s="271" t="s">
        <v>734</v>
      </c>
      <c r="D230" s="177">
        <v>45989</v>
      </c>
      <c r="E230" s="178" t="s">
        <v>475</v>
      </c>
      <c r="F230" s="271" t="s">
        <v>476</v>
      </c>
      <c r="G230" s="178" t="s">
        <v>470</v>
      </c>
      <c r="H230" s="366">
        <v>1253333</v>
      </c>
      <c r="I230" s="176">
        <v>8</v>
      </c>
      <c r="J230" s="366">
        <v>100267</v>
      </c>
      <c r="K230" s="178" t="s">
        <v>261</v>
      </c>
      <c r="L230" s="178" t="s">
        <v>252</v>
      </c>
      <c r="M230" s="271" t="s">
        <v>471</v>
      </c>
      <c r="N230" s="177">
        <v>46229</v>
      </c>
      <c r="O230" s="177">
        <v>46229</v>
      </c>
      <c r="P230" s="366">
        <v>1353600</v>
      </c>
      <c r="Q230" s="176" t="s">
        <v>248</v>
      </c>
      <c r="R230" s="176" t="s">
        <v>434</v>
      </c>
      <c r="S230" s="178" t="s">
        <v>253</v>
      </c>
      <c r="T230" s="57" t="str">
        <f t="shared" si="12"/>
        <v>Đ</v>
      </c>
      <c r="U230" s="59">
        <f t="shared" si="13"/>
        <v>0</v>
      </c>
      <c r="V230" s="55">
        <f t="shared" si="14"/>
        <v>13311</v>
      </c>
    </row>
    <row r="231" spans="1:22" ht="14.4" customHeight="1">
      <c r="A231" s="176">
        <v>214</v>
      </c>
      <c r="B231" s="178" t="s">
        <v>704</v>
      </c>
      <c r="C231" s="271" t="s">
        <v>735</v>
      </c>
      <c r="D231" s="177">
        <v>46019</v>
      </c>
      <c r="E231" s="178" t="s">
        <v>706</v>
      </c>
      <c r="F231" s="271" t="s">
        <v>707</v>
      </c>
      <c r="G231" s="178" t="s">
        <v>708</v>
      </c>
      <c r="H231" s="366">
        <v>1366593</v>
      </c>
      <c r="I231" s="176">
        <v>8</v>
      </c>
      <c r="J231" s="366">
        <v>109407</v>
      </c>
      <c r="K231" s="178" t="s">
        <v>261</v>
      </c>
      <c r="L231" s="178" t="s">
        <v>252</v>
      </c>
      <c r="M231" s="271" t="s">
        <v>471</v>
      </c>
      <c r="N231" s="177">
        <v>46229</v>
      </c>
      <c r="O231" s="177">
        <v>46229</v>
      </c>
      <c r="P231" s="366">
        <v>1476000</v>
      </c>
      <c r="Q231" s="176" t="s">
        <v>248</v>
      </c>
      <c r="R231" s="176" t="s">
        <v>434</v>
      </c>
      <c r="S231" s="178" t="s">
        <v>253</v>
      </c>
      <c r="T231" s="57" t="str">
        <f t="shared" si="12"/>
        <v>Đ</v>
      </c>
      <c r="U231" s="59">
        <f t="shared" si="13"/>
        <v>-80</v>
      </c>
      <c r="V231" s="55">
        <f t="shared" si="14"/>
        <v>13311</v>
      </c>
    </row>
    <row r="232" spans="1:22" ht="14.4" customHeight="1">
      <c r="A232" s="176">
        <v>215</v>
      </c>
      <c r="B232" s="178" t="s">
        <v>704</v>
      </c>
      <c r="C232" s="271" t="s">
        <v>736</v>
      </c>
      <c r="D232" s="177">
        <v>46019</v>
      </c>
      <c r="E232" s="178" t="s">
        <v>706</v>
      </c>
      <c r="F232" s="271" t="s">
        <v>707</v>
      </c>
      <c r="G232" s="178" t="s">
        <v>708</v>
      </c>
      <c r="H232" s="366">
        <v>1366593</v>
      </c>
      <c r="I232" s="176">
        <v>8</v>
      </c>
      <c r="J232" s="366">
        <v>109407</v>
      </c>
      <c r="K232" s="178" t="s">
        <v>261</v>
      </c>
      <c r="L232" s="178" t="s">
        <v>252</v>
      </c>
      <c r="M232" s="271" t="s">
        <v>471</v>
      </c>
      <c r="N232" s="177">
        <v>46229</v>
      </c>
      <c r="O232" s="177">
        <v>46229</v>
      </c>
      <c r="P232" s="366">
        <v>1476000</v>
      </c>
      <c r="Q232" s="176" t="s">
        <v>248</v>
      </c>
      <c r="R232" s="176" t="s">
        <v>434</v>
      </c>
      <c r="S232" s="178" t="s">
        <v>253</v>
      </c>
      <c r="T232" s="57" t="str">
        <f t="shared" si="12"/>
        <v>Đ</v>
      </c>
      <c r="U232" s="59">
        <f t="shared" si="13"/>
        <v>-80</v>
      </c>
      <c r="V232" s="55">
        <f t="shared" si="14"/>
        <v>13311</v>
      </c>
    </row>
    <row r="233" spans="1:22" ht="14.4" customHeight="1">
      <c r="A233" s="176">
        <v>216</v>
      </c>
      <c r="B233" s="178" t="s">
        <v>737</v>
      </c>
      <c r="C233" s="271" t="s">
        <v>738</v>
      </c>
      <c r="D233" s="177">
        <v>46020</v>
      </c>
      <c r="E233" s="178" t="s">
        <v>739</v>
      </c>
      <c r="F233" s="271" t="s">
        <v>740</v>
      </c>
      <c r="G233" s="178" t="s">
        <v>741</v>
      </c>
      <c r="H233" s="366">
        <v>185185</v>
      </c>
      <c r="I233" s="176">
        <v>8</v>
      </c>
      <c r="J233" s="366">
        <v>14815</v>
      </c>
      <c r="K233" s="178" t="s">
        <v>261</v>
      </c>
      <c r="L233" s="178" t="s">
        <v>252</v>
      </c>
      <c r="M233" s="271" t="s">
        <v>471</v>
      </c>
      <c r="N233" s="177">
        <v>46229</v>
      </c>
      <c r="O233" s="177">
        <v>46229</v>
      </c>
      <c r="P233" s="366">
        <v>200000</v>
      </c>
      <c r="Q233" s="176" t="s">
        <v>248</v>
      </c>
      <c r="R233" s="176" t="s">
        <v>434</v>
      </c>
      <c r="S233" s="178" t="s">
        <v>253</v>
      </c>
      <c r="T233" s="57" t="str">
        <f t="shared" si="12"/>
        <v>Đ</v>
      </c>
      <c r="U233" s="59">
        <f t="shared" si="13"/>
        <v>0</v>
      </c>
      <c r="V233" s="55">
        <f t="shared" si="14"/>
        <v>13311</v>
      </c>
    </row>
    <row r="234" spans="1:22" ht="14.4" customHeight="1">
      <c r="A234" s="176">
        <v>217</v>
      </c>
      <c r="B234" s="178" t="s">
        <v>742</v>
      </c>
      <c r="C234" s="271" t="s">
        <v>743</v>
      </c>
      <c r="D234" s="177">
        <v>46020</v>
      </c>
      <c r="E234" s="178" t="s">
        <v>744</v>
      </c>
      <c r="F234" s="271" t="s">
        <v>745</v>
      </c>
      <c r="G234" s="178" t="s">
        <v>554</v>
      </c>
      <c r="H234" s="366">
        <v>360000</v>
      </c>
      <c r="I234" s="176">
        <v>8</v>
      </c>
      <c r="J234" s="366">
        <v>28800</v>
      </c>
      <c r="K234" s="178" t="s">
        <v>261</v>
      </c>
      <c r="L234" s="178" t="s">
        <v>252</v>
      </c>
      <c r="M234" s="271" t="s">
        <v>471</v>
      </c>
      <c r="N234" s="177">
        <v>46229</v>
      </c>
      <c r="O234" s="177">
        <v>46229</v>
      </c>
      <c r="P234" s="366">
        <v>388800</v>
      </c>
      <c r="Q234" s="176" t="s">
        <v>248</v>
      </c>
      <c r="R234" s="176" t="s">
        <v>434</v>
      </c>
      <c r="S234" s="178" t="s">
        <v>253</v>
      </c>
      <c r="T234" s="57" t="str">
        <f t="shared" si="12"/>
        <v>Đ</v>
      </c>
      <c r="U234" s="59">
        <f t="shared" si="13"/>
        <v>0</v>
      </c>
      <c r="V234" s="55">
        <f t="shared" si="14"/>
        <v>13311</v>
      </c>
    </row>
    <row r="235" spans="1:22" ht="21.65" customHeight="1">
      <c r="A235" s="176">
        <v>218</v>
      </c>
      <c r="B235" s="178" t="s">
        <v>746</v>
      </c>
      <c r="C235" s="271" t="s">
        <v>747</v>
      </c>
      <c r="D235" s="177">
        <v>46020</v>
      </c>
      <c r="E235" s="178" t="s">
        <v>748</v>
      </c>
      <c r="F235" s="271" t="s">
        <v>749</v>
      </c>
      <c r="G235" s="178" t="s">
        <v>741</v>
      </c>
      <c r="H235" s="366">
        <v>185185</v>
      </c>
      <c r="I235" s="176">
        <v>8</v>
      </c>
      <c r="J235" s="366">
        <v>14815</v>
      </c>
      <c r="K235" s="178" t="s">
        <v>261</v>
      </c>
      <c r="L235" s="178" t="s">
        <v>252</v>
      </c>
      <c r="M235" s="271" t="s">
        <v>471</v>
      </c>
      <c r="N235" s="177">
        <v>46229</v>
      </c>
      <c r="O235" s="177">
        <v>46229</v>
      </c>
      <c r="P235" s="366">
        <v>200000</v>
      </c>
      <c r="Q235" s="176" t="s">
        <v>248</v>
      </c>
      <c r="R235" s="176" t="s">
        <v>434</v>
      </c>
      <c r="S235" s="178" t="s">
        <v>253</v>
      </c>
      <c r="T235" s="57" t="str">
        <f t="shared" si="12"/>
        <v>Đ</v>
      </c>
      <c r="U235" s="59">
        <f t="shared" si="13"/>
        <v>0</v>
      </c>
      <c r="V235" s="55">
        <f t="shared" si="14"/>
        <v>13311</v>
      </c>
    </row>
    <row r="236" spans="1:22" ht="21.65" customHeight="1">
      <c r="A236" s="176">
        <v>219</v>
      </c>
      <c r="B236" s="178" t="s">
        <v>570</v>
      </c>
      <c r="C236" s="271" t="s">
        <v>750</v>
      </c>
      <c r="D236" s="177">
        <v>46020</v>
      </c>
      <c r="E236" s="178" t="s">
        <v>751</v>
      </c>
      <c r="F236" s="271" t="s">
        <v>752</v>
      </c>
      <c r="G236" s="178" t="s">
        <v>753</v>
      </c>
      <c r="H236" s="366">
        <v>43600000</v>
      </c>
      <c r="I236" s="176">
        <v>8</v>
      </c>
      <c r="J236" s="366">
        <v>3488000</v>
      </c>
      <c r="K236" s="178" t="s">
        <v>261</v>
      </c>
      <c r="L236" s="178" t="s">
        <v>252</v>
      </c>
      <c r="M236" s="271" t="s">
        <v>471</v>
      </c>
      <c r="N236" s="177">
        <v>46229</v>
      </c>
      <c r="O236" s="177">
        <v>46229</v>
      </c>
      <c r="P236" s="366">
        <v>47088000</v>
      </c>
      <c r="Q236" s="176" t="s">
        <v>248</v>
      </c>
      <c r="R236" s="176" t="s">
        <v>434</v>
      </c>
      <c r="S236" s="178" t="s">
        <v>253</v>
      </c>
      <c r="T236" s="57" t="str">
        <f t="shared" si="12"/>
        <v>Đ</v>
      </c>
      <c r="U236" s="59">
        <f t="shared" si="13"/>
        <v>0</v>
      </c>
      <c r="V236" s="55">
        <f t="shared" si="14"/>
        <v>13311</v>
      </c>
    </row>
    <row r="237" spans="1:22" ht="14.4" customHeight="1">
      <c r="A237" s="176">
        <v>220</v>
      </c>
      <c r="B237" s="178" t="s">
        <v>466</v>
      </c>
      <c r="C237" s="271" t="s">
        <v>754</v>
      </c>
      <c r="D237" s="177">
        <v>45991</v>
      </c>
      <c r="E237" s="178" t="s">
        <v>468</v>
      </c>
      <c r="F237" s="271" t="s">
        <v>469</v>
      </c>
      <c r="G237" s="178" t="s">
        <v>470</v>
      </c>
      <c r="H237" s="366">
        <v>370370</v>
      </c>
      <c r="I237" s="176">
        <v>8</v>
      </c>
      <c r="J237" s="366">
        <v>29630</v>
      </c>
      <c r="K237" s="178" t="s">
        <v>261</v>
      </c>
      <c r="L237" s="178" t="s">
        <v>252</v>
      </c>
      <c r="M237" s="271" t="s">
        <v>471</v>
      </c>
      <c r="N237" s="177">
        <v>46229</v>
      </c>
      <c r="O237" s="177">
        <v>46229</v>
      </c>
      <c r="P237" s="366">
        <v>400000</v>
      </c>
      <c r="Q237" s="176" t="s">
        <v>248</v>
      </c>
      <c r="R237" s="176" t="s">
        <v>434</v>
      </c>
      <c r="S237" s="178" t="s">
        <v>253</v>
      </c>
      <c r="T237" s="57" t="str">
        <f t="shared" si="12"/>
        <v>Đ</v>
      </c>
      <c r="U237" s="59">
        <f t="shared" si="13"/>
        <v>0</v>
      </c>
      <c r="V237" s="55">
        <f t="shared" si="14"/>
        <v>13311</v>
      </c>
    </row>
    <row r="238" spans="1:22" ht="14.4" customHeight="1">
      <c r="A238" s="176">
        <v>221</v>
      </c>
      <c r="B238" s="178" t="s">
        <v>481</v>
      </c>
      <c r="C238" s="271" t="s">
        <v>755</v>
      </c>
      <c r="D238" s="177">
        <v>45991</v>
      </c>
      <c r="E238" s="178" t="s">
        <v>483</v>
      </c>
      <c r="F238" s="271" t="s">
        <v>484</v>
      </c>
      <c r="G238" s="178" t="s">
        <v>470</v>
      </c>
      <c r="H238" s="366">
        <v>370370</v>
      </c>
      <c r="I238" s="176">
        <v>8</v>
      </c>
      <c r="J238" s="366">
        <v>29630</v>
      </c>
      <c r="K238" s="178" t="s">
        <v>261</v>
      </c>
      <c r="L238" s="178" t="s">
        <v>252</v>
      </c>
      <c r="M238" s="271" t="s">
        <v>471</v>
      </c>
      <c r="N238" s="177">
        <v>46229</v>
      </c>
      <c r="O238" s="177">
        <v>46229</v>
      </c>
      <c r="P238" s="366">
        <v>400000</v>
      </c>
      <c r="Q238" s="176" t="s">
        <v>248</v>
      </c>
      <c r="R238" s="176" t="s">
        <v>434</v>
      </c>
      <c r="S238" s="178" t="s">
        <v>253</v>
      </c>
      <c r="T238" s="57" t="str">
        <f t="shared" si="12"/>
        <v>Đ</v>
      </c>
      <c r="U238" s="59">
        <f t="shared" si="13"/>
        <v>0</v>
      </c>
      <c r="V238" s="55">
        <f t="shared" si="14"/>
        <v>13311</v>
      </c>
    </row>
    <row r="239" spans="1:22" ht="21.65" customHeight="1">
      <c r="A239" s="176">
        <v>222</v>
      </c>
      <c r="B239" s="178" t="s">
        <v>481</v>
      </c>
      <c r="C239" s="271" t="s">
        <v>756</v>
      </c>
      <c r="D239" s="177">
        <v>45991</v>
      </c>
      <c r="E239" s="178" t="s">
        <v>483</v>
      </c>
      <c r="F239" s="271" t="s">
        <v>484</v>
      </c>
      <c r="G239" s="178" t="s">
        <v>470</v>
      </c>
      <c r="H239" s="366">
        <v>1044444</v>
      </c>
      <c r="I239" s="176">
        <v>8</v>
      </c>
      <c r="J239" s="366">
        <v>83556</v>
      </c>
      <c r="K239" s="178" t="s">
        <v>261</v>
      </c>
      <c r="L239" s="178" t="s">
        <v>252</v>
      </c>
      <c r="M239" s="271" t="s">
        <v>471</v>
      </c>
      <c r="N239" s="177">
        <v>46229</v>
      </c>
      <c r="O239" s="177">
        <v>46229</v>
      </c>
      <c r="P239" s="366">
        <v>1128000</v>
      </c>
      <c r="Q239" s="176" t="s">
        <v>248</v>
      </c>
      <c r="R239" s="176" t="s">
        <v>434</v>
      </c>
      <c r="S239" s="178" t="s">
        <v>253</v>
      </c>
      <c r="T239" s="57" t="str">
        <f t="shared" si="12"/>
        <v>Đ</v>
      </c>
      <c r="U239" s="59">
        <f t="shared" si="13"/>
        <v>0</v>
      </c>
      <c r="V239" s="55">
        <f t="shared" si="14"/>
        <v>13311</v>
      </c>
    </row>
    <row r="240" spans="1:22" ht="14.4" customHeight="1">
      <c r="A240" s="176">
        <v>223</v>
      </c>
      <c r="B240" s="178" t="s">
        <v>481</v>
      </c>
      <c r="C240" s="271" t="s">
        <v>757</v>
      </c>
      <c r="D240" s="177">
        <v>45991</v>
      </c>
      <c r="E240" s="178" t="s">
        <v>483</v>
      </c>
      <c r="F240" s="271" t="s">
        <v>484</v>
      </c>
      <c r="G240" s="178" t="s">
        <v>470</v>
      </c>
      <c r="H240" s="366">
        <v>1044444</v>
      </c>
      <c r="I240" s="176">
        <v>8</v>
      </c>
      <c r="J240" s="366">
        <v>83556</v>
      </c>
      <c r="K240" s="178" t="s">
        <v>261</v>
      </c>
      <c r="L240" s="178" t="s">
        <v>252</v>
      </c>
      <c r="M240" s="271" t="s">
        <v>471</v>
      </c>
      <c r="N240" s="177">
        <v>46229</v>
      </c>
      <c r="O240" s="177">
        <v>46229</v>
      </c>
      <c r="P240" s="366">
        <v>1128000</v>
      </c>
      <c r="Q240" s="176" t="s">
        <v>248</v>
      </c>
      <c r="R240" s="176" t="s">
        <v>434</v>
      </c>
      <c r="S240" s="178" t="s">
        <v>253</v>
      </c>
      <c r="T240" s="57" t="str">
        <f t="shared" si="12"/>
        <v>Đ</v>
      </c>
      <c r="U240" s="59">
        <f t="shared" si="13"/>
        <v>0</v>
      </c>
      <c r="V240" s="55">
        <f t="shared" si="14"/>
        <v>13311</v>
      </c>
    </row>
    <row r="241" spans="1:22" ht="14.4" customHeight="1">
      <c r="A241" s="176">
        <v>224</v>
      </c>
      <c r="B241" s="178" t="s">
        <v>758</v>
      </c>
      <c r="C241" s="271" t="s">
        <v>759</v>
      </c>
      <c r="D241" s="177">
        <v>46021</v>
      </c>
      <c r="E241" s="178" t="s">
        <v>760</v>
      </c>
      <c r="F241" s="271" t="s">
        <v>761</v>
      </c>
      <c r="G241" s="178" t="s">
        <v>762</v>
      </c>
      <c r="H241" s="366">
        <v>6944444</v>
      </c>
      <c r="I241" s="176">
        <v>8</v>
      </c>
      <c r="J241" s="366">
        <v>555556</v>
      </c>
      <c r="K241" s="178" t="s">
        <v>261</v>
      </c>
      <c r="L241" s="178" t="s">
        <v>252</v>
      </c>
      <c r="M241" s="271" t="s">
        <v>471</v>
      </c>
      <c r="N241" s="177">
        <v>46229</v>
      </c>
      <c r="O241" s="177">
        <v>46229</v>
      </c>
      <c r="P241" s="366">
        <v>7500000</v>
      </c>
      <c r="Q241" s="176" t="s">
        <v>248</v>
      </c>
      <c r="R241" s="176" t="s">
        <v>434</v>
      </c>
      <c r="S241" s="178" t="s">
        <v>253</v>
      </c>
      <c r="T241" s="57" t="str">
        <f t="shared" si="12"/>
        <v>Đ</v>
      </c>
      <c r="U241" s="59">
        <f t="shared" si="13"/>
        <v>0</v>
      </c>
      <c r="V241" s="55">
        <f t="shared" si="14"/>
        <v>13311</v>
      </c>
    </row>
    <row r="242" spans="1:22" ht="14.4" customHeight="1">
      <c r="A242" s="176">
        <v>225</v>
      </c>
      <c r="B242" s="178" t="s">
        <v>758</v>
      </c>
      <c r="C242" s="271" t="s">
        <v>763</v>
      </c>
      <c r="D242" s="177">
        <v>46021</v>
      </c>
      <c r="E242" s="178" t="s">
        <v>760</v>
      </c>
      <c r="F242" s="271" t="s">
        <v>761</v>
      </c>
      <c r="G242" s="178" t="s">
        <v>764</v>
      </c>
      <c r="H242" s="366">
        <v>12500000</v>
      </c>
      <c r="I242" s="176">
        <v>8</v>
      </c>
      <c r="J242" s="366">
        <v>1000000</v>
      </c>
      <c r="K242" s="178" t="s">
        <v>261</v>
      </c>
      <c r="L242" s="178" t="s">
        <v>252</v>
      </c>
      <c r="M242" s="271" t="s">
        <v>471</v>
      </c>
      <c r="N242" s="177">
        <v>46229</v>
      </c>
      <c r="O242" s="177">
        <v>46229</v>
      </c>
      <c r="P242" s="366">
        <v>13500000</v>
      </c>
      <c r="Q242" s="176" t="s">
        <v>248</v>
      </c>
      <c r="R242" s="176" t="s">
        <v>434</v>
      </c>
      <c r="S242" s="178" t="s">
        <v>253</v>
      </c>
      <c r="T242" s="57" t="str">
        <f t="shared" si="12"/>
        <v>Đ</v>
      </c>
      <c r="U242" s="59">
        <f t="shared" si="13"/>
        <v>0</v>
      </c>
      <c r="V242" s="55">
        <f t="shared" si="14"/>
        <v>13311</v>
      </c>
    </row>
    <row r="243" spans="1:22" ht="14.4" customHeight="1">
      <c r="A243" s="176">
        <v>226</v>
      </c>
      <c r="B243" s="178" t="s">
        <v>765</v>
      </c>
      <c r="C243" s="271" t="s">
        <v>766</v>
      </c>
      <c r="D243" s="177">
        <v>46021</v>
      </c>
      <c r="E243" s="178" t="s">
        <v>767</v>
      </c>
      <c r="F243" s="271" t="s">
        <v>768</v>
      </c>
      <c r="G243" s="178" t="s">
        <v>769</v>
      </c>
      <c r="H243" s="366">
        <v>2550230</v>
      </c>
      <c r="I243" s="176">
        <v>8</v>
      </c>
      <c r="J243" s="366">
        <v>204018</v>
      </c>
      <c r="K243" s="178" t="s">
        <v>261</v>
      </c>
      <c r="L243" s="178" t="s">
        <v>252</v>
      </c>
      <c r="M243" s="271" t="s">
        <v>471</v>
      </c>
      <c r="N243" s="177">
        <v>46229</v>
      </c>
      <c r="O243" s="177">
        <v>46229</v>
      </c>
      <c r="P243" s="366">
        <v>2754248</v>
      </c>
      <c r="Q243" s="176" t="s">
        <v>248</v>
      </c>
      <c r="R243" s="176" t="s">
        <v>434</v>
      </c>
      <c r="S243" s="178" t="s">
        <v>253</v>
      </c>
      <c r="T243" s="57" t="str">
        <f t="shared" si="12"/>
        <v>Đ</v>
      </c>
      <c r="U243" s="59">
        <f t="shared" si="13"/>
        <v>0</v>
      </c>
      <c r="V243" s="55">
        <f t="shared" si="14"/>
        <v>13311</v>
      </c>
    </row>
    <row r="244" spans="1:22" ht="14.4" customHeight="1">
      <c r="A244" s="176">
        <v>227</v>
      </c>
      <c r="B244" s="178" t="s">
        <v>770</v>
      </c>
      <c r="C244" s="271" t="s">
        <v>771</v>
      </c>
      <c r="D244" s="177">
        <v>46022</v>
      </c>
      <c r="E244" s="178" t="s">
        <v>772</v>
      </c>
      <c r="F244" s="271" t="s">
        <v>773</v>
      </c>
      <c r="G244" s="178" t="s">
        <v>741</v>
      </c>
      <c r="H244" s="366">
        <v>185185</v>
      </c>
      <c r="I244" s="176">
        <v>8</v>
      </c>
      <c r="J244" s="366">
        <v>14815</v>
      </c>
      <c r="K244" s="178" t="s">
        <v>261</v>
      </c>
      <c r="L244" s="178" t="s">
        <v>252</v>
      </c>
      <c r="M244" s="271" t="s">
        <v>471</v>
      </c>
      <c r="N244" s="177">
        <v>46229</v>
      </c>
      <c r="O244" s="177">
        <v>46229</v>
      </c>
      <c r="P244" s="366">
        <v>200000</v>
      </c>
      <c r="Q244" s="176" t="s">
        <v>248</v>
      </c>
      <c r="R244" s="176" t="s">
        <v>434</v>
      </c>
      <c r="S244" s="178" t="s">
        <v>253</v>
      </c>
      <c r="T244" s="57" t="str">
        <f t="shared" si="12"/>
        <v>Đ</v>
      </c>
      <c r="U244" s="59">
        <f t="shared" si="13"/>
        <v>0</v>
      </c>
      <c r="V244" s="55">
        <f t="shared" si="14"/>
        <v>13311</v>
      </c>
    </row>
    <row r="245" spans="1:22" ht="21.65" customHeight="1">
      <c r="A245" s="176">
        <v>228</v>
      </c>
      <c r="B245" s="178" t="s">
        <v>774</v>
      </c>
      <c r="C245" s="271" t="s">
        <v>775</v>
      </c>
      <c r="D245" s="177">
        <v>46022</v>
      </c>
      <c r="E245" s="178" t="s">
        <v>776</v>
      </c>
      <c r="F245" s="271" t="s">
        <v>777</v>
      </c>
      <c r="G245" s="178" t="s">
        <v>778</v>
      </c>
      <c r="H245" s="366">
        <v>1771000</v>
      </c>
      <c r="I245" s="176">
        <v>8</v>
      </c>
      <c r="J245" s="366">
        <v>141680</v>
      </c>
      <c r="K245" s="178" t="s">
        <v>261</v>
      </c>
      <c r="L245" s="178" t="s">
        <v>252</v>
      </c>
      <c r="M245" s="271" t="s">
        <v>471</v>
      </c>
      <c r="N245" s="177">
        <v>46229</v>
      </c>
      <c r="O245" s="177">
        <v>46229</v>
      </c>
      <c r="P245" s="366">
        <v>1912680</v>
      </c>
      <c r="Q245" s="176" t="s">
        <v>248</v>
      </c>
      <c r="R245" s="176" t="s">
        <v>434</v>
      </c>
      <c r="S245" s="178" t="s">
        <v>253</v>
      </c>
      <c r="T245" s="57" t="str">
        <f t="shared" si="12"/>
        <v>Đ</v>
      </c>
      <c r="U245" s="59">
        <f t="shared" si="13"/>
        <v>0</v>
      </c>
      <c r="V245" s="55">
        <f t="shared" si="14"/>
        <v>13311</v>
      </c>
    </row>
    <row r="246" spans="1:22" ht="21.65" customHeight="1">
      <c r="A246" s="176">
        <v>229</v>
      </c>
      <c r="B246" s="178" t="s">
        <v>704</v>
      </c>
      <c r="C246" s="271" t="s">
        <v>779</v>
      </c>
      <c r="D246" s="177">
        <v>46022</v>
      </c>
      <c r="E246" s="178" t="s">
        <v>706</v>
      </c>
      <c r="F246" s="271" t="s">
        <v>707</v>
      </c>
      <c r="G246" s="178" t="s">
        <v>708</v>
      </c>
      <c r="H246" s="366">
        <v>683296</v>
      </c>
      <c r="I246" s="176">
        <v>8</v>
      </c>
      <c r="J246" s="366">
        <v>54704</v>
      </c>
      <c r="K246" s="178" t="s">
        <v>261</v>
      </c>
      <c r="L246" s="178" t="s">
        <v>252</v>
      </c>
      <c r="M246" s="271" t="s">
        <v>471</v>
      </c>
      <c r="N246" s="177">
        <v>46229</v>
      </c>
      <c r="O246" s="177">
        <v>46229</v>
      </c>
      <c r="P246" s="366">
        <v>738000</v>
      </c>
      <c r="Q246" s="176" t="s">
        <v>248</v>
      </c>
      <c r="R246" s="176" t="s">
        <v>434</v>
      </c>
      <c r="S246" s="178" t="s">
        <v>253</v>
      </c>
      <c r="T246" s="57" t="str">
        <f t="shared" si="12"/>
        <v>Đ</v>
      </c>
      <c r="U246" s="59">
        <f t="shared" si="13"/>
        <v>-40</v>
      </c>
      <c r="V246" s="55">
        <f t="shared" si="14"/>
        <v>13311</v>
      </c>
    </row>
    <row r="247" spans="1:22" ht="21.65" customHeight="1">
      <c r="A247" s="176">
        <v>230</v>
      </c>
      <c r="B247" s="178" t="s">
        <v>737</v>
      </c>
      <c r="C247" s="271" t="s">
        <v>780</v>
      </c>
      <c r="D247" s="177">
        <v>46022</v>
      </c>
      <c r="E247" s="178" t="s">
        <v>739</v>
      </c>
      <c r="F247" s="271" t="s">
        <v>740</v>
      </c>
      <c r="G247" s="178" t="s">
        <v>741</v>
      </c>
      <c r="H247" s="366">
        <v>185185</v>
      </c>
      <c r="I247" s="176">
        <v>8</v>
      </c>
      <c r="J247" s="366">
        <v>14815</v>
      </c>
      <c r="K247" s="178" t="s">
        <v>261</v>
      </c>
      <c r="L247" s="178" t="s">
        <v>252</v>
      </c>
      <c r="M247" s="271" t="s">
        <v>471</v>
      </c>
      <c r="N247" s="177">
        <v>46229</v>
      </c>
      <c r="O247" s="177">
        <v>46229</v>
      </c>
      <c r="P247" s="366">
        <v>200000</v>
      </c>
      <c r="Q247" s="176" t="s">
        <v>248</v>
      </c>
      <c r="R247" s="176" t="s">
        <v>434</v>
      </c>
      <c r="S247" s="178" t="s">
        <v>253</v>
      </c>
      <c r="T247" s="57" t="str">
        <f t="shared" si="12"/>
        <v>Đ</v>
      </c>
      <c r="U247" s="59">
        <f t="shared" si="13"/>
        <v>0</v>
      </c>
      <c r="V247" s="55">
        <f t="shared" si="14"/>
        <v>13311</v>
      </c>
    </row>
    <row r="248" spans="1:22" ht="21.65" customHeight="1">
      <c r="A248" s="176">
        <v>231</v>
      </c>
      <c r="B248" s="178" t="s">
        <v>781</v>
      </c>
      <c r="C248" s="271" t="s">
        <v>782</v>
      </c>
      <c r="D248" s="177">
        <v>46022</v>
      </c>
      <c r="E248" s="178" t="s">
        <v>783</v>
      </c>
      <c r="F248" s="271" t="s">
        <v>784</v>
      </c>
      <c r="G248" s="178" t="s">
        <v>785</v>
      </c>
      <c r="H248" s="366">
        <v>22222222</v>
      </c>
      <c r="I248" s="176">
        <v>8</v>
      </c>
      <c r="J248" s="366">
        <v>1777778</v>
      </c>
      <c r="K248" s="178" t="s">
        <v>261</v>
      </c>
      <c r="L248" s="178" t="s">
        <v>252</v>
      </c>
      <c r="M248" s="271" t="s">
        <v>471</v>
      </c>
      <c r="N248" s="177">
        <v>46229</v>
      </c>
      <c r="O248" s="177">
        <v>46229</v>
      </c>
      <c r="P248" s="366">
        <v>24000000</v>
      </c>
      <c r="Q248" s="176" t="s">
        <v>248</v>
      </c>
      <c r="R248" s="176" t="s">
        <v>434</v>
      </c>
      <c r="S248" s="178" t="s">
        <v>253</v>
      </c>
      <c r="T248" s="57" t="str">
        <f t="shared" si="12"/>
        <v>Đ</v>
      </c>
      <c r="U248" s="59">
        <f t="shared" si="13"/>
        <v>0</v>
      </c>
      <c r="V248" s="55">
        <f t="shared" si="14"/>
        <v>13311</v>
      </c>
    </row>
    <row r="249" spans="1:22" ht="21.65" customHeight="1">
      <c r="A249" s="176">
        <v>232</v>
      </c>
      <c r="B249" s="178" t="s">
        <v>786</v>
      </c>
      <c r="C249" s="271" t="s">
        <v>787</v>
      </c>
      <c r="D249" s="177">
        <v>46022</v>
      </c>
      <c r="E249" s="178" t="s">
        <v>788</v>
      </c>
      <c r="F249" s="271" t="s">
        <v>789</v>
      </c>
      <c r="G249" s="178" t="s">
        <v>790</v>
      </c>
      <c r="H249" s="366">
        <v>740741</v>
      </c>
      <c r="I249" s="176">
        <v>8</v>
      </c>
      <c r="J249" s="366">
        <v>59259</v>
      </c>
      <c r="K249" s="178" t="s">
        <v>261</v>
      </c>
      <c r="L249" s="178" t="s">
        <v>252</v>
      </c>
      <c r="M249" s="271" t="s">
        <v>471</v>
      </c>
      <c r="N249" s="177">
        <v>46229</v>
      </c>
      <c r="O249" s="177">
        <v>46229</v>
      </c>
      <c r="P249" s="366">
        <v>800000</v>
      </c>
      <c r="Q249" s="176" t="s">
        <v>248</v>
      </c>
      <c r="R249" s="176" t="s">
        <v>434</v>
      </c>
      <c r="S249" s="178" t="s">
        <v>253</v>
      </c>
      <c r="T249" s="57" t="str">
        <f t="shared" si="12"/>
        <v>Đ</v>
      </c>
      <c r="U249" s="59">
        <f t="shared" si="13"/>
        <v>0</v>
      </c>
      <c r="V249" s="55">
        <f t="shared" si="14"/>
        <v>13311</v>
      </c>
    </row>
    <row r="250" spans="1:22" ht="21.65" customHeight="1">
      <c r="A250" s="176">
        <v>233</v>
      </c>
      <c r="B250" s="178" t="s">
        <v>791</v>
      </c>
      <c r="C250" s="271" t="s">
        <v>792</v>
      </c>
      <c r="D250" s="177">
        <v>46022</v>
      </c>
      <c r="E250" s="178" t="s">
        <v>793</v>
      </c>
      <c r="F250" s="271" t="s">
        <v>794</v>
      </c>
      <c r="G250" s="178" t="s">
        <v>795</v>
      </c>
      <c r="H250" s="366">
        <v>5000000</v>
      </c>
      <c r="I250" s="176">
        <v>8</v>
      </c>
      <c r="J250" s="366">
        <v>400000</v>
      </c>
      <c r="K250" s="178" t="s">
        <v>261</v>
      </c>
      <c r="L250" s="178" t="s">
        <v>252</v>
      </c>
      <c r="M250" s="271" t="s">
        <v>471</v>
      </c>
      <c r="N250" s="177">
        <v>46229</v>
      </c>
      <c r="O250" s="177">
        <v>46229</v>
      </c>
      <c r="P250" s="366">
        <v>5400000</v>
      </c>
      <c r="Q250" s="176" t="s">
        <v>248</v>
      </c>
      <c r="R250" s="176" t="s">
        <v>434</v>
      </c>
      <c r="S250" s="178" t="s">
        <v>253</v>
      </c>
      <c r="T250" s="57" t="str">
        <f t="shared" si="12"/>
        <v>Đ</v>
      </c>
      <c r="U250" s="59">
        <f t="shared" si="13"/>
        <v>0</v>
      </c>
      <c r="V250" s="55">
        <f t="shared" si="14"/>
        <v>13311</v>
      </c>
    </row>
    <row r="251" spans="1:22" ht="14.4" customHeight="1">
      <c r="A251" s="176">
        <v>234</v>
      </c>
      <c r="B251" s="178" t="s">
        <v>796</v>
      </c>
      <c r="C251" s="271" t="s">
        <v>797</v>
      </c>
      <c r="D251" s="177">
        <v>46022</v>
      </c>
      <c r="E251" s="178" t="s">
        <v>798</v>
      </c>
      <c r="F251" s="271" t="s">
        <v>799</v>
      </c>
      <c r="G251" s="178" t="s">
        <v>790</v>
      </c>
      <c r="H251" s="366">
        <v>740741</v>
      </c>
      <c r="I251" s="176">
        <v>8</v>
      </c>
      <c r="J251" s="366">
        <v>59259</v>
      </c>
      <c r="K251" s="178" t="s">
        <v>261</v>
      </c>
      <c r="L251" s="178" t="s">
        <v>252</v>
      </c>
      <c r="M251" s="271" t="s">
        <v>471</v>
      </c>
      <c r="N251" s="177">
        <v>46229</v>
      </c>
      <c r="O251" s="177">
        <v>46229</v>
      </c>
      <c r="P251" s="366">
        <v>800000</v>
      </c>
      <c r="Q251" s="176" t="s">
        <v>248</v>
      </c>
      <c r="R251" s="176" t="s">
        <v>434</v>
      </c>
      <c r="S251" s="178" t="s">
        <v>253</v>
      </c>
      <c r="T251" s="57" t="str">
        <f t="shared" si="12"/>
        <v>Đ</v>
      </c>
      <c r="U251" s="59">
        <f t="shared" si="13"/>
        <v>0</v>
      </c>
      <c r="V251" s="55">
        <f t="shared" si="14"/>
        <v>13311</v>
      </c>
    </row>
    <row r="252" spans="1:22" ht="14.4" customHeight="1">
      <c r="A252" s="176">
        <v>235</v>
      </c>
      <c r="B252" s="178" t="s">
        <v>796</v>
      </c>
      <c r="C252" s="271" t="s">
        <v>800</v>
      </c>
      <c r="D252" s="177">
        <v>46022</v>
      </c>
      <c r="E252" s="178" t="s">
        <v>798</v>
      </c>
      <c r="F252" s="271" t="s">
        <v>799</v>
      </c>
      <c r="G252" s="178" t="s">
        <v>790</v>
      </c>
      <c r="H252" s="366">
        <v>740741</v>
      </c>
      <c r="I252" s="176">
        <v>8</v>
      </c>
      <c r="J252" s="366">
        <v>59259</v>
      </c>
      <c r="K252" s="178" t="s">
        <v>261</v>
      </c>
      <c r="L252" s="178" t="s">
        <v>252</v>
      </c>
      <c r="M252" s="271" t="s">
        <v>471</v>
      </c>
      <c r="N252" s="177">
        <v>46229</v>
      </c>
      <c r="O252" s="177">
        <v>46229</v>
      </c>
      <c r="P252" s="366">
        <v>800000</v>
      </c>
      <c r="Q252" s="176" t="s">
        <v>248</v>
      </c>
      <c r="R252" s="176" t="s">
        <v>434</v>
      </c>
      <c r="S252" s="178" t="s">
        <v>253</v>
      </c>
      <c r="T252" s="57" t="str">
        <f t="shared" si="12"/>
        <v>Đ</v>
      </c>
      <c r="U252" s="59">
        <f t="shared" si="13"/>
        <v>0</v>
      </c>
      <c r="V252" s="55">
        <f t="shared" si="14"/>
        <v>13311</v>
      </c>
    </row>
    <row r="253" spans="1:22" ht="14.4" customHeight="1">
      <c r="A253" s="176">
        <v>236</v>
      </c>
      <c r="B253" s="178" t="s">
        <v>765</v>
      </c>
      <c r="C253" s="271" t="s">
        <v>801</v>
      </c>
      <c r="D253" s="177">
        <v>46022</v>
      </c>
      <c r="E253" s="178" t="s">
        <v>767</v>
      </c>
      <c r="F253" s="271" t="s">
        <v>768</v>
      </c>
      <c r="G253" s="178" t="s">
        <v>769</v>
      </c>
      <c r="H253" s="366">
        <v>1095165</v>
      </c>
      <c r="I253" s="176">
        <v>8</v>
      </c>
      <c r="J253" s="366">
        <v>87613</v>
      </c>
      <c r="K253" s="178" t="s">
        <v>261</v>
      </c>
      <c r="L253" s="178" t="s">
        <v>252</v>
      </c>
      <c r="M253" s="271" t="s">
        <v>471</v>
      </c>
      <c r="N253" s="177">
        <v>46229</v>
      </c>
      <c r="O253" s="177">
        <v>46229</v>
      </c>
      <c r="P253" s="366">
        <v>1182778</v>
      </c>
      <c r="Q253" s="176" t="s">
        <v>248</v>
      </c>
      <c r="R253" s="176" t="s">
        <v>434</v>
      </c>
      <c r="S253" s="178" t="s">
        <v>253</v>
      </c>
      <c r="T253" s="57" t="str">
        <f t="shared" si="12"/>
        <v>Đ</v>
      </c>
      <c r="U253" s="59">
        <f t="shared" si="13"/>
        <v>0</v>
      </c>
      <c r="V253" s="55">
        <f t="shared" si="14"/>
        <v>13311</v>
      </c>
    </row>
    <row r="254" spans="1:22" ht="31.75" customHeight="1">
      <c r="A254" s="176">
        <v>237</v>
      </c>
      <c r="B254" s="178" t="s">
        <v>802</v>
      </c>
      <c r="C254" s="271" t="s">
        <v>803</v>
      </c>
      <c r="D254" s="177">
        <v>46022</v>
      </c>
      <c r="E254" s="178" t="s">
        <v>804</v>
      </c>
      <c r="F254" s="271" t="s">
        <v>805</v>
      </c>
      <c r="G254" s="178" t="s">
        <v>806</v>
      </c>
      <c r="H254" s="366">
        <v>39814732</v>
      </c>
      <c r="I254" s="176">
        <v>8</v>
      </c>
      <c r="J254" s="366">
        <v>3185179</v>
      </c>
      <c r="K254" s="178" t="s">
        <v>261</v>
      </c>
      <c r="L254" s="178" t="s">
        <v>252</v>
      </c>
      <c r="M254" s="271" t="s">
        <v>471</v>
      </c>
      <c r="N254" s="177">
        <v>46229</v>
      </c>
      <c r="O254" s="177">
        <v>46229</v>
      </c>
      <c r="P254" s="366">
        <v>42999911</v>
      </c>
      <c r="Q254" s="176" t="s">
        <v>248</v>
      </c>
      <c r="R254" s="176" t="s">
        <v>434</v>
      </c>
      <c r="S254" s="178" t="s">
        <v>253</v>
      </c>
      <c r="T254" s="57" t="str">
        <f t="shared" si="12"/>
        <v>Đ</v>
      </c>
      <c r="U254" s="59">
        <f t="shared" si="13"/>
        <v>0</v>
      </c>
      <c r="V254" s="55">
        <f t="shared" si="14"/>
        <v>13311</v>
      </c>
    </row>
    <row r="255" spans="1:22" ht="14.4" customHeight="1">
      <c r="A255" s="176">
        <v>238</v>
      </c>
      <c r="B255" s="178" t="s">
        <v>802</v>
      </c>
      <c r="C255" s="271" t="s">
        <v>807</v>
      </c>
      <c r="D255" s="177">
        <v>46022</v>
      </c>
      <c r="E255" s="178" t="s">
        <v>804</v>
      </c>
      <c r="F255" s="271" t="s">
        <v>805</v>
      </c>
      <c r="G255" s="178" t="s">
        <v>806</v>
      </c>
      <c r="H255" s="366">
        <v>39814732</v>
      </c>
      <c r="I255" s="176">
        <v>8</v>
      </c>
      <c r="J255" s="366">
        <v>3185179</v>
      </c>
      <c r="K255" s="178" t="s">
        <v>261</v>
      </c>
      <c r="L255" s="178" t="s">
        <v>252</v>
      </c>
      <c r="M255" s="271" t="s">
        <v>471</v>
      </c>
      <c r="N255" s="177">
        <v>46229</v>
      </c>
      <c r="O255" s="177">
        <v>46229</v>
      </c>
      <c r="P255" s="366">
        <v>42999911</v>
      </c>
      <c r="Q255" s="176" t="s">
        <v>248</v>
      </c>
      <c r="R255" s="176" t="s">
        <v>434</v>
      </c>
      <c r="S255" s="178" t="s">
        <v>253</v>
      </c>
      <c r="T255" s="57" t="str">
        <f t="shared" si="12"/>
        <v>Đ</v>
      </c>
      <c r="U255" s="59">
        <f t="shared" si="13"/>
        <v>0</v>
      </c>
      <c r="V255" s="55">
        <f t="shared" si="14"/>
        <v>13311</v>
      </c>
    </row>
    <row r="256" spans="1:22" ht="21.65" customHeight="1">
      <c r="A256" s="176">
        <v>239</v>
      </c>
      <c r="B256" s="178" t="s">
        <v>802</v>
      </c>
      <c r="C256" s="271" t="s">
        <v>808</v>
      </c>
      <c r="D256" s="177">
        <v>46022</v>
      </c>
      <c r="E256" s="178" t="s">
        <v>804</v>
      </c>
      <c r="F256" s="271" t="s">
        <v>805</v>
      </c>
      <c r="G256" s="178" t="s">
        <v>806</v>
      </c>
      <c r="H256" s="366">
        <v>31944378</v>
      </c>
      <c r="I256" s="176">
        <v>8</v>
      </c>
      <c r="J256" s="366">
        <v>2555550</v>
      </c>
      <c r="K256" s="178" t="s">
        <v>261</v>
      </c>
      <c r="L256" s="178" t="s">
        <v>252</v>
      </c>
      <c r="M256" s="271" t="s">
        <v>471</v>
      </c>
      <c r="N256" s="177">
        <v>46229</v>
      </c>
      <c r="O256" s="177">
        <v>46229</v>
      </c>
      <c r="P256" s="366">
        <v>34499928</v>
      </c>
      <c r="Q256" s="176" t="s">
        <v>248</v>
      </c>
      <c r="R256" s="176" t="s">
        <v>434</v>
      </c>
      <c r="S256" s="178" t="s">
        <v>253</v>
      </c>
      <c r="T256" s="57" t="str">
        <f t="shared" si="12"/>
        <v>Đ</v>
      </c>
      <c r="U256" s="59">
        <f t="shared" si="13"/>
        <v>0</v>
      </c>
      <c r="V256" s="55">
        <f t="shared" si="14"/>
        <v>13311</v>
      </c>
    </row>
    <row r="257" spans="1:22" ht="14.4" customHeight="1">
      <c r="A257" s="176">
        <v>240</v>
      </c>
      <c r="B257" s="178" t="s">
        <v>802</v>
      </c>
      <c r="C257" s="271" t="s">
        <v>809</v>
      </c>
      <c r="D257" s="177">
        <v>46022</v>
      </c>
      <c r="E257" s="178" t="s">
        <v>804</v>
      </c>
      <c r="F257" s="271" t="s">
        <v>805</v>
      </c>
      <c r="G257" s="178" t="s">
        <v>806</v>
      </c>
      <c r="H257" s="366">
        <v>31944378</v>
      </c>
      <c r="I257" s="176">
        <v>8</v>
      </c>
      <c r="J257" s="366">
        <v>2555550</v>
      </c>
      <c r="K257" s="178" t="s">
        <v>261</v>
      </c>
      <c r="L257" s="178" t="s">
        <v>252</v>
      </c>
      <c r="M257" s="271" t="s">
        <v>471</v>
      </c>
      <c r="N257" s="177">
        <v>46229</v>
      </c>
      <c r="O257" s="177">
        <v>46229</v>
      </c>
      <c r="P257" s="366">
        <v>34499928</v>
      </c>
      <c r="Q257" s="176" t="s">
        <v>248</v>
      </c>
      <c r="R257" s="176" t="s">
        <v>434</v>
      </c>
      <c r="S257" s="178" t="s">
        <v>253</v>
      </c>
      <c r="T257" s="57" t="str">
        <f t="shared" si="12"/>
        <v>Đ</v>
      </c>
      <c r="U257" s="59">
        <f t="shared" si="13"/>
        <v>0</v>
      </c>
      <c r="V257" s="55">
        <f t="shared" si="14"/>
        <v>13311</v>
      </c>
    </row>
    <row r="258" spans="1:22" ht="21.65" customHeight="1">
      <c r="A258" s="176">
        <v>241</v>
      </c>
      <c r="B258" s="178" t="s">
        <v>802</v>
      </c>
      <c r="C258" s="271" t="s">
        <v>750</v>
      </c>
      <c r="D258" s="177">
        <v>46022</v>
      </c>
      <c r="E258" s="178" t="s">
        <v>804</v>
      </c>
      <c r="F258" s="271" t="s">
        <v>805</v>
      </c>
      <c r="G258" s="178" t="s">
        <v>806</v>
      </c>
      <c r="H258" s="366">
        <v>41666580</v>
      </c>
      <c r="I258" s="176">
        <v>8</v>
      </c>
      <c r="J258" s="366">
        <v>3333326</v>
      </c>
      <c r="K258" s="178" t="s">
        <v>261</v>
      </c>
      <c r="L258" s="178" t="s">
        <v>252</v>
      </c>
      <c r="M258" s="271" t="s">
        <v>471</v>
      </c>
      <c r="N258" s="177">
        <v>46229</v>
      </c>
      <c r="O258" s="177">
        <v>46229</v>
      </c>
      <c r="P258" s="366">
        <v>44999906</v>
      </c>
      <c r="Q258" s="176" t="s">
        <v>248</v>
      </c>
      <c r="R258" s="176" t="s">
        <v>434</v>
      </c>
      <c r="S258" s="178" t="s">
        <v>253</v>
      </c>
      <c r="T258" s="57" t="str">
        <f t="shared" si="12"/>
        <v>Đ</v>
      </c>
      <c r="U258" s="59">
        <f t="shared" si="13"/>
        <v>0</v>
      </c>
      <c r="V258" s="55">
        <f t="shared" si="14"/>
        <v>13311</v>
      </c>
    </row>
    <row r="259" spans="1:22" ht="21.65" customHeight="1">
      <c r="A259" s="176">
        <v>242</v>
      </c>
      <c r="B259" s="178" t="s">
        <v>802</v>
      </c>
      <c r="C259" s="271" t="s">
        <v>810</v>
      </c>
      <c r="D259" s="177">
        <v>46022</v>
      </c>
      <c r="E259" s="178" t="s">
        <v>804</v>
      </c>
      <c r="F259" s="271" t="s">
        <v>805</v>
      </c>
      <c r="G259" s="178" t="s">
        <v>806</v>
      </c>
      <c r="H259" s="366">
        <v>41666580</v>
      </c>
      <c r="I259" s="176">
        <v>8</v>
      </c>
      <c r="J259" s="366">
        <v>3333326</v>
      </c>
      <c r="K259" s="178" t="s">
        <v>261</v>
      </c>
      <c r="L259" s="178" t="s">
        <v>252</v>
      </c>
      <c r="M259" s="271" t="s">
        <v>471</v>
      </c>
      <c r="N259" s="177">
        <v>46229</v>
      </c>
      <c r="O259" s="177">
        <v>46229</v>
      </c>
      <c r="P259" s="366">
        <v>44999906</v>
      </c>
      <c r="Q259" s="176" t="s">
        <v>248</v>
      </c>
      <c r="R259" s="176" t="s">
        <v>434</v>
      </c>
      <c r="S259" s="178" t="s">
        <v>253</v>
      </c>
      <c r="T259" s="57" t="str">
        <f t="shared" si="12"/>
        <v>Đ</v>
      </c>
      <c r="U259" s="59">
        <f t="shared" si="13"/>
        <v>0</v>
      </c>
      <c r="V259" s="55">
        <f t="shared" si="14"/>
        <v>13311</v>
      </c>
    </row>
    <row r="260" spans="1:22" ht="21.65" customHeight="1">
      <c r="A260" s="176">
        <v>243</v>
      </c>
      <c r="B260" s="178" t="s">
        <v>811</v>
      </c>
      <c r="C260" s="271" t="s">
        <v>812</v>
      </c>
      <c r="D260" s="177">
        <v>45932</v>
      </c>
      <c r="E260" s="178" t="s">
        <v>813</v>
      </c>
      <c r="F260" s="271" t="s">
        <v>814</v>
      </c>
      <c r="G260" s="178" t="s">
        <v>815</v>
      </c>
      <c r="H260" s="366">
        <v>20000</v>
      </c>
      <c r="I260" s="176">
        <v>10</v>
      </c>
      <c r="J260" s="366">
        <v>2000</v>
      </c>
      <c r="K260" s="178" t="s">
        <v>261</v>
      </c>
      <c r="L260" s="178" t="s">
        <v>252</v>
      </c>
      <c r="M260" s="271" t="s">
        <v>816</v>
      </c>
      <c r="N260" s="177">
        <v>46230</v>
      </c>
      <c r="O260" s="177">
        <v>46230</v>
      </c>
      <c r="P260" s="366">
        <v>22000</v>
      </c>
      <c r="Q260" s="176" t="s">
        <v>248</v>
      </c>
      <c r="R260" s="176" t="s">
        <v>434</v>
      </c>
      <c r="S260" s="178" t="s">
        <v>253</v>
      </c>
      <c r="T260" s="57" t="str">
        <f t="shared" si="12"/>
        <v>Đ</v>
      </c>
      <c r="U260" s="59">
        <f t="shared" si="13"/>
        <v>0</v>
      </c>
      <c r="V260" s="55">
        <f t="shared" si="14"/>
        <v>13311</v>
      </c>
    </row>
    <row r="261" spans="1:22" ht="21.65" customHeight="1">
      <c r="A261" s="176">
        <v>244</v>
      </c>
      <c r="B261" s="178" t="s">
        <v>817</v>
      </c>
      <c r="C261" s="271" t="s">
        <v>818</v>
      </c>
      <c r="D261" s="177">
        <v>45932</v>
      </c>
      <c r="E261" s="178" t="s">
        <v>813</v>
      </c>
      <c r="F261" s="271" t="s">
        <v>814</v>
      </c>
      <c r="G261" s="178" t="s">
        <v>815</v>
      </c>
      <c r="H261" s="366">
        <v>27273</v>
      </c>
      <c r="I261" s="176">
        <v>10</v>
      </c>
      <c r="J261" s="366">
        <v>2727</v>
      </c>
      <c r="K261" s="178" t="s">
        <v>261</v>
      </c>
      <c r="L261" s="178" t="s">
        <v>252</v>
      </c>
      <c r="M261" s="271" t="s">
        <v>816</v>
      </c>
      <c r="N261" s="177">
        <v>46230</v>
      </c>
      <c r="O261" s="177">
        <v>46230</v>
      </c>
      <c r="P261" s="366">
        <v>30000</v>
      </c>
      <c r="Q261" s="176" t="s">
        <v>248</v>
      </c>
      <c r="R261" s="176" t="s">
        <v>434</v>
      </c>
      <c r="S261" s="178" t="s">
        <v>253</v>
      </c>
      <c r="T261" s="57" t="str">
        <f t="shared" si="12"/>
        <v>Đ</v>
      </c>
      <c r="U261" s="59">
        <f t="shared" si="13"/>
        <v>0</v>
      </c>
      <c r="V261" s="55">
        <f t="shared" si="14"/>
        <v>13311</v>
      </c>
    </row>
    <row r="262" spans="1:22" ht="21.65" customHeight="1">
      <c r="A262" s="176">
        <v>245</v>
      </c>
      <c r="B262" s="178" t="s">
        <v>817</v>
      </c>
      <c r="C262" s="271" t="s">
        <v>819</v>
      </c>
      <c r="D262" s="177">
        <v>45932</v>
      </c>
      <c r="E262" s="178" t="s">
        <v>813</v>
      </c>
      <c r="F262" s="271" t="s">
        <v>814</v>
      </c>
      <c r="G262" s="178" t="s">
        <v>815</v>
      </c>
      <c r="H262" s="366">
        <v>20000</v>
      </c>
      <c r="I262" s="176">
        <v>10</v>
      </c>
      <c r="J262" s="366">
        <v>2000</v>
      </c>
      <c r="K262" s="178" t="s">
        <v>261</v>
      </c>
      <c r="L262" s="178" t="s">
        <v>252</v>
      </c>
      <c r="M262" s="271" t="s">
        <v>816</v>
      </c>
      <c r="N262" s="177">
        <v>46230</v>
      </c>
      <c r="O262" s="177">
        <v>46230</v>
      </c>
      <c r="P262" s="366">
        <v>22000</v>
      </c>
      <c r="Q262" s="176" t="s">
        <v>248</v>
      </c>
      <c r="R262" s="176" t="s">
        <v>434</v>
      </c>
      <c r="S262" s="178" t="s">
        <v>253</v>
      </c>
      <c r="T262" s="57" t="str">
        <f t="shared" si="12"/>
        <v>Đ</v>
      </c>
      <c r="U262" s="59">
        <f t="shared" si="13"/>
        <v>0</v>
      </c>
      <c r="V262" s="55">
        <f t="shared" si="14"/>
        <v>13311</v>
      </c>
    </row>
    <row r="263" spans="1:22" ht="21.65" customHeight="1">
      <c r="A263" s="176">
        <v>246</v>
      </c>
      <c r="B263" s="178" t="s">
        <v>817</v>
      </c>
      <c r="C263" s="271" t="s">
        <v>820</v>
      </c>
      <c r="D263" s="177">
        <v>45932</v>
      </c>
      <c r="E263" s="178" t="s">
        <v>813</v>
      </c>
      <c r="F263" s="271" t="s">
        <v>814</v>
      </c>
      <c r="G263" s="178" t="s">
        <v>815</v>
      </c>
      <c r="H263" s="366">
        <v>20000</v>
      </c>
      <c r="I263" s="176">
        <v>10</v>
      </c>
      <c r="J263" s="366">
        <v>2000</v>
      </c>
      <c r="K263" s="178" t="s">
        <v>261</v>
      </c>
      <c r="L263" s="178" t="s">
        <v>252</v>
      </c>
      <c r="M263" s="271" t="s">
        <v>816</v>
      </c>
      <c r="N263" s="177">
        <v>46230</v>
      </c>
      <c r="O263" s="177">
        <v>46230</v>
      </c>
      <c r="P263" s="366">
        <v>22000</v>
      </c>
      <c r="Q263" s="176" t="s">
        <v>248</v>
      </c>
      <c r="R263" s="176" t="s">
        <v>434</v>
      </c>
      <c r="S263" s="178" t="s">
        <v>253</v>
      </c>
      <c r="T263" s="57" t="str">
        <f t="shared" si="12"/>
        <v>Đ</v>
      </c>
      <c r="U263" s="59">
        <f t="shared" si="13"/>
        <v>0</v>
      </c>
      <c r="V263" s="55">
        <f t="shared" si="14"/>
        <v>13311</v>
      </c>
    </row>
    <row r="264" spans="1:22" ht="21.65" customHeight="1">
      <c r="A264" s="176">
        <v>247</v>
      </c>
      <c r="B264" s="178" t="s">
        <v>817</v>
      </c>
      <c r="C264" s="271" t="s">
        <v>821</v>
      </c>
      <c r="D264" s="177">
        <v>45932</v>
      </c>
      <c r="E264" s="178" t="s">
        <v>813</v>
      </c>
      <c r="F264" s="271" t="s">
        <v>814</v>
      </c>
      <c r="G264" s="178" t="s">
        <v>815</v>
      </c>
      <c r="H264" s="366">
        <v>27273</v>
      </c>
      <c r="I264" s="176">
        <v>10</v>
      </c>
      <c r="J264" s="366">
        <v>2727</v>
      </c>
      <c r="K264" s="178" t="s">
        <v>261</v>
      </c>
      <c r="L264" s="178" t="s">
        <v>252</v>
      </c>
      <c r="M264" s="271" t="s">
        <v>816</v>
      </c>
      <c r="N264" s="177">
        <v>46230</v>
      </c>
      <c r="O264" s="177">
        <v>46230</v>
      </c>
      <c r="P264" s="366">
        <v>30000</v>
      </c>
      <c r="Q264" s="176" t="s">
        <v>248</v>
      </c>
      <c r="R264" s="176" t="s">
        <v>434</v>
      </c>
      <c r="S264" s="178" t="s">
        <v>253</v>
      </c>
      <c r="T264" s="57" t="str">
        <f t="shared" si="12"/>
        <v>Đ</v>
      </c>
      <c r="U264" s="59">
        <f t="shared" si="13"/>
        <v>0</v>
      </c>
      <c r="V264" s="55">
        <f t="shared" si="14"/>
        <v>13311</v>
      </c>
    </row>
    <row r="265" spans="1:22" ht="21.65" customHeight="1">
      <c r="A265" s="176">
        <v>248</v>
      </c>
      <c r="B265" s="178" t="s">
        <v>817</v>
      </c>
      <c r="C265" s="271" t="s">
        <v>822</v>
      </c>
      <c r="D265" s="177">
        <v>45932</v>
      </c>
      <c r="E265" s="178" t="s">
        <v>813</v>
      </c>
      <c r="F265" s="271" t="s">
        <v>814</v>
      </c>
      <c r="G265" s="178" t="s">
        <v>815</v>
      </c>
      <c r="H265" s="366">
        <v>20000</v>
      </c>
      <c r="I265" s="176">
        <v>10</v>
      </c>
      <c r="J265" s="366">
        <v>2000</v>
      </c>
      <c r="K265" s="178" t="s">
        <v>261</v>
      </c>
      <c r="L265" s="178" t="s">
        <v>252</v>
      </c>
      <c r="M265" s="271" t="s">
        <v>816</v>
      </c>
      <c r="N265" s="177">
        <v>46230</v>
      </c>
      <c r="O265" s="177">
        <v>46230</v>
      </c>
      <c r="P265" s="366">
        <v>22000</v>
      </c>
      <c r="Q265" s="176" t="s">
        <v>248</v>
      </c>
      <c r="R265" s="176" t="s">
        <v>434</v>
      </c>
      <c r="S265" s="178" t="s">
        <v>253</v>
      </c>
      <c r="T265" s="57" t="str">
        <f t="shared" si="12"/>
        <v>Đ</v>
      </c>
      <c r="U265" s="59">
        <f t="shared" si="13"/>
        <v>0</v>
      </c>
      <c r="V265" s="55">
        <f t="shared" si="14"/>
        <v>13311</v>
      </c>
    </row>
    <row r="266" spans="1:22" ht="21.65" customHeight="1">
      <c r="A266" s="176">
        <v>249</v>
      </c>
      <c r="B266" s="178" t="s">
        <v>817</v>
      </c>
      <c r="C266" s="271" t="s">
        <v>823</v>
      </c>
      <c r="D266" s="177">
        <v>45932</v>
      </c>
      <c r="E266" s="178" t="s">
        <v>813</v>
      </c>
      <c r="F266" s="271" t="s">
        <v>814</v>
      </c>
      <c r="G266" s="178" t="s">
        <v>815</v>
      </c>
      <c r="H266" s="366">
        <v>20000</v>
      </c>
      <c r="I266" s="176">
        <v>10</v>
      </c>
      <c r="J266" s="366">
        <v>2000</v>
      </c>
      <c r="K266" s="178" t="s">
        <v>261</v>
      </c>
      <c r="L266" s="178" t="s">
        <v>252</v>
      </c>
      <c r="M266" s="271" t="s">
        <v>816</v>
      </c>
      <c r="N266" s="177">
        <v>46230</v>
      </c>
      <c r="O266" s="177">
        <v>46230</v>
      </c>
      <c r="P266" s="366">
        <v>22000</v>
      </c>
      <c r="Q266" s="176" t="s">
        <v>248</v>
      </c>
      <c r="R266" s="176" t="s">
        <v>434</v>
      </c>
      <c r="S266" s="178" t="s">
        <v>253</v>
      </c>
      <c r="T266" s="57" t="str">
        <f t="shared" si="12"/>
        <v>Đ</v>
      </c>
      <c r="U266" s="59">
        <f t="shared" si="13"/>
        <v>0</v>
      </c>
      <c r="V266" s="55">
        <f t="shared" si="14"/>
        <v>13311</v>
      </c>
    </row>
    <row r="267" spans="1:22" ht="21.65" customHeight="1">
      <c r="A267" s="176">
        <v>250</v>
      </c>
      <c r="B267" s="178" t="s">
        <v>817</v>
      </c>
      <c r="C267" s="271" t="s">
        <v>824</v>
      </c>
      <c r="D267" s="177">
        <v>45932</v>
      </c>
      <c r="E267" s="178" t="s">
        <v>813</v>
      </c>
      <c r="F267" s="271" t="s">
        <v>814</v>
      </c>
      <c r="G267" s="178" t="s">
        <v>815</v>
      </c>
      <c r="H267" s="366">
        <v>20000</v>
      </c>
      <c r="I267" s="176">
        <v>10</v>
      </c>
      <c r="J267" s="366">
        <v>2000</v>
      </c>
      <c r="K267" s="178" t="s">
        <v>261</v>
      </c>
      <c r="L267" s="178" t="s">
        <v>252</v>
      </c>
      <c r="M267" s="271" t="s">
        <v>816</v>
      </c>
      <c r="N267" s="177">
        <v>46230</v>
      </c>
      <c r="O267" s="177">
        <v>46230</v>
      </c>
      <c r="P267" s="366">
        <v>22000</v>
      </c>
      <c r="Q267" s="176" t="s">
        <v>248</v>
      </c>
      <c r="R267" s="176" t="s">
        <v>434</v>
      </c>
      <c r="S267" s="178" t="s">
        <v>253</v>
      </c>
      <c r="T267" s="57" t="str">
        <f t="shared" si="12"/>
        <v>Đ</v>
      </c>
      <c r="U267" s="59">
        <f t="shared" si="13"/>
        <v>0</v>
      </c>
      <c r="V267" s="55">
        <f t="shared" si="14"/>
        <v>13311</v>
      </c>
    </row>
    <row r="268" spans="1:22" ht="21.65" customHeight="1">
      <c r="A268" s="176">
        <v>251</v>
      </c>
      <c r="B268" s="178" t="s">
        <v>817</v>
      </c>
      <c r="C268" s="271" t="s">
        <v>825</v>
      </c>
      <c r="D268" s="177">
        <v>45932</v>
      </c>
      <c r="E268" s="178" t="s">
        <v>813</v>
      </c>
      <c r="F268" s="271" t="s">
        <v>814</v>
      </c>
      <c r="G268" s="178" t="s">
        <v>815</v>
      </c>
      <c r="H268" s="366">
        <v>65535</v>
      </c>
      <c r="I268" s="176">
        <v>10</v>
      </c>
      <c r="J268" s="366">
        <v>6553</v>
      </c>
      <c r="K268" s="178" t="s">
        <v>261</v>
      </c>
      <c r="L268" s="178" t="s">
        <v>252</v>
      </c>
      <c r="M268" s="271" t="s">
        <v>816</v>
      </c>
      <c r="N268" s="177">
        <v>46230</v>
      </c>
      <c r="O268" s="177">
        <v>46230</v>
      </c>
      <c r="P268" s="366">
        <v>72088</v>
      </c>
      <c r="Q268" s="176" t="s">
        <v>248</v>
      </c>
      <c r="R268" s="176" t="s">
        <v>434</v>
      </c>
      <c r="S268" s="178" t="s">
        <v>253</v>
      </c>
      <c r="T268" s="57" t="str">
        <f t="shared" si="12"/>
        <v>Đ</v>
      </c>
      <c r="U268" s="59">
        <f t="shared" si="13"/>
        <v>1</v>
      </c>
      <c r="V268" s="55">
        <f t="shared" si="14"/>
        <v>13311</v>
      </c>
    </row>
    <row r="269" spans="1:22" ht="21.65" customHeight="1">
      <c r="A269" s="176">
        <v>252</v>
      </c>
      <c r="B269" s="178" t="s">
        <v>817</v>
      </c>
      <c r="C269" s="271" t="s">
        <v>826</v>
      </c>
      <c r="D269" s="177">
        <v>45932</v>
      </c>
      <c r="E269" s="178" t="s">
        <v>813</v>
      </c>
      <c r="F269" s="271" t="s">
        <v>814</v>
      </c>
      <c r="G269" s="178" t="s">
        <v>815</v>
      </c>
      <c r="H269" s="366">
        <v>109025</v>
      </c>
      <c r="I269" s="176">
        <v>10</v>
      </c>
      <c r="J269" s="366">
        <v>10903</v>
      </c>
      <c r="K269" s="178" t="s">
        <v>261</v>
      </c>
      <c r="L269" s="178" t="s">
        <v>252</v>
      </c>
      <c r="M269" s="271" t="s">
        <v>816</v>
      </c>
      <c r="N269" s="177">
        <v>46230</v>
      </c>
      <c r="O269" s="177">
        <v>46230</v>
      </c>
      <c r="P269" s="366">
        <v>119928</v>
      </c>
      <c r="Q269" s="176" t="s">
        <v>248</v>
      </c>
      <c r="R269" s="176" t="s">
        <v>434</v>
      </c>
      <c r="S269" s="178" t="s">
        <v>253</v>
      </c>
      <c r="T269" s="57" t="str">
        <f t="shared" si="12"/>
        <v>Đ</v>
      </c>
      <c r="U269" s="59">
        <f t="shared" si="13"/>
        <v>0</v>
      </c>
      <c r="V269" s="55">
        <f t="shared" si="14"/>
        <v>13311</v>
      </c>
    </row>
    <row r="270" spans="1:22" ht="21.65" customHeight="1">
      <c r="A270" s="176">
        <v>253</v>
      </c>
      <c r="B270" s="178" t="s">
        <v>817</v>
      </c>
      <c r="C270" s="271" t="s">
        <v>827</v>
      </c>
      <c r="D270" s="177">
        <v>45932</v>
      </c>
      <c r="E270" s="178" t="s">
        <v>813</v>
      </c>
      <c r="F270" s="271" t="s">
        <v>814</v>
      </c>
      <c r="G270" s="178" t="s">
        <v>815</v>
      </c>
      <c r="H270" s="366">
        <v>20000</v>
      </c>
      <c r="I270" s="176">
        <v>10</v>
      </c>
      <c r="J270" s="366">
        <v>2000</v>
      </c>
      <c r="K270" s="178" t="s">
        <v>261</v>
      </c>
      <c r="L270" s="178" t="s">
        <v>252</v>
      </c>
      <c r="M270" s="271" t="s">
        <v>816</v>
      </c>
      <c r="N270" s="177">
        <v>46230</v>
      </c>
      <c r="O270" s="177">
        <v>46230</v>
      </c>
      <c r="P270" s="366">
        <v>22000</v>
      </c>
      <c r="Q270" s="176" t="s">
        <v>248</v>
      </c>
      <c r="R270" s="176" t="s">
        <v>434</v>
      </c>
      <c r="S270" s="178" t="s">
        <v>253</v>
      </c>
      <c r="T270" s="57" t="str">
        <f t="shared" ref="T270:T333" si="15">IF(OR(LEN(F270)=11,LEN(F270)=15),"Đ","SAI")</f>
        <v>Đ</v>
      </c>
      <c r="U270" s="59">
        <f t="shared" ref="U270:U333" si="16">ROUND(H270*I270%,0)-J270</f>
        <v>0</v>
      </c>
      <c r="V270" s="55">
        <f t="shared" ref="V270:V333" si="17">IF(Q270=$V$12,13313,13311)</f>
        <v>13311</v>
      </c>
    </row>
    <row r="271" spans="1:22" ht="21.65" customHeight="1">
      <c r="A271" s="176">
        <v>254</v>
      </c>
      <c r="B271" s="178" t="s">
        <v>817</v>
      </c>
      <c r="C271" s="271" t="s">
        <v>828</v>
      </c>
      <c r="D271" s="177">
        <v>45932</v>
      </c>
      <c r="E271" s="178" t="s">
        <v>813</v>
      </c>
      <c r="F271" s="271" t="s">
        <v>814</v>
      </c>
      <c r="G271" s="178" t="s">
        <v>815</v>
      </c>
      <c r="H271" s="366">
        <v>459818</v>
      </c>
      <c r="I271" s="176">
        <v>10</v>
      </c>
      <c r="J271" s="366">
        <v>45982</v>
      </c>
      <c r="K271" s="178" t="s">
        <v>261</v>
      </c>
      <c r="L271" s="178" t="s">
        <v>252</v>
      </c>
      <c r="M271" s="271" t="s">
        <v>816</v>
      </c>
      <c r="N271" s="177">
        <v>46230</v>
      </c>
      <c r="O271" s="177">
        <v>46230</v>
      </c>
      <c r="P271" s="366">
        <v>505800</v>
      </c>
      <c r="Q271" s="176" t="s">
        <v>248</v>
      </c>
      <c r="R271" s="176" t="s">
        <v>434</v>
      </c>
      <c r="S271" s="178" t="s">
        <v>253</v>
      </c>
      <c r="T271" s="57" t="str">
        <f t="shared" si="15"/>
        <v>Đ</v>
      </c>
      <c r="U271" s="59">
        <f t="shared" si="16"/>
        <v>0</v>
      </c>
      <c r="V271" s="55">
        <f t="shared" si="17"/>
        <v>13311</v>
      </c>
    </row>
    <row r="272" spans="1:22" ht="21.65" customHeight="1">
      <c r="A272" s="176">
        <v>255</v>
      </c>
      <c r="B272" s="178" t="s">
        <v>817</v>
      </c>
      <c r="C272" s="271" t="s">
        <v>829</v>
      </c>
      <c r="D272" s="177">
        <v>45932</v>
      </c>
      <c r="E272" s="178" t="s">
        <v>813</v>
      </c>
      <c r="F272" s="271" t="s">
        <v>814</v>
      </c>
      <c r="G272" s="178" t="s">
        <v>815</v>
      </c>
      <c r="H272" s="366">
        <v>27273</v>
      </c>
      <c r="I272" s="176">
        <v>10</v>
      </c>
      <c r="J272" s="366">
        <v>2727</v>
      </c>
      <c r="K272" s="178" t="s">
        <v>261</v>
      </c>
      <c r="L272" s="178" t="s">
        <v>252</v>
      </c>
      <c r="M272" s="271" t="s">
        <v>816</v>
      </c>
      <c r="N272" s="177">
        <v>46230</v>
      </c>
      <c r="O272" s="177">
        <v>46230</v>
      </c>
      <c r="P272" s="366">
        <v>30000</v>
      </c>
      <c r="Q272" s="176" t="s">
        <v>248</v>
      </c>
      <c r="R272" s="176" t="s">
        <v>434</v>
      </c>
      <c r="S272" s="178" t="s">
        <v>253</v>
      </c>
      <c r="T272" s="57" t="str">
        <f t="shared" si="15"/>
        <v>Đ</v>
      </c>
      <c r="U272" s="59">
        <f t="shared" si="16"/>
        <v>0</v>
      </c>
      <c r="V272" s="55">
        <f t="shared" si="17"/>
        <v>13311</v>
      </c>
    </row>
    <row r="273" spans="1:22" ht="21.65" customHeight="1">
      <c r="A273" s="176">
        <v>256</v>
      </c>
      <c r="B273" s="178" t="s">
        <v>817</v>
      </c>
      <c r="C273" s="271" t="s">
        <v>830</v>
      </c>
      <c r="D273" s="177">
        <v>45932</v>
      </c>
      <c r="E273" s="178" t="s">
        <v>813</v>
      </c>
      <c r="F273" s="271" t="s">
        <v>814</v>
      </c>
      <c r="G273" s="178" t="s">
        <v>815</v>
      </c>
      <c r="H273" s="366">
        <v>20000</v>
      </c>
      <c r="I273" s="176">
        <v>10</v>
      </c>
      <c r="J273" s="366">
        <v>2000</v>
      </c>
      <c r="K273" s="178" t="s">
        <v>261</v>
      </c>
      <c r="L273" s="178" t="s">
        <v>252</v>
      </c>
      <c r="M273" s="271" t="s">
        <v>816</v>
      </c>
      <c r="N273" s="177">
        <v>46230</v>
      </c>
      <c r="O273" s="177">
        <v>46230</v>
      </c>
      <c r="P273" s="366">
        <v>22000</v>
      </c>
      <c r="Q273" s="176" t="s">
        <v>248</v>
      </c>
      <c r="R273" s="176" t="s">
        <v>434</v>
      </c>
      <c r="S273" s="178" t="s">
        <v>253</v>
      </c>
      <c r="T273" s="57" t="str">
        <f t="shared" si="15"/>
        <v>Đ</v>
      </c>
      <c r="U273" s="59">
        <f t="shared" si="16"/>
        <v>0</v>
      </c>
      <c r="V273" s="55">
        <f t="shared" si="17"/>
        <v>13311</v>
      </c>
    </row>
    <row r="274" spans="1:22" ht="21.65" customHeight="1">
      <c r="A274" s="176">
        <v>257</v>
      </c>
      <c r="B274" s="178" t="s">
        <v>817</v>
      </c>
      <c r="C274" s="271" t="s">
        <v>831</v>
      </c>
      <c r="D274" s="177">
        <v>45932</v>
      </c>
      <c r="E274" s="178" t="s">
        <v>813</v>
      </c>
      <c r="F274" s="271" t="s">
        <v>814</v>
      </c>
      <c r="G274" s="178" t="s">
        <v>815</v>
      </c>
      <c r="H274" s="366">
        <v>27273</v>
      </c>
      <c r="I274" s="176">
        <v>10</v>
      </c>
      <c r="J274" s="366">
        <v>2727</v>
      </c>
      <c r="K274" s="178" t="s">
        <v>261</v>
      </c>
      <c r="L274" s="178" t="s">
        <v>252</v>
      </c>
      <c r="M274" s="271" t="s">
        <v>816</v>
      </c>
      <c r="N274" s="177">
        <v>46230</v>
      </c>
      <c r="O274" s="177">
        <v>46230</v>
      </c>
      <c r="P274" s="366">
        <v>30000</v>
      </c>
      <c r="Q274" s="176" t="s">
        <v>248</v>
      </c>
      <c r="R274" s="176" t="s">
        <v>434</v>
      </c>
      <c r="S274" s="178" t="s">
        <v>253</v>
      </c>
      <c r="T274" s="57" t="str">
        <f t="shared" si="15"/>
        <v>Đ</v>
      </c>
      <c r="U274" s="59">
        <f t="shared" si="16"/>
        <v>0</v>
      </c>
      <c r="V274" s="55">
        <f t="shared" si="17"/>
        <v>13311</v>
      </c>
    </row>
    <row r="275" spans="1:22" ht="21.65" customHeight="1">
      <c r="A275" s="176">
        <v>258</v>
      </c>
      <c r="B275" s="178" t="s">
        <v>817</v>
      </c>
      <c r="C275" s="271" t="s">
        <v>832</v>
      </c>
      <c r="D275" s="177">
        <v>45932</v>
      </c>
      <c r="E275" s="178" t="s">
        <v>813</v>
      </c>
      <c r="F275" s="271" t="s">
        <v>814</v>
      </c>
      <c r="G275" s="178" t="s">
        <v>815</v>
      </c>
      <c r="H275" s="366">
        <v>20000</v>
      </c>
      <c r="I275" s="176">
        <v>10</v>
      </c>
      <c r="J275" s="366">
        <v>2000</v>
      </c>
      <c r="K275" s="178" t="s">
        <v>261</v>
      </c>
      <c r="L275" s="178" t="s">
        <v>252</v>
      </c>
      <c r="M275" s="271" t="s">
        <v>816</v>
      </c>
      <c r="N275" s="177">
        <v>46230</v>
      </c>
      <c r="O275" s="177">
        <v>46230</v>
      </c>
      <c r="P275" s="366">
        <v>22000</v>
      </c>
      <c r="Q275" s="176" t="s">
        <v>248</v>
      </c>
      <c r="R275" s="176" t="s">
        <v>434</v>
      </c>
      <c r="S275" s="178" t="s">
        <v>253</v>
      </c>
      <c r="T275" s="57" t="str">
        <f t="shared" si="15"/>
        <v>Đ</v>
      </c>
      <c r="U275" s="59">
        <f t="shared" si="16"/>
        <v>0</v>
      </c>
      <c r="V275" s="55">
        <f t="shared" si="17"/>
        <v>13311</v>
      </c>
    </row>
    <row r="276" spans="1:22" ht="21.65" customHeight="1">
      <c r="A276" s="176">
        <v>259</v>
      </c>
      <c r="B276" s="178" t="s">
        <v>817</v>
      </c>
      <c r="C276" s="271" t="s">
        <v>833</v>
      </c>
      <c r="D276" s="177">
        <v>45932</v>
      </c>
      <c r="E276" s="178" t="s">
        <v>813</v>
      </c>
      <c r="F276" s="271" t="s">
        <v>814</v>
      </c>
      <c r="G276" s="178" t="s">
        <v>815</v>
      </c>
      <c r="H276" s="366">
        <v>133980</v>
      </c>
      <c r="I276" s="176">
        <v>10</v>
      </c>
      <c r="J276" s="366">
        <v>13398</v>
      </c>
      <c r="K276" s="178" t="s">
        <v>261</v>
      </c>
      <c r="L276" s="178" t="s">
        <v>252</v>
      </c>
      <c r="M276" s="271" t="s">
        <v>816</v>
      </c>
      <c r="N276" s="177">
        <v>46230</v>
      </c>
      <c r="O276" s="177">
        <v>46230</v>
      </c>
      <c r="P276" s="366">
        <v>147378</v>
      </c>
      <c r="Q276" s="176" t="s">
        <v>248</v>
      </c>
      <c r="R276" s="176" t="s">
        <v>434</v>
      </c>
      <c r="S276" s="178" t="s">
        <v>253</v>
      </c>
      <c r="T276" s="57" t="str">
        <f t="shared" si="15"/>
        <v>Đ</v>
      </c>
      <c r="U276" s="59">
        <f t="shared" si="16"/>
        <v>0</v>
      </c>
      <c r="V276" s="55">
        <f t="shared" si="17"/>
        <v>13311</v>
      </c>
    </row>
    <row r="277" spans="1:22" ht="21.65" customHeight="1">
      <c r="A277" s="176">
        <v>260</v>
      </c>
      <c r="B277" s="178" t="s">
        <v>817</v>
      </c>
      <c r="C277" s="271" t="s">
        <v>834</v>
      </c>
      <c r="D277" s="177">
        <v>45932</v>
      </c>
      <c r="E277" s="178" t="s">
        <v>813</v>
      </c>
      <c r="F277" s="271" t="s">
        <v>814</v>
      </c>
      <c r="G277" s="178" t="s">
        <v>815</v>
      </c>
      <c r="H277" s="366">
        <v>20000</v>
      </c>
      <c r="I277" s="176">
        <v>10</v>
      </c>
      <c r="J277" s="366">
        <v>2000</v>
      </c>
      <c r="K277" s="178" t="s">
        <v>261</v>
      </c>
      <c r="L277" s="178" t="s">
        <v>252</v>
      </c>
      <c r="M277" s="271" t="s">
        <v>816</v>
      </c>
      <c r="N277" s="177">
        <v>46230</v>
      </c>
      <c r="O277" s="177">
        <v>46230</v>
      </c>
      <c r="P277" s="366">
        <v>22000</v>
      </c>
      <c r="Q277" s="176" t="s">
        <v>248</v>
      </c>
      <c r="R277" s="176" t="s">
        <v>434</v>
      </c>
      <c r="S277" s="178" t="s">
        <v>253</v>
      </c>
      <c r="T277" s="57" t="str">
        <f t="shared" si="15"/>
        <v>Đ</v>
      </c>
      <c r="U277" s="59">
        <f t="shared" si="16"/>
        <v>0</v>
      </c>
      <c r="V277" s="55">
        <f t="shared" si="17"/>
        <v>13311</v>
      </c>
    </row>
    <row r="278" spans="1:22" ht="21.65" customHeight="1">
      <c r="A278" s="176">
        <v>261</v>
      </c>
      <c r="B278" s="178" t="s">
        <v>817</v>
      </c>
      <c r="C278" s="271" t="s">
        <v>835</v>
      </c>
      <c r="D278" s="177">
        <v>45932</v>
      </c>
      <c r="E278" s="178" t="s">
        <v>813</v>
      </c>
      <c r="F278" s="271" t="s">
        <v>814</v>
      </c>
      <c r="G278" s="178" t="s">
        <v>815</v>
      </c>
      <c r="H278" s="366">
        <v>87723</v>
      </c>
      <c r="I278" s="176">
        <v>10</v>
      </c>
      <c r="J278" s="366">
        <v>8772</v>
      </c>
      <c r="K278" s="178" t="s">
        <v>261</v>
      </c>
      <c r="L278" s="178" t="s">
        <v>252</v>
      </c>
      <c r="M278" s="271" t="s">
        <v>816</v>
      </c>
      <c r="N278" s="177">
        <v>46230</v>
      </c>
      <c r="O278" s="177">
        <v>46230</v>
      </c>
      <c r="P278" s="366">
        <v>96495</v>
      </c>
      <c r="Q278" s="176" t="s">
        <v>248</v>
      </c>
      <c r="R278" s="176" t="s">
        <v>434</v>
      </c>
      <c r="S278" s="178" t="s">
        <v>253</v>
      </c>
      <c r="T278" s="57" t="str">
        <f t="shared" si="15"/>
        <v>Đ</v>
      </c>
      <c r="U278" s="59">
        <f t="shared" si="16"/>
        <v>0</v>
      </c>
      <c r="V278" s="55">
        <f t="shared" si="17"/>
        <v>13311</v>
      </c>
    </row>
    <row r="279" spans="1:22" ht="21.65" customHeight="1">
      <c r="A279" s="176">
        <v>262</v>
      </c>
      <c r="B279" s="178" t="s">
        <v>817</v>
      </c>
      <c r="C279" s="271" t="s">
        <v>836</v>
      </c>
      <c r="D279" s="177">
        <v>45932</v>
      </c>
      <c r="E279" s="178" t="s">
        <v>813</v>
      </c>
      <c r="F279" s="271" t="s">
        <v>814</v>
      </c>
      <c r="G279" s="178" t="s">
        <v>815</v>
      </c>
      <c r="H279" s="366">
        <v>27273</v>
      </c>
      <c r="I279" s="176">
        <v>10</v>
      </c>
      <c r="J279" s="366">
        <v>2727</v>
      </c>
      <c r="K279" s="178" t="s">
        <v>261</v>
      </c>
      <c r="L279" s="178" t="s">
        <v>252</v>
      </c>
      <c r="M279" s="271" t="s">
        <v>816</v>
      </c>
      <c r="N279" s="177">
        <v>46230</v>
      </c>
      <c r="O279" s="177">
        <v>46230</v>
      </c>
      <c r="P279" s="366">
        <v>30000</v>
      </c>
      <c r="Q279" s="176" t="s">
        <v>248</v>
      </c>
      <c r="R279" s="176" t="s">
        <v>434</v>
      </c>
      <c r="S279" s="178" t="s">
        <v>253</v>
      </c>
      <c r="T279" s="57" t="str">
        <f t="shared" si="15"/>
        <v>Đ</v>
      </c>
      <c r="U279" s="59">
        <f t="shared" si="16"/>
        <v>0</v>
      </c>
      <c r="V279" s="55">
        <f t="shared" si="17"/>
        <v>13311</v>
      </c>
    </row>
    <row r="280" spans="1:22" ht="21.65" customHeight="1">
      <c r="A280" s="176">
        <v>263</v>
      </c>
      <c r="B280" s="178" t="s">
        <v>817</v>
      </c>
      <c r="C280" s="271" t="s">
        <v>837</v>
      </c>
      <c r="D280" s="177">
        <v>45932</v>
      </c>
      <c r="E280" s="178" t="s">
        <v>813</v>
      </c>
      <c r="F280" s="271" t="s">
        <v>814</v>
      </c>
      <c r="G280" s="178" t="s">
        <v>815</v>
      </c>
      <c r="H280" s="366">
        <v>20000</v>
      </c>
      <c r="I280" s="176">
        <v>10</v>
      </c>
      <c r="J280" s="366">
        <v>2000</v>
      </c>
      <c r="K280" s="178" t="s">
        <v>261</v>
      </c>
      <c r="L280" s="178" t="s">
        <v>252</v>
      </c>
      <c r="M280" s="271" t="s">
        <v>816</v>
      </c>
      <c r="N280" s="177">
        <v>46230</v>
      </c>
      <c r="O280" s="177">
        <v>46230</v>
      </c>
      <c r="P280" s="366">
        <v>22000</v>
      </c>
      <c r="Q280" s="176" t="s">
        <v>248</v>
      </c>
      <c r="R280" s="176" t="s">
        <v>434</v>
      </c>
      <c r="S280" s="178" t="s">
        <v>253</v>
      </c>
      <c r="T280" s="57" t="str">
        <f t="shared" si="15"/>
        <v>Đ</v>
      </c>
      <c r="U280" s="59">
        <f t="shared" si="16"/>
        <v>0</v>
      </c>
      <c r="V280" s="55">
        <f t="shared" si="17"/>
        <v>13311</v>
      </c>
    </row>
    <row r="281" spans="1:22" ht="21.65" customHeight="1">
      <c r="A281" s="176">
        <v>264</v>
      </c>
      <c r="B281" s="178" t="s">
        <v>817</v>
      </c>
      <c r="C281" s="271" t="s">
        <v>838</v>
      </c>
      <c r="D281" s="177">
        <v>45932</v>
      </c>
      <c r="E281" s="178" t="s">
        <v>813</v>
      </c>
      <c r="F281" s="271" t="s">
        <v>814</v>
      </c>
      <c r="G281" s="178" t="s">
        <v>815</v>
      </c>
      <c r="H281" s="366">
        <v>27265</v>
      </c>
      <c r="I281" s="176">
        <v>10</v>
      </c>
      <c r="J281" s="366">
        <v>2726</v>
      </c>
      <c r="K281" s="178" t="s">
        <v>261</v>
      </c>
      <c r="L281" s="178" t="s">
        <v>252</v>
      </c>
      <c r="M281" s="271" t="s">
        <v>816</v>
      </c>
      <c r="N281" s="177">
        <v>46230</v>
      </c>
      <c r="O281" s="177">
        <v>46230</v>
      </c>
      <c r="P281" s="366">
        <v>29991</v>
      </c>
      <c r="Q281" s="176" t="s">
        <v>248</v>
      </c>
      <c r="R281" s="176" t="s">
        <v>434</v>
      </c>
      <c r="S281" s="178" t="s">
        <v>253</v>
      </c>
      <c r="T281" s="57" t="str">
        <f t="shared" si="15"/>
        <v>Đ</v>
      </c>
      <c r="U281" s="59">
        <f t="shared" si="16"/>
        <v>1</v>
      </c>
      <c r="V281" s="55">
        <f t="shared" si="17"/>
        <v>13311</v>
      </c>
    </row>
    <row r="282" spans="1:22" ht="21.65" customHeight="1">
      <c r="A282" s="176">
        <v>265</v>
      </c>
      <c r="B282" s="178" t="s">
        <v>817</v>
      </c>
      <c r="C282" s="271" t="s">
        <v>839</v>
      </c>
      <c r="D282" s="177">
        <v>45932</v>
      </c>
      <c r="E282" s="178" t="s">
        <v>813</v>
      </c>
      <c r="F282" s="271" t="s">
        <v>814</v>
      </c>
      <c r="G282" s="178" t="s">
        <v>815</v>
      </c>
      <c r="H282" s="366">
        <v>20000</v>
      </c>
      <c r="I282" s="176">
        <v>10</v>
      </c>
      <c r="J282" s="366">
        <v>2000</v>
      </c>
      <c r="K282" s="178" t="s">
        <v>261</v>
      </c>
      <c r="L282" s="178" t="s">
        <v>252</v>
      </c>
      <c r="M282" s="271" t="s">
        <v>816</v>
      </c>
      <c r="N282" s="177">
        <v>46230</v>
      </c>
      <c r="O282" s="177">
        <v>46230</v>
      </c>
      <c r="P282" s="366">
        <v>22000</v>
      </c>
      <c r="Q282" s="176" t="s">
        <v>248</v>
      </c>
      <c r="R282" s="176" t="s">
        <v>434</v>
      </c>
      <c r="S282" s="178" t="s">
        <v>253</v>
      </c>
      <c r="T282" s="57" t="str">
        <f t="shared" si="15"/>
        <v>Đ</v>
      </c>
      <c r="U282" s="59">
        <f t="shared" si="16"/>
        <v>0</v>
      </c>
      <c r="V282" s="55">
        <f t="shared" si="17"/>
        <v>13311</v>
      </c>
    </row>
    <row r="283" spans="1:22" ht="21.65" customHeight="1">
      <c r="A283" s="176">
        <v>266</v>
      </c>
      <c r="B283" s="178" t="s">
        <v>817</v>
      </c>
      <c r="C283" s="271" t="s">
        <v>840</v>
      </c>
      <c r="D283" s="177">
        <v>45932</v>
      </c>
      <c r="E283" s="178" t="s">
        <v>813</v>
      </c>
      <c r="F283" s="271" t="s">
        <v>814</v>
      </c>
      <c r="G283" s="178" t="s">
        <v>815</v>
      </c>
      <c r="H283" s="366">
        <v>20000</v>
      </c>
      <c r="I283" s="176">
        <v>10</v>
      </c>
      <c r="J283" s="366">
        <v>2000</v>
      </c>
      <c r="K283" s="178" t="s">
        <v>261</v>
      </c>
      <c r="L283" s="178" t="s">
        <v>252</v>
      </c>
      <c r="M283" s="271" t="s">
        <v>816</v>
      </c>
      <c r="N283" s="177">
        <v>46230</v>
      </c>
      <c r="O283" s="177">
        <v>46230</v>
      </c>
      <c r="P283" s="366">
        <v>22000</v>
      </c>
      <c r="Q283" s="176" t="s">
        <v>248</v>
      </c>
      <c r="R283" s="176" t="s">
        <v>434</v>
      </c>
      <c r="S283" s="178" t="s">
        <v>253</v>
      </c>
      <c r="T283" s="57" t="str">
        <f t="shared" si="15"/>
        <v>Đ</v>
      </c>
      <c r="U283" s="59">
        <f t="shared" si="16"/>
        <v>0</v>
      </c>
      <c r="V283" s="55">
        <f t="shared" si="17"/>
        <v>13311</v>
      </c>
    </row>
    <row r="284" spans="1:22" ht="21.65" customHeight="1">
      <c r="A284" s="176">
        <v>267</v>
      </c>
      <c r="B284" s="178" t="s">
        <v>817</v>
      </c>
      <c r="C284" s="271" t="s">
        <v>841</v>
      </c>
      <c r="D284" s="177">
        <v>45932</v>
      </c>
      <c r="E284" s="178" t="s">
        <v>813</v>
      </c>
      <c r="F284" s="271" t="s">
        <v>814</v>
      </c>
      <c r="G284" s="178" t="s">
        <v>815</v>
      </c>
      <c r="H284" s="366">
        <v>27273</v>
      </c>
      <c r="I284" s="176">
        <v>10</v>
      </c>
      <c r="J284" s="366">
        <v>2727</v>
      </c>
      <c r="K284" s="178" t="s">
        <v>261</v>
      </c>
      <c r="L284" s="178" t="s">
        <v>252</v>
      </c>
      <c r="M284" s="271" t="s">
        <v>816</v>
      </c>
      <c r="N284" s="177">
        <v>46230</v>
      </c>
      <c r="O284" s="177">
        <v>46230</v>
      </c>
      <c r="P284" s="366">
        <v>30000</v>
      </c>
      <c r="Q284" s="176" t="s">
        <v>248</v>
      </c>
      <c r="R284" s="176" t="s">
        <v>434</v>
      </c>
      <c r="S284" s="178" t="s">
        <v>253</v>
      </c>
      <c r="T284" s="57" t="str">
        <f t="shared" si="15"/>
        <v>Đ</v>
      </c>
      <c r="U284" s="59">
        <f t="shared" si="16"/>
        <v>0</v>
      </c>
      <c r="V284" s="55">
        <f t="shared" si="17"/>
        <v>13311</v>
      </c>
    </row>
    <row r="285" spans="1:22" ht="21.65" customHeight="1">
      <c r="A285" s="176">
        <v>268</v>
      </c>
      <c r="B285" s="178" t="s">
        <v>817</v>
      </c>
      <c r="C285" s="271" t="s">
        <v>842</v>
      </c>
      <c r="D285" s="177">
        <v>45932</v>
      </c>
      <c r="E285" s="178" t="s">
        <v>813</v>
      </c>
      <c r="F285" s="271" t="s">
        <v>814</v>
      </c>
      <c r="G285" s="178" t="s">
        <v>815</v>
      </c>
      <c r="H285" s="366">
        <v>20000</v>
      </c>
      <c r="I285" s="176">
        <v>10</v>
      </c>
      <c r="J285" s="366">
        <v>2000</v>
      </c>
      <c r="K285" s="178" t="s">
        <v>261</v>
      </c>
      <c r="L285" s="178" t="s">
        <v>252</v>
      </c>
      <c r="M285" s="271" t="s">
        <v>816</v>
      </c>
      <c r="N285" s="177">
        <v>46230</v>
      </c>
      <c r="O285" s="177">
        <v>46230</v>
      </c>
      <c r="P285" s="366">
        <v>22000</v>
      </c>
      <c r="Q285" s="176" t="s">
        <v>248</v>
      </c>
      <c r="R285" s="176" t="s">
        <v>434</v>
      </c>
      <c r="S285" s="178" t="s">
        <v>253</v>
      </c>
      <c r="T285" s="57" t="str">
        <f t="shared" si="15"/>
        <v>Đ</v>
      </c>
      <c r="U285" s="59">
        <f t="shared" si="16"/>
        <v>0</v>
      </c>
      <c r="V285" s="55">
        <f t="shared" si="17"/>
        <v>13311</v>
      </c>
    </row>
    <row r="286" spans="1:22" ht="21.65" customHeight="1">
      <c r="A286" s="176">
        <v>269</v>
      </c>
      <c r="B286" s="178" t="s">
        <v>817</v>
      </c>
      <c r="C286" s="271" t="s">
        <v>843</v>
      </c>
      <c r="D286" s="177">
        <v>45932</v>
      </c>
      <c r="E286" s="178" t="s">
        <v>813</v>
      </c>
      <c r="F286" s="271" t="s">
        <v>814</v>
      </c>
      <c r="G286" s="178" t="s">
        <v>815</v>
      </c>
      <c r="H286" s="366">
        <v>288636</v>
      </c>
      <c r="I286" s="176">
        <v>10</v>
      </c>
      <c r="J286" s="366">
        <v>28864</v>
      </c>
      <c r="K286" s="178" t="s">
        <v>261</v>
      </c>
      <c r="L286" s="178" t="s">
        <v>252</v>
      </c>
      <c r="M286" s="271" t="s">
        <v>816</v>
      </c>
      <c r="N286" s="177">
        <v>46230</v>
      </c>
      <c r="O286" s="177">
        <v>46230</v>
      </c>
      <c r="P286" s="366">
        <v>317500</v>
      </c>
      <c r="Q286" s="176" t="s">
        <v>248</v>
      </c>
      <c r="R286" s="176" t="s">
        <v>434</v>
      </c>
      <c r="S286" s="178" t="s">
        <v>253</v>
      </c>
      <c r="T286" s="57" t="str">
        <f t="shared" si="15"/>
        <v>Đ</v>
      </c>
      <c r="U286" s="59">
        <f t="shared" si="16"/>
        <v>0</v>
      </c>
      <c r="V286" s="55">
        <f t="shared" si="17"/>
        <v>13311</v>
      </c>
    </row>
    <row r="287" spans="1:22" ht="21.65" customHeight="1">
      <c r="A287" s="176">
        <v>270</v>
      </c>
      <c r="B287" s="178" t="s">
        <v>817</v>
      </c>
      <c r="C287" s="271" t="s">
        <v>844</v>
      </c>
      <c r="D287" s="177">
        <v>45932</v>
      </c>
      <c r="E287" s="178" t="s">
        <v>813</v>
      </c>
      <c r="F287" s="271" t="s">
        <v>814</v>
      </c>
      <c r="G287" s="178" t="s">
        <v>815</v>
      </c>
      <c r="H287" s="366">
        <v>20000</v>
      </c>
      <c r="I287" s="176">
        <v>10</v>
      </c>
      <c r="J287" s="366">
        <v>2000</v>
      </c>
      <c r="K287" s="178" t="s">
        <v>261</v>
      </c>
      <c r="L287" s="178" t="s">
        <v>252</v>
      </c>
      <c r="M287" s="271" t="s">
        <v>816</v>
      </c>
      <c r="N287" s="177">
        <v>46230</v>
      </c>
      <c r="O287" s="177">
        <v>46230</v>
      </c>
      <c r="P287" s="366">
        <v>22000</v>
      </c>
      <c r="Q287" s="176" t="s">
        <v>248</v>
      </c>
      <c r="R287" s="176" t="s">
        <v>434</v>
      </c>
      <c r="S287" s="178" t="s">
        <v>253</v>
      </c>
      <c r="T287" s="57" t="str">
        <f t="shared" si="15"/>
        <v>Đ</v>
      </c>
      <c r="U287" s="59">
        <f t="shared" si="16"/>
        <v>0</v>
      </c>
      <c r="V287" s="55">
        <f t="shared" si="17"/>
        <v>13311</v>
      </c>
    </row>
    <row r="288" spans="1:22" ht="21.65" customHeight="1">
      <c r="A288" s="176">
        <v>271</v>
      </c>
      <c r="B288" s="178" t="s">
        <v>817</v>
      </c>
      <c r="C288" s="271" t="s">
        <v>845</v>
      </c>
      <c r="D288" s="177">
        <v>45932</v>
      </c>
      <c r="E288" s="178" t="s">
        <v>813</v>
      </c>
      <c r="F288" s="271" t="s">
        <v>814</v>
      </c>
      <c r="G288" s="178" t="s">
        <v>815</v>
      </c>
      <c r="H288" s="366">
        <v>27273</v>
      </c>
      <c r="I288" s="176">
        <v>10</v>
      </c>
      <c r="J288" s="366">
        <v>2727</v>
      </c>
      <c r="K288" s="178" t="s">
        <v>261</v>
      </c>
      <c r="L288" s="178" t="s">
        <v>252</v>
      </c>
      <c r="M288" s="271" t="s">
        <v>816</v>
      </c>
      <c r="N288" s="177">
        <v>46230</v>
      </c>
      <c r="O288" s="177">
        <v>46230</v>
      </c>
      <c r="P288" s="366">
        <v>30000</v>
      </c>
      <c r="Q288" s="176" t="s">
        <v>248</v>
      </c>
      <c r="R288" s="176" t="s">
        <v>434</v>
      </c>
      <c r="S288" s="178" t="s">
        <v>253</v>
      </c>
      <c r="T288" s="57" t="str">
        <f t="shared" si="15"/>
        <v>Đ</v>
      </c>
      <c r="U288" s="59">
        <f t="shared" si="16"/>
        <v>0</v>
      </c>
      <c r="V288" s="55">
        <f t="shared" si="17"/>
        <v>13311</v>
      </c>
    </row>
    <row r="289" spans="1:22" ht="21.65" customHeight="1">
      <c r="A289" s="176">
        <v>272</v>
      </c>
      <c r="B289" s="178" t="s">
        <v>817</v>
      </c>
      <c r="C289" s="271" t="s">
        <v>846</v>
      </c>
      <c r="D289" s="177">
        <v>45932</v>
      </c>
      <c r="E289" s="178" t="s">
        <v>813</v>
      </c>
      <c r="F289" s="271" t="s">
        <v>814</v>
      </c>
      <c r="G289" s="178" t="s">
        <v>815</v>
      </c>
      <c r="H289" s="366">
        <v>12666</v>
      </c>
      <c r="I289" s="176">
        <v>10</v>
      </c>
      <c r="J289" s="366">
        <v>1267</v>
      </c>
      <c r="K289" s="178" t="s">
        <v>261</v>
      </c>
      <c r="L289" s="178" t="s">
        <v>252</v>
      </c>
      <c r="M289" s="271" t="s">
        <v>816</v>
      </c>
      <c r="N289" s="177">
        <v>46230</v>
      </c>
      <c r="O289" s="177">
        <v>46230</v>
      </c>
      <c r="P289" s="366">
        <v>13933</v>
      </c>
      <c r="Q289" s="176" t="s">
        <v>248</v>
      </c>
      <c r="R289" s="176" t="s">
        <v>434</v>
      </c>
      <c r="S289" s="178" t="s">
        <v>253</v>
      </c>
      <c r="T289" s="57" t="str">
        <f t="shared" si="15"/>
        <v>Đ</v>
      </c>
      <c r="U289" s="59">
        <f t="shared" si="16"/>
        <v>0</v>
      </c>
      <c r="V289" s="55">
        <f t="shared" si="17"/>
        <v>13311</v>
      </c>
    </row>
    <row r="290" spans="1:22" ht="21.65" customHeight="1">
      <c r="A290" s="176">
        <v>273</v>
      </c>
      <c r="B290" s="178" t="s">
        <v>817</v>
      </c>
      <c r="C290" s="271" t="s">
        <v>847</v>
      </c>
      <c r="D290" s="177">
        <v>45932</v>
      </c>
      <c r="E290" s="178" t="s">
        <v>813</v>
      </c>
      <c r="F290" s="271" t="s">
        <v>814</v>
      </c>
      <c r="G290" s="178" t="s">
        <v>815</v>
      </c>
      <c r="H290" s="366">
        <v>84314</v>
      </c>
      <c r="I290" s="176">
        <v>10</v>
      </c>
      <c r="J290" s="366">
        <v>8431</v>
      </c>
      <c r="K290" s="178" t="s">
        <v>261</v>
      </c>
      <c r="L290" s="178" t="s">
        <v>252</v>
      </c>
      <c r="M290" s="271" t="s">
        <v>816</v>
      </c>
      <c r="N290" s="177">
        <v>46230</v>
      </c>
      <c r="O290" s="177">
        <v>46230</v>
      </c>
      <c r="P290" s="366">
        <v>92745</v>
      </c>
      <c r="Q290" s="176" t="s">
        <v>248</v>
      </c>
      <c r="R290" s="176" t="s">
        <v>434</v>
      </c>
      <c r="S290" s="178" t="s">
        <v>253</v>
      </c>
      <c r="T290" s="57" t="str">
        <f t="shared" si="15"/>
        <v>Đ</v>
      </c>
      <c r="U290" s="59">
        <f t="shared" si="16"/>
        <v>0</v>
      </c>
      <c r="V290" s="55">
        <f t="shared" si="17"/>
        <v>13311</v>
      </c>
    </row>
    <row r="291" spans="1:22" ht="21.65" customHeight="1">
      <c r="A291" s="176">
        <v>274</v>
      </c>
      <c r="B291" s="178" t="s">
        <v>817</v>
      </c>
      <c r="C291" s="271" t="s">
        <v>848</v>
      </c>
      <c r="D291" s="177">
        <v>45932</v>
      </c>
      <c r="E291" s="178" t="s">
        <v>813</v>
      </c>
      <c r="F291" s="271" t="s">
        <v>814</v>
      </c>
      <c r="G291" s="178" t="s">
        <v>815</v>
      </c>
      <c r="H291" s="366">
        <v>27273</v>
      </c>
      <c r="I291" s="176">
        <v>10</v>
      </c>
      <c r="J291" s="366">
        <v>2727</v>
      </c>
      <c r="K291" s="178" t="s">
        <v>261</v>
      </c>
      <c r="L291" s="178" t="s">
        <v>252</v>
      </c>
      <c r="M291" s="271" t="s">
        <v>816</v>
      </c>
      <c r="N291" s="177">
        <v>46230</v>
      </c>
      <c r="O291" s="177">
        <v>46230</v>
      </c>
      <c r="P291" s="366">
        <v>30000</v>
      </c>
      <c r="Q291" s="176" t="s">
        <v>248</v>
      </c>
      <c r="R291" s="176" t="s">
        <v>434</v>
      </c>
      <c r="S291" s="178" t="s">
        <v>253</v>
      </c>
      <c r="T291" s="57" t="str">
        <f t="shared" si="15"/>
        <v>Đ</v>
      </c>
      <c r="U291" s="59">
        <f t="shared" si="16"/>
        <v>0</v>
      </c>
      <c r="V291" s="55">
        <f t="shared" si="17"/>
        <v>13311</v>
      </c>
    </row>
    <row r="292" spans="1:22" ht="21.65" customHeight="1">
      <c r="A292" s="176">
        <v>275</v>
      </c>
      <c r="B292" s="178" t="s">
        <v>817</v>
      </c>
      <c r="C292" s="271" t="s">
        <v>849</v>
      </c>
      <c r="D292" s="177">
        <v>45932</v>
      </c>
      <c r="E292" s="178" t="s">
        <v>813</v>
      </c>
      <c r="F292" s="271" t="s">
        <v>814</v>
      </c>
      <c r="G292" s="178" t="s">
        <v>815</v>
      </c>
      <c r="H292" s="366">
        <v>27273</v>
      </c>
      <c r="I292" s="176">
        <v>10</v>
      </c>
      <c r="J292" s="366">
        <v>2727</v>
      </c>
      <c r="K292" s="178" t="s">
        <v>261</v>
      </c>
      <c r="L292" s="178" t="s">
        <v>252</v>
      </c>
      <c r="M292" s="271" t="s">
        <v>816</v>
      </c>
      <c r="N292" s="177">
        <v>46230</v>
      </c>
      <c r="O292" s="177">
        <v>46230</v>
      </c>
      <c r="P292" s="366">
        <v>30000</v>
      </c>
      <c r="Q292" s="176" t="s">
        <v>248</v>
      </c>
      <c r="R292" s="176" t="s">
        <v>434</v>
      </c>
      <c r="S292" s="178" t="s">
        <v>253</v>
      </c>
      <c r="T292" s="57" t="str">
        <f t="shared" si="15"/>
        <v>Đ</v>
      </c>
      <c r="U292" s="59">
        <f t="shared" si="16"/>
        <v>0</v>
      </c>
      <c r="V292" s="55">
        <f t="shared" si="17"/>
        <v>13311</v>
      </c>
    </row>
    <row r="293" spans="1:22" ht="21.65" customHeight="1">
      <c r="A293" s="176">
        <v>276</v>
      </c>
      <c r="B293" s="178" t="s">
        <v>817</v>
      </c>
      <c r="C293" s="271" t="s">
        <v>850</v>
      </c>
      <c r="D293" s="177">
        <v>45932</v>
      </c>
      <c r="E293" s="178" t="s">
        <v>813</v>
      </c>
      <c r="F293" s="271" t="s">
        <v>814</v>
      </c>
      <c r="G293" s="178" t="s">
        <v>815</v>
      </c>
      <c r="H293" s="366">
        <v>402929</v>
      </c>
      <c r="I293" s="176">
        <v>10</v>
      </c>
      <c r="J293" s="366">
        <v>40293</v>
      </c>
      <c r="K293" s="178" t="s">
        <v>261</v>
      </c>
      <c r="L293" s="178" t="s">
        <v>252</v>
      </c>
      <c r="M293" s="271" t="s">
        <v>816</v>
      </c>
      <c r="N293" s="177">
        <v>46230</v>
      </c>
      <c r="O293" s="177">
        <v>46230</v>
      </c>
      <c r="P293" s="366">
        <v>443222</v>
      </c>
      <c r="Q293" s="176" t="s">
        <v>248</v>
      </c>
      <c r="R293" s="176" t="s">
        <v>434</v>
      </c>
      <c r="S293" s="178" t="s">
        <v>253</v>
      </c>
      <c r="T293" s="57" t="str">
        <f t="shared" si="15"/>
        <v>Đ</v>
      </c>
      <c r="U293" s="59">
        <f t="shared" si="16"/>
        <v>0</v>
      </c>
      <c r="V293" s="55">
        <f t="shared" si="17"/>
        <v>13311</v>
      </c>
    </row>
    <row r="294" spans="1:22" ht="21.65" customHeight="1">
      <c r="A294" s="176">
        <v>277</v>
      </c>
      <c r="B294" s="178" t="s">
        <v>817</v>
      </c>
      <c r="C294" s="271" t="s">
        <v>851</v>
      </c>
      <c r="D294" s="177">
        <v>45932</v>
      </c>
      <c r="E294" s="178" t="s">
        <v>813</v>
      </c>
      <c r="F294" s="271" t="s">
        <v>814</v>
      </c>
      <c r="G294" s="178" t="s">
        <v>815</v>
      </c>
      <c r="H294" s="366">
        <v>349243</v>
      </c>
      <c r="I294" s="176">
        <v>10</v>
      </c>
      <c r="J294" s="366">
        <v>34924</v>
      </c>
      <c r="K294" s="178" t="s">
        <v>261</v>
      </c>
      <c r="L294" s="178" t="s">
        <v>252</v>
      </c>
      <c r="M294" s="271" t="s">
        <v>816</v>
      </c>
      <c r="N294" s="177">
        <v>46230</v>
      </c>
      <c r="O294" s="177">
        <v>46230</v>
      </c>
      <c r="P294" s="366">
        <v>384167</v>
      </c>
      <c r="Q294" s="176" t="s">
        <v>248</v>
      </c>
      <c r="R294" s="176" t="s">
        <v>434</v>
      </c>
      <c r="S294" s="178" t="s">
        <v>253</v>
      </c>
      <c r="T294" s="57" t="str">
        <f t="shared" si="15"/>
        <v>Đ</v>
      </c>
      <c r="U294" s="59">
        <f t="shared" si="16"/>
        <v>0</v>
      </c>
      <c r="V294" s="55">
        <f t="shared" si="17"/>
        <v>13311</v>
      </c>
    </row>
    <row r="295" spans="1:22" ht="21.65" customHeight="1">
      <c r="A295" s="176">
        <v>278</v>
      </c>
      <c r="B295" s="178" t="s">
        <v>817</v>
      </c>
      <c r="C295" s="271" t="s">
        <v>852</v>
      </c>
      <c r="D295" s="177">
        <v>45932</v>
      </c>
      <c r="E295" s="178" t="s">
        <v>813</v>
      </c>
      <c r="F295" s="271" t="s">
        <v>814</v>
      </c>
      <c r="G295" s="178" t="s">
        <v>815</v>
      </c>
      <c r="H295" s="366">
        <v>800000</v>
      </c>
      <c r="I295" s="176">
        <v>10</v>
      </c>
      <c r="J295" s="366">
        <v>80000</v>
      </c>
      <c r="K295" s="178" t="s">
        <v>261</v>
      </c>
      <c r="L295" s="178" t="s">
        <v>252</v>
      </c>
      <c r="M295" s="271" t="s">
        <v>816</v>
      </c>
      <c r="N295" s="177">
        <v>46230</v>
      </c>
      <c r="O295" s="177">
        <v>46230</v>
      </c>
      <c r="P295" s="366">
        <v>880000</v>
      </c>
      <c r="Q295" s="176" t="s">
        <v>248</v>
      </c>
      <c r="R295" s="176" t="s">
        <v>434</v>
      </c>
      <c r="S295" s="178" t="s">
        <v>253</v>
      </c>
      <c r="T295" s="57" t="str">
        <f t="shared" si="15"/>
        <v>Đ</v>
      </c>
      <c r="U295" s="59">
        <f t="shared" si="16"/>
        <v>0</v>
      </c>
      <c r="V295" s="55">
        <f t="shared" si="17"/>
        <v>13311</v>
      </c>
    </row>
    <row r="296" spans="1:22" ht="21.65" customHeight="1">
      <c r="A296" s="176">
        <v>279</v>
      </c>
      <c r="B296" s="178" t="s">
        <v>817</v>
      </c>
      <c r="C296" s="271" t="s">
        <v>853</v>
      </c>
      <c r="D296" s="177">
        <v>45932</v>
      </c>
      <c r="E296" s="178" t="s">
        <v>813</v>
      </c>
      <c r="F296" s="271" t="s">
        <v>814</v>
      </c>
      <c r="G296" s="178" t="s">
        <v>815</v>
      </c>
      <c r="H296" s="366">
        <v>27273</v>
      </c>
      <c r="I296" s="176">
        <v>10</v>
      </c>
      <c r="J296" s="366">
        <v>2727</v>
      </c>
      <c r="K296" s="178" t="s">
        <v>261</v>
      </c>
      <c r="L296" s="178" t="s">
        <v>252</v>
      </c>
      <c r="M296" s="271" t="s">
        <v>816</v>
      </c>
      <c r="N296" s="177">
        <v>46230</v>
      </c>
      <c r="O296" s="177">
        <v>46230</v>
      </c>
      <c r="P296" s="366">
        <v>30000</v>
      </c>
      <c r="Q296" s="176" t="s">
        <v>248</v>
      </c>
      <c r="R296" s="176" t="s">
        <v>434</v>
      </c>
      <c r="S296" s="178" t="s">
        <v>253</v>
      </c>
      <c r="T296" s="57" t="str">
        <f t="shared" si="15"/>
        <v>Đ</v>
      </c>
      <c r="U296" s="59">
        <f t="shared" si="16"/>
        <v>0</v>
      </c>
      <c r="V296" s="55">
        <f t="shared" si="17"/>
        <v>13311</v>
      </c>
    </row>
    <row r="297" spans="1:22" ht="21.65" customHeight="1">
      <c r="A297" s="176">
        <v>280</v>
      </c>
      <c r="B297" s="178" t="s">
        <v>817</v>
      </c>
      <c r="C297" s="271" t="s">
        <v>854</v>
      </c>
      <c r="D297" s="177">
        <v>45932</v>
      </c>
      <c r="E297" s="178" t="s">
        <v>813</v>
      </c>
      <c r="F297" s="271" t="s">
        <v>814</v>
      </c>
      <c r="G297" s="178" t="s">
        <v>815</v>
      </c>
      <c r="H297" s="366">
        <v>222421</v>
      </c>
      <c r="I297" s="176">
        <v>10</v>
      </c>
      <c r="J297" s="366">
        <v>22242</v>
      </c>
      <c r="K297" s="178" t="s">
        <v>261</v>
      </c>
      <c r="L297" s="178" t="s">
        <v>252</v>
      </c>
      <c r="M297" s="271" t="s">
        <v>816</v>
      </c>
      <c r="N297" s="177">
        <v>46230</v>
      </c>
      <c r="O297" s="177">
        <v>46230</v>
      </c>
      <c r="P297" s="366">
        <v>244663</v>
      </c>
      <c r="Q297" s="176" t="s">
        <v>248</v>
      </c>
      <c r="R297" s="176" t="s">
        <v>434</v>
      </c>
      <c r="S297" s="178" t="s">
        <v>253</v>
      </c>
      <c r="T297" s="57" t="str">
        <f t="shared" si="15"/>
        <v>Đ</v>
      </c>
      <c r="U297" s="59">
        <f t="shared" si="16"/>
        <v>0</v>
      </c>
      <c r="V297" s="55">
        <f t="shared" si="17"/>
        <v>13311</v>
      </c>
    </row>
    <row r="298" spans="1:22" ht="21.65" customHeight="1">
      <c r="A298" s="176">
        <v>281</v>
      </c>
      <c r="B298" s="178" t="s">
        <v>817</v>
      </c>
      <c r="C298" s="271" t="s">
        <v>855</v>
      </c>
      <c r="D298" s="177">
        <v>45932</v>
      </c>
      <c r="E298" s="178" t="s">
        <v>813</v>
      </c>
      <c r="F298" s="271" t="s">
        <v>814</v>
      </c>
      <c r="G298" s="178" t="s">
        <v>815</v>
      </c>
      <c r="H298" s="366">
        <v>27273</v>
      </c>
      <c r="I298" s="176">
        <v>10</v>
      </c>
      <c r="J298" s="366">
        <v>2727</v>
      </c>
      <c r="K298" s="178" t="s">
        <v>261</v>
      </c>
      <c r="L298" s="178" t="s">
        <v>252</v>
      </c>
      <c r="M298" s="271" t="s">
        <v>816</v>
      </c>
      <c r="N298" s="177">
        <v>46230</v>
      </c>
      <c r="O298" s="177">
        <v>46230</v>
      </c>
      <c r="P298" s="366">
        <v>30000</v>
      </c>
      <c r="Q298" s="176" t="s">
        <v>248</v>
      </c>
      <c r="R298" s="176" t="s">
        <v>434</v>
      </c>
      <c r="S298" s="178" t="s">
        <v>253</v>
      </c>
      <c r="T298" s="57" t="str">
        <f t="shared" si="15"/>
        <v>Đ</v>
      </c>
      <c r="U298" s="59">
        <f t="shared" si="16"/>
        <v>0</v>
      </c>
      <c r="V298" s="55">
        <f t="shared" si="17"/>
        <v>13311</v>
      </c>
    </row>
    <row r="299" spans="1:22" ht="21.65" customHeight="1">
      <c r="A299" s="176">
        <v>282</v>
      </c>
      <c r="B299" s="178" t="s">
        <v>817</v>
      </c>
      <c r="C299" s="271" t="s">
        <v>856</v>
      </c>
      <c r="D299" s="177">
        <v>45932</v>
      </c>
      <c r="E299" s="178" t="s">
        <v>813</v>
      </c>
      <c r="F299" s="271" t="s">
        <v>814</v>
      </c>
      <c r="G299" s="178" t="s">
        <v>815</v>
      </c>
      <c r="H299" s="366">
        <v>20000</v>
      </c>
      <c r="I299" s="176">
        <v>10</v>
      </c>
      <c r="J299" s="366">
        <v>2000</v>
      </c>
      <c r="K299" s="178" t="s">
        <v>261</v>
      </c>
      <c r="L299" s="178" t="s">
        <v>252</v>
      </c>
      <c r="M299" s="271" t="s">
        <v>816</v>
      </c>
      <c r="N299" s="177">
        <v>46230</v>
      </c>
      <c r="O299" s="177">
        <v>46230</v>
      </c>
      <c r="P299" s="366">
        <v>22000</v>
      </c>
      <c r="Q299" s="176" t="s">
        <v>248</v>
      </c>
      <c r="R299" s="176" t="s">
        <v>434</v>
      </c>
      <c r="S299" s="178" t="s">
        <v>253</v>
      </c>
      <c r="T299" s="57" t="str">
        <f t="shared" si="15"/>
        <v>Đ</v>
      </c>
      <c r="U299" s="59">
        <f t="shared" si="16"/>
        <v>0</v>
      </c>
      <c r="V299" s="55">
        <f t="shared" si="17"/>
        <v>13311</v>
      </c>
    </row>
    <row r="300" spans="1:22" ht="21.65" customHeight="1">
      <c r="A300" s="176">
        <v>283</v>
      </c>
      <c r="B300" s="178" t="s">
        <v>817</v>
      </c>
      <c r="C300" s="271" t="s">
        <v>857</v>
      </c>
      <c r="D300" s="177">
        <v>45932</v>
      </c>
      <c r="E300" s="178" t="s">
        <v>813</v>
      </c>
      <c r="F300" s="271" t="s">
        <v>814</v>
      </c>
      <c r="G300" s="178" t="s">
        <v>815</v>
      </c>
      <c r="H300" s="366">
        <v>27273</v>
      </c>
      <c r="I300" s="176">
        <v>10</v>
      </c>
      <c r="J300" s="366">
        <v>2727</v>
      </c>
      <c r="K300" s="178" t="s">
        <v>261</v>
      </c>
      <c r="L300" s="178" t="s">
        <v>252</v>
      </c>
      <c r="M300" s="271" t="s">
        <v>816</v>
      </c>
      <c r="N300" s="177">
        <v>46230</v>
      </c>
      <c r="O300" s="177">
        <v>46230</v>
      </c>
      <c r="P300" s="366">
        <v>30000</v>
      </c>
      <c r="Q300" s="176" t="s">
        <v>248</v>
      </c>
      <c r="R300" s="176" t="s">
        <v>434</v>
      </c>
      <c r="S300" s="178" t="s">
        <v>253</v>
      </c>
      <c r="T300" s="57" t="str">
        <f t="shared" si="15"/>
        <v>Đ</v>
      </c>
      <c r="U300" s="59">
        <f t="shared" si="16"/>
        <v>0</v>
      </c>
      <c r="V300" s="55">
        <f t="shared" si="17"/>
        <v>13311</v>
      </c>
    </row>
    <row r="301" spans="1:22" ht="21.65" customHeight="1">
      <c r="A301" s="176">
        <v>284</v>
      </c>
      <c r="B301" s="178" t="s">
        <v>817</v>
      </c>
      <c r="C301" s="271" t="s">
        <v>858</v>
      </c>
      <c r="D301" s="177">
        <v>45932</v>
      </c>
      <c r="E301" s="178" t="s">
        <v>813</v>
      </c>
      <c r="F301" s="271" t="s">
        <v>814</v>
      </c>
      <c r="G301" s="178" t="s">
        <v>815</v>
      </c>
      <c r="H301" s="366">
        <v>20000</v>
      </c>
      <c r="I301" s="176">
        <v>10</v>
      </c>
      <c r="J301" s="366">
        <v>2000</v>
      </c>
      <c r="K301" s="178" t="s">
        <v>261</v>
      </c>
      <c r="L301" s="178" t="s">
        <v>252</v>
      </c>
      <c r="M301" s="271" t="s">
        <v>816</v>
      </c>
      <c r="N301" s="177">
        <v>46230</v>
      </c>
      <c r="O301" s="177">
        <v>46230</v>
      </c>
      <c r="P301" s="366">
        <v>22000</v>
      </c>
      <c r="Q301" s="176" t="s">
        <v>248</v>
      </c>
      <c r="R301" s="176" t="s">
        <v>434</v>
      </c>
      <c r="S301" s="178" t="s">
        <v>253</v>
      </c>
      <c r="T301" s="57" t="str">
        <f t="shared" si="15"/>
        <v>Đ</v>
      </c>
      <c r="U301" s="59">
        <f t="shared" si="16"/>
        <v>0</v>
      </c>
      <c r="V301" s="55">
        <f t="shared" si="17"/>
        <v>13311</v>
      </c>
    </row>
    <row r="302" spans="1:22" ht="21.65" customHeight="1">
      <c r="A302" s="176">
        <v>285</v>
      </c>
      <c r="B302" s="178" t="s">
        <v>817</v>
      </c>
      <c r="C302" s="271" t="s">
        <v>859</v>
      </c>
      <c r="D302" s="177">
        <v>45932</v>
      </c>
      <c r="E302" s="178" t="s">
        <v>813</v>
      </c>
      <c r="F302" s="271" t="s">
        <v>814</v>
      </c>
      <c r="G302" s="178" t="s">
        <v>815</v>
      </c>
      <c r="H302" s="366">
        <v>27273</v>
      </c>
      <c r="I302" s="176">
        <v>10</v>
      </c>
      <c r="J302" s="366">
        <v>2727</v>
      </c>
      <c r="K302" s="178" t="s">
        <v>261</v>
      </c>
      <c r="L302" s="178" t="s">
        <v>252</v>
      </c>
      <c r="M302" s="271" t="s">
        <v>816</v>
      </c>
      <c r="N302" s="177">
        <v>46230</v>
      </c>
      <c r="O302" s="177">
        <v>46230</v>
      </c>
      <c r="P302" s="366">
        <v>30000</v>
      </c>
      <c r="Q302" s="176" t="s">
        <v>248</v>
      </c>
      <c r="R302" s="176" t="s">
        <v>434</v>
      </c>
      <c r="S302" s="178" t="s">
        <v>253</v>
      </c>
      <c r="T302" s="57" t="str">
        <f t="shared" si="15"/>
        <v>Đ</v>
      </c>
      <c r="U302" s="59">
        <f t="shared" si="16"/>
        <v>0</v>
      </c>
      <c r="V302" s="55">
        <f t="shared" si="17"/>
        <v>13311</v>
      </c>
    </row>
    <row r="303" spans="1:22" ht="21.65" customHeight="1">
      <c r="A303" s="176">
        <v>286</v>
      </c>
      <c r="B303" s="178" t="s">
        <v>817</v>
      </c>
      <c r="C303" s="271" t="s">
        <v>860</v>
      </c>
      <c r="D303" s="177">
        <v>45932</v>
      </c>
      <c r="E303" s="178" t="s">
        <v>813</v>
      </c>
      <c r="F303" s="271" t="s">
        <v>814</v>
      </c>
      <c r="G303" s="178" t="s">
        <v>815</v>
      </c>
      <c r="H303" s="366">
        <v>27273</v>
      </c>
      <c r="I303" s="176">
        <v>10</v>
      </c>
      <c r="J303" s="366">
        <v>2727</v>
      </c>
      <c r="K303" s="178" t="s">
        <v>261</v>
      </c>
      <c r="L303" s="178" t="s">
        <v>252</v>
      </c>
      <c r="M303" s="271" t="s">
        <v>816</v>
      </c>
      <c r="N303" s="177">
        <v>46230</v>
      </c>
      <c r="O303" s="177">
        <v>46230</v>
      </c>
      <c r="P303" s="366">
        <v>30000</v>
      </c>
      <c r="Q303" s="176" t="s">
        <v>248</v>
      </c>
      <c r="R303" s="176" t="s">
        <v>434</v>
      </c>
      <c r="S303" s="178" t="s">
        <v>253</v>
      </c>
      <c r="T303" s="57" t="str">
        <f t="shared" si="15"/>
        <v>Đ</v>
      </c>
      <c r="U303" s="59">
        <f t="shared" si="16"/>
        <v>0</v>
      </c>
      <c r="V303" s="55">
        <f t="shared" si="17"/>
        <v>13311</v>
      </c>
    </row>
    <row r="304" spans="1:22" ht="21.65" customHeight="1">
      <c r="A304" s="176">
        <v>287</v>
      </c>
      <c r="B304" s="178" t="s">
        <v>817</v>
      </c>
      <c r="C304" s="271" t="s">
        <v>861</v>
      </c>
      <c r="D304" s="177">
        <v>45932</v>
      </c>
      <c r="E304" s="178" t="s">
        <v>813</v>
      </c>
      <c r="F304" s="271" t="s">
        <v>814</v>
      </c>
      <c r="G304" s="178" t="s">
        <v>815</v>
      </c>
      <c r="H304" s="366">
        <v>372591</v>
      </c>
      <c r="I304" s="176">
        <v>10</v>
      </c>
      <c r="J304" s="366">
        <v>37259</v>
      </c>
      <c r="K304" s="178" t="s">
        <v>261</v>
      </c>
      <c r="L304" s="178" t="s">
        <v>252</v>
      </c>
      <c r="M304" s="271" t="s">
        <v>816</v>
      </c>
      <c r="N304" s="177">
        <v>46230</v>
      </c>
      <c r="O304" s="177">
        <v>46230</v>
      </c>
      <c r="P304" s="366">
        <v>409850</v>
      </c>
      <c r="Q304" s="176" t="s">
        <v>248</v>
      </c>
      <c r="R304" s="176" t="s">
        <v>434</v>
      </c>
      <c r="S304" s="178" t="s">
        <v>253</v>
      </c>
      <c r="T304" s="57" t="str">
        <f t="shared" si="15"/>
        <v>Đ</v>
      </c>
      <c r="U304" s="59">
        <f t="shared" si="16"/>
        <v>0</v>
      </c>
      <c r="V304" s="55">
        <f t="shared" si="17"/>
        <v>13311</v>
      </c>
    </row>
    <row r="305" spans="1:22" ht="21.65" customHeight="1">
      <c r="A305" s="176">
        <v>288</v>
      </c>
      <c r="B305" s="178" t="s">
        <v>817</v>
      </c>
      <c r="C305" s="271" t="s">
        <v>862</v>
      </c>
      <c r="D305" s="177">
        <v>45932</v>
      </c>
      <c r="E305" s="178" t="s">
        <v>813</v>
      </c>
      <c r="F305" s="271" t="s">
        <v>814</v>
      </c>
      <c r="G305" s="178" t="s">
        <v>815</v>
      </c>
      <c r="H305" s="366">
        <v>146364</v>
      </c>
      <c r="I305" s="176">
        <v>10</v>
      </c>
      <c r="J305" s="366">
        <v>14636</v>
      </c>
      <c r="K305" s="178" t="s">
        <v>261</v>
      </c>
      <c r="L305" s="178" t="s">
        <v>252</v>
      </c>
      <c r="M305" s="271" t="s">
        <v>816</v>
      </c>
      <c r="N305" s="177">
        <v>46230</v>
      </c>
      <c r="O305" s="177">
        <v>46230</v>
      </c>
      <c r="P305" s="366">
        <v>161000</v>
      </c>
      <c r="Q305" s="176" t="s">
        <v>248</v>
      </c>
      <c r="R305" s="176" t="s">
        <v>434</v>
      </c>
      <c r="S305" s="178" t="s">
        <v>253</v>
      </c>
      <c r="T305" s="57" t="str">
        <f t="shared" si="15"/>
        <v>Đ</v>
      </c>
      <c r="U305" s="59">
        <f t="shared" si="16"/>
        <v>0</v>
      </c>
      <c r="V305" s="55">
        <f t="shared" si="17"/>
        <v>13311</v>
      </c>
    </row>
    <row r="306" spans="1:22" ht="21.65" customHeight="1">
      <c r="A306" s="176">
        <v>289</v>
      </c>
      <c r="B306" s="178" t="s">
        <v>817</v>
      </c>
      <c r="C306" s="271" t="s">
        <v>863</v>
      </c>
      <c r="D306" s="177">
        <v>45932</v>
      </c>
      <c r="E306" s="178" t="s">
        <v>813</v>
      </c>
      <c r="F306" s="271" t="s">
        <v>814</v>
      </c>
      <c r="G306" s="178" t="s">
        <v>815</v>
      </c>
      <c r="H306" s="366">
        <v>135754</v>
      </c>
      <c r="I306" s="176">
        <v>10</v>
      </c>
      <c r="J306" s="366">
        <v>13575</v>
      </c>
      <c r="K306" s="178" t="s">
        <v>261</v>
      </c>
      <c r="L306" s="178" t="s">
        <v>252</v>
      </c>
      <c r="M306" s="271" t="s">
        <v>816</v>
      </c>
      <c r="N306" s="177">
        <v>46230</v>
      </c>
      <c r="O306" s="177">
        <v>46230</v>
      </c>
      <c r="P306" s="366">
        <v>149329</v>
      </c>
      <c r="Q306" s="176" t="s">
        <v>248</v>
      </c>
      <c r="R306" s="176" t="s">
        <v>434</v>
      </c>
      <c r="S306" s="178" t="s">
        <v>253</v>
      </c>
      <c r="T306" s="57" t="str">
        <f t="shared" si="15"/>
        <v>Đ</v>
      </c>
      <c r="U306" s="59">
        <f t="shared" si="16"/>
        <v>0</v>
      </c>
      <c r="V306" s="55">
        <f t="shared" si="17"/>
        <v>13311</v>
      </c>
    </row>
    <row r="307" spans="1:22" ht="21.65" customHeight="1">
      <c r="A307" s="176">
        <v>290</v>
      </c>
      <c r="B307" s="178" t="s">
        <v>817</v>
      </c>
      <c r="C307" s="271" t="s">
        <v>864</v>
      </c>
      <c r="D307" s="177">
        <v>45932</v>
      </c>
      <c r="E307" s="178" t="s">
        <v>813</v>
      </c>
      <c r="F307" s="271" t="s">
        <v>814</v>
      </c>
      <c r="G307" s="178" t="s">
        <v>815</v>
      </c>
      <c r="H307" s="366">
        <v>20000</v>
      </c>
      <c r="I307" s="176">
        <v>10</v>
      </c>
      <c r="J307" s="366">
        <v>2000</v>
      </c>
      <c r="K307" s="178" t="s">
        <v>261</v>
      </c>
      <c r="L307" s="178" t="s">
        <v>252</v>
      </c>
      <c r="M307" s="271" t="s">
        <v>816</v>
      </c>
      <c r="N307" s="177">
        <v>46230</v>
      </c>
      <c r="O307" s="177">
        <v>46230</v>
      </c>
      <c r="P307" s="366">
        <v>22000</v>
      </c>
      <c r="Q307" s="176" t="s">
        <v>248</v>
      </c>
      <c r="R307" s="176" t="s">
        <v>434</v>
      </c>
      <c r="S307" s="178" t="s">
        <v>253</v>
      </c>
      <c r="T307" s="57" t="str">
        <f t="shared" si="15"/>
        <v>Đ</v>
      </c>
      <c r="U307" s="59">
        <f t="shared" si="16"/>
        <v>0</v>
      </c>
      <c r="V307" s="55">
        <f t="shared" si="17"/>
        <v>13311</v>
      </c>
    </row>
    <row r="308" spans="1:22" ht="21.65" customHeight="1">
      <c r="A308" s="176">
        <v>291</v>
      </c>
      <c r="B308" s="178" t="s">
        <v>817</v>
      </c>
      <c r="C308" s="271" t="s">
        <v>865</v>
      </c>
      <c r="D308" s="177">
        <v>45932</v>
      </c>
      <c r="E308" s="178" t="s">
        <v>813</v>
      </c>
      <c r="F308" s="271" t="s">
        <v>814</v>
      </c>
      <c r="G308" s="178" t="s">
        <v>815</v>
      </c>
      <c r="H308" s="366">
        <v>27273</v>
      </c>
      <c r="I308" s="176">
        <v>10</v>
      </c>
      <c r="J308" s="366">
        <v>2727</v>
      </c>
      <c r="K308" s="178" t="s">
        <v>261</v>
      </c>
      <c r="L308" s="178" t="s">
        <v>252</v>
      </c>
      <c r="M308" s="271" t="s">
        <v>816</v>
      </c>
      <c r="N308" s="177">
        <v>46230</v>
      </c>
      <c r="O308" s="177">
        <v>46230</v>
      </c>
      <c r="P308" s="366">
        <v>30000</v>
      </c>
      <c r="Q308" s="176" t="s">
        <v>248</v>
      </c>
      <c r="R308" s="176" t="s">
        <v>434</v>
      </c>
      <c r="S308" s="178" t="s">
        <v>253</v>
      </c>
      <c r="T308" s="57" t="str">
        <f t="shared" si="15"/>
        <v>Đ</v>
      </c>
      <c r="U308" s="59">
        <f t="shared" si="16"/>
        <v>0</v>
      </c>
      <c r="V308" s="55">
        <f t="shared" si="17"/>
        <v>13311</v>
      </c>
    </row>
    <row r="309" spans="1:22" ht="21.65" customHeight="1">
      <c r="A309" s="176">
        <v>292</v>
      </c>
      <c r="B309" s="178" t="s">
        <v>817</v>
      </c>
      <c r="C309" s="271" t="s">
        <v>866</v>
      </c>
      <c r="D309" s="177">
        <v>45932</v>
      </c>
      <c r="E309" s="178" t="s">
        <v>813</v>
      </c>
      <c r="F309" s="271" t="s">
        <v>814</v>
      </c>
      <c r="G309" s="178" t="s">
        <v>815</v>
      </c>
      <c r="H309" s="366">
        <v>150517</v>
      </c>
      <c r="I309" s="176">
        <v>10</v>
      </c>
      <c r="J309" s="366">
        <v>15052</v>
      </c>
      <c r="K309" s="178" t="s">
        <v>261</v>
      </c>
      <c r="L309" s="178" t="s">
        <v>252</v>
      </c>
      <c r="M309" s="271" t="s">
        <v>816</v>
      </c>
      <c r="N309" s="177">
        <v>46230</v>
      </c>
      <c r="O309" s="177">
        <v>46230</v>
      </c>
      <c r="P309" s="366">
        <v>165569</v>
      </c>
      <c r="Q309" s="176" t="s">
        <v>248</v>
      </c>
      <c r="R309" s="176" t="s">
        <v>434</v>
      </c>
      <c r="S309" s="178" t="s">
        <v>253</v>
      </c>
      <c r="T309" s="57" t="str">
        <f t="shared" si="15"/>
        <v>Đ</v>
      </c>
      <c r="U309" s="59">
        <f t="shared" si="16"/>
        <v>0</v>
      </c>
      <c r="V309" s="55">
        <f t="shared" si="17"/>
        <v>13311</v>
      </c>
    </row>
    <row r="310" spans="1:22" ht="21.65" customHeight="1">
      <c r="A310" s="176">
        <v>293</v>
      </c>
      <c r="B310" s="178" t="s">
        <v>817</v>
      </c>
      <c r="C310" s="271" t="s">
        <v>867</v>
      </c>
      <c r="D310" s="177">
        <v>45932</v>
      </c>
      <c r="E310" s="178" t="s">
        <v>813</v>
      </c>
      <c r="F310" s="271" t="s">
        <v>814</v>
      </c>
      <c r="G310" s="178" t="s">
        <v>815</v>
      </c>
      <c r="H310" s="366">
        <v>51278</v>
      </c>
      <c r="I310" s="176">
        <v>10</v>
      </c>
      <c r="J310" s="366">
        <v>5128</v>
      </c>
      <c r="K310" s="178" t="s">
        <v>261</v>
      </c>
      <c r="L310" s="178" t="s">
        <v>252</v>
      </c>
      <c r="M310" s="271" t="s">
        <v>816</v>
      </c>
      <c r="N310" s="177">
        <v>46230</v>
      </c>
      <c r="O310" s="177">
        <v>46230</v>
      </c>
      <c r="P310" s="366">
        <v>56406</v>
      </c>
      <c r="Q310" s="176" t="s">
        <v>248</v>
      </c>
      <c r="R310" s="176" t="s">
        <v>434</v>
      </c>
      <c r="S310" s="178" t="s">
        <v>253</v>
      </c>
      <c r="T310" s="57" t="str">
        <f t="shared" si="15"/>
        <v>Đ</v>
      </c>
      <c r="U310" s="59">
        <f t="shared" si="16"/>
        <v>0</v>
      </c>
      <c r="V310" s="55">
        <f t="shared" si="17"/>
        <v>13311</v>
      </c>
    </row>
    <row r="311" spans="1:22" ht="21.65" customHeight="1">
      <c r="A311" s="176">
        <v>294</v>
      </c>
      <c r="B311" s="178" t="s">
        <v>817</v>
      </c>
      <c r="C311" s="271" t="s">
        <v>868</v>
      </c>
      <c r="D311" s="177">
        <v>45932</v>
      </c>
      <c r="E311" s="178" t="s">
        <v>813</v>
      </c>
      <c r="F311" s="271" t="s">
        <v>814</v>
      </c>
      <c r="G311" s="178" t="s">
        <v>815</v>
      </c>
      <c r="H311" s="366">
        <v>20000</v>
      </c>
      <c r="I311" s="176">
        <v>10</v>
      </c>
      <c r="J311" s="366">
        <v>2000</v>
      </c>
      <c r="K311" s="178" t="s">
        <v>261</v>
      </c>
      <c r="L311" s="178" t="s">
        <v>252</v>
      </c>
      <c r="M311" s="271" t="s">
        <v>816</v>
      </c>
      <c r="N311" s="177">
        <v>46230</v>
      </c>
      <c r="O311" s="177">
        <v>46230</v>
      </c>
      <c r="P311" s="366">
        <v>22000</v>
      </c>
      <c r="Q311" s="176" t="s">
        <v>248</v>
      </c>
      <c r="R311" s="176" t="s">
        <v>434</v>
      </c>
      <c r="S311" s="178" t="s">
        <v>253</v>
      </c>
      <c r="T311" s="57" t="str">
        <f t="shared" si="15"/>
        <v>Đ</v>
      </c>
      <c r="U311" s="59">
        <f t="shared" si="16"/>
        <v>0</v>
      </c>
      <c r="V311" s="55">
        <f t="shared" si="17"/>
        <v>13311</v>
      </c>
    </row>
    <row r="312" spans="1:22" ht="21.65" customHeight="1">
      <c r="A312" s="176">
        <v>295</v>
      </c>
      <c r="B312" s="178" t="s">
        <v>817</v>
      </c>
      <c r="C312" s="271" t="s">
        <v>869</v>
      </c>
      <c r="D312" s="177">
        <v>45932</v>
      </c>
      <c r="E312" s="178" t="s">
        <v>813</v>
      </c>
      <c r="F312" s="271" t="s">
        <v>814</v>
      </c>
      <c r="G312" s="178" t="s">
        <v>815</v>
      </c>
      <c r="H312" s="366">
        <v>27273</v>
      </c>
      <c r="I312" s="176">
        <v>10</v>
      </c>
      <c r="J312" s="366">
        <v>2727</v>
      </c>
      <c r="K312" s="178" t="s">
        <v>261</v>
      </c>
      <c r="L312" s="178" t="s">
        <v>252</v>
      </c>
      <c r="M312" s="271" t="s">
        <v>816</v>
      </c>
      <c r="N312" s="177">
        <v>46230</v>
      </c>
      <c r="O312" s="177">
        <v>46230</v>
      </c>
      <c r="P312" s="366">
        <v>30000</v>
      </c>
      <c r="Q312" s="176" t="s">
        <v>248</v>
      </c>
      <c r="R312" s="176" t="s">
        <v>434</v>
      </c>
      <c r="S312" s="178" t="s">
        <v>253</v>
      </c>
      <c r="T312" s="57" t="str">
        <f t="shared" si="15"/>
        <v>Đ</v>
      </c>
      <c r="U312" s="59">
        <f t="shared" si="16"/>
        <v>0</v>
      </c>
      <c r="V312" s="55">
        <f t="shared" si="17"/>
        <v>13311</v>
      </c>
    </row>
    <row r="313" spans="1:22" ht="21.65" customHeight="1">
      <c r="A313" s="176">
        <v>296</v>
      </c>
      <c r="B313" s="178" t="s">
        <v>817</v>
      </c>
      <c r="C313" s="271" t="s">
        <v>870</v>
      </c>
      <c r="D313" s="177">
        <v>45932</v>
      </c>
      <c r="E313" s="178" t="s">
        <v>813</v>
      </c>
      <c r="F313" s="271" t="s">
        <v>814</v>
      </c>
      <c r="G313" s="178" t="s">
        <v>815</v>
      </c>
      <c r="H313" s="366">
        <v>20000</v>
      </c>
      <c r="I313" s="176">
        <v>10</v>
      </c>
      <c r="J313" s="366">
        <v>2000</v>
      </c>
      <c r="K313" s="178" t="s">
        <v>261</v>
      </c>
      <c r="L313" s="178" t="s">
        <v>252</v>
      </c>
      <c r="M313" s="271" t="s">
        <v>816</v>
      </c>
      <c r="N313" s="177">
        <v>46230</v>
      </c>
      <c r="O313" s="177">
        <v>46230</v>
      </c>
      <c r="P313" s="366">
        <v>22000</v>
      </c>
      <c r="Q313" s="176" t="s">
        <v>248</v>
      </c>
      <c r="R313" s="176" t="s">
        <v>434</v>
      </c>
      <c r="S313" s="178" t="s">
        <v>253</v>
      </c>
      <c r="T313" s="57" t="str">
        <f t="shared" si="15"/>
        <v>Đ</v>
      </c>
      <c r="U313" s="59">
        <f t="shared" si="16"/>
        <v>0</v>
      </c>
      <c r="V313" s="55">
        <f t="shared" si="17"/>
        <v>13311</v>
      </c>
    </row>
    <row r="314" spans="1:22" ht="21.65" customHeight="1">
      <c r="A314" s="176">
        <v>297</v>
      </c>
      <c r="B314" s="178" t="s">
        <v>817</v>
      </c>
      <c r="C314" s="271" t="s">
        <v>871</v>
      </c>
      <c r="D314" s="177">
        <v>45932</v>
      </c>
      <c r="E314" s="178" t="s">
        <v>813</v>
      </c>
      <c r="F314" s="271" t="s">
        <v>814</v>
      </c>
      <c r="G314" s="178" t="s">
        <v>815</v>
      </c>
      <c r="H314" s="366">
        <v>285455</v>
      </c>
      <c r="I314" s="176">
        <v>10</v>
      </c>
      <c r="J314" s="366">
        <v>28545</v>
      </c>
      <c r="K314" s="178" t="s">
        <v>261</v>
      </c>
      <c r="L314" s="178" t="s">
        <v>252</v>
      </c>
      <c r="M314" s="271" t="s">
        <v>816</v>
      </c>
      <c r="N314" s="177">
        <v>46230</v>
      </c>
      <c r="O314" s="177">
        <v>46230</v>
      </c>
      <c r="P314" s="366">
        <v>314000</v>
      </c>
      <c r="Q314" s="176" t="s">
        <v>248</v>
      </c>
      <c r="R314" s="176" t="s">
        <v>434</v>
      </c>
      <c r="S314" s="178" t="s">
        <v>253</v>
      </c>
      <c r="T314" s="57" t="str">
        <f t="shared" si="15"/>
        <v>Đ</v>
      </c>
      <c r="U314" s="59">
        <f t="shared" si="16"/>
        <v>1</v>
      </c>
      <c r="V314" s="55">
        <f t="shared" si="17"/>
        <v>13311</v>
      </c>
    </row>
    <row r="315" spans="1:22" ht="21.65" customHeight="1">
      <c r="A315" s="176">
        <v>298</v>
      </c>
      <c r="B315" s="178" t="s">
        <v>817</v>
      </c>
      <c r="C315" s="271" t="s">
        <v>872</v>
      </c>
      <c r="D315" s="177">
        <v>45932</v>
      </c>
      <c r="E315" s="178" t="s">
        <v>813</v>
      </c>
      <c r="F315" s="271" t="s">
        <v>814</v>
      </c>
      <c r="G315" s="178" t="s">
        <v>815</v>
      </c>
      <c r="H315" s="366">
        <v>20000</v>
      </c>
      <c r="I315" s="176">
        <v>10</v>
      </c>
      <c r="J315" s="366">
        <v>2000</v>
      </c>
      <c r="K315" s="178" t="s">
        <v>261</v>
      </c>
      <c r="L315" s="178" t="s">
        <v>252</v>
      </c>
      <c r="M315" s="271" t="s">
        <v>816</v>
      </c>
      <c r="N315" s="177">
        <v>46230</v>
      </c>
      <c r="O315" s="177">
        <v>46230</v>
      </c>
      <c r="P315" s="366">
        <v>22000</v>
      </c>
      <c r="Q315" s="176" t="s">
        <v>248</v>
      </c>
      <c r="R315" s="176" t="s">
        <v>434</v>
      </c>
      <c r="S315" s="178" t="s">
        <v>253</v>
      </c>
      <c r="T315" s="57" t="str">
        <f t="shared" si="15"/>
        <v>Đ</v>
      </c>
      <c r="U315" s="59">
        <f t="shared" si="16"/>
        <v>0</v>
      </c>
      <c r="V315" s="55">
        <f t="shared" si="17"/>
        <v>13311</v>
      </c>
    </row>
    <row r="316" spans="1:22" ht="21.65" customHeight="1">
      <c r="A316" s="176">
        <v>299</v>
      </c>
      <c r="B316" s="178" t="s">
        <v>817</v>
      </c>
      <c r="C316" s="271" t="s">
        <v>873</v>
      </c>
      <c r="D316" s="177">
        <v>45932</v>
      </c>
      <c r="E316" s="178" t="s">
        <v>813</v>
      </c>
      <c r="F316" s="271" t="s">
        <v>814</v>
      </c>
      <c r="G316" s="178" t="s">
        <v>815</v>
      </c>
      <c r="H316" s="366">
        <v>20000</v>
      </c>
      <c r="I316" s="176">
        <v>10</v>
      </c>
      <c r="J316" s="366">
        <v>2000</v>
      </c>
      <c r="K316" s="178" t="s">
        <v>261</v>
      </c>
      <c r="L316" s="178" t="s">
        <v>252</v>
      </c>
      <c r="M316" s="271" t="s">
        <v>816</v>
      </c>
      <c r="N316" s="177">
        <v>46230</v>
      </c>
      <c r="O316" s="177">
        <v>46230</v>
      </c>
      <c r="P316" s="366">
        <v>22000</v>
      </c>
      <c r="Q316" s="176" t="s">
        <v>248</v>
      </c>
      <c r="R316" s="176" t="s">
        <v>434</v>
      </c>
      <c r="S316" s="178" t="s">
        <v>253</v>
      </c>
      <c r="T316" s="57" t="str">
        <f t="shared" si="15"/>
        <v>Đ</v>
      </c>
      <c r="U316" s="59">
        <f t="shared" si="16"/>
        <v>0</v>
      </c>
      <c r="V316" s="55">
        <f t="shared" si="17"/>
        <v>13311</v>
      </c>
    </row>
    <row r="317" spans="1:22" ht="21.65" customHeight="1">
      <c r="A317" s="176">
        <v>300</v>
      </c>
      <c r="B317" s="178" t="s">
        <v>817</v>
      </c>
      <c r="C317" s="271" t="s">
        <v>874</v>
      </c>
      <c r="D317" s="177">
        <v>45932</v>
      </c>
      <c r="E317" s="178" t="s">
        <v>813</v>
      </c>
      <c r="F317" s="271" t="s">
        <v>814</v>
      </c>
      <c r="G317" s="178" t="s">
        <v>815</v>
      </c>
      <c r="H317" s="366">
        <v>20000</v>
      </c>
      <c r="I317" s="176">
        <v>10</v>
      </c>
      <c r="J317" s="366">
        <v>2000</v>
      </c>
      <c r="K317" s="178" t="s">
        <v>261</v>
      </c>
      <c r="L317" s="178" t="s">
        <v>252</v>
      </c>
      <c r="M317" s="271" t="s">
        <v>816</v>
      </c>
      <c r="N317" s="177">
        <v>46230</v>
      </c>
      <c r="O317" s="177">
        <v>46230</v>
      </c>
      <c r="P317" s="366">
        <v>22000</v>
      </c>
      <c r="Q317" s="176" t="s">
        <v>248</v>
      </c>
      <c r="R317" s="176" t="s">
        <v>434</v>
      </c>
      <c r="S317" s="178" t="s">
        <v>253</v>
      </c>
      <c r="T317" s="57" t="str">
        <f t="shared" si="15"/>
        <v>Đ</v>
      </c>
      <c r="U317" s="59">
        <f t="shared" si="16"/>
        <v>0</v>
      </c>
      <c r="V317" s="55">
        <f t="shared" si="17"/>
        <v>13311</v>
      </c>
    </row>
    <row r="318" spans="1:22" ht="21.65" customHeight="1">
      <c r="A318" s="176">
        <v>301</v>
      </c>
      <c r="B318" s="178" t="s">
        <v>817</v>
      </c>
      <c r="C318" s="271" t="s">
        <v>875</v>
      </c>
      <c r="D318" s="177">
        <v>45932</v>
      </c>
      <c r="E318" s="178" t="s">
        <v>813</v>
      </c>
      <c r="F318" s="271" t="s">
        <v>814</v>
      </c>
      <c r="G318" s="178" t="s">
        <v>815</v>
      </c>
      <c r="H318" s="366">
        <v>27273</v>
      </c>
      <c r="I318" s="176">
        <v>10</v>
      </c>
      <c r="J318" s="366">
        <v>2727</v>
      </c>
      <c r="K318" s="178" t="s">
        <v>261</v>
      </c>
      <c r="L318" s="178" t="s">
        <v>252</v>
      </c>
      <c r="M318" s="271" t="s">
        <v>816</v>
      </c>
      <c r="N318" s="177">
        <v>46230</v>
      </c>
      <c r="O318" s="177">
        <v>46230</v>
      </c>
      <c r="P318" s="366">
        <v>30000</v>
      </c>
      <c r="Q318" s="176" t="s">
        <v>248</v>
      </c>
      <c r="R318" s="176" t="s">
        <v>434</v>
      </c>
      <c r="S318" s="178" t="s">
        <v>253</v>
      </c>
      <c r="T318" s="57" t="str">
        <f t="shared" si="15"/>
        <v>Đ</v>
      </c>
      <c r="U318" s="59">
        <f t="shared" si="16"/>
        <v>0</v>
      </c>
      <c r="V318" s="55">
        <f t="shared" si="17"/>
        <v>13311</v>
      </c>
    </row>
    <row r="319" spans="1:22" ht="21.65" customHeight="1">
      <c r="A319" s="176">
        <v>302</v>
      </c>
      <c r="B319" s="178" t="s">
        <v>817</v>
      </c>
      <c r="C319" s="271" t="s">
        <v>876</v>
      </c>
      <c r="D319" s="177">
        <v>45932</v>
      </c>
      <c r="E319" s="178" t="s">
        <v>813</v>
      </c>
      <c r="F319" s="271" t="s">
        <v>814</v>
      </c>
      <c r="G319" s="178" t="s">
        <v>815</v>
      </c>
      <c r="H319" s="366">
        <v>109091</v>
      </c>
      <c r="I319" s="176">
        <v>10</v>
      </c>
      <c r="J319" s="366">
        <v>10909</v>
      </c>
      <c r="K319" s="178" t="s">
        <v>261</v>
      </c>
      <c r="L319" s="178" t="s">
        <v>252</v>
      </c>
      <c r="M319" s="271" t="s">
        <v>816</v>
      </c>
      <c r="N319" s="177">
        <v>46230</v>
      </c>
      <c r="O319" s="177">
        <v>46230</v>
      </c>
      <c r="P319" s="366">
        <v>120000</v>
      </c>
      <c r="Q319" s="176" t="s">
        <v>248</v>
      </c>
      <c r="R319" s="176" t="s">
        <v>434</v>
      </c>
      <c r="S319" s="178" t="s">
        <v>253</v>
      </c>
      <c r="T319" s="57" t="str">
        <f t="shared" si="15"/>
        <v>Đ</v>
      </c>
      <c r="U319" s="59">
        <f t="shared" si="16"/>
        <v>0</v>
      </c>
      <c r="V319" s="55">
        <f t="shared" si="17"/>
        <v>13311</v>
      </c>
    </row>
    <row r="320" spans="1:22" ht="21.65" customHeight="1">
      <c r="A320" s="176">
        <v>303</v>
      </c>
      <c r="B320" s="178" t="s">
        <v>817</v>
      </c>
      <c r="C320" s="271" t="s">
        <v>877</v>
      </c>
      <c r="D320" s="177">
        <v>45932</v>
      </c>
      <c r="E320" s="178" t="s">
        <v>813</v>
      </c>
      <c r="F320" s="271" t="s">
        <v>814</v>
      </c>
      <c r="G320" s="178" t="s">
        <v>815</v>
      </c>
      <c r="H320" s="366">
        <v>481364</v>
      </c>
      <c r="I320" s="176">
        <v>10</v>
      </c>
      <c r="J320" s="366">
        <v>48136</v>
      </c>
      <c r="K320" s="178" t="s">
        <v>261</v>
      </c>
      <c r="L320" s="178" t="s">
        <v>252</v>
      </c>
      <c r="M320" s="271" t="s">
        <v>816</v>
      </c>
      <c r="N320" s="177">
        <v>46230</v>
      </c>
      <c r="O320" s="177">
        <v>46230</v>
      </c>
      <c r="P320" s="366">
        <v>529500</v>
      </c>
      <c r="Q320" s="176" t="s">
        <v>248</v>
      </c>
      <c r="R320" s="176" t="s">
        <v>434</v>
      </c>
      <c r="S320" s="178" t="s">
        <v>253</v>
      </c>
      <c r="T320" s="57" t="str">
        <f t="shared" si="15"/>
        <v>Đ</v>
      </c>
      <c r="U320" s="59">
        <f t="shared" si="16"/>
        <v>0</v>
      </c>
      <c r="V320" s="55">
        <f t="shared" si="17"/>
        <v>13311</v>
      </c>
    </row>
    <row r="321" spans="1:22" ht="21.65" customHeight="1">
      <c r="A321" s="176">
        <v>304</v>
      </c>
      <c r="B321" s="178" t="s">
        <v>817</v>
      </c>
      <c r="C321" s="271" t="s">
        <v>878</v>
      </c>
      <c r="D321" s="177">
        <v>45932</v>
      </c>
      <c r="E321" s="178" t="s">
        <v>813</v>
      </c>
      <c r="F321" s="271" t="s">
        <v>814</v>
      </c>
      <c r="G321" s="178" t="s">
        <v>815</v>
      </c>
      <c r="H321" s="366">
        <v>20000</v>
      </c>
      <c r="I321" s="176">
        <v>10</v>
      </c>
      <c r="J321" s="366">
        <v>2000</v>
      </c>
      <c r="K321" s="178" t="s">
        <v>261</v>
      </c>
      <c r="L321" s="178" t="s">
        <v>252</v>
      </c>
      <c r="M321" s="271" t="s">
        <v>816</v>
      </c>
      <c r="N321" s="177">
        <v>46230</v>
      </c>
      <c r="O321" s="177">
        <v>46230</v>
      </c>
      <c r="P321" s="366">
        <v>22000</v>
      </c>
      <c r="Q321" s="176" t="s">
        <v>248</v>
      </c>
      <c r="R321" s="176" t="s">
        <v>434</v>
      </c>
      <c r="S321" s="178" t="s">
        <v>253</v>
      </c>
      <c r="T321" s="57" t="str">
        <f t="shared" si="15"/>
        <v>Đ</v>
      </c>
      <c r="U321" s="59">
        <f t="shared" si="16"/>
        <v>0</v>
      </c>
      <c r="V321" s="55">
        <f t="shared" si="17"/>
        <v>13311</v>
      </c>
    </row>
    <row r="322" spans="1:22" ht="21.65" customHeight="1">
      <c r="A322" s="176">
        <v>305</v>
      </c>
      <c r="B322" s="178" t="s">
        <v>817</v>
      </c>
      <c r="C322" s="271" t="s">
        <v>879</v>
      </c>
      <c r="D322" s="177">
        <v>45932</v>
      </c>
      <c r="E322" s="178" t="s">
        <v>813</v>
      </c>
      <c r="F322" s="271" t="s">
        <v>814</v>
      </c>
      <c r="G322" s="178" t="s">
        <v>815</v>
      </c>
      <c r="H322" s="366">
        <v>20175</v>
      </c>
      <c r="I322" s="176">
        <v>10</v>
      </c>
      <c r="J322" s="366">
        <v>2018</v>
      </c>
      <c r="K322" s="178" t="s">
        <v>261</v>
      </c>
      <c r="L322" s="178" t="s">
        <v>252</v>
      </c>
      <c r="M322" s="271" t="s">
        <v>816</v>
      </c>
      <c r="N322" s="177">
        <v>46230</v>
      </c>
      <c r="O322" s="177">
        <v>46230</v>
      </c>
      <c r="P322" s="366">
        <v>22193</v>
      </c>
      <c r="Q322" s="176" t="s">
        <v>248</v>
      </c>
      <c r="R322" s="176" t="s">
        <v>434</v>
      </c>
      <c r="S322" s="178" t="s">
        <v>253</v>
      </c>
      <c r="T322" s="57" t="str">
        <f t="shared" si="15"/>
        <v>Đ</v>
      </c>
      <c r="U322" s="59">
        <f t="shared" si="16"/>
        <v>0</v>
      </c>
      <c r="V322" s="55">
        <f t="shared" si="17"/>
        <v>13311</v>
      </c>
    </row>
    <row r="323" spans="1:22" ht="21.65" customHeight="1">
      <c r="A323" s="176">
        <v>306</v>
      </c>
      <c r="B323" s="178" t="s">
        <v>817</v>
      </c>
      <c r="C323" s="271" t="s">
        <v>880</v>
      </c>
      <c r="D323" s="177">
        <v>45932</v>
      </c>
      <c r="E323" s="178" t="s">
        <v>813</v>
      </c>
      <c r="F323" s="271" t="s">
        <v>814</v>
      </c>
      <c r="G323" s="178" t="s">
        <v>815</v>
      </c>
      <c r="H323" s="366">
        <v>27273</v>
      </c>
      <c r="I323" s="176">
        <v>10</v>
      </c>
      <c r="J323" s="366">
        <v>2727</v>
      </c>
      <c r="K323" s="178" t="s">
        <v>261</v>
      </c>
      <c r="L323" s="178" t="s">
        <v>252</v>
      </c>
      <c r="M323" s="271" t="s">
        <v>816</v>
      </c>
      <c r="N323" s="177">
        <v>46230</v>
      </c>
      <c r="O323" s="177">
        <v>46230</v>
      </c>
      <c r="P323" s="366">
        <v>30000</v>
      </c>
      <c r="Q323" s="176" t="s">
        <v>248</v>
      </c>
      <c r="R323" s="176" t="s">
        <v>434</v>
      </c>
      <c r="S323" s="178" t="s">
        <v>253</v>
      </c>
      <c r="T323" s="57" t="str">
        <f t="shared" si="15"/>
        <v>Đ</v>
      </c>
      <c r="U323" s="59">
        <f t="shared" si="16"/>
        <v>0</v>
      </c>
      <c r="V323" s="55">
        <f t="shared" si="17"/>
        <v>13311</v>
      </c>
    </row>
    <row r="324" spans="1:22" ht="21.65" customHeight="1">
      <c r="A324" s="176">
        <v>307</v>
      </c>
      <c r="B324" s="178" t="s">
        <v>817</v>
      </c>
      <c r="C324" s="271" t="s">
        <v>881</v>
      </c>
      <c r="D324" s="177">
        <v>45932</v>
      </c>
      <c r="E324" s="178" t="s">
        <v>813</v>
      </c>
      <c r="F324" s="271" t="s">
        <v>814</v>
      </c>
      <c r="G324" s="178" t="s">
        <v>815</v>
      </c>
      <c r="H324" s="366">
        <v>27273</v>
      </c>
      <c r="I324" s="176">
        <v>10</v>
      </c>
      <c r="J324" s="366">
        <v>2727</v>
      </c>
      <c r="K324" s="178" t="s">
        <v>261</v>
      </c>
      <c r="L324" s="178" t="s">
        <v>252</v>
      </c>
      <c r="M324" s="271" t="s">
        <v>816</v>
      </c>
      <c r="N324" s="177">
        <v>46230</v>
      </c>
      <c r="O324" s="177">
        <v>46230</v>
      </c>
      <c r="P324" s="366">
        <v>30000</v>
      </c>
      <c r="Q324" s="176" t="s">
        <v>248</v>
      </c>
      <c r="R324" s="176" t="s">
        <v>434</v>
      </c>
      <c r="S324" s="178" t="s">
        <v>253</v>
      </c>
      <c r="T324" s="57" t="str">
        <f t="shared" si="15"/>
        <v>Đ</v>
      </c>
      <c r="U324" s="59">
        <f t="shared" si="16"/>
        <v>0</v>
      </c>
      <c r="V324" s="55">
        <f t="shared" si="17"/>
        <v>13311</v>
      </c>
    </row>
    <row r="325" spans="1:22" ht="21.65" customHeight="1">
      <c r="A325" s="176">
        <v>308</v>
      </c>
      <c r="B325" s="178" t="s">
        <v>817</v>
      </c>
      <c r="C325" s="271" t="s">
        <v>882</v>
      </c>
      <c r="D325" s="177">
        <v>45932</v>
      </c>
      <c r="E325" s="178" t="s">
        <v>813</v>
      </c>
      <c r="F325" s="271" t="s">
        <v>814</v>
      </c>
      <c r="G325" s="178" t="s">
        <v>815</v>
      </c>
      <c r="H325" s="366">
        <v>27273</v>
      </c>
      <c r="I325" s="176">
        <v>10</v>
      </c>
      <c r="J325" s="366">
        <v>2727</v>
      </c>
      <c r="K325" s="178" t="s">
        <v>261</v>
      </c>
      <c r="L325" s="178" t="s">
        <v>252</v>
      </c>
      <c r="M325" s="271" t="s">
        <v>816</v>
      </c>
      <c r="N325" s="177">
        <v>46230</v>
      </c>
      <c r="O325" s="177">
        <v>46230</v>
      </c>
      <c r="P325" s="366">
        <v>30000</v>
      </c>
      <c r="Q325" s="176" t="s">
        <v>248</v>
      </c>
      <c r="R325" s="176" t="s">
        <v>434</v>
      </c>
      <c r="S325" s="178" t="s">
        <v>253</v>
      </c>
      <c r="T325" s="57" t="str">
        <f t="shared" si="15"/>
        <v>Đ</v>
      </c>
      <c r="U325" s="59">
        <f t="shared" si="16"/>
        <v>0</v>
      </c>
      <c r="V325" s="55">
        <f t="shared" si="17"/>
        <v>13311</v>
      </c>
    </row>
    <row r="326" spans="1:22" ht="21.65" customHeight="1">
      <c r="A326" s="176">
        <v>309</v>
      </c>
      <c r="B326" s="178" t="s">
        <v>817</v>
      </c>
      <c r="C326" s="271" t="s">
        <v>883</v>
      </c>
      <c r="D326" s="177">
        <v>45932</v>
      </c>
      <c r="E326" s="178" t="s">
        <v>813</v>
      </c>
      <c r="F326" s="271" t="s">
        <v>814</v>
      </c>
      <c r="G326" s="178" t="s">
        <v>815</v>
      </c>
      <c r="H326" s="366">
        <v>28182</v>
      </c>
      <c r="I326" s="176">
        <v>10</v>
      </c>
      <c r="J326" s="366">
        <v>2818</v>
      </c>
      <c r="K326" s="178" t="s">
        <v>261</v>
      </c>
      <c r="L326" s="178" t="s">
        <v>252</v>
      </c>
      <c r="M326" s="271" t="s">
        <v>816</v>
      </c>
      <c r="N326" s="177">
        <v>46230</v>
      </c>
      <c r="O326" s="177">
        <v>46230</v>
      </c>
      <c r="P326" s="366">
        <v>31000</v>
      </c>
      <c r="Q326" s="176" t="s">
        <v>248</v>
      </c>
      <c r="R326" s="176" t="s">
        <v>434</v>
      </c>
      <c r="S326" s="178" t="s">
        <v>253</v>
      </c>
      <c r="T326" s="57" t="str">
        <f t="shared" si="15"/>
        <v>Đ</v>
      </c>
      <c r="U326" s="59">
        <f t="shared" si="16"/>
        <v>0</v>
      </c>
      <c r="V326" s="55">
        <f t="shared" si="17"/>
        <v>13311</v>
      </c>
    </row>
    <row r="327" spans="1:22" ht="21.65" customHeight="1">
      <c r="A327" s="176">
        <v>310</v>
      </c>
      <c r="B327" s="178" t="s">
        <v>817</v>
      </c>
      <c r="C327" s="271" t="s">
        <v>884</v>
      </c>
      <c r="D327" s="177">
        <v>45932</v>
      </c>
      <c r="E327" s="178" t="s">
        <v>813</v>
      </c>
      <c r="F327" s="271" t="s">
        <v>814</v>
      </c>
      <c r="G327" s="178" t="s">
        <v>815</v>
      </c>
      <c r="H327" s="366">
        <v>107791</v>
      </c>
      <c r="I327" s="176">
        <v>10</v>
      </c>
      <c r="J327" s="366">
        <v>10779</v>
      </c>
      <c r="K327" s="178" t="s">
        <v>261</v>
      </c>
      <c r="L327" s="178" t="s">
        <v>252</v>
      </c>
      <c r="M327" s="271" t="s">
        <v>816</v>
      </c>
      <c r="N327" s="177">
        <v>46230</v>
      </c>
      <c r="O327" s="177">
        <v>46230</v>
      </c>
      <c r="P327" s="366">
        <v>118570</v>
      </c>
      <c r="Q327" s="176" t="s">
        <v>248</v>
      </c>
      <c r="R327" s="176" t="s">
        <v>434</v>
      </c>
      <c r="S327" s="178" t="s">
        <v>253</v>
      </c>
      <c r="T327" s="57" t="str">
        <f t="shared" si="15"/>
        <v>Đ</v>
      </c>
      <c r="U327" s="59">
        <f t="shared" si="16"/>
        <v>0</v>
      </c>
      <c r="V327" s="55">
        <f t="shared" si="17"/>
        <v>13311</v>
      </c>
    </row>
    <row r="328" spans="1:22" ht="21.65" customHeight="1">
      <c r="A328" s="176">
        <v>311</v>
      </c>
      <c r="B328" s="178" t="s">
        <v>817</v>
      </c>
      <c r="C328" s="271" t="s">
        <v>885</v>
      </c>
      <c r="D328" s="177">
        <v>45932</v>
      </c>
      <c r="E328" s="178" t="s">
        <v>813</v>
      </c>
      <c r="F328" s="271" t="s">
        <v>814</v>
      </c>
      <c r="G328" s="178" t="s">
        <v>815</v>
      </c>
      <c r="H328" s="366">
        <v>20000</v>
      </c>
      <c r="I328" s="176">
        <v>10</v>
      </c>
      <c r="J328" s="366">
        <v>2000</v>
      </c>
      <c r="K328" s="178" t="s">
        <v>261</v>
      </c>
      <c r="L328" s="178" t="s">
        <v>252</v>
      </c>
      <c r="M328" s="271" t="s">
        <v>816</v>
      </c>
      <c r="N328" s="177">
        <v>46230</v>
      </c>
      <c r="O328" s="177">
        <v>46230</v>
      </c>
      <c r="P328" s="366">
        <v>22000</v>
      </c>
      <c r="Q328" s="176" t="s">
        <v>248</v>
      </c>
      <c r="R328" s="176" t="s">
        <v>434</v>
      </c>
      <c r="S328" s="178" t="s">
        <v>253</v>
      </c>
      <c r="T328" s="57" t="str">
        <f t="shared" si="15"/>
        <v>Đ</v>
      </c>
      <c r="U328" s="59">
        <f t="shared" si="16"/>
        <v>0</v>
      </c>
      <c r="V328" s="55">
        <f t="shared" si="17"/>
        <v>13311</v>
      </c>
    </row>
    <row r="329" spans="1:22" ht="21.65" customHeight="1">
      <c r="A329" s="176">
        <v>312</v>
      </c>
      <c r="B329" s="178" t="s">
        <v>817</v>
      </c>
      <c r="C329" s="271" t="s">
        <v>886</v>
      </c>
      <c r="D329" s="177">
        <v>45932</v>
      </c>
      <c r="E329" s="178" t="s">
        <v>813</v>
      </c>
      <c r="F329" s="271" t="s">
        <v>814</v>
      </c>
      <c r="G329" s="178" t="s">
        <v>815</v>
      </c>
      <c r="H329" s="366">
        <v>27273</v>
      </c>
      <c r="I329" s="176">
        <v>10</v>
      </c>
      <c r="J329" s="366">
        <v>2727</v>
      </c>
      <c r="K329" s="178" t="s">
        <v>261</v>
      </c>
      <c r="L329" s="178" t="s">
        <v>252</v>
      </c>
      <c r="M329" s="271" t="s">
        <v>816</v>
      </c>
      <c r="N329" s="177">
        <v>46230</v>
      </c>
      <c r="O329" s="177">
        <v>46230</v>
      </c>
      <c r="P329" s="366">
        <v>30000</v>
      </c>
      <c r="Q329" s="176" t="s">
        <v>248</v>
      </c>
      <c r="R329" s="176" t="s">
        <v>434</v>
      </c>
      <c r="S329" s="178" t="s">
        <v>253</v>
      </c>
      <c r="T329" s="57" t="str">
        <f t="shared" si="15"/>
        <v>Đ</v>
      </c>
      <c r="U329" s="59">
        <f t="shared" si="16"/>
        <v>0</v>
      </c>
      <c r="V329" s="55">
        <f t="shared" si="17"/>
        <v>13311</v>
      </c>
    </row>
    <row r="330" spans="1:22" ht="21.65" customHeight="1">
      <c r="A330" s="176">
        <v>313</v>
      </c>
      <c r="B330" s="178" t="s">
        <v>817</v>
      </c>
      <c r="C330" s="271" t="s">
        <v>887</v>
      </c>
      <c r="D330" s="177">
        <v>45932</v>
      </c>
      <c r="E330" s="178" t="s">
        <v>813</v>
      </c>
      <c r="F330" s="271" t="s">
        <v>814</v>
      </c>
      <c r="G330" s="178" t="s">
        <v>815</v>
      </c>
      <c r="H330" s="366">
        <v>27273</v>
      </c>
      <c r="I330" s="176">
        <v>10</v>
      </c>
      <c r="J330" s="366">
        <v>2727</v>
      </c>
      <c r="K330" s="178" t="s">
        <v>261</v>
      </c>
      <c r="L330" s="178" t="s">
        <v>252</v>
      </c>
      <c r="M330" s="271" t="s">
        <v>816</v>
      </c>
      <c r="N330" s="177">
        <v>46230</v>
      </c>
      <c r="O330" s="177">
        <v>46230</v>
      </c>
      <c r="P330" s="366">
        <v>30000</v>
      </c>
      <c r="Q330" s="176" t="s">
        <v>248</v>
      </c>
      <c r="R330" s="176" t="s">
        <v>434</v>
      </c>
      <c r="S330" s="178" t="s">
        <v>253</v>
      </c>
      <c r="T330" s="57" t="str">
        <f t="shared" si="15"/>
        <v>Đ</v>
      </c>
      <c r="U330" s="59">
        <f t="shared" si="16"/>
        <v>0</v>
      </c>
      <c r="V330" s="55">
        <f t="shared" si="17"/>
        <v>13311</v>
      </c>
    </row>
    <row r="331" spans="1:22" ht="21.65" customHeight="1">
      <c r="A331" s="176">
        <v>314</v>
      </c>
      <c r="B331" s="178" t="s">
        <v>817</v>
      </c>
      <c r="C331" s="271" t="s">
        <v>888</v>
      </c>
      <c r="D331" s="177">
        <v>45932</v>
      </c>
      <c r="E331" s="178" t="s">
        <v>813</v>
      </c>
      <c r="F331" s="271" t="s">
        <v>814</v>
      </c>
      <c r="G331" s="178" t="s">
        <v>815</v>
      </c>
      <c r="H331" s="366">
        <v>900000</v>
      </c>
      <c r="I331" s="176">
        <v>10</v>
      </c>
      <c r="J331" s="366">
        <v>90000</v>
      </c>
      <c r="K331" s="178" t="s">
        <v>261</v>
      </c>
      <c r="L331" s="178" t="s">
        <v>252</v>
      </c>
      <c r="M331" s="271" t="s">
        <v>816</v>
      </c>
      <c r="N331" s="177">
        <v>46230</v>
      </c>
      <c r="O331" s="177">
        <v>46230</v>
      </c>
      <c r="P331" s="366">
        <v>990000</v>
      </c>
      <c r="Q331" s="176" t="s">
        <v>248</v>
      </c>
      <c r="R331" s="176" t="s">
        <v>434</v>
      </c>
      <c r="S331" s="178" t="s">
        <v>253</v>
      </c>
      <c r="T331" s="57" t="str">
        <f t="shared" si="15"/>
        <v>Đ</v>
      </c>
      <c r="U331" s="59">
        <f t="shared" si="16"/>
        <v>0</v>
      </c>
      <c r="V331" s="55">
        <f t="shared" si="17"/>
        <v>13311</v>
      </c>
    </row>
    <row r="332" spans="1:22" ht="21.65" customHeight="1">
      <c r="A332" s="176">
        <v>315</v>
      </c>
      <c r="B332" s="178" t="s">
        <v>817</v>
      </c>
      <c r="C332" s="271" t="s">
        <v>889</v>
      </c>
      <c r="D332" s="177">
        <v>45932</v>
      </c>
      <c r="E332" s="178" t="s">
        <v>813</v>
      </c>
      <c r="F332" s="271" t="s">
        <v>814</v>
      </c>
      <c r="G332" s="178" t="s">
        <v>815</v>
      </c>
      <c r="H332" s="366">
        <v>27273</v>
      </c>
      <c r="I332" s="176">
        <v>10</v>
      </c>
      <c r="J332" s="366">
        <v>2727</v>
      </c>
      <c r="K332" s="178" t="s">
        <v>261</v>
      </c>
      <c r="L332" s="178" t="s">
        <v>252</v>
      </c>
      <c r="M332" s="271" t="s">
        <v>816</v>
      </c>
      <c r="N332" s="177">
        <v>46230</v>
      </c>
      <c r="O332" s="177">
        <v>46230</v>
      </c>
      <c r="P332" s="366">
        <v>30000</v>
      </c>
      <c r="Q332" s="176" t="s">
        <v>248</v>
      </c>
      <c r="R332" s="176" t="s">
        <v>434</v>
      </c>
      <c r="S332" s="178" t="s">
        <v>253</v>
      </c>
      <c r="T332" s="57" t="str">
        <f t="shared" si="15"/>
        <v>Đ</v>
      </c>
      <c r="U332" s="59">
        <f t="shared" si="16"/>
        <v>0</v>
      </c>
      <c r="V332" s="55">
        <f t="shared" si="17"/>
        <v>13311</v>
      </c>
    </row>
    <row r="333" spans="1:22" ht="21.65" customHeight="1">
      <c r="A333" s="176">
        <v>316</v>
      </c>
      <c r="B333" s="178" t="s">
        <v>817</v>
      </c>
      <c r="C333" s="271" t="s">
        <v>890</v>
      </c>
      <c r="D333" s="177">
        <v>45932</v>
      </c>
      <c r="E333" s="178" t="s">
        <v>813</v>
      </c>
      <c r="F333" s="271" t="s">
        <v>814</v>
      </c>
      <c r="G333" s="178" t="s">
        <v>815</v>
      </c>
      <c r="H333" s="366">
        <v>280909</v>
      </c>
      <c r="I333" s="176">
        <v>10</v>
      </c>
      <c r="J333" s="366">
        <v>28091</v>
      </c>
      <c r="K333" s="178" t="s">
        <v>261</v>
      </c>
      <c r="L333" s="178" t="s">
        <v>252</v>
      </c>
      <c r="M333" s="271" t="s">
        <v>816</v>
      </c>
      <c r="N333" s="177">
        <v>46230</v>
      </c>
      <c r="O333" s="177">
        <v>46230</v>
      </c>
      <c r="P333" s="366">
        <v>309000</v>
      </c>
      <c r="Q333" s="176" t="s">
        <v>248</v>
      </c>
      <c r="R333" s="176" t="s">
        <v>434</v>
      </c>
      <c r="S333" s="178" t="s">
        <v>253</v>
      </c>
      <c r="T333" s="57" t="str">
        <f t="shared" si="15"/>
        <v>Đ</v>
      </c>
      <c r="U333" s="59">
        <f t="shared" si="16"/>
        <v>0</v>
      </c>
      <c r="V333" s="55">
        <f t="shared" si="17"/>
        <v>13311</v>
      </c>
    </row>
    <row r="334" spans="1:22" ht="21.65" customHeight="1">
      <c r="A334" s="176">
        <v>317</v>
      </c>
      <c r="B334" s="178" t="s">
        <v>817</v>
      </c>
      <c r="C334" s="271" t="s">
        <v>891</v>
      </c>
      <c r="D334" s="177">
        <v>45932</v>
      </c>
      <c r="E334" s="178" t="s">
        <v>813</v>
      </c>
      <c r="F334" s="271" t="s">
        <v>814</v>
      </c>
      <c r="G334" s="178" t="s">
        <v>815</v>
      </c>
      <c r="H334" s="366">
        <v>21214</v>
      </c>
      <c r="I334" s="176">
        <v>10</v>
      </c>
      <c r="J334" s="366">
        <v>2121</v>
      </c>
      <c r="K334" s="178" t="s">
        <v>261</v>
      </c>
      <c r="L334" s="178" t="s">
        <v>252</v>
      </c>
      <c r="M334" s="271" t="s">
        <v>816</v>
      </c>
      <c r="N334" s="177">
        <v>46230</v>
      </c>
      <c r="O334" s="177">
        <v>46230</v>
      </c>
      <c r="P334" s="366">
        <v>23335</v>
      </c>
      <c r="Q334" s="176" t="s">
        <v>248</v>
      </c>
      <c r="R334" s="176" t="s">
        <v>434</v>
      </c>
      <c r="S334" s="178" t="s">
        <v>253</v>
      </c>
      <c r="T334" s="57" t="str">
        <f t="shared" ref="T334:T397" si="18">IF(OR(LEN(F334)=11,LEN(F334)=15),"Đ","SAI")</f>
        <v>Đ</v>
      </c>
      <c r="U334" s="59">
        <f t="shared" ref="U334:U397" si="19">ROUND(H334*I334%,0)-J334</f>
        <v>0</v>
      </c>
      <c r="V334" s="55">
        <f t="shared" ref="V334:V397" si="20">IF(Q334=$V$12,13313,13311)</f>
        <v>13311</v>
      </c>
    </row>
    <row r="335" spans="1:22" ht="21.65" customHeight="1">
      <c r="A335" s="176">
        <v>318</v>
      </c>
      <c r="B335" s="178" t="s">
        <v>817</v>
      </c>
      <c r="C335" s="271" t="s">
        <v>892</v>
      </c>
      <c r="D335" s="177">
        <v>45932</v>
      </c>
      <c r="E335" s="178" t="s">
        <v>813</v>
      </c>
      <c r="F335" s="271" t="s">
        <v>814</v>
      </c>
      <c r="G335" s="178" t="s">
        <v>815</v>
      </c>
      <c r="H335" s="366">
        <v>27273</v>
      </c>
      <c r="I335" s="176">
        <v>10</v>
      </c>
      <c r="J335" s="366">
        <v>2727</v>
      </c>
      <c r="K335" s="178" t="s">
        <v>261</v>
      </c>
      <c r="L335" s="178" t="s">
        <v>252</v>
      </c>
      <c r="M335" s="271" t="s">
        <v>816</v>
      </c>
      <c r="N335" s="177">
        <v>46230</v>
      </c>
      <c r="O335" s="177">
        <v>46230</v>
      </c>
      <c r="P335" s="366">
        <v>30000</v>
      </c>
      <c r="Q335" s="176" t="s">
        <v>248</v>
      </c>
      <c r="R335" s="176" t="s">
        <v>434</v>
      </c>
      <c r="S335" s="178" t="s">
        <v>253</v>
      </c>
      <c r="T335" s="57" t="str">
        <f t="shared" si="18"/>
        <v>Đ</v>
      </c>
      <c r="U335" s="59">
        <f t="shared" si="19"/>
        <v>0</v>
      </c>
      <c r="V335" s="55">
        <f t="shared" si="20"/>
        <v>13311</v>
      </c>
    </row>
    <row r="336" spans="1:22" ht="21.65" customHeight="1">
      <c r="A336" s="176">
        <v>319</v>
      </c>
      <c r="B336" s="178" t="s">
        <v>817</v>
      </c>
      <c r="C336" s="271" t="s">
        <v>893</v>
      </c>
      <c r="D336" s="177">
        <v>45932</v>
      </c>
      <c r="E336" s="178" t="s">
        <v>813</v>
      </c>
      <c r="F336" s="271" t="s">
        <v>814</v>
      </c>
      <c r="G336" s="178" t="s">
        <v>815</v>
      </c>
      <c r="H336" s="366">
        <v>27273</v>
      </c>
      <c r="I336" s="176">
        <v>10</v>
      </c>
      <c r="J336" s="366">
        <v>2727</v>
      </c>
      <c r="K336" s="178" t="s">
        <v>261</v>
      </c>
      <c r="L336" s="178" t="s">
        <v>252</v>
      </c>
      <c r="M336" s="271" t="s">
        <v>816</v>
      </c>
      <c r="N336" s="177">
        <v>46230</v>
      </c>
      <c r="O336" s="177">
        <v>46230</v>
      </c>
      <c r="P336" s="366">
        <v>30000</v>
      </c>
      <c r="Q336" s="176" t="s">
        <v>248</v>
      </c>
      <c r="R336" s="176" t="s">
        <v>434</v>
      </c>
      <c r="S336" s="178" t="s">
        <v>253</v>
      </c>
      <c r="T336" s="57" t="str">
        <f t="shared" si="18"/>
        <v>Đ</v>
      </c>
      <c r="U336" s="59">
        <f t="shared" si="19"/>
        <v>0</v>
      </c>
      <c r="V336" s="55">
        <f t="shared" si="20"/>
        <v>13311</v>
      </c>
    </row>
    <row r="337" spans="1:22" ht="21.65" customHeight="1">
      <c r="A337" s="176">
        <v>320</v>
      </c>
      <c r="B337" s="178" t="s">
        <v>817</v>
      </c>
      <c r="C337" s="271" t="s">
        <v>894</v>
      </c>
      <c r="D337" s="177">
        <v>45932</v>
      </c>
      <c r="E337" s="178" t="s">
        <v>813</v>
      </c>
      <c r="F337" s="271" t="s">
        <v>814</v>
      </c>
      <c r="G337" s="178" t="s">
        <v>815</v>
      </c>
      <c r="H337" s="366">
        <v>225783</v>
      </c>
      <c r="I337" s="176">
        <v>10</v>
      </c>
      <c r="J337" s="366">
        <v>22578</v>
      </c>
      <c r="K337" s="178" t="s">
        <v>261</v>
      </c>
      <c r="L337" s="178" t="s">
        <v>252</v>
      </c>
      <c r="M337" s="271" t="s">
        <v>816</v>
      </c>
      <c r="N337" s="177">
        <v>46230</v>
      </c>
      <c r="O337" s="177">
        <v>46230</v>
      </c>
      <c r="P337" s="366">
        <v>248361</v>
      </c>
      <c r="Q337" s="176" t="s">
        <v>248</v>
      </c>
      <c r="R337" s="176" t="s">
        <v>434</v>
      </c>
      <c r="S337" s="178" t="s">
        <v>253</v>
      </c>
      <c r="T337" s="57" t="str">
        <f t="shared" si="18"/>
        <v>Đ</v>
      </c>
      <c r="U337" s="59">
        <f t="shared" si="19"/>
        <v>0</v>
      </c>
      <c r="V337" s="55">
        <f t="shared" si="20"/>
        <v>13311</v>
      </c>
    </row>
    <row r="338" spans="1:22" ht="21.65" customHeight="1">
      <c r="A338" s="176">
        <v>321</v>
      </c>
      <c r="B338" s="178" t="s">
        <v>817</v>
      </c>
      <c r="C338" s="271" t="s">
        <v>895</v>
      </c>
      <c r="D338" s="177">
        <v>45932</v>
      </c>
      <c r="E338" s="178" t="s">
        <v>813</v>
      </c>
      <c r="F338" s="271" t="s">
        <v>814</v>
      </c>
      <c r="G338" s="178" t="s">
        <v>815</v>
      </c>
      <c r="H338" s="366">
        <v>196038</v>
      </c>
      <c r="I338" s="176">
        <v>10</v>
      </c>
      <c r="J338" s="366">
        <v>19604</v>
      </c>
      <c r="K338" s="178" t="s">
        <v>261</v>
      </c>
      <c r="L338" s="178" t="s">
        <v>252</v>
      </c>
      <c r="M338" s="271" t="s">
        <v>816</v>
      </c>
      <c r="N338" s="177">
        <v>46230</v>
      </c>
      <c r="O338" s="177">
        <v>46230</v>
      </c>
      <c r="P338" s="366">
        <v>215642</v>
      </c>
      <c r="Q338" s="176" t="s">
        <v>248</v>
      </c>
      <c r="R338" s="176" t="s">
        <v>434</v>
      </c>
      <c r="S338" s="178" t="s">
        <v>253</v>
      </c>
      <c r="T338" s="57" t="str">
        <f t="shared" si="18"/>
        <v>Đ</v>
      </c>
      <c r="U338" s="59">
        <f t="shared" si="19"/>
        <v>0</v>
      </c>
      <c r="V338" s="55">
        <f t="shared" si="20"/>
        <v>13311</v>
      </c>
    </row>
    <row r="339" spans="1:22" ht="21.65" customHeight="1">
      <c r="A339" s="176">
        <v>322</v>
      </c>
      <c r="B339" s="178" t="s">
        <v>817</v>
      </c>
      <c r="C339" s="271" t="s">
        <v>896</v>
      </c>
      <c r="D339" s="177">
        <v>45932</v>
      </c>
      <c r="E339" s="178" t="s">
        <v>813</v>
      </c>
      <c r="F339" s="271" t="s">
        <v>814</v>
      </c>
      <c r="G339" s="178" t="s">
        <v>815</v>
      </c>
      <c r="H339" s="366">
        <v>27273</v>
      </c>
      <c r="I339" s="176">
        <v>10</v>
      </c>
      <c r="J339" s="366">
        <v>2727</v>
      </c>
      <c r="K339" s="178" t="s">
        <v>261</v>
      </c>
      <c r="L339" s="178" t="s">
        <v>252</v>
      </c>
      <c r="M339" s="271" t="s">
        <v>816</v>
      </c>
      <c r="N339" s="177">
        <v>46230</v>
      </c>
      <c r="O339" s="177">
        <v>46230</v>
      </c>
      <c r="P339" s="366">
        <v>30000</v>
      </c>
      <c r="Q339" s="176" t="s">
        <v>248</v>
      </c>
      <c r="R339" s="176" t="s">
        <v>434</v>
      </c>
      <c r="S339" s="178" t="s">
        <v>253</v>
      </c>
      <c r="T339" s="57" t="str">
        <f t="shared" si="18"/>
        <v>Đ</v>
      </c>
      <c r="U339" s="59">
        <f t="shared" si="19"/>
        <v>0</v>
      </c>
      <c r="V339" s="55">
        <f t="shared" si="20"/>
        <v>13311</v>
      </c>
    </row>
    <row r="340" spans="1:22" ht="21.65" customHeight="1">
      <c r="A340" s="176">
        <v>323</v>
      </c>
      <c r="B340" s="178" t="s">
        <v>817</v>
      </c>
      <c r="C340" s="271" t="s">
        <v>897</v>
      </c>
      <c r="D340" s="177">
        <v>45932</v>
      </c>
      <c r="E340" s="178" t="s">
        <v>813</v>
      </c>
      <c r="F340" s="271" t="s">
        <v>814</v>
      </c>
      <c r="G340" s="178" t="s">
        <v>815</v>
      </c>
      <c r="H340" s="366">
        <v>27273</v>
      </c>
      <c r="I340" s="176">
        <v>10</v>
      </c>
      <c r="J340" s="366">
        <v>2727</v>
      </c>
      <c r="K340" s="178" t="s">
        <v>261</v>
      </c>
      <c r="L340" s="178" t="s">
        <v>252</v>
      </c>
      <c r="M340" s="271" t="s">
        <v>816</v>
      </c>
      <c r="N340" s="177">
        <v>46230</v>
      </c>
      <c r="O340" s="177">
        <v>46230</v>
      </c>
      <c r="P340" s="366">
        <v>30000</v>
      </c>
      <c r="Q340" s="176" t="s">
        <v>248</v>
      </c>
      <c r="R340" s="176" t="s">
        <v>434</v>
      </c>
      <c r="S340" s="178" t="s">
        <v>253</v>
      </c>
      <c r="T340" s="57" t="str">
        <f t="shared" si="18"/>
        <v>Đ</v>
      </c>
      <c r="U340" s="59">
        <f t="shared" si="19"/>
        <v>0</v>
      </c>
      <c r="V340" s="55">
        <f t="shared" si="20"/>
        <v>13311</v>
      </c>
    </row>
    <row r="341" spans="1:22" ht="21.65" customHeight="1">
      <c r="A341" s="176">
        <v>324</v>
      </c>
      <c r="B341" s="178" t="s">
        <v>817</v>
      </c>
      <c r="C341" s="271" t="s">
        <v>898</v>
      </c>
      <c r="D341" s="177">
        <v>45932</v>
      </c>
      <c r="E341" s="178" t="s">
        <v>813</v>
      </c>
      <c r="F341" s="271" t="s">
        <v>814</v>
      </c>
      <c r="G341" s="178" t="s">
        <v>815</v>
      </c>
      <c r="H341" s="366">
        <v>27273</v>
      </c>
      <c r="I341" s="176">
        <v>10</v>
      </c>
      <c r="J341" s="366">
        <v>2727</v>
      </c>
      <c r="K341" s="178" t="s">
        <v>261</v>
      </c>
      <c r="L341" s="178" t="s">
        <v>252</v>
      </c>
      <c r="M341" s="271" t="s">
        <v>816</v>
      </c>
      <c r="N341" s="177">
        <v>46230</v>
      </c>
      <c r="O341" s="177">
        <v>46230</v>
      </c>
      <c r="P341" s="366">
        <v>30000</v>
      </c>
      <c r="Q341" s="176" t="s">
        <v>248</v>
      </c>
      <c r="R341" s="176" t="s">
        <v>434</v>
      </c>
      <c r="S341" s="178" t="s">
        <v>253</v>
      </c>
      <c r="T341" s="57" t="str">
        <f t="shared" si="18"/>
        <v>Đ</v>
      </c>
      <c r="U341" s="59">
        <f t="shared" si="19"/>
        <v>0</v>
      </c>
      <c r="V341" s="55">
        <f t="shared" si="20"/>
        <v>13311</v>
      </c>
    </row>
    <row r="342" spans="1:22" ht="21.65" customHeight="1">
      <c r="A342" s="176">
        <v>325</v>
      </c>
      <c r="B342" s="178" t="s">
        <v>817</v>
      </c>
      <c r="C342" s="271" t="s">
        <v>899</v>
      </c>
      <c r="D342" s="177">
        <v>45932</v>
      </c>
      <c r="E342" s="178" t="s">
        <v>813</v>
      </c>
      <c r="F342" s="271" t="s">
        <v>814</v>
      </c>
      <c r="G342" s="178" t="s">
        <v>815</v>
      </c>
      <c r="H342" s="366">
        <v>28827</v>
      </c>
      <c r="I342" s="176">
        <v>10</v>
      </c>
      <c r="J342" s="366">
        <v>2883</v>
      </c>
      <c r="K342" s="178" t="s">
        <v>261</v>
      </c>
      <c r="L342" s="178" t="s">
        <v>252</v>
      </c>
      <c r="M342" s="271" t="s">
        <v>816</v>
      </c>
      <c r="N342" s="177">
        <v>46230</v>
      </c>
      <c r="O342" s="177">
        <v>46230</v>
      </c>
      <c r="P342" s="366">
        <v>31710</v>
      </c>
      <c r="Q342" s="176" t="s">
        <v>248</v>
      </c>
      <c r="R342" s="176" t="s">
        <v>434</v>
      </c>
      <c r="S342" s="178" t="s">
        <v>253</v>
      </c>
      <c r="T342" s="57" t="str">
        <f t="shared" si="18"/>
        <v>Đ</v>
      </c>
      <c r="U342" s="59">
        <f t="shared" si="19"/>
        <v>0</v>
      </c>
      <c r="V342" s="55">
        <f t="shared" si="20"/>
        <v>13311</v>
      </c>
    </row>
    <row r="343" spans="1:22" ht="21.65" customHeight="1">
      <c r="A343" s="176">
        <v>326</v>
      </c>
      <c r="B343" s="178" t="s">
        <v>817</v>
      </c>
      <c r="C343" s="271" t="s">
        <v>900</v>
      </c>
      <c r="D343" s="177">
        <v>45932</v>
      </c>
      <c r="E343" s="178" t="s">
        <v>813</v>
      </c>
      <c r="F343" s="271" t="s">
        <v>814</v>
      </c>
      <c r="G343" s="178" t="s">
        <v>815</v>
      </c>
      <c r="H343" s="366">
        <v>20000</v>
      </c>
      <c r="I343" s="176">
        <v>10</v>
      </c>
      <c r="J343" s="366">
        <v>2000</v>
      </c>
      <c r="K343" s="178" t="s">
        <v>261</v>
      </c>
      <c r="L343" s="178" t="s">
        <v>252</v>
      </c>
      <c r="M343" s="271" t="s">
        <v>816</v>
      </c>
      <c r="N343" s="177">
        <v>46230</v>
      </c>
      <c r="O343" s="177">
        <v>46230</v>
      </c>
      <c r="P343" s="366">
        <v>22000</v>
      </c>
      <c r="Q343" s="176" t="s">
        <v>248</v>
      </c>
      <c r="R343" s="176" t="s">
        <v>434</v>
      </c>
      <c r="S343" s="178" t="s">
        <v>253</v>
      </c>
      <c r="T343" s="57" t="str">
        <f t="shared" si="18"/>
        <v>Đ</v>
      </c>
      <c r="U343" s="59">
        <f t="shared" si="19"/>
        <v>0</v>
      </c>
      <c r="V343" s="55">
        <f t="shared" si="20"/>
        <v>13311</v>
      </c>
    </row>
    <row r="344" spans="1:22" ht="21.65" customHeight="1">
      <c r="A344" s="176">
        <v>327</v>
      </c>
      <c r="B344" s="178" t="s">
        <v>817</v>
      </c>
      <c r="C344" s="271" t="s">
        <v>901</v>
      </c>
      <c r="D344" s="177">
        <v>45932</v>
      </c>
      <c r="E344" s="178" t="s">
        <v>813</v>
      </c>
      <c r="F344" s="271" t="s">
        <v>814</v>
      </c>
      <c r="G344" s="178" t="s">
        <v>815</v>
      </c>
      <c r="H344" s="366">
        <v>20000</v>
      </c>
      <c r="I344" s="176">
        <v>10</v>
      </c>
      <c r="J344" s="366">
        <v>2000</v>
      </c>
      <c r="K344" s="178" t="s">
        <v>261</v>
      </c>
      <c r="L344" s="178" t="s">
        <v>252</v>
      </c>
      <c r="M344" s="271" t="s">
        <v>816</v>
      </c>
      <c r="N344" s="177">
        <v>46230</v>
      </c>
      <c r="O344" s="177">
        <v>46230</v>
      </c>
      <c r="P344" s="366">
        <v>22000</v>
      </c>
      <c r="Q344" s="176" t="s">
        <v>248</v>
      </c>
      <c r="R344" s="176" t="s">
        <v>434</v>
      </c>
      <c r="S344" s="178" t="s">
        <v>253</v>
      </c>
      <c r="T344" s="57" t="str">
        <f t="shared" si="18"/>
        <v>Đ</v>
      </c>
      <c r="U344" s="59">
        <f t="shared" si="19"/>
        <v>0</v>
      </c>
      <c r="V344" s="55">
        <f t="shared" si="20"/>
        <v>13311</v>
      </c>
    </row>
    <row r="345" spans="1:22" ht="21.65" customHeight="1">
      <c r="A345" s="176">
        <v>328</v>
      </c>
      <c r="B345" s="178" t="s">
        <v>817</v>
      </c>
      <c r="C345" s="271" t="s">
        <v>902</v>
      </c>
      <c r="D345" s="177">
        <v>45932</v>
      </c>
      <c r="E345" s="178" t="s">
        <v>813</v>
      </c>
      <c r="F345" s="271" t="s">
        <v>814</v>
      </c>
      <c r="G345" s="178" t="s">
        <v>815</v>
      </c>
      <c r="H345" s="366">
        <v>20000</v>
      </c>
      <c r="I345" s="176">
        <v>10</v>
      </c>
      <c r="J345" s="366">
        <v>2000</v>
      </c>
      <c r="K345" s="178" t="s">
        <v>261</v>
      </c>
      <c r="L345" s="178" t="s">
        <v>252</v>
      </c>
      <c r="M345" s="271" t="s">
        <v>816</v>
      </c>
      <c r="N345" s="177">
        <v>46230</v>
      </c>
      <c r="O345" s="177">
        <v>46230</v>
      </c>
      <c r="P345" s="366">
        <v>22000</v>
      </c>
      <c r="Q345" s="176" t="s">
        <v>248</v>
      </c>
      <c r="R345" s="176" t="s">
        <v>434</v>
      </c>
      <c r="S345" s="178" t="s">
        <v>253</v>
      </c>
      <c r="T345" s="57" t="str">
        <f t="shared" si="18"/>
        <v>Đ</v>
      </c>
      <c r="U345" s="59">
        <f t="shared" si="19"/>
        <v>0</v>
      </c>
      <c r="V345" s="55">
        <f t="shared" si="20"/>
        <v>13311</v>
      </c>
    </row>
    <row r="346" spans="1:22" ht="21.65" customHeight="1">
      <c r="A346" s="176">
        <v>329</v>
      </c>
      <c r="B346" s="178" t="s">
        <v>817</v>
      </c>
      <c r="C346" s="271" t="s">
        <v>903</v>
      </c>
      <c r="D346" s="177">
        <v>45932</v>
      </c>
      <c r="E346" s="178" t="s">
        <v>813</v>
      </c>
      <c r="F346" s="271" t="s">
        <v>814</v>
      </c>
      <c r="G346" s="178" t="s">
        <v>815</v>
      </c>
      <c r="H346" s="366">
        <v>142922</v>
      </c>
      <c r="I346" s="176">
        <v>10</v>
      </c>
      <c r="J346" s="366">
        <v>14292</v>
      </c>
      <c r="K346" s="178" t="s">
        <v>261</v>
      </c>
      <c r="L346" s="178" t="s">
        <v>252</v>
      </c>
      <c r="M346" s="271" t="s">
        <v>816</v>
      </c>
      <c r="N346" s="177">
        <v>46230</v>
      </c>
      <c r="O346" s="177">
        <v>46230</v>
      </c>
      <c r="P346" s="366">
        <v>157214</v>
      </c>
      <c r="Q346" s="176" t="s">
        <v>248</v>
      </c>
      <c r="R346" s="176" t="s">
        <v>434</v>
      </c>
      <c r="S346" s="178" t="s">
        <v>253</v>
      </c>
      <c r="T346" s="57" t="str">
        <f t="shared" si="18"/>
        <v>Đ</v>
      </c>
      <c r="U346" s="59">
        <f t="shared" si="19"/>
        <v>0</v>
      </c>
      <c r="V346" s="55">
        <f t="shared" si="20"/>
        <v>13311</v>
      </c>
    </row>
    <row r="347" spans="1:22" ht="21.65" customHeight="1">
      <c r="A347" s="176">
        <v>330</v>
      </c>
      <c r="B347" s="178" t="s">
        <v>817</v>
      </c>
      <c r="C347" s="271" t="s">
        <v>904</v>
      </c>
      <c r="D347" s="177">
        <v>45932</v>
      </c>
      <c r="E347" s="178" t="s">
        <v>813</v>
      </c>
      <c r="F347" s="271" t="s">
        <v>814</v>
      </c>
      <c r="G347" s="178" t="s">
        <v>815</v>
      </c>
      <c r="H347" s="366">
        <v>27273</v>
      </c>
      <c r="I347" s="176">
        <v>10</v>
      </c>
      <c r="J347" s="366">
        <v>2727</v>
      </c>
      <c r="K347" s="178" t="s">
        <v>261</v>
      </c>
      <c r="L347" s="178" t="s">
        <v>252</v>
      </c>
      <c r="M347" s="271" t="s">
        <v>816</v>
      </c>
      <c r="N347" s="177">
        <v>46230</v>
      </c>
      <c r="O347" s="177">
        <v>46230</v>
      </c>
      <c r="P347" s="366">
        <v>30000</v>
      </c>
      <c r="Q347" s="176" t="s">
        <v>248</v>
      </c>
      <c r="R347" s="176" t="s">
        <v>434</v>
      </c>
      <c r="S347" s="178" t="s">
        <v>253</v>
      </c>
      <c r="T347" s="57" t="str">
        <f t="shared" si="18"/>
        <v>Đ</v>
      </c>
      <c r="U347" s="59">
        <f t="shared" si="19"/>
        <v>0</v>
      </c>
      <c r="V347" s="55">
        <f t="shared" si="20"/>
        <v>13311</v>
      </c>
    </row>
    <row r="348" spans="1:22" ht="21.65" customHeight="1">
      <c r="A348" s="176">
        <v>331</v>
      </c>
      <c r="B348" s="178" t="s">
        <v>817</v>
      </c>
      <c r="C348" s="271" t="s">
        <v>905</v>
      </c>
      <c r="D348" s="177">
        <v>45932</v>
      </c>
      <c r="E348" s="178" t="s">
        <v>813</v>
      </c>
      <c r="F348" s="271" t="s">
        <v>814</v>
      </c>
      <c r="G348" s="178" t="s">
        <v>815</v>
      </c>
      <c r="H348" s="366">
        <v>26243</v>
      </c>
      <c r="I348" s="176">
        <v>10</v>
      </c>
      <c r="J348" s="366">
        <v>2624</v>
      </c>
      <c r="K348" s="178" t="s">
        <v>261</v>
      </c>
      <c r="L348" s="178" t="s">
        <v>252</v>
      </c>
      <c r="M348" s="271" t="s">
        <v>816</v>
      </c>
      <c r="N348" s="177">
        <v>46230</v>
      </c>
      <c r="O348" s="177">
        <v>46230</v>
      </c>
      <c r="P348" s="366">
        <v>28867</v>
      </c>
      <c r="Q348" s="176" t="s">
        <v>248</v>
      </c>
      <c r="R348" s="176" t="s">
        <v>434</v>
      </c>
      <c r="S348" s="178" t="s">
        <v>253</v>
      </c>
      <c r="T348" s="57" t="str">
        <f t="shared" si="18"/>
        <v>Đ</v>
      </c>
      <c r="U348" s="59">
        <f t="shared" si="19"/>
        <v>0</v>
      </c>
      <c r="V348" s="55">
        <f t="shared" si="20"/>
        <v>13311</v>
      </c>
    </row>
    <row r="349" spans="1:22" ht="21.65" customHeight="1">
      <c r="A349" s="176">
        <v>332</v>
      </c>
      <c r="B349" s="178" t="s">
        <v>817</v>
      </c>
      <c r="C349" s="271" t="s">
        <v>906</v>
      </c>
      <c r="D349" s="177">
        <v>45932</v>
      </c>
      <c r="E349" s="178" t="s">
        <v>813</v>
      </c>
      <c r="F349" s="271" t="s">
        <v>814</v>
      </c>
      <c r="G349" s="178" t="s">
        <v>815</v>
      </c>
      <c r="H349" s="366">
        <v>27273</v>
      </c>
      <c r="I349" s="176">
        <v>10</v>
      </c>
      <c r="J349" s="366">
        <v>2727</v>
      </c>
      <c r="K349" s="178" t="s">
        <v>261</v>
      </c>
      <c r="L349" s="178" t="s">
        <v>252</v>
      </c>
      <c r="M349" s="271" t="s">
        <v>816</v>
      </c>
      <c r="N349" s="177">
        <v>46230</v>
      </c>
      <c r="O349" s="177">
        <v>46230</v>
      </c>
      <c r="P349" s="366">
        <v>30000</v>
      </c>
      <c r="Q349" s="176" t="s">
        <v>248</v>
      </c>
      <c r="R349" s="176" t="s">
        <v>434</v>
      </c>
      <c r="S349" s="178" t="s">
        <v>253</v>
      </c>
      <c r="T349" s="57" t="str">
        <f t="shared" si="18"/>
        <v>Đ</v>
      </c>
      <c r="U349" s="59">
        <f t="shared" si="19"/>
        <v>0</v>
      </c>
      <c r="V349" s="55">
        <f t="shared" si="20"/>
        <v>13311</v>
      </c>
    </row>
    <row r="350" spans="1:22" ht="21.65" customHeight="1">
      <c r="A350" s="176">
        <v>333</v>
      </c>
      <c r="B350" s="178" t="s">
        <v>817</v>
      </c>
      <c r="C350" s="271" t="s">
        <v>907</v>
      </c>
      <c r="D350" s="177">
        <v>45932</v>
      </c>
      <c r="E350" s="178" t="s">
        <v>813</v>
      </c>
      <c r="F350" s="271" t="s">
        <v>814</v>
      </c>
      <c r="G350" s="178" t="s">
        <v>815</v>
      </c>
      <c r="H350" s="366">
        <v>20000</v>
      </c>
      <c r="I350" s="176">
        <v>10</v>
      </c>
      <c r="J350" s="366">
        <v>2000</v>
      </c>
      <c r="K350" s="178" t="s">
        <v>261</v>
      </c>
      <c r="L350" s="178" t="s">
        <v>252</v>
      </c>
      <c r="M350" s="271" t="s">
        <v>816</v>
      </c>
      <c r="N350" s="177">
        <v>46230</v>
      </c>
      <c r="O350" s="177">
        <v>46230</v>
      </c>
      <c r="P350" s="366">
        <v>22000</v>
      </c>
      <c r="Q350" s="176" t="s">
        <v>248</v>
      </c>
      <c r="R350" s="176" t="s">
        <v>434</v>
      </c>
      <c r="S350" s="178" t="s">
        <v>253</v>
      </c>
      <c r="T350" s="57" t="str">
        <f t="shared" si="18"/>
        <v>Đ</v>
      </c>
      <c r="U350" s="59">
        <f t="shared" si="19"/>
        <v>0</v>
      </c>
      <c r="V350" s="55">
        <f t="shared" si="20"/>
        <v>13311</v>
      </c>
    </row>
    <row r="351" spans="1:22" ht="21.65" customHeight="1">
      <c r="A351" s="176">
        <v>334</v>
      </c>
      <c r="B351" s="178" t="s">
        <v>817</v>
      </c>
      <c r="C351" s="271" t="s">
        <v>908</v>
      </c>
      <c r="D351" s="177">
        <v>45932</v>
      </c>
      <c r="E351" s="178" t="s">
        <v>813</v>
      </c>
      <c r="F351" s="271" t="s">
        <v>814</v>
      </c>
      <c r="G351" s="178" t="s">
        <v>815</v>
      </c>
      <c r="H351" s="366">
        <v>20000</v>
      </c>
      <c r="I351" s="176">
        <v>10</v>
      </c>
      <c r="J351" s="366">
        <v>2000</v>
      </c>
      <c r="K351" s="178" t="s">
        <v>261</v>
      </c>
      <c r="L351" s="178" t="s">
        <v>252</v>
      </c>
      <c r="M351" s="271" t="s">
        <v>816</v>
      </c>
      <c r="N351" s="177">
        <v>46230</v>
      </c>
      <c r="O351" s="177">
        <v>46230</v>
      </c>
      <c r="P351" s="366">
        <v>22000</v>
      </c>
      <c r="Q351" s="176" t="s">
        <v>248</v>
      </c>
      <c r="R351" s="176" t="s">
        <v>434</v>
      </c>
      <c r="S351" s="178" t="s">
        <v>253</v>
      </c>
      <c r="T351" s="57" t="str">
        <f t="shared" si="18"/>
        <v>Đ</v>
      </c>
      <c r="U351" s="59">
        <f t="shared" si="19"/>
        <v>0</v>
      </c>
      <c r="V351" s="55">
        <f t="shared" si="20"/>
        <v>13311</v>
      </c>
    </row>
    <row r="352" spans="1:22" ht="21.65" customHeight="1">
      <c r="A352" s="176">
        <v>335</v>
      </c>
      <c r="B352" s="178" t="s">
        <v>817</v>
      </c>
      <c r="C352" s="271" t="s">
        <v>909</v>
      </c>
      <c r="D352" s="177">
        <v>45932</v>
      </c>
      <c r="E352" s="178" t="s">
        <v>813</v>
      </c>
      <c r="F352" s="271" t="s">
        <v>814</v>
      </c>
      <c r="G352" s="178" t="s">
        <v>815</v>
      </c>
      <c r="H352" s="366">
        <v>27273</v>
      </c>
      <c r="I352" s="176">
        <v>10</v>
      </c>
      <c r="J352" s="366">
        <v>2727</v>
      </c>
      <c r="K352" s="178" t="s">
        <v>261</v>
      </c>
      <c r="L352" s="178" t="s">
        <v>252</v>
      </c>
      <c r="M352" s="271" t="s">
        <v>816</v>
      </c>
      <c r="N352" s="177">
        <v>46230</v>
      </c>
      <c r="O352" s="177">
        <v>46230</v>
      </c>
      <c r="P352" s="366">
        <v>30000</v>
      </c>
      <c r="Q352" s="176" t="s">
        <v>248</v>
      </c>
      <c r="R352" s="176" t="s">
        <v>434</v>
      </c>
      <c r="S352" s="178" t="s">
        <v>253</v>
      </c>
      <c r="T352" s="57" t="str">
        <f t="shared" si="18"/>
        <v>Đ</v>
      </c>
      <c r="U352" s="59">
        <f t="shared" si="19"/>
        <v>0</v>
      </c>
      <c r="V352" s="55">
        <f t="shared" si="20"/>
        <v>13311</v>
      </c>
    </row>
    <row r="353" spans="1:22" ht="21.65" customHeight="1">
      <c r="A353" s="176">
        <v>336</v>
      </c>
      <c r="B353" s="178" t="s">
        <v>817</v>
      </c>
      <c r="C353" s="271" t="s">
        <v>910</v>
      </c>
      <c r="D353" s="177">
        <v>45932</v>
      </c>
      <c r="E353" s="178" t="s">
        <v>813</v>
      </c>
      <c r="F353" s="271" t="s">
        <v>814</v>
      </c>
      <c r="G353" s="178" t="s">
        <v>815</v>
      </c>
      <c r="H353" s="366">
        <v>20000</v>
      </c>
      <c r="I353" s="176">
        <v>10</v>
      </c>
      <c r="J353" s="366">
        <v>2000</v>
      </c>
      <c r="K353" s="178" t="s">
        <v>261</v>
      </c>
      <c r="L353" s="178" t="s">
        <v>252</v>
      </c>
      <c r="M353" s="271" t="s">
        <v>816</v>
      </c>
      <c r="N353" s="177">
        <v>46230</v>
      </c>
      <c r="O353" s="177">
        <v>46230</v>
      </c>
      <c r="P353" s="366">
        <v>22000</v>
      </c>
      <c r="Q353" s="176" t="s">
        <v>248</v>
      </c>
      <c r="R353" s="176" t="s">
        <v>434</v>
      </c>
      <c r="S353" s="178" t="s">
        <v>253</v>
      </c>
      <c r="T353" s="57" t="str">
        <f t="shared" si="18"/>
        <v>Đ</v>
      </c>
      <c r="U353" s="59">
        <f t="shared" si="19"/>
        <v>0</v>
      </c>
      <c r="V353" s="55">
        <f t="shared" si="20"/>
        <v>13311</v>
      </c>
    </row>
    <row r="354" spans="1:22" ht="21.65" customHeight="1">
      <c r="A354" s="176">
        <v>337</v>
      </c>
      <c r="B354" s="178" t="s">
        <v>817</v>
      </c>
      <c r="C354" s="271" t="s">
        <v>911</v>
      </c>
      <c r="D354" s="177">
        <v>45932</v>
      </c>
      <c r="E354" s="178" t="s">
        <v>813</v>
      </c>
      <c r="F354" s="271" t="s">
        <v>814</v>
      </c>
      <c r="G354" s="178" t="s">
        <v>815</v>
      </c>
      <c r="H354" s="366">
        <v>27273</v>
      </c>
      <c r="I354" s="176">
        <v>10</v>
      </c>
      <c r="J354" s="366">
        <v>2727</v>
      </c>
      <c r="K354" s="178" t="s">
        <v>261</v>
      </c>
      <c r="L354" s="178" t="s">
        <v>252</v>
      </c>
      <c r="M354" s="271" t="s">
        <v>816</v>
      </c>
      <c r="N354" s="177">
        <v>46230</v>
      </c>
      <c r="O354" s="177">
        <v>46230</v>
      </c>
      <c r="P354" s="366">
        <v>30000</v>
      </c>
      <c r="Q354" s="176" t="s">
        <v>248</v>
      </c>
      <c r="R354" s="176" t="s">
        <v>434</v>
      </c>
      <c r="S354" s="178" t="s">
        <v>253</v>
      </c>
      <c r="T354" s="57" t="str">
        <f t="shared" si="18"/>
        <v>Đ</v>
      </c>
      <c r="U354" s="59">
        <f t="shared" si="19"/>
        <v>0</v>
      </c>
      <c r="V354" s="55">
        <f t="shared" si="20"/>
        <v>13311</v>
      </c>
    </row>
    <row r="355" spans="1:22" ht="21.65" customHeight="1">
      <c r="A355" s="176">
        <v>338</v>
      </c>
      <c r="B355" s="178" t="s">
        <v>817</v>
      </c>
      <c r="C355" s="271" t="s">
        <v>912</v>
      </c>
      <c r="D355" s="177">
        <v>45932</v>
      </c>
      <c r="E355" s="178" t="s">
        <v>813</v>
      </c>
      <c r="F355" s="271" t="s">
        <v>814</v>
      </c>
      <c r="G355" s="178" t="s">
        <v>815</v>
      </c>
      <c r="H355" s="366">
        <v>20000</v>
      </c>
      <c r="I355" s="176">
        <v>10</v>
      </c>
      <c r="J355" s="366">
        <v>2000</v>
      </c>
      <c r="K355" s="178" t="s">
        <v>261</v>
      </c>
      <c r="L355" s="178" t="s">
        <v>252</v>
      </c>
      <c r="M355" s="271" t="s">
        <v>816</v>
      </c>
      <c r="N355" s="177">
        <v>46230</v>
      </c>
      <c r="O355" s="177">
        <v>46230</v>
      </c>
      <c r="P355" s="366">
        <v>22000</v>
      </c>
      <c r="Q355" s="176" t="s">
        <v>248</v>
      </c>
      <c r="R355" s="176" t="s">
        <v>434</v>
      </c>
      <c r="S355" s="178" t="s">
        <v>253</v>
      </c>
      <c r="T355" s="57" t="str">
        <f t="shared" si="18"/>
        <v>Đ</v>
      </c>
      <c r="U355" s="59">
        <f t="shared" si="19"/>
        <v>0</v>
      </c>
      <c r="V355" s="55">
        <f t="shared" si="20"/>
        <v>13311</v>
      </c>
    </row>
    <row r="356" spans="1:22" ht="21.65" customHeight="1">
      <c r="A356" s="176">
        <v>339</v>
      </c>
      <c r="B356" s="178" t="s">
        <v>817</v>
      </c>
      <c r="C356" s="271" t="s">
        <v>913</v>
      </c>
      <c r="D356" s="177">
        <v>45932</v>
      </c>
      <c r="E356" s="178" t="s">
        <v>813</v>
      </c>
      <c r="F356" s="271" t="s">
        <v>814</v>
      </c>
      <c r="G356" s="178" t="s">
        <v>815</v>
      </c>
      <c r="H356" s="366">
        <v>20000</v>
      </c>
      <c r="I356" s="176">
        <v>10</v>
      </c>
      <c r="J356" s="366">
        <v>2000</v>
      </c>
      <c r="K356" s="178" t="s">
        <v>261</v>
      </c>
      <c r="L356" s="178" t="s">
        <v>252</v>
      </c>
      <c r="M356" s="271" t="s">
        <v>816</v>
      </c>
      <c r="N356" s="177">
        <v>46230</v>
      </c>
      <c r="O356" s="177">
        <v>46230</v>
      </c>
      <c r="P356" s="366">
        <v>22000</v>
      </c>
      <c r="Q356" s="176" t="s">
        <v>248</v>
      </c>
      <c r="R356" s="176" t="s">
        <v>434</v>
      </c>
      <c r="S356" s="178" t="s">
        <v>253</v>
      </c>
      <c r="T356" s="57" t="str">
        <f t="shared" si="18"/>
        <v>Đ</v>
      </c>
      <c r="U356" s="59">
        <f t="shared" si="19"/>
        <v>0</v>
      </c>
      <c r="V356" s="55">
        <f t="shared" si="20"/>
        <v>13311</v>
      </c>
    </row>
    <row r="357" spans="1:22" ht="21.65" customHeight="1">
      <c r="A357" s="176">
        <v>340</v>
      </c>
      <c r="B357" s="178" t="s">
        <v>817</v>
      </c>
      <c r="C357" s="271" t="s">
        <v>914</v>
      </c>
      <c r="D357" s="177">
        <v>45932</v>
      </c>
      <c r="E357" s="178" t="s">
        <v>813</v>
      </c>
      <c r="F357" s="271" t="s">
        <v>814</v>
      </c>
      <c r="G357" s="178" t="s">
        <v>815</v>
      </c>
      <c r="H357" s="366">
        <v>20000</v>
      </c>
      <c r="I357" s="176">
        <v>10</v>
      </c>
      <c r="J357" s="366">
        <v>2000</v>
      </c>
      <c r="K357" s="178" t="s">
        <v>261</v>
      </c>
      <c r="L357" s="178" t="s">
        <v>252</v>
      </c>
      <c r="M357" s="271" t="s">
        <v>816</v>
      </c>
      <c r="N357" s="177">
        <v>46230</v>
      </c>
      <c r="O357" s="177">
        <v>46230</v>
      </c>
      <c r="P357" s="366">
        <v>22000</v>
      </c>
      <c r="Q357" s="176" t="s">
        <v>248</v>
      </c>
      <c r="R357" s="176" t="s">
        <v>434</v>
      </c>
      <c r="S357" s="178" t="s">
        <v>253</v>
      </c>
      <c r="T357" s="57" t="str">
        <f t="shared" si="18"/>
        <v>Đ</v>
      </c>
      <c r="U357" s="59">
        <f t="shared" si="19"/>
        <v>0</v>
      </c>
      <c r="V357" s="55">
        <f t="shared" si="20"/>
        <v>13311</v>
      </c>
    </row>
    <row r="358" spans="1:22" ht="21.65" customHeight="1">
      <c r="A358" s="176">
        <v>341</v>
      </c>
      <c r="B358" s="178" t="s">
        <v>817</v>
      </c>
      <c r="C358" s="271" t="s">
        <v>915</v>
      </c>
      <c r="D358" s="177">
        <v>45932</v>
      </c>
      <c r="E358" s="178" t="s">
        <v>813</v>
      </c>
      <c r="F358" s="271" t="s">
        <v>814</v>
      </c>
      <c r="G358" s="178" t="s">
        <v>815</v>
      </c>
      <c r="H358" s="366">
        <v>27273</v>
      </c>
      <c r="I358" s="176">
        <v>10</v>
      </c>
      <c r="J358" s="366">
        <v>2727</v>
      </c>
      <c r="K358" s="178" t="s">
        <v>261</v>
      </c>
      <c r="L358" s="178" t="s">
        <v>252</v>
      </c>
      <c r="M358" s="271" t="s">
        <v>816</v>
      </c>
      <c r="N358" s="177">
        <v>46230</v>
      </c>
      <c r="O358" s="177">
        <v>46230</v>
      </c>
      <c r="P358" s="366">
        <v>30000</v>
      </c>
      <c r="Q358" s="176" t="s">
        <v>248</v>
      </c>
      <c r="R358" s="176" t="s">
        <v>434</v>
      </c>
      <c r="S358" s="178" t="s">
        <v>253</v>
      </c>
      <c r="T358" s="57" t="str">
        <f t="shared" si="18"/>
        <v>Đ</v>
      </c>
      <c r="U358" s="59">
        <f t="shared" si="19"/>
        <v>0</v>
      </c>
      <c r="V358" s="55">
        <f t="shared" si="20"/>
        <v>13311</v>
      </c>
    </row>
    <row r="359" spans="1:22" ht="21.65" customHeight="1">
      <c r="A359" s="176">
        <v>342</v>
      </c>
      <c r="B359" s="178" t="s">
        <v>817</v>
      </c>
      <c r="C359" s="271" t="s">
        <v>916</v>
      </c>
      <c r="D359" s="177">
        <v>45932</v>
      </c>
      <c r="E359" s="178" t="s">
        <v>813</v>
      </c>
      <c r="F359" s="271" t="s">
        <v>814</v>
      </c>
      <c r="G359" s="178" t="s">
        <v>815</v>
      </c>
      <c r="H359" s="366">
        <v>20000</v>
      </c>
      <c r="I359" s="176">
        <v>10</v>
      </c>
      <c r="J359" s="366">
        <v>2000</v>
      </c>
      <c r="K359" s="178" t="s">
        <v>261</v>
      </c>
      <c r="L359" s="178" t="s">
        <v>252</v>
      </c>
      <c r="M359" s="271" t="s">
        <v>816</v>
      </c>
      <c r="N359" s="177">
        <v>46230</v>
      </c>
      <c r="O359" s="177">
        <v>46230</v>
      </c>
      <c r="P359" s="366">
        <v>22000</v>
      </c>
      <c r="Q359" s="176" t="s">
        <v>248</v>
      </c>
      <c r="R359" s="176" t="s">
        <v>434</v>
      </c>
      <c r="S359" s="178" t="s">
        <v>253</v>
      </c>
      <c r="T359" s="57" t="str">
        <f t="shared" si="18"/>
        <v>Đ</v>
      </c>
      <c r="U359" s="59">
        <f t="shared" si="19"/>
        <v>0</v>
      </c>
      <c r="V359" s="55">
        <f t="shared" si="20"/>
        <v>13311</v>
      </c>
    </row>
    <row r="360" spans="1:22" ht="21.65" customHeight="1">
      <c r="A360" s="176">
        <v>343</v>
      </c>
      <c r="B360" s="178" t="s">
        <v>817</v>
      </c>
      <c r="C360" s="271" t="s">
        <v>917</v>
      </c>
      <c r="D360" s="177">
        <v>45932</v>
      </c>
      <c r="E360" s="178" t="s">
        <v>813</v>
      </c>
      <c r="F360" s="271" t="s">
        <v>814</v>
      </c>
      <c r="G360" s="178" t="s">
        <v>815</v>
      </c>
      <c r="H360" s="366">
        <v>27273</v>
      </c>
      <c r="I360" s="176">
        <v>10</v>
      </c>
      <c r="J360" s="366">
        <v>2727</v>
      </c>
      <c r="K360" s="178" t="s">
        <v>261</v>
      </c>
      <c r="L360" s="178" t="s">
        <v>252</v>
      </c>
      <c r="M360" s="271" t="s">
        <v>816</v>
      </c>
      <c r="N360" s="177">
        <v>46230</v>
      </c>
      <c r="O360" s="177">
        <v>46230</v>
      </c>
      <c r="P360" s="366">
        <v>30000</v>
      </c>
      <c r="Q360" s="176" t="s">
        <v>248</v>
      </c>
      <c r="R360" s="176" t="s">
        <v>434</v>
      </c>
      <c r="S360" s="178" t="s">
        <v>253</v>
      </c>
      <c r="T360" s="57" t="str">
        <f t="shared" si="18"/>
        <v>Đ</v>
      </c>
      <c r="U360" s="59">
        <f t="shared" si="19"/>
        <v>0</v>
      </c>
      <c r="V360" s="55">
        <f t="shared" si="20"/>
        <v>13311</v>
      </c>
    </row>
    <row r="361" spans="1:22" ht="21.65" customHeight="1">
      <c r="A361" s="176">
        <v>344</v>
      </c>
      <c r="B361" s="178" t="s">
        <v>817</v>
      </c>
      <c r="C361" s="271" t="s">
        <v>918</v>
      </c>
      <c r="D361" s="177">
        <v>45932</v>
      </c>
      <c r="E361" s="178" t="s">
        <v>813</v>
      </c>
      <c r="F361" s="271" t="s">
        <v>814</v>
      </c>
      <c r="G361" s="178" t="s">
        <v>815</v>
      </c>
      <c r="H361" s="366">
        <v>181818</v>
      </c>
      <c r="I361" s="176">
        <v>10</v>
      </c>
      <c r="J361" s="366">
        <v>18182</v>
      </c>
      <c r="K361" s="178" t="s">
        <v>261</v>
      </c>
      <c r="L361" s="178" t="s">
        <v>252</v>
      </c>
      <c r="M361" s="271" t="s">
        <v>816</v>
      </c>
      <c r="N361" s="177">
        <v>46230</v>
      </c>
      <c r="O361" s="177">
        <v>46230</v>
      </c>
      <c r="P361" s="366">
        <v>200000</v>
      </c>
      <c r="Q361" s="176" t="s">
        <v>248</v>
      </c>
      <c r="R361" s="176" t="s">
        <v>434</v>
      </c>
      <c r="S361" s="178" t="s">
        <v>253</v>
      </c>
      <c r="T361" s="57" t="str">
        <f t="shared" si="18"/>
        <v>Đ</v>
      </c>
      <c r="U361" s="59">
        <f t="shared" si="19"/>
        <v>0</v>
      </c>
      <c r="V361" s="55">
        <f t="shared" si="20"/>
        <v>13311</v>
      </c>
    </row>
    <row r="362" spans="1:22" ht="21.65" customHeight="1">
      <c r="A362" s="176">
        <v>345</v>
      </c>
      <c r="B362" s="178" t="s">
        <v>817</v>
      </c>
      <c r="C362" s="271" t="s">
        <v>919</v>
      </c>
      <c r="D362" s="177">
        <v>45932</v>
      </c>
      <c r="E362" s="178" t="s">
        <v>813</v>
      </c>
      <c r="F362" s="271" t="s">
        <v>814</v>
      </c>
      <c r="G362" s="178" t="s">
        <v>815</v>
      </c>
      <c r="H362" s="366">
        <v>176673</v>
      </c>
      <c r="I362" s="176">
        <v>10</v>
      </c>
      <c r="J362" s="366">
        <v>17667</v>
      </c>
      <c r="K362" s="178" t="s">
        <v>261</v>
      </c>
      <c r="L362" s="178" t="s">
        <v>252</v>
      </c>
      <c r="M362" s="271" t="s">
        <v>816</v>
      </c>
      <c r="N362" s="177">
        <v>46230</v>
      </c>
      <c r="O362" s="177">
        <v>46230</v>
      </c>
      <c r="P362" s="366">
        <v>194340</v>
      </c>
      <c r="Q362" s="176" t="s">
        <v>248</v>
      </c>
      <c r="R362" s="176" t="s">
        <v>434</v>
      </c>
      <c r="S362" s="178" t="s">
        <v>253</v>
      </c>
      <c r="T362" s="57" t="str">
        <f t="shared" si="18"/>
        <v>Đ</v>
      </c>
      <c r="U362" s="59">
        <f t="shared" si="19"/>
        <v>0</v>
      </c>
      <c r="V362" s="55">
        <f t="shared" si="20"/>
        <v>13311</v>
      </c>
    </row>
    <row r="363" spans="1:22" ht="21.65" customHeight="1">
      <c r="A363" s="176">
        <v>346</v>
      </c>
      <c r="B363" s="178" t="s">
        <v>817</v>
      </c>
      <c r="C363" s="271" t="s">
        <v>920</v>
      </c>
      <c r="D363" s="177">
        <v>45932</v>
      </c>
      <c r="E363" s="178" t="s">
        <v>813</v>
      </c>
      <c r="F363" s="271" t="s">
        <v>814</v>
      </c>
      <c r="G363" s="178" t="s">
        <v>815</v>
      </c>
      <c r="H363" s="366">
        <v>37318</v>
      </c>
      <c r="I363" s="176">
        <v>10</v>
      </c>
      <c r="J363" s="366">
        <v>3732</v>
      </c>
      <c r="K363" s="178" t="s">
        <v>261</v>
      </c>
      <c r="L363" s="178" t="s">
        <v>252</v>
      </c>
      <c r="M363" s="271" t="s">
        <v>816</v>
      </c>
      <c r="N363" s="177">
        <v>46230</v>
      </c>
      <c r="O363" s="177">
        <v>46230</v>
      </c>
      <c r="P363" s="366">
        <v>41050</v>
      </c>
      <c r="Q363" s="176" t="s">
        <v>248</v>
      </c>
      <c r="R363" s="176" t="s">
        <v>434</v>
      </c>
      <c r="S363" s="178" t="s">
        <v>253</v>
      </c>
      <c r="T363" s="57" t="str">
        <f t="shared" si="18"/>
        <v>Đ</v>
      </c>
      <c r="U363" s="59">
        <f t="shared" si="19"/>
        <v>0</v>
      </c>
      <c r="V363" s="55">
        <f t="shared" si="20"/>
        <v>13311</v>
      </c>
    </row>
    <row r="364" spans="1:22" ht="21.65" customHeight="1">
      <c r="A364" s="176">
        <v>347</v>
      </c>
      <c r="B364" s="178" t="s">
        <v>817</v>
      </c>
      <c r="C364" s="271" t="s">
        <v>921</v>
      </c>
      <c r="D364" s="177">
        <v>45932</v>
      </c>
      <c r="E364" s="178" t="s">
        <v>813</v>
      </c>
      <c r="F364" s="271" t="s">
        <v>814</v>
      </c>
      <c r="G364" s="178" t="s">
        <v>815</v>
      </c>
      <c r="H364" s="366">
        <v>290454</v>
      </c>
      <c r="I364" s="176">
        <v>10</v>
      </c>
      <c r="J364" s="366">
        <v>29045</v>
      </c>
      <c r="K364" s="178" t="s">
        <v>261</v>
      </c>
      <c r="L364" s="178" t="s">
        <v>252</v>
      </c>
      <c r="M364" s="271" t="s">
        <v>816</v>
      </c>
      <c r="N364" s="177">
        <v>46230</v>
      </c>
      <c r="O364" s="177">
        <v>46230</v>
      </c>
      <c r="P364" s="366">
        <v>319499</v>
      </c>
      <c r="Q364" s="176" t="s">
        <v>248</v>
      </c>
      <c r="R364" s="176" t="s">
        <v>434</v>
      </c>
      <c r="S364" s="178" t="s">
        <v>253</v>
      </c>
      <c r="T364" s="57" t="str">
        <f t="shared" si="18"/>
        <v>Đ</v>
      </c>
      <c r="U364" s="59">
        <f t="shared" si="19"/>
        <v>0</v>
      </c>
      <c r="V364" s="55">
        <f t="shared" si="20"/>
        <v>13311</v>
      </c>
    </row>
    <row r="365" spans="1:22" ht="21.65" customHeight="1">
      <c r="A365" s="176">
        <v>348</v>
      </c>
      <c r="B365" s="178" t="s">
        <v>811</v>
      </c>
      <c r="C365" s="271" t="s">
        <v>922</v>
      </c>
      <c r="D365" s="177">
        <v>45963</v>
      </c>
      <c r="E365" s="178" t="s">
        <v>813</v>
      </c>
      <c r="F365" s="271" t="s">
        <v>814</v>
      </c>
      <c r="G365" s="178" t="s">
        <v>815</v>
      </c>
      <c r="H365" s="366">
        <v>20000</v>
      </c>
      <c r="I365" s="176">
        <v>10</v>
      </c>
      <c r="J365" s="366">
        <v>2000</v>
      </c>
      <c r="K365" s="178" t="s">
        <v>261</v>
      </c>
      <c r="L365" s="178" t="s">
        <v>252</v>
      </c>
      <c r="M365" s="271" t="s">
        <v>816</v>
      </c>
      <c r="N365" s="177">
        <v>46230</v>
      </c>
      <c r="O365" s="177">
        <v>46230</v>
      </c>
      <c r="P365" s="366">
        <v>22000</v>
      </c>
      <c r="Q365" s="176" t="s">
        <v>248</v>
      </c>
      <c r="R365" s="176" t="s">
        <v>434</v>
      </c>
      <c r="S365" s="178" t="s">
        <v>253</v>
      </c>
      <c r="T365" s="57" t="str">
        <f t="shared" si="18"/>
        <v>Đ</v>
      </c>
      <c r="U365" s="59">
        <f t="shared" si="19"/>
        <v>0</v>
      </c>
      <c r="V365" s="55">
        <f t="shared" si="20"/>
        <v>13311</v>
      </c>
    </row>
    <row r="366" spans="1:22" ht="21.65" customHeight="1">
      <c r="A366" s="176">
        <v>349</v>
      </c>
      <c r="B366" s="178" t="s">
        <v>811</v>
      </c>
      <c r="C366" s="271" t="s">
        <v>923</v>
      </c>
      <c r="D366" s="177">
        <v>45963</v>
      </c>
      <c r="E366" s="178" t="s">
        <v>813</v>
      </c>
      <c r="F366" s="271" t="s">
        <v>814</v>
      </c>
      <c r="G366" s="178" t="s">
        <v>815</v>
      </c>
      <c r="H366" s="366">
        <v>27273</v>
      </c>
      <c r="I366" s="176">
        <v>10</v>
      </c>
      <c r="J366" s="366">
        <v>2727</v>
      </c>
      <c r="K366" s="178" t="s">
        <v>261</v>
      </c>
      <c r="L366" s="178" t="s">
        <v>252</v>
      </c>
      <c r="M366" s="271" t="s">
        <v>816</v>
      </c>
      <c r="N366" s="177">
        <v>46230</v>
      </c>
      <c r="O366" s="177">
        <v>46230</v>
      </c>
      <c r="P366" s="366">
        <v>30000</v>
      </c>
      <c r="Q366" s="176" t="s">
        <v>248</v>
      </c>
      <c r="R366" s="176" t="s">
        <v>434</v>
      </c>
      <c r="S366" s="178" t="s">
        <v>253</v>
      </c>
      <c r="T366" s="57" t="str">
        <f t="shared" si="18"/>
        <v>Đ</v>
      </c>
      <c r="U366" s="59">
        <f t="shared" si="19"/>
        <v>0</v>
      </c>
      <c r="V366" s="55">
        <f t="shared" si="20"/>
        <v>13311</v>
      </c>
    </row>
    <row r="367" spans="1:22" ht="21.65" customHeight="1">
      <c r="A367" s="176">
        <v>350</v>
      </c>
      <c r="B367" s="178" t="s">
        <v>811</v>
      </c>
      <c r="C367" s="271" t="s">
        <v>924</v>
      </c>
      <c r="D367" s="177">
        <v>45963</v>
      </c>
      <c r="E367" s="178" t="s">
        <v>813</v>
      </c>
      <c r="F367" s="271" t="s">
        <v>814</v>
      </c>
      <c r="G367" s="178" t="s">
        <v>815</v>
      </c>
      <c r="H367" s="366">
        <v>337506</v>
      </c>
      <c r="I367" s="176">
        <v>10</v>
      </c>
      <c r="J367" s="366">
        <v>33751</v>
      </c>
      <c r="K367" s="178" t="s">
        <v>261</v>
      </c>
      <c r="L367" s="178" t="s">
        <v>252</v>
      </c>
      <c r="M367" s="271" t="s">
        <v>816</v>
      </c>
      <c r="N367" s="177">
        <v>46230</v>
      </c>
      <c r="O367" s="177">
        <v>46230</v>
      </c>
      <c r="P367" s="366">
        <v>371257</v>
      </c>
      <c r="Q367" s="176" t="s">
        <v>248</v>
      </c>
      <c r="R367" s="176" t="s">
        <v>434</v>
      </c>
      <c r="S367" s="178" t="s">
        <v>253</v>
      </c>
      <c r="T367" s="57" t="str">
        <f t="shared" si="18"/>
        <v>Đ</v>
      </c>
      <c r="U367" s="59">
        <f t="shared" si="19"/>
        <v>0</v>
      </c>
      <c r="V367" s="55">
        <f t="shared" si="20"/>
        <v>13311</v>
      </c>
    </row>
    <row r="368" spans="1:22" ht="21.65" customHeight="1">
      <c r="A368" s="176">
        <v>351</v>
      </c>
      <c r="B368" s="178" t="s">
        <v>811</v>
      </c>
      <c r="C368" s="271" t="s">
        <v>925</v>
      </c>
      <c r="D368" s="177">
        <v>45963</v>
      </c>
      <c r="E368" s="178" t="s">
        <v>813</v>
      </c>
      <c r="F368" s="271" t="s">
        <v>814</v>
      </c>
      <c r="G368" s="178" t="s">
        <v>815</v>
      </c>
      <c r="H368" s="366">
        <v>27912</v>
      </c>
      <c r="I368" s="176">
        <v>10</v>
      </c>
      <c r="J368" s="366">
        <v>2791</v>
      </c>
      <c r="K368" s="178" t="s">
        <v>261</v>
      </c>
      <c r="L368" s="178" t="s">
        <v>252</v>
      </c>
      <c r="M368" s="271" t="s">
        <v>816</v>
      </c>
      <c r="N368" s="177">
        <v>46230</v>
      </c>
      <c r="O368" s="177">
        <v>46230</v>
      </c>
      <c r="P368" s="366">
        <v>30703</v>
      </c>
      <c r="Q368" s="176" t="s">
        <v>248</v>
      </c>
      <c r="R368" s="176" t="s">
        <v>434</v>
      </c>
      <c r="S368" s="178" t="s">
        <v>253</v>
      </c>
      <c r="T368" s="57" t="str">
        <f t="shared" si="18"/>
        <v>Đ</v>
      </c>
      <c r="U368" s="59">
        <f t="shared" si="19"/>
        <v>0</v>
      </c>
      <c r="V368" s="55">
        <f t="shared" si="20"/>
        <v>13311</v>
      </c>
    </row>
    <row r="369" spans="1:22" ht="21.65" customHeight="1">
      <c r="A369" s="176">
        <v>352</v>
      </c>
      <c r="B369" s="178" t="s">
        <v>811</v>
      </c>
      <c r="C369" s="271" t="s">
        <v>926</v>
      </c>
      <c r="D369" s="177">
        <v>45963</v>
      </c>
      <c r="E369" s="178" t="s">
        <v>813</v>
      </c>
      <c r="F369" s="271" t="s">
        <v>814</v>
      </c>
      <c r="G369" s="178" t="s">
        <v>815</v>
      </c>
      <c r="H369" s="366">
        <v>21064</v>
      </c>
      <c r="I369" s="176">
        <v>10</v>
      </c>
      <c r="J369" s="366">
        <v>2106</v>
      </c>
      <c r="K369" s="178" t="s">
        <v>261</v>
      </c>
      <c r="L369" s="178" t="s">
        <v>252</v>
      </c>
      <c r="M369" s="271" t="s">
        <v>816</v>
      </c>
      <c r="N369" s="177">
        <v>46230</v>
      </c>
      <c r="O369" s="177">
        <v>46230</v>
      </c>
      <c r="P369" s="366">
        <v>23170</v>
      </c>
      <c r="Q369" s="176" t="s">
        <v>248</v>
      </c>
      <c r="R369" s="176" t="s">
        <v>434</v>
      </c>
      <c r="S369" s="178" t="s">
        <v>253</v>
      </c>
      <c r="T369" s="57" t="str">
        <f t="shared" si="18"/>
        <v>Đ</v>
      </c>
      <c r="U369" s="59">
        <f t="shared" si="19"/>
        <v>0</v>
      </c>
      <c r="V369" s="55">
        <f t="shared" si="20"/>
        <v>13311</v>
      </c>
    </row>
    <row r="370" spans="1:22" ht="21.65" customHeight="1">
      <c r="A370" s="176">
        <v>353</v>
      </c>
      <c r="B370" s="178" t="s">
        <v>811</v>
      </c>
      <c r="C370" s="271" t="s">
        <v>927</v>
      </c>
      <c r="D370" s="177">
        <v>45963</v>
      </c>
      <c r="E370" s="178" t="s">
        <v>813</v>
      </c>
      <c r="F370" s="271" t="s">
        <v>814</v>
      </c>
      <c r="G370" s="178" t="s">
        <v>815</v>
      </c>
      <c r="H370" s="366">
        <v>131964</v>
      </c>
      <c r="I370" s="176">
        <v>10</v>
      </c>
      <c r="J370" s="366">
        <v>13196</v>
      </c>
      <c r="K370" s="178" t="s">
        <v>261</v>
      </c>
      <c r="L370" s="178" t="s">
        <v>252</v>
      </c>
      <c r="M370" s="271" t="s">
        <v>816</v>
      </c>
      <c r="N370" s="177">
        <v>46230</v>
      </c>
      <c r="O370" s="177">
        <v>46230</v>
      </c>
      <c r="P370" s="366">
        <v>145160</v>
      </c>
      <c r="Q370" s="176" t="s">
        <v>248</v>
      </c>
      <c r="R370" s="176" t="s">
        <v>434</v>
      </c>
      <c r="S370" s="178" t="s">
        <v>253</v>
      </c>
      <c r="T370" s="57" t="str">
        <f t="shared" si="18"/>
        <v>Đ</v>
      </c>
      <c r="U370" s="59">
        <f t="shared" si="19"/>
        <v>0</v>
      </c>
      <c r="V370" s="55">
        <f t="shared" si="20"/>
        <v>13311</v>
      </c>
    </row>
    <row r="371" spans="1:22" ht="21.65" customHeight="1">
      <c r="A371" s="176">
        <v>354</v>
      </c>
      <c r="B371" s="178" t="s">
        <v>811</v>
      </c>
      <c r="C371" s="271" t="s">
        <v>928</v>
      </c>
      <c r="D371" s="177">
        <v>45963</v>
      </c>
      <c r="E371" s="178" t="s">
        <v>813</v>
      </c>
      <c r="F371" s="271" t="s">
        <v>814</v>
      </c>
      <c r="G371" s="178" t="s">
        <v>815</v>
      </c>
      <c r="H371" s="366">
        <v>27273</v>
      </c>
      <c r="I371" s="176">
        <v>10</v>
      </c>
      <c r="J371" s="366">
        <v>2727</v>
      </c>
      <c r="K371" s="178" t="s">
        <v>261</v>
      </c>
      <c r="L371" s="178" t="s">
        <v>252</v>
      </c>
      <c r="M371" s="271" t="s">
        <v>816</v>
      </c>
      <c r="N371" s="177">
        <v>46230</v>
      </c>
      <c r="O371" s="177">
        <v>46230</v>
      </c>
      <c r="P371" s="366">
        <v>30000</v>
      </c>
      <c r="Q371" s="176" t="s">
        <v>248</v>
      </c>
      <c r="R371" s="176" t="s">
        <v>434</v>
      </c>
      <c r="S371" s="178" t="s">
        <v>253</v>
      </c>
      <c r="T371" s="57" t="str">
        <f t="shared" si="18"/>
        <v>Đ</v>
      </c>
      <c r="U371" s="59">
        <f t="shared" si="19"/>
        <v>0</v>
      </c>
      <c r="V371" s="55">
        <f t="shared" si="20"/>
        <v>13311</v>
      </c>
    </row>
    <row r="372" spans="1:22" ht="21.65" customHeight="1">
      <c r="A372" s="176">
        <v>355</v>
      </c>
      <c r="B372" s="178" t="s">
        <v>811</v>
      </c>
      <c r="C372" s="271" t="s">
        <v>929</v>
      </c>
      <c r="D372" s="177">
        <v>45963</v>
      </c>
      <c r="E372" s="178" t="s">
        <v>813</v>
      </c>
      <c r="F372" s="271" t="s">
        <v>814</v>
      </c>
      <c r="G372" s="178" t="s">
        <v>815</v>
      </c>
      <c r="H372" s="366">
        <v>27273</v>
      </c>
      <c r="I372" s="176">
        <v>10</v>
      </c>
      <c r="J372" s="366">
        <v>2727</v>
      </c>
      <c r="K372" s="178" t="s">
        <v>261</v>
      </c>
      <c r="L372" s="178" t="s">
        <v>252</v>
      </c>
      <c r="M372" s="271" t="s">
        <v>816</v>
      </c>
      <c r="N372" s="177">
        <v>46230</v>
      </c>
      <c r="O372" s="177">
        <v>46230</v>
      </c>
      <c r="P372" s="366">
        <v>30000</v>
      </c>
      <c r="Q372" s="176" t="s">
        <v>248</v>
      </c>
      <c r="R372" s="176" t="s">
        <v>434</v>
      </c>
      <c r="S372" s="178" t="s">
        <v>253</v>
      </c>
      <c r="T372" s="57" t="str">
        <f t="shared" si="18"/>
        <v>Đ</v>
      </c>
      <c r="U372" s="59">
        <f t="shared" si="19"/>
        <v>0</v>
      </c>
      <c r="V372" s="55">
        <f t="shared" si="20"/>
        <v>13311</v>
      </c>
    </row>
    <row r="373" spans="1:22" ht="21.65" customHeight="1">
      <c r="A373" s="176">
        <v>356</v>
      </c>
      <c r="B373" s="178" t="s">
        <v>811</v>
      </c>
      <c r="C373" s="271" t="s">
        <v>930</v>
      </c>
      <c r="D373" s="177">
        <v>45963</v>
      </c>
      <c r="E373" s="178" t="s">
        <v>813</v>
      </c>
      <c r="F373" s="271" t="s">
        <v>814</v>
      </c>
      <c r="G373" s="178" t="s">
        <v>815</v>
      </c>
      <c r="H373" s="366">
        <v>20000</v>
      </c>
      <c r="I373" s="176">
        <v>10</v>
      </c>
      <c r="J373" s="366">
        <v>2000</v>
      </c>
      <c r="K373" s="178" t="s">
        <v>261</v>
      </c>
      <c r="L373" s="178" t="s">
        <v>252</v>
      </c>
      <c r="M373" s="271" t="s">
        <v>816</v>
      </c>
      <c r="N373" s="177">
        <v>46230</v>
      </c>
      <c r="O373" s="177">
        <v>46230</v>
      </c>
      <c r="P373" s="366">
        <v>22000</v>
      </c>
      <c r="Q373" s="176" t="s">
        <v>248</v>
      </c>
      <c r="R373" s="176" t="s">
        <v>434</v>
      </c>
      <c r="S373" s="178" t="s">
        <v>253</v>
      </c>
      <c r="T373" s="57" t="str">
        <f t="shared" si="18"/>
        <v>Đ</v>
      </c>
      <c r="U373" s="59">
        <f t="shared" si="19"/>
        <v>0</v>
      </c>
      <c r="V373" s="55">
        <f t="shared" si="20"/>
        <v>13311</v>
      </c>
    </row>
    <row r="374" spans="1:22" ht="21.65" customHeight="1">
      <c r="A374" s="176">
        <v>357</v>
      </c>
      <c r="B374" s="178" t="s">
        <v>811</v>
      </c>
      <c r="C374" s="271" t="s">
        <v>931</v>
      </c>
      <c r="D374" s="177">
        <v>45963</v>
      </c>
      <c r="E374" s="178" t="s">
        <v>813</v>
      </c>
      <c r="F374" s="271" t="s">
        <v>814</v>
      </c>
      <c r="G374" s="178" t="s">
        <v>815</v>
      </c>
      <c r="H374" s="366">
        <v>27273</v>
      </c>
      <c r="I374" s="176">
        <v>10</v>
      </c>
      <c r="J374" s="366">
        <v>2727</v>
      </c>
      <c r="K374" s="178" t="s">
        <v>261</v>
      </c>
      <c r="L374" s="178" t="s">
        <v>252</v>
      </c>
      <c r="M374" s="271" t="s">
        <v>816</v>
      </c>
      <c r="N374" s="177">
        <v>46230</v>
      </c>
      <c r="O374" s="177">
        <v>46230</v>
      </c>
      <c r="P374" s="366">
        <v>30000</v>
      </c>
      <c r="Q374" s="176" t="s">
        <v>248</v>
      </c>
      <c r="R374" s="176" t="s">
        <v>434</v>
      </c>
      <c r="S374" s="178" t="s">
        <v>253</v>
      </c>
      <c r="T374" s="57" t="str">
        <f t="shared" si="18"/>
        <v>Đ</v>
      </c>
      <c r="U374" s="59">
        <f t="shared" si="19"/>
        <v>0</v>
      </c>
      <c r="V374" s="55">
        <f t="shared" si="20"/>
        <v>13311</v>
      </c>
    </row>
    <row r="375" spans="1:22" ht="21.65" customHeight="1">
      <c r="A375" s="176">
        <v>358</v>
      </c>
      <c r="B375" s="178" t="s">
        <v>811</v>
      </c>
      <c r="C375" s="271" t="s">
        <v>932</v>
      </c>
      <c r="D375" s="177">
        <v>45963</v>
      </c>
      <c r="E375" s="178" t="s">
        <v>813</v>
      </c>
      <c r="F375" s="271" t="s">
        <v>814</v>
      </c>
      <c r="G375" s="178" t="s">
        <v>815</v>
      </c>
      <c r="H375" s="366">
        <v>109091</v>
      </c>
      <c r="I375" s="176">
        <v>10</v>
      </c>
      <c r="J375" s="366">
        <v>10909</v>
      </c>
      <c r="K375" s="178" t="s">
        <v>261</v>
      </c>
      <c r="L375" s="178" t="s">
        <v>252</v>
      </c>
      <c r="M375" s="271" t="s">
        <v>816</v>
      </c>
      <c r="N375" s="177">
        <v>46230</v>
      </c>
      <c r="O375" s="177">
        <v>46230</v>
      </c>
      <c r="P375" s="366">
        <v>120000</v>
      </c>
      <c r="Q375" s="176" t="s">
        <v>248</v>
      </c>
      <c r="R375" s="176" t="s">
        <v>434</v>
      </c>
      <c r="S375" s="178" t="s">
        <v>253</v>
      </c>
      <c r="T375" s="57" t="str">
        <f t="shared" si="18"/>
        <v>Đ</v>
      </c>
      <c r="U375" s="59">
        <f t="shared" si="19"/>
        <v>0</v>
      </c>
      <c r="V375" s="55">
        <f t="shared" si="20"/>
        <v>13311</v>
      </c>
    </row>
    <row r="376" spans="1:22" ht="21.65" customHeight="1">
      <c r="A376" s="176">
        <v>359</v>
      </c>
      <c r="B376" s="178" t="s">
        <v>811</v>
      </c>
      <c r="C376" s="271" t="s">
        <v>933</v>
      </c>
      <c r="D376" s="177">
        <v>45963</v>
      </c>
      <c r="E376" s="178" t="s">
        <v>813</v>
      </c>
      <c r="F376" s="271" t="s">
        <v>814</v>
      </c>
      <c r="G376" s="178" t="s">
        <v>815</v>
      </c>
      <c r="H376" s="366">
        <v>478636</v>
      </c>
      <c r="I376" s="176">
        <v>10</v>
      </c>
      <c r="J376" s="366">
        <v>47864</v>
      </c>
      <c r="K376" s="178" t="s">
        <v>261</v>
      </c>
      <c r="L376" s="178" t="s">
        <v>252</v>
      </c>
      <c r="M376" s="271" t="s">
        <v>816</v>
      </c>
      <c r="N376" s="177">
        <v>46230</v>
      </c>
      <c r="O376" s="177">
        <v>46230</v>
      </c>
      <c r="P376" s="366">
        <v>526500</v>
      </c>
      <c r="Q376" s="176" t="s">
        <v>248</v>
      </c>
      <c r="R376" s="176" t="s">
        <v>434</v>
      </c>
      <c r="S376" s="178" t="s">
        <v>253</v>
      </c>
      <c r="T376" s="57" t="str">
        <f t="shared" si="18"/>
        <v>Đ</v>
      </c>
      <c r="U376" s="59">
        <f t="shared" si="19"/>
        <v>0</v>
      </c>
      <c r="V376" s="55">
        <f t="shared" si="20"/>
        <v>13311</v>
      </c>
    </row>
    <row r="377" spans="1:22" ht="21.65" customHeight="1">
      <c r="A377" s="176">
        <v>360</v>
      </c>
      <c r="B377" s="178" t="s">
        <v>811</v>
      </c>
      <c r="C377" s="271" t="s">
        <v>934</v>
      </c>
      <c r="D377" s="177">
        <v>45963</v>
      </c>
      <c r="E377" s="178" t="s">
        <v>813</v>
      </c>
      <c r="F377" s="271" t="s">
        <v>814</v>
      </c>
      <c r="G377" s="178" t="s">
        <v>815</v>
      </c>
      <c r="H377" s="366">
        <v>20000</v>
      </c>
      <c r="I377" s="176">
        <v>10</v>
      </c>
      <c r="J377" s="366">
        <v>2000</v>
      </c>
      <c r="K377" s="178" t="s">
        <v>261</v>
      </c>
      <c r="L377" s="178" t="s">
        <v>252</v>
      </c>
      <c r="M377" s="271" t="s">
        <v>816</v>
      </c>
      <c r="N377" s="177">
        <v>46230</v>
      </c>
      <c r="O377" s="177">
        <v>46230</v>
      </c>
      <c r="P377" s="366">
        <v>22000</v>
      </c>
      <c r="Q377" s="176" t="s">
        <v>248</v>
      </c>
      <c r="R377" s="176" t="s">
        <v>434</v>
      </c>
      <c r="S377" s="178" t="s">
        <v>253</v>
      </c>
      <c r="T377" s="57" t="str">
        <f t="shared" si="18"/>
        <v>Đ</v>
      </c>
      <c r="U377" s="59">
        <f t="shared" si="19"/>
        <v>0</v>
      </c>
      <c r="V377" s="55">
        <f t="shared" si="20"/>
        <v>13311</v>
      </c>
    </row>
    <row r="378" spans="1:22" ht="21.65" customHeight="1">
      <c r="A378" s="176">
        <v>361</v>
      </c>
      <c r="B378" s="178" t="s">
        <v>811</v>
      </c>
      <c r="C378" s="271" t="s">
        <v>935</v>
      </c>
      <c r="D378" s="177">
        <v>45963</v>
      </c>
      <c r="E378" s="178" t="s">
        <v>813</v>
      </c>
      <c r="F378" s="271" t="s">
        <v>814</v>
      </c>
      <c r="G378" s="178" t="s">
        <v>815</v>
      </c>
      <c r="H378" s="366">
        <v>27273</v>
      </c>
      <c r="I378" s="176">
        <v>10</v>
      </c>
      <c r="J378" s="366">
        <v>2727</v>
      </c>
      <c r="K378" s="178" t="s">
        <v>261</v>
      </c>
      <c r="L378" s="178" t="s">
        <v>252</v>
      </c>
      <c r="M378" s="271" t="s">
        <v>816</v>
      </c>
      <c r="N378" s="177">
        <v>46230</v>
      </c>
      <c r="O378" s="177">
        <v>46230</v>
      </c>
      <c r="P378" s="366">
        <v>30000</v>
      </c>
      <c r="Q378" s="176" t="s">
        <v>248</v>
      </c>
      <c r="R378" s="176" t="s">
        <v>434</v>
      </c>
      <c r="S378" s="178" t="s">
        <v>253</v>
      </c>
      <c r="T378" s="57" t="str">
        <f t="shared" si="18"/>
        <v>Đ</v>
      </c>
      <c r="U378" s="59">
        <f t="shared" si="19"/>
        <v>0</v>
      </c>
      <c r="V378" s="55">
        <f t="shared" si="20"/>
        <v>13311</v>
      </c>
    </row>
    <row r="379" spans="1:22" ht="21.65" customHeight="1">
      <c r="A379" s="176">
        <v>362</v>
      </c>
      <c r="B379" s="178" t="s">
        <v>811</v>
      </c>
      <c r="C379" s="271" t="s">
        <v>936</v>
      </c>
      <c r="D379" s="177">
        <v>45963</v>
      </c>
      <c r="E379" s="178" t="s">
        <v>813</v>
      </c>
      <c r="F379" s="271" t="s">
        <v>814</v>
      </c>
      <c r="G379" s="178" t="s">
        <v>815</v>
      </c>
      <c r="H379" s="366">
        <v>20000</v>
      </c>
      <c r="I379" s="176">
        <v>10</v>
      </c>
      <c r="J379" s="366">
        <v>2000</v>
      </c>
      <c r="K379" s="178" t="s">
        <v>261</v>
      </c>
      <c r="L379" s="178" t="s">
        <v>252</v>
      </c>
      <c r="M379" s="271" t="s">
        <v>816</v>
      </c>
      <c r="N379" s="177">
        <v>46230</v>
      </c>
      <c r="O379" s="177">
        <v>46230</v>
      </c>
      <c r="P379" s="366">
        <v>22000</v>
      </c>
      <c r="Q379" s="176" t="s">
        <v>248</v>
      </c>
      <c r="R379" s="176" t="s">
        <v>434</v>
      </c>
      <c r="S379" s="178" t="s">
        <v>253</v>
      </c>
      <c r="T379" s="57" t="str">
        <f t="shared" si="18"/>
        <v>Đ</v>
      </c>
      <c r="U379" s="59">
        <f t="shared" si="19"/>
        <v>0</v>
      </c>
      <c r="V379" s="55">
        <f t="shared" si="20"/>
        <v>13311</v>
      </c>
    </row>
    <row r="380" spans="1:22" ht="21.65" customHeight="1">
      <c r="A380" s="176">
        <v>363</v>
      </c>
      <c r="B380" s="178" t="s">
        <v>811</v>
      </c>
      <c r="C380" s="271" t="s">
        <v>937</v>
      </c>
      <c r="D380" s="177">
        <v>45963</v>
      </c>
      <c r="E380" s="178" t="s">
        <v>813</v>
      </c>
      <c r="F380" s="271" t="s">
        <v>814</v>
      </c>
      <c r="G380" s="178" t="s">
        <v>815</v>
      </c>
      <c r="H380" s="366">
        <v>20000</v>
      </c>
      <c r="I380" s="176">
        <v>10</v>
      </c>
      <c r="J380" s="366">
        <v>2000</v>
      </c>
      <c r="K380" s="178" t="s">
        <v>261</v>
      </c>
      <c r="L380" s="178" t="s">
        <v>252</v>
      </c>
      <c r="M380" s="271" t="s">
        <v>816</v>
      </c>
      <c r="N380" s="177">
        <v>46230</v>
      </c>
      <c r="O380" s="177">
        <v>46230</v>
      </c>
      <c r="P380" s="366">
        <v>22000</v>
      </c>
      <c r="Q380" s="176" t="s">
        <v>248</v>
      </c>
      <c r="R380" s="176" t="s">
        <v>434</v>
      </c>
      <c r="S380" s="178" t="s">
        <v>253</v>
      </c>
      <c r="T380" s="57" t="str">
        <f t="shared" si="18"/>
        <v>Đ</v>
      </c>
      <c r="U380" s="59">
        <f t="shared" si="19"/>
        <v>0</v>
      </c>
      <c r="V380" s="55">
        <f t="shared" si="20"/>
        <v>13311</v>
      </c>
    </row>
    <row r="381" spans="1:22" ht="21.65" customHeight="1">
      <c r="A381" s="176">
        <v>364</v>
      </c>
      <c r="B381" s="178" t="s">
        <v>811</v>
      </c>
      <c r="C381" s="271" t="s">
        <v>938</v>
      </c>
      <c r="D381" s="177">
        <v>45963</v>
      </c>
      <c r="E381" s="178" t="s">
        <v>813</v>
      </c>
      <c r="F381" s="271" t="s">
        <v>814</v>
      </c>
      <c r="G381" s="178" t="s">
        <v>815</v>
      </c>
      <c r="H381" s="366">
        <v>20000</v>
      </c>
      <c r="I381" s="176">
        <v>10</v>
      </c>
      <c r="J381" s="366">
        <v>2000</v>
      </c>
      <c r="K381" s="178" t="s">
        <v>261</v>
      </c>
      <c r="L381" s="178" t="s">
        <v>252</v>
      </c>
      <c r="M381" s="271" t="s">
        <v>816</v>
      </c>
      <c r="N381" s="177">
        <v>46230</v>
      </c>
      <c r="O381" s="177">
        <v>46230</v>
      </c>
      <c r="P381" s="366">
        <v>22000</v>
      </c>
      <c r="Q381" s="176" t="s">
        <v>248</v>
      </c>
      <c r="R381" s="176" t="s">
        <v>434</v>
      </c>
      <c r="S381" s="178" t="s">
        <v>253</v>
      </c>
      <c r="T381" s="57" t="str">
        <f t="shared" si="18"/>
        <v>Đ</v>
      </c>
      <c r="U381" s="59">
        <f t="shared" si="19"/>
        <v>0</v>
      </c>
      <c r="V381" s="55">
        <f t="shared" si="20"/>
        <v>13311</v>
      </c>
    </row>
    <row r="382" spans="1:22" ht="21.65" customHeight="1">
      <c r="A382" s="176">
        <v>365</v>
      </c>
      <c r="B382" s="178" t="s">
        <v>811</v>
      </c>
      <c r="C382" s="271" t="s">
        <v>939</v>
      </c>
      <c r="D382" s="177">
        <v>45963</v>
      </c>
      <c r="E382" s="178" t="s">
        <v>813</v>
      </c>
      <c r="F382" s="271" t="s">
        <v>814</v>
      </c>
      <c r="G382" s="178" t="s">
        <v>815</v>
      </c>
      <c r="H382" s="366">
        <v>27273</v>
      </c>
      <c r="I382" s="176">
        <v>10</v>
      </c>
      <c r="J382" s="366">
        <v>2727</v>
      </c>
      <c r="K382" s="178" t="s">
        <v>261</v>
      </c>
      <c r="L382" s="178" t="s">
        <v>252</v>
      </c>
      <c r="M382" s="271" t="s">
        <v>816</v>
      </c>
      <c r="N382" s="177">
        <v>46230</v>
      </c>
      <c r="O382" s="177">
        <v>46230</v>
      </c>
      <c r="P382" s="366">
        <v>30000</v>
      </c>
      <c r="Q382" s="176" t="s">
        <v>248</v>
      </c>
      <c r="R382" s="176" t="s">
        <v>434</v>
      </c>
      <c r="S382" s="178" t="s">
        <v>253</v>
      </c>
      <c r="T382" s="57" t="str">
        <f t="shared" si="18"/>
        <v>Đ</v>
      </c>
      <c r="U382" s="59">
        <f t="shared" si="19"/>
        <v>0</v>
      </c>
      <c r="V382" s="55">
        <f t="shared" si="20"/>
        <v>13311</v>
      </c>
    </row>
    <row r="383" spans="1:22" ht="21.65" customHeight="1">
      <c r="A383" s="176">
        <v>366</v>
      </c>
      <c r="B383" s="178" t="s">
        <v>811</v>
      </c>
      <c r="C383" s="271" t="s">
        <v>940</v>
      </c>
      <c r="D383" s="177">
        <v>45963</v>
      </c>
      <c r="E383" s="178" t="s">
        <v>813</v>
      </c>
      <c r="F383" s="271" t="s">
        <v>814</v>
      </c>
      <c r="G383" s="178" t="s">
        <v>815</v>
      </c>
      <c r="H383" s="366">
        <v>374318</v>
      </c>
      <c r="I383" s="176">
        <v>10</v>
      </c>
      <c r="J383" s="366">
        <v>37432</v>
      </c>
      <c r="K383" s="178" t="s">
        <v>261</v>
      </c>
      <c r="L383" s="178" t="s">
        <v>252</v>
      </c>
      <c r="M383" s="271" t="s">
        <v>816</v>
      </c>
      <c r="N383" s="177">
        <v>46230</v>
      </c>
      <c r="O383" s="177">
        <v>46230</v>
      </c>
      <c r="P383" s="366">
        <v>411750</v>
      </c>
      <c r="Q383" s="176" t="s">
        <v>248</v>
      </c>
      <c r="R383" s="176" t="s">
        <v>434</v>
      </c>
      <c r="S383" s="178" t="s">
        <v>253</v>
      </c>
      <c r="T383" s="57" t="str">
        <f t="shared" si="18"/>
        <v>Đ</v>
      </c>
      <c r="U383" s="59">
        <f t="shared" si="19"/>
        <v>0</v>
      </c>
      <c r="V383" s="55">
        <f t="shared" si="20"/>
        <v>13311</v>
      </c>
    </row>
    <row r="384" spans="1:22" ht="21.65" customHeight="1">
      <c r="A384" s="176">
        <v>367</v>
      </c>
      <c r="B384" s="178" t="s">
        <v>811</v>
      </c>
      <c r="C384" s="271" t="s">
        <v>941</v>
      </c>
      <c r="D384" s="177">
        <v>45963</v>
      </c>
      <c r="E384" s="178" t="s">
        <v>813</v>
      </c>
      <c r="F384" s="271" t="s">
        <v>814</v>
      </c>
      <c r="G384" s="178" t="s">
        <v>815</v>
      </c>
      <c r="H384" s="366">
        <v>145455</v>
      </c>
      <c r="I384" s="176">
        <v>10</v>
      </c>
      <c r="J384" s="366">
        <v>14545</v>
      </c>
      <c r="K384" s="178" t="s">
        <v>261</v>
      </c>
      <c r="L384" s="178" t="s">
        <v>252</v>
      </c>
      <c r="M384" s="271" t="s">
        <v>816</v>
      </c>
      <c r="N384" s="177">
        <v>46230</v>
      </c>
      <c r="O384" s="177">
        <v>46230</v>
      </c>
      <c r="P384" s="366">
        <v>160000</v>
      </c>
      <c r="Q384" s="176" t="s">
        <v>248</v>
      </c>
      <c r="R384" s="176" t="s">
        <v>434</v>
      </c>
      <c r="S384" s="178" t="s">
        <v>253</v>
      </c>
      <c r="T384" s="57" t="str">
        <f t="shared" si="18"/>
        <v>Đ</v>
      </c>
      <c r="U384" s="59">
        <f t="shared" si="19"/>
        <v>1</v>
      </c>
      <c r="V384" s="55">
        <f t="shared" si="20"/>
        <v>13311</v>
      </c>
    </row>
    <row r="385" spans="1:22" ht="21.65" customHeight="1">
      <c r="A385" s="176">
        <v>368</v>
      </c>
      <c r="B385" s="178" t="s">
        <v>811</v>
      </c>
      <c r="C385" s="271" t="s">
        <v>942</v>
      </c>
      <c r="D385" s="177">
        <v>45963</v>
      </c>
      <c r="E385" s="178" t="s">
        <v>813</v>
      </c>
      <c r="F385" s="271" t="s">
        <v>814</v>
      </c>
      <c r="G385" s="178" t="s">
        <v>815</v>
      </c>
      <c r="H385" s="366">
        <v>20000</v>
      </c>
      <c r="I385" s="176">
        <v>10</v>
      </c>
      <c r="J385" s="366">
        <v>2000</v>
      </c>
      <c r="K385" s="178" t="s">
        <v>261</v>
      </c>
      <c r="L385" s="178" t="s">
        <v>252</v>
      </c>
      <c r="M385" s="271" t="s">
        <v>816</v>
      </c>
      <c r="N385" s="177">
        <v>46230</v>
      </c>
      <c r="O385" s="177">
        <v>46230</v>
      </c>
      <c r="P385" s="366">
        <v>22000</v>
      </c>
      <c r="Q385" s="176" t="s">
        <v>248</v>
      </c>
      <c r="R385" s="176" t="s">
        <v>434</v>
      </c>
      <c r="S385" s="178" t="s">
        <v>253</v>
      </c>
      <c r="T385" s="57" t="str">
        <f t="shared" si="18"/>
        <v>Đ</v>
      </c>
      <c r="U385" s="59">
        <f t="shared" si="19"/>
        <v>0</v>
      </c>
      <c r="V385" s="55">
        <f t="shared" si="20"/>
        <v>13311</v>
      </c>
    </row>
    <row r="386" spans="1:22" ht="21.65" customHeight="1">
      <c r="A386" s="176">
        <v>369</v>
      </c>
      <c r="B386" s="178" t="s">
        <v>811</v>
      </c>
      <c r="C386" s="271" t="s">
        <v>943</v>
      </c>
      <c r="D386" s="177">
        <v>45963</v>
      </c>
      <c r="E386" s="178" t="s">
        <v>813</v>
      </c>
      <c r="F386" s="271" t="s">
        <v>814</v>
      </c>
      <c r="G386" s="178" t="s">
        <v>815</v>
      </c>
      <c r="H386" s="366">
        <v>20000</v>
      </c>
      <c r="I386" s="176">
        <v>10</v>
      </c>
      <c r="J386" s="366">
        <v>2000</v>
      </c>
      <c r="K386" s="178" t="s">
        <v>261</v>
      </c>
      <c r="L386" s="178" t="s">
        <v>252</v>
      </c>
      <c r="M386" s="271" t="s">
        <v>816</v>
      </c>
      <c r="N386" s="177">
        <v>46230</v>
      </c>
      <c r="O386" s="177">
        <v>46230</v>
      </c>
      <c r="P386" s="366">
        <v>22000</v>
      </c>
      <c r="Q386" s="176" t="s">
        <v>248</v>
      </c>
      <c r="R386" s="176" t="s">
        <v>434</v>
      </c>
      <c r="S386" s="178" t="s">
        <v>253</v>
      </c>
      <c r="T386" s="57" t="str">
        <f t="shared" si="18"/>
        <v>Đ</v>
      </c>
      <c r="U386" s="59">
        <f t="shared" si="19"/>
        <v>0</v>
      </c>
      <c r="V386" s="55">
        <f t="shared" si="20"/>
        <v>13311</v>
      </c>
    </row>
    <row r="387" spans="1:22" ht="21.65" customHeight="1">
      <c r="A387" s="176">
        <v>370</v>
      </c>
      <c r="B387" s="178" t="s">
        <v>811</v>
      </c>
      <c r="C387" s="271" t="s">
        <v>944</v>
      </c>
      <c r="D387" s="177">
        <v>45963</v>
      </c>
      <c r="E387" s="178" t="s">
        <v>813</v>
      </c>
      <c r="F387" s="271" t="s">
        <v>814</v>
      </c>
      <c r="G387" s="178" t="s">
        <v>815</v>
      </c>
      <c r="H387" s="366">
        <v>65755</v>
      </c>
      <c r="I387" s="176">
        <v>10</v>
      </c>
      <c r="J387" s="366">
        <v>6576</v>
      </c>
      <c r="K387" s="178" t="s">
        <v>261</v>
      </c>
      <c r="L387" s="178" t="s">
        <v>252</v>
      </c>
      <c r="M387" s="271" t="s">
        <v>816</v>
      </c>
      <c r="N387" s="177">
        <v>46230</v>
      </c>
      <c r="O387" s="177">
        <v>46230</v>
      </c>
      <c r="P387" s="366">
        <v>72331</v>
      </c>
      <c r="Q387" s="176" t="s">
        <v>248</v>
      </c>
      <c r="R387" s="176" t="s">
        <v>434</v>
      </c>
      <c r="S387" s="178" t="s">
        <v>253</v>
      </c>
      <c r="T387" s="57" t="str">
        <f t="shared" si="18"/>
        <v>Đ</v>
      </c>
      <c r="U387" s="59">
        <f t="shared" si="19"/>
        <v>0</v>
      </c>
      <c r="V387" s="55">
        <f t="shared" si="20"/>
        <v>13311</v>
      </c>
    </row>
    <row r="388" spans="1:22" ht="21.65" customHeight="1">
      <c r="A388" s="176">
        <v>371</v>
      </c>
      <c r="B388" s="178" t="s">
        <v>811</v>
      </c>
      <c r="C388" s="271" t="s">
        <v>945</v>
      </c>
      <c r="D388" s="177">
        <v>45963</v>
      </c>
      <c r="E388" s="178" t="s">
        <v>813</v>
      </c>
      <c r="F388" s="271" t="s">
        <v>814</v>
      </c>
      <c r="G388" s="178" t="s">
        <v>815</v>
      </c>
      <c r="H388" s="366">
        <v>27273</v>
      </c>
      <c r="I388" s="176">
        <v>10</v>
      </c>
      <c r="J388" s="366">
        <v>2727</v>
      </c>
      <c r="K388" s="178" t="s">
        <v>261</v>
      </c>
      <c r="L388" s="178" t="s">
        <v>252</v>
      </c>
      <c r="M388" s="271" t="s">
        <v>816</v>
      </c>
      <c r="N388" s="177">
        <v>46230</v>
      </c>
      <c r="O388" s="177">
        <v>46230</v>
      </c>
      <c r="P388" s="366">
        <v>30000</v>
      </c>
      <c r="Q388" s="176" t="s">
        <v>248</v>
      </c>
      <c r="R388" s="176" t="s">
        <v>434</v>
      </c>
      <c r="S388" s="178" t="s">
        <v>253</v>
      </c>
      <c r="T388" s="57" t="str">
        <f t="shared" si="18"/>
        <v>Đ</v>
      </c>
      <c r="U388" s="59">
        <f t="shared" si="19"/>
        <v>0</v>
      </c>
      <c r="V388" s="55">
        <f t="shared" si="20"/>
        <v>13311</v>
      </c>
    </row>
    <row r="389" spans="1:22" ht="21.65" customHeight="1">
      <c r="A389" s="176">
        <v>372</v>
      </c>
      <c r="B389" s="178" t="s">
        <v>811</v>
      </c>
      <c r="C389" s="271" t="s">
        <v>946</v>
      </c>
      <c r="D389" s="177">
        <v>45963</v>
      </c>
      <c r="E389" s="178" t="s">
        <v>813</v>
      </c>
      <c r="F389" s="271" t="s">
        <v>814</v>
      </c>
      <c r="G389" s="178" t="s">
        <v>815</v>
      </c>
      <c r="H389" s="366">
        <v>27273</v>
      </c>
      <c r="I389" s="176">
        <v>10</v>
      </c>
      <c r="J389" s="366">
        <v>2727</v>
      </c>
      <c r="K389" s="178" t="s">
        <v>261</v>
      </c>
      <c r="L389" s="178" t="s">
        <v>252</v>
      </c>
      <c r="M389" s="271" t="s">
        <v>816</v>
      </c>
      <c r="N389" s="177">
        <v>46230</v>
      </c>
      <c r="O389" s="177">
        <v>46230</v>
      </c>
      <c r="P389" s="366">
        <v>30000</v>
      </c>
      <c r="Q389" s="176" t="s">
        <v>248</v>
      </c>
      <c r="R389" s="176" t="s">
        <v>434</v>
      </c>
      <c r="S389" s="178" t="s">
        <v>253</v>
      </c>
      <c r="T389" s="57" t="str">
        <f t="shared" si="18"/>
        <v>Đ</v>
      </c>
      <c r="U389" s="59">
        <f t="shared" si="19"/>
        <v>0</v>
      </c>
      <c r="V389" s="55">
        <f t="shared" si="20"/>
        <v>13311</v>
      </c>
    </row>
    <row r="390" spans="1:22" ht="21.65" customHeight="1">
      <c r="A390" s="176">
        <v>373</v>
      </c>
      <c r="B390" s="178" t="s">
        <v>811</v>
      </c>
      <c r="C390" s="271" t="s">
        <v>947</v>
      </c>
      <c r="D390" s="177">
        <v>45963</v>
      </c>
      <c r="E390" s="178" t="s">
        <v>813</v>
      </c>
      <c r="F390" s="271" t="s">
        <v>814</v>
      </c>
      <c r="G390" s="178" t="s">
        <v>815</v>
      </c>
      <c r="H390" s="366">
        <v>20000</v>
      </c>
      <c r="I390" s="176">
        <v>10</v>
      </c>
      <c r="J390" s="366">
        <v>2000</v>
      </c>
      <c r="K390" s="178" t="s">
        <v>261</v>
      </c>
      <c r="L390" s="178" t="s">
        <v>252</v>
      </c>
      <c r="M390" s="271" t="s">
        <v>816</v>
      </c>
      <c r="N390" s="177">
        <v>46230</v>
      </c>
      <c r="O390" s="177">
        <v>46230</v>
      </c>
      <c r="P390" s="366">
        <v>22000</v>
      </c>
      <c r="Q390" s="176" t="s">
        <v>248</v>
      </c>
      <c r="R390" s="176" t="s">
        <v>434</v>
      </c>
      <c r="S390" s="178" t="s">
        <v>253</v>
      </c>
      <c r="T390" s="57" t="str">
        <f t="shared" si="18"/>
        <v>Đ</v>
      </c>
      <c r="U390" s="59">
        <f t="shared" si="19"/>
        <v>0</v>
      </c>
      <c r="V390" s="55">
        <f t="shared" si="20"/>
        <v>13311</v>
      </c>
    </row>
    <row r="391" spans="1:22" ht="21.65" customHeight="1">
      <c r="A391" s="176">
        <v>374</v>
      </c>
      <c r="B391" s="178" t="s">
        <v>811</v>
      </c>
      <c r="C391" s="271" t="s">
        <v>948</v>
      </c>
      <c r="D391" s="177">
        <v>45963</v>
      </c>
      <c r="E391" s="178" t="s">
        <v>813</v>
      </c>
      <c r="F391" s="271" t="s">
        <v>814</v>
      </c>
      <c r="G391" s="178" t="s">
        <v>815</v>
      </c>
      <c r="H391" s="366">
        <v>20000</v>
      </c>
      <c r="I391" s="176">
        <v>10</v>
      </c>
      <c r="J391" s="366">
        <v>2000</v>
      </c>
      <c r="K391" s="178" t="s">
        <v>261</v>
      </c>
      <c r="L391" s="178" t="s">
        <v>252</v>
      </c>
      <c r="M391" s="271" t="s">
        <v>816</v>
      </c>
      <c r="N391" s="177">
        <v>46230</v>
      </c>
      <c r="O391" s="177">
        <v>46230</v>
      </c>
      <c r="P391" s="366">
        <v>22000</v>
      </c>
      <c r="Q391" s="176" t="s">
        <v>248</v>
      </c>
      <c r="R391" s="176" t="s">
        <v>434</v>
      </c>
      <c r="S391" s="178" t="s">
        <v>253</v>
      </c>
      <c r="T391" s="57" t="str">
        <f t="shared" si="18"/>
        <v>Đ</v>
      </c>
      <c r="U391" s="59">
        <f t="shared" si="19"/>
        <v>0</v>
      </c>
      <c r="V391" s="55">
        <f t="shared" si="20"/>
        <v>13311</v>
      </c>
    </row>
    <row r="392" spans="1:22" ht="21.65" customHeight="1">
      <c r="A392" s="176">
        <v>375</v>
      </c>
      <c r="B392" s="178" t="s">
        <v>811</v>
      </c>
      <c r="C392" s="271" t="s">
        <v>949</v>
      </c>
      <c r="D392" s="177">
        <v>45963</v>
      </c>
      <c r="E392" s="178" t="s">
        <v>813</v>
      </c>
      <c r="F392" s="271" t="s">
        <v>814</v>
      </c>
      <c r="G392" s="178" t="s">
        <v>815</v>
      </c>
      <c r="H392" s="366">
        <v>20000</v>
      </c>
      <c r="I392" s="176">
        <v>10</v>
      </c>
      <c r="J392" s="366">
        <v>2000</v>
      </c>
      <c r="K392" s="178" t="s">
        <v>261</v>
      </c>
      <c r="L392" s="178" t="s">
        <v>252</v>
      </c>
      <c r="M392" s="271" t="s">
        <v>816</v>
      </c>
      <c r="N392" s="177">
        <v>46230</v>
      </c>
      <c r="O392" s="177">
        <v>46230</v>
      </c>
      <c r="P392" s="366">
        <v>22000</v>
      </c>
      <c r="Q392" s="176" t="s">
        <v>248</v>
      </c>
      <c r="R392" s="176" t="s">
        <v>434</v>
      </c>
      <c r="S392" s="178" t="s">
        <v>253</v>
      </c>
      <c r="T392" s="57" t="str">
        <f t="shared" si="18"/>
        <v>Đ</v>
      </c>
      <c r="U392" s="59">
        <f t="shared" si="19"/>
        <v>0</v>
      </c>
      <c r="V392" s="55">
        <f t="shared" si="20"/>
        <v>13311</v>
      </c>
    </row>
    <row r="393" spans="1:22" ht="21.65" customHeight="1">
      <c r="A393" s="176">
        <v>376</v>
      </c>
      <c r="B393" s="178" t="s">
        <v>811</v>
      </c>
      <c r="C393" s="271" t="s">
        <v>950</v>
      </c>
      <c r="D393" s="177">
        <v>45963</v>
      </c>
      <c r="E393" s="178" t="s">
        <v>813</v>
      </c>
      <c r="F393" s="271" t="s">
        <v>814</v>
      </c>
      <c r="G393" s="178" t="s">
        <v>815</v>
      </c>
      <c r="H393" s="366">
        <v>27273</v>
      </c>
      <c r="I393" s="176">
        <v>10</v>
      </c>
      <c r="J393" s="366">
        <v>2727</v>
      </c>
      <c r="K393" s="178" t="s">
        <v>261</v>
      </c>
      <c r="L393" s="178" t="s">
        <v>252</v>
      </c>
      <c r="M393" s="271" t="s">
        <v>816</v>
      </c>
      <c r="N393" s="177">
        <v>46230</v>
      </c>
      <c r="O393" s="177">
        <v>46230</v>
      </c>
      <c r="P393" s="366">
        <v>30000</v>
      </c>
      <c r="Q393" s="176" t="s">
        <v>248</v>
      </c>
      <c r="R393" s="176" t="s">
        <v>434</v>
      </c>
      <c r="S393" s="178" t="s">
        <v>253</v>
      </c>
      <c r="T393" s="57" t="str">
        <f t="shared" si="18"/>
        <v>Đ</v>
      </c>
      <c r="U393" s="59">
        <f t="shared" si="19"/>
        <v>0</v>
      </c>
      <c r="V393" s="55">
        <f t="shared" si="20"/>
        <v>13311</v>
      </c>
    </row>
    <row r="394" spans="1:22" ht="21.65" customHeight="1">
      <c r="A394" s="176">
        <v>377</v>
      </c>
      <c r="B394" s="178" t="s">
        <v>811</v>
      </c>
      <c r="C394" s="271" t="s">
        <v>951</v>
      </c>
      <c r="D394" s="177">
        <v>45963</v>
      </c>
      <c r="E394" s="178" t="s">
        <v>813</v>
      </c>
      <c r="F394" s="271" t="s">
        <v>814</v>
      </c>
      <c r="G394" s="178" t="s">
        <v>815</v>
      </c>
      <c r="H394" s="366">
        <v>27273</v>
      </c>
      <c r="I394" s="176">
        <v>10</v>
      </c>
      <c r="J394" s="366">
        <v>2727</v>
      </c>
      <c r="K394" s="178" t="s">
        <v>261</v>
      </c>
      <c r="L394" s="178" t="s">
        <v>252</v>
      </c>
      <c r="M394" s="271" t="s">
        <v>816</v>
      </c>
      <c r="N394" s="177">
        <v>46230</v>
      </c>
      <c r="O394" s="177">
        <v>46230</v>
      </c>
      <c r="P394" s="366">
        <v>30000</v>
      </c>
      <c r="Q394" s="176" t="s">
        <v>248</v>
      </c>
      <c r="R394" s="176" t="s">
        <v>434</v>
      </c>
      <c r="S394" s="178" t="s">
        <v>253</v>
      </c>
      <c r="T394" s="57" t="str">
        <f t="shared" si="18"/>
        <v>Đ</v>
      </c>
      <c r="U394" s="59">
        <f t="shared" si="19"/>
        <v>0</v>
      </c>
      <c r="V394" s="55">
        <f t="shared" si="20"/>
        <v>13311</v>
      </c>
    </row>
    <row r="395" spans="1:22" ht="21.65" customHeight="1">
      <c r="A395" s="176">
        <v>378</v>
      </c>
      <c r="B395" s="178" t="s">
        <v>811</v>
      </c>
      <c r="C395" s="271" t="s">
        <v>952</v>
      </c>
      <c r="D395" s="177">
        <v>45963</v>
      </c>
      <c r="E395" s="178" t="s">
        <v>813</v>
      </c>
      <c r="F395" s="271" t="s">
        <v>814</v>
      </c>
      <c r="G395" s="178" t="s">
        <v>815</v>
      </c>
      <c r="H395" s="366">
        <v>208182</v>
      </c>
      <c r="I395" s="176">
        <v>10</v>
      </c>
      <c r="J395" s="366">
        <v>20818</v>
      </c>
      <c r="K395" s="178" t="s">
        <v>261</v>
      </c>
      <c r="L395" s="178" t="s">
        <v>252</v>
      </c>
      <c r="M395" s="271" t="s">
        <v>816</v>
      </c>
      <c r="N395" s="177">
        <v>46230</v>
      </c>
      <c r="O395" s="177">
        <v>46230</v>
      </c>
      <c r="P395" s="366">
        <v>229000</v>
      </c>
      <c r="Q395" s="176" t="s">
        <v>248</v>
      </c>
      <c r="R395" s="176" t="s">
        <v>434</v>
      </c>
      <c r="S395" s="178" t="s">
        <v>253</v>
      </c>
      <c r="T395" s="57" t="str">
        <f t="shared" si="18"/>
        <v>Đ</v>
      </c>
      <c r="U395" s="59">
        <f t="shared" si="19"/>
        <v>0</v>
      </c>
      <c r="V395" s="55">
        <f t="shared" si="20"/>
        <v>13311</v>
      </c>
    </row>
    <row r="396" spans="1:22" ht="21.65" customHeight="1">
      <c r="A396" s="176">
        <v>379</v>
      </c>
      <c r="B396" s="178" t="s">
        <v>811</v>
      </c>
      <c r="C396" s="271" t="s">
        <v>953</v>
      </c>
      <c r="D396" s="177">
        <v>45963</v>
      </c>
      <c r="E396" s="178" t="s">
        <v>813</v>
      </c>
      <c r="F396" s="271" t="s">
        <v>814</v>
      </c>
      <c r="G396" s="178" t="s">
        <v>815</v>
      </c>
      <c r="H396" s="366">
        <v>297273</v>
      </c>
      <c r="I396" s="176">
        <v>10</v>
      </c>
      <c r="J396" s="366">
        <v>29727</v>
      </c>
      <c r="K396" s="178" t="s">
        <v>261</v>
      </c>
      <c r="L396" s="178" t="s">
        <v>252</v>
      </c>
      <c r="M396" s="271" t="s">
        <v>816</v>
      </c>
      <c r="N396" s="177">
        <v>46230</v>
      </c>
      <c r="O396" s="177">
        <v>46230</v>
      </c>
      <c r="P396" s="366">
        <v>327000</v>
      </c>
      <c r="Q396" s="176" t="s">
        <v>248</v>
      </c>
      <c r="R396" s="176" t="s">
        <v>434</v>
      </c>
      <c r="S396" s="178" t="s">
        <v>253</v>
      </c>
      <c r="T396" s="57" t="str">
        <f t="shared" si="18"/>
        <v>Đ</v>
      </c>
      <c r="U396" s="59">
        <f t="shared" si="19"/>
        <v>0</v>
      </c>
      <c r="V396" s="55">
        <f t="shared" si="20"/>
        <v>13311</v>
      </c>
    </row>
    <row r="397" spans="1:22" ht="21.65" customHeight="1">
      <c r="A397" s="176">
        <v>380</v>
      </c>
      <c r="B397" s="178" t="s">
        <v>811</v>
      </c>
      <c r="C397" s="271" t="s">
        <v>954</v>
      </c>
      <c r="D397" s="177">
        <v>45963</v>
      </c>
      <c r="E397" s="178" t="s">
        <v>813</v>
      </c>
      <c r="F397" s="271" t="s">
        <v>814</v>
      </c>
      <c r="G397" s="178" t="s">
        <v>815</v>
      </c>
      <c r="H397" s="366">
        <v>20000</v>
      </c>
      <c r="I397" s="176">
        <v>10</v>
      </c>
      <c r="J397" s="366">
        <v>2000</v>
      </c>
      <c r="K397" s="178" t="s">
        <v>261</v>
      </c>
      <c r="L397" s="178" t="s">
        <v>252</v>
      </c>
      <c r="M397" s="271" t="s">
        <v>816</v>
      </c>
      <c r="N397" s="177">
        <v>46230</v>
      </c>
      <c r="O397" s="177">
        <v>46230</v>
      </c>
      <c r="P397" s="366">
        <v>22000</v>
      </c>
      <c r="Q397" s="176" t="s">
        <v>248</v>
      </c>
      <c r="R397" s="176" t="s">
        <v>434</v>
      </c>
      <c r="S397" s="178" t="s">
        <v>253</v>
      </c>
      <c r="T397" s="57" t="str">
        <f t="shared" si="18"/>
        <v>Đ</v>
      </c>
      <c r="U397" s="59">
        <f t="shared" si="19"/>
        <v>0</v>
      </c>
      <c r="V397" s="55">
        <f t="shared" si="20"/>
        <v>13311</v>
      </c>
    </row>
    <row r="398" spans="1:22" ht="21.65" customHeight="1">
      <c r="A398" s="176">
        <v>381</v>
      </c>
      <c r="B398" s="178" t="s">
        <v>811</v>
      </c>
      <c r="C398" s="271" t="s">
        <v>955</v>
      </c>
      <c r="D398" s="177">
        <v>45963</v>
      </c>
      <c r="E398" s="178" t="s">
        <v>813</v>
      </c>
      <c r="F398" s="271" t="s">
        <v>814</v>
      </c>
      <c r="G398" s="178" t="s">
        <v>815</v>
      </c>
      <c r="H398" s="366">
        <v>199156</v>
      </c>
      <c r="I398" s="176">
        <v>10</v>
      </c>
      <c r="J398" s="366">
        <v>19916</v>
      </c>
      <c r="K398" s="178" t="s">
        <v>261</v>
      </c>
      <c r="L398" s="178" t="s">
        <v>252</v>
      </c>
      <c r="M398" s="271" t="s">
        <v>816</v>
      </c>
      <c r="N398" s="177">
        <v>46230</v>
      </c>
      <c r="O398" s="177">
        <v>46230</v>
      </c>
      <c r="P398" s="366">
        <v>219072</v>
      </c>
      <c r="Q398" s="176" t="s">
        <v>248</v>
      </c>
      <c r="R398" s="176" t="s">
        <v>434</v>
      </c>
      <c r="S398" s="178" t="s">
        <v>253</v>
      </c>
      <c r="T398" s="57" t="str">
        <f t="shared" ref="T398:T461" si="21">IF(OR(LEN(F398)=11,LEN(F398)=15),"Đ","SAI")</f>
        <v>Đ</v>
      </c>
      <c r="U398" s="59">
        <f t="shared" ref="U398:U461" si="22">ROUND(H398*I398%,0)-J398</f>
        <v>0</v>
      </c>
      <c r="V398" s="55">
        <f t="shared" ref="V398:V461" si="23">IF(Q398=$V$12,13313,13311)</f>
        <v>13311</v>
      </c>
    </row>
    <row r="399" spans="1:22" ht="21.65" customHeight="1">
      <c r="A399" s="176">
        <v>382</v>
      </c>
      <c r="B399" s="178" t="s">
        <v>811</v>
      </c>
      <c r="C399" s="271" t="s">
        <v>956</v>
      </c>
      <c r="D399" s="177">
        <v>45963</v>
      </c>
      <c r="E399" s="178" t="s">
        <v>813</v>
      </c>
      <c r="F399" s="271" t="s">
        <v>814</v>
      </c>
      <c r="G399" s="178" t="s">
        <v>815</v>
      </c>
      <c r="H399" s="366">
        <v>27273</v>
      </c>
      <c r="I399" s="176">
        <v>10</v>
      </c>
      <c r="J399" s="366">
        <v>2727</v>
      </c>
      <c r="K399" s="178" t="s">
        <v>261</v>
      </c>
      <c r="L399" s="178" t="s">
        <v>252</v>
      </c>
      <c r="M399" s="271" t="s">
        <v>816</v>
      </c>
      <c r="N399" s="177">
        <v>46230</v>
      </c>
      <c r="O399" s="177">
        <v>46230</v>
      </c>
      <c r="P399" s="366">
        <v>30000</v>
      </c>
      <c r="Q399" s="176" t="s">
        <v>248</v>
      </c>
      <c r="R399" s="176" t="s">
        <v>434</v>
      </c>
      <c r="S399" s="178" t="s">
        <v>253</v>
      </c>
      <c r="T399" s="57" t="str">
        <f t="shared" si="21"/>
        <v>Đ</v>
      </c>
      <c r="U399" s="59">
        <f t="shared" si="22"/>
        <v>0</v>
      </c>
      <c r="V399" s="55">
        <f t="shared" si="23"/>
        <v>13311</v>
      </c>
    </row>
    <row r="400" spans="1:22" ht="21.65" customHeight="1">
      <c r="A400" s="176">
        <v>383</v>
      </c>
      <c r="B400" s="178" t="s">
        <v>811</v>
      </c>
      <c r="C400" s="271" t="s">
        <v>957</v>
      </c>
      <c r="D400" s="177">
        <v>45963</v>
      </c>
      <c r="E400" s="178" t="s">
        <v>813</v>
      </c>
      <c r="F400" s="271" t="s">
        <v>814</v>
      </c>
      <c r="G400" s="178" t="s">
        <v>815</v>
      </c>
      <c r="H400" s="366">
        <v>94034</v>
      </c>
      <c r="I400" s="176">
        <v>10</v>
      </c>
      <c r="J400" s="366">
        <v>9403</v>
      </c>
      <c r="K400" s="178" t="s">
        <v>261</v>
      </c>
      <c r="L400" s="178" t="s">
        <v>252</v>
      </c>
      <c r="M400" s="271" t="s">
        <v>816</v>
      </c>
      <c r="N400" s="177">
        <v>46230</v>
      </c>
      <c r="O400" s="177">
        <v>46230</v>
      </c>
      <c r="P400" s="366">
        <v>103437</v>
      </c>
      <c r="Q400" s="176" t="s">
        <v>248</v>
      </c>
      <c r="R400" s="176" t="s">
        <v>434</v>
      </c>
      <c r="S400" s="178" t="s">
        <v>253</v>
      </c>
      <c r="T400" s="57" t="str">
        <f t="shared" si="21"/>
        <v>Đ</v>
      </c>
      <c r="U400" s="59">
        <f t="shared" si="22"/>
        <v>0</v>
      </c>
      <c r="V400" s="55">
        <f t="shared" si="23"/>
        <v>13311</v>
      </c>
    </row>
    <row r="401" spans="1:22" ht="21.65" customHeight="1">
      <c r="A401" s="176">
        <v>384</v>
      </c>
      <c r="B401" s="178" t="s">
        <v>811</v>
      </c>
      <c r="C401" s="271" t="s">
        <v>958</v>
      </c>
      <c r="D401" s="177">
        <v>45963</v>
      </c>
      <c r="E401" s="178" t="s">
        <v>813</v>
      </c>
      <c r="F401" s="271" t="s">
        <v>814</v>
      </c>
      <c r="G401" s="178" t="s">
        <v>815</v>
      </c>
      <c r="H401" s="366">
        <v>20000</v>
      </c>
      <c r="I401" s="176">
        <v>10</v>
      </c>
      <c r="J401" s="366">
        <v>2000</v>
      </c>
      <c r="K401" s="178" t="s">
        <v>261</v>
      </c>
      <c r="L401" s="178" t="s">
        <v>252</v>
      </c>
      <c r="M401" s="271" t="s">
        <v>816</v>
      </c>
      <c r="N401" s="177">
        <v>46230</v>
      </c>
      <c r="O401" s="177">
        <v>46230</v>
      </c>
      <c r="P401" s="366">
        <v>22000</v>
      </c>
      <c r="Q401" s="176" t="s">
        <v>248</v>
      </c>
      <c r="R401" s="176" t="s">
        <v>434</v>
      </c>
      <c r="S401" s="178" t="s">
        <v>253</v>
      </c>
      <c r="T401" s="57" t="str">
        <f t="shared" si="21"/>
        <v>Đ</v>
      </c>
      <c r="U401" s="59">
        <f t="shared" si="22"/>
        <v>0</v>
      </c>
      <c r="V401" s="55">
        <f t="shared" si="23"/>
        <v>13311</v>
      </c>
    </row>
    <row r="402" spans="1:22" ht="21.65" customHeight="1">
      <c r="A402" s="176">
        <v>385</v>
      </c>
      <c r="B402" s="178" t="s">
        <v>811</v>
      </c>
      <c r="C402" s="271" t="s">
        <v>959</v>
      </c>
      <c r="D402" s="177">
        <v>45963</v>
      </c>
      <c r="E402" s="178" t="s">
        <v>813</v>
      </c>
      <c r="F402" s="271" t="s">
        <v>814</v>
      </c>
      <c r="G402" s="178" t="s">
        <v>815</v>
      </c>
      <c r="H402" s="366">
        <v>20000</v>
      </c>
      <c r="I402" s="176">
        <v>10</v>
      </c>
      <c r="J402" s="366">
        <v>2000</v>
      </c>
      <c r="K402" s="178" t="s">
        <v>261</v>
      </c>
      <c r="L402" s="178" t="s">
        <v>252</v>
      </c>
      <c r="M402" s="271" t="s">
        <v>816</v>
      </c>
      <c r="N402" s="177">
        <v>46230</v>
      </c>
      <c r="O402" s="177">
        <v>46230</v>
      </c>
      <c r="P402" s="366">
        <v>22000</v>
      </c>
      <c r="Q402" s="176" t="s">
        <v>248</v>
      </c>
      <c r="R402" s="176" t="s">
        <v>434</v>
      </c>
      <c r="S402" s="178" t="s">
        <v>253</v>
      </c>
      <c r="T402" s="57" t="str">
        <f t="shared" si="21"/>
        <v>Đ</v>
      </c>
      <c r="U402" s="59">
        <f t="shared" si="22"/>
        <v>0</v>
      </c>
      <c r="V402" s="55">
        <f t="shared" si="23"/>
        <v>13311</v>
      </c>
    </row>
    <row r="403" spans="1:22" ht="21.65" customHeight="1">
      <c r="A403" s="176">
        <v>386</v>
      </c>
      <c r="B403" s="178" t="s">
        <v>811</v>
      </c>
      <c r="C403" s="271" t="s">
        <v>960</v>
      </c>
      <c r="D403" s="177">
        <v>45963</v>
      </c>
      <c r="E403" s="178" t="s">
        <v>813</v>
      </c>
      <c r="F403" s="271" t="s">
        <v>814</v>
      </c>
      <c r="G403" s="178" t="s">
        <v>815</v>
      </c>
      <c r="H403" s="366">
        <v>27273</v>
      </c>
      <c r="I403" s="176">
        <v>10</v>
      </c>
      <c r="J403" s="366">
        <v>2727</v>
      </c>
      <c r="K403" s="178" t="s">
        <v>261</v>
      </c>
      <c r="L403" s="178" t="s">
        <v>252</v>
      </c>
      <c r="M403" s="271" t="s">
        <v>816</v>
      </c>
      <c r="N403" s="177">
        <v>46230</v>
      </c>
      <c r="O403" s="177">
        <v>46230</v>
      </c>
      <c r="P403" s="366">
        <v>30000</v>
      </c>
      <c r="Q403" s="176" t="s">
        <v>248</v>
      </c>
      <c r="R403" s="176" t="s">
        <v>434</v>
      </c>
      <c r="S403" s="178" t="s">
        <v>253</v>
      </c>
      <c r="T403" s="57" t="str">
        <f t="shared" si="21"/>
        <v>Đ</v>
      </c>
      <c r="U403" s="59">
        <f t="shared" si="22"/>
        <v>0</v>
      </c>
      <c r="V403" s="55">
        <f t="shared" si="23"/>
        <v>13311</v>
      </c>
    </row>
    <row r="404" spans="1:22" ht="21.65" customHeight="1">
      <c r="A404" s="176">
        <v>387</v>
      </c>
      <c r="B404" s="178" t="s">
        <v>811</v>
      </c>
      <c r="C404" s="271" t="s">
        <v>961</v>
      </c>
      <c r="D404" s="177">
        <v>45963</v>
      </c>
      <c r="E404" s="178" t="s">
        <v>813</v>
      </c>
      <c r="F404" s="271" t="s">
        <v>814</v>
      </c>
      <c r="G404" s="178" t="s">
        <v>815</v>
      </c>
      <c r="H404" s="366">
        <v>20000</v>
      </c>
      <c r="I404" s="176">
        <v>10</v>
      </c>
      <c r="J404" s="366">
        <v>2000</v>
      </c>
      <c r="K404" s="178" t="s">
        <v>261</v>
      </c>
      <c r="L404" s="178" t="s">
        <v>252</v>
      </c>
      <c r="M404" s="271" t="s">
        <v>816</v>
      </c>
      <c r="N404" s="177">
        <v>46230</v>
      </c>
      <c r="O404" s="177">
        <v>46230</v>
      </c>
      <c r="P404" s="366">
        <v>22000</v>
      </c>
      <c r="Q404" s="176" t="s">
        <v>248</v>
      </c>
      <c r="R404" s="176" t="s">
        <v>434</v>
      </c>
      <c r="S404" s="178" t="s">
        <v>253</v>
      </c>
      <c r="T404" s="57" t="str">
        <f t="shared" si="21"/>
        <v>Đ</v>
      </c>
      <c r="U404" s="59">
        <f t="shared" si="22"/>
        <v>0</v>
      </c>
      <c r="V404" s="55">
        <f t="shared" si="23"/>
        <v>13311</v>
      </c>
    </row>
    <row r="405" spans="1:22" ht="21.65" customHeight="1">
      <c r="A405" s="176">
        <v>388</v>
      </c>
      <c r="B405" s="178" t="s">
        <v>811</v>
      </c>
      <c r="C405" s="271" t="s">
        <v>962</v>
      </c>
      <c r="D405" s="177">
        <v>45963</v>
      </c>
      <c r="E405" s="178" t="s">
        <v>813</v>
      </c>
      <c r="F405" s="271" t="s">
        <v>814</v>
      </c>
      <c r="G405" s="178" t="s">
        <v>815</v>
      </c>
      <c r="H405" s="366">
        <v>27273</v>
      </c>
      <c r="I405" s="176">
        <v>10</v>
      </c>
      <c r="J405" s="366">
        <v>2727</v>
      </c>
      <c r="K405" s="178" t="s">
        <v>261</v>
      </c>
      <c r="L405" s="178" t="s">
        <v>252</v>
      </c>
      <c r="M405" s="271" t="s">
        <v>816</v>
      </c>
      <c r="N405" s="177">
        <v>46230</v>
      </c>
      <c r="O405" s="177">
        <v>46230</v>
      </c>
      <c r="P405" s="366">
        <v>30000</v>
      </c>
      <c r="Q405" s="176" t="s">
        <v>248</v>
      </c>
      <c r="R405" s="176" t="s">
        <v>434</v>
      </c>
      <c r="S405" s="178" t="s">
        <v>253</v>
      </c>
      <c r="T405" s="57" t="str">
        <f t="shared" si="21"/>
        <v>Đ</v>
      </c>
      <c r="U405" s="59">
        <f t="shared" si="22"/>
        <v>0</v>
      </c>
      <c r="V405" s="55">
        <f t="shared" si="23"/>
        <v>13311</v>
      </c>
    </row>
    <row r="406" spans="1:22" ht="21.65" customHeight="1">
      <c r="A406" s="176">
        <v>389</v>
      </c>
      <c r="B406" s="178" t="s">
        <v>811</v>
      </c>
      <c r="C406" s="271" t="s">
        <v>963</v>
      </c>
      <c r="D406" s="177">
        <v>45963</v>
      </c>
      <c r="E406" s="178" t="s">
        <v>813</v>
      </c>
      <c r="F406" s="271" t="s">
        <v>814</v>
      </c>
      <c r="G406" s="178" t="s">
        <v>815</v>
      </c>
      <c r="H406" s="366">
        <v>20000</v>
      </c>
      <c r="I406" s="176">
        <v>10</v>
      </c>
      <c r="J406" s="366">
        <v>2000</v>
      </c>
      <c r="K406" s="178" t="s">
        <v>261</v>
      </c>
      <c r="L406" s="178" t="s">
        <v>252</v>
      </c>
      <c r="M406" s="271" t="s">
        <v>816</v>
      </c>
      <c r="N406" s="177">
        <v>46230</v>
      </c>
      <c r="O406" s="177">
        <v>46230</v>
      </c>
      <c r="P406" s="366">
        <v>22000</v>
      </c>
      <c r="Q406" s="176" t="s">
        <v>248</v>
      </c>
      <c r="R406" s="176" t="s">
        <v>434</v>
      </c>
      <c r="S406" s="178" t="s">
        <v>253</v>
      </c>
      <c r="T406" s="57" t="str">
        <f t="shared" si="21"/>
        <v>Đ</v>
      </c>
      <c r="U406" s="59">
        <f t="shared" si="22"/>
        <v>0</v>
      </c>
      <c r="V406" s="55">
        <f t="shared" si="23"/>
        <v>13311</v>
      </c>
    </row>
    <row r="407" spans="1:22" ht="21.65" customHeight="1">
      <c r="A407" s="176">
        <v>390</v>
      </c>
      <c r="B407" s="178" t="s">
        <v>811</v>
      </c>
      <c r="C407" s="271" t="s">
        <v>964</v>
      </c>
      <c r="D407" s="177">
        <v>45963</v>
      </c>
      <c r="E407" s="178" t="s">
        <v>813</v>
      </c>
      <c r="F407" s="271" t="s">
        <v>814</v>
      </c>
      <c r="G407" s="178" t="s">
        <v>815</v>
      </c>
      <c r="H407" s="366">
        <v>20000</v>
      </c>
      <c r="I407" s="176">
        <v>10</v>
      </c>
      <c r="J407" s="366">
        <v>2000</v>
      </c>
      <c r="K407" s="178" t="s">
        <v>261</v>
      </c>
      <c r="L407" s="178" t="s">
        <v>252</v>
      </c>
      <c r="M407" s="271" t="s">
        <v>816</v>
      </c>
      <c r="N407" s="177">
        <v>46230</v>
      </c>
      <c r="O407" s="177">
        <v>46230</v>
      </c>
      <c r="P407" s="366">
        <v>22000</v>
      </c>
      <c r="Q407" s="176" t="s">
        <v>248</v>
      </c>
      <c r="R407" s="176" t="s">
        <v>434</v>
      </c>
      <c r="S407" s="178" t="s">
        <v>253</v>
      </c>
      <c r="T407" s="57" t="str">
        <f t="shared" si="21"/>
        <v>Đ</v>
      </c>
      <c r="U407" s="59">
        <f t="shared" si="22"/>
        <v>0</v>
      </c>
      <c r="V407" s="55">
        <f t="shared" si="23"/>
        <v>13311</v>
      </c>
    </row>
    <row r="408" spans="1:22" s="62" customFormat="1" ht="21.65" customHeight="1">
      <c r="A408" s="176">
        <v>391</v>
      </c>
      <c r="B408" s="178" t="s">
        <v>811</v>
      </c>
      <c r="C408" s="271" t="s">
        <v>965</v>
      </c>
      <c r="D408" s="177">
        <v>45963</v>
      </c>
      <c r="E408" s="178" t="s">
        <v>813</v>
      </c>
      <c r="F408" s="271" t="s">
        <v>814</v>
      </c>
      <c r="G408" s="178" t="s">
        <v>815</v>
      </c>
      <c r="H408" s="366">
        <v>27273</v>
      </c>
      <c r="I408" s="176">
        <v>10</v>
      </c>
      <c r="J408" s="366">
        <v>2727</v>
      </c>
      <c r="K408" s="178" t="s">
        <v>261</v>
      </c>
      <c r="L408" s="178" t="s">
        <v>252</v>
      </c>
      <c r="M408" s="271" t="s">
        <v>816</v>
      </c>
      <c r="N408" s="177">
        <v>46230</v>
      </c>
      <c r="O408" s="177">
        <v>46230</v>
      </c>
      <c r="P408" s="366">
        <v>30000</v>
      </c>
      <c r="Q408" s="176" t="s">
        <v>248</v>
      </c>
      <c r="R408" s="176" t="s">
        <v>434</v>
      </c>
      <c r="S408" s="178" t="s">
        <v>253</v>
      </c>
      <c r="T408" s="57" t="str">
        <f t="shared" si="21"/>
        <v>Đ</v>
      </c>
      <c r="U408" s="59">
        <f t="shared" si="22"/>
        <v>0</v>
      </c>
      <c r="V408" s="55">
        <f t="shared" si="23"/>
        <v>13311</v>
      </c>
    </row>
    <row r="409" spans="1:22" ht="21.65" customHeight="1">
      <c r="A409" s="176">
        <v>392</v>
      </c>
      <c r="B409" s="178" t="s">
        <v>811</v>
      </c>
      <c r="C409" s="271" t="s">
        <v>966</v>
      </c>
      <c r="D409" s="177">
        <v>45963</v>
      </c>
      <c r="E409" s="178" t="s">
        <v>813</v>
      </c>
      <c r="F409" s="271" t="s">
        <v>814</v>
      </c>
      <c r="G409" s="178" t="s">
        <v>815</v>
      </c>
      <c r="H409" s="366">
        <v>20000</v>
      </c>
      <c r="I409" s="176">
        <v>10</v>
      </c>
      <c r="J409" s="366">
        <v>2000</v>
      </c>
      <c r="K409" s="178" t="s">
        <v>261</v>
      </c>
      <c r="L409" s="178" t="s">
        <v>252</v>
      </c>
      <c r="M409" s="271" t="s">
        <v>816</v>
      </c>
      <c r="N409" s="177">
        <v>46230</v>
      </c>
      <c r="O409" s="177">
        <v>46230</v>
      </c>
      <c r="P409" s="366">
        <v>22000</v>
      </c>
      <c r="Q409" s="176" t="s">
        <v>248</v>
      </c>
      <c r="R409" s="176" t="s">
        <v>434</v>
      </c>
      <c r="S409" s="178" t="s">
        <v>253</v>
      </c>
      <c r="T409" s="57" t="str">
        <f t="shared" si="21"/>
        <v>Đ</v>
      </c>
      <c r="U409" s="59">
        <f t="shared" si="22"/>
        <v>0</v>
      </c>
      <c r="V409" s="55">
        <f t="shared" si="23"/>
        <v>13311</v>
      </c>
    </row>
    <row r="410" spans="1:22" ht="21.65" customHeight="1">
      <c r="A410" s="176">
        <v>393</v>
      </c>
      <c r="B410" s="178" t="s">
        <v>811</v>
      </c>
      <c r="C410" s="271" t="s">
        <v>967</v>
      </c>
      <c r="D410" s="177">
        <v>45963</v>
      </c>
      <c r="E410" s="178" t="s">
        <v>813</v>
      </c>
      <c r="F410" s="271" t="s">
        <v>814</v>
      </c>
      <c r="G410" s="178" t="s">
        <v>815</v>
      </c>
      <c r="H410" s="366">
        <v>28423</v>
      </c>
      <c r="I410" s="176">
        <v>10</v>
      </c>
      <c r="J410" s="366">
        <v>2842</v>
      </c>
      <c r="K410" s="178" t="s">
        <v>261</v>
      </c>
      <c r="L410" s="178" t="s">
        <v>252</v>
      </c>
      <c r="M410" s="271" t="s">
        <v>816</v>
      </c>
      <c r="N410" s="177">
        <v>46230</v>
      </c>
      <c r="O410" s="177">
        <v>46230</v>
      </c>
      <c r="P410" s="366">
        <v>31265</v>
      </c>
      <c r="Q410" s="176" t="s">
        <v>248</v>
      </c>
      <c r="R410" s="176" t="s">
        <v>434</v>
      </c>
      <c r="S410" s="178" t="s">
        <v>253</v>
      </c>
      <c r="T410" s="57" t="str">
        <f t="shared" si="21"/>
        <v>Đ</v>
      </c>
      <c r="U410" s="59">
        <f t="shared" si="22"/>
        <v>0</v>
      </c>
      <c r="V410" s="55">
        <f t="shared" si="23"/>
        <v>13311</v>
      </c>
    </row>
    <row r="411" spans="1:22" ht="21.65" customHeight="1">
      <c r="A411" s="176">
        <v>394</v>
      </c>
      <c r="B411" s="178" t="s">
        <v>811</v>
      </c>
      <c r="C411" s="271" t="s">
        <v>968</v>
      </c>
      <c r="D411" s="177">
        <v>45963</v>
      </c>
      <c r="E411" s="178" t="s">
        <v>813</v>
      </c>
      <c r="F411" s="271" t="s">
        <v>814</v>
      </c>
      <c r="G411" s="178" t="s">
        <v>815</v>
      </c>
      <c r="H411" s="366">
        <v>20000</v>
      </c>
      <c r="I411" s="176">
        <v>10</v>
      </c>
      <c r="J411" s="366">
        <v>2000</v>
      </c>
      <c r="K411" s="178" t="s">
        <v>261</v>
      </c>
      <c r="L411" s="178" t="s">
        <v>252</v>
      </c>
      <c r="M411" s="271" t="s">
        <v>816</v>
      </c>
      <c r="N411" s="177">
        <v>46230</v>
      </c>
      <c r="O411" s="177">
        <v>46230</v>
      </c>
      <c r="P411" s="366">
        <v>22000</v>
      </c>
      <c r="Q411" s="176" t="s">
        <v>248</v>
      </c>
      <c r="R411" s="176" t="s">
        <v>434</v>
      </c>
      <c r="S411" s="178" t="s">
        <v>253</v>
      </c>
      <c r="T411" s="57" t="str">
        <f t="shared" si="21"/>
        <v>Đ</v>
      </c>
      <c r="U411" s="59">
        <f t="shared" si="22"/>
        <v>0</v>
      </c>
      <c r="V411" s="55">
        <f t="shared" si="23"/>
        <v>13311</v>
      </c>
    </row>
    <row r="412" spans="1:22" ht="21.65" customHeight="1">
      <c r="A412" s="176">
        <v>395</v>
      </c>
      <c r="B412" s="178" t="s">
        <v>811</v>
      </c>
      <c r="C412" s="271" t="s">
        <v>969</v>
      </c>
      <c r="D412" s="177">
        <v>45963</v>
      </c>
      <c r="E412" s="178" t="s">
        <v>813</v>
      </c>
      <c r="F412" s="271" t="s">
        <v>814</v>
      </c>
      <c r="G412" s="178" t="s">
        <v>815</v>
      </c>
      <c r="H412" s="366">
        <v>27273</v>
      </c>
      <c r="I412" s="176">
        <v>10</v>
      </c>
      <c r="J412" s="366">
        <v>2727</v>
      </c>
      <c r="K412" s="178" t="s">
        <v>261</v>
      </c>
      <c r="L412" s="178" t="s">
        <v>252</v>
      </c>
      <c r="M412" s="271" t="s">
        <v>816</v>
      </c>
      <c r="N412" s="177">
        <v>46230</v>
      </c>
      <c r="O412" s="177">
        <v>46230</v>
      </c>
      <c r="P412" s="366">
        <v>30000</v>
      </c>
      <c r="Q412" s="176" t="s">
        <v>248</v>
      </c>
      <c r="R412" s="176" t="s">
        <v>434</v>
      </c>
      <c r="S412" s="178" t="s">
        <v>253</v>
      </c>
      <c r="T412" s="57" t="str">
        <f t="shared" si="21"/>
        <v>Đ</v>
      </c>
      <c r="U412" s="59">
        <f t="shared" si="22"/>
        <v>0</v>
      </c>
      <c r="V412" s="55">
        <f t="shared" si="23"/>
        <v>13311</v>
      </c>
    </row>
    <row r="413" spans="1:22" ht="21.65" customHeight="1">
      <c r="A413" s="176">
        <v>396</v>
      </c>
      <c r="B413" s="178" t="s">
        <v>811</v>
      </c>
      <c r="C413" s="271" t="s">
        <v>970</v>
      </c>
      <c r="D413" s="177">
        <v>45963</v>
      </c>
      <c r="E413" s="178" t="s">
        <v>813</v>
      </c>
      <c r="F413" s="271" t="s">
        <v>814</v>
      </c>
      <c r="G413" s="178" t="s">
        <v>815</v>
      </c>
      <c r="H413" s="366">
        <v>20000</v>
      </c>
      <c r="I413" s="176">
        <v>10</v>
      </c>
      <c r="J413" s="366">
        <v>2000</v>
      </c>
      <c r="K413" s="178" t="s">
        <v>261</v>
      </c>
      <c r="L413" s="178" t="s">
        <v>252</v>
      </c>
      <c r="M413" s="271" t="s">
        <v>816</v>
      </c>
      <c r="N413" s="177">
        <v>46230</v>
      </c>
      <c r="O413" s="177">
        <v>46230</v>
      </c>
      <c r="P413" s="366">
        <v>22000</v>
      </c>
      <c r="Q413" s="176" t="s">
        <v>248</v>
      </c>
      <c r="R413" s="176" t="s">
        <v>434</v>
      </c>
      <c r="S413" s="178" t="s">
        <v>253</v>
      </c>
      <c r="T413" s="57" t="str">
        <f t="shared" si="21"/>
        <v>Đ</v>
      </c>
      <c r="U413" s="59">
        <f t="shared" si="22"/>
        <v>0</v>
      </c>
      <c r="V413" s="55">
        <f t="shared" si="23"/>
        <v>13311</v>
      </c>
    </row>
    <row r="414" spans="1:22" ht="21.65" customHeight="1">
      <c r="A414" s="176">
        <v>397</v>
      </c>
      <c r="B414" s="178" t="s">
        <v>811</v>
      </c>
      <c r="C414" s="271" t="s">
        <v>971</v>
      </c>
      <c r="D414" s="177">
        <v>45963</v>
      </c>
      <c r="E414" s="178" t="s">
        <v>813</v>
      </c>
      <c r="F414" s="271" t="s">
        <v>814</v>
      </c>
      <c r="G414" s="178" t="s">
        <v>815</v>
      </c>
      <c r="H414" s="366">
        <v>27273</v>
      </c>
      <c r="I414" s="176">
        <v>10</v>
      </c>
      <c r="J414" s="366">
        <v>2727</v>
      </c>
      <c r="K414" s="178" t="s">
        <v>261</v>
      </c>
      <c r="L414" s="178" t="s">
        <v>252</v>
      </c>
      <c r="M414" s="271" t="s">
        <v>816</v>
      </c>
      <c r="N414" s="177">
        <v>46230</v>
      </c>
      <c r="O414" s="177">
        <v>46230</v>
      </c>
      <c r="P414" s="366">
        <v>30000</v>
      </c>
      <c r="Q414" s="176" t="s">
        <v>248</v>
      </c>
      <c r="R414" s="176" t="s">
        <v>434</v>
      </c>
      <c r="S414" s="178" t="s">
        <v>253</v>
      </c>
      <c r="T414" s="57" t="str">
        <f t="shared" si="21"/>
        <v>Đ</v>
      </c>
      <c r="U414" s="59">
        <f t="shared" si="22"/>
        <v>0</v>
      </c>
      <c r="V414" s="55">
        <f t="shared" si="23"/>
        <v>13311</v>
      </c>
    </row>
    <row r="415" spans="1:22" ht="21.65" customHeight="1">
      <c r="A415" s="176">
        <v>398</v>
      </c>
      <c r="B415" s="178" t="s">
        <v>811</v>
      </c>
      <c r="C415" s="271" t="s">
        <v>972</v>
      </c>
      <c r="D415" s="177">
        <v>45963</v>
      </c>
      <c r="E415" s="178" t="s">
        <v>813</v>
      </c>
      <c r="F415" s="271" t="s">
        <v>814</v>
      </c>
      <c r="G415" s="178" t="s">
        <v>815</v>
      </c>
      <c r="H415" s="366">
        <v>28182</v>
      </c>
      <c r="I415" s="176">
        <v>10</v>
      </c>
      <c r="J415" s="366">
        <v>2818</v>
      </c>
      <c r="K415" s="178" t="s">
        <v>261</v>
      </c>
      <c r="L415" s="178" t="s">
        <v>252</v>
      </c>
      <c r="M415" s="271" t="s">
        <v>816</v>
      </c>
      <c r="N415" s="177">
        <v>46230</v>
      </c>
      <c r="O415" s="177">
        <v>46230</v>
      </c>
      <c r="P415" s="366">
        <v>31000</v>
      </c>
      <c r="Q415" s="176" t="s">
        <v>248</v>
      </c>
      <c r="R415" s="176" t="s">
        <v>434</v>
      </c>
      <c r="S415" s="178" t="s">
        <v>253</v>
      </c>
      <c r="T415" s="57" t="str">
        <f t="shared" si="21"/>
        <v>Đ</v>
      </c>
      <c r="U415" s="59">
        <f t="shared" si="22"/>
        <v>0</v>
      </c>
      <c r="V415" s="55">
        <f t="shared" si="23"/>
        <v>13311</v>
      </c>
    </row>
    <row r="416" spans="1:22" ht="21.65" customHeight="1">
      <c r="A416" s="176">
        <v>399</v>
      </c>
      <c r="B416" s="178" t="s">
        <v>811</v>
      </c>
      <c r="C416" s="271" t="s">
        <v>973</v>
      </c>
      <c r="D416" s="177">
        <v>45963</v>
      </c>
      <c r="E416" s="178" t="s">
        <v>813</v>
      </c>
      <c r="F416" s="271" t="s">
        <v>814</v>
      </c>
      <c r="G416" s="178" t="s">
        <v>815</v>
      </c>
      <c r="H416" s="366">
        <v>20000</v>
      </c>
      <c r="I416" s="176">
        <v>10</v>
      </c>
      <c r="J416" s="366">
        <v>2000</v>
      </c>
      <c r="K416" s="178" t="s">
        <v>261</v>
      </c>
      <c r="L416" s="178" t="s">
        <v>252</v>
      </c>
      <c r="M416" s="271" t="s">
        <v>816</v>
      </c>
      <c r="N416" s="177">
        <v>46230</v>
      </c>
      <c r="O416" s="177">
        <v>46230</v>
      </c>
      <c r="P416" s="366">
        <v>22000</v>
      </c>
      <c r="Q416" s="176" t="s">
        <v>248</v>
      </c>
      <c r="R416" s="176" t="s">
        <v>434</v>
      </c>
      <c r="S416" s="178" t="s">
        <v>253</v>
      </c>
      <c r="T416" s="57" t="str">
        <f t="shared" si="21"/>
        <v>Đ</v>
      </c>
      <c r="U416" s="59">
        <f t="shared" si="22"/>
        <v>0</v>
      </c>
      <c r="V416" s="55">
        <f t="shared" si="23"/>
        <v>13311</v>
      </c>
    </row>
    <row r="417" spans="1:22" ht="21.65" customHeight="1">
      <c r="A417" s="176">
        <v>400</v>
      </c>
      <c r="B417" s="178" t="s">
        <v>811</v>
      </c>
      <c r="C417" s="271" t="s">
        <v>974</v>
      </c>
      <c r="D417" s="177">
        <v>45963</v>
      </c>
      <c r="E417" s="178" t="s">
        <v>813</v>
      </c>
      <c r="F417" s="271" t="s">
        <v>814</v>
      </c>
      <c r="G417" s="178" t="s">
        <v>815</v>
      </c>
      <c r="H417" s="366">
        <v>420558</v>
      </c>
      <c r="I417" s="176">
        <v>10</v>
      </c>
      <c r="J417" s="366">
        <v>42056</v>
      </c>
      <c r="K417" s="178" t="s">
        <v>261</v>
      </c>
      <c r="L417" s="178" t="s">
        <v>252</v>
      </c>
      <c r="M417" s="271" t="s">
        <v>816</v>
      </c>
      <c r="N417" s="177">
        <v>46230</v>
      </c>
      <c r="O417" s="177">
        <v>46230</v>
      </c>
      <c r="P417" s="366">
        <v>462614</v>
      </c>
      <c r="Q417" s="176" t="s">
        <v>248</v>
      </c>
      <c r="R417" s="176" t="s">
        <v>434</v>
      </c>
      <c r="S417" s="178" t="s">
        <v>253</v>
      </c>
      <c r="T417" s="57" t="str">
        <f t="shared" si="21"/>
        <v>Đ</v>
      </c>
      <c r="U417" s="59">
        <f t="shared" si="22"/>
        <v>0</v>
      </c>
      <c r="V417" s="55">
        <f t="shared" si="23"/>
        <v>13311</v>
      </c>
    </row>
    <row r="418" spans="1:22" ht="21.65" customHeight="1">
      <c r="A418" s="176">
        <v>401</v>
      </c>
      <c r="B418" s="178" t="s">
        <v>811</v>
      </c>
      <c r="C418" s="271" t="s">
        <v>975</v>
      </c>
      <c r="D418" s="177">
        <v>45963</v>
      </c>
      <c r="E418" s="178" t="s">
        <v>813</v>
      </c>
      <c r="F418" s="271" t="s">
        <v>814</v>
      </c>
      <c r="G418" s="178" t="s">
        <v>815</v>
      </c>
      <c r="H418" s="366">
        <v>27273</v>
      </c>
      <c r="I418" s="176">
        <v>10</v>
      </c>
      <c r="J418" s="366">
        <v>2727</v>
      </c>
      <c r="K418" s="178" t="s">
        <v>261</v>
      </c>
      <c r="L418" s="178" t="s">
        <v>252</v>
      </c>
      <c r="M418" s="271" t="s">
        <v>816</v>
      </c>
      <c r="N418" s="177">
        <v>46230</v>
      </c>
      <c r="O418" s="177">
        <v>46230</v>
      </c>
      <c r="P418" s="366">
        <v>30000</v>
      </c>
      <c r="Q418" s="176" t="s">
        <v>248</v>
      </c>
      <c r="R418" s="176" t="s">
        <v>434</v>
      </c>
      <c r="S418" s="178" t="s">
        <v>253</v>
      </c>
      <c r="T418" s="57" t="str">
        <f t="shared" si="21"/>
        <v>Đ</v>
      </c>
      <c r="U418" s="59">
        <f t="shared" si="22"/>
        <v>0</v>
      </c>
      <c r="V418" s="55">
        <f t="shared" si="23"/>
        <v>13311</v>
      </c>
    </row>
    <row r="419" spans="1:22" ht="21.65" customHeight="1">
      <c r="A419" s="176">
        <v>402</v>
      </c>
      <c r="B419" s="178" t="s">
        <v>811</v>
      </c>
      <c r="C419" s="271" t="s">
        <v>976</v>
      </c>
      <c r="D419" s="177">
        <v>45963</v>
      </c>
      <c r="E419" s="178" t="s">
        <v>813</v>
      </c>
      <c r="F419" s="271" t="s">
        <v>814</v>
      </c>
      <c r="G419" s="178" t="s">
        <v>815</v>
      </c>
      <c r="H419" s="366">
        <v>218523</v>
      </c>
      <c r="I419" s="176">
        <v>10</v>
      </c>
      <c r="J419" s="366">
        <v>21852</v>
      </c>
      <c r="K419" s="178" t="s">
        <v>261</v>
      </c>
      <c r="L419" s="178" t="s">
        <v>252</v>
      </c>
      <c r="M419" s="271" t="s">
        <v>816</v>
      </c>
      <c r="N419" s="177">
        <v>46230</v>
      </c>
      <c r="O419" s="177">
        <v>46230</v>
      </c>
      <c r="P419" s="366">
        <v>240375</v>
      </c>
      <c r="Q419" s="176" t="s">
        <v>248</v>
      </c>
      <c r="R419" s="176" t="s">
        <v>434</v>
      </c>
      <c r="S419" s="178" t="s">
        <v>253</v>
      </c>
      <c r="T419" s="57" t="str">
        <f t="shared" si="21"/>
        <v>Đ</v>
      </c>
      <c r="U419" s="59">
        <f t="shared" si="22"/>
        <v>0</v>
      </c>
      <c r="V419" s="55">
        <f t="shared" si="23"/>
        <v>13311</v>
      </c>
    </row>
    <row r="420" spans="1:22" ht="21.65" customHeight="1">
      <c r="A420" s="176">
        <v>403</v>
      </c>
      <c r="B420" s="178" t="s">
        <v>811</v>
      </c>
      <c r="C420" s="271" t="s">
        <v>977</v>
      </c>
      <c r="D420" s="177">
        <v>45963</v>
      </c>
      <c r="E420" s="178" t="s">
        <v>813</v>
      </c>
      <c r="F420" s="271" t="s">
        <v>814</v>
      </c>
      <c r="G420" s="178" t="s">
        <v>815</v>
      </c>
      <c r="H420" s="366">
        <v>27273</v>
      </c>
      <c r="I420" s="176">
        <v>10</v>
      </c>
      <c r="J420" s="366">
        <v>2727</v>
      </c>
      <c r="K420" s="178" t="s">
        <v>261</v>
      </c>
      <c r="L420" s="178" t="s">
        <v>252</v>
      </c>
      <c r="M420" s="271" t="s">
        <v>816</v>
      </c>
      <c r="N420" s="177">
        <v>46230</v>
      </c>
      <c r="O420" s="177">
        <v>46230</v>
      </c>
      <c r="P420" s="366">
        <v>30000</v>
      </c>
      <c r="Q420" s="176" t="s">
        <v>248</v>
      </c>
      <c r="R420" s="176" t="s">
        <v>434</v>
      </c>
      <c r="S420" s="178" t="s">
        <v>253</v>
      </c>
      <c r="T420" s="57" t="str">
        <f t="shared" si="21"/>
        <v>Đ</v>
      </c>
      <c r="U420" s="59">
        <f t="shared" si="22"/>
        <v>0</v>
      </c>
      <c r="V420" s="55">
        <f t="shared" si="23"/>
        <v>13311</v>
      </c>
    </row>
    <row r="421" spans="1:22" ht="21.65" customHeight="1">
      <c r="A421" s="176">
        <v>404</v>
      </c>
      <c r="B421" s="178" t="s">
        <v>811</v>
      </c>
      <c r="C421" s="271" t="s">
        <v>978</v>
      </c>
      <c r="D421" s="177">
        <v>45963</v>
      </c>
      <c r="E421" s="178" t="s">
        <v>813</v>
      </c>
      <c r="F421" s="271" t="s">
        <v>814</v>
      </c>
      <c r="G421" s="178" t="s">
        <v>815</v>
      </c>
      <c r="H421" s="366">
        <v>24815</v>
      </c>
      <c r="I421" s="176">
        <v>10</v>
      </c>
      <c r="J421" s="366">
        <v>2482</v>
      </c>
      <c r="K421" s="178" t="s">
        <v>261</v>
      </c>
      <c r="L421" s="178" t="s">
        <v>252</v>
      </c>
      <c r="M421" s="271" t="s">
        <v>816</v>
      </c>
      <c r="N421" s="177">
        <v>46230</v>
      </c>
      <c r="O421" s="177">
        <v>46230</v>
      </c>
      <c r="P421" s="366">
        <v>27297</v>
      </c>
      <c r="Q421" s="176" t="s">
        <v>248</v>
      </c>
      <c r="R421" s="176" t="s">
        <v>434</v>
      </c>
      <c r="S421" s="178" t="s">
        <v>253</v>
      </c>
      <c r="T421" s="57" t="str">
        <f t="shared" si="21"/>
        <v>Đ</v>
      </c>
      <c r="U421" s="59">
        <f t="shared" si="22"/>
        <v>0</v>
      </c>
      <c r="V421" s="55">
        <f t="shared" si="23"/>
        <v>13311</v>
      </c>
    </row>
    <row r="422" spans="1:22" ht="21.65" customHeight="1">
      <c r="A422" s="176">
        <v>405</v>
      </c>
      <c r="B422" s="178" t="s">
        <v>811</v>
      </c>
      <c r="C422" s="271" t="s">
        <v>979</v>
      </c>
      <c r="D422" s="177">
        <v>45963</v>
      </c>
      <c r="E422" s="178" t="s">
        <v>813</v>
      </c>
      <c r="F422" s="271" t="s">
        <v>814</v>
      </c>
      <c r="G422" s="178" t="s">
        <v>815</v>
      </c>
      <c r="H422" s="366">
        <v>38559</v>
      </c>
      <c r="I422" s="176">
        <v>10</v>
      </c>
      <c r="J422" s="366">
        <v>3856</v>
      </c>
      <c r="K422" s="178" t="s">
        <v>261</v>
      </c>
      <c r="L422" s="178" t="s">
        <v>252</v>
      </c>
      <c r="M422" s="271" t="s">
        <v>816</v>
      </c>
      <c r="N422" s="177">
        <v>46230</v>
      </c>
      <c r="O422" s="177">
        <v>46230</v>
      </c>
      <c r="P422" s="366">
        <v>42415</v>
      </c>
      <c r="Q422" s="176" t="s">
        <v>248</v>
      </c>
      <c r="R422" s="176" t="s">
        <v>434</v>
      </c>
      <c r="S422" s="178" t="s">
        <v>253</v>
      </c>
      <c r="T422" s="57" t="str">
        <f t="shared" si="21"/>
        <v>Đ</v>
      </c>
      <c r="U422" s="59">
        <f t="shared" si="22"/>
        <v>0</v>
      </c>
      <c r="V422" s="55">
        <f t="shared" si="23"/>
        <v>13311</v>
      </c>
    </row>
    <row r="423" spans="1:22" ht="21.65" customHeight="1">
      <c r="A423" s="176">
        <v>406</v>
      </c>
      <c r="B423" s="178" t="s">
        <v>811</v>
      </c>
      <c r="C423" s="271" t="s">
        <v>980</v>
      </c>
      <c r="D423" s="177">
        <v>45963</v>
      </c>
      <c r="E423" s="178" t="s">
        <v>813</v>
      </c>
      <c r="F423" s="271" t="s">
        <v>814</v>
      </c>
      <c r="G423" s="178" t="s">
        <v>815</v>
      </c>
      <c r="H423" s="366">
        <v>27273</v>
      </c>
      <c r="I423" s="176">
        <v>10</v>
      </c>
      <c r="J423" s="366">
        <v>2727</v>
      </c>
      <c r="K423" s="178" t="s">
        <v>261</v>
      </c>
      <c r="L423" s="178" t="s">
        <v>252</v>
      </c>
      <c r="M423" s="271" t="s">
        <v>816</v>
      </c>
      <c r="N423" s="177">
        <v>46230</v>
      </c>
      <c r="O423" s="177">
        <v>46230</v>
      </c>
      <c r="P423" s="366">
        <v>30000</v>
      </c>
      <c r="Q423" s="176" t="s">
        <v>248</v>
      </c>
      <c r="R423" s="176" t="s">
        <v>434</v>
      </c>
      <c r="S423" s="178" t="s">
        <v>253</v>
      </c>
      <c r="T423" s="57" t="str">
        <f t="shared" si="21"/>
        <v>Đ</v>
      </c>
      <c r="U423" s="59">
        <f t="shared" si="22"/>
        <v>0</v>
      </c>
      <c r="V423" s="55">
        <f t="shared" si="23"/>
        <v>13311</v>
      </c>
    </row>
    <row r="424" spans="1:22" ht="21.65" customHeight="1">
      <c r="A424" s="176">
        <v>407</v>
      </c>
      <c r="B424" s="178" t="s">
        <v>811</v>
      </c>
      <c r="C424" s="271" t="s">
        <v>981</v>
      </c>
      <c r="D424" s="177">
        <v>45963</v>
      </c>
      <c r="E424" s="178" t="s">
        <v>813</v>
      </c>
      <c r="F424" s="271" t="s">
        <v>814</v>
      </c>
      <c r="G424" s="178" t="s">
        <v>815</v>
      </c>
      <c r="H424" s="366">
        <v>113473</v>
      </c>
      <c r="I424" s="176">
        <v>10</v>
      </c>
      <c r="J424" s="366">
        <v>11347</v>
      </c>
      <c r="K424" s="178" t="s">
        <v>261</v>
      </c>
      <c r="L424" s="178" t="s">
        <v>252</v>
      </c>
      <c r="M424" s="271" t="s">
        <v>816</v>
      </c>
      <c r="N424" s="177">
        <v>46230</v>
      </c>
      <c r="O424" s="177">
        <v>46230</v>
      </c>
      <c r="P424" s="366">
        <v>124820</v>
      </c>
      <c r="Q424" s="176" t="s">
        <v>248</v>
      </c>
      <c r="R424" s="176" t="s">
        <v>434</v>
      </c>
      <c r="S424" s="178" t="s">
        <v>253</v>
      </c>
      <c r="T424" s="57" t="str">
        <f t="shared" si="21"/>
        <v>Đ</v>
      </c>
      <c r="U424" s="59">
        <f t="shared" si="22"/>
        <v>0</v>
      </c>
      <c r="V424" s="55">
        <f t="shared" si="23"/>
        <v>13311</v>
      </c>
    </row>
    <row r="425" spans="1:22" ht="21.65" customHeight="1">
      <c r="A425" s="176">
        <v>408</v>
      </c>
      <c r="B425" s="178" t="s">
        <v>811</v>
      </c>
      <c r="C425" s="271" t="s">
        <v>982</v>
      </c>
      <c r="D425" s="177">
        <v>45963</v>
      </c>
      <c r="E425" s="178" t="s">
        <v>813</v>
      </c>
      <c r="F425" s="271" t="s">
        <v>814</v>
      </c>
      <c r="G425" s="178" t="s">
        <v>815</v>
      </c>
      <c r="H425" s="366">
        <v>27273</v>
      </c>
      <c r="I425" s="176">
        <v>10</v>
      </c>
      <c r="J425" s="366">
        <v>2727</v>
      </c>
      <c r="K425" s="178" t="s">
        <v>261</v>
      </c>
      <c r="L425" s="178" t="s">
        <v>252</v>
      </c>
      <c r="M425" s="271" t="s">
        <v>816</v>
      </c>
      <c r="N425" s="177">
        <v>46230</v>
      </c>
      <c r="O425" s="177">
        <v>46230</v>
      </c>
      <c r="P425" s="366">
        <v>30000</v>
      </c>
      <c r="Q425" s="176" t="s">
        <v>248</v>
      </c>
      <c r="R425" s="176" t="s">
        <v>434</v>
      </c>
      <c r="S425" s="178" t="s">
        <v>253</v>
      </c>
      <c r="T425" s="57" t="str">
        <f t="shared" si="21"/>
        <v>Đ</v>
      </c>
      <c r="U425" s="59">
        <f t="shared" si="22"/>
        <v>0</v>
      </c>
      <c r="V425" s="55">
        <f t="shared" si="23"/>
        <v>13311</v>
      </c>
    </row>
    <row r="426" spans="1:22" ht="21.65" customHeight="1">
      <c r="A426" s="176">
        <v>409</v>
      </c>
      <c r="B426" s="178" t="s">
        <v>811</v>
      </c>
      <c r="C426" s="271" t="s">
        <v>983</v>
      </c>
      <c r="D426" s="177">
        <v>45963</v>
      </c>
      <c r="E426" s="178" t="s">
        <v>813</v>
      </c>
      <c r="F426" s="271" t="s">
        <v>814</v>
      </c>
      <c r="G426" s="178" t="s">
        <v>815</v>
      </c>
      <c r="H426" s="366">
        <v>20000</v>
      </c>
      <c r="I426" s="176">
        <v>10</v>
      </c>
      <c r="J426" s="366">
        <v>2000</v>
      </c>
      <c r="K426" s="178" t="s">
        <v>261</v>
      </c>
      <c r="L426" s="178" t="s">
        <v>252</v>
      </c>
      <c r="M426" s="271" t="s">
        <v>816</v>
      </c>
      <c r="N426" s="177">
        <v>46230</v>
      </c>
      <c r="O426" s="177">
        <v>46230</v>
      </c>
      <c r="P426" s="366">
        <v>22000</v>
      </c>
      <c r="Q426" s="176" t="s">
        <v>248</v>
      </c>
      <c r="R426" s="176" t="s">
        <v>434</v>
      </c>
      <c r="S426" s="178" t="s">
        <v>253</v>
      </c>
      <c r="T426" s="57" t="str">
        <f t="shared" si="21"/>
        <v>Đ</v>
      </c>
      <c r="U426" s="59">
        <f t="shared" si="22"/>
        <v>0</v>
      </c>
      <c r="V426" s="55">
        <f t="shared" si="23"/>
        <v>13311</v>
      </c>
    </row>
    <row r="427" spans="1:22" ht="21.65" customHeight="1">
      <c r="A427" s="176">
        <v>410</v>
      </c>
      <c r="B427" s="178" t="s">
        <v>811</v>
      </c>
      <c r="C427" s="271" t="s">
        <v>984</v>
      </c>
      <c r="D427" s="177">
        <v>45963</v>
      </c>
      <c r="E427" s="178" t="s">
        <v>813</v>
      </c>
      <c r="F427" s="271" t="s">
        <v>814</v>
      </c>
      <c r="G427" s="178" t="s">
        <v>815</v>
      </c>
      <c r="H427" s="366">
        <v>27273</v>
      </c>
      <c r="I427" s="176">
        <v>10</v>
      </c>
      <c r="J427" s="366">
        <v>2727</v>
      </c>
      <c r="K427" s="178" t="s">
        <v>261</v>
      </c>
      <c r="L427" s="178" t="s">
        <v>252</v>
      </c>
      <c r="M427" s="271" t="s">
        <v>816</v>
      </c>
      <c r="N427" s="177">
        <v>46230</v>
      </c>
      <c r="O427" s="177">
        <v>46230</v>
      </c>
      <c r="P427" s="366">
        <v>30000</v>
      </c>
      <c r="Q427" s="176" t="s">
        <v>248</v>
      </c>
      <c r="R427" s="176" t="s">
        <v>434</v>
      </c>
      <c r="S427" s="178" t="s">
        <v>253</v>
      </c>
      <c r="T427" s="57" t="str">
        <f t="shared" si="21"/>
        <v>Đ</v>
      </c>
      <c r="U427" s="59">
        <f t="shared" si="22"/>
        <v>0</v>
      </c>
      <c r="V427" s="55">
        <f t="shared" si="23"/>
        <v>13311</v>
      </c>
    </row>
    <row r="428" spans="1:22" ht="21.65" customHeight="1">
      <c r="A428" s="176">
        <v>411</v>
      </c>
      <c r="B428" s="178" t="s">
        <v>811</v>
      </c>
      <c r="C428" s="271" t="s">
        <v>985</v>
      </c>
      <c r="D428" s="177">
        <v>45963</v>
      </c>
      <c r="E428" s="178" t="s">
        <v>813</v>
      </c>
      <c r="F428" s="271" t="s">
        <v>814</v>
      </c>
      <c r="G428" s="178" t="s">
        <v>815</v>
      </c>
      <c r="H428" s="366">
        <v>27273</v>
      </c>
      <c r="I428" s="176">
        <v>10</v>
      </c>
      <c r="J428" s="366">
        <v>2727</v>
      </c>
      <c r="K428" s="178" t="s">
        <v>261</v>
      </c>
      <c r="L428" s="178" t="s">
        <v>252</v>
      </c>
      <c r="M428" s="271" t="s">
        <v>816</v>
      </c>
      <c r="N428" s="177">
        <v>46230</v>
      </c>
      <c r="O428" s="177">
        <v>46230</v>
      </c>
      <c r="P428" s="366">
        <v>30000</v>
      </c>
      <c r="Q428" s="176" t="s">
        <v>248</v>
      </c>
      <c r="R428" s="176" t="s">
        <v>434</v>
      </c>
      <c r="S428" s="178" t="s">
        <v>253</v>
      </c>
      <c r="T428" s="57" t="str">
        <f t="shared" si="21"/>
        <v>Đ</v>
      </c>
      <c r="U428" s="59">
        <f t="shared" si="22"/>
        <v>0</v>
      </c>
      <c r="V428" s="55">
        <f t="shared" si="23"/>
        <v>13311</v>
      </c>
    </row>
    <row r="429" spans="1:22" ht="21.65" customHeight="1">
      <c r="A429" s="176">
        <v>412</v>
      </c>
      <c r="B429" s="178" t="s">
        <v>811</v>
      </c>
      <c r="C429" s="271" t="s">
        <v>986</v>
      </c>
      <c r="D429" s="177">
        <v>45963</v>
      </c>
      <c r="E429" s="178" t="s">
        <v>813</v>
      </c>
      <c r="F429" s="271" t="s">
        <v>814</v>
      </c>
      <c r="G429" s="178" t="s">
        <v>815</v>
      </c>
      <c r="H429" s="366">
        <v>27273</v>
      </c>
      <c r="I429" s="176">
        <v>10</v>
      </c>
      <c r="J429" s="366">
        <v>2727</v>
      </c>
      <c r="K429" s="178" t="s">
        <v>261</v>
      </c>
      <c r="L429" s="178" t="s">
        <v>252</v>
      </c>
      <c r="M429" s="271" t="s">
        <v>816</v>
      </c>
      <c r="N429" s="177">
        <v>46230</v>
      </c>
      <c r="O429" s="177">
        <v>46230</v>
      </c>
      <c r="P429" s="366">
        <v>30000</v>
      </c>
      <c r="Q429" s="176" t="s">
        <v>248</v>
      </c>
      <c r="R429" s="176" t="s">
        <v>434</v>
      </c>
      <c r="S429" s="178" t="s">
        <v>253</v>
      </c>
      <c r="T429" s="57" t="str">
        <f t="shared" si="21"/>
        <v>Đ</v>
      </c>
      <c r="U429" s="59">
        <f t="shared" si="22"/>
        <v>0</v>
      </c>
      <c r="V429" s="55">
        <f t="shared" si="23"/>
        <v>13311</v>
      </c>
    </row>
    <row r="430" spans="1:22" ht="21.65" customHeight="1">
      <c r="A430" s="176">
        <v>413</v>
      </c>
      <c r="B430" s="178" t="s">
        <v>811</v>
      </c>
      <c r="C430" s="271" t="s">
        <v>987</v>
      </c>
      <c r="D430" s="177">
        <v>45963</v>
      </c>
      <c r="E430" s="178" t="s">
        <v>813</v>
      </c>
      <c r="F430" s="271" t="s">
        <v>814</v>
      </c>
      <c r="G430" s="178" t="s">
        <v>815</v>
      </c>
      <c r="H430" s="366">
        <v>26087</v>
      </c>
      <c r="I430" s="176">
        <v>10</v>
      </c>
      <c r="J430" s="366">
        <v>2609</v>
      </c>
      <c r="K430" s="178" t="s">
        <v>261</v>
      </c>
      <c r="L430" s="178" t="s">
        <v>252</v>
      </c>
      <c r="M430" s="271" t="s">
        <v>816</v>
      </c>
      <c r="N430" s="177">
        <v>46230</v>
      </c>
      <c r="O430" s="177">
        <v>46230</v>
      </c>
      <c r="P430" s="366">
        <v>28696</v>
      </c>
      <c r="Q430" s="176" t="s">
        <v>248</v>
      </c>
      <c r="R430" s="176" t="s">
        <v>434</v>
      </c>
      <c r="S430" s="178" t="s">
        <v>253</v>
      </c>
      <c r="T430" s="57" t="str">
        <f t="shared" si="21"/>
        <v>Đ</v>
      </c>
      <c r="U430" s="59">
        <f t="shared" si="22"/>
        <v>0</v>
      </c>
      <c r="V430" s="55">
        <f t="shared" si="23"/>
        <v>13311</v>
      </c>
    </row>
    <row r="431" spans="1:22" ht="21.65" customHeight="1">
      <c r="A431" s="176">
        <v>414</v>
      </c>
      <c r="B431" s="178" t="s">
        <v>811</v>
      </c>
      <c r="C431" s="271" t="s">
        <v>988</v>
      </c>
      <c r="D431" s="177">
        <v>45963</v>
      </c>
      <c r="E431" s="178" t="s">
        <v>813</v>
      </c>
      <c r="F431" s="271" t="s">
        <v>814</v>
      </c>
      <c r="G431" s="178" t="s">
        <v>815</v>
      </c>
      <c r="H431" s="366">
        <v>20000</v>
      </c>
      <c r="I431" s="176">
        <v>10</v>
      </c>
      <c r="J431" s="366">
        <v>2000</v>
      </c>
      <c r="K431" s="178" t="s">
        <v>261</v>
      </c>
      <c r="L431" s="178" t="s">
        <v>252</v>
      </c>
      <c r="M431" s="271" t="s">
        <v>816</v>
      </c>
      <c r="N431" s="177">
        <v>46230</v>
      </c>
      <c r="O431" s="177">
        <v>46230</v>
      </c>
      <c r="P431" s="366">
        <v>22000</v>
      </c>
      <c r="Q431" s="176" t="s">
        <v>248</v>
      </c>
      <c r="R431" s="176" t="s">
        <v>434</v>
      </c>
      <c r="S431" s="178" t="s">
        <v>253</v>
      </c>
      <c r="T431" s="57" t="str">
        <f t="shared" si="21"/>
        <v>Đ</v>
      </c>
      <c r="U431" s="59">
        <f t="shared" si="22"/>
        <v>0</v>
      </c>
      <c r="V431" s="55">
        <f t="shared" si="23"/>
        <v>13311</v>
      </c>
    </row>
    <row r="432" spans="1:22" ht="21.65" customHeight="1">
      <c r="A432" s="176">
        <v>415</v>
      </c>
      <c r="B432" s="178" t="s">
        <v>811</v>
      </c>
      <c r="C432" s="271" t="s">
        <v>989</v>
      </c>
      <c r="D432" s="177">
        <v>45963</v>
      </c>
      <c r="E432" s="178" t="s">
        <v>813</v>
      </c>
      <c r="F432" s="271" t="s">
        <v>814</v>
      </c>
      <c r="G432" s="178" t="s">
        <v>815</v>
      </c>
      <c r="H432" s="366">
        <v>27273</v>
      </c>
      <c r="I432" s="176">
        <v>10</v>
      </c>
      <c r="J432" s="366">
        <v>2727</v>
      </c>
      <c r="K432" s="178" t="s">
        <v>261</v>
      </c>
      <c r="L432" s="178" t="s">
        <v>252</v>
      </c>
      <c r="M432" s="271" t="s">
        <v>816</v>
      </c>
      <c r="N432" s="177">
        <v>46230</v>
      </c>
      <c r="O432" s="177">
        <v>46230</v>
      </c>
      <c r="P432" s="366">
        <v>30000</v>
      </c>
      <c r="Q432" s="176" t="s">
        <v>248</v>
      </c>
      <c r="R432" s="176" t="s">
        <v>434</v>
      </c>
      <c r="S432" s="178" t="s">
        <v>253</v>
      </c>
      <c r="T432" s="57" t="str">
        <f t="shared" si="21"/>
        <v>Đ</v>
      </c>
      <c r="U432" s="59">
        <f t="shared" si="22"/>
        <v>0</v>
      </c>
      <c r="V432" s="55">
        <f t="shared" si="23"/>
        <v>13311</v>
      </c>
    </row>
    <row r="433" spans="1:22" ht="21.65" customHeight="1">
      <c r="A433" s="176">
        <v>416</v>
      </c>
      <c r="B433" s="178" t="s">
        <v>811</v>
      </c>
      <c r="C433" s="271" t="s">
        <v>990</v>
      </c>
      <c r="D433" s="177">
        <v>45963</v>
      </c>
      <c r="E433" s="178" t="s">
        <v>813</v>
      </c>
      <c r="F433" s="271" t="s">
        <v>814</v>
      </c>
      <c r="G433" s="178" t="s">
        <v>815</v>
      </c>
      <c r="H433" s="366">
        <v>27273</v>
      </c>
      <c r="I433" s="176">
        <v>10</v>
      </c>
      <c r="J433" s="366">
        <v>2727</v>
      </c>
      <c r="K433" s="178" t="s">
        <v>261</v>
      </c>
      <c r="L433" s="178" t="s">
        <v>252</v>
      </c>
      <c r="M433" s="271" t="s">
        <v>816</v>
      </c>
      <c r="N433" s="177">
        <v>46230</v>
      </c>
      <c r="O433" s="177">
        <v>46230</v>
      </c>
      <c r="P433" s="366">
        <v>30000</v>
      </c>
      <c r="Q433" s="176" t="s">
        <v>248</v>
      </c>
      <c r="R433" s="176" t="s">
        <v>434</v>
      </c>
      <c r="S433" s="178" t="s">
        <v>253</v>
      </c>
      <c r="T433" s="57" t="str">
        <f t="shared" si="21"/>
        <v>Đ</v>
      </c>
      <c r="U433" s="59">
        <f t="shared" si="22"/>
        <v>0</v>
      </c>
      <c r="V433" s="55">
        <f t="shared" si="23"/>
        <v>13311</v>
      </c>
    </row>
    <row r="434" spans="1:22" ht="21.65" customHeight="1">
      <c r="A434" s="176">
        <v>417</v>
      </c>
      <c r="B434" s="178" t="s">
        <v>811</v>
      </c>
      <c r="C434" s="271" t="s">
        <v>991</v>
      </c>
      <c r="D434" s="177">
        <v>45963</v>
      </c>
      <c r="E434" s="178" t="s">
        <v>813</v>
      </c>
      <c r="F434" s="271" t="s">
        <v>814</v>
      </c>
      <c r="G434" s="178" t="s">
        <v>815</v>
      </c>
      <c r="H434" s="366">
        <v>27273</v>
      </c>
      <c r="I434" s="176">
        <v>10</v>
      </c>
      <c r="J434" s="366">
        <v>2727</v>
      </c>
      <c r="K434" s="178" t="s">
        <v>261</v>
      </c>
      <c r="L434" s="178" t="s">
        <v>252</v>
      </c>
      <c r="M434" s="271" t="s">
        <v>816</v>
      </c>
      <c r="N434" s="177">
        <v>46230</v>
      </c>
      <c r="O434" s="177">
        <v>46230</v>
      </c>
      <c r="P434" s="366">
        <v>30000</v>
      </c>
      <c r="Q434" s="176" t="s">
        <v>248</v>
      </c>
      <c r="R434" s="176" t="s">
        <v>434</v>
      </c>
      <c r="S434" s="178" t="s">
        <v>253</v>
      </c>
      <c r="T434" s="57" t="str">
        <f t="shared" si="21"/>
        <v>Đ</v>
      </c>
      <c r="U434" s="59">
        <f t="shared" si="22"/>
        <v>0</v>
      </c>
      <c r="V434" s="55">
        <f t="shared" si="23"/>
        <v>13311</v>
      </c>
    </row>
    <row r="435" spans="1:22" ht="21.65" customHeight="1">
      <c r="A435" s="176">
        <v>418</v>
      </c>
      <c r="B435" s="178" t="s">
        <v>811</v>
      </c>
      <c r="C435" s="271" t="s">
        <v>992</v>
      </c>
      <c r="D435" s="177">
        <v>45963</v>
      </c>
      <c r="E435" s="178" t="s">
        <v>813</v>
      </c>
      <c r="F435" s="271" t="s">
        <v>814</v>
      </c>
      <c r="G435" s="178" t="s">
        <v>815</v>
      </c>
      <c r="H435" s="366">
        <v>20000</v>
      </c>
      <c r="I435" s="176">
        <v>10</v>
      </c>
      <c r="J435" s="366">
        <v>2000</v>
      </c>
      <c r="K435" s="178" t="s">
        <v>261</v>
      </c>
      <c r="L435" s="178" t="s">
        <v>252</v>
      </c>
      <c r="M435" s="271" t="s">
        <v>816</v>
      </c>
      <c r="N435" s="177">
        <v>46230</v>
      </c>
      <c r="O435" s="177">
        <v>46230</v>
      </c>
      <c r="P435" s="366">
        <v>22000</v>
      </c>
      <c r="Q435" s="176" t="s">
        <v>248</v>
      </c>
      <c r="R435" s="176" t="s">
        <v>434</v>
      </c>
      <c r="S435" s="178" t="s">
        <v>253</v>
      </c>
      <c r="T435" s="57" t="str">
        <f t="shared" si="21"/>
        <v>Đ</v>
      </c>
      <c r="U435" s="59">
        <f t="shared" si="22"/>
        <v>0</v>
      </c>
      <c r="V435" s="55">
        <f t="shared" si="23"/>
        <v>13311</v>
      </c>
    </row>
    <row r="436" spans="1:22" ht="21.65" customHeight="1">
      <c r="A436" s="176">
        <v>419</v>
      </c>
      <c r="B436" s="178" t="s">
        <v>811</v>
      </c>
      <c r="C436" s="271" t="s">
        <v>993</v>
      </c>
      <c r="D436" s="177">
        <v>45963</v>
      </c>
      <c r="E436" s="178" t="s">
        <v>813</v>
      </c>
      <c r="F436" s="271" t="s">
        <v>814</v>
      </c>
      <c r="G436" s="178" t="s">
        <v>815</v>
      </c>
      <c r="H436" s="366">
        <v>273000</v>
      </c>
      <c r="I436" s="176">
        <v>10</v>
      </c>
      <c r="J436" s="366">
        <v>27300</v>
      </c>
      <c r="K436" s="178" t="s">
        <v>261</v>
      </c>
      <c r="L436" s="178" t="s">
        <v>252</v>
      </c>
      <c r="M436" s="271" t="s">
        <v>816</v>
      </c>
      <c r="N436" s="177">
        <v>46230</v>
      </c>
      <c r="O436" s="177">
        <v>46230</v>
      </c>
      <c r="P436" s="366">
        <v>300300</v>
      </c>
      <c r="Q436" s="176" t="s">
        <v>248</v>
      </c>
      <c r="R436" s="176" t="s">
        <v>434</v>
      </c>
      <c r="S436" s="178" t="s">
        <v>253</v>
      </c>
      <c r="T436" s="57" t="str">
        <f t="shared" si="21"/>
        <v>Đ</v>
      </c>
      <c r="U436" s="59">
        <f t="shared" si="22"/>
        <v>0</v>
      </c>
      <c r="V436" s="55">
        <f t="shared" si="23"/>
        <v>13311</v>
      </c>
    </row>
    <row r="437" spans="1:22" ht="21.65" customHeight="1">
      <c r="A437" s="176">
        <v>420</v>
      </c>
      <c r="B437" s="178" t="s">
        <v>811</v>
      </c>
      <c r="C437" s="271" t="s">
        <v>994</v>
      </c>
      <c r="D437" s="177">
        <v>45963</v>
      </c>
      <c r="E437" s="178" t="s">
        <v>813</v>
      </c>
      <c r="F437" s="271" t="s">
        <v>814</v>
      </c>
      <c r="G437" s="178" t="s">
        <v>815</v>
      </c>
      <c r="H437" s="366">
        <v>20000</v>
      </c>
      <c r="I437" s="176">
        <v>10</v>
      </c>
      <c r="J437" s="366">
        <v>2000</v>
      </c>
      <c r="K437" s="178" t="s">
        <v>261</v>
      </c>
      <c r="L437" s="178" t="s">
        <v>252</v>
      </c>
      <c r="M437" s="271" t="s">
        <v>816</v>
      </c>
      <c r="N437" s="177">
        <v>46230</v>
      </c>
      <c r="O437" s="177">
        <v>46230</v>
      </c>
      <c r="P437" s="366">
        <v>22000</v>
      </c>
      <c r="Q437" s="176" t="s">
        <v>248</v>
      </c>
      <c r="R437" s="176" t="s">
        <v>434</v>
      </c>
      <c r="S437" s="178" t="s">
        <v>253</v>
      </c>
      <c r="T437" s="57" t="str">
        <f t="shared" si="21"/>
        <v>Đ</v>
      </c>
      <c r="U437" s="59">
        <f t="shared" si="22"/>
        <v>0</v>
      </c>
      <c r="V437" s="55">
        <f t="shared" si="23"/>
        <v>13311</v>
      </c>
    </row>
    <row r="438" spans="1:22" ht="21.65" customHeight="1">
      <c r="A438" s="176">
        <v>421</v>
      </c>
      <c r="B438" s="178" t="s">
        <v>811</v>
      </c>
      <c r="C438" s="271" t="s">
        <v>995</v>
      </c>
      <c r="D438" s="177">
        <v>45963</v>
      </c>
      <c r="E438" s="178" t="s">
        <v>813</v>
      </c>
      <c r="F438" s="271" t="s">
        <v>814</v>
      </c>
      <c r="G438" s="178" t="s">
        <v>815</v>
      </c>
      <c r="H438" s="366">
        <v>28276</v>
      </c>
      <c r="I438" s="176">
        <v>10</v>
      </c>
      <c r="J438" s="366">
        <v>2828</v>
      </c>
      <c r="K438" s="178" t="s">
        <v>261</v>
      </c>
      <c r="L438" s="178" t="s">
        <v>252</v>
      </c>
      <c r="M438" s="271" t="s">
        <v>816</v>
      </c>
      <c r="N438" s="177">
        <v>46230</v>
      </c>
      <c r="O438" s="177">
        <v>46230</v>
      </c>
      <c r="P438" s="366">
        <v>31104</v>
      </c>
      <c r="Q438" s="176" t="s">
        <v>248</v>
      </c>
      <c r="R438" s="176" t="s">
        <v>434</v>
      </c>
      <c r="S438" s="178" t="s">
        <v>253</v>
      </c>
      <c r="T438" s="57" t="str">
        <f t="shared" si="21"/>
        <v>Đ</v>
      </c>
      <c r="U438" s="59">
        <f t="shared" si="22"/>
        <v>0</v>
      </c>
      <c r="V438" s="55">
        <f t="shared" si="23"/>
        <v>13311</v>
      </c>
    </row>
    <row r="439" spans="1:22" ht="21.65" customHeight="1">
      <c r="A439" s="176">
        <v>422</v>
      </c>
      <c r="B439" s="178" t="s">
        <v>811</v>
      </c>
      <c r="C439" s="271" t="s">
        <v>996</v>
      </c>
      <c r="D439" s="177">
        <v>45963</v>
      </c>
      <c r="E439" s="178" t="s">
        <v>813</v>
      </c>
      <c r="F439" s="271" t="s">
        <v>814</v>
      </c>
      <c r="G439" s="178" t="s">
        <v>815</v>
      </c>
      <c r="H439" s="366">
        <v>27273</v>
      </c>
      <c r="I439" s="176">
        <v>10</v>
      </c>
      <c r="J439" s="366">
        <v>2727</v>
      </c>
      <c r="K439" s="178" t="s">
        <v>261</v>
      </c>
      <c r="L439" s="178" t="s">
        <v>252</v>
      </c>
      <c r="M439" s="271" t="s">
        <v>816</v>
      </c>
      <c r="N439" s="177">
        <v>46230</v>
      </c>
      <c r="O439" s="177">
        <v>46230</v>
      </c>
      <c r="P439" s="366">
        <v>30000</v>
      </c>
      <c r="Q439" s="176" t="s">
        <v>248</v>
      </c>
      <c r="R439" s="176" t="s">
        <v>434</v>
      </c>
      <c r="S439" s="178" t="s">
        <v>253</v>
      </c>
      <c r="T439" s="57" t="str">
        <f t="shared" si="21"/>
        <v>Đ</v>
      </c>
      <c r="U439" s="59">
        <f t="shared" si="22"/>
        <v>0</v>
      </c>
      <c r="V439" s="55">
        <f t="shared" si="23"/>
        <v>13311</v>
      </c>
    </row>
    <row r="440" spans="1:22" ht="21.65" customHeight="1">
      <c r="A440" s="176">
        <v>423</v>
      </c>
      <c r="B440" s="178" t="s">
        <v>811</v>
      </c>
      <c r="C440" s="271" t="s">
        <v>997</v>
      </c>
      <c r="D440" s="177">
        <v>45963</v>
      </c>
      <c r="E440" s="178" t="s">
        <v>813</v>
      </c>
      <c r="F440" s="271" t="s">
        <v>814</v>
      </c>
      <c r="G440" s="178" t="s">
        <v>815</v>
      </c>
      <c r="H440" s="366">
        <v>27273</v>
      </c>
      <c r="I440" s="176">
        <v>10</v>
      </c>
      <c r="J440" s="366">
        <v>2727</v>
      </c>
      <c r="K440" s="178" t="s">
        <v>261</v>
      </c>
      <c r="L440" s="178" t="s">
        <v>252</v>
      </c>
      <c r="M440" s="271" t="s">
        <v>816</v>
      </c>
      <c r="N440" s="177">
        <v>46230</v>
      </c>
      <c r="O440" s="177">
        <v>46230</v>
      </c>
      <c r="P440" s="366">
        <v>30000</v>
      </c>
      <c r="Q440" s="176" t="s">
        <v>248</v>
      </c>
      <c r="R440" s="176" t="s">
        <v>434</v>
      </c>
      <c r="S440" s="178" t="s">
        <v>253</v>
      </c>
      <c r="T440" s="57" t="str">
        <f t="shared" si="21"/>
        <v>Đ</v>
      </c>
      <c r="U440" s="59">
        <f t="shared" si="22"/>
        <v>0</v>
      </c>
      <c r="V440" s="55">
        <f t="shared" si="23"/>
        <v>13311</v>
      </c>
    </row>
    <row r="441" spans="1:22" ht="21.65" customHeight="1">
      <c r="A441" s="176">
        <v>424</v>
      </c>
      <c r="B441" s="178" t="s">
        <v>811</v>
      </c>
      <c r="C441" s="271" t="s">
        <v>998</v>
      </c>
      <c r="D441" s="177">
        <v>45963</v>
      </c>
      <c r="E441" s="178" t="s">
        <v>813</v>
      </c>
      <c r="F441" s="271" t="s">
        <v>814</v>
      </c>
      <c r="G441" s="178" t="s">
        <v>815</v>
      </c>
      <c r="H441" s="366">
        <v>27273</v>
      </c>
      <c r="I441" s="176">
        <v>10</v>
      </c>
      <c r="J441" s="366">
        <v>2727</v>
      </c>
      <c r="K441" s="178" t="s">
        <v>261</v>
      </c>
      <c r="L441" s="178" t="s">
        <v>252</v>
      </c>
      <c r="M441" s="271" t="s">
        <v>816</v>
      </c>
      <c r="N441" s="177">
        <v>46230</v>
      </c>
      <c r="O441" s="177">
        <v>46230</v>
      </c>
      <c r="P441" s="366">
        <v>30000</v>
      </c>
      <c r="Q441" s="176" t="s">
        <v>248</v>
      </c>
      <c r="R441" s="176" t="s">
        <v>434</v>
      </c>
      <c r="S441" s="178" t="s">
        <v>253</v>
      </c>
      <c r="T441" s="57" t="str">
        <f t="shared" si="21"/>
        <v>Đ</v>
      </c>
      <c r="U441" s="59">
        <f t="shared" si="22"/>
        <v>0</v>
      </c>
      <c r="V441" s="55">
        <f t="shared" si="23"/>
        <v>13311</v>
      </c>
    </row>
    <row r="442" spans="1:22" ht="21.65" customHeight="1">
      <c r="A442" s="176">
        <v>425</v>
      </c>
      <c r="B442" s="178" t="s">
        <v>811</v>
      </c>
      <c r="C442" s="271" t="s">
        <v>999</v>
      </c>
      <c r="D442" s="177">
        <v>45963</v>
      </c>
      <c r="E442" s="178" t="s">
        <v>813</v>
      </c>
      <c r="F442" s="271" t="s">
        <v>814</v>
      </c>
      <c r="G442" s="178" t="s">
        <v>815</v>
      </c>
      <c r="H442" s="366">
        <v>20000</v>
      </c>
      <c r="I442" s="176">
        <v>10</v>
      </c>
      <c r="J442" s="366">
        <v>2000</v>
      </c>
      <c r="K442" s="178" t="s">
        <v>261</v>
      </c>
      <c r="L442" s="178" t="s">
        <v>252</v>
      </c>
      <c r="M442" s="271" t="s">
        <v>816</v>
      </c>
      <c r="N442" s="177">
        <v>46230</v>
      </c>
      <c r="O442" s="177">
        <v>46230</v>
      </c>
      <c r="P442" s="366">
        <v>22000</v>
      </c>
      <c r="Q442" s="176" t="s">
        <v>248</v>
      </c>
      <c r="R442" s="176" t="s">
        <v>434</v>
      </c>
      <c r="S442" s="178" t="s">
        <v>253</v>
      </c>
      <c r="T442" s="57" t="str">
        <f t="shared" si="21"/>
        <v>Đ</v>
      </c>
      <c r="U442" s="59">
        <f t="shared" si="22"/>
        <v>0</v>
      </c>
      <c r="V442" s="55">
        <f t="shared" si="23"/>
        <v>13311</v>
      </c>
    </row>
    <row r="443" spans="1:22" ht="21.65" customHeight="1">
      <c r="A443" s="176">
        <v>426</v>
      </c>
      <c r="B443" s="178" t="s">
        <v>811</v>
      </c>
      <c r="C443" s="271" t="s">
        <v>1000</v>
      </c>
      <c r="D443" s="177">
        <v>45963</v>
      </c>
      <c r="E443" s="178" t="s">
        <v>813</v>
      </c>
      <c r="F443" s="271" t="s">
        <v>814</v>
      </c>
      <c r="G443" s="178" t="s">
        <v>815</v>
      </c>
      <c r="H443" s="366">
        <v>20069</v>
      </c>
      <c r="I443" s="176">
        <v>10</v>
      </c>
      <c r="J443" s="366">
        <v>2007</v>
      </c>
      <c r="K443" s="178" t="s">
        <v>261</v>
      </c>
      <c r="L443" s="178" t="s">
        <v>252</v>
      </c>
      <c r="M443" s="271" t="s">
        <v>816</v>
      </c>
      <c r="N443" s="177">
        <v>46230</v>
      </c>
      <c r="O443" s="177">
        <v>46230</v>
      </c>
      <c r="P443" s="366">
        <v>22076</v>
      </c>
      <c r="Q443" s="176" t="s">
        <v>248</v>
      </c>
      <c r="R443" s="176" t="s">
        <v>434</v>
      </c>
      <c r="S443" s="178" t="s">
        <v>253</v>
      </c>
      <c r="T443" s="57" t="str">
        <f t="shared" si="21"/>
        <v>Đ</v>
      </c>
      <c r="U443" s="59">
        <f t="shared" si="22"/>
        <v>0</v>
      </c>
      <c r="V443" s="55">
        <f t="shared" si="23"/>
        <v>13311</v>
      </c>
    </row>
    <row r="444" spans="1:22" ht="21.65" customHeight="1">
      <c r="A444" s="176">
        <v>427</v>
      </c>
      <c r="B444" s="178" t="s">
        <v>811</v>
      </c>
      <c r="C444" s="271" t="s">
        <v>1001</v>
      </c>
      <c r="D444" s="177">
        <v>45963</v>
      </c>
      <c r="E444" s="178" t="s">
        <v>813</v>
      </c>
      <c r="F444" s="271" t="s">
        <v>814</v>
      </c>
      <c r="G444" s="178" t="s">
        <v>815</v>
      </c>
      <c r="H444" s="366">
        <v>27273</v>
      </c>
      <c r="I444" s="176">
        <v>10</v>
      </c>
      <c r="J444" s="366">
        <v>2727</v>
      </c>
      <c r="K444" s="178" t="s">
        <v>261</v>
      </c>
      <c r="L444" s="178" t="s">
        <v>252</v>
      </c>
      <c r="M444" s="271" t="s">
        <v>816</v>
      </c>
      <c r="N444" s="177">
        <v>46230</v>
      </c>
      <c r="O444" s="177">
        <v>46230</v>
      </c>
      <c r="P444" s="366">
        <v>30000</v>
      </c>
      <c r="Q444" s="176" t="s">
        <v>248</v>
      </c>
      <c r="R444" s="176" t="s">
        <v>434</v>
      </c>
      <c r="S444" s="178" t="s">
        <v>253</v>
      </c>
      <c r="T444" s="57" t="str">
        <f t="shared" si="21"/>
        <v>Đ</v>
      </c>
      <c r="U444" s="59">
        <f t="shared" si="22"/>
        <v>0</v>
      </c>
      <c r="V444" s="55">
        <f t="shared" si="23"/>
        <v>13311</v>
      </c>
    </row>
    <row r="445" spans="1:22" ht="21.65" customHeight="1">
      <c r="A445" s="176">
        <v>428</v>
      </c>
      <c r="B445" s="178" t="s">
        <v>811</v>
      </c>
      <c r="C445" s="271" t="s">
        <v>1002</v>
      </c>
      <c r="D445" s="177">
        <v>45963</v>
      </c>
      <c r="E445" s="178" t="s">
        <v>813</v>
      </c>
      <c r="F445" s="271" t="s">
        <v>814</v>
      </c>
      <c r="G445" s="178" t="s">
        <v>815</v>
      </c>
      <c r="H445" s="366">
        <v>176324</v>
      </c>
      <c r="I445" s="176">
        <v>10</v>
      </c>
      <c r="J445" s="366">
        <v>17632</v>
      </c>
      <c r="K445" s="178" t="s">
        <v>261</v>
      </c>
      <c r="L445" s="178" t="s">
        <v>252</v>
      </c>
      <c r="M445" s="271" t="s">
        <v>816</v>
      </c>
      <c r="N445" s="177">
        <v>46230</v>
      </c>
      <c r="O445" s="177">
        <v>46230</v>
      </c>
      <c r="P445" s="366">
        <v>193956</v>
      </c>
      <c r="Q445" s="176" t="s">
        <v>248</v>
      </c>
      <c r="R445" s="176" t="s">
        <v>434</v>
      </c>
      <c r="S445" s="178" t="s">
        <v>253</v>
      </c>
      <c r="T445" s="57" t="str">
        <f t="shared" si="21"/>
        <v>Đ</v>
      </c>
      <c r="U445" s="59">
        <f t="shared" si="22"/>
        <v>0</v>
      </c>
      <c r="V445" s="55">
        <f t="shared" si="23"/>
        <v>13311</v>
      </c>
    </row>
    <row r="446" spans="1:22" ht="21.65" customHeight="1">
      <c r="A446" s="176">
        <v>429</v>
      </c>
      <c r="B446" s="178" t="s">
        <v>811</v>
      </c>
      <c r="C446" s="271" t="s">
        <v>1003</v>
      </c>
      <c r="D446" s="177">
        <v>45963</v>
      </c>
      <c r="E446" s="178" t="s">
        <v>813</v>
      </c>
      <c r="F446" s="271" t="s">
        <v>814</v>
      </c>
      <c r="G446" s="178" t="s">
        <v>815</v>
      </c>
      <c r="H446" s="366">
        <v>20000</v>
      </c>
      <c r="I446" s="176">
        <v>10</v>
      </c>
      <c r="J446" s="366">
        <v>2000</v>
      </c>
      <c r="K446" s="178" t="s">
        <v>261</v>
      </c>
      <c r="L446" s="178" t="s">
        <v>252</v>
      </c>
      <c r="M446" s="271" t="s">
        <v>816</v>
      </c>
      <c r="N446" s="177">
        <v>46230</v>
      </c>
      <c r="O446" s="177">
        <v>46230</v>
      </c>
      <c r="P446" s="366">
        <v>22000</v>
      </c>
      <c r="Q446" s="176" t="s">
        <v>248</v>
      </c>
      <c r="R446" s="176" t="s">
        <v>434</v>
      </c>
      <c r="S446" s="178" t="s">
        <v>253</v>
      </c>
      <c r="T446" s="57" t="str">
        <f t="shared" si="21"/>
        <v>Đ</v>
      </c>
      <c r="U446" s="59">
        <f t="shared" si="22"/>
        <v>0</v>
      </c>
      <c r="V446" s="55">
        <f t="shared" si="23"/>
        <v>13311</v>
      </c>
    </row>
    <row r="447" spans="1:22" ht="21.65" customHeight="1">
      <c r="A447" s="176">
        <v>430</v>
      </c>
      <c r="B447" s="178" t="s">
        <v>811</v>
      </c>
      <c r="C447" s="271" t="s">
        <v>1004</v>
      </c>
      <c r="D447" s="177">
        <v>45963</v>
      </c>
      <c r="E447" s="178" t="s">
        <v>813</v>
      </c>
      <c r="F447" s="271" t="s">
        <v>814</v>
      </c>
      <c r="G447" s="178" t="s">
        <v>815</v>
      </c>
      <c r="H447" s="366">
        <v>461818</v>
      </c>
      <c r="I447" s="176">
        <v>10</v>
      </c>
      <c r="J447" s="366">
        <v>46182</v>
      </c>
      <c r="K447" s="178" t="s">
        <v>261</v>
      </c>
      <c r="L447" s="178" t="s">
        <v>252</v>
      </c>
      <c r="M447" s="271" t="s">
        <v>816</v>
      </c>
      <c r="N447" s="177">
        <v>46230</v>
      </c>
      <c r="O447" s="177">
        <v>46230</v>
      </c>
      <c r="P447" s="366">
        <v>508000</v>
      </c>
      <c r="Q447" s="176" t="s">
        <v>248</v>
      </c>
      <c r="R447" s="176" t="s">
        <v>434</v>
      </c>
      <c r="S447" s="178" t="s">
        <v>253</v>
      </c>
      <c r="T447" s="57" t="str">
        <f t="shared" si="21"/>
        <v>Đ</v>
      </c>
      <c r="U447" s="59">
        <f t="shared" si="22"/>
        <v>0</v>
      </c>
      <c r="V447" s="55">
        <f t="shared" si="23"/>
        <v>13311</v>
      </c>
    </row>
    <row r="448" spans="1:22" ht="21.65" customHeight="1">
      <c r="A448" s="176">
        <v>431</v>
      </c>
      <c r="B448" s="178" t="s">
        <v>811</v>
      </c>
      <c r="C448" s="271" t="s">
        <v>1005</v>
      </c>
      <c r="D448" s="177">
        <v>45963</v>
      </c>
      <c r="E448" s="178" t="s">
        <v>813</v>
      </c>
      <c r="F448" s="271" t="s">
        <v>814</v>
      </c>
      <c r="G448" s="178" t="s">
        <v>815</v>
      </c>
      <c r="H448" s="366">
        <v>900000</v>
      </c>
      <c r="I448" s="176">
        <v>10</v>
      </c>
      <c r="J448" s="366">
        <v>90000</v>
      </c>
      <c r="K448" s="178" t="s">
        <v>261</v>
      </c>
      <c r="L448" s="178" t="s">
        <v>252</v>
      </c>
      <c r="M448" s="271" t="s">
        <v>816</v>
      </c>
      <c r="N448" s="177">
        <v>46230</v>
      </c>
      <c r="O448" s="177">
        <v>46230</v>
      </c>
      <c r="P448" s="366">
        <v>990000</v>
      </c>
      <c r="Q448" s="176" t="s">
        <v>248</v>
      </c>
      <c r="R448" s="176" t="s">
        <v>434</v>
      </c>
      <c r="S448" s="178" t="s">
        <v>253</v>
      </c>
      <c r="T448" s="57" t="str">
        <f t="shared" si="21"/>
        <v>Đ</v>
      </c>
      <c r="U448" s="59">
        <f t="shared" si="22"/>
        <v>0</v>
      </c>
      <c r="V448" s="55">
        <f t="shared" si="23"/>
        <v>13311</v>
      </c>
    </row>
    <row r="449" spans="1:22" ht="21.65" customHeight="1">
      <c r="A449" s="176">
        <v>432</v>
      </c>
      <c r="B449" s="178" t="s">
        <v>811</v>
      </c>
      <c r="C449" s="271" t="s">
        <v>1006</v>
      </c>
      <c r="D449" s="177">
        <v>45963</v>
      </c>
      <c r="E449" s="178" t="s">
        <v>813</v>
      </c>
      <c r="F449" s="271" t="s">
        <v>814</v>
      </c>
      <c r="G449" s="178" t="s">
        <v>815</v>
      </c>
      <c r="H449" s="366">
        <v>376501</v>
      </c>
      <c r="I449" s="176">
        <v>10</v>
      </c>
      <c r="J449" s="366">
        <v>37650</v>
      </c>
      <c r="K449" s="178" t="s">
        <v>261</v>
      </c>
      <c r="L449" s="178" t="s">
        <v>252</v>
      </c>
      <c r="M449" s="271" t="s">
        <v>816</v>
      </c>
      <c r="N449" s="177">
        <v>46230</v>
      </c>
      <c r="O449" s="177">
        <v>46230</v>
      </c>
      <c r="P449" s="366">
        <v>414151</v>
      </c>
      <c r="Q449" s="176" t="s">
        <v>248</v>
      </c>
      <c r="R449" s="176" t="s">
        <v>434</v>
      </c>
      <c r="S449" s="178" t="s">
        <v>253</v>
      </c>
      <c r="T449" s="57" t="str">
        <f t="shared" si="21"/>
        <v>Đ</v>
      </c>
      <c r="U449" s="59">
        <f t="shared" si="22"/>
        <v>0</v>
      </c>
      <c r="V449" s="55">
        <f t="shared" si="23"/>
        <v>13311</v>
      </c>
    </row>
    <row r="450" spans="1:22" ht="21.65" customHeight="1">
      <c r="A450" s="176">
        <v>433</v>
      </c>
      <c r="B450" s="178" t="s">
        <v>811</v>
      </c>
      <c r="C450" s="271" t="s">
        <v>1007</v>
      </c>
      <c r="D450" s="177">
        <v>45963</v>
      </c>
      <c r="E450" s="178" t="s">
        <v>813</v>
      </c>
      <c r="F450" s="271" t="s">
        <v>814</v>
      </c>
      <c r="G450" s="178" t="s">
        <v>815</v>
      </c>
      <c r="H450" s="366">
        <v>213232</v>
      </c>
      <c r="I450" s="176">
        <v>10</v>
      </c>
      <c r="J450" s="366">
        <v>21323</v>
      </c>
      <c r="K450" s="178" t="s">
        <v>261</v>
      </c>
      <c r="L450" s="178" t="s">
        <v>252</v>
      </c>
      <c r="M450" s="271" t="s">
        <v>816</v>
      </c>
      <c r="N450" s="177">
        <v>46230</v>
      </c>
      <c r="O450" s="177">
        <v>46230</v>
      </c>
      <c r="P450" s="366">
        <v>234555</v>
      </c>
      <c r="Q450" s="176" t="s">
        <v>248</v>
      </c>
      <c r="R450" s="176" t="s">
        <v>434</v>
      </c>
      <c r="S450" s="178" t="s">
        <v>253</v>
      </c>
      <c r="T450" s="57" t="str">
        <f t="shared" si="21"/>
        <v>Đ</v>
      </c>
      <c r="U450" s="59">
        <f t="shared" si="22"/>
        <v>0</v>
      </c>
      <c r="V450" s="55">
        <f t="shared" si="23"/>
        <v>13311</v>
      </c>
    </row>
    <row r="451" spans="1:22" ht="21.65" customHeight="1">
      <c r="A451" s="176">
        <v>434</v>
      </c>
      <c r="B451" s="178" t="s">
        <v>811</v>
      </c>
      <c r="C451" s="271" t="s">
        <v>1008</v>
      </c>
      <c r="D451" s="177">
        <v>45963</v>
      </c>
      <c r="E451" s="178" t="s">
        <v>813</v>
      </c>
      <c r="F451" s="271" t="s">
        <v>814</v>
      </c>
      <c r="G451" s="178" t="s">
        <v>815</v>
      </c>
      <c r="H451" s="366">
        <v>800000</v>
      </c>
      <c r="I451" s="176">
        <v>10</v>
      </c>
      <c r="J451" s="366">
        <v>80000</v>
      </c>
      <c r="K451" s="178" t="s">
        <v>261</v>
      </c>
      <c r="L451" s="178" t="s">
        <v>252</v>
      </c>
      <c r="M451" s="271" t="s">
        <v>816</v>
      </c>
      <c r="N451" s="177">
        <v>46230</v>
      </c>
      <c r="O451" s="177">
        <v>46230</v>
      </c>
      <c r="P451" s="366">
        <v>880000</v>
      </c>
      <c r="Q451" s="176" t="s">
        <v>248</v>
      </c>
      <c r="R451" s="176" t="s">
        <v>434</v>
      </c>
      <c r="S451" s="178" t="s">
        <v>253</v>
      </c>
      <c r="T451" s="57" t="str">
        <f t="shared" si="21"/>
        <v>Đ</v>
      </c>
      <c r="U451" s="59">
        <f t="shared" si="22"/>
        <v>0</v>
      </c>
      <c r="V451" s="55">
        <f t="shared" si="23"/>
        <v>13311</v>
      </c>
    </row>
    <row r="452" spans="1:22" ht="21.65" customHeight="1">
      <c r="A452" s="176">
        <v>435</v>
      </c>
      <c r="B452" s="178" t="s">
        <v>811</v>
      </c>
      <c r="C452" s="271" t="s">
        <v>1009</v>
      </c>
      <c r="D452" s="177">
        <v>45963</v>
      </c>
      <c r="E452" s="178" t="s">
        <v>813</v>
      </c>
      <c r="F452" s="271" t="s">
        <v>814</v>
      </c>
      <c r="G452" s="178" t="s">
        <v>815</v>
      </c>
      <c r="H452" s="366">
        <v>27273</v>
      </c>
      <c r="I452" s="176">
        <v>10</v>
      </c>
      <c r="J452" s="366">
        <v>2727</v>
      </c>
      <c r="K452" s="178" t="s">
        <v>261</v>
      </c>
      <c r="L452" s="178" t="s">
        <v>252</v>
      </c>
      <c r="M452" s="271" t="s">
        <v>816</v>
      </c>
      <c r="N452" s="177">
        <v>46230</v>
      </c>
      <c r="O452" s="177">
        <v>46230</v>
      </c>
      <c r="P452" s="366">
        <v>30000</v>
      </c>
      <c r="Q452" s="176" t="s">
        <v>248</v>
      </c>
      <c r="R452" s="176" t="s">
        <v>434</v>
      </c>
      <c r="S452" s="178" t="s">
        <v>253</v>
      </c>
      <c r="T452" s="57" t="str">
        <f t="shared" si="21"/>
        <v>Đ</v>
      </c>
      <c r="U452" s="59">
        <f t="shared" si="22"/>
        <v>0</v>
      </c>
      <c r="V452" s="55">
        <f t="shared" si="23"/>
        <v>13311</v>
      </c>
    </row>
    <row r="453" spans="1:22" s="62" customFormat="1" ht="21.65" customHeight="1">
      <c r="A453" s="176">
        <v>436</v>
      </c>
      <c r="B453" s="178" t="s">
        <v>811</v>
      </c>
      <c r="C453" s="271" t="s">
        <v>1010</v>
      </c>
      <c r="D453" s="177">
        <v>45963</v>
      </c>
      <c r="E453" s="178" t="s">
        <v>813</v>
      </c>
      <c r="F453" s="271" t="s">
        <v>814</v>
      </c>
      <c r="G453" s="178" t="s">
        <v>815</v>
      </c>
      <c r="H453" s="366">
        <v>20000</v>
      </c>
      <c r="I453" s="176">
        <v>10</v>
      </c>
      <c r="J453" s="366">
        <v>2000</v>
      </c>
      <c r="K453" s="178" t="s">
        <v>261</v>
      </c>
      <c r="L453" s="178" t="s">
        <v>252</v>
      </c>
      <c r="M453" s="271" t="s">
        <v>816</v>
      </c>
      <c r="N453" s="177">
        <v>46230</v>
      </c>
      <c r="O453" s="177">
        <v>46230</v>
      </c>
      <c r="P453" s="366">
        <v>22000</v>
      </c>
      <c r="Q453" s="176" t="s">
        <v>248</v>
      </c>
      <c r="R453" s="176" t="s">
        <v>434</v>
      </c>
      <c r="S453" s="178" t="s">
        <v>253</v>
      </c>
      <c r="T453" s="57" t="str">
        <f t="shared" si="21"/>
        <v>Đ</v>
      </c>
      <c r="U453" s="59">
        <f t="shared" si="22"/>
        <v>0</v>
      </c>
      <c r="V453" s="55">
        <f t="shared" si="23"/>
        <v>13311</v>
      </c>
    </row>
    <row r="454" spans="1:22" ht="21.65" customHeight="1">
      <c r="A454" s="176">
        <v>437</v>
      </c>
      <c r="B454" s="178" t="s">
        <v>811</v>
      </c>
      <c r="C454" s="271" t="s">
        <v>1011</v>
      </c>
      <c r="D454" s="177">
        <v>45963</v>
      </c>
      <c r="E454" s="178" t="s">
        <v>813</v>
      </c>
      <c r="F454" s="271" t="s">
        <v>814</v>
      </c>
      <c r="G454" s="178" t="s">
        <v>815</v>
      </c>
      <c r="H454" s="366">
        <v>20000</v>
      </c>
      <c r="I454" s="176">
        <v>10</v>
      </c>
      <c r="J454" s="366">
        <v>2000</v>
      </c>
      <c r="K454" s="178" t="s">
        <v>261</v>
      </c>
      <c r="L454" s="178" t="s">
        <v>252</v>
      </c>
      <c r="M454" s="271" t="s">
        <v>816</v>
      </c>
      <c r="N454" s="177">
        <v>46230</v>
      </c>
      <c r="O454" s="177">
        <v>46230</v>
      </c>
      <c r="P454" s="366">
        <v>22000</v>
      </c>
      <c r="Q454" s="176" t="s">
        <v>248</v>
      </c>
      <c r="R454" s="176" t="s">
        <v>434</v>
      </c>
      <c r="S454" s="178" t="s">
        <v>253</v>
      </c>
      <c r="T454" s="57" t="str">
        <f t="shared" si="21"/>
        <v>Đ</v>
      </c>
      <c r="U454" s="59">
        <f t="shared" si="22"/>
        <v>0</v>
      </c>
      <c r="V454" s="55">
        <f t="shared" si="23"/>
        <v>13311</v>
      </c>
    </row>
    <row r="455" spans="1:22" ht="21.65" customHeight="1">
      <c r="A455" s="176">
        <v>438</v>
      </c>
      <c r="B455" s="178" t="s">
        <v>811</v>
      </c>
      <c r="C455" s="271" t="s">
        <v>1012</v>
      </c>
      <c r="D455" s="177">
        <v>45963</v>
      </c>
      <c r="E455" s="178" t="s">
        <v>813</v>
      </c>
      <c r="F455" s="271" t="s">
        <v>814</v>
      </c>
      <c r="G455" s="178" t="s">
        <v>815</v>
      </c>
      <c r="H455" s="366">
        <v>20000</v>
      </c>
      <c r="I455" s="176">
        <v>10</v>
      </c>
      <c r="J455" s="366">
        <v>2000</v>
      </c>
      <c r="K455" s="178" t="s">
        <v>261</v>
      </c>
      <c r="L455" s="178" t="s">
        <v>252</v>
      </c>
      <c r="M455" s="271" t="s">
        <v>816</v>
      </c>
      <c r="N455" s="177">
        <v>46230</v>
      </c>
      <c r="O455" s="177">
        <v>46230</v>
      </c>
      <c r="P455" s="366">
        <v>22000</v>
      </c>
      <c r="Q455" s="176" t="s">
        <v>248</v>
      </c>
      <c r="R455" s="176" t="s">
        <v>434</v>
      </c>
      <c r="S455" s="178" t="s">
        <v>253</v>
      </c>
      <c r="T455" s="57" t="str">
        <f t="shared" si="21"/>
        <v>Đ</v>
      </c>
      <c r="U455" s="59">
        <f t="shared" si="22"/>
        <v>0</v>
      </c>
      <c r="V455" s="55">
        <f t="shared" si="23"/>
        <v>13311</v>
      </c>
    </row>
    <row r="456" spans="1:22" ht="21.65" customHeight="1">
      <c r="A456" s="176">
        <v>439</v>
      </c>
      <c r="B456" s="178" t="s">
        <v>811</v>
      </c>
      <c r="C456" s="271" t="s">
        <v>1013</v>
      </c>
      <c r="D456" s="177">
        <v>45963</v>
      </c>
      <c r="E456" s="178" t="s">
        <v>813</v>
      </c>
      <c r="F456" s="271" t="s">
        <v>814</v>
      </c>
      <c r="G456" s="178" t="s">
        <v>815</v>
      </c>
      <c r="H456" s="366">
        <v>75549</v>
      </c>
      <c r="I456" s="176">
        <v>10</v>
      </c>
      <c r="J456" s="366">
        <v>7555</v>
      </c>
      <c r="K456" s="178" t="s">
        <v>261</v>
      </c>
      <c r="L456" s="178" t="s">
        <v>252</v>
      </c>
      <c r="M456" s="271" t="s">
        <v>816</v>
      </c>
      <c r="N456" s="177">
        <v>46230</v>
      </c>
      <c r="O456" s="177">
        <v>46230</v>
      </c>
      <c r="P456" s="366">
        <v>83104</v>
      </c>
      <c r="Q456" s="176" t="s">
        <v>248</v>
      </c>
      <c r="R456" s="176" t="s">
        <v>434</v>
      </c>
      <c r="S456" s="178" t="s">
        <v>253</v>
      </c>
      <c r="T456" s="57" t="str">
        <f t="shared" si="21"/>
        <v>Đ</v>
      </c>
      <c r="U456" s="59">
        <f t="shared" si="22"/>
        <v>0</v>
      </c>
      <c r="V456" s="55">
        <f t="shared" si="23"/>
        <v>13311</v>
      </c>
    </row>
    <row r="457" spans="1:22" ht="21.65" customHeight="1">
      <c r="A457" s="176">
        <v>440</v>
      </c>
      <c r="B457" s="178" t="s">
        <v>811</v>
      </c>
      <c r="C457" s="271" t="s">
        <v>1014</v>
      </c>
      <c r="D457" s="177">
        <v>45963</v>
      </c>
      <c r="E457" s="178" t="s">
        <v>813</v>
      </c>
      <c r="F457" s="271" t="s">
        <v>814</v>
      </c>
      <c r="G457" s="178" t="s">
        <v>815</v>
      </c>
      <c r="H457" s="366">
        <v>27273</v>
      </c>
      <c r="I457" s="176">
        <v>10</v>
      </c>
      <c r="J457" s="366">
        <v>2727</v>
      </c>
      <c r="K457" s="178" t="s">
        <v>261</v>
      </c>
      <c r="L457" s="178" t="s">
        <v>252</v>
      </c>
      <c r="M457" s="271" t="s">
        <v>816</v>
      </c>
      <c r="N457" s="177">
        <v>46230</v>
      </c>
      <c r="O457" s="177">
        <v>46230</v>
      </c>
      <c r="P457" s="366">
        <v>30000</v>
      </c>
      <c r="Q457" s="176" t="s">
        <v>248</v>
      </c>
      <c r="R457" s="176" t="s">
        <v>434</v>
      </c>
      <c r="S457" s="178" t="s">
        <v>253</v>
      </c>
      <c r="T457" s="57" t="str">
        <f t="shared" si="21"/>
        <v>Đ</v>
      </c>
      <c r="U457" s="59">
        <f t="shared" si="22"/>
        <v>0</v>
      </c>
      <c r="V457" s="55">
        <f t="shared" si="23"/>
        <v>13311</v>
      </c>
    </row>
    <row r="458" spans="1:22" ht="21.65" customHeight="1">
      <c r="A458" s="176">
        <v>441</v>
      </c>
      <c r="B458" s="178" t="s">
        <v>811</v>
      </c>
      <c r="C458" s="271" t="s">
        <v>1015</v>
      </c>
      <c r="D458" s="177">
        <v>45963</v>
      </c>
      <c r="E458" s="178" t="s">
        <v>813</v>
      </c>
      <c r="F458" s="271" t="s">
        <v>814</v>
      </c>
      <c r="G458" s="178" t="s">
        <v>815</v>
      </c>
      <c r="H458" s="366">
        <v>27273</v>
      </c>
      <c r="I458" s="176">
        <v>10</v>
      </c>
      <c r="J458" s="366">
        <v>2727</v>
      </c>
      <c r="K458" s="178" t="s">
        <v>261</v>
      </c>
      <c r="L458" s="178" t="s">
        <v>252</v>
      </c>
      <c r="M458" s="271" t="s">
        <v>816</v>
      </c>
      <c r="N458" s="177">
        <v>46230</v>
      </c>
      <c r="O458" s="177">
        <v>46230</v>
      </c>
      <c r="P458" s="366">
        <v>30000</v>
      </c>
      <c r="Q458" s="176" t="s">
        <v>248</v>
      </c>
      <c r="R458" s="176" t="s">
        <v>434</v>
      </c>
      <c r="S458" s="178" t="s">
        <v>253</v>
      </c>
      <c r="T458" s="57" t="str">
        <f t="shared" si="21"/>
        <v>Đ</v>
      </c>
      <c r="U458" s="59">
        <f t="shared" si="22"/>
        <v>0</v>
      </c>
      <c r="V458" s="55">
        <f t="shared" si="23"/>
        <v>13311</v>
      </c>
    </row>
    <row r="459" spans="1:22" ht="21.65" customHeight="1">
      <c r="A459" s="176">
        <v>442</v>
      </c>
      <c r="B459" s="178" t="s">
        <v>811</v>
      </c>
      <c r="C459" s="271" t="s">
        <v>1016</v>
      </c>
      <c r="D459" s="177">
        <v>45963</v>
      </c>
      <c r="E459" s="178" t="s">
        <v>813</v>
      </c>
      <c r="F459" s="271" t="s">
        <v>814</v>
      </c>
      <c r="G459" s="178" t="s">
        <v>815</v>
      </c>
      <c r="H459" s="366">
        <v>20000</v>
      </c>
      <c r="I459" s="176">
        <v>10</v>
      </c>
      <c r="J459" s="366">
        <v>2000</v>
      </c>
      <c r="K459" s="178" t="s">
        <v>261</v>
      </c>
      <c r="L459" s="178" t="s">
        <v>252</v>
      </c>
      <c r="M459" s="271" t="s">
        <v>816</v>
      </c>
      <c r="N459" s="177">
        <v>46230</v>
      </c>
      <c r="O459" s="177">
        <v>46230</v>
      </c>
      <c r="P459" s="366">
        <v>22000</v>
      </c>
      <c r="Q459" s="176" t="s">
        <v>248</v>
      </c>
      <c r="R459" s="176" t="s">
        <v>434</v>
      </c>
      <c r="S459" s="178" t="s">
        <v>253</v>
      </c>
      <c r="T459" s="57" t="str">
        <f t="shared" si="21"/>
        <v>Đ</v>
      </c>
      <c r="U459" s="59">
        <f t="shared" si="22"/>
        <v>0</v>
      </c>
      <c r="V459" s="55">
        <f t="shared" si="23"/>
        <v>13311</v>
      </c>
    </row>
    <row r="460" spans="1:22" ht="21.65" customHeight="1">
      <c r="A460" s="176">
        <v>443</v>
      </c>
      <c r="B460" s="178" t="s">
        <v>811</v>
      </c>
      <c r="C460" s="271" t="s">
        <v>1017</v>
      </c>
      <c r="D460" s="177">
        <v>45963</v>
      </c>
      <c r="E460" s="178" t="s">
        <v>813</v>
      </c>
      <c r="F460" s="271" t="s">
        <v>814</v>
      </c>
      <c r="G460" s="178" t="s">
        <v>815</v>
      </c>
      <c r="H460" s="366">
        <v>82820</v>
      </c>
      <c r="I460" s="176">
        <v>10</v>
      </c>
      <c r="J460" s="366">
        <v>8282</v>
      </c>
      <c r="K460" s="178" t="s">
        <v>261</v>
      </c>
      <c r="L460" s="178" t="s">
        <v>252</v>
      </c>
      <c r="M460" s="271" t="s">
        <v>816</v>
      </c>
      <c r="N460" s="177">
        <v>46230</v>
      </c>
      <c r="O460" s="177">
        <v>46230</v>
      </c>
      <c r="P460" s="366">
        <v>91102</v>
      </c>
      <c r="Q460" s="176" t="s">
        <v>248</v>
      </c>
      <c r="R460" s="176" t="s">
        <v>434</v>
      </c>
      <c r="S460" s="178" t="s">
        <v>253</v>
      </c>
      <c r="T460" s="57" t="str">
        <f t="shared" si="21"/>
        <v>Đ</v>
      </c>
      <c r="U460" s="59">
        <f t="shared" si="22"/>
        <v>0</v>
      </c>
      <c r="V460" s="55">
        <f t="shared" si="23"/>
        <v>13311</v>
      </c>
    </row>
    <row r="461" spans="1:22" ht="21.65" customHeight="1">
      <c r="A461" s="176">
        <v>444</v>
      </c>
      <c r="B461" s="178" t="s">
        <v>811</v>
      </c>
      <c r="C461" s="271" t="s">
        <v>1018</v>
      </c>
      <c r="D461" s="177">
        <v>45963</v>
      </c>
      <c r="E461" s="178" t="s">
        <v>813</v>
      </c>
      <c r="F461" s="271" t="s">
        <v>814</v>
      </c>
      <c r="G461" s="178" t="s">
        <v>815</v>
      </c>
      <c r="H461" s="366">
        <v>27273</v>
      </c>
      <c r="I461" s="176">
        <v>10</v>
      </c>
      <c r="J461" s="366">
        <v>2727</v>
      </c>
      <c r="K461" s="178" t="s">
        <v>261</v>
      </c>
      <c r="L461" s="178" t="s">
        <v>252</v>
      </c>
      <c r="M461" s="271" t="s">
        <v>816</v>
      </c>
      <c r="N461" s="177">
        <v>46230</v>
      </c>
      <c r="O461" s="177">
        <v>46230</v>
      </c>
      <c r="P461" s="366">
        <v>30000</v>
      </c>
      <c r="Q461" s="176" t="s">
        <v>248</v>
      </c>
      <c r="R461" s="176" t="s">
        <v>434</v>
      </c>
      <c r="S461" s="178" t="s">
        <v>253</v>
      </c>
      <c r="T461" s="57" t="str">
        <f t="shared" si="21"/>
        <v>Đ</v>
      </c>
      <c r="U461" s="59">
        <f t="shared" si="22"/>
        <v>0</v>
      </c>
      <c r="V461" s="55">
        <f t="shared" si="23"/>
        <v>13311</v>
      </c>
    </row>
    <row r="462" spans="1:22" ht="21.65" customHeight="1">
      <c r="A462" s="176">
        <v>445</v>
      </c>
      <c r="B462" s="178" t="s">
        <v>811</v>
      </c>
      <c r="C462" s="271" t="s">
        <v>1019</v>
      </c>
      <c r="D462" s="177">
        <v>45963</v>
      </c>
      <c r="E462" s="178" t="s">
        <v>813</v>
      </c>
      <c r="F462" s="271" t="s">
        <v>814</v>
      </c>
      <c r="G462" s="178" t="s">
        <v>815</v>
      </c>
      <c r="H462" s="366">
        <v>20000</v>
      </c>
      <c r="I462" s="176">
        <v>10</v>
      </c>
      <c r="J462" s="366">
        <v>2000</v>
      </c>
      <c r="K462" s="178" t="s">
        <v>261</v>
      </c>
      <c r="L462" s="178" t="s">
        <v>252</v>
      </c>
      <c r="M462" s="271" t="s">
        <v>816</v>
      </c>
      <c r="N462" s="177">
        <v>46230</v>
      </c>
      <c r="O462" s="177">
        <v>46230</v>
      </c>
      <c r="P462" s="366">
        <v>22000</v>
      </c>
      <c r="Q462" s="176" t="s">
        <v>248</v>
      </c>
      <c r="R462" s="176" t="s">
        <v>434</v>
      </c>
      <c r="S462" s="178" t="s">
        <v>253</v>
      </c>
      <c r="T462" s="57" t="str">
        <f t="shared" ref="T462:T525" si="24">IF(OR(LEN(F462)=11,LEN(F462)=15),"Đ","SAI")</f>
        <v>Đ</v>
      </c>
      <c r="U462" s="59">
        <f t="shared" ref="U462:U525" si="25">ROUND(H462*I462%,0)-J462</f>
        <v>0</v>
      </c>
      <c r="V462" s="55">
        <f t="shared" ref="V462:V525" si="26">IF(Q462=$V$12,13313,13311)</f>
        <v>13311</v>
      </c>
    </row>
    <row r="463" spans="1:22" ht="21.65" customHeight="1">
      <c r="A463" s="176">
        <v>446</v>
      </c>
      <c r="B463" s="178" t="s">
        <v>811</v>
      </c>
      <c r="C463" s="271" t="s">
        <v>1020</v>
      </c>
      <c r="D463" s="177">
        <v>45963</v>
      </c>
      <c r="E463" s="178" t="s">
        <v>813</v>
      </c>
      <c r="F463" s="271" t="s">
        <v>814</v>
      </c>
      <c r="G463" s="178" t="s">
        <v>815</v>
      </c>
      <c r="H463" s="366">
        <v>20000</v>
      </c>
      <c r="I463" s="176">
        <v>10</v>
      </c>
      <c r="J463" s="366">
        <v>2000</v>
      </c>
      <c r="K463" s="178" t="s">
        <v>261</v>
      </c>
      <c r="L463" s="178" t="s">
        <v>252</v>
      </c>
      <c r="M463" s="271" t="s">
        <v>816</v>
      </c>
      <c r="N463" s="177">
        <v>46230</v>
      </c>
      <c r="O463" s="177">
        <v>46230</v>
      </c>
      <c r="P463" s="366">
        <v>22000</v>
      </c>
      <c r="Q463" s="176" t="s">
        <v>248</v>
      </c>
      <c r="R463" s="176" t="s">
        <v>434</v>
      </c>
      <c r="S463" s="178" t="s">
        <v>253</v>
      </c>
      <c r="T463" s="57" t="str">
        <f t="shared" si="24"/>
        <v>Đ</v>
      </c>
      <c r="U463" s="59">
        <f t="shared" si="25"/>
        <v>0</v>
      </c>
      <c r="V463" s="55">
        <f t="shared" si="26"/>
        <v>13311</v>
      </c>
    </row>
    <row r="464" spans="1:22" ht="21.65" customHeight="1">
      <c r="A464" s="176">
        <v>447</v>
      </c>
      <c r="B464" s="178" t="s">
        <v>811</v>
      </c>
      <c r="C464" s="271" t="s">
        <v>1021</v>
      </c>
      <c r="D464" s="177">
        <v>45963</v>
      </c>
      <c r="E464" s="178" t="s">
        <v>813</v>
      </c>
      <c r="F464" s="271" t="s">
        <v>814</v>
      </c>
      <c r="G464" s="178" t="s">
        <v>815</v>
      </c>
      <c r="H464" s="366">
        <v>20000</v>
      </c>
      <c r="I464" s="176">
        <v>10</v>
      </c>
      <c r="J464" s="366">
        <v>2000</v>
      </c>
      <c r="K464" s="178" t="s">
        <v>261</v>
      </c>
      <c r="L464" s="178" t="s">
        <v>252</v>
      </c>
      <c r="M464" s="271" t="s">
        <v>816</v>
      </c>
      <c r="N464" s="177">
        <v>46230</v>
      </c>
      <c r="O464" s="177">
        <v>46230</v>
      </c>
      <c r="P464" s="366">
        <v>22000</v>
      </c>
      <c r="Q464" s="176" t="s">
        <v>248</v>
      </c>
      <c r="R464" s="176" t="s">
        <v>434</v>
      </c>
      <c r="S464" s="178" t="s">
        <v>253</v>
      </c>
      <c r="T464" s="57" t="str">
        <f t="shared" si="24"/>
        <v>Đ</v>
      </c>
      <c r="U464" s="59">
        <f t="shared" si="25"/>
        <v>0</v>
      </c>
      <c r="V464" s="55">
        <f t="shared" si="26"/>
        <v>13311</v>
      </c>
    </row>
    <row r="465" spans="1:22" ht="21.65" customHeight="1">
      <c r="A465" s="176">
        <v>448</v>
      </c>
      <c r="B465" s="178" t="s">
        <v>811</v>
      </c>
      <c r="C465" s="271" t="s">
        <v>1022</v>
      </c>
      <c r="D465" s="177">
        <v>45963</v>
      </c>
      <c r="E465" s="178" t="s">
        <v>813</v>
      </c>
      <c r="F465" s="271" t="s">
        <v>814</v>
      </c>
      <c r="G465" s="178" t="s">
        <v>815</v>
      </c>
      <c r="H465" s="366">
        <v>284545</v>
      </c>
      <c r="I465" s="176">
        <v>10</v>
      </c>
      <c r="J465" s="366">
        <v>28455</v>
      </c>
      <c r="K465" s="178" t="s">
        <v>261</v>
      </c>
      <c r="L465" s="178" t="s">
        <v>252</v>
      </c>
      <c r="M465" s="271" t="s">
        <v>816</v>
      </c>
      <c r="N465" s="177">
        <v>46230</v>
      </c>
      <c r="O465" s="177">
        <v>46230</v>
      </c>
      <c r="P465" s="366">
        <v>313000</v>
      </c>
      <c r="Q465" s="176" t="s">
        <v>248</v>
      </c>
      <c r="R465" s="176" t="s">
        <v>434</v>
      </c>
      <c r="S465" s="178" t="s">
        <v>253</v>
      </c>
      <c r="T465" s="57" t="str">
        <f t="shared" si="24"/>
        <v>Đ</v>
      </c>
      <c r="U465" s="59">
        <f t="shared" si="25"/>
        <v>0</v>
      </c>
      <c r="V465" s="55">
        <f t="shared" si="26"/>
        <v>13311</v>
      </c>
    </row>
    <row r="466" spans="1:22" ht="21.65" customHeight="1">
      <c r="A466" s="176">
        <v>449</v>
      </c>
      <c r="B466" s="178" t="s">
        <v>811</v>
      </c>
      <c r="C466" s="271" t="s">
        <v>1023</v>
      </c>
      <c r="D466" s="177">
        <v>45963</v>
      </c>
      <c r="E466" s="178" t="s">
        <v>813</v>
      </c>
      <c r="F466" s="271" t="s">
        <v>814</v>
      </c>
      <c r="G466" s="178" t="s">
        <v>815</v>
      </c>
      <c r="H466" s="366">
        <v>83514</v>
      </c>
      <c r="I466" s="176">
        <v>10</v>
      </c>
      <c r="J466" s="366">
        <v>8351</v>
      </c>
      <c r="K466" s="178" t="s">
        <v>261</v>
      </c>
      <c r="L466" s="178" t="s">
        <v>252</v>
      </c>
      <c r="M466" s="271" t="s">
        <v>816</v>
      </c>
      <c r="N466" s="177">
        <v>46230</v>
      </c>
      <c r="O466" s="177">
        <v>46230</v>
      </c>
      <c r="P466" s="366">
        <v>91865</v>
      </c>
      <c r="Q466" s="176" t="s">
        <v>248</v>
      </c>
      <c r="R466" s="176" t="s">
        <v>434</v>
      </c>
      <c r="S466" s="178" t="s">
        <v>253</v>
      </c>
      <c r="T466" s="57" t="str">
        <f t="shared" si="24"/>
        <v>Đ</v>
      </c>
      <c r="U466" s="59">
        <f t="shared" si="25"/>
        <v>0</v>
      </c>
      <c r="V466" s="55">
        <f t="shared" si="26"/>
        <v>13311</v>
      </c>
    </row>
    <row r="467" spans="1:22" ht="21.65" customHeight="1">
      <c r="A467" s="176">
        <v>450</v>
      </c>
      <c r="B467" s="178" t="s">
        <v>811</v>
      </c>
      <c r="C467" s="271" t="s">
        <v>1024</v>
      </c>
      <c r="D467" s="177">
        <v>45963</v>
      </c>
      <c r="E467" s="178" t="s">
        <v>813</v>
      </c>
      <c r="F467" s="271" t="s">
        <v>814</v>
      </c>
      <c r="G467" s="178" t="s">
        <v>815</v>
      </c>
      <c r="H467" s="366">
        <v>20000</v>
      </c>
      <c r="I467" s="176">
        <v>10</v>
      </c>
      <c r="J467" s="366">
        <v>2000</v>
      </c>
      <c r="K467" s="178" t="s">
        <v>261</v>
      </c>
      <c r="L467" s="178" t="s">
        <v>252</v>
      </c>
      <c r="M467" s="271" t="s">
        <v>816</v>
      </c>
      <c r="N467" s="177">
        <v>46230</v>
      </c>
      <c r="O467" s="177">
        <v>46230</v>
      </c>
      <c r="P467" s="366">
        <v>22000</v>
      </c>
      <c r="Q467" s="176" t="s">
        <v>248</v>
      </c>
      <c r="R467" s="176" t="s">
        <v>434</v>
      </c>
      <c r="S467" s="178" t="s">
        <v>253</v>
      </c>
      <c r="T467" s="57" t="str">
        <f t="shared" si="24"/>
        <v>Đ</v>
      </c>
      <c r="U467" s="59">
        <f t="shared" si="25"/>
        <v>0</v>
      </c>
      <c r="V467" s="55">
        <f t="shared" si="26"/>
        <v>13311</v>
      </c>
    </row>
    <row r="468" spans="1:22" ht="21.65" customHeight="1">
      <c r="A468" s="176">
        <v>451</v>
      </c>
      <c r="B468" s="178" t="s">
        <v>811</v>
      </c>
      <c r="C468" s="271" t="s">
        <v>1025</v>
      </c>
      <c r="D468" s="177">
        <v>45963</v>
      </c>
      <c r="E468" s="178" t="s">
        <v>813</v>
      </c>
      <c r="F468" s="271" t="s">
        <v>814</v>
      </c>
      <c r="G468" s="178" t="s">
        <v>815</v>
      </c>
      <c r="H468" s="366">
        <v>20000</v>
      </c>
      <c r="I468" s="176">
        <v>10</v>
      </c>
      <c r="J468" s="366">
        <v>2000</v>
      </c>
      <c r="K468" s="178" t="s">
        <v>261</v>
      </c>
      <c r="L468" s="178" t="s">
        <v>252</v>
      </c>
      <c r="M468" s="271" t="s">
        <v>816</v>
      </c>
      <c r="N468" s="177">
        <v>46230</v>
      </c>
      <c r="O468" s="177">
        <v>46230</v>
      </c>
      <c r="P468" s="366">
        <v>22000</v>
      </c>
      <c r="Q468" s="176" t="s">
        <v>248</v>
      </c>
      <c r="R468" s="176" t="s">
        <v>434</v>
      </c>
      <c r="S468" s="178" t="s">
        <v>253</v>
      </c>
      <c r="T468" s="57" t="str">
        <f t="shared" si="24"/>
        <v>Đ</v>
      </c>
      <c r="U468" s="59">
        <f t="shared" si="25"/>
        <v>0</v>
      </c>
      <c r="V468" s="55">
        <f t="shared" si="26"/>
        <v>13311</v>
      </c>
    </row>
    <row r="469" spans="1:22" ht="21.65" customHeight="1">
      <c r="A469" s="176">
        <v>452</v>
      </c>
      <c r="B469" s="178" t="s">
        <v>811</v>
      </c>
      <c r="C469" s="271" t="s">
        <v>1026</v>
      </c>
      <c r="D469" s="177">
        <v>45963</v>
      </c>
      <c r="E469" s="178" t="s">
        <v>813</v>
      </c>
      <c r="F469" s="271" t="s">
        <v>814</v>
      </c>
      <c r="G469" s="178" t="s">
        <v>815</v>
      </c>
      <c r="H469" s="366">
        <v>22168</v>
      </c>
      <c r="I469" s="176">
        <v>10</v>
      </c>
      <c r="J469" s="366">
        <v>2217</v>
      </c>
      <c r="K469" s="178" t="s">
        <v>261</v>
      </c>
      <c r="L469" s="178" t="s">
        <v>252</v>
      </c>
      <c r="M469" s="271" t="s">
        <v>816</v>
      </c>
      <c r="N469" s="177">
        <v>46230</v>
      </c>
      <c r="O469" s="177">
        <v>46230</v>
      </c>
      <c r="P469" s="366">
        <v>24385</v>
      </c>
      <c r="Q469" s="176" t="s">
        <v>248</v>
      </c>
      <c r="R469" s="176" t="s">
        <v>434</v>
      </c>
      <c r="S469" s="178" t="s">
        <v>253</v>
      </c>
      <c r="T469" s="57" t="str">
        <f t="shared" si="24"/>
        <v>Đ</v>
      </c>
      <c r="U469" s="59">
        <f t="shared" si="25"/>
        <v>0</v>
      </c>
      <c r="V469" s="55">
        <f t="shared" si="26"/>
        <v>13311</v>
      </c>
    </row>
    <row r="470" spans="1:22" ht="21.65" customHeight="1">
      <c r="A470" s="176">
        <v>453</v>
      </c>
      <c r="B470" s="178" t="s">
        <v>811</v>
      </c>
      <c r="C470" s="271" t="s">
        <v>1027</v>
      </c>
      <c r="D470" s="177">
        <v>45963</v>
      </c>
      <c r="E470" s="178" t="s">
        <v>813</v>
      </c>
      <c r="F470" s="271" t="s">
        <v>814</v>
      </c>
      <c r="G470" s="178" t="s">
        <v>815</v>
      </c>
      <c r="H470" s="366">
        <v>24665</v>
      </c>
      <c r="I470" s="176">
        <v>10</v>
      </c>
      <c r="J470" s="366">
        <v>2467</v>
      </c>
      <c r="K470" s="178" t="s">
        <v>261</v>
      </c>
      <c r="L470" s="178" t="s">
        <v>252</v>
      </c>
      <c r="M470" s="271" t="s">
        <v>816</v>
      </c>
      <c r="N470" s="177">
        <v>46230</v>
      </c>
      <c r="O470" s="177">
        <v>46230</v>
      </c>
      <c r="P470" s="366">
        <v>27132</v>
      </c>
      <c r="Q470" s="176" t="s">
        <v>248</v>
      </c>
      <c r="R470" s="176" t="s">
        <v>434</v>
      </c>
      <c r="S470" s="178" t="s">
        <v>253</v>
      </c>
      <c r="T470" s="57" t="str">
        <f t="shared" si="24"/>
        <v>Đ</v>
      </c>
      <c r="U470" s="59">
        <f t="shared" si="25"/>
        <v>0</v>
      </c>
      <c r="V470" s="55">
        <f t="shared" si="26"/>
        <v>13311</v>
      </c>
    </row>
    <row r="471" spans="1:22" ht="21.65" customHeight="1">
      <c r="A471" s="176">
        <v>454</v>
      </c>
      <c r="B471" s="178" t="s">
        <v>811</v>
      </c>
      <c r="C471" s="271" t="s">
        <v>1028</v>
      </c>
      <c r="D471" s="177">
        <v>45963</v>
      </c>
      <c r="E471" s="178" t="s">
        <v>813</v>
      </c>
      <c r="F471" s="271" t="s">
        <v>814</v>
      </c>
      <c r="G471" s="178" t="s">
        <v>815</v>
      </c>
      <c r="H471" s="366">
        <v>45454</v>
      </c>
      <c r="I471" s="176">
        <v>10</v>
      </c>
      <c r="J471" s="366">
        <v>4545</v>
      </c>
      <c r="K471" s="178" t="s">
        <v>261</v>
      </c>
      <c r="L471" s="178" t="s">
        <v>252</v>
      </c>
      <c r="M471" s="271" t="s">
        <v>816</v>
      </c>
      <c r="N471" s="177">
        <v>46230</v>
      </c>
      <c r="O471" s="177">
        <v>46230</v>
      </c>
      <c r="P471" s="366">
        <v>49999</v>
      </c>
      <c r="Q471" s="176" t="s">
        <v>248</v>
      </c>
      <c r="R471" s="176" t="s">
        <v>434</v>
      </c>
      <c r="S471" s="178" t="s">
        <v>253</v>
      </c>
      <c r="T471" s="57" t="str">
        <f t="shared" si="24"/>
        <v>Đ</v>
      </c>
      <c r="U471" s="59">
        <f t="shared" si="25"/>
        <v>0</v>
      </c>
      <c r="V471" s="55">
        <f t="shared" si="26"/>
        <v>13311</v>
      </c>
    </row>
    <row r="472" spans="1:22" ht="21.65" customHeight="1">
      <c r="A472" s="176">
        <v>455</v>
      </c>
      <c r="B472" s="178" t="s">
        <v>811</v>
      </c>
      <c r="C472" s="271" t="s">
        <v>1029</v>
      </c>
      <c r="D472" s="177">
        <v>45963</v>
      </c>
      <c r="E472" s="178" t="s">
        <v>813</v>
      </c>
      <c r="F472" s="271" t="s">
        <v>814</v>
      </c>
      <c r="G472" s="178" t="s">
        <v>815</v>
      </c>
      <c r="H472" s="366">
        <v>20000</v>
      </c>
      <c r="I472" s="176">
        <v>10</v>
      </c>
      <c r="J472" s="366">
        <v>2000</v>
      </c>
      <c r="K472" s="178" t="s">
        <v>261</v>
      </c>
      <c r="L472" s="178" t="s">
        <v>252</v>
      </c>
      <c r="M472" s="271" t="s">
        <v>816</v>
      </c>
      <c r="N472" s="177">
        <v>46230</v>
      </c>
      <c r="O472" s="177">
        <v>46230</v>
      </c>
      <c r="P472" s="366">
        <v>22000</v>
      </c>
      <c r="Q472" s="176" t="s">
        <v>248</v>
      </c>
      <c r="R472" s="176" t="s">
        <v>434</v>
      </c>
      <c r="S472" s="178" t="s">
        <v>253</v>
      </c>
      <c r="T472" s="57" t="str">
        <f t="shared" si="24"/>
        <v>Đ</v>
      </c>
      <c r="U472" s="59">
        <f t="shared" si="25"/>
        <v>0</v>
      </c>
      <c r="V472" s="55">
        <f t="shared" si="26"/>
        <v>13311</v>
      </c>
    </row>
    <row r="473" spans="1:22" ht="21.65" customHeight="1">
      <c r="A473" s="176">
        <v>456</v>
      </c>
      <c r="B473" s="178" t="s">
        <v>811</v>
      </c>
      <c r="C473" s="271" t="s">
        <v>1030</v>
      </c>
      <c r="D473" s="177">
        <v>45963</v>
      </c>
      <c r="E473" s="178" t="s">
        <v>813</v>
      </c>
      <c r="F473" s="271" t="s">
        <v>814</v>
      </c>
      <c r="G473" s="178" t="s">
        <v>815</v>
      </c>
      <c r="H473" s="366">
        <v>644545</v>
      </c>
      <c r="I473" s="176">
        <v>10</v>
      </c>
      <c r="J473" s="366">
        <v>64455</v>
      </c>
      <c r="K473" s="178" t="s">
        <v>261</v>
      </c>
      <c r="L473" s="178" t="s">
        <v>252</v>
      </c>
      <c r="M473" s="271" t="s">
        <v>816</v>
      </c>
      <c r="N473" s="177">
        <v>46230</v>
      </c>
      <c r="O473" s="177">
        <v>46230</v>
      </c>
      <c r="P473" s="366">
        <v>709000</v>
      </c>
      <c r="Q473" s="176" t="s">
        <v>248</v>
      </c>
      <c r="R473" s="176" t="s">
        <v>434</v>
      </c>
      <c r="S473" s="178" t="s">
        <v>253</v>
      </c>
      <c r="T473" s="57" t="str">
        <f t="shared" si="24"/>
        <v>Đ</v>
      </c>
      <c r="U473" s="59">
        <f t="shared" si="25"/>
        <v>0</v>
      </c>
      <c r="V473" s="55">
        <f t="shared" si="26"/>
        <v>13311</v>
      </c>
    </row>
    <row r="474" spans="1:22" ht="21.65" customHeight="1">
      <c r="A474" s="176">
        <v>457</v>
      </c>
      <c r="B474" s="178" t="s">
        <v>811</v>
      </c>
      <c r="C474" s="271" t="s">
        <v>1031</v>
      </c>
      <c r="D474" s="177">
        <v>45963</v>
      </c>
      <c r="E474" s="178" t="s">
        <v>813</v>
      </c>
      <c r="F474" s="271" t="s">
        <v>814</v>
      </c>
      <c r="G474" s="178" t="s">
        <v>815</v>
      </c>
      <c r="H474" s="366">
        <v>87023</v>
      </c>
      <c r="I474" s="176">
        <v>10</v>
      </c>
      <c r="J474" s="366">
        <v>8702</v>
      </c>
      <c r="K474" s="178" t="s">
        <v>261</v>
      </c>
      <c r="L474" s="178" t="s">
        <v>252</v>
      </c>
      <c r="M474" s="271" t="s">
        <v>816</v>
      </c>
      <c r="N474" s="177">
        <v>46230</v>
      </c>
      <c r="O474" s="177">
        <v>46230</v>
      </c>
      <c r="P474" s="366">
        <v>95725</v>
      </c>
      <c r="Q474" s="176" t="s">
        <v>248</v>
      </c>
      <c r="R474" s="176" t="s">
        <v>434</v>
      </c>
      <c r="S474" s="178" t="s">
        <v>253</v>
      </c>
      <c r="T474" s="57" t="str">
        <f t="shared" si="24"/>
        <v>Đ</v>
      </c>
      <c r="U474" s="59">
        <f t="shared" si="25"/>
        <v>0</v>
      </c>
      <c r="V474" s="55">
        <f t="shared" si="26"/>
        <v>13311</v>
      </c>
    </row>
    <row r="475" spans="1:22" ht="21.65" customHeight="1">
      <c r="A475" s="176">
        <v>458</v>
      </c>
      <c r="B475" s="178" t="s">
        <v>811</v>
      </c>
      <c r="C475" s="271" t="s">
        <v>1032</v>
      </c>
      <c r="D475" s="177">
        <v>45963</v>
      </c>
      <c r="E475" s="178" t="s">
        <v>813</v>
      </c>
      <c r="F475" s="271" t="s">
        <v>814</v>
      </c>
      <c r="G475" s="178" t="s">
        <v>815</v>
      </c>
      <c r="H475" s="366">
        <v>181901</v>
      </c>
      <c r="I475" s="176">
        <v>10</v>
      </c>
      <c r="J475" s="366">
        <v>18190</v>
      </c>
      <c r="K475" s="178" t="s">
        <v>261</v>
      </c>
      <c r="L475" s="178" t="s">
        <v>252</v>
      </c>
      <c r="M475" s="271" t="s">
        <v>816</v>
      </c>
      <c r="N475" s="177">
        <v>46230</v>
      </c>
      <c r="O475" s="177">
        <v>46230</v>
      </c>
      <c r="P475" s="366">
        <v>200091</v>
      </c>
      <c r="Q475" s="176" t="s">
        <v>248</v>
      </c>
      <c r="R475" s="176" t="s">
        <v>434</v>
      </c>
      <c r="S475" s="178" t="s">
        <v>253</v>
      </c>
      <c r="T475" s="57" t="str">
        <f t="shared" si="24"/>
        <v>Đ</v>
      </c>
      <c r="U475" s="59">
        <f t="shared" si="25"/>
        <v>0</v>
      </c>
      <c r="V475" s="55">
        <f t="shared" si="26"/>
        <v>13311</v>
      </c>
    </row>
    <row r="476" spans="1:22" ht="14.4" customHeight="1">
      <c r="A476" s="176">
        <v>459</v>
      </c>
      <c r="B476" s="178" t="s">
        <v>811</v>
      </c>
      <c r="C476" s="271" t="s">
        <v>1033</v>
      </c>
      <c r="D476" s="177">
        <v>45963</v>
      </c>
      <c r="E476" s="178" t="s">
        <v>813</v>
      </c>
      <c r="F476" s="271" t="s">
        <v>814</v>
      </c>
      <c r="G476" s="178" t="s">
        <v>815</v>
      </c>
      <c r="H476" s="366">
        <v>470454</v>
      </c>
      <c r="I476" s="176">
        <v>10</v>
      </c>
      <c r="J476" s="366">
        <v>47045</v>
      </c>
      <c r="K476" s="178" t="s">
        <v>261</v>
      </c>
      <c r="L476" s="178" t="s">
        <v>252</v>
      </c>
      <c r="M476" s="271" t="s">
        <v>816</v>
      </c>
      <c r="N476" s="177">
        <v>46230</v>
      </c>
      <c r="O476" s="177">
        <v>46230</v>
      </c>
      <c r="P476" s="366">
        <v>517499</v>
      </c>
      <c r="Q476" s="176" t="s">
        <v>248</v>
      </c>
      <c r="R476" s="176" t="s">
        <v>434</v>
      </c>
      <c r="S476" s="178" t="s">
        <v>253</v>
      </c>
      <c r="T476" s="57" t="str">
        <f t="shared" si="24"/>
        <v>Đ</v>
      </c>
      <c r="U476" s="59">
        <f t="shared" si="25"/>
        <v>0</v>
      </c>
      <c r="V476" s="55">
        <f t="shared" si="26"/>
        <v>13311</v>
      </c>
    </row>
    <row r="477" spans="1:22" ht="14.4" customHeight="1">
      <c r="A477" s="176">
        <v>460</v>
      </c>
      <c r="B477" s="178" t="s">
        <v>811</v>
      </c>
      <c r="C477" s="271" t="s">
        <v>1034</v>
      </c>
      <c r="D477" s="177">
        <v>45963</v>
      </c>
      <c r="E477" s="178" t="s">
        <v>813</v>
      </c>
      <c r="F477" s="271" t="s">
        <v>814</v>
      </c>
      <c r="G477" s="178" t="s">
        <v>815</v>
      </c>
      <c r="H477" s="366">
        <v>20000</v>
      </c>
      <c r="I477" s="176">
        <v>10</v>
      </c>
      <c r="J477" s="366">
        <v>2000</v>
      </c>
      <c r="K477" s="178" t="s">
        <v>261</v>
      </c>
      <c r="L477" s="178" t="s">
        <v>252</v>
      </c>
      <c r="M477" s="271" t="s">
        <v>816</v>
      </c>
      <c r="N477" s="177">
        <v>46230</v>
      </c>
      <c r="O477" s="177">
        <v>46230</v>
      </c>
      <c r="P477" s="366">
        <v>22000</v>
      </c>
      <c r="Q477" s="176" t="s">
        <v>248</v>
      </c>
      <c r="R477" s="176" t="s">
        <v>434</v>
      </c>
      <c r="S477" s="178" t="s">
        <v>253</v>
      </c>
      <c r="T477" s="57" t="str">
        <f t="shared" si="24"/>
        <v>Đ</v>
      </c>
      <c r="U477" s="59">
        <f t="shared" si="25"/>
        <v>0</v>
      </c>
      <c r="V477" s="55">
        <f t="shared" si="26"/>
        <v>13311</v>
      </c>
    </row>
    <row r="478" spans="1:22" ht="21.65" customHeight="1">
      <c r="A478" s="176">
        <v>461</v>
      </c>
      <c r="B478" s="178" t="s">
        <v>811</v>
      </c>
      <c r="C478" s="271" t="s">
        <v>1035</v>
      </c>
      <c r="D478" s="177">
        <v>45963</v>
      </c>
      <c r="E478" s="178" t="s">
        <v>813</v>
      </c>
      <c r="F478" s="271" t="s">
        <v>814</v>
      </c>
      <c r="G478" s="178" t="s">
        <v>815</v>
      </c>
      <c r="H478" s="366">
        <v>10088</v>
      </c>
      <c r="I478" s="176">
        <v>10</v>
      </c>
      <c r="J478" s="366">
        <v>1009</v>
      </c>
      <c r="K478" s="178" t="s">
        <v>261</v>
      </c>
      <c r="L478" s="178" t="s">
        <v>252</v>
      </c>
      <c r="M478" s="271" t="s">
        <v>816</v>
      </c>
      <c r="N478" s="177">
        <v>46230</v>
      </c>
      <c r="O478" s="177">
        <v>46230</v>
      </c>
      <c r="P478" s="366">
        <v>11097</v>
      </c>
      <c r="Q478" s="176" t="s">
        <v>248</v>
      </c>
      <c r="R478" s="176" t="s">
        <v>434</v>
      </c>
      <c r="S478" s="178" t="s">
        <v>253</v>
      </c>
      <c r="T478" s="57" t="str">
        <f t="shared" si="24"/>
        <v>Đ</v>
      </c>
      <c r="U478" s="59">
        <f t="shared" si="25"/>
        <v>0</v>
      </c>
      <c r="V478" s="55">
        <f t="shared" si="26"/>
        <v>13311</v>
      </c>
    </row>
    <row r="479" spans="1:22" ht="14.4" customHeight="1">
      <c r="A479" s="176">
        <v>462</v>
      </c>
      <c r="B479" s="178" t="s">
        <v>811</v>
      </c>
      <c r="C479" s="271" t="s">
        <v>1036</v>
      </c>
      <c r="D479" s="177">
        <v>45963</v>
      </c>
      <c r="E479" s="178" t="s">
        <v>813</v>
      </c>
      <c r="F479" s="271" t="s">
        <v>814</v>
      </c>
      <c r="G479" s="178" t="s">
        <v>815</v>
      </c>
      <c r="H479" s="366">
        <v>20000</v>
      </c>
      <c r="I479" s="176">
        <v>10</v>
      </c>
      <c r="J479" s="366">
        <v>2000</v>
      </c>
      <c r="K479" s="178" t="s">
        <v>261</v>
      </c>
      <c r="L479" s="178" t="s">
        <v>252</v>
      </c>
      <c r="M479" s="271" t="s">
        <v>816</v>
      </c>
      <c r="N479" s="177">
        <v>46230</v>
      </c>
      <c r="O479" s="177">
        <v>46230</v>
      </c>
      <c r="P479" s="366">
        <v>22000</v>
      </c>
      <c r="Q479" s="176" t="s">
        <v>248</v>
      </c>
      <c r="R479" s="176" t="s">
        <v>434</v>
      </c>
      <c r="S479" s="178" t="s">
        <v>253</v>
      </c>
      <c r="T479" s="57" t="str">
        <f t="shared" si="24"/>
        <v>Đ</v>
      </c>
      <c r="U479" s="59">
        <f t="shared" si="25"/>
        <v>0</v>
      </c>
      <c r="V479" s="55">
        <f t="shared" si="26"/>
        <v>13311</v>
      </c>
    </row>
    <row r="480" spans="1:22" ht="14.4" customHeight="1">
      <c r="A480" s="176">
        <v>463</v>
      </c>
      <c r="B480" s="178" t="s">
        <v>811</v>
      </c>
      <c r="C480" s="271" t="s">
        <v>1037</v>
      </c>
      <c r="D480" s="177">
        <v>45963</v>
      </c>
      <c r="E480" s="178" t="s">
        <v>813</v>
      </c>
      <c r="F480" s="271" t="s">
        <v>814</v>
      </c>
      <c r="G480" s="178" t="s">
        <v>815</v>
      </c>
      <c r="H480" s="366">
        <v>27273</v>
      </c>
      <c r="I480" s="176">
        <v>10</v>
      </c>
      <c r="J480" s="366">
        <v>2727</v>
      </c>
      <c r="K480" s="178" t="s">
        <v>261</v>
      </c>
      <c r="L480" s="178" t="s">
        <v>252</v>
      </c>
      <c r="M480" s="271" t="s">
        <v>816</v>
      </c>
      <c r="N480" s="177">
        <v>46230</v>
      </c>
      <c r="O480" s="177">
        <v>46230</v>
      </c>
      <c r="P480" s="366">
        <v>30000</v>
      </c>
      <c r="Q480" s="176" t="s">
        <v>248</v>
      </c>
      <c r="R480" s="176" t="s">
        <v>434</v>
      </c>
      <c r="S480" s="178" t="s">
        <v>253</v>
      </c>
      <c r="T480" s="57" t="str">
        <f t="shared" si="24"/>
        <v>Đ</v>
      </c>
      <c r="U480" s="59">
        <f t="shared" si="25"/>
        <v>0</v>
      </c>
      <c r="V480" s="55">
        <f t="shared" si="26"/>
        <v>13311</v>
      </c>
    </row>
    <row r="481" spans="1:22" ht="21.65" customHeight="1">
      <c r="A481" s="176">
        <v>464</v>
      </c>
      <c r="B481" s="178" t="s">
        <v>811</v>
      </c>
      <c r="C481" s="271" t="s">
        <v>1038</v>
      </c>
      <c r="D481" s="177">
        <v>45963</v>
      </c>
      <c r="E481" s="178" t="s">
        <v>813</v>
      </c>
      <c r="F481" s="271" t="s">
        <v>814</v>
      </c>
      <c r="G481" s="178" t="s">
        <v>815</v>
      </c>
      <c r="H481" s="366">
        <v>363636</v>
      </c>
      <c r="I481" s="176">
        <v>10</v>
      </c>
      <c r="J481" s="366">
        <v>36364</v>
      </c>
      <c r="K481" s="178" t="s">
        <v>261</v>
      </c>
      <c r="L481" s="178" t="s">
        <v>252</v>
      </c>
      <c r="M481" s="271" t="s">
        <v>816</v>
      </c>
      <c r="N481" s="177">
        <v>46230</v>
      </c>
      <c r="O481" s="177">
        <v>46230</v>
      </c>
      <c r="P481" s="366">
        <v>400000</v>
      </c>
      <c r="Q481" s="176" t="s">
        <v>248</v>
      </c>
      <c r="R481" s="176" t="s">
        <v>434</v>
      </c>
      <c r="S481" s="178" t="s">
        <v>253</v>
      </c>
      <c r="T481" s="57" t="str">
        <f t="shared" si="24"/>
        <v>Đ</v>
      </c>
      <c r="U481" s="59">
        <f t="shared" si="25"/>
        <v>0</v>
      </c>
      <c r="V481" s="55">
        <f t="shared" si="26"/>
        <v>13311</v>
      </c>
    </row>
    <row r="482" spans="1:22" ht="14.4" customHeight="1">
      <c r="A482" s="176">
        <v>465</v>
      </c>
      <c r="B482" s="178" t="s">
        <v>811</v>
      </c>
      <c r="C482" s="271" t="s">
        <v>1039</v>
      </c>
      <c r="D482" s="177">
        <v>45963</v>
      </c>
      <c r="E482" s="178" t="s">
        <v>813</v>
      </c>
      <c r="F482" s="271" t="s">
        <v>814</v>
      </c>
      <c r="G482" s="178" t="s">
        <v>815</v>
      </c>
      <c r="H482" s="366">
        <v>20000</v>
      </c>
      <c r="I482" s="176">
        <v>10</v>
      </c>
      <c r="J482" s="366">
        <v>2000</v>
      </c>
      <c r="K482" s="178" t="s">
        <v>261</v>
      </c>
      <c r="L482" s="178" t="s">
        <v>252</v>
      </c>
      <c r="M482" s="271" t="s">
        <v>816</v>
      </c>
      <c r="N482" s="177">
        <v>46230</v>
      </c>
      <c r="O482" s="177">
        <v>46230</v>
      </c>
      <c r="P482" s="366">
        <v>22000</v>
      </c>
      <c r="Q482" s="176" t="s">
        <v>248</v>
      </c>
      <c r="R482" s="176" t="s">
        <v>434</v>
      </c>
      <c r="S482" s="178" t="s">
        <v>253</v>
      </c>
      <c r="T482" s="57" t="str">
        <f t="shared" si="24"/>
        <v>Đ</v>
      </c>
      <c r="U482" s="59">
        <f t="shared" si="25"/>
        <v>0</v>
      </c>
      <c r="V482" s="55">
        <f t="shared" si="26"/>
        <v>13311</v>
      </c>
    </row>
    <row r="483" spans="1:22" ht="14.4" customHeight="1">
      <c r="A483" s="176">
        <v>466</v>
      </c>
      <c r="B483" s="178" t="s">
        <v>811</v>
      </c>
      <c r="C483" s="271" t="s">
        <v>1040</v>
      </c>
      <c r="D483" s="177">
        <v>45963</v>
      </c>
      <c r="E483" s="178" t="s">
        <v>813</v>
      </c>
      <c r="F483" s="271" t="s">
        <v>814</v>
      </c>
      <c r="G483" s="178" t="s">
        <v>815</v>
      </c>
      <c r="H483" s="366">
        <v>20000</v>
      </c>
      <c r="I483" s="176">
        <v>10</v>
      </c>
      <c r="J483" s="366">
        <v>2000</v>
      </c>
      <c r="K483" s="178" t="s">
        <v>261</v>
      </c>
      <c r="L483" s="178" t="s">
        <v>252</v>
      </c>
      <c r="M483" s="271" t="s">
        <v>816</v>
      </c>
      <c r="N483" s="177">
        <v>46230</v>
      </c>
      <c r="O483" s="177">
        <v>46230</v>
      </c>
      <c r="P483" s="366">
        <v>22000</v>
      </c>
      <c r="Q483" s="176" t="s">
        <v>248</v>
      </c>
      <c r="R483" s="176" t="s">
        <v>434</v>
      </c>
      <c r="S483" s="178" t="s">
        <v>253</v>
      </c>
      <c r="T483" s="57" t="str">
        <f t="shared" si="24"/>
        <v>Đ</v>
      </c>
      <c r="U483" s="59">
        <f t="shared" si="25"/>
        <v>0</v>
      </c>
      <c r="V483" s="55">
        <f t="shared" si="26"/>
        <v>13311</v>
      </c>
    </row>
    <row r="484" spans="1:22" ht="15.65" customHeight="1">
      <c r="A484" s="176">
        <v>467</v>
      </c>
      <c r="B484" s="178" t="s">
        <v>811</v>
      </c>
      <c r="C484" s="271" t="s">
        <v>1041</v>
      </c>
      <c r="D484" s="177">
        <v>45963</v>
      </c>
      <c r="E484" s="178" t="s">
        <v>813</v>
      </c>
      <c r="F484" s="271" t="s">
        <v>814</v>
      </c>
      <c r="G484" s="178" t="s">
        <v>815</v>
      </c>
      <c r="H484" s="366">
        <v>20000</v>
      </c>
      <c r="I484" s="176">
        <v>10</v>
      </c>
      <c r="J484" s="366">
        <v>2000</v>
      </c>
      <c r="K484" s="178" t="s">
        <v>261</v>
      </c>
      <c r="L484" s="178" t="s">
        <v>252</v>
      </c>
      <c r="M484" s="271" t="s">
        <v>816</v>
      </c>
      <c r="N484" s="177">
        <v>46230</v>
      </c>
      <c r="O484" s="177">
        <v>46230</v>
      </c>
      <c r="P484" s="366">
        <v>22000</v>
      </c>
      <c r="Q484" s="176" t="s">
        <v>248</v>
      </c>
      <c r="R484" s="176" t="s">
        <v>434</v>
      </c>
      <c r="S484" s="178" t="s">
        <v>253</v>
      </c>
      <c r="T484" s="57" t="str">
        <f t="shared" si="24"/>
        <v>Đ</v>
      </c>
      <c r="U484" s="59">
        <f t="shared" si="25"/>
        <v>0</v>
      </c>
      <c r="V484" s="55">
        <f t="shared" si="26"/>
        <v>13311</v>
      </c>
    </row>
    <row r="485" spans="1:22" ht="14.4" customHeight="1">
      <c r="A485" s="176">
        <v>468</v>
      </c>
      <c r="B485" s="178" t="s">
        <v>811</v>
      </c>
      <c r="C485" s="271" t="s">
        <v>1042</v>
      </c>
      <c r="D485" s="177">
        <v>45963</v>
      </c>
      <c r="E485" s="178" t="s">
        <v>813</v>
      </c>
      <c r="F485" s="271" t="s">
        <v>814</v>
      </c>
      <c r="G485" s="178" t="s">
        <v>815</v>
      </c>
      <c r="H485" s="366">
        <v>20000</v>
      </c>
      <c r="I485" s="176">
        <v>10</v>
      </c>
      <c r="J485" s="366">
        <v>2000</v>
      </c>
      <c r="K485" s="178" t="s">
        <v>261</v>
      </c>
      <c r="L485" s="178" t="s">
        <v>252</v>
      </c>
      <c r="M485" s="271" t="s">
        <v>816</v>
      </c>
      <c r="N485" s="177">
        <v>46230</v>
      </c>
      <c r="O485" s="177">
        <v>46230</v>
      </c>
      <c r="P485" s="366">
        <v>22000</v>
      </c>
      <c r="Q485" s="176" t="s">
        <v>248</v>
      </c>
      <c r="R485" s="176" t="s">
        <v>434</v>
      </c>
      <c r="S485" s="178" t="s">
        <v>253</v>
      </c>
      <c r="T485" s="57" t="str">
        <f t="shared" si="24"/>
        <v>Đ</v>
      </c>
      <c r="U485" s="59">
        <f t="shared" si="25"/>
        <v>0</v>
      </c>
      <c r="V485" s="55">
        <f t="shared" si="26"/>
        <v>13311</v>
      </c>
    </row>
    <row r="486" spans="1:22" ht="14.4" customHeight="1">
      <c r="A486" s="176">
        <v>469</v>
      </c>
      <c r="B486" s="178" t="s">
        <v>811</v>
      </c>
      <c r="C486" s="271" t="s">
        <v>1043</v>
      </c>
      <c r="D486" s="177">
        <v>45963</v>
      </c>
      <c r="E486" s="178" t="s">
        <v>813</v>
      </c>
      <c r="F486" s="271" t="s">
        <v>814</v>
      </c>
      <c r="G486" s="178" t="s">
        <v>815</v>
      </c>
      <c r="H486" s="366">
        <v>150000</v>
      </c>
      <c r="I486" s="176">
        <v>10</v>
      </c>
      <c r="J486" s="366">
        <v>15000</v>
      </c>
      <c r="K486" s="178" t="s">
        <v>261</v>
      </c>
      <c r="L486" s="178" t="s">
        <v>252</v>
      </c>
      <c r="M486" s="271" t="s">
        <v>816</v>
      </c>
      <c r="N486" s="177">
        <v>46230</v>
      </c>
      <c r="O486" s="177">
        <v>46230</v>
      </c>
      <c r="P486" s="366">
        <v>165000</v>
      </c>
      <c r="Q486" s="176" t="s">
        <v>248</v>
      </c>
      <c r="R486" s="176" t="s">
        <v>434</v>
      </c>
      <c r="S486" s="178" t="s">
        <v>253</v>
      </c>
      <c r="T486" s="57" t="str">
        <f t="shared" si="24"/>
        <v>Đ</v>
      </c>
      <c r="U486" s="59">
        <f t="shared" si="25"/>
        <v>0</v>
      </c>
      <c r="V486" s="55">
        <f t="shared" si="26"/>
        <v>13311</v>
      </c>
    </row>
    <row r="487" spans="1:22" ht="14.4" customHeight="1">
      <c r="A487" s="176">
        <v>470</v>
      </c>
      <c r="B487" s="178" t="s">
        <v>811</v>
      </c>
      <c r="C487" s="271" t="s">
        <v>1044</v>
      </c>
      <c r="D487" s="177">
        <v>45963</v>
      </c>
      <c r="E487" s="178" t="s">
        <v>813</v>
      </c>
      <c r="F487" s="271" t="s">
        <v>814</v>
      </c>
      <c r="G487" s="178" t="s">
        <v>815</v>
      </c>
      <c r="H487" s="366">
        <v>370545</v>
      </c>
      <c r="I487" s="176">
        <v>10</v>
      </c>
      <c r="J487" s="366">
        <v>37055</v>
      </c>
      <c r="K487" s="178" t="s">
        <v>261</v>
      </c>
      <c r="L487" s="178" t="s">
        <v>252</v>
      </c>
      <c r="M487" s="271" t="s">
        <v>816</v>
      </c>
      <c r="N487" s="177">
        <v>46230</v>
      </c>
      <c r="O487" s="177">
        <v>46230</v>
      </c>
      <c r="P487" s="366">
        <v>407600</v>
      </c>
      <c r="Q487" s="176" t="s">
        <v>248</v>
      </c>
      <c r="R487" s="176" t="s">
        <v>434</v>
      </c>
      <c r="S487" s="178" t="s">
        <v>253</v>
      </c>
      <c r="T487" s="57" t="str">
        <f t="shared" si="24"/>
        <v>Đ</v>
      </c>
      <c r="U487" s="59">
        <f t="shared" si="25"/>
        <v>0</v>
      </c>
      <c r="V487" s="55">
        <f t="shared" si="26"/>
        <v>13311</v>
      </c>
    </row>
    <row r="488" spans="1:22" ht="14.4" customHeight="1">
      <c r="A488" s="176">
        <v>471</v>
      </c>
      <c r="B488" s="178" t="s">
        <v>811</v>
      </c>
      <c r="C488" s="271" t="s">
        <v>1045</v>
      </c>
      <c r="D488" s="177">
        <v>45963</v>
      </c>
      <c r="E488" s="178" t="s">
        <v>813</v>
      </c>
      <c r="F488" s="271" t="s">
        <v>814</v>
      </c>
      <c r="G488" s="178" t="s">
        <v>815</v>
      </c>
      <c r="H488" s="366">
        <v>323182</v>
      </c>
      <c r="I488" s="176">
        <v>10</v>
      </c>
      <c r="J488" s="366">
        <v>32318</v>
      </c>
      <c r="K488" s="178" t="s">
        <v>261</v>
      </c>
      <c r="L488" s="178" t="s">
        <v>252</v>
      </c>
      <c r="M488" s="271" t="s">
        <v>816</v>
      </c>
      <c r="N488" s="177">
        <v>46230</v>
      </c>
      <c r="O488" s="177">
        <v>46230</v>
      </c>
      <c r="P488" s="366">
        <v>355500</v>
      </c>
      <c r="Q488" s="176" t="s">
        <v>248</v>
      </c>
      <c r="R488" s="176" t="s">
        <v>434</v>
      </c>
      <c r="S488" s="178" t="s">
        <v>253</v>
      </c>
      <c r="T488" s="57" t="str">
        <f t="shared" si="24"/>
        <v>Đ</v>
      </c>
      <c r="U488" s="59">
        <f t="shared" si="25"/>
        <v>0</v>
      </c>
      <c r="V488" s="55">
        <f t="shared" si="26"/>
        <v>13311</v>
      </c>
    </row>
    <row r="489" spans="1:22" ht="14.4" customHeight="1">
      <c r="A489" s="176">
        <v>472</v>
      </c>
      <c r="B489" s="178" t="s">
        <v>811</v>
      </c>
      <c r="C489" s="271" t="s">
        <v>1046</v>
      </c>
      <c r="D489" s="177">
        <v>45963</v>
      </c>
      <c r="E489" s="178" t="s">
        <v>813</v>
      </c>
      <c r="F489" s="271" t="s">
        <v>814</v>
      </c>
      <c r="G489" s="178" t="s">
        <v>815</v>
      </c>
      <c r="H489" s="366">
        <v>324960</v>
      </c>
      <c r="I489" s="176">
        <v>10</v>
      </c>
      <c r="J489" s="366">
        <v>32496</v>
      </c>
      <c r="K489" s="178" t="s">
        <v>261</v>
      </c>
      <c r="L489" s="178" t="s">
        <v>252</v>
      </c>
      <c r="M489" s="271" t="s">
        <v>816</v>
      </c>
      <c r="N489" s="177">
        <v>46230</v>
      </c>
      <c r="O489" s="177">
        <v>46230</v>
      </c>
      <c r="P489" s="366">
        <v>357456</v>
      </c>
      <c r="Q489" s="176" t="s">
        <v>248</v>
      </c>
      <c r="R489" s="176" t="s">
        <v>434</v>
      </c>
      <c r="S489" s="178" t="s">
        <v>253</v>
      </c>
      <c r="T489" s="57" t="str">
        <f t="shared" si="24"/>
        <v>Đ</v>
      </c>
      <c r="U489" s="59">
        <f t="shared" si="25"/>
        <v>0</v>
      </c>
      <c r="V489" s="55">
        <f t="shared" si="26"/>
        <v>13311</v>
      </c>
    </row>
    <row r="490" spans="1:22" ht="14.4" customHeight="1">
      <c r="A490" s="176">
        <v>473</v>
      </c>
      <c r="B490" s="178" t="s">
        <v>811</v>
      </c>
      <c r="C490" s="271" t="s">
        <v>1047</v>
      </c>
      <c r="D490" s="177">
        <v>45963</v>
      </c>
      <c r="E490" s="178" t="s">
        <v>813</v>
      </c>
      <c r="F490" s="271" t="s">
        <v>814</v>
      </c>
      <c r="G490" s="178" t="s">
        <v>815</v>
      </c>
      <c r="H490" s="366">
        <v>20000</v>
      </c>
      <c r="I490" s="176">
        <v>10</v>
      </c>
      <c r="J490" s="366">
        <v>2000</v>
      </c>
      <c r="K490" s="178" t="s">
        <v>261</v>
      </c>
      <c r="L490" s="178" t="s">
        <v>252</v>
      </c>
      <c r="M490" s="271" t="s">
        <v>816</v>
      </c>
      <c r="N490" s="177">
        <v>46230</v>
      </c>
      <c r="O490" s="177">
        <v>46230</v>
      </c>
      <c r="P490" s="366">
        <v>22000</v>
      </c>
      <c r="Q490" s="176" t="s">
        <v>248</v>
      </c>
      <c r="R490" s="176" t="s">
        <v>434</v>
      </c>
      <c r="S490" s="178" t="s">
        <v>253</v>
      </c>
      <c r="T490" s="57" t="str">
        <f t="shared" si="24"/>
        <v>Đ</v>
      </c>
      <c r="U490" s="59">
        <f t="shared" si="25"/>
        <v>0</v>
      </c>
      <c r="V490" s="55">
        <f t="shared" si="26"/>
        <v>13311</v>
      </c>
    </row>
    <row r="491" spans="1:22" ht="14.4" customHeight="1">
      <c r="A491" s="176">
        <v>474</v>
      </c>
      <c r="B491" s="178" t="s">
        <v>811</v>
      </c>
      <c r="C491" s="271" t="s">
        <v>1048</v>
      </c>
      <c r="D491" s="177">
        <v>45963</v>
      </c>
      <c r="E491" s="178" t="s">
        <v>813</v>
      </c>
      <c r="F491" s="271" t="s">
        <v>814</v>
      </c>
      <c r="G491" s="178" t="s">
        <v>815</v>
      </c>
      <c r="H491" s="366">
        <v>342273</v>
      </c>
      <c r="I491" s="176">
        <v>10</v>
      </c>
      <c r="J491" s="366">
        <v>34227</v>
      </c>
      <c r="K491" s="178" t="s">
        <v>261</v>
      </c>
      <c r="L491" s="178" t="s">
        <v>252</v>
      </c>
      <c r="M491" s="271" t="s">
        <v>816</v>
      </c>
      <c r="N491" s="177">
        <v>46230</v>
      </c>
      <c r="O491" s="177">
        <v>46230</v>
      </c>
      <c r="P491" s="366">
        <v>376500</v>
      </c>
      <c r="Q491" s="176" t="s">
        <v>248</v>
      </c>
      <c r="R491" s="176" t="s">
        <v>434</v>
      </c>
      <c r="S491" s="178" t="s">
        <v>253</v>
      </c>
      <c r="T491" s="57" t="str">
        <f t="shared" si="24"/>
        <v>Đ</v>
      </c>
      <c r="U491" s="59">
        <f t="shared" si="25"/>
        <v>0</v>
      </c>
      <c r="V491" s="55">
        <f t="shared" si="26"/>
        <v>13311</v>
      </c>
    </row>
    <row r="492" spans="1:22" ht="14.4" customHeight="1">
      <c r="A492" s="176">
        <v>475</v>
      </c>
      <c r="B492" s="178" t="s">
        <v>811</v>
      </c>
      <c r="C492" s="271" t="s">
        <v>1049</v>
      </c>
      <c r="D492" s="177">
        <v>45963</v>
      </c>
      <c r="E492" s="178" t="s">
        <v>813</v>
      </c>
      <c r="F492" s="271" t="s">
        <v>814</v>
      </c>
      <c r="G492" s="178" t="s">
        <v>815</v>
      </c>
      <c r="H492" s="366">
        <v>21052</v>
      </c>
      <c r="I492" s="176">
        <v>10</v>
      </c>
      <c r="J492" s="366">
        <v>2105</v>
      </c>
      <c r="K492" s="178" t="s">
        <v>261</v>
      </c>
      <c r="L492" s="178" t="s">
        <v>252</v>
      </c>
      <c r="M492" s="271" t="s">
        <v>816</v>
      </c>
      <c r="N492" s="177">
        <v>46230</v>
      </c>
      <c r="O492" s="177">
        <v>46230</v>
      </c>
      <c r="P492" s="366">
        <v>23157</v>
      </c>
      <c r="Q492" s="176" t="s">
        <v>248</v>
      </c>
      <c r="R492" s="176" t="s">
        <v>434</v>
      </c>
      <c r="S492" s="178" t="s">
        <v>253</v>
      </c>
      <c r="T492" s="57" t="str">
        <f t="shared" si="24"/>
        <v>Đ</v>
      </c>
      <c r="U492" s="59">
        <f t="shared" si="25"/>
        <v>0</v>
      </c>
      <c r="V492" s="55">
        <f t="shared" si="26"/>
        <v>13311</v>
      </c>
    </row>
    <row r="493" spans="1:22" ht="14.4" customHeight="1">
      <c r="A493" s="176">
        <v>476</v>
      </c>
      <c r="B493" s="178" t="s">
        <v>811</v>
      </c>
      <c r="C493" s="271" t="s">
        <v>1050</v>
      </c>
      <c r="D493" s="177">
        <v>45963</v>
      </c>
      <c r="E493" s="178" t="s">
        <v>813</v>
      </c>
      <c r="F493" s="271" t="s">
        <v>814</v>
      </c>
      <c r="G493" s="178" t="s">
        <v>815</v>
      </c>
      <c r="H493" s="366">
        <v>272727</v>
      </c>
      <c r="I493" s="176">
        <v>10</v>
      </c>
      <c r="J493" s="366">
        <v>27273</v>
      </c>
      <c r="K493" s="178" t="s">
        <v>261</v>
      </c>
      <c r="L493" s="178" t="s">
        <v>252</v>
      </c>
      <c r="M493" s="271" t="s">
        <v>816</v>
      </c>
      <c r="N493" s="177">
        <v>46230</v>
      </c>
      <c r="O493" s="177">
        <v>46230</v>
      </c>
      <c r="P493" s="366">
        <v>300000</v>
      </c>
      <c r="Q493" s="176" t="s">
        <v>248</v>
      </c>
      <c r="R493" s="176" t="s">
        <v>434</v>
      </c>
      <c r="S493" s="178" t="s">
        <v>253</v>
      </c>
      <c r="T493" s="57" t="str">
        <f t="shared" si="24"/>
        <v>Đ</v>
      </c>
      <c r="U493" s="59">
        <f t="shared" si="25"/>
        <v>0</v>
      </c>
      <c r="V493" s="55">
        <f t="shared" si="26"/>
        <v>13311</v>
      </c>
    </row>
    <row r="494" spans="1:22" ht="21.65" customHeight="1">
      <c r="A494" s="176">
        <v>477</v>
      </c>
      <c r="B494" s="178" t="s">
        <v>811</v>
      </c>
      <c r="C494" s="271" t="s">
        <v>1051</v>
      </c>
      <c r="D494" s="177">
        <v>45963</v>
      </c>
      <c r="E494" s="178" t="s">
        <v>813</v>
      </c>
      <c r="F494" s="271" t="s">
        <v>814</v>
      </c>
      <c r="G494" s="178" t="s">
        <v>815</v>
      </c>
      <c r="H494" s="366">
        <v>285454</v>
      </c>
      <c r="I494" s="176">
        <v>10</v>
      </c>
      <c r="J494" s="366">
        <v>28545</v>
      </c>
      <c r="K494" s="178" t="s">
        <v>261</v>
      </c>
      <c r="L494" s="178" t="s">
        <v>252</v>
      </c>
      <c r="M494" s="271" t="s">
        <v>816</v>
      </c>
      <c r="N494" s="177">
        <v>46230</v>
      </c>
      <c r="O494" s="177">
        <v>46230</v>
      </c>
      <c r="P494" s="366">
        <v>313999</v>
      </c>
      <c r="Q494" s="176" t="s">
        <v>248</v>
      </c>
      <c r="R494" s="176" t="s">
        <v>434</v>
      </c>
      <c r="S494" s="178" t="s">
        <v>253</v>
      </c>
      <c r="T494" s="57" t="str">
        <f t="shared" si="24"/>
        <v>Đ</v>
      </c>
      <c r="U494" s="59">
        <f t="shared" si="25"/>
        <v>0</v>
      </c>
      <c r="V494" s="55">
        <f t="shared" si="26"/>
        <v>13311</v>
      </c>
    </row>
    <row r="495" spans="1:22" ht="21.65" customHeight="1">
      <c r="A495" s="176">
        <v>478</v>
      </c>
      <c r="B495" s="178" t="s">
        <v>811</v>
      </c>
      <c r="C495" s="271" t="s">
        <v>1052</v>
      </c>
      <c r="D495" s="177">
        <v>45963</v>
      </c>
      <c r="E495" s="178" t="s">
        <v>813</v>
      </c>
      <c r="F495" s="271" t="s">
        <v>814</v>
      </c>
      <c r="G495" s="178" t="s">
        <v>815</v>
      </c>
      <c r="H495" s="366">
        <v>27273</v>
      </c>
      <c r="I495" s="176">
        <v>10</v>
      </c>
      <c r="J495" s="366">
        <v>2727</v>
      </c>
      <c r="K495" s="178" t="s">
        <v>261</v>
      </c>
      <c r="L495" s="178" t="s">
        <v>252</v>
      </c>
      <c r="M495" s="271" t="s">
        <v>816</v>
      </c>
      <c r="N495" s="177">
        <v>46230</v>
      </c>
      <c r="O495" s="177">
        <v>46230</v>
      </c>
      <c r="P495" s="366">
        <v>30000</v>
      </c>
      <c r="Q495" s="176" t="s">
        <v>248</v>
      </c>
      <c r="R495" s="176" t="s">
        <v>434</v>
      </c>
      <c r="S495" s="178" t="s">
        <v>253</v>
      </c>
      <c r="T495" s="57" t="str">
        <f t="shared" si="24"/>
        <v>Đ</v>
      </c>
      <c r="U495" s="59">
        <f t="shared" si="25"/>
        <v>0</v>
      </c>
      <c r="V495" s="55">
        <f t="shared" si="26"/>
        <v>13311</v>
      </c>
    </row>
    <row r="496" spans="1:22" ht="15.65" customHeight="1">
      <c r="A496" s="176">
        <v>479</v>
      </c>
      <c r="B496" s="178" t="s">
        <v>811</v>
      </c>
      <c r="C496" s="271" t="s">
        <v>1053</v>
      </c>
      <c r="D496" s="177">
        <v>45963</v>
      </c>
      <c r="E496" s="178" t="s">
        <v>813</v>
      </c>
      <c r="F496" s="271" t="s">
        <v>814</v>
      </c>
      <c r="G496" s="178" t="s">
        <v>815</v>
      </c>
      <c r="H496" s="366">
        <v>202723</v>
      </c>
      <c r="I496" s="176">
        <v>10</v>
      </c>
      <c r="J496" s="366">
        <v>20272</v>
      </c>
      <c r="K496" s="178" t="s">
        <v>261</v>
      </c>
      <c r="L496" s="178" t="s">
        <v>252</v>
      </c>
      <c r="M496" s="271" t="s">
        <v>816</v>
      </c>
      <c r="N496" s="177">
        <v>46230</v>
      </c>
      <c r="O496" s="177">
        <v>46230</v>
      </c>
      <c r="P496" s="366">
        <v>222995</v>
      </c>
      <c r="Q496" s="176" t="s">
        <v>248</v>
      </c>
      <c r="R496" s="176" t="s">
        <v>434</v>
      </c>
      <c r="S496" s="178" t="s">
        <v>253</v>
      </c>
      <c r="T496" s="57" t="str">
        <f t="shared" si="24"/>
        <v>Đ</v>
      </c>
      <c r="U496" s="59">
        <f t="shared" si="25"/>
        <v>0</v>
      </c>
      <c r="V496" s="55">
        <f t="shared" si="26"/>
        <v>13311</v>
      </c>
    </row>
    <row r="497" spans="1:22" ht="15.65" customHeight="1">
      <c r="A497" s="176">
        <v>480</v>
      </c>
      <c r="B497" s="178" t="s">
        <v>811</v>
      </c>
      <c r="C497" s="271" t="s">
        <v>1054</v>
      </c>
      <c r="D497" s="177">
        <v>45963</v>
      </c>
      <c r="E497" s="178" t="s">
        <v>813</v>
      </c>
      <c r="F497" s="271" t="s">
        <v>814</v>
      </c>
      <c r="G497" s="178" t="s">
        <v>815</v>
      </c>
      <c r="H497" s="366">
        <v>20000</v>
      </c>
      <c r="I497" s="176">
        <v>10</v>
      </c>
      <c r="J497" s="366">
        <v>2000</v>
      </c>
      <c r="K497" s="178" t="s">
        <v>261</v>
      </c>
      <c r="L497" s="178" t="s">
        <v>252</v>
      </c>
      <c r="M497" s="271" t="s">
        <v>816</v>
      </c>
      <c r="N497" s="177">
        <v>46230</v>
      </c>
      <c r="O497" s="177">
        <v>46230</v>
      </c>
      <c r="P497" s="366">
        <v>22000</v>
      </c>
      <c r="Q497" s="176" t="s">
        <v>248</v>
      </c>
      <c r="R497" s="176" t="s">
        <v>434</v>
      </c>
      <c r="S497" s="178" t="s">
        <v>253</v>
      </c>
      <c r="T497" s="57" t="str">
        <f t="shared" si="24"/>
        <v>Đ</v>
      </c>
      <c r="U497" s="59">
        <f t="shared" si="25"/>
        <v>0</v>
      </c>
      <c r="V497" s="55">
        <f t="shared" si="26"/>
        <v>13311</v>
      </c>
    </row>
    <row r="498" spans="1:22" ht="15.65" customHeight="1">
      <c r="A498" s="176">
        <v>481</v>
      </c>
      <c r="B498" s="178" t="s">
        <v>811</v>
      </c>
      <c r="C498" s="271" t="s">
        <v>1055</v>
      </c>
      <c r="D498" s="177">
        <v>45963</v>
      </c>
      <c r="E498" s="178" t="s">
        <v>813</v>
      </c>
      <c r="F498" s="271" t="s">
        <v>814</v>
      </c>
      <c r="G498" s="178" t="s">
        <v>815</v>
      </c>
      <c r="H498" s="366">
        <v>181818</v>
      </c>
      <c r="I498" s="176">
        <v>10</v>
      </c>
      <c r="J498" s="366">
        <v>18182</v>
      </c>
      <c r="K498" s="178" t="s">
        <v>261</v>
      </c>
      <c r="L498" s="178" t="s">
        <v>252</v>
      </c>
      <c r="M498" s="271" t="s">
        <v>816</v>
      </c>
      <c r="N498" s="177">
        <v>46230</v>
      </c>
      <c r="O498" s="177">
        <v>46230</v>
      </c>
      <c r="P498" s="366">
        <v>200000</v>
      </c>
      <c r="Q498" s="176" t="s">
        <v>248</v>
      </c>
      <c r="R498" s="176" t="s">
        <v>434</v>
      </c>
      <c r="S498" s="178" t="s">
        <v>253</v>
      </c>
      <c r="T498" s="57" t="str">
        <f t="shared" si="24"/>
        <v>Đ</v>
      </c>
      <c r="U498" s="59">
        <f t="shared" si="25"/>
        <v>0</v>
      </c>
      <c r="V498" s="55">
        <f t="shared" si="26"/>
        <v>13311</v>
      </c>
    </row>
    <row r="499" spans="1:22" ht="15.65" customHeight="1">
      <c r="A499" s="176">
        <v>482</v>
      </c>
      <c r="B499" s="178" t="s">
        <v>811</v>
      </c>
      <c r="C499" s="271" t="s">
        <v>1056</v>
      </c>
      <c r="D499" s="177">
        <v>45963</v>
      </c>
      <c r="E499" s="178" t="s">
        <v>813</v>
      </c>
      <c r="F499" s="271" t="s">
        <v>814</v>
      </c>
      <c r="G499" s="178" t="s">
        <v>815</v>
      </c>
      <c r="H499" s="366">
        <v>20000</v>
      </c>
      <c r="I499" s="176">
        <v>10</v>
      </c>
      <c r="J499" s="366">
        <v>2000</v>
      </c>
      <c r="K499" s="178" t="s">
        <v>261</v>
      </c>
      <c r="L499" s="178" t="s">
        <v>252</v>
      </c>
      <c r="M499" s="271" t="s">
        <v>816</v>
      </c>
      <c r="N499" s="177">
        <v>46230</v>
      </c>
      <c r="O499" s="177">
        <v>46230</v>
      </c>
      <c r="P499" s="366">
        <v>22000</v>
      </c>
      <c r="Q499" s="176" t="s">
        <v>248</v>
      </c>
      <c r="R499" s="176" t="s">
        <v>434</v>
      </c>
      <c r="S499" s="178" t="s">
        <v>253</v>
      </c>
      <c r="T499" s="57" t="str">
        <f t="shared" si="24"/>
        <v>Đ</v>
      </c>
      <c r="U499" s="59">
        <f t="shared" si="25"/>
        <v>0</v>
      </c>
      <c r="V499" s="55">
        <f t="shared" si="26"/>
        <v>13311</v>
      </c>
    </row>
    <row r="500" spans="1:22" ht="15.65" customHeight="1">
      <c r="A500" s="176">
        <v>483</v>
      </c>
      <c r="B500" s="178" t="s">
        <v>811</v>
      </c>
      <c r="C500" s="271" t="s">
        <v>1057</v>
      </c>
      <c r="D500" s="177">
        <v>45963</v>
      </c>
      <c r="E500" s="178" t="s">
        <v>813</v>
      </c>
      <c r="F500" s="271" t="s">
        <v>814</v>
      </c>
      <c r="G500" s="178" t="s">
        <v>815</v>
      </c>
      <c r="H500" s="366">
        <v>90909</v>
      </c>
      <c r="I500" s="176">
        <v>10</v>
      </c>
      <c r="J500" s="366">
        <v>9091</v>
      </c>
      <c r="K500" s="178" t="s">
        <v>261</v>
      </c>
      <c r="L500" s="178" t="s">
        <v>252</v>
      </c>
      <c r="M500" s="271" t="s">
        <v>816</v>
      </c>
      <c r="N500" s="177">
        <v>46230</v>
      </c>
      <c r="O500" s="177">
        <v>46230</v>
      </c>
      <c r="P500" s="366">
        <v>100000</v>
      </c>
      <c r="Q500" s="176" t="s">
        <v>248</v>
      </c>
      <c r="R500" s="176" t="s">
        <v>434</v>
      </c>
      <c r="S500" s="178" t="s">
        <v>253</v>
      </c>
      <c r="T500" s="57" t="str">
        <f t="shared" si="24"/>
        <v>Đ</v>
      </c>
      <c r="U500" s="59">
        <f t="shared" si="25"/>
        <v>0</v>
      </c>
      <c r="V500" s="55">
        <f t="shared" si="26"/>
        <v>13311</v>
      </c>
    </row>
    <row r="501" spans="1:22" ht="14.4" customHeight="1">
      <c r="A501" s="176">
        <v>484</v>
      </c>
      <c r="B501" s="178" t="s">
        <v>811</v>
      </c>
      <c r="C501" s="271" t="s">
        <v>1058</v>
      </c>
      <c r="D501" s="177">
        <v>45963</v>
      </c>
      <c r="E501" s="178" t="s">
        <v>813</v>
      </c>
      <c r="F501" s="271" t="s">
        <v>814</v>
      </c>
      <c r="G501" s="178" t="s">
        <v>815</v>
      </c>
      <c r="H501" s="366">
        <v>287273</v>
      </c>
      <c r="I501" s="176">
        <v>10</v>
      </c>
      <c r="J501" s="366">
        <v>28727</v>
      </c>
      <c r="K501" s="178" t="s">
        <v>261</v>
      </c>
      <c r="L501" s="178" t="s">
        <v>252</v>
      </c>
      <c r="M501" s="271" t="s">
        <v>816</v>
      </c>
      <c r="N501" s="177">
        <v>46230</v>
      </c>
      <c r="O501" s="177">
        <v>46230</v>
      </c>
      <c r="P501" s="366">
        <v>316000</v>
      </c>
      <c r="Q501" s="176" t="s">
        <v>248</v>
      </c>
      <c r="R501" s="176" t="s">
        <v>434</v>
      </c>
      <c r="S501" s="178" t="s">
        <v>253</v>
      </c>
      <c r="T501" s="57" t="str">
        <f t="shared" si="24"/>
        <v>Đ</v>
      </c>
      <c r="U501" s="59">
        <f t="shared" si="25"/>
        <v>0</v>
      </c>
      <c r="V501" s="55">
        <f t="shared" si="26"/>
        <v>13311</v>
      </c>
    </row>
    <row r="502" spans="1:22" ht="14.4" customHeight="1">
      <c r="A502" s="176">
        <v>485</v>
      </c>
      <c r="B502" s="178" t="s">
        <v>811</v>
      </c>
      <c r="C502" s="271" t="s">
        <v>1059</v>
      </c>
      <c r="D502" s="177">
        <v>45963</v>
      </c>
      <c r="E502" s="178" t="s">
        <v>813</v>
      </c>
      <c r="F502" s="271" t="s">
        <v>814</v>
      </c>
      <c r="G502" s="178" t="s">
        <v>815</v>
      </c>
      <c r="H502" s="366">
        <v>27273</v>
      </c>
      <c r="I502" s="176">
        <v>10</v>
      </c>
      <c r="J502" s="366">
        <v>2727</v>
      </c>
      <c r="K502" s="178" t="s">
        <v>261</v>
      </c>
      <c r="L502" s="178" t="s">
        <v>252</v>
      </c>
      <c r="M502" s="271" t="s">
        <v>816</v>
      </c>
      <c r="N502" s="177">
        <v>46230</v>
      </c>
      <c r="O502" s="177">
        <v>46230</v>
      </c>
      <c r="P502" s="366">
        <v>30000</v>
      </c>
      <c r="Q502" s="176" t="s">
        <v>248</v>
      </c>
      <c r="R502" s="176" t="s">
        <v>434</v>
      </c>
      <c r="S502" s="178" t="s">
        <v>253</v>
      </c>
      <c r="T502" s="57" t="str">
        <f t="shared" si="24"/>
        <v>Đ</v>
      </c>
      <c r="U502" s="59">
        <f t="shared" si="25"/>
        <v>0</v>
      </c>
      <c r="V502" s="55">
        <f t="shared" si="26"/>
        <v>13311</v>
      </c>
    </row>
    <row r="503" spans="1:22" ht="14.4" customHeight="1">
      <c r="A503" s="176">
        <v>486</v>
      </c>
      <c r="B503" s="178" t="s">
        <v>811</v>
      </c>
      <c r="C503" s="271" t="s">
        <v>1060</v>
      </c>
      <c r="D503" s="177">
        <v>45963</v>
      </c>
      <c r="E503" s="178" t="s">
        <v>813</v>
      </c>
      <c r="F503" s="271" t="s">
        <v>814</v>
      </c>
      <c r="G503" s="178" t="s">
        <v>815</v>
      </c>
      <c r="H503" s="366">
        <v>437421</v>
      </c>
      <c r="I503" s="176">
        <v>10</v>
      </c>
      <c r="J503" s="366">
        <v>43742</v>
      </c>
      <c r="K503" s="178" t="s">
        <v>261</v>
      </c>
      <c r="L503" s="178" t="s">
        <v>252</v>
      </c>
      <c r="M503" s="271" t="s">
        <v>816</v>
      </c>
      <c r="N503" s="177">
        <v>46230</v>
      </c>
      <c r="O503" s="177">
        <v>46230</v>
      </c>
      <c r="P503" s="366">
        <v>481163</v>
      </c>
      <c r="Q503" s="176" t="s">
        <v>248</v>
      </c>
      <c r="R503" s="176" t="s">
        <v>434</v>
      </c>
      <c r="S503" s="178" t="s">
        <v>253</v>
      </c>
      <c r="T503" s="57" t="str">
        <f t="shared" si="24"/>
        <v>Đ</v>
      </c>
      <c r="U503" s="59">
        <f t="shared" si="25"/>
        <v>0</v>
      </c>
      <c r="V503" s="55">
        <f t="shared" si="26"/>
        <v>13311</v>
      </c>
    </row>
    <row r="504" spans="1:22" ht="14.4" customHeight="1">
      <c r="A504" s="176">
        <v>487</v>
      </c>
      <c r="B504" s="178" t="s">
        <v>811</v>
      </c>
      <c r="C504" s="271" t="s">
        <v>1061</v>
      </c>
      <c r="D504" s="177">
        <v>45993</v>
      </c>
      <c r="E504" s="178" t="s">
        <v>813</v>
      </c>
      <c r="F504" s="271" t="s">
        <v>814</v>
      </c>
      <c r="G504" s="178" t="s">
        <v>815</v>
      </c>
      <c r="H504" s="366">
        <v>1730091</v>
      </c>
      <c r="I504" s="176">
        <v>10</v>
      </c>
      <c r="J504" s="366">
        <v>173009</v>
      </c>
      <c r="K504" s="178" t="s">
        <v>261</v>
      </c>
      <c r="L504" s="178" t="s">
        <v>252</v>
      </c>
      <c r="M504" s="271" t="s">
        <v>816</v>
      </c>
      <c r="N504" s="177">
        <v>46230</v>
      </c>
      <c r="O504" s="177">
        <v>46230</v>
      </c>
      <c r="P504" s="366">
        <v>1903100</v>
      </c>
      <c r="Q504" s="176" t="s">
        <v>248</v>
      </c>
      <c r="R504" s="176" t="s">
        <v>434</v>
      </c>
      <c r="S504" s="178" t="s">
        <v>253</v>
      </c>
      <c r="T504" s="57" t="str">
        <f t="shared" si="24"/>
        <v>Đ</v>
      </c>
      <c r="U504" s="59">
        <f t="shared" si="25"/>
        <v>0</v>
      </c>
      <c r="V504" s="55">
        <f t="shared" si="26"/>
        <v>13311</v>
      </c>
    </row>
    <row r="505" spans="1:22" ht="14.4" customHeight="1">
      <c r="A505" s="176">
        <v>488</v>
      </c>
      <c r="B505" s="178" t="s">
        <v>811</v>
      </c>
      <c r="C505" s="271" t="s">
        <v>1062</v>
      </c>
      <c r="D505" s="177">
        <v>45993</v>
      </c>
      <c r="E505" s="178" t="s">
        <v>813</v>
      </c>
      <c r="F505" s="271" t="s">
        <v>814</v>
      </c>
      <c r="G505" s="178" t="s">
        <v>815</v>
      </c>
      <c r="H505" s="366">
        <v>293045</v>
      </c>
      <c r="I505" s="176">
        <v>10</v>
      </c>
      <c r="J505" s="366">
        <v>29305</v>
      </c>
      <c r="K505" s="178" t="s">
        <v>261</v>
      </c>
      <c r="L505" s="178" t="s">
        <v>252</v>
      </c>
      <c r="M505" s="271" t="s">
        <v>816</v>
      </c>
      <c r="N505" s="177">
        <v>46230</v>
      </c>
      <c r="O505" s="177">
        <v>46230</v>
      </c>
      <c r="P505" s="366">
        <v>322350</v>
      </c>
      <c r="Q505" s="176" t="s">
        <v>248</v>
      </c>
      <c r="R505" s="176" t="s">
        <v>434</v>
      </c>
      <c r="S505" s="178" t="s">
        <v>253</v>
      </c>
      <c r="T505" s="57" t="str">
        <f t="shared" si="24"/>
        <v>Đ</v>
      </c>
      <c r="U505" s="59">
        <f t="shared" si="25"/>
        <v>0</v>
      </c>
      <c r="V505" s="55">
        <f t="shared" si="26"/>
        <v>13311</v>
      </c>
    </row>
    <row r="506" spans="1:22" ht="14.4" customHeight="1">
      <c r="A506" s="176">
        <v>489</v>
      </c>
      <c r="B506" s="178" t="s">
        <v>811</v>
      </c>
      <c r="C506" s="271" t="s">
        <v>1063</v>
      </c>
      <c r="D506" s="177">
        <v>45993</v>
      </c>
      <c r="E506" s="178" t="s">
        <v>813</v>
      </c>
      <c r="F506" s="271" t="s">
        <v>814</v>
      </c>
      <c r="G506" s="178" t="s">
        <v>815</v>
      </c>
      <c r="H506" s="366">
        <v>490909</v>
      </c>
      <c r="I506" s="176">
        <v>10</v>
      </c>
      <c r="J506" s="366">
        <v>49091</v>
      </c>
      <c r="K506" s="178" t="s">
        <v>261</v>
      </c>
      <c r="L506" s="178" t="s">
        <v>252</v>
      </c>
      <c r="M506" s="271" t="s">
        <v>816</v>
      </c>
      <c r="N506" s="177">
        <v>46230</v>
      </c>
      <c r="O506" s="177">
        <v>46230</v>
      </c>
      <c r="P506" s="366">
        <v>540000</v>
      </c>
      <c r="Q506" s="176" t="s">
        <v>248</v>
      </c>
      <c r="R506" s="176" t="s">
        <v>434</v>
      </c>
      <c r="S506" s="178" t="s">
        <v>253</v>
      </c>
      <c r="T506" s="57" t="str">
        <f t="shared" si="24"/>
        <v>Đ</v>
      </c>
      <c r="U506" s="59">
        <f t="shared" si="25"/>
        <v>0</v>
      </c>
      <c r="V506" s="55">
        <f t="shared" si="26"/>
        <v>13311</v>
      </c>
    </row>
    <row r="507" spans="1:22" ht="14.4" customHeight="1">
      <c r="A507" s="176">
        <v>490</v>
      </c>
      <c r="B507" s="178" t="s">
        <v>811</v>
      </c>
      <c r="C507" s="271" t="s">
        <v>1064</v>
      </c>
      <c r="D507" s="177">
        <v>45993</v>
      </c>
      <c r="E507" s="178" t="s">
        <v>813</v>
      </c>
      <c r="F507" s="271" t="s">
        <v>814</v>
      </c>
      <c r="G507" s="178" t="s">
        <v>815</v>
      </c>
      <c r="H507" s="366">
        <v>81818</v>
      </c>
      <c r="I507" s="176">
        <v>10</v>
      </c>
      <c r="J507" s="366">
        <v>8182</v>
      </c>
      <c r="K507" s="178" t="s">
        <v>261</v>
      </c>
      <c r="L507" s="178" t="s">
        <v>252</v>
      </c>
      <c r="M507" s="271" t="s">
        <v>816</v>
      </c>
      <c r="N507" s="177">
        <v>46230</v>
      </c>
      <c r="O507" s="177">
        <v>46230</v>
      </c>
      <c r="P507" s="366">
        <v>90000</v>
      </c>
      <c r="Q507" s="176" t="s">
        <v>248</v>
      </c>
      <c r="R507" s="176" t="s">
        <v>434</v>
      </c>
      <c r="S507" s="178" t="s">
        <v>253</v>
      </c>
      <c r="T507" s="57" t="str">
        <f t="shared" si="24"/>
        <v>Đ</v>
      </c>
      <c r="U507" s="59">
        <f t="shared" si="25"/>
        <v>0</v>
      </c>
      <c r="V507" s="55">
        <f t="shared" si="26"/>
        <v>13311</v>
      </c>
    </row>
    <row r="508" spans="1:22" ht="15.65" customHeight="1">
      <c r="A508" s="176">
        <v>491</v>
      </c>
      <c r="B508" s="178" t="s">
        <v>811</v>
      </c>
      <c r="C508" s="271" t="s">
        <v>1065</v>
      </c>
      <c r="D508" s="177">
        <v>45993</v>
      </c>
      <c r="E508" s="178" t="s">
        <v>813</v>
      </c>
      <c r="F508" s="271" t="s">
        <v>814</v>
      </c>
      <c r="G508" s="178" t="s">
        <v>815</v>
      </c>
      <c r="H508" s="366">
        <v>837442</v>
      </c>
      <c r="I508" s="176">
        <v>10</v>
      </c>
      <c r="J508" s="366">
        <v>83744</v>
      </c>
      <c r="K508" s="178" t="s">
        <v>261</v>
      </c>
      <c r="L508" s="178" t="s">
        <v>252</v>
      </c>
      <c r="M508" s="271" t="s">
        <v>816</v>
      </c>
      <c r="N508" s="177">
        <v>46230</v>
      </c>
      <c r="O508" s="177">
        <v>46230</v>
      </c>
      <c r="P508" s="366">
        <v>921186</v>
      </c>
      <c r="Q508" s="176" t="s">
        <v>248</v>
      </c>
      <c r="R508" s="176" t="s">
        <v>434</v>
      </c>
      <c r="S508" s="178" t="s">
        <v>253</v>
      </c>
      <c r="T508" s="57" t="str">
        <f t="shared" si="24"/>
        <v>Đ</v>
      </c>
      <c r="U508" s="59">
        <f t="shared" si="25"/>
        <v>0</v>
      </c>
      <c r="V508" s="55">
        <f t="shared" si="26"/>
        <v>13311</v>
      </c>
    </row>
    <row r="509" spans="1:22" ht="14.4" customHeight="1">
      <c r="A509" s="176">
        <v>492</v>
      </c>
      <c r="B509" s="178" t="s">
        <v>811</v>
      </c>
      <c r="C509" s="271" t="s">
        <v>1066</v>
      </c>
      <c r="D509" s="177">
        <v>45993</v>
      </c>
      <c r="E509" s="178" t="s">
        <v>813</v>
      </c>
      <c r="F509" s="271" t="s">
        <v>814</v>
      </c>
      <c r="G509" s="178" t="s">
        <v>815</v>
      </c>
      <c r="H509" s="366">
        <v>48115</v>
      </c>
      <c r="I509" s="176">
        <v>10</v>
      </c>
      <c r="J509" s="366">
        <v>4812</v>
      </c>
      <c r="K509" s="178" t="s">
        <v>261</v>
      </c>
      <c r="L509" s="178" t="s">
        <v>252</v>
      </c>
      <c r="M509" s="271" t="s">
        <v>816</v>
      </c>
      <c r="N509" s="177">
        <v>46230</v>
      </c>
      <c r="O509" s="177">
        <v>46230</v>
      </c>
      <c r="P509" s="366">
        <v>52927</v>
      </c>
      <c r="Q509" s="176" t="s">
        <v>248</v>
      </c>
      <c r="R509" s="176" t="s">
        <v>434</v>
      </c>
      <c r="S509" s="178" t="s">
        <v>253</v>
      </c>
      <c r="T509" s="57" t="str">
        <f t="shared" si="24"/>
        <v>Đ</v>
      </c>
      <c r="U509" s="59">
        <f t="shared" si="25"/>
        <v>0</v>
      </c>
      <c r="V509" s="55">
        <f t="shared" si="26"/>
        <v>13311</v>
      </c>
    </row>
    <row r="510" spans="1:22" ht="15.65" customHeight="1">
      <c r="A510" s="176">
        <v>493</v>
      </c>
      <c r="B510" s="178" t="s">
        <v>811</v>
      </c>
      <c r="C510" s="271" t="s">
        <v>1067</v>
      </c>
      <c r="D510" s="177">
        <v>45993</v>
      </c>
      <c r="E510" s="178" t="s">
        <v>813</v>
      </c>
      <c r="F510" s="271" t="s">
        <v>814</v>
      </c>
      <c r="G510" s="178" t="s">
        <v>815</v>
      </c>
      <c r="H510" s="366">
        <v>81818</v>
      </c>
      <c r="I510" s="176">
        <v>10</v>
      </c>
      <c r="J510" s="366">
        <v>8182</v>
      </c>
      <c r="K510" s="178" t="s">
        <v>261</v>
      </c>
      <c r="L510" s="178" t="s">
        <v>252</v>
      </c>
      <c r="M510" s="271" t="s">
        <v>816</v>
      </c>
      <c r="N510" s="177">
        <v>46230</v>
      </c>
      <c r="O510" s="177">
        <v>46230</v>
      </c>
      <c r="P510" s="366">
        <v>90000</v>
      </c>
      <c r="Q510" s="176" t="s">
        <v>248</v>
      </c>
      <c r="R510" s="176" t="s">
        <v>434</v>
      </c>
      <c r="S510" s="178" t="s">
        <v>253</v>
      </c>
      <c r="T510" s="57" t="str">
        <f t="shared" si="24"/>
        <v>Đ</v>
      </c>
      <c r="U510" s="59">
        <f t="shared" si="25"/>
        <v>0</v>
      </c>
      <c r="V510" s="55">
        <f t="shared" si="26"/>
        <v>13311</v>
      </c>
    </row>
    <row r="511" spans="1:22" ht="15.65" customHeight="1">
      <c r="A511" s="176">
        <v>494</v>
      </c>
      <c r="B511" s="178" t="s">
        <v>811</v>
      </c>
      <c r="C511" s="271" t="s">
        <v>1068</v>
      </c>
      <c r="D511" s="177">
        <v>45993</v>
      </c>
      <c r="E511" s="178" t="s">
        <v>813</v>
      </c>
      <c r="F511" s="271" t="s">
        <v>814</v>
      </c>
      <c r="G511" s="178" t="s">
        <v>815</v>
      </c>
      <c r="H511" s="366">
        <v>134449</v>
      </c>
      <c r="I511" s="176">
        <v>10</v>
      </c>
      <c r="J511" s="366">
        <v>13445</v>
      </c>
      <c r="K511" s="178" t="s">
        <v>261</v>
      </c>
      <c r="L511" s="178" t="s">
        <v>252</v>
      </c>
      <c r="M511" s="271" t="s">
        <v>816</v>
      </c>
      <c r="N511" s="177">
        <v>46230</v>
      </c>
      <c r="O511" s="177">
        <v>46230</v>
      </c>
      <c r="P511" s="366">
        <v>147894</v>
      </c>
      <c r="Q511" s="176" t="s">
        <v>248</v>
      </c>
      <c r="R511" s="176" t="s">
        <v>434</v>
      </c>
      <c r="S511" s="178" t="s">
        <v>253</v>
      </c>
      <c r="T511" s="57" t="str">
        <f t="shared" si="24"/>
        <v>Đ</v>
      </c>
      <c r="U511" s="59">
        <f t="shared" si="25"/>
        <v>0</v>
      </c>
      <c r="V511" s="55">
        <f t="shared" si="26"/>
        <v>13311</v>
      </c>
    </row>
    <row r="512" spans="1:22" ht="14.4" customHeight="1">
      <c r="A512" s="176">
        <v>495</v>
      </c>
      <c r="B512" s="178" t="s">
        <v>811</v>
      </c>
      <c r="C512" s="271" t="s">
        <v>1069</v>
      </c>
      <c r="D512" s="177">
        <v>45993</v>
      </c>
      <c r="E512" s="178" t="s">
        <v>813</v>
      </c>
      <c r="F512" s="271" t="s">
        <v>814</v>
      </c>
      <c r="G512" s="178" t="s">
        <v>815</v>
      </c>
      <c r="H512" s="366">
        <v>60105</v>
      </c>
      <c r="I512" s="176">
        <v>10</v>
      </c>
      <c r="J512" s="366">
        <v>6011</v>
      </c>
      <c r="K512" s="178" t="s">
        <v>261</v>
      </c>
      <c r="L512" s="178" t="s">
        <v>252</v>
      </c>
      <c r="M512" s="271" t="s">
        <v>816</v>
      </c>
      <c r="N512" s="177">
        <v>46230</v>
      </c>
      <c r="O512" s="177">
        <v>46230</v>
      </c>
      <c r="P512" s="366">
        <v>66116</v>
      </c>
      <c r="Q512" s="176" t="s">
        <v>248</v>
      </c>
      <c r="R512" s="176" t="s">
        <v>434</v>
      </c>
      <c r="S512" s="178" t="s">
        <v>253</v>
      </c>
      <c r="T512" s="57" t="str">
        <f t="shared" si="24"/>
        <v>Đ</v>
      </c>
      <c r="U512" s="59">
        <f t="shared" si="25"/>
        <v>0</v>
      </c>
      <c r="V512" s="55">
        <f t="shared" si="26"/>
        <v>13311</v>
      </c>
    </row>
    <row r="513" spans="1:22" ht="15.65" customHeight="1">
      <c r="A513" s="176">
        <v>496</v>
      </c>
      <c r="B513" s="178" t="s">
        <v>811</v>
      </c>
      <c r="C513" s="271" t="s">
        <v>1070</v>
      </c>
      <c r="D513" s="177">
        <v>45993</v>
      </c>
      <c r="E513" s="178" t="s">
        <v>813</v>
      </c>
      <c r="F513" s="271" t="s">
        <v>814</v>
      </c>
      <c r="G513" s="178" t="s">
        <v>815</v>
      </c>
      <c r="H513" s="366">
        <v>60000</v>
      </c>
      <c r="I513" s="176">
        <v>10</v>
      </c>
      <c r="J513" s="366">
        <v>6000</v>
      </c>
      <c r="K513" s="178" t="s">
        <v>261</v>
      </c>
      <c r="L513" s="178" t="s">
        <v>252</v>
      </c>
      <c r="M513" s="271" t="s">
        <v>816</v>
      </c>
      <c r="N513" s="177">
        <v>46230</v>
      </c>
      <c r="O513" s="177">
        <v>46230</v>
      </c>
      <c r="P513" s="366">
        <v>66000</v>
      </c>
      <c r="Q513" s="176" t="s">
        <v>248</v>
      </c>
      <c r="R513" s="176" t="s">
        <v>434</v>
      </c>
      <c r="S513" s="178" t="s">
        <v>253</v>
      </c>
      <c r="T513" s="57" t="str">
        <f t="shared" si="24"/>
        <v>Đ</v>
      </c>
      <c r="U513" s="59">
        <f t="shared" si="25"/>
        <v>0</v>
      </c>
      <c r="V513" s="55">
        <f t="shared" si="26"/>
        <v>13311</v>
      </c>
    </row>
    <row r="514" spans="1:22" ht="15.65" customHeight="1">
      <c r="A514" s="176">
        <v>497</v>
      </c>
      <c r="B514" s="178" t="s">
        <v>811</v>
      </c>
      <c r="C514" s="271" t="s">
        <v>1071</v>
      </c>
      <c r="D514" s="177">
        <v>45993</v>
      </c>
      <c r="E514" s="178" t="s">
        <v>813</v>
      </c>
      <c r="F514" s="271" t="s">
        <v>814</v>
      </c>
      <c r="G514" s="178" t="s">
        <v>815</v>
      </c>
      <c r="H514" s="366">
        <v>81818</v>
      </c>
      <c r="I514" s="176">
        <v>10</v>
      </c>
      <c r="J514" s="366">
        <v>8182</v>
      </c>
      <c r="K514" s="178" t="s">
        <v>261</v>
      </c>
      <c r="L514" s="178" t="s">
        <v>252</v>
      </c>
      <c r="M514" s="271" t="s">
        <v>816</v>
      </c>
      <c r="N514" s="177">
        <v>46230</v>
      </c>
      <c r="O514" s="177">
        <v>46230</v>
      </c>
      <c r="P514" s="366">
        <v>90000</v>
      </c>
      <c r="Q514" s="176" t="s">
        <v>248</v>
      </c>
      <c r="R514" s="176" t="s">
        <v>434</v>
      </c>
      <c r="S514" s="178" t="s">
        <v>253</v>
      </c>
      <c r="T514" s="57" t="str">
        <f t="shared" si="24"/>
        <v>Đ</v>
      </c>
      <c r="U514" s="59">
        <f t="shared" si="25"/>
        <v>0</v>
      </c>
      <c r="V514" s="55">
        <f t="shared" si="26"/>
        <v>13311</v>
      </c>
    </row>
    <row r="515" spans="1:22" ht="14.4" customHeight="1">
      <c r="A515" s="176">
        <v>498</v>
      </c>
      <c r="B515" s="178" t="s">
        <v>811</v>
      </c>
      <c r="C515" s="271" t="s">
        <v>1072</v>
      </c>
      <c r="D515" s="177">
        <v>45993</v>
      </c>
      <c r="E515" s="178" t="s">
        <v>813</v>
      </c>
      <c r="F515" s="271" t="s">
        <v>814</v>
      </c>
      <c r="G515" s="178" t="s">
        <v>815</v>
      </c>
      <c r="H515" s="366">
        <v>381210</v>
      </c>
      <c r="I515" s="176">
        <v>10</v>
      </c>
      <c r="J515" s="366">
        <v>38121</v>
      </c>
      <c r="K515" s="178" t="s">
        <v>261</v>
      </c>
      <c r="L515" s="178" t="s">
        <v>252</v>
      </c>
      <c r="M515" s="271" t="s">
        <v>816</v>
      </c>
      <c r="N515" s="177">
        <v>46230</v>
      </c>
      <c r="O515" s="177">
        <v>46230</v>
      </c>
      <c r="P515" s="366">
        <v>419331</v>
      </c>
      <c r="Q515" s="176" t="s">
        <v>248</v>
      </c>
      <c r="R515" s="176" t="s">
        <v>434</v>
      </c>
      <c r="S515" s="178" t="s">
        <v>253</v>
      </c>
      <c r="T515" s="57" t="str">
        <f t="shared" si="24"/>
        <v>Đ</v>
      </c>
      <c r="U515" s="59">
        <f t="shared" si="25"/>
        <v>0</v>
      </c>
      <c r="V515" s="55">
        <f t="shared" si="26"/>
        <v>13311</v>
      </c>
    </row>
    <row r="516" spans="1:22" ht="15.65" customHeight="1">
      <c r="A516" s="176">
        <v>499</v>
      </c>
      <c r="B516" s="178" t="s">
        <v>811</v>
      </c>
      <c r="C516" s="271" t="s">
        <v>1073</v>
      </c>
      <c r="D516" s="177">
        <v>45993</v>
      </c>
      <c r="E516" s="178" t="s">
        <v>813</v>
      </c>
      <c r="F516" s="271" t="s">
        <v>814</v>
      </c>
      <c r="G516" s="178" t="s">
        <v>815</v>
      </c>
      <c r="H516" s="366">
        <v>60000</v>
      </c>
      <c r="I516" s="176">
        <v>10</v>
      </c>
      <c r="J516" s="366">
        <v>6000</v>
      </c>
      <c r="K516" s="178" t="s">
        <v>261</v>
      </c>
      <c r="L516" s="178" t="s">
        <v>252</v>
      </c>
      <c r="M516" s="271" t="s">
        <v>816</v>
      </c>
      <c r="N516" s="177">
        <v>46230</v>
      </c>
      <c r="O516" s="177">
        <v>46230</v>
      </c>
      <c r="P516" s="366">
        <v>66000</v>
      </c>
      <c r="Q516" s="176" t="s">
        <v>248</v>
      </c>
      <c r="R516" s="176" t="s">
        <v>434</v>
      </c>
      <c r="S516" s="178" t="s">
        <v>253</v>
      </c>
      <c r="T516" s="57" t="str">
        <f t="shared" si="24"/>
        <v>Đ</v>
      </c>
      <c r="U516" s="59">
        <f t="shared" si="25"/>
        <v>0</v>
      </c>
      <c r="V516" s="55">
        <f t="shared" si="26"/>
        <v>13311</v>
      </c>
    </row>
    <row r="517" spans="1:22" ht="15.65" customHeight="1">
      <c r="A517" s="176">
        <v>500</v>
      </c>
      <c r="B517" s="178" t="s">
        <v>811</v>
      </c>
      <c r="C517" s="271" t="s">
        <v>1074</v>
      </c>
      <c r="D517" s="177">
        <v>45993</v>
      </c>
      <c r="E517" s="178" t="s">
        <v>813</v>
      </c>
      <c r="F517" s="271" t="s">
        <v>814</v>
      </c>
      <c r="G517" s="178" t="s">
        <v>815</v>
      </c>
      <c r="H517" s="366">
        <v>65976</v>
      </c>
      <c r="I517" s="176">
        <v>10</v>
      </c>
      <c r="J517" s="366">
        <v>6598</v>
      </c>
      <c r="K517" s="178" t="s">
        <v>261</v>
      </c>
      <c r="L517" s="178" t="s">
        <v>252</v>
      </c>
      <c r="M517" s="271" t="s">
        <v>816</v>
      </c>
      <c r="N517" s="177">
        <v>46230</v>
      </c>
      <c r="O517" s="177">
        <v>46230</v>
      </c>
      <c r="P517" s="366">
        <v>72574</v>
      </c>
      <c r="Q517" s="176" t="s">
        <v>248</v>
      </c>
      <c r="R517" s="176" t="s">
        <v>434</v>
      </c>
      <c r="S517" s="178" t="s">
        <v>253</v>
      </c>
      <c r="T517" s="57" t="str">
        <f t="shared" si="24"/>
        <v>Đ</v>
      </c>
      <c r="U517" s="59">
        <f t="shared" si="25"/>
        <v>0</v>
      </c>
      <c r="V517" s="55">
        <f t="shared" si="26"/>
        <v>13311</v>
      </c>
    </row>
    <row r="518" spans="1:22" ht="15.65" customHeight="1">
      <c r="A518" s="176">
        <v>501</v>
      </c>
      <c r="B518" s="178" t="s">
        <v>811</v>
      </c>
      <c r="C518" s="271" t="s">
        <v>1075</v>
      </c>
      <c r="D518" s="177">
        <v>45993</v>
      </c>
      <c r="E518" s="178" t="s">
        <v>813</v>
      </c>
      <c r="F518" s="271" t="s">
        <v>814</v>
      </c>
      <c r="G518" s="178" t="s">
        <v>815</v>
      </c>
      <c r="H518" s="366">
        <v>81818</v>
      </c>
      <c r="I518" s="176">
        <v>10</v>
      </c>
      <c r="J518" s="366">
        <v>8182</v>
      </c>
      <c r="K518" s="178" t="s">
        <v>261</v>
      </c>
      <c r="L518" s="178" t="s">
        <v>252</v>
      </c>
      <c r="M518" s="271" t="s">
        <v>816</v>
      </c>
      <c r="N518" s="177">
        <v>46230</v>
      </c>
      <c r="O518" s="177">
        <v>46230</v>
      </c>
      <c r="P518" s="366">
        <v>90000</v>
      </c>
      <c r="Q518" s="176" t="s">
        <v>248</v>
      </c>
      <c r="R518" s="176" t="s">
        <v>434</v>
      </c>
      <c r="S518" s="178" t="s">
        <v>253</v>
      </c>
      <c r="T518" s="57" t="str">
        <f t="shared" si="24"/>
        <v>Đ</v>
      </c>
      <c r="U518" s="59">
        <f t="shared" si="25"/>
        <v>0</v>
      </c>
      <c r="V518" s="55">
        <f t="shared" si="26"/>
        <v>13311</v>
      </c>
    </row>
    <row r="519" spans="1:22" ht="14.4" customHeight="1">
      <c r="A519" s="176">
        <v>502</v>
      </c>
      <c r="B519" s="178" t="s">
        <v>811</v>
      </c>
      <c r="C519" s="271" t="s">
        <v>1076</v>
      </c>
      <c r="D519" s="177">
        <v>45993</v>
      </c>
      <c r="E519" s="178" t="s">
        <v>813</v>
      </c>
      <c r="F519" s="271" t="s">
        <v>814</v>
      </c>
      <c r="G519" s="178" t="s">
        <v>815</v>
      </c>
      <c r="H519" s="366">
        <v>865909</v>
      </c>
      <c r="I519" s="176">
        <v>10</v>
      </c>
      <c r="J519" s="366">
        <v>86591</v>
      </c>
      <c r="K519" s="178" t="s">
        <v>261</v>
      </c>
      <c r="L519" s="178" t="s">
        <v>252</v>
      </c>
      <c r="M519" s="271" t="s">
        <v>816</v>
      </c>
      <c r="N519" s="177">
        <v>46230</v>
      </c>
      <c r="O519" s="177">
        <v>46230</v>
      </c>
      <c r="P519" s="366">
        <v>952500</v>
      </c>
      <c r="Q519" s="176" t="s">
        <v>248</v>
      </c>
      <c r="R519" s="176" t="s">
        <v>434</v>
      </c>
      <c r="S519" s="178" t="s">
        <v>253</v>
      </c>
      <c r="T519" s="57" t="str">
        <f t="shared" si="24"/>
        <v>Đ</v>
      </c>
      <c r="U519" s="59">
        <f t="shared" si="25"/>
        <v>0</v>
      </c>
      <c r="V519" s="55">
        <f t="shared" si="26"/>
        <v>13311</v>
      </c>
    </row>
    <row r="520" spans="1:22" ht="15.65" customHeight="1">
      <c r="A520" s="176">
        <v>503</v>
      </c>
      <c r="B520" s="178" t="s">
        <v>811</v>
      </c>
      <c r="C520" s="271" t="s">
        <v>1077</v>
      </c>
      <c r="D520" s="177">
        <v>45993</v>
      </c>
      <c r="E520" s="178" t="s">
        <v>813</v>
      </c>
      <c r="F520" s="271" t="s">
        <v>814</v>
      </c>
      <c r="G520" s="178" t="s">
        <v>815</v>
      </c>
      <c r="H520" s="366">
        <v>277379</v>
      </c>
      <c r="I520" s="176">
        <v>10</v>
      </c>
      <c r="J520" s="366">
        <v>27738</v>
      </c>
      <c r="K520" s="178" t="s">
        <v>261</v>
      </c>
      <c r="L520" s="178" t="s">
        <v>252</v>
      </c>
      <c r="M520" s="271" t="s">
        <v>816</v>
      </c>
      <c r="N520" s="177">
        <v>46230</v>
      </c>
      <c r="O520" s="177">
        <v>46230</v>
      </c>
      <c r="P520" s="366">
        <v>305117</v>
      </c>
      <c r="Q520" s="176" t="s">
        <v>248</v>
      </c>
      <c r="R520" s="176" t="s">
        <v>434</v>
      </c>
      <c r="S520" s="178" t="s">
        <v>253</v>
      </c>
      <c r="T520" s="57" t="str">
        <f t="shared" si="24"/>
        <v>Đ</v>
      </c>
      <c r="U520" s="59">
        <f t="shared" si="25"/>
        <v>0</v>
      </c>
      <c r="V520" s="55">
        <f t="shared" si="26"/>
        <v>13311</v>
      </c>
    </row>
    <row r="521" spans="1:22" ht="15.65" customHeight="1">
      <c r="A521" s="176">
        <v>504</v>
      </c>
      <c r="B521" s="178" t="s">
        <v>811</v>
      </c>
      <c r="C521" s="271" t="s">
        <v>1078</v>
      </c>
      <c r="D521" s="177">
        <v>45993</v>
      </c>
      <c r="E521" s="178" t="s">
        <v>813</v>
      </c>
      <c r="F521" s="271" t="s">
        <v>814</v>
      </c>
      <c r="G521" s="178" t="s">
        <v>815</v>
      </c>
      <c r="H521" s="366">
        <v>60000</v>
      </c>
      <c r="I521" s="176">
        <v>10</v>
      </c>
      <c r="J521" s="366">
        <v>6000</v>
      </c>
      <c r="K521" s="178" t="s">
        <v>261</v>
      </c>
      <c r="L521" s="178" t="s">
        <v>252</v>
      </c>
      <c r="M521" s="271" t="s">
        <v>816</v>
      </c>
      <c r="N521" s="177">
        <v>46230</v>
      </c>
      <c r="O521" s="177">
        <v>46230</v>
      </c>
      <c r="P521" s="366">
        <v>66000</v>
      </c>
      <c r="Q521" s="176" t="s">
        <v>248</v>
      </c>
      <c r="R521" s="176" t="s">
        <v>434</v>
      </c>
      <c r="S521" s="178" t="s">
        <v>253</v>
      </c>
      <c r="T521" s="57" t="str">
        <f t="shared" si="24"/>
        <v>Đ</v>
      </c>
      <c r="U521" s="59">
        <f t="shared" si="25"/>
        <v>0</v>
      </c>
      <c r="V521" s="55">
        <f t="shared" si="26"/>
        <v>13311</v>
      </c>
    </row>
    <row r="522" spans="1:22" ht="15.65" customHeight="1">
      <c r="A522" s="176">
        <v>505</v>
      </c>
      <c r="B522" s="178" t="s">
        <v>811</v>
      </c>
      <c r="C522" s="271" t="s">
        <v>1079</v>
      </c>
      <c r="D522" s="177">
        <v>45993</v>
      </c>
      <c r="E522" s="178" t="s">
        <v>813</v>
      </c>
      <c r="F522" s="271" t="s">
        <v>814</v>
      </c>
      <c r="G522" s="178" t="s">
        <v>815</v>
      </c>
      <c r="H522" s="366">
        <v>81818</v>
      </c>
      <c r="I522" s="176">
        <v>10</v>
      </c>
      <c r="J522" s="366">
        <v>8182</v>
      </c>
      <c r="K522" s="178" t="s">
        <v>261</v>
      </c>
      <c r="L522" s="178" t="s">
        <v>252</v>
      </c>
      <c r="M522" s="271" t="s">
        <v>816</v>
      </c>
      <c r="N522" s="177">
        <v>46230</v>
      </c>
      <c r="O522" s="177">
        <v>46230</v>
      </c>
      <c r="P522" s="366">
        <v>90000</v>
      </c>
      <c r="Q522" s="176" t="s">
        <v>248</v>
      </c>
      <c r="R522" s="176" t="s">
        <v>434</v>
      </c>
      <c r="S522" s="178" t="s">
        <v>253</v>
      </c>
      <c r="T522" s="57" t="str">
        <f t="shared" si="24"/>
        <v>Đ</v>
      </c>
      <c r="U522" s="59">
        <f t="shared" si="25"/>
        <v>0</v>
      </c>
      <c r="V522" s="55">
        <f t="shared" si="26"/>
        <v>13311</v>
      </c>
    </row>
    <row r="523" spans="1:22" ht="21.5" customHeight="1">
      <c r="A523" s="176">
        <v>506</v>
      </c>
      <c r="B523" s="178" t="s">
        <v>811</v>
      </c>
      <c r="C523" s="271" t="s">
        <v>1080</v>
      </c>
      <c r="D523" s="177">
        <v>45993</v>
      </c>
      <c r="E523" s="178" t="s">
        <v>813</v>
      </c>
      <c r="F523" s="271" t="s">
        <v>814</v>
      </c>
      <c r="G523" s="178" t="s">
        <v>815</v>
      </c>
      <c r="H523" s="366">
        <v>88767</v>
      </c>
      <c r="I523" s="176">
        <v>10</v>
      </c>
      <c r="J523" s="366">
        <v>8877</v>
      </c>
      <c r="K523" s="178" t="s">
        <v>261</v>
      </c>
      <c r="L523" s="178" t="s">
        <v>252</v>
      </c>
      <c r="M523" s="271" t="s">
        <v>816</v>
      </c>
      <c r="N523" s="177">
        <v>46230</v>
      </c>
      <c r="O523" s="177">
        <v>46230</v>
      </c>
      <c r="P523" s="366">
        <v>97644</v>
      </c>
      <c r="Q523" s="176" t="s">
        <v>248</v>
      </c>
      <c r="R523" s="176" t="s">
        <v>434</v>
      </c>
      <c r="S523" s="178" t="s">
        <v>253</v>
      </c>
      <c r="T523" s="57" t="str">
        <f t="shared" si="24"/>
        <v>Đ</v>
      </c>
      <c r="U523" s="59">
        <f t="shared" si="25"/>
        <v>0</v>
      </c>
      <c r="V523" s="55">
        <f t="shared" si="26"/>
        <v>13311</v>
      </c>
    </row>
    <row r="524" spans="1:22" ht="21.5" customHeight="1">
      <c r="A524" s="176">
        <v>507</v>
      </c>
      <c r="B524" s="178" t="s">
        <v>811</v>
      </c>
      <c r="C524" s="271" t="s">
        <v>1081</v>
      </c>
      <c r="D524" s="177">
        <v>45993</v>
      </c>
      <c r="E524" s="178" t="s">
        <v>813</v>
      </c>
      <c r="F524" s="271" t="s">
        <v>814</v>
      </c>
      <c r="G524" s="178" t="s">
        <v>815</v>
      </c>
      <c r="H524" s="366">
        <v>168305</v>
      </c>
      <c r="I524" s="176">
        <v>10</v>
      </c>
      <c r="J524" s="366">
        <v>16831</v>
      </c>
      <c r="K524" s="178" t="s">
        <v>261</v>
      </c>
      <c r="L524" s="178" t="s">
        <v>252</v>
      </c>
      <c r="M524" s="271" t="s">
        <v>816</v>
      </c>
      <c r="N524" s="177">
        <v>46230</v>
      </c>
      <c r="O524" s="177">
        <v>46230</v>
      </c>
      <c r="P524" s="366">
        <v>185136</v>
      </c>
      <c r="Q524" s="176" t="s">
        <v>248</v>
      </c>
      <c r="R524" s="176" t="s">
        <v>434</v>
      </c>
      <c r="S524" s="178" t="s">
        <v>253</v>
      </c>
      <c r="T524" s="57" t="str">
        <f t="shared" si="24"/>
        <v>Đ</v>
      </c>
      <c r="U524" s="59">
        <f t="shared" si="25"/>
        <v>0</v>
      </c>
      <c r="V524" s="55">
        <f t="shared" si="26"/>
        <v>13311</v>
      </c>
    </row>
    <row r="525" spans="1:22" ht="21.5" customHeight="1">
      <c r="A525" s="176">
        <v>508</v>
      </c>
      <c r="B525" s="178" t="s">
        <v>811</v>
      </c>
      <c r="C525" s="271" t="s">
        <v>1082</v>
      </c>
      <c r="D525" s="177">
        <v>45993</v>
      </c>
      <c r="E525" s="178" t="s">
        <v>813</v>
      </c>
      <c r="F525" s="271" t="s">
        <v>814</v>
      </c>
      <c r="G525" s="178" t="s">
        <v>815</v>
      </c>
      <c r="H525" s="366">
        <v>61202</v>
      </c>
      <c r="I525" s="176">
        <v>10</v>
      </c>
      <c r="J525" s="366">
        <v>6120</v>
      </c>
      <c r="K525" s="178" t="s">
        <v>261</v>
      </c>
      <c r="L525" s="178" t="s">
        <v>252</v>
      </c>
      <c r="M525" s="271" t="s">
        <v>816</v>
      </c>
      <c r="N525" s="177">
        <v>46230</v>
      </c>
      <c r="O525" s="177">
        <v>46230</v>
      </c>
      <c r="P525" s="366">
        <v>67322</v>
      </c>
      <c r="Q525" s="176" t="s">
        <v>248</v>
      </c>
      <c r="R525" s="176" t="s">
        <v>434</v>
      </c>
      <c r="S525" s="178" t="s">
        <v>253</v>
      </c>
      <c r="T525" s="57" t="str">
        <f t="shared" si="24"/>
        <v>Đ</v>
      </c>
      <c r="U525" s="59">
        <f t="shared" si="25"/>
        <v>0</v>
      </c>
      <c r="V525" s="55">
        <f t="shared" si="26"/>
        <v>13311</v>
      </c>
    </row>
    <row r="526" spans="1:22" ht="21.5" customHeight="1">
      <c r="A526" s="176">
        <v>509</v>
      </c>
      <c r="B526" s="178" t="s">
        <v>811</v>
      </c>
      <c r="C526" s="271" t="s">
        <v>1083</v>
      </c>
      <c r="D526" s="177">
        <v>45993</v>
      </c>
      <c r="E526" s="178" t="s">
        <v>813</v>
      </c>
      <c r="F526" s="271" t="s">
        <v>814</v>
      </c>
      <c r="G526" s="178" t="s">
        <v>815</v>
      </c>
      <c r="H526" s="366">
        <v>81818</v>
      </c>
      <c r="I526" s="176">
        <v>10</v>
      </c>
      <c r="J526" s="366">
        <v>8182</v>
      </c>
      <c r="K526" s="178" t="s">
        <v>261</v>
      </c>
      <c r="L526" s="178" t="s">
        <v>252</v>
      </c>
      <c r="M526" s="271" t="s">
        <v>816</v>
      </c>
      <c r="N526" s="177">
        <v>46230</v>
      </c>
      <c r="O526" s="177">
        <v>46230</v>
      </c>
      <c r="P526" s="366">
        <v>90000</v>
      </c>
      <c r="Q526" s="176" t="s">
        <v>248</v>
      </c>
      <c r="R526" s="176" t="s">
        <v>434</v>
      </c>
      <c r="S526" s="178" t="s">
        <v>253</v>
      </c>
      <c r="T526" s="57" t="str">
        <f t="shared" ref="T526:T589" si="27">IF(OR(LEN(F526)=11,LEN(F526)=15),"Đ","SAI")</f>
        <v>Đ</v>
      </c>
      <c r="U526" s="59">
        <f t="shared" ref="U526:U589" si="28">ROUND(H526*I526%,0)-J526</f>
        <v>0</v>
      </c>
      <c r="V526" s="55">
        <f t="shared" ref="V526:V589" si="29">IF(Q526=$V$12,13313,13311)</f>
        <v>13311</v>
      </c>
    </row>
    <row r="527" spans="1:22" ht="15.65" customHeight="1">
      <c r="A527" s="176">
        <v>510</v>
      </c>
      <c r="B527" s="178" t="s">
        <v>811</v>
      </c>
      <c r="C527" s="271" t="s">
        <v>1084</v>
      </c>
      <c r="D527" s="177">
        <v>45993</v>
      </c>
      <c r="E527" s="178" t="s">
        <v>813</v>
      </c>
      <c r="F527" s="271" t="s">
        <v>814</v>
      </c>
      <c r="G527" s="178" t="s">
        <v>815</v>
      </c>
      <c r="H527" s="366">
        <v>489088</v>
      </c>
      <c r="I527" s="176">
        <v>10</v>
      </c>
      <c r="J527" s="366">
        <v>48909</v>
      </c>
      <c r="K527" s="178" t="s">
        <v>261</v>
      </c>
      <c r="L527" s="178" t="s">
        <v>252</v>
      </c>
      <c r="M527" s="271" t="s">
        <v>816</v>
      </c>
      <c r="N527" s="177">
        <v>46230</v>
      </c>
      <c r="O527" s="177">
        <v>46230</v>
      </c>
      <c r="P527" s="366">
        <v>537997</v>
      </c>
      <c r="Q527" s="176" t="s">
        <v>248</v>
      </c>
      <c r="R527" s="176" t="s">
        <v>434</v>
      </c>
      <c r="S527" s="178" t="s">
        <v>253</v>
      </c>
      <c r="T527" s="57" t="str">
        <f t="shared" si="27"/>
        <v>Đ</v>
      </c>
      <c r="U527" s="59">
        <f t="shared" si="28"/>
        <v>0</v>
      </c>
      <c r="V527" s="55">
        <f t="shared" si="29"/>
        <v>13311</v>
      </c>
    </row>
    <row r="528" spans="1:22" ht="27.65" customHeight="1">
      <c r="A528" s="176">
        <v>511</v>
      </c>
      <c r="B528" s="178" t="s">
        <v>811</v>
      </c>
      <c r="C528" s="271" t="s">
        <v>1085</v>
      </c>
      <c r="D528" s="177">
        <v>45993</v>
      </c>
      <c r="E528" s="178" t="s">
        <v>813</v>
      </c>
      <c r="F528" s="271" t="s">
        <v>814</v>
      </c>
      <c r="G528" s="178" t="s">
        <v>815</v>
      </c>
      <c r="H528" s="366">
        <v>60000</v>
      </c>
      <c r="I528" s="176">
        <v>10</v>
      </c>
      <c r="J528" s="366">
        <v>6000</v>
      </c>
      <c r="K528" s="178" t="s">
        <v>261</v>
      </c>
      <c r="L528" s="178" t="s">
        <v>252</v>
      </c>
      <c r="M528" s="271" t="s">
        <v>816</v>
      </c>
      <c r="N528" s="177">
        <v>46230</v>
      </c>
      <c r="O528" s="177">
        <v>46230</v>
      </c>
      <c r="P528" s="366">
        <v>66000</v>
      </c>
      <c r="Q528" s="176" t="s">
        <v>248</v>
      </c>
      <c r="R528" s="176" t="s">
        <v>434</v>
      </c>
      <c r="S528" s="178" t="s">
        <v>253</v>
      </c>
      <c r="T528" s="57" t="str">
        <f t="shared" si="27"/>
        <v>Đ</v>
      </c>
      <c r="U528" s="59">
        <f t="shared" si="28"/>
        <v>0</v>
      </c>
      <c r="V528" s="55">
        <f t="shared" si="29"/>
        <v>13311</v>
      </c>
    </row>
    <row r="529" spans="1:22" ht="15.65" customHeight="1">
      <c r="A529" s="176">
        <v>512</v>
      </c>
      <c r="B529" s="178" t="s">
        <v>811</v>
      </c>
      <c r="C529" s="271" t="s">
        <v>1086</v>
      </c>
      <c r="D529" s="177">
        <v>45993</v>
      </c>
      <c r="E529" s="178" t="s">
        <v>813</v>
      </c>
      <c r="F529" s="271" t="s">
        <v>814</v>
      </c>
      <c r="G529" s="178" t="s">
        <v>815</v>
      </c>
      <c r="H529" s="366">
        <v>81818</v>
      </c>
      <c r="I529" s="176">
        <v>10</v>
      </c>
      <c r="J529" s="366">
        <v>8182</v>
      </c>
      <c r="K529" s="178" t="s">
        <v>261</v>
      </c>
      <c r="L529" s="178" t="s">
        <v>252</v>
      </c>
      <c r="M529" s="271" t="s">
        <v>816</v>
      </c>
      <c r="N529" s="177">
        <v>46230</v>
      </c>
      <c r="O529" s="177">
        <v>46230</v>
      </c>
      <c r="P529" s="366">
        <v>90000</v>
      </c>
      <c r="Q529" s="176" t="s">
        <v>248</v>
      </c>
      <c r="R529" s="176" t="s">
        <v>434</v>
      </c>
      <c r="S529" s="178" t="s">
        <v>253</v>
      </c>
      <c r="T529" s="57" t="str">
        <f t="shared" si="27"/>
        <v>Đ</v>
      </c>
      <c r="U529" s="59">
        <f t="shared" si="28"/>
        <v>0</v>
      </c>
      <c r="V529" s="55">
        <f t="shared" si="29"/>
        <v>13311</v>
      </c>
    </row>
    <row r="530" spans="1:22" ht="15.65" customHeight="1">
      <c r="A530" s="176">
        <v>513</v>
      </c>
      <c r="B530" s="178" t="s">
        <v>811</v>
      </c>
      <c r="C530" s="271" t="s">
        <v>1087</v>
      </c>
      <c r="D530" s="177">
        <v>45993</v>
      </c>
      <c r="E530" s="178" t="s">
        <v>813</v>
      </c>
      <c r="F530" s="271" t="s">
        <v>814</v>
      </c>
      <c r="G530" s="178" t="s">
        <v>815</v>
      </c>
      <c r="H530" s="366">
        <v>60000</v>
      </c>
      <c r="I530" s="176">
        <v>10</v>
      </c>
      <c r="J530" s="366">
        <v>6000</v>
      </c>
      <c r="K530" s="178" t="s">
        <v>261</v>
      </c>
      <c r="L530" s="178" t="s">
        <v>252</v>
      </c>
      <c r="M530" s="271" t="s">
        <v>816</v>
      </c>
      <c r="N530" s="177">
        <v>46230</v>
      </c>
      <c r="O530" s="177">
        <v>46230</v>
      </c>
      <c r="P530" s="366">
        <v>66000</v>
      </c>
      <c r="Q530" s="176" t="s">
        <v>248</v>
      </c>
      <c r="R530" s="176" t="s">
        <v>434</v>
      </c>
      <c r="S530" s="178" t="s">
        <v>253</v>
      </c>
      <c r="T530" s="57" t="str">
        <f t="shared" si="27"/>
        <v>Đ</v>
      </c>
      <c r="U530" s="59">
        <f t="shared" si="28"/>
        <v>0</v>
      </c>
      <c r="V530" s="55">
        <f t="shared" si="29"/>
        <v>13311</v>
      </c>
    </row>
    <row r="531" spans="1:22" ht="21.5" customHeight="1">
      <c r="A531" s="176">
        <v>514</v>
      </c>
      <c r="B531" s="178" t="s">
        <v>811</v>
      </c>
      <c r="C531" s="271" t="s">
        <v>1088</v>
      </c>
      <c r="D531" s="177">
        <v>45993</v>
      </c>
      <c r="E531" s="178" t="s">
        <v>813</v>
      </c>
      <c r="F531" s="271" t="s">
        <v>814</v>
      </c>
      <c r="G531" s="178" t="s">
        <v>815</v>
      </c>
      <c r="H531" s="366">
        <v>136364</v>
      </c>
      <c r="I531" s="176">
        <v>10</v>
      </c>
      <c r="J531" s="366">
        <v>13636</v>
      </c>
      <c r="K531" s="178" t="s">
        <v>261</v>
      </c>
      <c r="L531" s="178" t="s">
        <v>252</v>
      </c>
      <c r="M531" s="271" t="s">
        <v>816</v>
      </c>
      <c r="N531" s="177">
        <v>46230</v>
      </c>
      <c r="O531" s="177">
        <v>46230</v>
      </c>
      <c r="P531" s="366">
        <v>150000</v>
      </c>
      <c r="Q531" s="176" t="s">
        <v>248</v>
      </c>
      <c r="R531" s="176" t="s">
        <v>434</v>
      </c>
      <c r="S531" s="178" t="s">
        <v>253</v>
      </c>
      <c r="T531" s="57" t="str">
        <f t="shared" si="27"/>
        <v>Đ</v>
      </c>
      <c r="U531" s="59">
        <f t="shared" si="28"/>
        <v>0</v>
      </c>
      <c r="V531" s="55">
        <f t="shared" si="29"/>
        <v>13311</v>
      </c>
    </row>
    <row r="532" spans="1:22" ht="21.5" customHeight="1">
      <c r="A532" s="176">
        <v>515</v>
      </c>
      <c r="B532" s="178" t="s">
        <v>811</v>
      </c>
      <c r="C532" s="271" t="s">
        <v>1089</v>
      </c>
      <c r="D532" s="177">
        <v>45993</v>
      </c>
      <c r="E532" s="178" t="s">
        <v>813</v>
      </c>
      <c r="F532" s="271" t="s">
        <v>814</v>
      </c>
      <c r="G532" s="178" t="s">
        <v>815</v>
      </c>
      <c r="H532" s="366">
        <v>40000</v>
      </c>
      <c r="I532" s="176">
        <v>10</v>
      </c>
      <c r="J532" s="366">
        <v>4000</v>
      </c>
      <c r="K532" s="178" t="s">
        <v>261</v>
      </c>
      <c r="L532" s="178" t="s">
        <v>252</v>
      </c>
      <c r="M532" s="271" t="s">
        <v>816</v>
      </c>
      <c r="N532" s="177">
        <v>46230</v>
      </c>
      <c r="O532" s="177">
        <v>46230</v>
      </c>
      <c r="P532" s="366">
        <v>44000</v>
      </c>
      <c r="Q532" s="176" t="s">
        <v>248</v>
      </c>
      <c r="R532" s="176" t="s">
        <v>434</v>
      </c>
      <c r="S532" s="178" t="s">
        <v>253</v>
      </c>
      <c r="T532" s="57" t="str">
        <f t="shared" si="27"/>
        <v>Đ</v>
      </c>
      <c r="U532" s="59">
        <f t="shared" si="28"/>
        <v>0</v>
      </c>
      <c r="V532" s="55">
        <f t="shared" si="29"/>
        <v>13311</v>
      </c>
    </row>
    <row r="533" spans="1:22" ht="21.5" customHeight="1">
      <c r="A533" s="176">
        <v>516</v>
      </c>
      <c r="B533" s="178" t="s">
        <v>811</v>
      </c>
      <c r="C533" s="271" t="s">
        <v>1090</v>
      </c>
      <c r="D533" s="177">
        <v>45993</v>
      </c>
      <c r="E533" s="178" t="s">
        <v>813</v>
      </c>
      <c r="F533" s="271" t="s">
        <v>814</v>
      </c>
      <c r="G533" s="178" t="s">
        <v>815</v>
      </c>
      <c r="H533" s="366">
        <v>60000</v>
      </c>
      <c r="I533" s="176">
        <v>10</v>
      </c>
      <c r="J533" s="366">
        <v>6000</v>
      </c>
      <c r="K533" s="178" t="s">
        <v>261</v>
      </c>
      <c r="L533" s="178" t="s">
        <v>252</v>
      </c>
      <c r="M533" s="271" t="s">
        <v>816</v>
      </c>
      <c r="N533" s="177">
        <v>46230</v>
      </c>
      <c r="O533" s="177">
        <v>46230</v>
      </c>
      <c r="P533" s="366">
        <v>66000</v>
      </c>
      <c r="Q533" s="176" t="s">
        <v>248</v>
      </c>
      <c r="R533" s="176" t="s">
        <v>434</v>
      </c>
      <c r="S533" s="178" t="s">
        <v>253</v>
      </c>
      <c r="T533" s="57" t="str">
        <f t="shared" si="27"/>
        <v>Đ</v>
      </c>
      <c r="U533" s="59">
        <f t="shared" si="28"/>
        <v>0</v>
      </c>
      <c r="V533" s="55">
        <f t="shared" si="29"/>
        <v>13311</v>
      </c>
    </row>
    <row r="534" spans="1:22" ht="21.5" customHeight="1">
      <c r="A534" s="176">
        <v>517</v>
      </c>
      <c r="B534" s="178" t="s">
        <v>811</v>
      </c>
      <c r="C534" s="271" t="s">
        <v>1091</v>
      </c>
      <c r="D534" s="177">
        <v>45993</v>
      </c>
      <c r="E534" s="178" t="s">
        <v>813</v>
      </c>
      <c r="F534" s="271" t="s">
        <v>814</v>
      </c>
      <c r="G534" s="178" t="s">
        <v>815</v>
      </c>
      <c r="H534" s="366">
        <v>109091</v>
      </c>
      <c r="I534" s="176">
        <v>10</v>
      </c>
      <c r="J534" s="366">
        <v>10909</v>
      </c>
      <c r="K534" s="178" t="s">
        <v>261</v>
      </c>
      <c r="L534" s="178" t="s">
        <v>252</v>
      </c>
      <c r="M534" s="271" t="s">
        <v>816</v>
      </c>
      <c r="N534" s="177">
        <v>46230</v>
      </c>
      <c r="O534" s="177">
        <v>46230</v>
      </c>
      <c r="P534" s="366">
        <v>120000</v>
      </c>
      <c r="Q534" s="176" t="s">
        <v>248</v>
      </c>
      <c r="R534" s="176" t="s">
        <v>434</v>
      </c>
      <c r="S534" s="178" t="s">
        <v>253</v>
      </c>
      <c r="T534" s="57" t="str">
        <f t="shared" si="27"/>
        <v>Đ</v>
      </c>
      <c r="U534" s="59">
        <f t="shared" si="28"/>
        <v>0</v>
      </c>
      <c r="V534" s="55">
        <f t="shared" si="29"/>
        <v>13311</v>
      </c>
    </row>
    <row r="535" spans="1:22" ht="21.5" customHeight="1">
      <c r="A535" s="176">
        <v>518</v>
      </c>
      <c r="B535" s="178" t="s">
        <v>811</v>
      </c>
      <c r="C535" s="271" t="s">
        <v>1092</v>
      </c>
      <c r="D535" s="177">
        <v>45993</v>
      </c>
      <c r="E535" s="178" t="s">
        <v>813</v>
      </c>
      <c r="F535" s="271" t="s">
        <v>814</v>
      </c>
      <c r="G535" s="178" t="s">
        <v>815</v>
      </c>
      <c r="H535" s="366">
        <v>349449</v>
      </c>
      <c r="I535" s="176">
        <v>10</v>
      </c>
      <c r="J535" s="366">
        <v>34945</v>
      </c>
      <c r="K535" s="178" t="s">
        <v>261</v>
      </c>
      <c r="L535" s="178" t="s">
        <v>252</v>
      </c>
      <c r="M535" s="271" t="s">
        <v>816</v>
      </c>
      <c r="N535" s="177">
        <v>46230</v>
      </c>
      <c r="O535" s="177">
        <v>46230</v>
      </c>
      <c r="P535" s="366">
        <v>384394</v>
      </c>
      <c r="Q535" s="176" t="s">
        <v>248</v>
      </c>
      <c r="R535" s="176" t="s">
        <v>434</v>
      </c>
      <c r="S535" s="178" t="s">
        <v>253</v>
      </c>
      <c r="T535" s="57" t="str">
        <f t="shared" si="27"/>
        <v>Đ</v>
      </c>
      <c r="U535" s="59">
        <f t="shared" si="28"/>
        <v>0</v>
      </c>
      <c r="V535" s="55">
        <f t="shared" si="29"/>
        <v>13311</v>
      </c>
    </row>
    <row r="536" spans="1:22" ht="21.5" customHeight="1">
      <c r="A536" s="176">
        <v>519</v>
      </c>
      <c r="B536" s="178" t="s">
        <v>811</v>
      </c>
      <c r="C536" s="271" t="s">
        <v>1093</v>
      </c>
      <c r="D536" s="177">
        <v>45993</v>
      </c>
      <c r="E536" s="178" t="s">
        <v>813</v>
      </c>
      <c r="F536" s="271" t="s">
        <v>814</v>
      </c>
      <c r="G536" s="178" t="s">
        <v>815</v>
      </c>
      <c r="H536" s="366">
        <v>81818</v>
      </c>
      <c r="I536" s="176">
        <v>10</v>
      </c>
      <c r="J536" s="366">
        <v>8182</v>
      </c>
      <c r="K536" s="178" t="s">
        <v>261</v>
      </c>
      <c r="L536" s="178" t="s">
        <v>252</v>
      </c>
      <c r="M536" s="271" t="s">
        <v>816</v>
      </c>
      <c r="N536" s="177">
        <v>46230</v>
      </c>
      <c r="O536" s="177">
        <v>46230</v>
      </c>
      <c r="P536" s="366">
        <v>90000</v>
      </c>
      <c r="Q536" s="176" t="s">
        <v>248</v>
      </c>
      <c r="R536" s="176" t="s">
        <v>434</v>
      </c>
      <c r="S536" s="178" t="s">
        <v>253</v>
      </c>
      <c r="T536" s="57" t="str">
        <f t="shared" si="27"/>
        <v>Đ</v>
      </c>
      <c r="U536" s="59">
        <f t="shared" si="28"/>
        <v>0</v>
      </c>
      <c r="V536" s="55">
        <f t="shared" si="29"/>
        <v>13311</v>
      </c>
    </row>
    <row r="537" spans="1:22" ht="21.5" customHeight="1">
      <c r="A537" s="176">
        <v>520</v>
      </c>
      <c r="B537" s="178" t="s">
        <v>811</v>
      </c>
      <c r="C537" s="271" t="s">
        <v>1094</v>
      </c>
      <c r="D537" s="177">
        <v>45993</v>
      </c>
      <c r="E537" s="178" t="s">
        <v>813</v>
      </c>
      <c r="F537" s="271" t="s">
        <v>814</v>
      </c>
      <c r="G537" s="178" t="s">
        <v>815</v>
      </c>
      <c r="H537" s="366">
        <v>60000</v>
      </c>
      <c r="I537" s="176">
        <v>10</v>
      </c>
      <c r="J537" s="366">
        <v>6000</v>
      </c>
      <c r="K537" s="178" t="s">
        <v>261</v>
      </c>
      <c r="L537" s="178" t="s">
        <v>252</v>
      </c>
      <c r="M537" s="271" t="s">
        <v>816</v>
      </c>
      <c r="N537" s="177">
        <v>46230</v>
      </c>
      <c r="O537" s="177">
        <v>46230</v>
      </c>
      <c r="P537" s="366">
        <v>66000</v>
      </c>
      <c r="Q537" s="176" t="s">
        <v>248</v>
      </c>
      <c r="R537" s="176" t="s">
        <v>434</v>
      </c>
      <c r="S537" s="178" t="s">
        <v>253</v>
      </c>
      <c r="T537" s="57" t="str">
        <f t="shared" si="27"/>
        <v>Đ</v>
      </c>
      <c r="U537" s="59">
        <f t="shared" si="28"/>
        <v>0</v>
      </c>
      <c r="V537" s="55">
        <f t="shared" si="29"/>
        <v>13311</v>
      </c>
    </row>
    <row r="538" spans="1:22" ht="21.5" customHeight="1">
      <c r="A538" s="176">
        <v>521</v>
      </c>
      <c r="B538" s="178" t="s">
        <v>811</v>
      </c>
      <c r="C538" s="271" t="s">
        <v>1095</v>
      </c>
      <c r="D538" s="177">
        <v>45993</v>
      </c>
      <c r="E538" s="178" t="s">
        <v>813</v>
      </c>
      <c r="F538" s="271" t="s">
        <v>814</v>
      </c>
      <c r="G538" s="178" t="s">
        <v>815</v>
      </c>
      <c r="H538" s="366">
        <v>81818</v>
      </c>
      <c r="I538" s="176">
        <v>10</v>
      </c>
      <c r="J538" s="366">
        <v>8182</v>
      </c>
      <c r="K538" s="178" t="s">
        <v>261</v>
      </c>
      <c r="L538" s="178" t="s">
        <v>252</v>
      </c>
      <c r="M538" s="271" t="s">
        <v>816</v>
      </c>
      <c r="N538" s="177">
        <v>46230</v>
      </c>
      <c r="O538" s="177">
        <v>46230</v>
      </c>
      <c r="P538" s="366">
        <v>90000</v>
      </c>
      <c r="Q538" s="176" t="s">
        <v>248</v>
      </c>
      <c r="R538" s="176" t="s">
        <v>434</v>
      </c>
      <c r="S538" s="178" t="s">
        <v>253</v>
      </c>
      <c r="T538" s="57" t="str">
        <f t="shared" si="27"/>
        <v>Đ</v>
      </c>
      <c r="U538" s="59">
        <f t="shared" si="28"/>
        <v>0</v>
      </c>
      <c r="V538" s="55">
        <f t="shared" si="29"/>
        <v>13311</v>
      </c>
    </row>
    <row r="539" spans="1:22" ht="21.5" customHeight="1">
      <c r="A539" s="176">
        <v>522</v>
      </c>
      <c r="B539" s="178" t="s">
        <v>811</v>
      </c>
      <c r="C539" s="271" t="s">
        <v>1096</v>
      </c>
      <c r="D539" s="177">
        <v>45993</v>
      </c>
      <c r="E539" s="178" t="s">
        <v>813</v>
      </c>
      <c r="F539" s="271" t="s">
        <v>814</v>
      </c>
      <c r="G539" s="178" t="s">
        <v>815</v>
      </c>
      <c r="H539" s="366">
        <v>81818</v>
      </c>
      <c r="I539" s="176">
        <v>10</v>
      </c>
      <c r="J539" s="366">
        <v>8182</v>
      </c>
      <c r="K539" s="178" t="s">
        <v>261</v>
      </c>
      <c r="L539" s="178" t="s">
        <v>252</v>
      </c>
      <c r="M539" s="271" t="s">
        <v>816</v>
      </c>
      <c r="N539" s="177">
        <v>46230</v>
      </c>
      <c r="O539" s="177">
        <v>46230</v>
      </c>
      <c r="P539" s="366">
        <v>90000</v>
      </c>
      <c r="Q539" s="176" t="s">
        <v>248</v>
      </c>
      <c r="R539" s="176" t="s">
        <v>434</v>
      </c>
      <c r="S539" s="178" t="s">
        <v>253</v>
      </c>
      <c r="T539" s="57" t="str">
        <f t="shared" si="27"/>
        <v>Đ</v>
      </c>
      <c r="U539" s="59">
        <f t="shared" si="28"/>
        <v>0</v>
      </c>
      <c r="V539" s="55">
        <f t="shared" si="29"/>
        <v>13311</v>
      </c>
    </row>
    <row r="540" spans="1:22" ht="21.5" customHeight="1">
      <c r="A540" s="176">
        <v>523</v>
      </c>
      <c r="B540" s="178" t="s">
        <v>811</v>
      </c>
      <c r="C540" s="271" t="s">
        <v>1097</v>
      </c>
      <c r="D540" s="177">
        <v>45993</v>
      </c>
      <c r="E540" s="178" t="s">
        <v>813</v>
      </c>
      <c r="F540" s="271" t="s">
        <v>814</v>
      </c>
      <c r="G540" s="178" t="s">
        <v>815</v>
      </c>
      <c r="H540" s="366">
        <v>60000</v>
      </c>
      <c r="I540" s="176">
        <v>10</v>
      </c>
      <c r="J540" s="366">
        <v>6000</v>
      </c>
      <c r="K540" s="178" t="s">
        <v>261</v>
      </c>
      <c r="L540" s="178" t="s">
        <v>252</v>
      </c>
      <c r="M540" s="271" t="s">
        <v>816</v>
      </c>
      <c r="N540" s="177">
        <v>46230</v>
      </c>
      <c r="O540" s="177">
        <v>46230</v>
      </c>
      <c r="P540" s="366">
        <v>66000</v>
      </c>
      <c r="Q540" s="176" t="s">
        <v>248</v>
      </c>
      <c r="R540" s="176" t="s">
        <v>434</v>
      </c>
      <c r="S540" s="178" t="s">
        <v>253</v>
      </c>
      <c r="T540" s="57" t="str">
        <f t="shared" si="27"/>
        <v>Đ</v>
      </c>
      <c r="U540" s="59">
        <f t="shared" si="28"/>
        <v>0</v>
      </c>
      <c r="V540" s="55">
        <f t="shared" si="29"/>
        <v>13311</v>
      </c>
    </row>
    <row r="541" spans="1:22" ht="21.5" customHeight="1">
      <c r="A541" s="176">
        <v>524</v>
      </c>
      <c r="B541" s="178" t="s">
        <v>811</v>
      </c>
      <c r="C541" s="271" t="s">
        <v>1098</v>
      </c>
      <c r="D541" s="177">
        <v>45993</v>
      </c>
      <c r="E541" s="178" t="s">
        <v>813</v>
      </c>
      <c r="F541" s="271" t="s">
        <v>814</v>
      </c>
      <c r="G541" s="178" t="s">
        <v>815</v>
      </c>
      <c r="H541" s="366">
        <v>64850</v>
      </c>
      <c r="I541" s="176">
        <v>10</v>
      </c>
      <c r="J541" s="366">
        <v>6485</v>
      </c>
      <c r="K541" s="178" t="s">
        <v>261</v>
      </c>
      <c r="L541" s="178" t="s">
        <v>252</v>
      </c>
      <c r="M541" s="271" t="s">
        <v>816</v>
      </c>
      <c r="N541" s="177">
        <v>46230</v>
      </c>
      <c r="O541" s="177">
        <v>46230</v>
      </c>
      <c r="P541" s="366">
        <v>71335</v>
      </c>
      <c r="Q541" s="176" t="s">
        <v>248</v>
      </c>
      <c r="R541" s="176" t="s">
        <v>434</v>
      </c>
      <c r="S541" s="178" t="s">
        <v>253</v>
      </c>
      <c r="T541" s="57" t="str">
        <f t="shared" si="27"/>
        <v>Đ</v>
      </c>
      <c r="U541" s="59">
        <f t="shared" si="28"/>
        <v>0</v>
      </c>
      <c r="V541" s="55">
        <f t="shared" si="29"/>
        <v>13311</v>
      </c>
    </row>
    <row r="542" spans="1:22" ht="14.4" customHeight="1">
      <c r="A542" s="176">
        <v>525</v>
      </c>
      <c r="B542" s="178" t="s">
        <v>811</v>
      </c>
      <c r="C542" s="271" t="s">
        <v>1099</v>
      </c>
      <c r="D542" s="177">
        <v>45993</v>
      </c>
      <c r="E542" s="178" t="s">
        <v>813</v>
      </c>
      <c r="F542" s="271" t="s">
        <v>814</v>
      </c>
      <c r="G542" s="178" t="s">
        <v>815</v>
      </c>
      <c r="H542" s="366">
        <v>226739</v>
      </c>
      <c r="I542" s="176">
        <v>10</v>
      </c>
      <c r="J542" s="366">
        <v>22674</v>
      </c>
      <c r="K542" s="178" t="s">
        <v>261</v>
      </c>
      <c r="L542" s="178" t="s">
        <v>252</v>
      </c>
      <c r="M542" s="271" t="s">
        <v>816</v>
      </c>
      <c r="N542" s="177">
        <v>46230</v>
      </c>
      <c r="O542" s="177">
        <v>46230</v>
      </c>
      <c r="P542" s="366">
        <v>249413</v>
      </c>
      <c r="Q542" s="176" t="s">
        <v>248</v>
      </c>
      <c r="R542" s="176" t="s">
        <v>434</v>
      </c>
      <c r="S542" s="178" t="s">
        <v>253</v>
      </c>
      <c r="T542" s="57" t="str">
        <f t="shared" si="27"/>
        <v>Đ</v>
      </c>
      <c r="U542" s="59">
        <f t="shared" si="28"/>
        <v>0</v>
      </c>
      <c r="V542" s="55">
        <f t="shared" si="29"/>
        <v>13311</v>
      </c>
    </row>
    <row r="543" spans="1:22" ht="14.4" customHeight="1">
      <c r="A543" s="176">
        <v>526</v>
      </c>
      <c r="B543" s="178" t="s">
        <v>811</v>
      </c>
      <c r="C543" s="271" t="s">
        <v>1100</v>
      </c>
      <c r="D543" s="177">
        <v>45993</v>
      </c>
      <c r="E543" s="178" t="s">
        <v>813</v>
      </c>
      <c r="F543" s="271" t="s">
        <v>814</v>
      </c>
      <c r="G543" s="178" t="s">
        <v>815</v>
      </c>
      <c r="H543" s="366">
        <v>60000</v>
      </c>
      <c r="I543" s="176">
        <v>10</v>
      </c>
      <c r="J543" s="366">
        <v>6000</v>
      </c>
      <c r="K543" s="178" t="s">
        <v>261</v>
      </c>
      <c r="L543" s="178" t="s">
        <v>252</v>
      </c>
      <c r="M543" s="271" t="s">
        <v>816</v>
      </c>
      <c r="N543" s="177">
        <v>46230</v>
      </c>
      <c r="O543" s="177">
        <v>46230</v>
      </c>
      <c r="P543" s="366">
        <v>66000</v>
      </c>
      <c r="Q543" s="176" t="s">
        <v>248</v>
      </c>
      <c r="R543" s="176" t="s">
        <v>434</v>
      </c>
      <c r="S543" s="178" t="s">
        <v>253</v>
      </c>
      <c r="T543" s="57" t="str">
        <f t="shared" si="27"/>
        <v>Đ</v>
      </c>
      <c r="U543" s="59">
        <f t="shared" si="28"/>
        <v>0</v>
      </c>
      <c r="V543" s="55">
        <f t="shared" si="29"/>
        <v>13311</v>
      </c>
    </row>
    <row r="544" spans="1:22" ht="21.5" customHeight="1">
      <c r="A544" s="176">
        <v>527</v>
      </c>
      <c r="B544" s="178" t="s">
        <v>811</v>
      </c>
      <c r="C544" s="271" t="s">
        <v>1101</v>
      </c>
      <c r="D544" s="177">
        <v>45993</v>
      </c>
      <c r="E544" s="178" t="s">
        <v>813</v>
      </c>
      <c r="F544" s="271" t="s">
        <v>814</v>
      </c>
      <c r="G544" s="178" t="s">
        <v>815</v>
      </c>
      <c r="H544" s="366">
        <v>60000</v>
      </c>
      <c r="I544" s="176">
        <v>10</v>
      </c>
      <c r="J544" s="366">
        <v>6000</v>
      </c>
      <c r="K544" s="178" t="s">
        <v>261</v>
      </c>
      <c r="L544" s="178" t="s">
        <v>252</v>
      </c>
      <c r="M544" s="271" t="s">
        <v>816</v>
      </c>
      <c r="N544" s="177">
        <v>46230</v>
      </c>
      <c r="O544" s="177">
        <v>46230</v>
      </c>
      <c r="P544" s="366">
        <v>66000</v>
      </c>
      <c r="Q544" s="176" t="s">
        <v>248</v>
      </c>
      <c r="R544" s="176" t="s">
        <v>434</v>
      </c>
      <c r="S544" s="178" t="s">
        <v>253</v>
      </c>
      <c r="T544" s="57" t="str">
        <f t="shared" si="27"/>
        <v>Đ</v>
      </c>
      <c r="U544" s="59">
        <f t="shared" si="28"/>
        <v>0</v>
      </c>
      <c r="V544" s="55">
        <f t="shared" si="29"/>
        <v>13311</v>
      </c>
    </row>
    <row r="545" spans="1:22" ht="14.4" customHeight="1">
      <c r="A545" s="176">
        <v>528</v>
      </c>
      <c r="B545" s="178" t="s">
        <v>811</v>
      </c>
      <c r="C545" s="271" t="s">
        <v>1102</v>
      </c>
      <c r="D545" s="177">
        <v>45993</v>
      </c>
      <c r="E545" s="178" t="s">
        <v>813</v>
      </c>
      <c r="F545" s="271" t="s">
        <v>814</v>
      </c>
      <c r="G545" s="178" t="s">
        <v>815</v>
      </c>
      <c r="H545" s="366">
        <v>649678</v>
      </c>
      <c r="I545" s="176">
        <v>10</v>
      </c>
      <c r="J545" s="366">
        <v>64968</v>
      </c>
      <c r="K545" s="178" t="s">
        <v>261</v>
      </c>
      <c r="L545" s="178" t="s">
        <v>252</v>
      </c>
      <c r="M545" s="271" t="s">
        <v>816</v>
      </c>
      <c r="N545" s="177">
        <v>46230</v>
      </c>
      <c r="O545" s="177">
        <v>46230</v>
      </c>
      <c r="P545" s="366">
        <v>714646</v>
      </c>
      <c r="Q545" s="176" t="s">
        <v>248</v>
      </c>
      <c r="R545" s="176" t="s">
        <v>434</v>
      </c>
      <c r="S545" s="178" t="s">
        <v>253</v>
      </c>
      <c r="T545" s="57" t="str">
        <f t="shared" si="27"/>
        <v>Đ</v>
      </c>
      <c r="U545" s="59">
        <f t="shared" si="28"/>
        <v>0</v>
      </c>
      <c r="V545" s="55">
        <f t="shared" si="29"/>
        <v>13311</v>
      </c>
    </row>
    <row r="546" spans="1:22" ht="14.4" customHeight="1">
      <c r="A546" s="176">
        <v>529</v>
      </c>
      <c r="B546" s="178" t="s">
        <v>811</v>
      </c>
      <c r="C546" s="271" t="s">
        <v>1103</v>
      </c>
      <c r="D546" s="177">
        <v>45993</v>
      </c>
      <c r="E546" s="178" t="s">
        <v>813</v>
      </c>
      <c r="F546" s="271" t="s">
        <v>814</v>
      </c>
      <c r="G546" s="178" t="s">
        <v>815</v>
      </c>
      <c r="H546" s="366">
        <v>81818</v>
      </c>
      <c r="I546" s="176">
        <v>10</v>
      </c>
      <c r="J546" s="366">
        <v>8182</v>
      </c>
      <c r="K546" s="178" t="s">
        <v>261</v>
      </c>
      <c r="L546" s="178" t="s">
        <v>252</v>
      </c>
      <c r="M546" s="271" t="s">
        <v>816</v>
      </c>
      <c r="N546" s="177">
        <v>46230</v>
      </c>
      <c r="O546" s="177">
        <v>46230</v>
      </c>
      <c r="P546" s="366">
        <v>90000</v>
      </c>
      <c r="Q546" s="176" t="s">
        <v>248</v>
      </c>
      <c r="R546" s="176" t="s">
        <v>434</v>
      </c>
      <c r="S546" s="178" t="s">
        <v>253</v>
      </c>
      <c r="T546" s="57" t="str">
        <f t="shared" si="27"/>
        <v>Đ</v>
      </c>
      <c r="U546" s="59">
        <f t="shared" si="28"/>
        <v>0</v>
      </c>
      <c r="V546" s="55">
        <f t="shared" si="29"/>
        <v>13311</v>
      </c>
    </row>
    <row r="547" spans="1:22" ht="21.5" customHeight="1">
      <c r="A547" s="176">
        <v>530</v>
      </c>
      <c r="B547" s="178" t="s">
        <v>811</v>
      </c>
      <c r="C547" s="271" t="s">
        <v>1104</v>
      </c>
      <c r="D547" s="177">
        <v>45993</v>
      </c>
      <c r="E547" s="178" t="s">
        <v>813</v>
      </c>
      <c r="F547" s="271" t="s">
        <v>814</v>
      </c>
      <c r="G547" s="178" t="s">
        <v>815</v>
      </c>
      <c r="H547" s="366">
        <v>274671</v>
      </c>
      <c r="I547" s="176">
        <v>10</v>
      </c>
      <c r="J547" s="366">
        <v>27467</v>
      </c>
      <c r="K547" s="178" t="s">
        <v>261</v>
      </c>
      <c r="L547" s="178" t="s">
        <v>252</v>
      </c>
      <c r="M547" s="271" t="s">
        <v>816</v>
      </c>
      <c r="N547" s="177">
        <v>46230</v>
      </c>
      <c r="O547" s="177">
        <v>46230</v>
      </c>
      <c r="P547" s="366">
        <v>302138</v>
      </c>
      <c r="Q547" s="176" t="s">
        <v>248</v>
      </c>
      <c r="R547" s="176" t="s">
        <v>434</v>
      </c>
      <c r="S547" s="178" t="s">
        <v>253</v>
      </c>
      <c r="T547" s="57" t="str">
        <f t="shared" si="27"/>
        <v>Đ</v>
      </c>
      <c r="U547" s="59">
        <f t="shared" si="28"/>
        <v>0</v>
      </c>
      <c r="V547" s="55">
        <f t="shared" si="29"/>
        <v>13311</v>
      </c>
    </row>
    <row r="548" spans="1:22" ht="14.4" customHeight="1">
      <c r="A548" s="176">
        <v>531</v>
      </c>
      <c r="B548" s="178" t="s">
        <v>811</v>
      </c>
      <c r="C548" s="271" t="s">
        <v>1105</v>
      </c>
      <c r="D548" s="177">
        <v>45993</v>
      </c>
      <c r="E548" s="178" t="s">
        <v>813</v>
      </c>
      <c r="F548" s="271" t="s">
        <v>814</v>
      </c>
      <c r="G548" s="178" t="s">
        <v>815</v>
      </c>
      <c r="H548" s="366">
        <v>40000</v>
      </c>
      <c r="I548" s="176">
        <v>10</v>
      </c>
      <c r="J548" s="366">
        <v>4000</v>
      </c>
      <c r="K548" s="178" t="s">
        <v>261</v>
      </c>
      <c r="L548" s="178" t="s">
        <v>252</v>
      </c>
      <c r="M548" s="271" t="s">
        <v>816</v>
      </c>
      <c r="N548" s="177">
        <v>46230</v>
      </c>
      <c r="O548" s="177">
        <v>46230</v>
      </c>
      <c r="P548" s="366">
        <v>44000</v>
      </c>
      <c r="Q548" s="176" t="s">
        <v>248</v>
      </c>
      <c r="R548" s="176" t="s">
        <v>434</v>
      </c>
      <c r="S548" s="178" t="s">
        <v>253</v>
      </c>
      <c r="T548" s="57" t="str">
        <f t="shared" si="27"/>
        <v>Đ</v>
      </c>
      <c r="U548" s="59">
        <f t="shared" si="28"/>
        <v>0</v>
      </c>
      <c r="V548" s="55">
        <f t="shared" si="29"/>
        <v>13311</v>
      </c>
    </row>
    <row r="549" spans="1:22" ht="14.4" customHeight="1">
      <c r="A549" s="176">
        <v>532</v>
      </c>
      <c r="B549" s="178" t="s">
        <v>811</v>
      </c>
      <c r="C549" s="271" t="s">
        <v>1106</v>
      </c>
      <c r="D549" s="177">
        <v>45993</v>
      </c>
      <c r="E549" s="178" t="s">
        <v>813</v>
      </c>
      <c r="F549" s="271" t="s">
        <v>814</v>
      </c>
      <c r="G549" s="178" t="s">
        <v>815</v>
      </c>
      <c r="H549" s="366">
        <v>60000</v>
      </c>
      <c r="I549" s="176">
        <v>10</v>
      </c>
      <c r="J549" s="366">
        <v>6000</v>
      </c>
      <c r="K549" s="178" t="s">
        <v>261</v>
      </c>
      <c r="L549" s="178" t="s">
        <v>252</v>
      </c>
      <c r="M549" s="271" t="s">
        <v>816</v>
      </c>
      <c r="N549" s="177">
        <v>46230</v>
      </c>
      <c r="O549" s="177">
        <v>46230</v>
      </c>
      <c r="P549" s="366">
        <v>66000</v>
      </c>
      <c r="Q549" s="176" t="s">
        <v>248</v>
      </c>
      <c r="R549" s="176" t="s">
        <v>434</v>
      </c>
      <c r="S549" s="178" t="s">
        <v>253</v>
      </c>
      <c r="T549" s="57" t="str">
        <f t="shared" si="27"/>
        <v>Đ</v>
      </c>
      <c r="U549" s="59">
        <f t="shared" si="28"/>
        <v>0</v>
      </c>
      <c r="V549" s="55">
        <f t="shared" si="29"/>
        <v>13311</v>
      </c>
    </row>
    <row r="550" spans="1:22" ht="21.5" customHeight="1">
      <c r="A550" s="176">
        <v>533</v>
      </c>
      <c r="B550" s="178" t="s">
        <v>811</v>
      </c>
      <c r="C550" s="271" t="s">
        <v>1107</v>
      </c>
      <c r="D550" s="177">
        <v>45993</v>
      </c>
      <c r="E550" s="178" t="s">
        <v>813</v>
      </c>
      <c r="F550" s="271" t="s">
        <v>814</v>
      </c>
      <c r="G550" s="178" t="s">
        <v>815</v>
      </c>
      <c r="H550" s="366">
        <v>900000</v>
      </c>
      <c r="I550" s="176">
        <v>10</v>
      </c>
      <c r="J550" s="366">
        <v>90000</v>
      </c>
      <c r="K550" s="178" t="s">
        <v>261</v>
      </c>
      <c r="L550" s="178" t="s">
        <v>252</v>
      </c>
      <c r="M550" s="271" t="s">
        <v>816</v>
      </c>
      <c r="N550" s="177">
        <v>46230</v>
      </c>
      <c r="O550" s="177">
        <v>46230</v>
      </c>
      <c r="P550" s="366">
        <v>990000</v>
      </c>
      <c r="Q550" s="176" t="s">
        <v>248</v>
      </c>
      <c r="R550" s="176" t="s">
        <v>434</v>
      </c>
      <c r="S550" s="178" t="s">
        <v>253</v>
      </c>
      <c r="T550" s="57" t="str">
        <f t="shared" si="27"/>
        <v>Đ</v>
      </c>
      <c r="U550" s="59">
        <f t="shared" si="28"/>
        <v>0</v>
      </c>
      <c r="V550" s="55">
        <f t="shared" si="29"/>
        <v>13311</v>
      </c>
    </row>
    <row r="551" spans="1:22" ht="14.4" customHeight="1">
      <c r="A551" s="176">
        <v>534</v>
      </c>
      <c r="B551" s="178" t="s">
        <v>811</v>
      </c>
      <c r="C551" s="271" t="s">
        <v>1108</v>
      </c>
      <c r="D551" s="177">
        <v>45993</v>
      </c>
      <c r="E551" s="178" t="s">
        <v>813</v>
      </c>
      <c r="F551" s="271" t="s">
        <v>814</v>
      </c>
      <c r="G551" s="178" t="s">
        <v>815</v>
      </c>
      <c r="H551" s="366">
        <v>81818</v>
      </c>
      <c r="I551" s="176">
        <v>10</v>
      </c>
      <c r="J551" s="366">
        <v>8182</v>
      </c>
      <c r="K551" s="178" t="s">
        <v>261</v>
      </c>
      <c r="L551" s="178" t="s">
        <v>252</v>
      </c>
      <c r="M551" s="271" t="s">
        <v>816</v>
      </c>
      <c r="N551" s="177">
        <v>46230</v>
      </c>
      <c r="O551" s="177">
        <v>46230</v>
      </c>
      <c r="P551" s="366">
        <v>90000</v>
      </c>
      <c r="Q551" s="176" t="s">
        <v>248</v>
      </c>
      <c r="R551" s="176" t="s">
        <v>434</v>
      </c>
      <c r="S551" s="178" t="s">
        <v>253</v>
      </c>
      <c r="T551" s="57" t="str">
        <f t="shared" si="27"/>
        <v>Đ</v>
      </c>
      <c r="U551" s="59">
        <f t="shared" si="28"/>
        <v>0</v>
      </c>
      <c r="V551" s="55">
        <f t="shared" si="29"/>
        <v>13311</v>
      </c>
    </row>
    <row r="552" spans="1:22" ht="14.4" customHeight="1">
      <c r="A552" s="176">
        <v>535</v>
      </c>
      <c r="B552" s="178" t="s">
        <v>811</v>
      </c>
      <c r="C552" s="271" t="s">
        <v>1109</v>
      </c>
      <c r="D552" s="177">
        <v>45993</v>
      </c>
      <c r="E552" s="178" t="s">
        <v>813</v>
      </c>
      <c r="F552" s="271" t="s">
        <v>814</v>
      </c>
      <c r="G552" s="178" t="s">
        <v>815</v>
      </c>
      <c r="H552" s="366">
        <v>81818</v>
      </c>
      <c r="I552" s="176">
        <v>10</v>
      </c>
      <c r="J552" s="366">
        <v>8182</v>
      </c>
      <c r="K552" s="178" t="s">
        <v>261</v>
      </c>
      <c r="L552" s="178" t="s">
        <v>252</v>
      </c>
      <c r="M552" s="271" t="s">
        <v>816</v>
      </c>
      <c r="N552" s="177">
        <v>46230</v>
      </c>
      <c r="O552" s="177">
        <v>46230</v>
      </c>
      <c r="P552" s="366">
        <v>90000</v>
      </c>
      <c r="Q552" s="176" t="s">
        <v>248</v>
      </c>
      <c r="R552" s="176" t="s">
        <v>434</v>
      </c>
      <c r="S552" s="178" t="s">
        <v>253</v>
      </c>
      <c r="T552" s="57" t="str">
        <f t="shared" si="27"/>
        <v>Đ</v>
      </c>
      <c r="U552" s="59">
        <f t="shared" si="28"/>
        <v>0</v>
      </c>
      <c r="V552" s="55">
        <f t="shared" si="29"/>
        <v>13311</v>
      </c>
    </row>
    <row r="553" spans="1:22" ht="21.5" customHeight="1">
      <c r="A553" s="176">
        <v>536</v>
      </c>
      <c r="B553" s="178" t="s">
        <v>811</v>
      </c>
      <c r="C553" s="271" t="s">
        <v>1110</v>
      </c>
      <c r="D553" s="177">
        <v>45993</v>
      </c>
      <c r="E553" s="178" t="s">
        <v>813</v>
      </c>
      <c r="F553" s="271" t="s">
        <v>814</v>
      </c>
      <c r="G553" s="178" t="s">
        <v>815</v>
      </c>
      <c r="H553" s="366">
        <v>81818</v>
      </c>
      <c r="I553" s="176">
        <v>10</v>
      </c>
      <c r="J553" s="366">
        <v>8182</v>
      </c>
      <c r="K553" s="178" t="s">
        <v>261</v>
      </c>
      <c r="L553" s="178" t="s">
        <v>252</v>
      </c>
      <c r="M553" s="271" t="s">
        <v>816</v>
      </c>
      <c r="N553" s="177">
        <v>46230</v>
      </c>
      <c r="O553" s="177">
        <v>46230</v>
      </c>
      <c r="P553" s="366">
        <v>90000</v>
      </c>
      <c r="Q553" s="176" t="s">
        <v>248</v>
      </c>
      <c r="R553" s="176" t="s">
        <v>434</v>
      </c>
      <c r="S553" s="178" t="s">
        <v>253</v>
      </c>
      <c r="T553" s="57" t="str">
        <f t="shared" si="27"/>
        <v>Đ</v>
      </c>
      <c r="U553" s="59">
        <f t="shared" si="28"/>
        <v>0</v>
      </c>
      <c r="V553" s="55">
        <f t="shared" si="29"/>
        <v>13311</v>
      </c>
    </row>
    <row r="554" spans="1:22" ht="14.4" customHeight="1">
      <c r="A554" s="176">
        <v>537</v>
      </c>
      <c r="B554" s="178" t="s">
        <v>811</v>
      </c>
      <c r="C554" s="271" t="s">
        <v>1111</v>
      </c>
      <c r="D554" s="177">
        <v>45993</v>
      </c>
      <c r="E554" s="178" t="s">
        <v>813</v>
      </c>
      <c r="F554" s="271" t="s">
        <v>814</v>
      </c>
      <c r="G554" s="178" t="s">
        <v>815</v>
      </c>
      <c r="H554" s="366">
        <v>331572</v>
      </c>
      <c r="I554" s="176">
        <v>10</v>
      </c>
      <c r="J554" s="366">
        <v>33157</v>
      </c>
      <c r="K554" s="178" t="s">
        <v>261</v>
      </c>
      <c r="L554" s="178" t="s">
        <v>252</v>
      </c>
      <c r="M554" s="271" t="s">
        <v>816</v>
      </c>
      <c r="N554" s="177">
        <v>46230</v>
      </c>
      <c r="O554" s="177">
        <v>46230</v>
      </c>
      <c r="P554" s="366">
        <v>364729</v>
      </c>
      <c r="Q554" s="176" t="s">
        <v>248</v>
      </c>
      <c r="R554" s="176" t="s">
        <v>434</v>
      </c>
      <c r="S554" s="178" t="s">
        <v>253</v>
      </c>
      <c r="T554" s="57" t="str">
        <f t="shared" si="27"/>
        <v>Đ</v>
      </c>
      <c r="U554" s="59">
        <f t="shared" si="28"/>
        <v>0</v>
      </c>
      <c r="V554" s="55">
        <f t="shared" si="29"/>
        <v>13311</v>
      </c>
    </row>
    <row r="555" spans="1:22" ht="14.4" customHeight="1">
      <c r="A555" s="176">
        <v>538</v>
      </c>
      <c r="B555" s="178" t="s">
        <v>811</v>
      </c>
      <c r="C555" s="271" t="s">
        <v>1112</v>
      </c>
      <c r="D555" s="177">
        <v>45993</v>
      </c>
      <c r="E555" s="178" t="s">
        <v>813</v>
      </c>
      <c r="F555" s="271" t="s">
        <v>814</v>
      </c>
      <c r="G555" s="178" t="s">
        <v>815</v>
      </c>
      <c r="H555" s="366">
        <v>81818</v>
      </c>
      <c r="I555" s="176">
        <v>10</v>
      </c>
      <c r="J555" s="366">
        <v>8182</v>
      </c>
      <c r="K555" s="178" t="s">
        <v>261</v>
      </c>
      <c r="L555" s="178" t="s">
        <v>252</v>
      </c>
      <c r="M555" s="271" t="s">
        <v>816</v>
      </c>
      <c r="N555" s="177">
        <v>46230</v>
      </c>
      <c r="O555" s="177">
        <v>46230</v>
      </c>
      <c r="P555" s="366">
        <v>90000</v>
      </c>
      <c r="Q555" s="176" t="s">
        <v>248</v>
      </c>
      <c r="R555" s="176" t="s">
        <v>434</v>
      </c>
      <c r="S555" s="178" t="s">
        <v>253</v>
      </c>
      <c r="T555" s="57" t="str">
        <f t="shared" si="27"/>
        <v>Đ</v>
      </c>
      <c r="U555" s="59">
        <f t="shared" si="28"/>
        <v>0</v>
      </c>
      <c r="V555" s="55">
        <f t="shared" si="29"/>
        <v>13311</v>
      </c>
    </row>
    <row r="556" spans="1:22" ht="21.5" customHeight="1">
      <c r="A556" s="176">
        <v>539</v>
      </c>
      <c r="B556" s="178" t="s">
        <v>811</v>
      </c>
      <c r="C556" s="271" t="s">
        <v>1113</v>
      </c>
      <c r="D556" s="177">
        <v>45993</v>
      </c>
      <c r="E556" s="178" t="s">
        <v>813</v>
      </c>
      <c r="F556" s="271" t="s">
        <v>814</v>
      </c>
      <c r="G556" s="178" t="s">
        <v>815</v>
      </c>
      <c r="H556" s="366">
        <v>81818</v>
      </c>
      <c r="I556" s="176">
        <v>10</v>
      </c>
      <c r="J556" s="366">
        <v>8182</v>
      </c>
      <c r="K556" s="178" t="s">
        <v>261</v>
      </c>
      <c r="L556" s="178" t="s">
        <v>252</v>
      </c>
      <c r="M556" s="271" t="s">
        <v>816</v>
      </c>
      <c r="N556" s="177">
        <v>46230</v>
      </c>
      <c r="O556" s="177">
        <v>46230</v>
      </c>
      <c r="P556" s="366">
        <v>90000</v>
      </c>
      <c r="Q556" s="176" t="s">
        <v>248</v>
      </c>
      <c r="R556" s="176" t="s">
        <v>434</v>
      </c>
      <c r="S556" s="178" t="s">
        <v>253</v>
      </c>
      <c r="T556" s="57" t="str">
        <f t="shared" si="27"/>
        <v>Đ</v>
      </c>
      <c r="U556" s="59">
        <f t="shared" si="28"/>
        <v>0</v>
      </c>
      <c r="V556" s="55">
        <f t="shared" si="29"/>
        <v>13311</v>
      </c>
    </row>
    <row r="557" spans="1:22" ht="21.5" customHeight="1">
      <c r="A557" s="176">
        <v>540</v>
      </c>
      <c r="B557" s="178" t="s">
        <v>811</v>
      </c>
      <c r="C557" s="271" t="s">
        <v>1114</v>
      </c>
      <c r="D557" s="177">
        <v>45993</v>
      </c>
      <c r="E557" s="178" t="s">
        <v>813</v>
      </c>
      <c r="F557" s="271" t="s">
        <v>814</v>
      </c>
      <c r="G557" s="178" t="s">
        <v>815</v>
      </c>
      <c r="H557" s="366">
        <v>60000</v>
      </c>
      <c r="I557" s="176">
        <v>10</v>
      </c>
      <c r="J557" s="366">
        <v>6000</v>
      </c>
      <c r="K557" s="178" t="s">
        <v>261</v>
      </c>
      <c r="L557" s="178" t="s">
        <v>252</v>
      </c>
      <c r="M557" s="271" t="s">
        <v>816</v>
      </c>
      <c r="N557" s="177">
        <v>46230</v>
      </c>
      <c r="O557" s="177">
        <v>46230</v>
      </c>
      <c r="P557" s="366">
        <v>66000</v>
      </c>
      <c r="Q557" s="176" t="s">
        <v>248</v>
      </c>
      <c r="R557" s="176" t="s">
        <v>434</v>
      </c>
      <c r="S557" s="178" t="s">
        <v>253</v>
      </c>
      <c r="T557" s="57" t="str">
        <f t="shared" si="27"/>
        <v>Đ</v>
      </c>
      <c r="U557" s="59">
        <f t="shared" si="28"/>
        <v>0</v>
      </c>
      <c r="V557" s="55">
        <f t="shared" si="29"/>
        <v>13311</v>
      </c>
    </row>
    <row r="558" spans="1:22" ht="21.5" customHeight="1">
      <c r="A558" s="176">
        <v>541</v>
      </c>
      <c r="B558" s="178" t="s">
        <v>811</v>
      </c>
      <c r="C558" s="271" t="s">
        <v>1115</v>
      </c>
      <c r="D558" s="177">
        <v>45993</v>
      </c>
      <c r="E558" s="178" t="s">
        <v>813</v>
      </c>
      <c r="F558" s="271" t="s">
        <v>814</v>
      </c>
      <c r="G558" s="178" t="s">
        <v>815</v>
      </c>
      <c r="H558" s="366">
        <v>688317</v>
      </c>
      <c r="I558" s="176">
        <v>10</v>
      </c>
      <c r="J558" s="366">
        <v>68832</v>
      </c>
      <c r="K558" s="178" t="s">
        <v>261</v>
      </c>
      <c r="L558" s="178" t="s">
        <v>252</v>
      </c>
      <c r="M558" s="271" t="s">
        <v>816</v>
      </c>
      <c r="N558" s="177">
        <v>46230</v>
      </c>
      <c r="O558" s="177">
        <v>46230</v>
      </c>
      <c r="P558" s="366">
        <v>757149</v>
      </c>
      <c r="Q558" s="176" t="s">
        <v>248</v>
      </c>
      <c r="R558" s="176" t="s">
        <v>434</v>
      </c>
      <c r="S558" s="178" t="s">
        <v>253</v>
      </c>
      <c r="T558" s="57" t="str">
        <f t="shared" si="27"/>
        <v>Đ</v>
      </c>
      <c r="U558" s="59">
        <f t="shared" si="28"/>
        <v>0</v>
      </c>
      <c r="V558" s="55">
        <f t="shared" si="29"/>
        <v>13311</v>
      </c>
    </row>
    <row r="559" spans="1:22" ht="21.5" customHeight="1">
      <c r="A559" s="176">
        <v>542</v>
      </c>
      <c r="B559" s="178" t="s">
        <v>811</v>
      </c>
      <c r="C559" s="271" t="s">
        <v>1116</v>
      </c>
      <c r="D559" s="177">
        <v>45993</v>
      </c>
      <c r="E559" s="178" t="s">
        <v>813</v>
      </c>
      <c r="F559" s="271" t="s">
        <v>814</v>
      </c>
      <c r="G559" s="178" t="s">
        <v>815</v>
      </c>
      <c r="H559" s="366">
        <v>76903</v>
      </c>
      <c r="I559" s="176">
        <v>10</v>
      </c>
      <c r="J559" s="366">
        <v>7690</v>
      </c>
      <c r="K559" s="178" t="s">
        <v>261</v>
      </c>
      <c r="L559" s="178" t="s">
        <v>252</v>
      </c>
      <c r="M559" s="271" t="s">
        <v>816</v>
      </c>
      <c r="N559" s="177">
        <v>46230</v>
      </c>
      <c r="O559" s="177">
        <v>46230</v>
      </c>
      <c r="P559" s="366">
        <v>84593</v>
      </c>
      <c r="Q559" s="176" t="s">
        <v>248</v>
      </c>
      <c r="R559" s="176" t="s">
        <v>434</v>
      </c>
      <c r="S559" s="178" t="s">
        <v>253</v>
      </c>
      <c r="T559" s="57" t="str">
        <f t="shared" si="27"/>
        <v>Đ</v>
      </c>
      <c r="U559" s="59">
        <f t="shared" si="28"/>
        <v>0</v>
      </c>
      <c r="V559" s="55">
        <f t="shared" si="29"/>
        <v>13311</v>
      </c>
    </row>
    <row r="560" spans="1:22" ht="21.5" customHeight="1">
      <c r="A560" s="176">
        <v>543</v>
      </c>
      <c r="B560" s="178" t="s">
        <v>811</v>
      </c>
      <c r="C560" s="271" t="s">
        <v>1117</v>
      </c>
      <c r="D560" s="177">
        <v>45993</v>
      </c>
      <c r="E560" s="178" t="s">
        <v>813</v>
      </c>
      <c r="F560" s="271" t="s">
        <v>814</v>
      </c>
      <c r="G560" s="178" t="s">
        <v>815</v>
      </c>
      <c r="H560" s="366">
        <v>81818</v>
      </c>
      <c r="I560" s="176">
        <v>10</v>
      </c>
      <c r="J560" s="366">
        <v>8182</v>
      </c>
      <c r="K560" s="178" t="s">
        <v>261</v>
      </c>
      <c r="L560" s="178" t="s">
        <v>252</v>
      </c>
      <c r="M560" s="271" t="s">
        <v>816</v>
      </c>
      <c r="N560" s="177">
        <v>46230</v>
      </c>
      <c r="O560" s="177">
        <v>46230</v>
      </c>
      <c r="P560" s="366">
        <v>90000</v>
      </c>
      <c r="Q560" s="176" t="s">
        <v>248</v>
      </c>
      <c r="R560" s="176" t="s">
        <v>434</v>
      </c>
      <c r="S560" s="178" t="s">
        <v>253</v>
      </c>
      <c r="T560" s="57" t="str">
        <f t="shared" si="27"/>
        <v>Đ</v>
      </c>
      <c r="U560" s="59">
        <f t="shared" si="28"/>
        <v>0</v>
      </c>
      <c r="V560" s="55">
        <f t="shared" si="29"/>
        <v>13311</v>
      </c>
    </row>
    <row r="561" spans="1:22" ht="21.5" customHeight="1">
      <c r="A561" s="176">
        <v>544</v>
      </c>
      <c r="B561" s="178" t="s">
        <v>811</v>
      </c>
      <c r="C561" s="271" t="s">
        <v>1118</v>
      </c>
      <c r="D561" s="177">
        <v>45993</v>
      </c>
      <c r="E561" s="178" t="s">
        <v>813</v>
      </c>
      <c r="F561" s="271" t="s">
        <v>814</v>
      </c>
      <c r="G561" s="178" t="s">
        <v>815</v>
      </c>
      <c r="H561" s="366">
        <v>81818</v>
      </c>
      <c r="I561" s="176">
        <v>10</v>
      </c>
      <c r="J561" s="366">
        <v>8182</v>
      </c>
      <c r="K561" s="178" t="s">
        <v>261</v>
      </c>
      <c r="L561" s="178" t="s">
        <v>252</v>
      </c>
      <c r="M561" s="271" t="s">
        <v>816</v>
      </c>
      <c r="N561" s="177">
        <v>46230</v>
      </c>
      <c r="O561" s="177">
        <v>46230</v>
      </c>
      <c r="P561" s="366">
        <v>90000</v>
      </c>
      <c r="Q561" s="176" t="s">
        <v>248</v>
      </c>
      <c r="R561" s="176" t="s">
        <v>434</v>
      </c>
      <c r="S561" s="178" t="s">
        <v>253</v>
      </c>
      <c r="T561" s="57" t="str">
        <f t="shared" si="27"/>
        <v>Đ</v>
      </c>
      <c r="U561" s="59">
        <f t="shared" si="28"/>
        <v>0</v>
      </c>
      <c r="V561" s="55">
        <f t="shared" si="29"/>
        <v>13311</v>
      </c>
    </row>
    <row r="562" spans="1:22" ht="15.65" customHeight="1">
      <c r="A562" s="176">
        <v>545</v>
      </c>
      <c r="B562" s="178" t="s">
        <v>811</v>
      </c>
      <c r="C562" s="271" t="s">
        <v>1119</v>
      </c>
      <c r="D562" s="177">
        <v>45993</v>
      </c>
      <c r="E562" s="178" t="s">
        <v>813</v>
      </c>
      <c r="F562" s="271" t="s">
        <v>814</v>
      </c>
      <c r="G562" s="178" t="s">
        <v>815</v>
      </c>
      <c r="H562" s="366">
        <v>208182</v>
      </c>
      <c r="I562" s="176">
        <v>10</v>
      </c>
      <c r="J562" s="366">
        <v>20818</v>
      </c>
      <c r="K562" s="178" t="s">
        <v>261</v>
      </c>
      <c r="L562" s="178" t="s">
        <v>252</v>
      </c>
      <c r="M562" s="271" t="s">
        <v>816</v>
      </c>
      <c r="N562" s="177">
        <v>46230</v>
      </c>
      <c r="O562" s="177">
        <v>46230</v>
      </c>
      <c r="P562" s="366">
        <v>229000</v>
      </c>
      <c r="Q562" s="176" t="s">
        <v>248</v>
      </c>
      <c r="R562" s="176" t="s">
        <v>434</v>
      </c>
      <c r="S562" s="178" t="s">
        <v>253</v>
      </c>
      <c r="T562" s="57" t="str">
        <f t="shared" si="27"/>
        <v>Đ</v>
      </c>
      <c r="U562" s="59">
        <f t="shared" si="28"/>
        <v>0</v>
      </c>
      <c r="V562" s="55">
        <f t="shared" si="29"/>
        <v>13311</v>
      </c>
    </row>
    <row r="563" spans="1:22" ht="15.65" customHeight="1">
      <c r="A563" s="176">
        <v>546</v>
      </c>
      <c r="B563" s="178" t="s">
        <v>811</v>
      </c>
      <c r="C563" s="271" t="s">
        <v>1120</v>
      </c>
      <c r="D563" s="177">
        <v>45993</v>
      </c>
      <c r="E563" s="178" t="s">
        <v>813</v>
      </c>
      <c r="F563" s="271" t="s">
        <v>814</v>
      </c>
      <c r="G563" s="178" t="s">
        <v>815</v>
      </c>
      <c r="H563" s="366">
        <v>527787</v>
      </c>
      <c r="I563" s="176">
        <v>10</v>
      </c>
      <c r="J563" s="366">
        <v>52779</v>
      </c>
      <c r="K563" s="178" t="s">
        <v>261</v>
      </c>
      <c r="L563" s="178" t="s">
        <v>252</v>
      </c>
      <c r="M563" s="271" t="s">
        <v>816</v>
      </c>
      <c r="N563" s="177">
        <v>46230</v>
      </c>
      <c r="O563" s="177">
        <v>46230</v>
      </c>
      <c r="P563" s="366">
        <v>580566</v>
      </c>
      <c r="Q563" s="176" t="s">
        <v>248</v>
      </c>
      <c r="R563" s="176" t="s">
        <v>434</v>
      </c>
      <c r="S563" s="178" t="s">
        <v>253</v>
      </c>
      <c r="T563" s="57" t="str">
        <f t="shared" si="27"/>
        <v>Đ</v>
      </c>
      <c r="U563" s="59">
        <f t="shared" si="28"/>
        <v>0</v>
      </c>
      <c r="V563" s="55">
        <f t="shared" si="29"/>
        <v>13311</v>
      </c>
    </row>
    <row r="564" spans="1:22" ht="15.65" customHeight="1">
      <c r="A564" s="176">
        <v>547</v>
      </c>
      <c r="B564" s="178" t="s">
        <v>811</v>
      </c>
      <c r="C564" s="271" t="s">
        <v>1121</v>
      </c>
      <c r="D564" s="177">
        <v>45993</v>
      </c>
      <c r="E564" s="178" t="s">
        <v>813</v>
      </c>
      <c r="F564" s="271" t="s">
        <v>814</v>
      </c>
      <c r="G564" s="178" t="s">
        <v>815</v>
      </c>
      <c r="H564" s="366">
        <v>96048</v>
      </c>
      <c r="I564" s="176">
        <v>10</v>
      </c>
      <c r="J564" s="366">
        <v>9605</v>
      </c>
      <c r="K564" s="178" t="s">
        <v>261</v>
      </c>
      <c r="L564" s="178" t="s">
        <v>252</v>
      </c>
      <c r="M564" s="271" t="s">
        <v>816</v>
      </c>
      <c r="N564" s="177">
        <v>46230</v>
      </c>
      <c r="O564" s="177">
        <v>46230</v>
      </c>
      <c r="P564" s="366">
        <v>105653</v>
      </c>
      <c r="Q564" s="176" t="s">
        <v>248</v>
      </c>
      <c r="R564" s="176" t="s">
        <v>434</v>
      </c>
      <c r="S564" s="178" t="s">
        <v>253</v>
      </c>
      <c r="T564" s="57" t="str">
        <f t="shared" si="27"/>
        <v>Đ</v>
      </c>
      <c r="U564" s="59">
        <f t="shared" si="28"/>
        <v>0</v>
      </c>
      <c r="V564" s="55">
        <f t="shared" si="29"/>
        <v>13311</v>
      </c>
    </row>
    <row r="565" spans="1:22" ht="15.65" customHeight="1">
      <c r="A565" s="176">
        <v>548</v>
      </c>
      <c r="B565" s="178" t="s">
        <v>811</v>
      </c>
      <c r="C565" s="271" t="s">
        <v>1122</v>
      </c>
      <c r="D565" s="177">
        <v>45993</v>
      </c>
      <c r="E565" s="178" t="s">
        <v>813</v>
      </c>
      <c r="F565" s="271" t="s">
        <v>814</v>
      </c>
      <c r="G565" s="178" t="s">
        <v>815</v>
      </c>
      <c r="H565" s="366">
        <v>81818</v>
      </c>
      <c r="I565" s="176">
        <v>10</v>
      </c>
      <c r="J565" s="366">
        <v>8182</v>
      </c>
      <c r="K565" s="178" t="s">
        <v>261</v>
      </c>
      <c r="L565" s="178" t="s">
        <v>252</v>
      </c>
      <c r="M565" s="271" t="s">
        <v>816</v>
      </c>
      <c r="N565" s="177">
        <v>46230</v>
      </c>
      <c r="O565" s="177">
        <v>46230</v>
      </c>
      <c r="P565" s="366">
        <v>90000</v>
      </c>
      <c r="Q565" s="176" t="s">
        <v>248</v>
      </c>
      <c r="R565" s="176" t="s">
        <v>434</v>
      </c>
      <c r="S565" s="178" t="s">
        <v>253</v>
      </c>
      <c r="T565" s="57" t="str">
        <f t="shared" si="27"/>
        <v>Đ</v>
      </c>
      <c r="U565" s="59">
        <f t="shared" si="28"/>
        <v>0</v>
      </c>
      <c r="V565" s="55">
        <f t="shared" si="29"/>
        <v>13311</v>
      </c>
    </row>
    <row r="566" spans="1:22" ht="15.65" customHeight="1">
      <c r="A566" s="176">
        <v>549</v>
      </c>
      <c r="B566" s="178" t="s">
        <v>811</v>
      </c>
      <c r="C566" s="271" t="s">
        <v>1123</v>
      </c>
      <c r="D566" s="177">
        <v>45993</v>
      </c>
      <c r="E566" s="178" t="s">
        <v>813</v>
      </c>
      <c r="F566" s="271" t="s">
        <v>814</v>
      </c>
      <c r="G566" s="178" t="s">
        <v>815</v>
      </c>
      <c r="H566" s="366">
        <v>84545</v>
      </c>
      <c r="I566" s="176">
        <v>10</v>
      </c>
      <c r="J566" s="366">
        <v>8455</v>
      </c>
      <c r="K566" s="178" t="s">
        <v>261</v>
      </c>
      <c r="L566" s="178" t="s">
        <v>252</v>
      </c>
      <c r="M566" s="271" t="s">
        <v>816</v>
      </c>
      <c r="N566" s="177">
        <v>46230</v>
      </c>
      <c r="O566" s="177">
        <v>46230</v>
      </c>
      <c r="P566" s="366">
        <v>93000</v>
      </c>
      <c r="Q566" s="176" t="s">
        <v>248</v>
      </c>
      <c r="R566" s="176" t="s">
        <v>434</v>
      </c>
      <c r="S566" s="178" t="s">
        <v>253</v>
      </c>
      <c r="T566" s="57" t="str">
        <f t="shared" si="27"/>
        <v>Đ</v>
      </c>
      <c r="U566" s="59">
        <f t="shared" si="28"/>
        <v>0</v>
      </c>
      <c r="V566" s="55">
        <f t="shared" si="29"/>
        <v>13311</v>
      </c>
    </row>
    <row r="567" spans="1:22" ht="21.5" customHeight="1">
      <c r="A567" s="176">
        <v>550</v>
      </c>
      <c r="B567" s="178" t="s">
        <v>811</v>
      </c>
      <c r="C567" s="271" t="s">
        <v>1124</v>
      </c>
      <c r="D567" s="177">
        <v>45993</v>
      </c>
      <c r="E567" s="178" t="s">
        <v>813</v>
      </c>
      <c r="F567" s="271" t="s">
        <v>814</v>
      </c>
      <c r="G567" s="178" t="s">
        <v>815</v>
      </c>
      <c r="H567" s="366">
        <v>81818</v>
      </c>
      <c r="I567" s="176">
        <v>10</v>
      </c>
      <c r="J567" s="366">
        <v>8182</v>
      </c>
      <c r="K567" s="178" t="s">
        <v>261</v>
      </c>
      <c r="L567" s="178" t="s">
        <v>252</v>
      </c>
      <c r="M567" s="271" t="s">
        <v>816</v>
      </c>
      <c r="N567" s="177">
        <v>46230</v>
      </c>
      <c r="O567" s="177">
        <v>46230</v>
      </c>
      <c r="P567" s="366">
        <v>90000</v>
      </c>
      <c r="Q567" s="176" t="s">
        <v>248</v>
      </c>
      <c r="R567" s="176" t="s">
        <v>434</v>
      </c>
      <c r="S567" s="178" t="s">
        <v>253</v>
      </c>
      <c r="T567" s="57" t="str">
        <f t="shared" si="27"/>
        <v>Đ</v>
      </c>
      <c r="U567" s="59">
        <f t="shared" si="28"/>
        <v>0</v>
      </c>
      <c r="V567" s="55">
        <f t="shared" si="29"/>
        <v>13311</v>
      </c>
    </row>
    <row r="568" spans="1:22" ht="21.5" customHeight="1">
      <c r="A568" s="176">
        <v>551</v>
      </c>
      <c r="B568" s="178" t="s">
        <v>811</v>
      </c>
      <c r="C568" s="271" t="s">
        <v>1125</v>
      </c>
      <c r="D568" s="177">
        <v>45993</v>
      </c>
      <c r="E568" s="178" t="s">
        <v>813</v>
      </c>
      <c r="F568" s="271" t="s">
        <v>814</v>
      </c>
      <c r="G568" s="178" t="s">
        <v>815</v>
      </c>
      <c r="H568" s="366">
        <v>292815</v>
      </c>
      <c r="I568" s="176">
        <v>10</v>
      </c>
      <c r="J568" s="366">
        <v>29282</v>
      </c>
      <c r="K568" s="178" t="s">
        <v>261</v>
      </c>
      <c r="L568" s="178" t="s">
        <v>252</v>
      </c>
      <c r="M568" s="271" t="s">
        <v>816</v>
      </c>
      <c r="N568" s="177">
        <v>46230</v>
      </c>
      <c r="O568" s="177">
        <v>46230</v>
      </c>
      <c r="P568" s="366">
        <v>322097</v>
      </c>
      <c r="Q568" s="176" t="s">
        <v>248</v>
      </c>
      <c r="R568" s="176" t="s">
        <v>434</v>
      </c>
      <c r="S568" s="178" t="s">
        <v>253</v>
      </c>
      <c r="T568" s="57" t="str">
        <f t="shared" si="27"/>
        <v>Đ</v>
      </c>
      <c r="U568" s="59">
        <f t="shared" si="28"/>
        <v>0</v>
      </c>
      <c r="V568" s="55">
        <f t="shared" si="29"/>
        <v>13311</v>
      </c>
    </row>
    <row r="569" spans="1:22" ht="21.5" customHeight="1">
      <c r="A569" s="176">
        <v>552</v>
      </c>
      <c r="B569" s="178" t="s">
        <v>811</v>
      </c>
      <c r="C569" s="271" t="s">
        <v>1126</v>
      </c>
      <c r="D569" s="177">
        <v>45993</v>
      </c>
      <c r="E569" s="178" t="s">
        <v>813</v>
      </c>
      <c r="F569" s="271" t="s">
        <v>814</v>
      </c>
      <c r="G569" s="178" t="s">
        <v>815</v>
      </c>
      <c r="H569" s="366">
        <v>91086</v>
      </c>
      <c r="I569" s="176">
        <v>10</v>
      </c>
      <c r="J569" s="366">
        <v>9109</v>
      </c>
      <c r="K569" s="178" t="s">
        <v>261</v>
      </c>
      <c r="L569" s="178" t="s">
        <v>252</v>
      </c>
      <c r="M569" s="271" t="s">
        <v>816</v>
      </c>
      <c r="N569" s="177">
        <v>46230</v>
      </c>
      <c r="O569" s="177">
        <v>46230</v>
      </c>
      <c r="P569" s="366">
        <v>100195</v>
      </c>
      <c r="Q569" s="176" t="s">
        <v>248</v>
      </c>
      <c r="R569" s="176" t="s">
        <v>434</v>
      </c>
      <c r="S569" s="178" t="s">
        <v>253</v>
      </c>
      <c r="T569" s="57" t="str">
        <f t="shared" si="27"/>
        <v>Đ</v>
      </c>
      <c r="U569" s="59">
        <f t="shared" si="28"/>
        <v>0</v>
      </c>
      <c r="V569" s="55">
        <f t="shared" si="29"/>
        <v>13311</v>
      </c>
    </row>
    <row r="570" spans="1:22" ht="21.5" customHeight="1">
      <c r="A570" s="176">
        <v>553</v>
      </c>
      <c r="B570" s="178" t="s">
        <v>811</v>
      </c>
      <c r="C570" s="271" t="s">
        <v>1127</v>
      </c>
      <c r="D570" s="177">
        <v>45993</v>
      </c>
      <c r="E570" s="178" t="s">
        <v>813</v>
      </c>
      <c r="F570" s="271" t="s">
        <v>814</v>
      </c>
      <c r="G570" s="178" t="s">
        <v>815</v>
      </c>
      <c r="H570" s="366">
        <v>81818</v>
      </c>
      <c r="I570" s="176">
        <v>10</v>
      </c>
      <c r="J570" s="366">
        <v>8182</v>
      </c>
      <c r="K570" s="178" t="s">
        <v>261</v>
      </c>
      <c r="L570" s="178" t="s">
        <v>252</v>
      </c>
      <c r="M570" s="271" t="s">
        <v>816</v>
      </c>
      <c r="N570" s="177">
        <v>46230</v>
      </c>
      <c r="O570" s="177">
        <v>46230</v>
      </c>
      <c r="P570" s="366">
        <v>90000</v>
      </c>
      <c r="Q570" s="176" t="s">
        <v>248</v>
      </c>
      <c r="R570" s="176" t="s">
        <v>434</v>
      </c>
      <c r="S570" s="178" t="s">
        <v>253</v>
      </c>
      <c r="T570" s="57" t="str">
        <f t="shared" si="27"/>
        <v>Đ</v>
      </c>
      <c r="U570" s="59">
        <f t="shared" si="28"/>
        <v>0</v>
      </c>
      <c r="V570" s="55">
        <f t="shared" si="29"/>
        <v>13311</v>
      </c>
    </row>
    <row r="571" spans="1:22" ht="21.5" customHeight="1">
      <c r="A571" s="176">
        <v>554</v>
      </c>
      <c r="B571" s="178" t="s">
        <v>811</v>
      </c>
      <c r="C571" s="271" t="s">
        <v>1128</v>
      </c>
      <c r="D571" s="177">
        <v>45993</v>
      </c>
      <c r="E571" s="178" t="s">
        <v>813</v>
      </c>
      <c r="F571" s="271" t="s">
        <v>814</v>
      </c>
      <c r="G571" s="178" t="s">
        <v>815</v>
      </c>
      <c r="H571" s="366">
        <v>81818</v>
      </c>
      <c r="I571" s="176">
        <v>10</v>
      </c>
      <c r="J571" s="366">
        <v>8182</v>
      </c>
      <c r="K571" s="178" t="s">
        <v>261</v>
      </c>
      <c r="L571" s="178" t="s">
        <v>252</v>
      </c>
      <c r="M571" s="271" t="s">
        <v>816</v>
      </c>
      <c r="N571" s="177">
        <v>46230</v>
      </c>
      <c r="O571" s="177">
        <v>46230</v>
      </c>
      <c r="P571" s="366">
        <v>90000</v>
      </c>
      <c r="Q571" s="176" t="s">
        <v>248</v>
      </c>
      <c r="R571" s="176" t="s">
        <v>434</v>
      </c>
      <c r="S571" s="178" t="s">
        <v>253</v>
      </c>
      <c r="T571" s="57" t="str">
        <f t="shared" si="27"/>
        <v>Đ</v>
      </c>
      <c r="U571" s="59">
        <f t="shared" si="28"/>
        <v>0</v>
      </c>
      <c r="V571" s="55">
        <f t="shared" si="29"/>
        <v>13311</v>
      </c>
    </row>
    <row r="572" spans="1:22" ht="21.5" customHeight="1">
      <c r="A572" s="176">
        <v>555</v>
      </c>
      <c r="B572" s="178" t="s">
        <v>811</v>
      </c>
      <c r="C572" s="271" t="s">
        <v>1129</v>
      </c>
      <c r="D572" s="177">
        <v>45993</v>
      </c>
      <c r="E572" s="178" t="s">
        <v>813</v>
      </c>
      <c r="F572" s="271" t="s">
        <v>814</v>
      </c>
      <c r="G572" s="178" t="s">
        <v>815</v>
      </c>
      <c r="H572" s="366">
        <v>94856</v>
      </c>
      <c r="I572" s="176">
        <v>10</v>
      </c>
      <c r="J572" s="366">
        <v>9486</v>
      </c>
      <c r="K572" s="178" t="s">
        <v>261</v>
      </c>
      <c r="L572" s="178" t="s">
        <v>252</v>
      </c>
      <c r="M572" s="271" t="s">
        <v>816</v>
      </c>
      <c r="N572" s="177">
        <v>46230</v>
      </c>
      <c r="O572" s="177">
        <v>46230</v>
      </c>
      <c r="P572" s="366">
        <v>104342</v>
      </c>
      <c r="Q572" s="176" t="s">
        <v>248</v>
      </c>
      <c r="R572" s="176" t="s">
        <v>434</v>
      </c>
      <c r="S572" s="178" t="s">
        <v>253</v>
      </c>
      <c r="T572" s="57" t="str">
        <f t="shared" si="27"/>
        <v>Đ</v>
      </c>
      <c r="U572" s="59">
        <f t="shared" si="28"/>
        <v>0</v>
      </c>
      <c r="V572" s="55">
        <f t="shared" si="29"/>
        <v>13311</v>
      </c>
    </row>
    <row r="573" spans="1:22" ht="21.5" customHeight="1">
      <c r="A573" s="176">
        <v>556</v>
      </c>
      <c r="B573" s="178" t="s">
        <v>811</v>
      </c>
      <c r="C573" s="271" t="s">
        <v>1130</v>
      </c>
      <c r="D573" s="177">
        <v>45993</v>
      </c>
      <c r="E573" s="178" t="s">
        <v>813</v>
      </c>
      <c r="F573" s="271" t="s">
        <v>814</v>
      </c>
      <c r="G573" s="178" t="s">
        <v>815</v>
      </c>
      <c r="H573" s="366">
        <v>81818</v>
      </c>
      <c r="I573" s="176">
        <v>10</v>
      </c>
      <c r="J573" s="366">
        <v>8182</v>
      </c>
      <c r="K573" s="178" t="s">
        <v>261</v>
      </c>
      <c r="L573" s="178" t="s">
        <v>252</v>
      </c>
      <c r="M573" s="271" t="s">
        <v>816</v>
      </c>
      <c r="N573" s="177">
        <v>46230</v>
      </c>
      <c r="O573" s="177">
        <v>46230</v>
      </c>
      <c r="P573" s="366">
        <v>90000</v>
      </c>
      <c r="Q573" s="176" t="s">
        <v>248</v>
      </c>
      <c r="R573" s="176" t="s">
        <v>434</v>
      </c>
      <c r="S573" s="178" t="s">
        <v>253</v>
      </c>
      <c r="T573" s="57" t="str">
        <f t="shared" si="27"/>
        <v>Đ</v>
      </c>
      <c r="U573" s="59">
        <f t="shared" si="28"/>
        <v>0</v>
      </c>
      <c r="V573" s="55">
        <f t="shared" si="29"/>
        <v>13311</v>
      </c>
    </row>
    <row r="574" spans="1:22" ht="21.5" customHeight="1">
      <c r="A574" s="176">
        <v>557</v>
      </c>
      <c r="B574" s="178" t="s">
        <v>811</v>
      </c>
      <c r="C574" s="271" t="s">
        <v>1131</v>
      </c>
      <c r="D574" s="177">
        <v>45993</v>
      </c>
      <c r="E574" s="178" t="s">
        <v>813</v>
      </c>
      <c r="F574" s="271" t="s">
        <v>814</v>
      </c>
      <c r="G574" s="178" t="s">
        <v>815</v>
      </c>
      <c r="H574" s="366">
        <v>81818</v>
      </c>
      <c r="I574" s="176">
        <v>10</v>
      </c>
      <c r="J574" s="366">
        <v>8182</v>
      </c>
      <c r="K574" s="178" t="s">
        <v>261</v>
      </c>
      <c r="L574" s="178" t="s">
        <v>252</v>
      </c>
      <c r="M574" s="271" t="s">
        <v>816</v>
      </c>
      <c r="N574" s="177">
        <v>46230</v>
      </c>
      <c r="O574" s="177">
        <v>46230</v>
      </c>
      <c r="P574" s="366">
        <v>90000</v>
      </c>
      <c r="Q574" s="176" t="s">
        <v>248</v>
      </c>
      <c r="R574" s="176" t="s">
        <v>434</v>
      </c>
      <c r="S574" s="178" t="s">
        <v>253</v>
      </c>
      <c r="T574" s="57" t="str">
        <f t="shared" si="27"/>
        <v>Đ</v>
      </c>
      <c r="U574" s="59">
        <f t="shared" si="28"/>
        <v>0</v>
      </c>
      <c r="V574" s="55">
        <f t="shared" si="29"/>
        <v>13311</v>
      </c>
    </row>
    <row r="575" spans="1:22" ht="21.5" customHeight="1">
      <c r="A575" s="176">
        <v>558</v>
      </c>
      <c r="B575" s="178" t="s">
        <v>811</v>
      </c>
      <c r="C575" s="271" t="s">
        <v>1132</v>
      </c>
      <c r="D575" s="177">
        <v>45993</v>
      </c>
      <c r="E575" s="178" t="s">
        <v>813</v>
      </c>
      <c r="F575" s="271" t="s">
        <v>814</v>
      </c>
      <c r="G575" s="178" t="s">
        <v>815</v>
      </c>
      <c r="H575" s="366">
        <v>60000</v>
      </c>
      <c r="I575" s="176">
        <v>10</v>
      </c>
      <c r="J575" s="366">
        <v>6000</v>
      </c>
      <c r="K575" s="178" t="s">
        <v>261</v>
      </c>
      <c r="L575" s="178" t="s">
        <v>252</v>
      </c>
      <c r="M575" s="271" t="s">
        <v>816</v>
      </c>
      <c r="N575" s="177">
        <v>46230</v>
      </c>
      <c r="O575" s="177">
        <v>46230</v>
      </c>
      <c r="P575" s="366">
        <v>66000</v>
      </c>
      <c r="Q575" s="176" t="s">
        <v>248</v>
      </c>
      <c r="R575" s="176" t="s">
        <v>434</v>
      </c>
      <c r="S575" s="178" t="s">
        <v>253</v>
      </c>
      <c r="T575" s="57" t="str">
        <f t="shared" si="27"/>
        <v>Đ</v>
      </c>
      <c r="U575" s="59">
        <f t="shared" si="28"/>
        <v>0</v>
      </c>
      <c r="V575" s="55">
        <f t="shared" si="29"/>
        <v>13311</v>
      </c>
    </row>
    <row r="576" spans="1:22" ht="21.5" customHeight="1">
      <c r="A576" s="176">
        <v>559</v>
      </c>
      <c r="B576" s="178" t="s">
        <v>811</v>
      </c>
      <c r="C576" s="271" t="s">
        <v>1133</v>
      </c>
      <c r="D576" s="177">
        <v>45993</v>
      </c>
      <c r="E576" s="178" t="s">
        <v>813</v>
      </c>
      <c r="F576" s="271" t="s">
        <v>814</v>
      </c>
      <c r="G576" s="178" t="s">
        <v>815</v>
      </c>
      <c r="H576" s="366">
        <v>60000</v>
      </c>
      <c r="I576" s="176">
        <v>10</v>
      </c>
      <c r="J576" s="366">
        <v>6000</v>
      </c>
      <c r="K576" s="178" t="s">
        <v>261</v>
      </c>
      <c r="L576" s="178" t="s">
        <v>252</v>
      </c>
      <c r="M576" s="271" t="s">
        <v>816</v>
      </c>
      <c r="N576" s="177">
        <v>46230</v>
      </c>
      <c r="O576" s="177">
        <v>46230</v>
      </c>
      <c r="P576" s="366">
        <v>66000</v>
      </c>
      <c r="Q576" s="176" t="s">
        <v>248</v>
      </c>
      <c r="R576" s="176" t="s">
        <v>434</v>
      </c>
      <c r="S576" s="178" t="s">
        <v>253</v>
      </c>
      <c r="T576" s="57" t="str">
        <f t="shared" si="27"/>
        <v>Đ</v>
      </c>
      <c r="U576" s="59">
        <f t="shared" si="28"/>
        <v>0</v>
      </c>
      <c r="V576" s="55">
        <f t="shared" si="29"/>
        <v>13311</v>
      </c>
    </row>
    <row r="577" spans="1:22" ht="21.5" customHeight="1">
      <c r="A577" s="176">
        <v>560</v>
      </c>
      <c r="B577" s="178" t="s">
        <v>811</v>
      </c>
      <c r="C577" s="271" t="s">
        <v>1134</v>
      </c>
      <c r="D577" s="177">
        <v>45993</v>
      </c>
      <c r="E577" s="178" t="s">
        <v>813</v>
      </c>
      <c r="F577" s="271" t="s">
        <v>814</v>
      </c>
      <c r="G577" s="178" t="s">
        <v>815</v>
      </c>
      <c r="H577" s="366">
        <v>60000</v>
      </c>
      <c r="I577" s="176">
        <v>10</v>
      </c>
      <c r="J577" s="366">
        <v>6000</v>
      </c>
      <c r="K577" s="178" t="s">
        <v>261</v>
      </c>
      <c r="L577" s="178" t="s">
        <v>252</v>
      </c>
      <c r="M577" s="271" t="s">
        <v>816</v>
      </c>
      <c r="N577" s="177">
        <v>46230</v>
      </c>
      <c r="O577" s="177">
        <v>46230</v>
      </c>
      <c r="P577" s="366">
        <v>66000</v>
      </c>
      <c r="Q577" s="176" t="s">
        <v>248</v>
      </c>
      <c r="R577" s="176" t="s">
        <v>434</v>
      </c>
      <c r="S577" s="178" t="s">
        <v>253</v>
      </c>
      <c r="T577" s="57" t="str">
        <f t="shared" si="27"/>
        <v>Đ</v>
      </c>
      <c r="U577" s="59">
        <f t="shared" si="28"/>
        <v>0</v>
      </c>
      <c r="V577" s="55">
        <f t="shared" si="29"/>
        <v>13311</v>
      </c>
    </row>
    <row r="578" spans="1:22" ht="21.5" customHeight="1">
      <c r="A578" s="176">
        <v>561</v>
      </c>
      <c r="B578" s="178" t="s">
        <v>811</v>
      </c>
      <c r="C578" s="271" t="s">
        <v>1135</v>
      </c>
      <c r="D578" s="177">
        <v>45993</v>
      </c>
      <c r="E578" s="178" t="s">
        <v>813</v>
      </c>
      <c r="F578" s="271" t="s">
        <v>814</v>
      </c>
      <c r="G578" s="178" t="s">
        <v>815</v>
      </c>
      <c r="H578" s="366">
        <v>60000</v>
      </c>
      <c r="I578" s="176">
        <v>10</v>
      </c>
      <c r="J578" s="366">
        <v>6000</v>
      </c>
      <c r="K578" s="178" t="s">
        <v>261</v>
      </c>
      <c r="L578" s="178" t="s">
        <v>252</v>
      </c>
      <c r="M578" s="271" t="s">
        <v>816</v>
      </c>
      <c r="N578" s="177">
        <v>46230</v>
      </c>
      <c r="O578" s="177">
        <v>46230</v>
      </c>
      <c r="P578" s="366">
        <v>66000</v>
      </c>
      <c r="Q578" s="176" t="s">
        <v>248</v>
      </c>
      <c r="R578" s="176" t="s">
        <v>434</v>
      </c>
      <c r="S578" s="178" t="s">
        <v>253</v>
      </c>
      <c r="T578" s="57" t="str">
        <f t="shared" si="27"/>
        <v>Đ</v>
      </c>
      <c r="U578" s="59">
        <f t="shared" si="28"/>
        <v>0</v>
      </c>
      <c r="V578" s="55">
        <f t="shared" si="29"/>
        <v>13311</v>
      </c>
    </row>
    <row r="579" spans="1:22" ht="21.5" customHeight="1">
      <c r="A579" s="176">
        <v>562</v>
      </c>
      <c r="B579" s="178" t="s">
        <v>811</v>
      </c>
      <c r="C579" s="271" t="s">
        <v>1136</v>
      </c>
      <c r="D579" s="177">
        <v>45993</v>
      </c>
      <c r="E579" s="178" t="s">
        <v>813</v>
      </c>
      <c r="F579" s="271" t="s">
        <v>814</v>
      </c>
      <c r="G579" s="178" t="s">
        <v>815</v>
      </c>
      <c r="H579" s="366">
        <v>81818</v>
      </c>
      <c r="I579" s="176">
        <v>10</v>
      </c>
      <c r="J579" s="366">
        <v>8182</v>
      </c>
      <c r="K579" s="178" t="s">
        <v>261</v>
      </c>
      <c r="L579" s="178" t="s">
        <v>252</v>
      </c>
      <c r="M579" s="271" t="s">
        <v>816</v>
      </c>
      <c r="N579" s="177">
        <v>46230</v>
      </c>
      <c r="O579" s="177">
        <v>46230</v>
      </c>
      <c r="P579" s="366">
        <v>90000</v>
      </c>
      <c r="Q579" s="176" t="s">
        <v>248</v>
      </c>
      <c r="R579" s="176" t="s">
        <v>434</v>
      </c>
      <c r="S579" s="178" t="s">
        <v>253</v>
      </c>
      <c r="T579" s="57" t="str">
        <f t="shared" si="27"/>
        <v>Đ</v>
      </c>
      <c r="U579" s="59">
        <f t="shared" si="28"/>
        <v>0</v>
      </c>
      <c r="V579" s="55">
        <f t="shared" si="29"/>
        <v>13311</v>
      </c>
    </row>
    <row r="580" spans="1:22" ht="21.5" customHeight="1">
      <c r="A580" s="176">
        <v>563</v>
      </c>
      <c r="B580" s="178" t="s">
        <v>811</v>
      </c>
      <c r="C580" s="271" t="s">
        <v>1137</v>
      </c>
      <c r="D580" s="177">
        <v>45993</v>
      </c>
      <c r="E580" s="178" t="s">
        <v>813</v>
      </c>
      <c r="F580" s="271" t="s">
        <v>814</v>
      </c>
      <c r="G580" s="178" t="s">
        <v>815</v>
      </c>
      <c r="H580" s="366">
        <v>60000</v>
      </c>
      <c r="I580" s="176">
        <v>10</v>
      </c>
      <c r="J580" s="366">
        <v>6000</v>
      </c>
      <c r="K580" s="178" t="s">
        <v>261</v>
      </c>
      <c r="L580" s="178" t="s">
        <v>252</v>
      </c>
      <c r="M580" s="271" t="s">
        <v>816</v>
      </c>
      <c r="N580" s="177">
        <v>46230</v>
      </c>
      <c r="O580" s="177">
        <v>46230</v>
      </c>
      <c r="P580" s="366">
        <v>66000</v>
      </c>
      <c r="Q580" s="176" t="s">
        <v>248</v>
      </c>
      <c r="R580" s="176" t="s">
        <v>434</v>
      </c>
      <c r="S580" s="178" t="s">
        <v>253</v>
      </c>
      <c r="T580" s="57" t="str">
        <f t="shared" si="27"/>
        <v>Đ</v>
      </c>
      <c r="U580" s="59">
        <f t="shared" si="28"/>
        <v>0</v>
      </c>
      <c r="V580" s="55">
        <f t="shared" si="29"/>
        <v>13311</v>
      </c>
    </row>
    <row r="581" spans="1:22" ht="21.5" customHeight="1">
      <c r="A581" s="176">
        <v>564</v>
      </c>
      <c r="B581" s="178" t="s">
        <v>811</v>
      </c>
      <c r="C581" s="271" t="s">
        <v>1138</v>
      </c>
      <c r="D581" s="177">
        <v>45993</v>
      </c>
      <c r="E581" s="178" t="s">
        <v>813</v>
      </c>
      <c r="F581" s="271" t="s">
        <v>814</v>
      </c>
      <c r="G581" s="178" t="s">
        <v>815</v>
      </c>
      <c r="H581" s="366">
        <v>81818</v>
      </c>
      <c r="I581" s="176">
        <v>10</v>
      </c>
      <c r="J581" s="366">
        <v>8182</v>
      </c>
      <c r="K581" s="178" t="s">
        <v>261</v>
      </c>
      <c r="L581" s="178" t="s">
        <v>252</v>
      </c>
      <c r="M581" s="271" t="s">
        <v>816</v>
      </c>
      <c r="N581" s="177">
        <v>46230</v>
      </c>
      <c r="O581" s="177">
        <v>46230</v>
      </c>
      <c r="P581" s="366">
        <v>90000</v>
      </c>
      <c r="Q581" s="176" t="s">
        <v>248</v>
      </c>
      <c r="R581" s="176" t="s">
        <v>434</v>
      </c>
      <c r="S581" s="178" t="s">
        <v>253</v>
      </c>
      <c r="T581" s="57" t="str">
        <f t="shared" si="27"/>
        <v>Đ</v>
      </c>
      <c r="U581" s="59">
        <f t="shared" si="28"/>
        <v>0</v>
      </c>
      <c r="V581" s="55">
        <f t="shared" si="29"/>
        <v>13311</v>
      </c>
    </row>
    <row r="582" spans="1:22" ht="21.5" customHeight="1">
      <c r="A582" s="176">
        <v>565</v>
      </c>
      <c r="B582" s="178" t="s">
        <v>811</v>
      </c>
      <c r="C582" s="271" t="s">
        <v>1139</v>
      </c>
      <c r="D582" s="177">
        <v>45993</v>
      </c>
      <c r="E582" s="178" t="s">
        <v>813</v>
      </c>
      <c r="F582" s="271" t="s">
        <v>814</v>
      </c>
      <c r="G582" s="178" t="s">
        <v>815</v>
      </c>
      <c r="H582" s="366">
        <v>60000</v>
      </c>
      <c r="I582" s="176">
        <v>10</v>
      </c>
      <c r="J582" s="366">
        <v>6000</v>
      </c>
      <c r="K582" s="178" t="s">
        <v>261</v>
      </c>
      <c r="L582" s="178" t="s">
        <v>252</v>
      </c>
      <c r="M582" s="271" t="s">
        <v>816</v>
      </c>
      <c r="N582" s="177">
        <v>46230</v>
      </c>
      <c r="O582" s="177">
        <v>46230</v>
      </c>
      <c r="P582" s="366">
        <v>66000</v>
      </c>
      <c r="Q582" s="176" t="s">
        <v>248</v>
      </c>
      <c r="R582" s="176" t="s">
        <v>434</v>
      </c>
      <c r="S582" s="178" t="s">
        <v>253</v>
      </c>
      <c r="T582" s="57" t="str">
        <f t="shared" si="27"/>
        <v>Đ</v>
      </c>
      <c r="U582" s="59">
        <f t="shared" si="28"/>
        <v>0</v>
      </c>
      <c r="V582" s="55">
        <f t="shared" si="29"/>
        <v>13311</v>
      </c>
    </row>
    <row r="583" spans="1:22" ht="21.5" customHeight="1">
      <c r="A583" s="176">
        <v>566</v>
      </c>
      <c r="B583" s="178" t="s">
        <v>811</v>
      </c>
      <c r="C583" s="271" t="s">
        <v>1140</v>
      </c>
      <c r="D583" s="177">
        <v>45993</v>
      </c>
      <c r="E583" s="178" t="s">
        <v>813</v>
      </c>
      <c r="F583" s="271" t="s">
        <v>814</v>
      </c>
      <c r="G583" s="178" t="s">
        <v>815</v>
      </c>
      <c r="H583" s="366">
        <v>60000</v>
      </c>
      <c r="I583" s="176">
        <v>10</v>
      </c>
      <c r="J583" s="366">
        <v>6000</v>
      </c>
      <c r="K583" s="178" t="s">
        <v>261</v>
      </c>
      <c r="L583" s="178" t="s">
        <v>252</v>
      </c>
      <c r="M583" s="271" t="s">
        <v>816</v>
      </c>
      <c r="N583" s="177">
        <v>46230</v>
      </c>
      <c r="O583" s="177">
        <v>46230</v>
      </c>
      <c r="P583" s="366">
        <v>66000</v>
      </c>
      <c r="Q583" s="176" t="s">
        <v>248</v>
      </c>
      <c r="R583" s="176" t="s">
        <v>434</v>
      </c>
      <c r="S583" s="178" t="s">
        <v>253</v>
      </c>
      <c r="T583" s="57" t="str">
        <f t="shared" si="27"/>
        <v>Đ</v>
      </c>
      <c r="U583" s="59">
        <f t="shared" si="28"/>
        <v>0</v>
      </c>
      <c r="V583" s="55">
        <f t="shared" si="29"/>
        <v>13311</v>
      </c>
    </row>
    <row r="584" spans="1:22" ht="21.5" customHeight="1">
      <c r="A584" s="176">
        <v>567</v>
      </c>
      <c r="B584" s="178" t="s">
        <v>811</v>
      </c>
      <c r="C584" s="271" t="s">
        <v>1141</v>
      </c>
      <c r="D584" s="177">
        <v>45993</v>
      </c>
      <c r="E584" s="178" t="s">
        <v>813</v>
      </c>
      <c r="F584" s="271" t="s">
        <v>814</v>
      </c>
      <c r="G584" s="178" t="s">
        <v>815</v>
      </c>
      <c r="H584" s="366">
        <v>528952</v>
      </c>
      <c r="I584" s="176">
        <v>10</v>
      </c>
      <c r="J584" s="366">
        <v>52895</v>
      </c>
      <c r="K584" s="178" t="s">
        <v>261</v>
      </c>
      <c r="L584" s="178" t="s">
        <v>252</v>
      </c>
      <c r="M584" s="271" t="s">
        <v>816</v>
      </c>
      <c r="N584" s="177">
        <v>46230</v>
      </c>
      <c r="O584" s="177">
        <v>46230</v>
      </c>
      <c r="P584" s="366">
        <v>581847</v>
      </c>
      <c r="Q584" s="176" t="s">
        <v>248</v>
      </c>
      <c r="R584" s="176" t="s">
        <v>434</v>
      </c>
      <c r="S584" s="178" t="s">
        <v>253</v>
      </c>
      <c r="T584" s="57" t="str">
        <f t="shared" si="27"/>
        <v>Đ</v>
      </c>
      <c r="U584" s="59">
        <f t="shared" si="28"/>
        <v>0</v>
      </c>
      <c r="V584" s="55">
        <f t="shared" si="29"/>
        <v>13311</v>
      </c>
    </row>
    <row r="585" spans="1:22" ht="21.5" customHeight="1">
      <c r="A585" s="176">
        <v>568</v>
      </c>
      <c r="B585" s="178" t="s">
        <v>811</v>
      </c>
      <c r="C585" s="271" t="s">
        <v>1142</v>
      </c>
      <c r="D585" s="177">
        <v>45993</v>
      </c>
      <c r="E585" s="178" t="s">
        <v>813</v>
      </c>
      <c r="F585" s="271" t="s">
        <v>814</v>
      </c>
      <c r="G585" s="178" t="s">
        <v>815</v>
      </c>
      <c r="H585" s="366">
        <v>81818</v>
      </c>
      <c r="I585" s="176">
        <v>10</v>
      </c>
      <c r="J585" s="366">
        <v>8182</v>
      </c>
      <c r="K585" s="178" t="s">
        <v>261</v>
      </c>
      <c r="L585" s="178" t="s">
        <v>252</v>
      </c>
      <c r="M585" s="271" t="s">
        <v>816</v>
      </c>
      <c r="N585" s="177">
        <v>46230</v>
      </c>
      <c r="O585" s="177">
        <v>46230</v>
      </c>
      <c r="P585" s="366">
        <v>90000</v>
      </c>
      <c r="Q585" s="176" t="s">
        <v>248</v>
      </c>
      <c r="R585" s="176" t="s">
        <v>434</v>
      </c>
      <c r="S585" s="178" t="s">
        <v>253</v>
      </c>
      <c r="T585" s="57" t="str">
        <f t="shared" si="27"/>
        <v>Đ</v>
      </c>
      <c r="U585" s="59">
        <f t="shared" si="28"/>
        <v>0</v>
      </c>
      <c r="V585" s="55">
        <f t="shared" si="29"/>
        <v>13311</v>
      </c>
    </row>
    <row r="586" spans="1:22" ht="21.5" customHeight="1">
      <c r="A586" s="176">
        <v>569</v>
      </c>
      <c r="B586" s="178" t="s">
        <v>811</v>
      </c>
      <c r="C586" s="271" t="s">
        <v>1143</v>
      </c>
      <c r="D586" s="177">
        <v>45993</v>
      </c>
      <c r="E586" s="178" t="s">
        <v>813</v>
      </c>
      <c r="F586" s="271" t="s">
        <v>814</v>
      </c>
      <c r="G586" s="178" t="s">
        <v>815</v>
      </c>
      <c r="H586" s="366">
        <v>312571</v>
      </c>
      <c r="I586" s="176">
        <v>10</v>
      </c>
      <c r="J586" s="366">
        <v>31257</v>
      </c>
      <c r="K586" s="178" t="s">
        <v>261</v>
      </c>
      <c r="L586" s="178" t="s">
        <v>252</v>
      </c>
      <c r="M586" s="271" t="s">
        <v>816</v>
      </c>
      <c r="N586" s="177">
        <v>46230</v>
      </c>
      <c r="O586" s="177">
        <v>46230</v>
      </c>
      <c r="P586" s="366">
        <v>343828</v>
      </c>
      <c r="Q586" s="176" t="s">
        <v>248</v>
      </c>
      <c r="R586" s="176" t="s">
        <v>434</v>
      </c>
      <c r="S586" s="178" t="s">
        <v>253</v>
      </c>
      <c r="T586" s="57" t="str">
        <f t="shared" si="27"/>
        <v>Đ</v>
      </c>
      <c r="U586" s="59">
        <f t="shared" si="28"/>
        <v>0</v>
      </c>
      <c r="V586" s="55">
        <f t="shared" si="29"/>
        <v>13311</v>
      </c>
    </row>
    <row r="587" spans="1:22" ht="21.5" customHeight="1">
      <c r="A587" s="176">
        <v>570</v>
      </c>
      <c r="B587" s="178" t="s">
        <v>811</v>
      </c>
      <c r="C587" s="271" t="s">
        <v>1144</v>
      </c>
      <c r="D587" s="177">
        <v>45993</v>
      </c>
      <c r="E587" s="178" t="s">
        <v>813</v>
      </c>
      <c r="F587" s="271" t="s">
        <v>814</v>
      </c>
      <c r="G587" s="178" t="s">
        <v>815</v>
      </c>
      <c r="H587" s="366">
        <v>40000</v>
      </c>
      <c r="I587" s="176">
        <v>10</v>
      </c>
      <c r="J587" s="366">
        <v>4000</v>
      </c>
      <c r="K587" s="178" t="s">
        <v>261</v>
      </c>
      <c r="L587" s="178" t="s">
        <v>252</v>
      </c>
      <c r="M587" s="271" t="s">
        <v>816</v>
      </c>
      <c r="N587" s="177">
        <v>46230</v>
      </c>
      <c r="O587" s="177">
        <v>46230</v>
      </c>
      <c r="P587" s="366">
        <v>44000</v>
      </c>
      <c r="Q587" s="176" t="s">
        <v>248</v>
      </c>
      <c r="R587" s="176" t="s">
        <v>434</v>
      </c>
      <c r="S587" s="178" t="s">
        <v>253</v>
      </c>
      <c r="T587" s="57" t="str">
        <f t="shared" si="27"/>
        <v>Đ</v>
      </c>
      <c r="U587" s="59">
        <f t="shared" si="28"/>
        <v>0</v>
      </c>
      <c r="V587" s="55">
        <f t="shared" si="29"/>
        <v>13311</v>
      </c>
    </row>
    <row r="588" spans="1:22" ht="21.5" customHeight="1">
      <c r="A588" s="176">
        <v>571</v>
      </c>
      <c r="B588" s="178" t="s">
        <v>811</v>
      </c>
      <c r="C588" s="271" t="s">
        <v>1145</v>
      </c>
      <c r="D588" s="177">
        <v>45993</v>
      </c>
      <c r="E588" s="178" t="s">
        <v>813</v>
      </c>
      <c r="F588" s="271" t="s">
        <v>814</v>
      </c>
      <c r="G588" s="178" t="s">
        <v>815</v>
      </c>
      <c r="H588" s="366">
        <v>1431455</v>
      </c>
      <c r="I588" s="176">
        <v>10</v>
      </c>
      <c r="J588" s="366">
        <v>143146</v>
      </c>
      <c r="K588" s="178" t="s">
        <v>261</v>
      </c>
      <c r="L588" s="178" t="s">
        <v>252</v>
      </c>
      <c r="M588" s="271" t="s">
        <v>816</v>
      </c>
      <c r="N588" s="177">
        <v>46230</v>
      </c>
      <c r="O588" s="177">
        <v>46230</v>
      </c>
      <c r="P588" s="366">
        <v>1574601</v>
      </c>
      <c r="Q588" s="176" t="s">
        <v>248</v>
      </c>
      <c r="R588" s="176" t="s">
        <v>434</v>
      </c>
      <c r="S588" s="178" t="s">
        <v>253</v>
      </c>
      <c r="T588" s="57" t="str">
        <f t="shared" si="27"/>
        <v>Đ</v>
      </c>
      <c r="U588" s="59">
        <f t="shared" si="28"/>
        <v>0</v>
      </c>
      <c r="V588" s="55">
        <f t="shared" si="29"/>
        <v>13311</v>
      </c>
    </row>
    <row r="589" spans="1:22" ht="21.5" customHeight="1">
      <c r="A589" s="176">
        <v>572</v>
      </c>
      <c r="B589" s="178" t="s">
        <v>811</v>
      </c>
      <c r="C589" s="271" t="s">
        <v>1146</v>
      </c>
      <c r="D589" s="177">
        <v>45993</v>
      </c>
      <c r="E589" s="178" t="s">
        <v>813</v>
      </c>
      <c r="F589" s="271" t="s">
        <v>814</v>
      </c>
      <c r="G589" s="178" t="s">
        <v>815</v>
      </c>
      <c r="H589" s="366">
        <v>81818</v>
      </c>
      <c r="I589" s="176">
        <v>10</v>
      </c>
      <c r="J589" s="366">
        <v>8182</v>
      </c>
      <c r="K589" s="178" t="s">
        <v>261</v>
      </c>
      <c r="L589" s="178" t="s">
        <v>252</v>
      </c>
      <c r="M589" s="271" t="s">
        <v>816</v>
      </c>
      <c r="N589" s="177">
        <v>46230</v>
      </c>
      <c r="O589" s="177">
        <v>46230</v>
      </c>
      <c r="P589" s="366">
        <v>90000</v>
      </c>
      <c r="Q589" s="176" t="s">
        <v>248</v>
      </c>
      <c r="R589" s="176" t="s">
        <v>434</v>
      </c>
      <c r="S589" s="178" t="s">
        <v>253</v>
      </c>
      <c r="T589" s="57" t="str">
        <f t="shared" si="27"/>
        <v>Đ</v>
      </c>
      <c r="U589" s="59">
        <f t="shared" si="28"/>
        <v>0</v>
      </c>
      <c r="V589" s="55">
        <f t="shared" si="29"/>
        <v>13311</v>
      </c>
    </row>
    <row r="590" spans="1:22" ht="21.5" customHeight="1">
      <c r="A590" s="176">
        <v>573</v>
      </c>
      <c r="B590" s="178" t="s">
        <v>811</v>
      </c>
      <c r="C590" s="271" t="s">
        <v>1147</v>
      </c>
      <c r="D590" s="177">
        <v>45993</v>
      </c>
      <c r="E590" s="178" t="s">
        <v>813</v>
      </c>
      <c r="F590" s="271" t="s">
        <v>814</v>
      </c>
      <c r="G590" s="178" t="s">
        <v>815</v>
      </c>
      <c r="H590" s="366">
        <v>60000</v>
      </c>
      <c r="I590" s="176">
        <v>10</v>
      </c>
      <c r="J590" s="366">
        <v>6000</v>
      </c>
      <c r="K590" s="178" t="s">
        <v>261</v>
      </c>
      <c r="L590" s="178" t="s">
        <v>252</v>
      </c>
      <c r="M590" s="271" t="s">
        <v>816</v>
      </c>
      <c r="N590" s="177">
        <v>46230</v>
      </c>
      <c r="O590" s="177">
        <v>46230</v>
      </c>
      <c r="P590" s="366">
        <v>66000</v>
      </c>
      <c r="Q590" s="176" t="s">
        <v>248</v>
      </c>
      <c r="R590" s="176" t="s">
        <v>434</v>
      </c>
      <c r="S590" s="178" t="s">
        <v>253</v>
      </c>
      <c r="T590" s="57" t="str">
        <f t="shared" ref="T590:T653" si="30">IF(OR(LEN(F590)=11,LEN(F590)=15),"Đ","SAI")</f>
        <v>Đ</v>
      </c>
      <c r="U590" s="59">
        <f t="shared" ref="U590:U653" si="31">ROUND(H590*I590%,0)-J590</f>
        <v>0</v>
      </c>
      <c r="V590" s="55">
        <f t="shared" ref="V590:V653" si="32">IF(Q590=$V$12,13313,13311)</f>
        <v>13311</v>
      </c>
    </row>
    <row r="591" spans="1:22" ht="21.5" customHeight="1">
      <c r="A591" s="176">
        <v>574</v>
      </c>
      <c r="B591" s="178" t="s">
        <v>811</v>
      </c>
      <c r="C591" s="271" t="s">
        <v>1148</v>
      </c>
      <c r="D591" s="177">
        <v>45993</v>
      </c>
      <c r="E591" s="178" t="s">
        <v>813</v>
      </c>
      <c r="F591" s="271" t="s">
        <v>814</v>
      </c>
      <c r="G591" s="178" t="s">
        <v>815</v>
      </c>
      <c r="H591" s="366">
        <v>60000</v>
      </c>
      <c r="I591" s="176">
        <v>10</v>
      </c>
      <c r="J591" s="366">
        <v>6000</v>
      </c>
      <c r="K591" s="178" t="s">
        <v>261</v>
      </c>
      <c r="L591" s="178" t="s">
        <v>252</v>
      </c>
      <c r="M591" s="271" t="s">
        <v>816</v>
      </c>
      <c r="N591" s="177">
        <v>46230</v>
      </c>
      <c r="O591" s="177">
        <v>46230</v>
      </c>
      <c r="P591" s="366">
        <v>66000</v>
      </c>
      <c r="Q591" s="176" t="s">
        <v>248</v>
      </c>
      <c r="R591" s="176" t="s">
        <v>434</v>
      </c>
      <c r="S591" s="178" t="s">
        <v>253</v>
      </c>
      <c r="T591" s="57" t="str">
        <f t="shared" si="30"/>
        <v>Đ</v>
      </c>
      <c r="U591" s="59">
        <f t="shared" si="31"/>
        <v>0</v>
      </c>
      <c r="V591" s="55">
        <f t="shared" si="32"/>
        <v>13311</v>
      </c>
    </row>
    <row r="592" spans="1:22" ht="21.5" customHeight="1">
      <c r="A592" s="176">
        <v>575</v>
      </c>
      <c r="B592" s="178" t="s">
        <v>811</v>
      </c>
      <c r="C592" s="271" t="s">
        <v>1149</v>
      </c>
      <c r="D592" s="177">
        <v>45993</v>
      </c>
      <c r="E592" s="178" t="s">
        <v>813</v>
      </c>
      <c r="F592" s="271" t="s">
        <v>814</v>
      </c>
      <c r="G592" s="178" t="s">
        <v>815</v>
      </c>
      <c r="H592" s="366">
        <v>12000000</v>
      </c>
      <c r="I592" s="176">
        <v>10</v>
      </c>
      <c r="J592" s="366">
        <v>1200000</v>
      </c>
      <c r="K592" s="178" t="s">
        <v>261</v>
      </c>
      <c r="L592" s="178" t="s">
        <v>252</v>
      </c>
      <c r="M592" s="271" t="s">
        <v>816</v>
      </c>
      <c r="N592" s="177">
        <v>46230</v>
      </c>
      <c r="O592" s="177">
        <v>46230</v>
      </c>
      <c r="P592" s="366">
        <v>13200000</v>
      </c>
      <c r="Q592" s="176" t="s">
        <v>248</v>
      </c>
      <c r="R592" s="176" t="s">
        <v>434</v>
      </c>
      <c r="S592" s="178" t="s">
        <v>253</v>
      </c>
      <c r="T592" s="57" t="str">
        <f t="shared" si="30"/>
        <v>Đ</v>
      </c>
      <c r="U592" s="59">
        <f t="shared" si="31"/>
        <v>0</v>
      </c>
      <c r="V592" s="55">
        <f t="shared" si="32"/>
        <v>13311</v>
      </c>
    </row>
    <row r="593" spans="1:22" ht="21.5" customHeight="1">
      <c r="A593" s="176">
        <v>576</v>
      </c>
      <c r="B593" s="178" t="s">
        <v>811</v>
      </c>
      <c r="C593" s="271" t="s">
        <v>1150</v>
      </c>
      <c r="D593" s="177">
        <v>45993</v>
      </c>
      <c r="E593" s="178" t="s">
        <v>813</v>
      </c>
      <c r="F593" s="271" t="s">
        <v>814</v>
      </c>
      <c r="G593" s="178" t="s">
        <v>815</v>
      </c>
      <c r="H593" s="366">
        <v>61868</v>
      </c>
      <c r="I593" s="176">
        <v>10</v>
      </c>
      <c r="J593" s="366">
        <v>6187</v>
      </c>
      <c r="K593" s="178" t="s">
        <v>261</v>
      </c>
      <c r="L593" s="178" t="s">
        <v>252</v>
      </c>
      <c r="M593" s="271" t="s">
        <v>816</v>
      </c>
      <c r="N593" s="177">
        <v>46230</v>
      </c>
      <c r="O593" s="177">
        <v>46230</v>
      </c>
      <c r="P593" s="366">
        <v>68055</v>
      </c>
      <c r="Q593" s="176" t="s">
        <v>248</v>
      </c>
      <c r="R593" s="176" t="s">
        <v>434</v>
      </c>
      <c r="S593" s="178" t="s">
        <v>253</v>
      </c>
      <c r="T593" s="57" t="str">
        <f t="shared" si="30"/>
        <v>Đ</v>
      </c>
      <c r="U593" s="59">
        <f t="shared" si="31"/>
        <v>0</v>
      </c>
      <c r="V593" s="55">
        <f t="shared" si="32"/>
        <v>13311</v>
      </c>
    </row>
    <row r="594" spans="1:22" ht="21.5" customHeight="1">
      <c r="A594" s="176">
        <v>577</v>
      </c>
      <c r="B594" s="178" t="s">
        <v>811</v>
      </c>
      <c r="C594" s="271" t="s">
        <v>1151</v>
      </c>
      <c r="D594" s="177">
        <v>45993</v>
      </c>
      <c r="E594" s="178" t="s">
        <v>813</v>
      </c>
      <c r="F594" s="271" t="s">
        <v>814</v>
      </c>
      <c r="G594" s="178" t="s">
        <v>815</v>
      </c>
      <c r="H594" s="366">
        <v>81818</v>
      </c>
      <c r="I594" s="176">
        <v>10</v>
      </c>
      <c r="J594" s="366">
        <v>8182</v>
      </c>
      <c r="K594" s="178" t="s">
        <v>261</v>
      </c>
      <c r="L594" s="178" t="s">
        <v>252</v>
      </c>
      <c r="M594" s="271" t="s">
        <v>816</v>
      </c>
      <c r="N594" s="177">
        <v>46230</v>
      </c>
      <c r="O594" s="177">
        <v>46230</v>
      </c>
      <c r="P594" s="366">
        <v>90000</v>
      </c>
      <c r="Q594" s="176" t="s">
        <v>248</v>
      </c>
      <c r="R594" s="176" t="s">
        <v>434</v>
      </c>
      <c r="S594" s="178" t="s">
        <v>253</v>
      </c>
      <c r="T594" s="57" t="str">
        <f t="shared" si="30"/>
        <v>Đ</v>
      </c>
      <c r="U594" s="59">
        <f t="shared" si="31"/>
        <v>0</v>
      </c>
      <c r="V594" s="55">
        <f t="shared" si="32"/>
        <v>13311</v>
      </c>
    </row>
    <row r="595" spans="1:22" ht="21.5" customHeight="1">
      <c r="A595" s="176">
        <v>578</v>
      </c>
      <c r="B595" s="178" t="s">
        <v>811</v>
      </c>
      <c r="C595" s="271" t="s">
        <v>1152</v>
      </c>
      <c r="D595" s="177">
        <v>45993</v>
      </c>
      <c r="E595" s="178" t="s">
        <v>813</v>
      </c>
      <c r="F595" s="271" t="s">
        <v>814</v>
      </c>
      <c r="G595" s="178" t="s">
        <v>815</v>
      </c>
      <c r="H595" s="366">
        <v>60000</v>
      </c>
      <c r="I595" s="176">
        <v>10</v>
      </c>
      <c r="J595" s="366">
        <v>6000</v>
      </c>
      <c r="K595" s="178" t="s">
        <v>261</v>
      </c>
      <c r="L595" s="178" t="s">
        <v>252</v>
      </c>
      <c r="M595" s="271" t="s">
        <v>816</v>
      </c>
      <c r="N595" s="177">
        <v>46230</v>
      </c>
      <c r="O595" s="177">
        <v>46230</v>
      </c>
      <c r="P595" s="366">
        <v>66000</v>
      </c>
      <c r="Q595" s="176" t="s">
        <v>248</v>
      </c>
      <c r="R595" s="176" t="s">
        <v>434</v>
      </c>
      <c r="S595" s="178" t="s">
        <v>253</v>
      </c>
      <c r="T595" s="57" t="str">
        <f t="shared" si="30"/>
        <v>Đ</v>
      </c>
      <c r="U595" s="59">
        <f t="shared" si="31"/>
        <v>0</v>
      </c>
      <c r="V595" s="55">
        <f t="shared" si="32"/>
        <v>13311</v>
      </c>
    </row>
    <row r="596" spans="1:22" ht="21.5" customHeight="1">
      <c r="A596" s="176">
        <v>579</v>
      </c>
      <c r="B596" s="178" t="s">
        <v>811</v>
      </c>
      <c r="C596" s="271" t="s">
        <v>1153</v>
      </c>
      <c r="D596" s="177">
        <v>45993</v>
      </c>
      <c r="E596" s="178" t="s">
        <v>813</v>
      </c>
      <c r="F596" s="271" t="s">
        <v>814</v>
      </c>
      <c r="G596" s="178" t="s">
        <v>815</v>
      </c>
      <c r="H596" s="366">
        <v>60000</v>
      </c>
      <c r="I596" s="176">
        <v>10</v>
      </c>
      <c r="J596" s="366">
        <v>6000</v>
      </c>
      <c r="K596" s="178" t="s">
        <v>261</v>
      </c>
      <c r="L596" s="178" t="s">
        <v>252</v>
      </c>
      <c r="M596" s="271" t="s">
        <v>816</v>
      </c>
      <c r="N596" s="177">
        <v>46230</v>
      </c>
      <c r="O596" s="177">
        <v>46230</v>
      </c>
      <c r="P596" s="366">
        <v>66000</v>
      </c>
      <c r="Q596" s="176" t="s">
        <v>248</v>
      </c>
      <c r="R596" s="176" t="s">
        <v>434</v>
      </c>
      <c r="S596" s="178" t="s">
        <v>253</v>
      </c>
      <c r="T596" s="57" t="str">
        <f t="shared" si="30"/>
        <v>Đ</v>
      </c>
      <c r="U596" s="59">
        <f t="shared" si="31"/>
        <v>0</v>
      </c>
      <c r="V596" s="55">
        <f t="shared" si="32"/>
        <v>13311</v>
      </c>
    </row>
    <row r="597" spans="1:22" ht="21.5" customHeight="1">
      <c r="A597" s="176">
        <v>580</v>
      </c>
      <c r="B597" s="178" t="s">
        <v>811</v>
      </c>
      <c r="C597" s="271" t="s">
        <v>1154</v>
      </c>
      <c r="D597" s="177">
        <v>45993</v>
      </c>
      <c r="E597" s="178" t="s">
        <v>813</v>
      </c>
      <c r="F597" s="271" t="s">
        <v>814</v>
      </c>
      <c r="G597" s="178" t="s">
        <v>815</v>
      </c>
      <c r="H597" s="366">
        <v>81818</v>
      </c>
      <c r="I597" s="176">
        <v>10</v>
      </c>
      <c r="J597" s="366">
        <v>8182</v>
      </c>
      <c r="K597" s="178" t="s">
        <v>261</v>
      </c>
      <c r="L597" s="178" t="s">
        <v>252</v>
      </c>
      <c r="M597" s="271" t="s">
        <v>816</v>
      </c>
      <c r="N597" s="177">
        <v>46230</v>
      </c>
      <c r="O597" s="177">
        <v>46230</v>
      </c>
      <c r="P597" s="366">
        <v>90000</v>
      </c>
      <c r="Q597" s="176" t="s">
        <v>248</v>
      </c>
      <c r="R597" s="176" t="s">
        <v>434</v>
      </c>
      <c r="S597" s="178" t="s">
        <v>253</v>
      </c>
      <c r="T597" s="57" t="str">
        <f t="shared" si="30"/>
        <v>Đ</v>
      </c>
      <c r="U597" s="59">
        <f t="shared" si="31"/>
        <v>0</v>
      </c>
      <c r="V597" s="55">
        <f t="shared" si="32"/>
        <v>13311</v>
      </c>
    </row>
    <row r="598" spans="1:22" ht="21.5" customHeight="1">
      <c r="A598" s="176">
        <v>581</v>
      </c>
      <c r="B598" s="178" t="s">
        <v>811</v>
      </c>
      <c r="C598" s="271" t="s">
        <v>1155</v>
      </c>
      <c r="D598" s="177">
        <v>45993</v>
      </c>
      <c r="E598" s="178" t="s">
        <v>813</v>
      </c>
      <c r="F598" s="271" t="s">
        <v>814</v>
      </c>
      <c r="G598" s="178" t="s">
        <v>815</v>
      </c>
      <c r="H598" s="366">
        <v>81818</v>
      </c>
      <c r="I598" s="176">
        <v>10</v>
      </c>
      <c r="J598" s="366">
        <v>8182</v>
      </c>
      <c r="K598" s="178" t="s">
        <v>261</v>
      </c>
      <c r="L598" s="178" t="s">
        <v>252</v>
      </c>
      <c r="M598" s="271" t="s">
        <v>816</v>
      </c>
      <c r="N598" s="177">
        <v>46230</v>
      </c>
      <c r="O598" s="177">
        <v>46230</v>
      </c>
      <c r="P598" s="366">
        <v>90000</v>
      </c>
      <c r="Q598" s="176" t="s">
        <v>248</v>
      </c>
      <c r="R598" s="176" t="s">
        <v>434</v>
      </c>
      <c r="S598" s="178" t="s">
        <v>253</v>
      </c>
      <c r="T598" s="57" t="str">
        <f t="shared" si="30"/>
        <v>Đ</v>
      </c>
      <c r="U598" s="59">
        <f t="shared" si="31"/>
        <v>0</v>
      </c>
      <c r="V598" s="55">
        <f t="shared" si="32"/>
        <v>13311</v>
      </c>
    </row>
    <row r="599" spans="1:22" ht="21.5" customHeight="1">
      <c r="A599" s="176">
        <v>582</v>
      </c>
      <c r="B599" s="178" t="s">
        <v>811</v>
      </c>
      <c r="C599" s="271" t="s">
        <v>1156</v>
      </c>
      <c r="D599" s="177">
        <v>45993</v>
      </c>
      <c r="E599" s="178" t="s">
        <v>813</v>
      </c>
      <c r="F599" s="271" t="s">
        <v>814</v>
      </c>
      <c r="G599" s="178" t="s">
        <v>815</v>
      </c>
      <c r="H599" s="366">
        <v>994190</v>
      </c>
      <c r="I599" s="176">
        <v>10</v>
      </c>
      <c r="J599" s="366">
        <v>99419</v>
      </c>
      <c r="K599" s="178" t="s">
        <v>261</v>
      </c>
      <c r="L599" s="178" t="s">
        <v>252</v>
      </c>
      <c r="M599" s="271" t="s">
        <v>816</v>
      </c>
      <c r="N599" s="177">
        <v>46230</v>
      </c>
      <c r="O599" s="177">
        <v>46230</v>
      </c>
      <c r="P599" s="366">
        <v>1093609</v>
      </c>
      <c r="Q599" s="176" t="s">
        <v>248</v>
      </c>
      <c r="R599" s="176" t="s">
        <v>434</v>
      </c>
      <c r="S599" s="178" t="s">
        <v>253</v>
      </c>
      <c r="T599" s="57" t="str">
        <f t="shared" si="30"/>
        <v>Đ</v>
      </c>
      <c r="U599" s="59">
        <f t="shared" si="31"/>
        <v>0</v>
      </c>
      <c r="V599" s="55">
        <f t="shared" si="32"/>
        <v>13311</v>
      </c>
    </row>
    <row r="600" spans="1:22" ht="21.5" customHeight="1">
      <c r="A600" s="176">
        <v>583</v>
      </c>
      <c r="B600" s="178" t="s">
        <v>811</v>
      </c>
      <c r="C600" s="271" t="s">
        <v>1157</v>
      </c>
      <c r="D600" s="177">
        <v>45993</v>
      </c>
      <c r="E600" s="178" t="s">
        <v>813</v>
      </c>
      <c r="F600" s="271" t="s">
        <v>814</v>
      </c>
      <c r="G600" s="178" t="s">
        <v>815</v>
      </c>
      <c r="H600" s="366">
        <v>570249</v>
      </c>
      <c r="I600" s="176">
        <v>10</v>
      </c>
      <c r="J600" s="366">
        <v>57025</v>
      </c>
      <c r="K600" s="178" t="s">
        <v>261</v>
      </c>
      <c r="L600" s="178" t="s">
        <v>252</v>
      </c>
      <c r="M600" s="271" t="s">
        <v>816</v>
      </c>
      <c r="N600" s="177">
        <v>46230</v>
      </c>
      <c r="O600" s="177">
        <v>46230</v>
      </c>
      <c r="P600" s="366">
        <v>627274</v>
      </c>
      <c r="Q600" s="176" t="s">
        <v>248</v>
      </c>
      <c r="R600" s="176" t="s">
        <v>434</v>
      </c>
      <c r="S600" s="178" t="s">
        <v>253</v>
      </c>
      <c r="T600" s="57" t="str">
        <f t="shared" si="30"/>
        <v>Đ</v>
      </c>
      <c r="U600" s="59">
        <f t="shared" si="31"/>
        <v>0</v>
      </c>
      <c r="V600" s="55">
        <f t="shared" si="32"/>
        <v>13311</v>
      </c>
    </row>
    <row r="601" spans="1:22" ht="21.5" customHeight="1">
      <c r="A601" s="176">
        <v>584</v>
      </c>
      <c r="B601" s="178" t="s">
        <v>811</v>
      </c>
      <c r="C601" s="271" t="s">
        <v>1158</v>
      </c>
      <c r="D601" s="177">
        <v>45993</v>
      </c>
      <c r="E601" s="178" t="s">
        <v>813</v>
      </c>
      <c r="F601" s="271" t="s">
        <v>814</v>
      </c>
      <c r="G601" s="178" t="s">
        <v>815</v>
      </c>
      <c r="H601" s="366">
        <v>2400000</v>
      </c>
      <c r="I601" s="176">
        <v>10</v>
      </c>
      <c r="J601" s="366">
        <v>240000</v>
      </c>
      <c r="K601" s="178" t="s">
        <v>261</v>
      </c>
      <c r="L601" s="178" t="s">
        <v>252</v>
      </c>
      <c r="M601" s="271" t="s">
        <v>816</v>
      </c>
      <c r="N601" s="177">
        <v>46230</v>
      </c>
      <c r="O601" s="177">
        <v>46230</v>
      </c>
      <c r="P601" s="366">
        <v>2640000</v>
      </c>
      <c r="Q601" s="176" t="s">
        <v>248</v>
      </c>
      <c r="R601" s="176" t="s">
        <v>434</v>
      </c>
      <c r="S601" s="178" t="s">
        <v>253</v>
      </c>
      <c r="T601" s="57" t="str">
        <f t="shared" si="30"/>
        <v>Đ</v>
      </c>
      <c r="U601" s="59">
        <f t="shared" si="31"/>
        <v>0</v>
      </c>
      <c r="V601" s="55">
        <f t="shared" si="32"/>
        <v>13311</v>
      </c>
    </row>
    <row r="602" spans="1:22" ht="21.5" customHeight="1">
      <c r="A602" s="176">
        <v>585</v>
      </c>
      <c r="B602" s="178" t="s">
        <v>811</v>
      </c>
      <c r="C602" s="271" t="s">
        <v>1159</v>
      </c>
      <c r="D602" s="177">
        <v>45993</v>
      </c>
      <c r="E602" s="178" t="s">
        <v>813</v>
      </c>
      <c r="F602" s="271" t="s">
        <v>814</v>
      </c>
      <c r="G602" s="178" t="s">
        <v>815</v>
      </c>
      <c r="H602" s="366">
        <v>60000</v>
      </c>
      <c r="I602" s="176">
        <v>10</v>
      </c>
      <c r="J602" s="366">
        <v>6000</v>
      </c>
      <c r="K602" s="178" t="s">
        <v>261</v>
      </c>
      <c r="L602" s="178" t="s">
        <v>252</v>
      </c>
      <c r="M602" s="271" t="s">
        <v>816</v>
      </c>
      <c r="N602" s="177">
        <v>46230</v>
      </c>
      <c r="O602" s="177">
        <v>46230</v>
      </c>
      <c r="P602" s="366">
        <v>66000</v>
      </c>
      <c r="Q602" s="176" t="s">
        <v>248</v>
      </c>
      <c r="R602" s="176" t="s">
        <v>434</v>
      </c>
      <c r="S602" s="178" t="s">
        <v>253</v>
      </c>
      <c r="T602" s="57" t="str">
        <f t="shared" si="30"/>
        <v>Đ</v>
      </c>
      <c r="U602" s="59">
        <f t="shared" si="31"/>
        <v>0</v>
      </c>
      <c r="V602" s="55">
        <f t="shared" si="32"/>
        <v>13311</v>
      </c>
    </row>
    <row r="603" spans="1:22" ht="21.5" customHeight="1">
      <c r="A603" s="176">
        <v>586</v>
      </c>
      <c r="B603" s="178" t="s">
        <v>811</v>
      </c>
      <c r="C603" s="271" t="s">
        <v>1160</v>
      </c>
      <c r="D603" s="177">
        <v>45993</v>
      </c>
      <c r="E603" s="178" t="s">
        <v>813</v>
      </c>
      <c r="F603" s="271" t="s">
        <v>814</v>
      </c>
      <c r="G603" s="178" t="s">
        <v>815</v>
      </c>
      <c r="H603" s="366">
        <v>67334</v>
      </c>
      <c r="I603" s="176">
        <v>10</v>
      </c>
      <c r="J603" s="366">
        <v>6733</v>
      </c>
      <c r="K603" s="178" t="s">
        <v>261</v>
      </c>
      <c r="L603" s="178" t="s">
        <v>252</v>
      </c>
      <c r="M603" s="271" t="s">
        <v>816</v>
      </c>
      <c r="N603" s="177">
        <v>46230</v>
      </c>
      <c r="O603" s="177">
        <v>46230</v>
      </c>
      <c r="P603" s="366">
        <v>74067</v>
      </c>
      <c r="Q603" s="176" t="s">
        <v>248</v>
      </c>
      <c r="R603" s="176" t="s">
        <v>434</v>
      </c>
      <c r="S603" s="178" t="s">
        <v>253</v>
      </c>
      <c r="T603" s="57" t="str">
        <f t="shared" si="30"/>
        <v>Đ</v>
      </c>
      <c r="U603" s="59">
        <f t="shared" si="31"/>
        <v>0</v>
      </c>
      <c r="V603" s="55">
        <f t="shared" si="32"/>
        <v>13311</v>
      </c>
    </row>
    <row r="604" spans="1:22" ht="21.5" customHeight="1">
      <c r="A604" s="176">
        <v>587</v>
      </c>
      <c r="B604" s="178" t="s">
        <v>811</v>
      </c>
      <c r="C604" s="271" t="s">
        <v>1161</v>
      </c>
      <c r="D604" s="177">
        <v>45993</v>
      </c>
      <c r="E604" s="178" t="s">
        <v>813</v>
      </c>
      <c r="F604" s="271" t="s">
        <v>814</v>
      </c>
      <c r="G604" s="178" t="s">
        <v>815</v>
      </c>
      <c r="H604" s="366">
        <v>345460</v>
      </c>
      <c r="I604" s="176">
        <v>10</v>
      </c>
      <c r="J604" s="366">
        <v>34546</v>
      </c>
      <c r="K604" s="178" t="s">
        <v>261</v>
      </c>
      <c r="L604" s="178" t="s">
        <v>252</v>
      </c>
      <c r="M604" s="271" t="s">
        <v>816</v>
      </c>
      <c r="N604" s="177">
        <v>46230</v>
      </c>
      <c r="O604" s="177">
        <v>46230</v>
      </c>
      <c r="P604" s="366">
        <v>380006</v>
      </c>
      <c r="Q604" s="176" t="s">
        <v>248</v>
      </c>
      <c r="R604" s="176" t="s">
        <v>434</v>
      </c>
      <c r="S604" s="178" t="s">
        <v>253</v>
      </c>
      <c r="T604" s="57" t="str">
        <f t="shared" si="30"/>
        <v>Đ</v>
      </c>
      <c r="U604" s="59">
        <f t="shared" si="31"/>
        <v>0</v>
      </c>
      <c r="V604" s="55">
        <f t="shared" si="32"/>
        <v>13311</v>
      </c>
    </row>
    <row r="605" spans="1:22" ht="21.5" customHeight="1">
      <c r="A605" s="176">
        <v>588</v>
      </c>
      <c r="B605" s="178" t="s">
        <v>811</v>
      </c>
      <c r="C605" s="271" t="s">
        <v>1162</v>
      </c>
      <c r="D605" s="177">
        <v>45993</v>
      </c>
      <c r="E605" s="178" t="s">
        <v>813</v>
      </c>
      <c r="F605" s="271" t="s">
        <v>814</v>
      </c>
      <c r="G605" s="178" t="s">
        <v>815</v>
      </c>
      <c r="H605" s="366">
        <v>81818</v>
      </c>
      <c r="I605" s="176">
        <v>10</v>
      </c>
      <c r="J605" s="366">
        <v>8182</v>
      </c>
      <c r="K605" s="178" t="s">
        <v>261</v>
      </c>
      <c r="L605" s="178" t="s">
        <v>252</v>
      </c>
      <c r="M605" s="271" t="s">
        <v>816</v>
      </c>
      <c r="N605" s="177">
        <v>46230</v>
      </c>
      <c r="O605" s="177">
        <v>46230</v>
      </c>
      <c r="P605" s="366">
        <v>90000</v>
      </c>
      <c r="Q605" s="176" t="s">
        <v>248</v>
      </c>
      <c r="R605" s="176" t="s">
        <v>434</v>
      </c>
      <c r="S605" s="178" t="s">
        <v>253</v>
      </c>
      <c r="T605" s="57" t="str">
        <f t="shared" si="30"/>
        <v>Đ</v>
      </c>
      <c r="U605" s="59">
        <f t="shared" si="31"/>
        <v>0</v>
      </c>
      <c r="V605" s="55">
        <f t="shared" si="32"/>
        <v>13311</v>
      </c>
    </row>
    <row r="606" spans="1:22" ht="21.5" customHeight="1">
      <c r="A606" s="176">
        <v>589</v>
      </c>
      <c r="B606" s="178" t="s">
        <v>811</v>
      </c>
      <c r="C606" s="271" t="s">
        <v>1163</v>
      </c>
      <c r="D606" s="177">
        <v>45993</v>
      </c>
      <c r="E606" s="178" t="s">
        <v>813</v>
      </c>
      <c r="F606" s="271" t="s">
        <v>814</v>
      </c>
      <c r="G606" s="178" t="s">
        <v>815</v>
      </c>
      <c r="H606" s="366">
        <v>81818</v>
      </c>
      <c r="I606" s="176">
        <v>10</v>
      </c>
      <c r="J606" s="366">
        <v>8182</v>
      </c>
      <c r="K606" s="178" t="s">
        <v>261</v>
      </c>
      <c r="L606" s="178" t="s">
        <v>252</v>
      </c>
      <c r="M606" s="271" t="s">
        <v>816</v>
      </c>
      <c r="N606" s="177">
        <v>46230</v>
      </c>
      <c r="O606" s="177">
        <v>46230</v>
      </c>
      <c r="P606" s="366">
        <v>90000</v>
      </c>
      <c r="Q606" s="176" t="s">
        <v>248</v>
      </c>
      <c r="R606" s="176" t="s">
        <v>434</v>
      </c>
      <c r="S606" s="178" t="s">
        <v>253</v>
      </c>
      <c r="T606" s="57" t="str">
        <f t="shared" si="30"/>
        <v>Đ</v>
      </c>
      <c r="U606" s="59">
        <f t="shared" si="31"/>
        <v>0</v>
      </c>
      <c r="V606" s="55">
        <f t="shared" si="32"/>
        <v>13311</v>
      </c>
    </row>
    <row r="607" spans="1:22" ht="21.5" customHeight="1">
      <c r="A607" s="176">
        <v>590</v>
      </c>
      <c r="B607" s="178" t="s">
        <v>811</v>
      </c>
      <c r="C607" s="271" t="s">
        <v>1164</v>
      </c>
      <c r="D607" s="177">
        <v>45993</v>
      </c>
      <c r="E607" s="178" t="s">
        <v>813</v>
      </c>
      <c r="F607" s="271" t="s">
        <v>814</v>
      </c>
      <c r="G607" s="178" t="s">
        <v>815</v>
      </c>
      <c r="H607" s="366">
        <v>274449</v>
      </c>
      <c r="I607" s="176">
        <v>10</v>
      </c>
      <c r="J607" s="366">
        <v>27445</v>
      </c>
      <c r="K607" s="178" t="s">
        <v>261</v>
      </c>
      <c r="L607" s="178" t="s">
        <v>252</v>
      </c>
      <c r="M607" s="271" t="s">
        <v>816</v>
      </c>
      <c r="N607" s="177">
        <v>46230</v>
      </c>
      <c r="O607" s="177">
        <v>46230</v>
      </c>
      <c r="P607" s="366">
        <v>301894</v>
      </c>
      <c r="Q607" s="176" t="s">
        <v>248</v>
      </c>
      <c r="R607" s="176" t="s">
        <v>434</v>
      </c>
      <c r="S607" s="178" t="s">
        <v>253</v>
      </c>
      <c r="T607" s="57" t="str">
        <f t="shared" si="30"/>
        <v>Đ</v>
      </c>
      <c r="U607" s="59">
        <f t="shared" si="31"/>
        <v>0</v>
      </c>
      <c r="V607" s="55">
        <f t="shared" si="32"/>
        <v>13311</v>
      </c>
    </row>
    <row r="608" spans="1:22" ht="21.5" customHeight="1">
      <c r="A608" s="176">
        <v>591</v>
      </c>
      <c r="B608" s="178" t="s">
        <v>811</v>
      </c>
      <c r="C608" s="271" t="s">
        <v>1165</v>
      </c>
      <c r="D608" s="177">
        <v>45993</v>
      </c>
      <c r="E608" s="178" t="s">
        <v>813</v>
      </c>
      <c r="F608" s="271" t="s">
        <v>814</v>
      </c>
      <c r="G608" s="178" t="s">
        <v>815</v>
      </c>
      <c r="H608" s="366">
        <v>81818</v>
      </c>
      <c r="I608" s="176">
        <v>10</v>
      </c>
      <c r="J608" s="366">
        <v>8182</v>
      </c>
      <c r="K608" s="178" t="s">
        <v>261</v>
      </c>
      <c r="L608" s="178" t="s">
        <v>252</v>
      </c>
      <c r="M608" s="271" t="s">
        <v>816</v>
      </c>
      <c r="N608" s="177">
        <v>46230</v>
      </c>
      <c r="O608" s="177">
        <v>46230</v>
      </c>
      <c r="P608" s="366">
        <v>90000</v>
      </c>
      <c r="Q608" s="176" t="s">
        <v>248</v>
      </c>
      <c r="R608" s="176" t="s">
        <v>434</v>
      </c>
      <c r="S608" s="178" t="s">
        <v>253</v>
      </c>
      <c r="T608" s="57" t="str">
        <f t="shared" si="30"/>
        <v>Đ</v>
      </c>
      <c r="U608" s="59">
        <f t="shared" si="31"/>
        <v>0</v>
      </c>
      <c r="V608" s="55">
        <f t="shared" si="32"/>
        <v>13311</v>
      </c>
    </row>
    <row r="609" spans="1:22" ht="21.5" customHeight="1">
      <c r="A609" s="176">
        <v>592</v>
      </c>
      <c r="B609" s="178" t="s">
        <v>811</v>
      </c>
      <c r="C609" s="271" t="s">
        <v>1166</v>
      </c>
      <c r="D609" s="177">
        <v>45993</v>
      </c>
      <c r="E609" s="178" t="s">
        <v>813</v>
      </c>
      <c r="F609" s="271" t="s">
        <v>814</v>
      </c>
      <c r="G609" s="178" t="s">
        <v>815</v>
      </c>
      <c r="H609" s="366">
        <v>327273</v>
      </c>
      <c r="I609" s="176">
        <v>10</v>
      </c>
      <c r="J609" s="366">
        <v>32727</v>
      </c>
      <c r="K609" s="178" t="s">
        <v>261</v>
      </c>
      <c r="L609" s="178" t="s">
        <v>252</v>
      </c>
      <c r="M609" s="271" t="s">
        <v>816</v>
      </c>
      <c r="N609" s="177">
        <v>46230</v>
      </c>
      <c r="O609" s="177">
        <v>46230</v>
      </c>
      <c r="P609" s="366">
        <v>360000</v>
      </c>
      <c r="Q609" s="176" t="s">
        <v>248</v>
      </c>
      <c r="R609" s="176" t="s">
        <v>434</v>
      </c>
      <c r="S609" s="178" t="s">
        <v>253</v>
      </c>
      <c r="T609" s="57" t="str">
        <f t="shared" si="30"/>
        <v>Đ</v>
      </c>
      <c r="U609" s="59">
        <f t="shared" si="31"/>
        <v>0</v>
      </c>
      <c r="V609" s="55">
        <f t="shared" si="32"/>
        <v>13311</v>
      </c>
    </row>
    <row r="610" spans="1:22" ht="21.5" customHeight="1">
      <c r="A610" s="176">
        <v>593</v>
      </c>
      <c r="B610" s="178" t="s">
        <v>811</v>
      </c>
      <c r="C610" s="271" t="s">
        <v>1167</v>
      </c>
      <c r="D610" s="177">
        <v>45993</v>
      </c>
      <c r="E610" s="178" t="s">
        <v>813</v>
      </c>
      <c r="F610" s="271" t="s">
        <v>814</v>
      </c>
      <c r="G610" s="178" t="s">
        <v>815</v>
      </c>
      <c r="H610" s="366">
        <v>1438636</v>
      </c>
      <c r="I610" s="176">
        <v>10</v>
      </c>
      <c r="J610" s="366">
        <v>143864</v>
      </c>
      <c r="K610" s="178" t="s">
        <v>261</v>
      </c>
      <c r="L610" s="178" t="s">
        <v>252</v>
      </c>
      <c r="M610" s="271" t="s">
        <v>816</v>
      </c>
      <c r="N610" s="177">
        <v>46230</v>
      </c>
      <c r="O610" s="177">
        <v>46230</v>
      </c>
      <c r="P610" s="366">
        <v>1582500</v>
      </c>
      <c r="Q610" s="176" t="s">
        <v>248</v>
      </c>
      <c r="R610" s="176" t="s">
        <v>434</v>
      </c>
      <c r="S610" s="178" t="s">
        <v>253</v>
      </c>
      <c r="T610" s="57" t="str">
        <f t="shared" si="30"/>
        <v>Đ</v>
      </c>
      <c r="U610" s="59">
        <f t="shared" si="31"/>
        <v>0</v>
      </c>
      <c r="V610" s="55">
        <f t="shared" si="32"/>
        <v>13311</v>
      </c>
    </row>
    <row r="611" spans="1:22" ht="21.5" customHeight="1">
      <c r="A611" s="176">
        <v>594</v>
      </c>
      <c r="B611" s="178" t="s">
        <v>811</v>
      </c>
      <c r="C611" s="271" t="s">
        <v>1168</v>
      </c>
      <c r="D611" s="177">
        <v>45993</v>
      </c>
      <c r="E611" s="178" t="s">
        <v>813</v>
      </c>
      <c r="F611" s="271" t="s">
        <v>814</v>
      </c>
      <c r="G611" s="178" t="s">
        <v>815</v>
      </c>
      <c r="H611" s="366">
        <v>541812</v>
      </c>
      <c r="I611" s="176">
        <v>10</v>
      </c>
      <c r="J611" s="366">
        <v>54181</v>
      </c>
      <c r="K611" s="178" t="s">
        <v>261</v>
      </c>
      <c r="L611" s="178" t="s">
        <v>252</v>
      </c>
      <c r="M611" s="271" t="s">
        <v>816</v>
      </c>
      <c r="N611" s="177">
        <v>46230</v>
      </c>
      <c r="O611" s="177">
        <v>46230</v>
      </c>
      <c r="P611" s="366">
        <v>595993</v>
      </c>
      <c r="Q611" s="176" t="s">
        <v>248</v>
      </c>
      <c r="R611" s="176" t="s">
        <v>434</v>
      </c>
      <c r="S611" s="178" t="s">
        <v>253</v>
      </c>
      <c r="T611" s="57" t="str">
        <f t="shared" si="30"/>
        <v>Đ</v>
      </c>
      <c r="U611" s="59">
        <f t="shared" si="31"/>
        <v>0</v>
      </c>
      <c r="V611" s="55">
        <f t="shared" si="32"/>
        <v>13311</v>
      </c>
    </row>
    <row r="612" spans="1:22" ht="21.5" customHeight="1">
      <c r="A612" s="176">
        <v>595</v>
      </c>
      <c r="B612" s="178" t="s">
        <v>811</v>
      </c>
      <c r="C612" s="271" t="s">
        <v>1169</v>
      </c>
      <c r="D612" s="177">
        <v>45993</v>
      </c>
      <c r="E612" s="178" t="s">
        <v>813</v>
      </c>
      <c r="F612" s="271" t="s">
        <v>814</v>
      </c>
      <c r="G612" s="178" t="s">
        <v>815</v>
      </c>
      <c r="H612" s="366">
        <v>973486</v>
      </c>
      <c r="I612" s="176">
        <v>10</v>
      </c>
      <c r="J612" s="366">
        <v>97349</v>
      </c>
      <c r="K612" s="178" t="s">
        <v>261</v>
      </c>
      <c r="L612" s="178" t="s">
        <v>252</v>
      </c>
      <c r="M612" s="271" t="s">
        <v>816</v>
      </c>
      <c r="N612" s="177">
        <v>46230</v>
      </c>
      <c r="O612" s="177">
        <v>46230</v>
      </c>
      <c r="P612" s="366">
        <v>1070835</v>
      </c>
      <c r="Q612" s="176" t="s">
        <v>248</v>
      </c>
      <c r="R612" s="176" t="s">
        <v>434</v>
      </c>
      <c r="S612" s="178" t="s">
        <v>253</v>
      </c>
      <c r="T612" s="57" t="str">
        <f t="shared" si="30"/>
        <v>Đ</v>
      </c>
      <c r="U612" s="59">
        <f t="shared" si="31"/>
        <v>0</v>
      </c>
      <c r="V612" s="55">
        <f t="shared" si="32"/>
        <v>13311</v>
      </c>
    </row>
    <row r="613" spans="1:22" ht="21.5" customHeight="1">
      <c r="A613" s="176">
        <v>596</v>
      </c>
      <c r="B613" s="178" t="s">
        <v>811</v>
      </c>
      <c r="C613" s="271" t="s">
        <v>1170</v>
      </c>
      <c r="D613" s="177">
        <v>45993</v>
      </c>
      <c r="E613" s="178" t="s">
        <v>813</v>
      </c>
      <c r="F613" s="271" t="s">
        <v>814</v>
      </c>
      <c r="G613" s="178" t="s">
        <v>815</v>
      </c>
      <c r="H613" s="366">
        <v>20000</v>
      </c>
      <c r="I613" s="176">
        <v>10</v>
      </c>
      <c r="J613" s="366">
        <v>2000</v>
      </c>
      <c r="K613" s="178" t="s">
        <v>261</v>
      </c>
      <c r="L613" s="178" t="s">
        <v>252</v>
      </c>
      <c r="M613" s="271" t="s">
        <v>816</v>
      </c>
      <c r="N613" s="177">
        <v>46230</v>
      </c>
      <c r="O613" s="177">
        <v>46230</v>
      </c>
      <c r="P613" s="366">
        <v>22000</v>
      </c>
      <c r="Q613" s="176" t="s">
        <v>248</v>
      </c>
      <c r="R613" s="176" t="s">
        <v>434</v>
      </c>
      <c r="S613" s="178" t="s">
        <v>253</v>
      </c>
      <c r="T613" s="57" t="str">
        <f t="shared" si="30"/>
        <v>Đ</v>
      </c>
      <c r="U613" s="59">
        <f t="shared" si="31"/>
        <v>0</v>
      </c>
      <c r="V613" s="55">
        <f t="shared" si="32"/>
        <v>13311</v>
      </c>
    </row>
    <row r="614" spans="1:22" ht="21.5" customHeight="1">
      <c r="A614" s="176">
        <v>597</v>
      </c>
      <c r="B614" s="178" t="s">
        <v>811</v>
      </c>
      <c r="C614" s="271" t="s">
        <v>1171</v>
      </c>
      <c r="D614" s="177">
        <v>45993</v>
      </c>
      <c r="E614" s="178" t="s">
        <v>813</v>
      </c>
      <c r="F614" s="271" t="s">
        <v>814</v>
      </c>
      <c r="G614" s="178" t="s">
        <v>815</v>
      </c>
      <c r="H614" s="366">
        <v>92818</v>
      </c>
      <c r="I614" s="176">
        <v>10</v>
      </c>
      <c r="J614" s="366">
        <v>9282</v>
      </c>
      <c r="K614" s="178" t="s">
        <v>261</v>
      </c>
      <c r="L614" s="178" t="s">
        <v>252</v>
      </c>
      <c r="M614" s="271" t="s">
        <v>816</v>
      </c>
      <c r="N614" s="177">
        <v>46230</v>
      </c>
      <c r="O614" s="177">
        <v>46230</v>
      </c>
      <c r="P614" s="366">
        <v>102100</v>
      </c>
      <c r="Q614" s="176" t="s">
        <v>248</v>
      </c>
      <c r="R614" s="176" t="s">
        <v>434</v>
      </c>
      <c r="S614" s="178" t="s">
        <v>253</v>
      </c>
      <c r="T614" s="57" t="str">
        <f t="shared" si="30"/>
        <v>Đ</v>
      </c>
      <c r="U614" s="59">
        <f t="shared" si="31"/>
        <v>0</v>
      </c>
      <c r="V614" s="55">
        <f t="shared" si="32"/>
        <v>13311</v>
      </c>
    </row>
    <row r="615" spans="1:22" ht="21.5" customHeight="1">
      <c r="A615" s="176">
        <v>598</v>
      </c>
      <c r="B615" s="178" t="s">
        <v>811</v>
      </c>
      <c r="C615" s="271" t="s">
        <v>1172</v>
      </c>
      <c r="D615" s="177">
        <v>45993</v>
      </c>
      <c r="E615" s="178" t="s">
        <v>813</v>
      </c>
      <c r="F615" s="271" t="s">
        <v>814</v>
      </c>
      <c r="G615" s="178" t="s">
        <v>815</v>
      </c>
      <c r="H615" s="366">
        <v>1294864</v>
      </c>
      <c r="I615" s="176">
        <v>10</v>
      </c>
      <c r="J615" s="366">
        <v>129486</v>
      </c>
      <c r="K615" s="178" t="s">
        <v>261</v>
      </c>
      <c r="L615" s="178" t="s">
        <v>252</v>
      </c>
      <c r="M615" s="271" t="s">
        <v>816</v>
      </c>
      <c r="N615" s="177">
        <v>46230</v>
      </c>
      <c r="O615" s="177">
        <v>46230</v>
      </c>
      <c r="P615" s="366">
        <v>1424350</v>
      </c>
      <c r="Q615" s="176" t="s">
        <v>248</v>
      </c>
      <c r="R615" s="176" t="s">
        <v>434</v>
      </c>
      <c r="S615" s="178" t="s">
        <v>253</v>
      </c>
      <c r="T615" s="57" t="str">
        <f t="shared" si="30"/>
        <v>Đ</v>
      </c>
      <c r="U615" s="59">
        <f t="shared" si="31"/>
        <v>0</v>
      </c>
      <c r="V615" s="55">
        <f t="shared" si="32"/>
        <v>13311</v>
      </c>
    </row>
    <row r="616" spans="1:22" ht="21.5" customHeight="1">
      <c r="A616" s="176">
        <v>599</v>
      </c>
      <c r="B616" s="178" t="s">
        <v>811</v>
      </c>
      <c r="C616" s="271" t="s">
        <v>1173</v>
      </c>
      <c r="D616" s="177">
        <v>45993</v>
      </c>
      <c r="E616" s="178" t="s">
        <v>813</v>
      </c>
      <c r="F616" s="271" t="s">
        <v>814</v>
      </c>
      <c r="G616" s="178" t="s">
        <v>815</v>
      </c>
      <c r="H616" s="366">
        <v>20000</v>
      </c>
      <c r="I616" s="176">
        <v>10</v>
      </c>
      <c r="J616" s="366">
        <v>2000</v>
      </c>
      <c r="K616" s="178" t="s">
        <v>261</v>
      </c>
      <c r="L616" s="178" t="s">
        <v>252</v>
      </c>
      <c r="M616" s="271" t="s">
        <v>816</v>
      </c>
      <c r="N616" s="177">
        <v>46230</v>
      </c>
      <c r="O616" s="177">
        <v>46230</v>
      </c>
      <c r="P616" s="366">
        <v>22000</v>
      </c>
      <c r="Q616" s="176" t="s">
        <v>248</v>
      </c>
      <c r="R616" s="176" t="s">
        <v>434</v>
      </c>
      <c r="S616" s="178" t="s">
        <v>253</v>
      </c>
      <c r="T616" s="57" t="str">
        <f t="shared" si="30"/>
        <v>Đ</v>
      </c>
      <c r="U616" s="59">
        <f t="shared" si="31"/>
        <v>0</v>
      </c>
      <c r="V616" s="55">
        <f t="shared" si="32"/>
        <v>13311</v>
      </c>
    </row>
    <row r="617" spans="1:22" ht="21.5" customHeight="1">
      <c r="A617" s="176">
        <v>600</v>
      </c>
      <c r="B617" s="178" t="s">
        <v>811</v>
      </c>
      <c r="C617" s="271" t="s">
        <v>1174</v>
      </c>
      <c r="D617" s="177">
        <v>45993</v>
      </c>
      <c r="E617" s="178" t="s">
        <v>813</v>
      </c>
      <c r="F617" s="271" t="s">
        <v>814</v>
      </c>
      <c r="G617" s="178" t="s">
        <v>815</v>
      </c>
      <c r="H617" s="366">
        <v>636364</v>
      </c>
      <c r="I617" s="176">
        <v>10</v>
      </c>
      <c r="J617" s="366">
        <v>63636</v>
      </c>
      <c r="K617" s="178" t="s">
        <v>261</v>
      </c>
      <c r="L617" s="178" t="s">
        <v>252</v>
      </c>
      <c r="M617" s="271" t="s">
        <v>816</v>
      </c>
      <c r="N617" s="177">
        <v>46230</v>
      </c>
      <c r="O617" s="177">
        <v>46230</v>
      </c>
      <c r="P617" s="366">
        <v>700000</v>
      </c>
      <c r="Q617" s="176" t="s">
        <v>248</v>
      </c>
      <c r="R617" s="176" t="s">
        <v>434</v>
      </c>
      <c r="S617" s="178" t="s">
        <v>253</v>
      </c>
      <c r="T617" s="57" t="str">
        <f t="shared" si="30"/>
        <v>Đ</v>
      </c>
      <c r="U617" s="59">
        <f t="shared" si="31"/>
        <v>0</v>
      </c>
      <c r="V617" s="55">
        <f t="shared" si="32"/>
        <v>13311</v>
      </c>
    </row>
    <row r="618" spans="1:22" ht="21.5" customHeight="1">
      <c r="A618" s="176">
        <v>601</v>
      </c>
      <c r="B618" s="178" t="s">
        <v>811</v>
      </c>
      <c r="C618" s="271" t="s">
        <v>1175</v>
      </c>
      <c r="D618" s="177">
        <v>45993</v>
      </c>
      <c r="E618" s="178" t="s">
        <v>813</v>
      </c>
      <c r="F618" s="271" t="s">
        <v>814</v>
      </c>
      <c r="G618" s="178" t="s">
        <v>815</v>
      </c>
      <c r="H618" s="366">
        <v>20000</v>
      </c>
      <c r="I618" s="176">
        <v>10</v>
      </c>
      <c r="J618" s="366">
        <v>2000</v>
      </c>
      <c r="K618" s="178" t="s">
        <v>261</v>
      </c>
      <c r="L618" s="178" t="s">
        <v>252</v>
      </c>
      <c r="M618" s="271" t="s">
        <v>816</v>
      </c>
      <c r="N618" s="177">
        <v>46230</v>
      </c>
      <c r="O618" s="177">
        <v>46230</v>
      </c>
      <c r="P618" s="366">
        <v>22000</v>
      </c>
      <c r="Q618" s="176" t="s">
        <v>248</v>
      </c>
      <c r="R618" s="176" t="s">
        <v>434</v>
      </c>
      <c r="S618" s="178" t="s">
        <v>253</v>
      </c>
      <c r="T618" s="57" t="str">
        <f t="shared" si="30"/>
        <v>Đ</v>
      </c>
      <c r="U618" s="59">
        <f t="shared" si="31"/>
        <v>0</v>
      </c>
      <c r="V618" s="55">
        <f t="shared" si="32"/>
        <v>13311</v>
      </c>
    </row>
    <row r="619" spans="1:22" ht="21.5" customHeight="1">
      <c r="A619" s="176">
        <v>602</v>
      </c>
      <c r="B619" s="178" t="s">
        <v>811</v>
      </c>
      <c r="C619" s="271" t="s">
        <v>1176</v>
      </c>
      <c r="D619" s="177">
        <v>45993</v>
      </c>
      <c r="E619" s="178" t="s">
        <v>813</v>
      </c>
      <c r="F619" s="271" t="s">
        <v>814</v>
      </c>
      <c r="G619" s="178" t="s">
        <v>815</v>
      </c>
      <c r="H619" s="366">
        <v>342273</v>
      </c>
      <c r="I619" s="176">
        <v>10</v>
      </c>
      <c r="J619" s="366">
        <v>34227</v>
      </c>
      <c r="K619" s="178" t="s">
        <v>261</v>
      </c>
      <c r="L619" s="178" t="s">
        <v>252</v>
      </c>
      <c r="M619" s="271" t="s">
        <v>816</v>
      </c>
      <c r="N619" s="177">
        <v>46230</v>
      </c>
      <c r="O619" s="177">
        <v>46230</v>
      </c>
      <c r="P619" s="366">
        <v>376500</v>
      </c>
      <c r="Q619" s="176" t="s">
        <v>248</v>
      </c>
      <c r="R619" s="176" t="s">
        <v>434</v>
      </c>
      <c r="S619" s="178" t="s">
        <v>253</v>
      </c>
      <c r="T619" s="57" t="str">
        <f t="shared" si="30"/>
        <v>Đ</v>
      </c>
      <c r="U619" s="59">
        <f t="shared" si="31"/>
        <v>0</v>
      </c>
      <c r="V619" s="55">
        <f t="shared" si="32"/>
        <v>13311</v>
      </c>
    </row>
    <row r="620" spans="1:22" ht="21.5" customHeight="1">
      <c r="A620" s="176">
        <v>603</v>
      </c>
      <c r="B620" s="178" t="s">
        <v>811</v>
      </c>
      <c r="C620" s="271" t="s">
        <v>1177</v>
      </c>
      <c r="D620" s="177">
        <v>45993</v>
      </c>
      <c r="E620" s="178" t="s">
        <v>813</v>
      </c>
      <c r="F620" s="271" t="s">
        <v>814</v>
      </c>
      <c r="G620" s="178" t="s">
        <v>815</v>
      </c>
      <c r="H620" s="366">
        <v>60000</v>
      </c>
      <c r="I620" s="176">
        <v>10</v>
      </c>
      <c r="J620" s="366">
        <v>6000</v>
      </c>
      <c r="K620" s="178" t="s">
        <v>261</v>
      </c>
      <c r="L620" s="178" t="s">
        <v>252</v>
      </c>
      <c r="M620" s="271" t="s">
        <v>816</v>
      </c>
      <c r="N620" s="177">
        <v>46230</v>
      </c>
      <c r="O620" s="177">
        <v>46230</v>
      </c>
      <c r="P620" s="366">
        <v>66000</v>
      </c>
      <c r="Q620" s="176" t="s">
        <v>248</v>
      </c>
      <c r="R620" s="176" t="s">
        <v>434</v>
      </c>
      <c r="S620" s="178" t="s">
        <v>253</v>
      </c>
      <c r="T620" s="57" t="str">
        <f t="shared" si="30"/>
        <v>Đ</v>
      </c>
      <c r="U620" s="59">
        <f t="shared" si="31"/>
        <v>0</v>
      </c>
      <c r="V620" s="55">
        <f t="shared" si="32"/>
        <v>13311</v>
      </c>
    </row>
    <row r="621" spans="1:22" ht="21.5" customHeight="1">
      <c r="A621" s="176">
        <v>604</v>
      </c>
      <c r="B621" s="178" t="s">
        <v>811</v>
      </c>
      <c r="C621" s="271" t="s">
        <v>1178</v>
      </c>
      <c r="D621" s="177">
        <v>45993</v>
      </c>
      <c r="E621" s="178" t="s">
        <v>813</v>
      </c>
      <c r="F621" s="271" t="s">
        <v>814</v>
      </c>
      <c r="G621" s="178" t="s">
        <v>815</v>
      </c>
      <c r="H621" s="366">
        <v>286364</v>
      </c>
      <c r="I621" s="176">
        <v>10</v>
      </c>
      <c r="J621" s="366">
        <v>28636</v>
      </c>
      <c r="K621" s="178" t="s">
        <v>261</v>
      </c>
      <c r="L621" s="178" t="s">
        <v>252</v>
      </c>
      <c r="M621" s="271" t="s">
        <v>816</v>
      </c>
      <c r="N621" s="177">
        <v>46230</v>
      </c>
      <c r="O621" s="177">
        <v>46230</v>
      </c>
      <c r="P621" s="366">
        <v>315000</v>
      </c>
      <c r="Q621" s="176" t="s">
        <v>248</v>
      </c>
      <c r="R621" s="176" t="s">
        <v>434</v>
      </c>
      <c r="S621" s="178" t="s">
        <v>253</v>
      </c>
      <c r="T621" s="57" t="str">
        <f t="shared" si="30"/>
        <v>Đ</v>
      </c>
      <c r="U621" s="59">
        <f t="shared" si="31"/>
        <v>0</v>
      </c>
      <c r="V621" s="55">
        <f t="shared" si="32"/>
        <v>13311</v>
      </c>
    </row>
    <row r="622" spans="1:22" ht="21.5" customHeight="1">
      <c r="A622" s="176">
        <v>605</v>
      </c>
      <c r="B622" s="178" t="s">
        <v>811</v>
      </c>
      <c r="C622" s="271" t="s">
        <v>1179</v>
      </c>
      <c r="D622" s="177">
        <v>45993</v>
      </c>
      <c r="E622" s="178" t="s">
        <v>813</v>
      </c>
      <c r="F622" s="271" t="s">
        <v>814</v>
      </c>
      <c r="G622" s="178" t="s">
        <v>815</v>
      </c>
      <c r="H622" s="366">
        <v>37630</v>
      </c>
      <c r="I622" s="176">
        <v>10</v>
      </c>
      <c r="J622" s="366">
        <v>3763</v>
      </c>
      <c r="K622" s="178" t="s">
        <v>261</v>
      </c>
      <c r="L622" s="178" t="s">
        <v>252</v>
      </c>
      <c r="M622" s="271" t="s">
        <v>816</v>
      </c>
      <c r="N622" s="177">
        <v>46230</v>
      </c>
      <c r="O622" s="177">
        <v>46230</v>
      </c>
      <c r="P622" s="366">
        <v>41393</v>
      </c>
      <c r="Q622" s="176" t="s">
        <v>248</v>
      </c>
      <c r="R622" s="176" t="s">
        <v>434</v>
      </c>
      <c r="S622" s="178" t="s">
        <v>253</v>
      </c>
      <c r="T622" s="57" t="str">
        <f t="shared" si="30"/>
        <v>Đ</v>
      </c>
      <c r="U622" s="59">
        <f t="shared" si="31"/>
        <v>0</v>
      </c>
      <c r="V622" s="55">
        <f t="shared" si="32"/>
        <v>13311</v>
      </c>
    </row>
    <row r="623" spans="1:22" ht="21.5" customHeight="1">
      <c r="A623" s="176">
        <v>606</v>
      </c>
      <c r="B623" s="178" t="s">
        <v>811</v>
      </c>
      <c r="C623" s="271" t="s">
        <v>1180</v>
      </c>
      <c r="D623" s="177">
        <v>45993</v>
      </c>
      <c r="E623" s="178" t="s">
        <v>813</v>
      </c>
      <c r="F623" s="271" t="s">
        <v>814</v>
      </c>
      <c r="G623" s="178" t="s">
        <v>815</v>
      </c>
      <c r="H623" s="366">
        <v>20000</v>
      </c>
      <c r="I623" s="176">
        <v>10</v>
      </c>
      <c r="J623" s="366">
        <v>2000</v>
      </c>
      <c r="K623" s="178" t="s">
        <v>261</v>
      </c>
      <c r="L623" s="178" t="s">
        <v>252</v>
      </c>
      <c r="M623" s="271" t="s">
        <v>816</v>
      </c>
      <c r="N623" s="177">
        <v>46230</v>
      </c>
      <c r="O623" s="177">
        <v>46230</v>
      </c>
      <c r="P623" s="366">
        <v>22000</v>
      </c>
      <c r="Q623" s="176" t="s">
        <v>248</v>
      </c>
      <c r="R623" s="176" t="s">
        <v>434</v>
      </c>
      <c r="S623" s="178" t="s">
        <v>253</v>
      </c>
      <c r="T623" s="57" t="str">
        <f t="shared" si="30"/>
        <v>Đ</v>
      </c>
      <c r="U623" s="59">
        <f t="shared" si="31"/>
        <v>0</v>
      </c>
      <c r="V623" s="55">
        <f t="shared" si="32"/>
        <v>13311</v>
      </c>
    </row>
    <row r="624" spans="1:22" ht="21.5" customHeight="1">
      <c r="A624" s="176">
        <v>607</v>
      </c>
      <c r="B624" s="178" t="s">
        <v>811</v>
      </c>
      <c r="C624" s="271" t="s">
        <v>1181</v>
      </c>
      <c r="D624" s="177">
        <v>45993</v>
      </c>
      <c r="E624" s="178" t="s">
        <v>813</v>
      </c>
      <c r="F624" s="271" t="s">
        <v>814</v>
      </c>
      <c r="G624" s="178" t="s">
        <v>815</v>
      </c>
      <c r="H624" s="366">
        <v>370227</v>
      </c>
      <c r="I624" s="176">
        <v>10</v>
      </c>
      <c r="J624" s="366">
        <v>37023</v>
      </c>
      <c r="K624" s="178" t="s">
        <v>261</v>
      </c>
      <c r="L624" s="178" t="s">
        <v>252</v>
      </c>
      <c r="M624" s="271" t="s">
        <v>816</v>
      </c>
      <c r="N624" s="177">
        <v>46230</v>
      </c>
      <c r="O624" s="177">
        <v>46230</v>
      </c>
      <c r="P624" s="366">
        <v>407250</v>
      </c>
      <c r="Q624" s="176" t="s">
        <v>248</v>
      </c>
      <c r="R624" s="176" t="s">
        <v>434</v>
      </c>
      <c r="S624" s="178" t="s">
        <v>253</v>
      </c>
      <c r="T624" s="57" t="str">
        <f t="shared" si="30"/>
        <v>Đ</v>
      </c>
      <c r="U624" s="59">
        <f t="shared" si="31"/>
        <v>0</v>
      </c>
      <c r="V624" s="55">
        <f t="shared" si="32"/>
        <v>13311</v>
      </c>
    </row>
    <row r="625" spans="1:22" ht="21.5" customHeight="1">
      <c r="A625" s="176">
        <v>608</v>
      </c>
      <c r="B625" s="178" t="s">
        <v>811</v>
      </c>
      <c r="C625" s="271" t="s">
        <v>1182</v>
      </c>
      <c r="D625" s="177">
        <v>45993</v>
      </c>
      <c r="E625" s="178" t="s">
        <v>813</v>
      </c>
      <c r="F625" s="271" t="s">
        <v>814</v>
      </c>
      <c r="G625" s="178" t="s">
        <v>815</v>
      </c>
      <c r="H625" s="366">
        <v>20000</v>
      </c>
      <c r="I625" s="176">
        <v>10</v>
      </c>
      <c r="J625" s="366">
        <v>2000</v>
      </c>
      <c r="K625" s="178" t="s">
        <v>261</v>
      </c>
      <c r="L625" s="178" t="s">
        <v>252</v>
      </c>
      <c r="M625" s="271" t="s">
        <v>816</v>
      </c>
      <c r="N625" s="177">
        <v>46230</v>
      </c>
      <c r="O625" s="177">
        <v>46230</v>
      </c>
      <c r="P625" s="366">
        <v>22000</v>
      </c>
      <c r="Q625" s="176" t="s">
        <v>248</v>
      </c>
      <c r="R625" s="176" t="s">
        <v>434</v>
      </c>
      <c r="S625" s="178" t="s">
        <v>253</v>
      </c>
      <c r="T625" s="57" t="str">
        <f t="shared" si="30"/>
        <v>Đ</v>
      </c>
      <c r="U625" s="59">
        <f t="shared" si="31"/>
        <v>0</v>
      </c>
      <c r="V625" s="55">
        <f t="shared" si="32"/>
        <v>13311</v>
      </c>
    </row>
    <row r="626" spans="1:22" ht="21.5" customHeight="1">
      <c r="A626" s="176">
        <v>609</v>
      </c>
      <c r="B626" s="178" t="s">
        <v>811</v>
      </c>
      <c r="C626" s="271" t="s">
        <v>1183</v>
      </c>
      <c r="D626" s="177">
        <v>45993</v>
      </c>
      <c r="E626" s="178" t="s">
        <v>813</v>
      </c>
      <c r="F626" s="271" t="s">
        <v>814</v>
      </c>
      <c r="G626" s="178" t="s">
        <v>815</v>
      </c>
      <c r="H626" s="366">
        <v>27273</v>
      </c>
      <c r="I626" s="176">
        <v>10</v>
      </c>
      <c r="J626" s="366">
        <v>2727</v>
      </c>
      <c r="K626" s="178" t="s">
        <v>261</v>
      </c>
      <c r="L626" s="178" t="s">
        <v>252</v>
      </c>
      <c r="M626" s="271" t="s">
        <v>816</v>
      </c>
      <c r="N626" s="177">
        <v>46230</v>
      </c>
      <c r="O626" s="177">
        <v>46230</v>
      </c>
      <c r="P626" s="366">
        <v>30000</v>
      </c>
      <c r="Q626" s="176" t="s">
        <v>248</v>
      </c>
      <c r="R626" s="176" t="s">
        <v>434</v>
      </c>
      <c r="S626" s="178" t="s">
        <v>253</v>
      </c>
      <c r="T626" s="57" t="str">
        <f t="shared" si="30"/>
        <v>Đ</v>
      </c>
      <c r="U626" s="59">
        <f t="shared" si="31"/>
        <v>0</v>
      </c>
      <c r="V626" s="55">
        <f t="shared" si="32"/>
        <v>13311</v>
      </c>
    </row>
    <row r="627" spans="1:22" ht="21.5" customHeight="1">
      <c r="A627" s="176">
        <v>610</v>
      </c>
      <c r="B627" s="178" t="s">
        <v>811</v>
      </c>
      <c r="C627" s="271" t="s">
        <v>1184</v>
      </c>
      <c r="D627" s="177">
        <v>45993</v>
      </c>
      <c r="E627" s="178" t="s">
        <v>813</v>
      </c>
      <c r="F627" s="271" t="s">
        <v>814</v>
      </c>
      <c r="G627" s="178" t="s">
        <v>815</v>
      </c>
      <c r="H627" s="366">
        <v>20000</v>
      </c>
      <c r="I627" s="176">
        <v>10</v>
      </c>
      <c r="J627" s="366">
        <v>2000</v>
      </c>
      <c r="K627" s="178" t="s">
        <v>261</v>
      </c>
      <c r="L627" s="178" t="s">
        <v>252</v>
      </c>
      <c r="M627" s="271" t="s">
        <v>816</v>
      </c>
      <c r="N627" s="177">
        <v>46230</v>
      </c>
      <c r="O627" s="177">
        <v>46230</v>
      </c>
      <c r="P627" s="366">
        <v>22000</v>
      </c>
      <c r="Q627" s="176" t="s">
        <v>248</v>
      </c>
      <c r="R627" s="176" t="s">
        <v>434</v>
      </c>
      <c r="S627" s="178" t="s">
        <v>253</v>
      </c>
      <c r="T627" s="57" t="str">
        <f t="shared" si="30"/>
        <v>Đ</v>
      </c>
      <c r="U627" s="59">
        <f t="shared" si="31"/>
        <v>0</v>
      </c>
      <c r="V627" s="55">
        <f t="shared" si="32"/>
        <v>13311</v>
      </c>
    </row>
    <row r="628" spans="1:22" ht="21.5" customHeight="1">
      <c r="A628" s="176">
        <v>611</v>
      </c>
      <c r="B628" s="178" t="s">
        <v>811</v>
      </c>
      <c r="C628" s="271" t="s">
        <v>1185</v>
      </c>
      <c r="D628" s="177">
        <v>45993</v>
      </c>
      <c r="E628" s="178" t="s">
        <v>813</v>
      </c>
      <c r="F628" s="271" t="s">
        <v>814</v>
      </c>
      <c r="G628" s="178" t="s">
        <v>815</v>
      </c>
      <c r="H628" s="366">
        <v>23975</v>
      </c>
      <c r="I628" s="176">
        <v>10</v>
      </c>
      <c r="J628" s="366">
        <v>2398</v>
      </c>
      <c r="K628" s="178" t="s">
        <v>261</v>
      </c>
      <c r="L628" s="178" t="s">
        <v>252</v>
      </c>
      <c r="M628" s="271" t="s">
        <v>816</v>
      </c>
      <c r="N628" s="177">
        <v>46230</v>
      </c>
      <c r="O628" s="177">
        <v>46230</v>
      </c>
      <c r="P628" s="366">
        <v>26373</v>
      </c>
      <c r="Q628" s="176" t="s">
        <v>248</v>
      </c>
      <c r="R628" s="176" t="s">
        <v>434</v>
      </c>
      <c r="S628" s="178" t="s">
        <v>253</v>
      </c>
      <c r="T628" s="57" t="str">
        <f t="shared" si="30"/>
        <v>Đ</v>
      </c>
      <c r="U628" s="59">
        <f t="shared" si="31"/>
        <v>0</v>
      </c>
      <c r="V628" s="55">
        <f t="shared" si="32"/>
        <v>13311</v>
      </c>
    </row>
    <row r="629" spans="1:22" ht="21.5" customHeight="1">
      <c r="A629" s="176">
        <v>612</v>
      </c>
      <c r="B629" s="178" t="s">
        <v>811</v>
      </c>
      <c r="C629" s="271" t="s">
        <v>1186</v>
      </c>
      <c r="D629" s="177">
        <v>45993</v>
      </c>
      <c r="E629" s="178" t="s">
        <v>813</v>
      </c>
      <c r="F629" s="271" t="s">
        <v>814</v>
      </c>
      <c r="G629" s="178" t="s">
        <v>815</v>
      </c>
      <c r="H629" s="366">
        <v>181818</v>
      </c>
      <c r="I629" s="176">
        <v>10</v>
      </c>
      <c r="J629" s="366">
        <v>18182</v>
      </c>
      <c r="K629" s="178" t="s">
        <v>261</v>
      </c>
      <c r="L629" s="178" t="s">
        <v>252</v>
      </c>
      <c r="M629" s="271" t="s">
        <v>816</v>
      </c>
      <c r="N629" s="177">
        <v>46230</v>
      </c>
      <c r="O629" s="177">
        <v>46230</v>
      </c>
      <c r="P629" s="366">
        <v>200000</v>
      </c>
      <c r="Q629" s="176" t="s">
        <v>248</v>
      </c>
      <c r="R629" s="176" t="s">
        <v>434</v>
      </c>
      <c r="S629" s="178" t="s">
        <v>253</v>
      </c>
      <c r="T629" s="57" t="str">
        <f t="shared" si="30"/>
        <v>Đ</v>
      </c>
      <c r="U629" s="59">
        <f t="shared" si="31"/>
        <v>0</v>
      </c>
      <c r="V629" s="55">
        <f t="shared" si="32"/>
        <v>13311</v>
      </c>
    </row>
    <row r="630" spans="1:22" ht="21.5" customHeight="1">
      <c r="A630" s="176">
        <v>613</v>
      </c>
      <c r="B630" s="178" t="s">
        <v>811</v>
      </c>
      <c r="C630" s="271" t="s">
        <v>1187</v>
      </c>
      <c r="D630" s="177">
        <v>45993</v>
      </c>
      <c r="E630" s="178" t="s">
        <v>813</v>
      </c>
      <c r="F630" s="271" t="s">
        <v>814</v>
      </c>
      <c r="G630" s="178" t="s">
        <v>815</v>
      </c>
      <c r="H630" s="366">
        <v>20000</v>
      </c>
      <c r="I630" s="176">
        <v>10</v>
      </c>
      <c r="J630" s="366">
        <v>2000</v>
      </c>
      <c r="K630" s="178" t="s">
        <v>261</v>
      </c>
      <c r="L630" s="178" t="s">
        <v>252</v>
      </c>
      <c r="M630" s="271" t="s">
        <v>816</v>
      </c>
      <c r="N630" s="177">
        <v>46230</v>
      </c>
      <c r="O630" s="177">
        <v>46230</v>
      </c>
      <c r="P630" s="366">
        <v>22000</v>
      </c>
      <c r="Q630" s="176" t="s">
        <v>248</v>
      </c>
      <c r="R630" s="176" t="s">
        <v>434</v>
      </c>
      <c r="S630" s="178" t="s">
        <v>253</v>
      </c>
      <c r="T630" s="57" t="str">
        <f t="shared" si="30"/>
        <v>Đ</v>
      </c>
      <c r="U630" s="59">
        <f t="shared" si="31"/>
        <v>0</v>
      </c>
      <c r="V630" s="55">
        <f t="shared" si="32"/>
        <v>13311</v>
      </c>
    </row>
    <row r="631" spans="1:22" ht="21.5" customHeight="1">
      <c r="A631" s="176">
        <v>614</v>
      </c>
      <c r="B631" s="178" t="s">
        <v>811</v>
      </c>
      <c r="C631" s="271" t="s">
        <v>1188</v>
      </c>
      <c r="D631" s="177">
        <v>45993</v>
      </c>
      <c r="E631" s="178" t="s">
        <v>813</v>
      </c>
      <c r="F631" s="271" t="s">
        <v>814</v>
      </c>
      <c r="G631" s="178" t="s">
        <v>815</v>
      </c>
      <c r="H631" s="366">
        <v>27273</v>
      </c>
      <c r="I631" s="176">
        <v>10</v>
      </c>
      <c r="J631" s="366">
        <v>2727</v>
      </c>
      <c r="K631" s="178" t="s">
        <v>261</v>
      </c>
      <c r="L631" s="178" t="s">
        <v>252</v>
      </c>
      <c r="M631" s="271" t="s">
        <v>816</v>
      </c>
      <c r="N631" s="177">
        <v>46230</v>
      </c>
      <c r="O631" s="177">
        <v>46230</v>
      </c>
      <c r="P631" s="366">
        <v>30000</v>
      </c>
      <c r="Q631" s="176" t="s">
        <v>248</v>
      </c>
      <c r="R631" s="176" t="s">
        <v>434</v>
      </c>
      <c r="S631" s="178" t="s">
        <v>253</v>
      </c>
      <c r="T631" s="57" t="str">
        <f t="shared" si="30"/>
        <v>Đ</v>
      </c>
      <c r="U631" s="59">
        <f t="shared" si="31"/>
        <v>0</v>
      </c>
      <c r="V631" s="55">
        <f t="shared" si="32"/>
        <v>13311</v>
      </c>
    </row>
    <row r="632" spans="1:22" ht="21.5" customHeight="1">
      <c r="A632" s="176">
        <v>615</v>
      </c>
      <c r="B632" s="178" t="s">
        <v>811</v>
      </c>
      <c r="C632" s="271" t="s">
        <v>1189</v>
      </c>
      <c r="D632" s="177">
        <v>45993</v>
      </c>
      <c r="E632" s="178" t="s">
        <v>813</v>
      </c>
      <c r="F632" s="271" t="s">
        <v>814</v>
      </c>
      <c r="G632" s="178" t="s">
        <v>815</v>
      </c>
      <c r="H632" s="366">
        <v>20000</v>
      </c>
      <c r="I632" s="176">
        <v>10</v>
      </c>
      <c r="J632" s="366">
        <v>2000</v>
      </c>
      <c r="K632" s="178" t="s">
        <v>261</v>
      </c>
      <c r="L632" s="178" t="s">
        <v>252</v>
      </c>
      <c r="M632" s="271" t="s">
        <v>816</v>
      </c>
      <c r="N632" s="177">
        <v>46230</v>
      </c>
      <c r="O632" s="177">
        <v>46230</v>
      </c>
      <c r="P632" s="366">
        <v>22000</v>
      </c>
      <c r="Q632" s="176" t="s">
        <v>248</v>
      </c>
      <c r="R632" s="176" t="s">
        <v>434</v>
      </c>
      <c r="S632" s="178" t="s">
        <v>253</v>
      </c>
      <c r="T632" s="57" t="str">
        <f t="shared" si="30"/>
        <v>Đ</v>
      </c>
      <c r="U632" s="59">
        <f t="shared" si="31"/>
        <v>0</v>
      </c>
      <c r="V632" s="55">
        <f t="shared" si="32"/>
        <v>13311</v>
      </c>
    </row>
    <row r="633" spans="1:22" ht="21.5" customHeight="1">
      <c r="A633" s="176">
        <v>616</v>
      </c>
      <c r="B633" s="178" t="s">
        <v>811</v>
      </c>
      <c r="C633" s="271" t="s">
        <v>1190</v>
      </c>
      <c r="D633" s="177">
        <v>45993</v>
      </c>
      <c r="E633" s="178" t="s">
        <v>813</v>
      </c>
      <c r="F633" s="271" t="s">
        <v>814</v>
      </c>
      <c r="G633" s="178" t="s">
        <v>815</v>
      </c>
      <c r="H633" s="366">
        <v>20000</v>
      </c>
      <c r="I633" s="176">
        <v>10</v>
      </c>
      <c r="J633" s="366">
        <v>2000</v>
      </c>
      <c r="K633" s="178" t="s">
        <v>261</v>
      </c>
      <c r="L633" s="178" t="s">
        <v>252</v>
      </c>
      <c r="M633" s="271" t="s">
        <v>816</v>
      </c>
      <c r="N633" s="177">
        <v>46230</v>
      </c>
      <c r="O633" s="177">
        <v>46230</v>
      </c>
      <c r="P633" s="366">
        <v>22000</v>
      </c>
      <c r="Q633" s="176" t="s">
        <v>248</v>
      </c>
      <c r="R633" s="176" t="s">
        <v>434</v>
      </c>
      <c r="S633" s="178" t="s">
        <v>253</v>
      </c>
      <c r="T633" s="57" t="str">
        <f t="shared" si="30"/>
        <v>Đ</v>
      </c>
      <c r="U633" s="59">
        <f t="shared" si="31"/>
        <v>0</v>
      </c>
      <c r="V633" s="55">
        <f t="shared" si="32"/>
        <v>13311</v>
      </c>
    </row>
    <row r="634" spans="1:22" ht="21.5" customHeight="1">
      <c r="A634" s="176">
        <v>617</v>
      </c>
      <c r="B634" s="178" t="s">
        <v>811</v>
      </c>
      <c r="C634" s="271" t="s">
        <v>1191</v>
      </c>
      <c r="D634" s="177">
        <v>45993</v>
      </c>
      <c r="E634" s="178" t="s">
        <v>813</v>
      </c>
      <c r="F634" s="271" t="s">
        <v>814</v>
      </c>
      <c r="G634" s="178" t="s">
        <v>815</v>
      </c>
      <c r="H634" s="366">
        <v>20000</v>
      </c>
      <c r="I634" s="176">
        <v>10</v>
      </c>
      <c r="J634" s="366">
        <v>2000</v>
      </c>
      <c r="K634" s="178" t="s">
        <v>261</v>
      </c>
      <c r="L634" s="178" t="s">
        <v>252</v>
      </c>
      <c r="M634" s="271" t="s">
        <v>816</v>
      </c>
      <c r="N634" s="177">
        <v>46230</v>
      </c>
      <c r="O634" s="177">
        <v>46230</v>
      </c>
      <c r="P634" s="366">
        <v>22000</v>
      </c>
      <c r="Q634" s="176" t="s">
        <v>248</v>
      </c>
      <c r="R634" s="176" t="s">
        <v>434</v>
      </c>
      <c r="S634" s="178" t="s">
        <v>253</v>
      </c>
      <c r="T634" s="57" t="str">
        <f t="shared" si="30"/>
        <v>Đ</v>
      </c>
      <c r="U634" s="59">
        <f t="shared" si="31"/>
        <v>0</v>
      </c>
      <c r="V634" s="55">
        <f t="shared" si="32"/>
        <v>13311</v>
      </c>
    </row>
    <row r="635" spans="1:22" ht="21.5" customHeight="1">
      <c r="A635" s="176">
        <v>618</v>
      </c>
      <c r="B635" s="178" t="s">
        <v>811</v>
      </c>
      <c r="C635" s="271" t="s">
        <v>1192</v>
      </c>
      <c r="D635" s="177">
        <v>45993</v>
      </c>
      <c r="E635" s="178" t="s">
        <v>813</v>
      </c>
      <c r="F635" s="271" t="s">
        <v>814</v>
      </c>
      <c r="G635" s="178" t="s">
        <v>815</v>
      </c>
      <c r="H635" s="366">
        <v>20239</v>
      </c>
      <c r="I635" s="176">
        <v>10</v>
      </c>
      <c r="J635" s="366">
        <v>2024</v>
      </c>
      <c r="K635" s="178" t="s">
        <v>261</v>
      </c>
      <c r="L635" s="178" t="s">
        <v>252</v>
      </c>
      <c r="M635" s="271" t="s">
        <v>816</v>
      </c>
      <c r="N635" s="177">
        <v>46230</v>
      </c>
      <c r="O635" s="177">
        <v>46230</v>
      </c>
      <c r="P635" s="366">
        <v>22263</v>
      </c>
      <c r="Q635" s="176" t="s">
        <v>248</v>
      </c>
      <c r="R635" s="176" t="s">
        <v>434</v>
      </c>
      <c r="S635" s="178" t="s">
        <v>253</v>
      </c>
      <c r="T635" s="57" t="str">
        <f t="shared" si="30"/>
        <v>Đ</v>
      </c>
      <c r="U635" s="59">
        <f t="shared" si="31"/>
        <v>0</v>
      </c>
      <c r="V635" s="55">
        <f t="shared" si="32"/>
        <v>13311</v>
      </c>
    </row>
    <row r="636" spans="1:22" ht="21.5" customHeight="1">
      <c r="A636" s="176">
        <v>619</v>
      </c>
      <c r="B636" s="178" t="s">
        <v>811</v>
      </c>
      <c r="C636" s="271" t="s">
        <v>1193</v>
      </c>
      <c r="D636" s="177">
        <v>45993</v>
      </c>
      <c r="E636" s="178" t="s">
        <v>813</v>
      </c>
      <c r="F636" s="271" t="s">
        <v>814</v>
      </c>
      <c r="G636" s="178" t="s">
        <v>815</v>
      </c>
      <c r="H636" s="366">
        <v>176595</v>
      </c>
      <c r="I636" s="176">
        <v>10</v>
      </c>
      <c r="J636" s="366">
        <v>17660</v>
      </c>
      <c r="K636" s="178" t="s">
        <v>261</v>
      </c>
      <c r="L636" s="178" t="s">
        <v>252</v>
      </c>
      <c r="M636" s="271" t="s">
        <v>816</v>
      </c>
      <c r="N636" s="177">
        <v>46230</v>
      </c>
      <c r="O636" s="177">
        <v>46230</v>
      </c>
      <c r="P636" s="366">
        <v>194255</v>
      </c>
      <c r="Q636" s="176" t="s">
        <v>248</v>
      </c>
      <c r="R636" s="176" t="s">
        <v>434</v>
      </c>
      <c r="S636" s="178" t="s">
        <v>253</v>
      </c>
      <c r="T636" s="57" t="str">
        <f t="shared" si="30"/>
        <v>Đ</v>
      </c>
      <c r="U636" s="59">
        <f t="shared" si="31"/>
        <v>0</v>
      </c>
      <c r="V636" s="55">
        <f t="shared" si="32"/>
        <v>13311</v>
      </c>
    </row>
    <row r="637" spans="1:22" ht="21.5" customHeight="1">
      <c r="A637" s="176">
        <v>620</v>
      </c>
      <c r="B637" s="178" t="s">
        <v>811</v>
      </c>
      <c r="C637" s="271" t="s">
        <v>1194</v>
      </c>
      <c r="D637" s="177">
        <v>45993</v>
      </c>
      <c r="E637" s="178" t="s">
        <v>813</v>
      </c>
      <c r="F637" s="271" t="s">
        <v>814</v>
      </c>
      <c r="G637" s="178" t="s">
        <v>815</v>
      </c>
      <c r="H637" s="366">
        <v>470454</v>
      </c>
      <c r="I637" s="176">
        <v>10</v>
      </c>
      <c r="J637" s="366">
        <v>47045</v>
      </c>
      <c r="K637" s="178" t="s">
        <v>261</v>
      </c>
      <c r="L637" s="178" t="s">
        <v>252</v>
      </c>
      <c r="M637" s="271" t="s">
        <v>816</v>
      </c>
      <c r="N637" s="177">
        <v>46230</v>
      </c>
      <c r="O637" s="177">
        <v>46230</v>
      </c>
      <c r="P637" s="366">
        <v>517499</v>
      </c>
      <c r="Q637" s="176" t="s">
        <v>248</v>
      </c>
      <c r="R637" s="176" t="s">
        <v>434</v>
      </c>
      <c r="S637" s="178" t="s">
        <v>253</v>
      </c>
      <c r="T637" s="57" t="str">
        <f t="shared" si="30"/>
        <v>Đ</v>
      </c>
      <c r="U637" s="59">
        <f t="shared" si="31"/>
        <v>0</v>
      </c>
      <c r="V637" s="55">
        <f t="shared" si="32"/>
        <v>13311</v>
      </c>
    </row>
    <row r="638" spans="1:22" ht="21.5" customHeight="1">
      <c r="A638" s="176">
        <v>621</v>
      </c>
      <c r="B638" s="178" t="s">
        <v>811</v>
      </c>
      <c r="C638" s="271" t="s">
        <v>1195</v>
      </c>
      <c r="D638" s="177">
        <v>45993</v>
      </c>
      <c r="E638" s="178" t="s">
        <v>813</v>
      </c>
      <c r="F638" s="271" t="s">
        <v>814</v>
      </c>
      <c r="G638" s="178" t="s">
        <v>815</v>
      </c>
      <c r="H638" s="366">
        <v>191663</v>
      </c>
      <c r="I638" s="176">
        <v>10</v>
      </c>
      <c r="J638" s="366">
        <v>19166</v>
      </c>
      <c r="K638" s="178" t="s">
        <v>261</v>
      </c>
      <c r="L638" s="178" t="s">
        <v>252</v>
      </c>
      <c r="M638" s="271" t="s">
        <v>816</v>
      </c>
      <c r="N638" s="177">
        <v>46230</v>
      </c>
      <c r="O638" s="177">
        <v>46230</v>
      </c>
      <c r="P638" s="366">
        <v>210829</v>
      </c>
      <c r="Q638" s="176" t="s">
        <v>248</v>
      </c>
      <c r="R638" s="176" t="s">
        <v>434</v>
      </c>
      <c r="S638" s="178" t="s">
        <v>253</v>
      </c>
      <c r="T638" s="57" t="str">
        <f t="shared" si="30"/>
        <v>Đ</v>
      </c>
      <c r="U638" s="59">
        <f t="shared" si="31"/>
        <v>0</v>
      </c>
      <c r="V638" s="55">
        <f t="shared" si="32"/>
        <v>13311</v>
      </c>
    </row>
    <row r="639" spans="1:22" ht="21.5" customHeight="1">
      <c r="A639" s="176">
        <v>622</v>
      </c>
      <c r="B639" s="178" t="s">
        <v>811</v>
      </c>
      <c r="C639" s="271" t="s">
        <v>1196</v>
      </c>
      <c r="D639" s="177">
        <v>45993</v>
      </c>
      <c r="E639" s="178" t="s">
        <v>813</v>
      </c>
      <c r="F639" s="271" t="s">
        <v>814</v>
      </c>
      <c r="G639" s="178" t="s">
        <v>815</v>
      </c>
      <c r="H639" s="366">
        <v>45454</v>
      </c>
      <c r="I639" s="176">
        <v>10</v>
      </c>
      <c r="J639" s="366">
        <v>4545</v>
      </c>
      <c r="K639" s="178" t="s">
        <v>261</v>
      </c>
      <c r="L639" s="178" t="s">
        <v>252</v>
      </c>
      <c r="M639" s="271" t="s">
        <v>816</v>
      </c>
      <c r="N639" s="177">
        <v>46230</v>
      </c>
      <c r="O639" s="177">
        <v>46230</v>
      </c>
      <c r="P639" s="366">
        <v>49999</v>
      </c>
      <c r="Q639" s="176" t="s">
        <v>248</v>
      </c>
      <c r="R639" s="176" t="s">
        <v>434</v>
      </c>
      <c r="S639" s="178" t="s">
        <v>253</v>
      </c>
      <c r="T639" s="57" t="str">
        <f t="shared" si="30"/>
        <v>Đ</v>
      </c>
      <c r="U639" s="59">
        <f t="shared" si="31"/>
        <v>0</v>
      </c>
      <c r="V639" s="55">
        <f t="shared" si="32"/>
        <v>13311</v>
      </c>
    </row>
    <row r="640" spans="1:22" ht="21.5" customHeight="1">
      <c r="A640" s="176">
        <v>623</v>
      </c>
      <c r="B640" s="178" t="s">
        <v>811</v>
      </c>
      <c r="C640" s="271" t="s">
        <v>1197</v>
      </c>
      <c r="D640" s="177">
        <v>45993</v>
      </c>
      <c r="E640" s="178" t="s">
        <v>813</v>
      </c>
      <c r="F640" s="271" t="s">
        <v>814</v>
      </c>
      <c r="G640" s="178" t="s">
        <v>815</v>
      </c>
      <c r="H640" s="366">
        <v>25975</v>
      </c>
      <c r="I640" s="176">
        <v>10</v>
      </c>
      <c r="J640" s="366">
        <v>2598</v>
      </c>
      <c r="K640" s="178" t="s">
        <v>261</v>
      </c>
      <c r="L640" s="178" t="s">
        <v>252</v>
      </c>
      <c r="M640" s="271" t="s">
        <v>816</v>
      </c>
      <c r="N640" s="177">
        <v>46230</v>
      </c>
      <c r="O640" s="177">
        <v>46230</v>
      </c>
      <c r="P640" s="366">
        <v>28573</v>
      </c>
      <c r="Q640" s="176" t="s">
        <v>248</v>
      </c>
      <c r="R640" s="176" t="s">
        <v>434</v>
      </c>
      <c r="S640" s="178" t="s">
        <v>253</v>
      </c>
      <c r="T640" s="57" t="str">
        <f t="shared" si="30"/>
        <v>Đ</v>
      </c>
      <c r="U640" s="59">
        <f t="shared" si="31"/>
        <v>0</v>
      </c>
      <c r="V640" s="55">
        <f t="shared" si="32"/>
        <v>13311</v>
      </c>
    </row>
    <row r="641" spans="1:22" ht="21.5" customHeight="1">
      <c r="A641" s="176">
        <v>624</v>
      </c>
      <c r="B641" s="178" t="s">
        <v>811</v>
      </c>
      <c r="C641" s="271" t="s">
        <v>1198</v>
      </c>
      <c r="D641" s="177">
        <v>45993</v>
      </c>
      <c r="E641" s="178" t="s">
        <v>813</v>
      </c>
      <c r="F641" s="271" t="s">
        <v>814</v>
      </c>
      <c r="G641" s="178" t="s">
        <v>815</v>
      </c>
      <c r="H641" s="366">
        <v>272727</v>
      </c>
      <c r="I641" s="176">
        <v>10</v>
      </c>
      <c r="J641" s="366">
        <v>27273</v>
      </c>
      <c r="K641" s="178" t="s">
        <v>261</v>
      </c>
      <c r="L641" s="178" t="s">
        <v>252</v>
      </c>
      <c r="M641" s="271" t="s">
        <v>816</v>
      </c>
      <c r="N641" s="177">
        <v>46230</v>
      </c>
      <c r="O641" s="177">
        <v>46230</v>
      </c>
      <c r="P641" s="366">
        <v>300000</v>
      </c>
      <c r="Q641" s="176" t="s">
        <v>248</v>
      </c>
      <c r="R641" s="176" t="s">
        <v>434</v>
      </c>
      <c r="S641" s="178" t="s">
        <v>253</v>
      </c>
      <c r="T641" s="57" t="str">
        <f t="shared" si="30"/>
        <v>Đ</v>
      </c>
      <c r="U641" s="59">
        <f t="shared" si="31"/>
        <v>0</v>
      </c>
      <c r="V641" s="55">
        <f t="shared" si="32"/>
        <v>13311</v>
      </c>
    </row>
    <row r="642" spans="1:22" ht="21.5" customHeight="1">
      <c r="A642" s="176">
        <v>625</v>
      </c>
      <c r="B642" s="178" t="s">
        <v>811</v>
      </c>
      <c r="C642" s="271" t="s">
        <v>1199</v>
      </c>
      <c r="D642" s="177">
        <v>45993</v>
      </c>
      <c r="E642" s="178" t="s">
        <v>813</v>
      </c>
      <c r="F642" s="271" t="s">
        <v>814</v>
      </c>
      <c r="G642" s="178" t="s">
        <v>815</v>
      </c>
      <c r="H642" s="366">
        <v>150000</v>
      </c>
      <c r="I642" s="176">
        <v>10</v>
      </c>
      <c r="J642" s="366">
        <v>15000</v>
      </c>
      <c r="K642" s="178" t="s">
        <v>261</v>
      </c>
      <c r="L642" s="178" t="s">
        <v>252</v>
      </c>
      <c r="M642" s="271" t="s">
        <v>816</v>
      </c>
      <c r="N642" s="177">
        <v>46230</v>
      </c>
      <c r="O642" s="177">
        <v>46230</v>
      </c>
      <c r="P642" s="366">
        <v>165000</v>
      </c>
      <c r="Q642" s="176" t="s">
        <v>248</v>
      </c>
      <c r="R642" s="176" t="s">
        <v>434</v>
      </c>
      <c r="S642" s="178" t="s">
        <v>253</v>
      </c>
      <c r="T642" s="57" t="str">
        <f t="shared" si="30"/>
        <v>Đ</v>
      </c>
      <c r="U642" s="59">
        <f t="shared" si="31"/>
        <v>0</v>
      </c>
      <c r="V642" s="55">
        <f t="shared" si="32"/>
        <v>13311</v>
      </c>
    </row>
    <row r="643" spans="1:22" ht="21.5" customHeight="1">
      <c r="A643" s="176">
        <v>626</v>
      </c>
      <c r="B643" s="178" t="s">
        <v>811</v>
      </c>
      <c r="C643" s="271" t="s">
        <v>1200</v>
      </c>
      <c r="D643" s="177">
        <v>45993</v>
      </c>
      <c r="E643" s="178" t="s">
        <v>813</v>
      </c>
      <c r="F643" s="271" t="s">
        <v>814</v>
      </c>
      <c r="G643" s="178" t="s">
        <v>815</v>
      </c>
      <c r="H643" s="366">
        <v>272727</v>
      </c>
      <c r="I643" s="176">
        <v>10</v>
      </c>
      <c r="J643" s="366">
        <v>27273</v>
      </c>
      <c r="K643" s="178" t="s">
        <v>261</v>
      </c>
      <c r="L643" s="178" t="s">
        <v>252</v>
      </c>
      <c r="M643" s="271" t="s">
        <v>816</v>
      </c>
      <c r="N643" s="177">
        <v>46230</v>
      </c>
      <c r="O643" s="177">
        <v>46230</v>
      </c>
      <c r="P643" s="366">
        <v>300000</v>
      </c>
      <c r="Q643" s="176" t="s">
        <v>248</v>
      </c>
      <c r="R643" s="176" t="s">
        <v>434</v>
      </c>
      <c r="S643" s="178" t="s">
        <v>253</v>
      </c>
      <c r="T643" s="57" t="str">
        <f t="shared" si="30"/>
        <v>Đ</v>
      </c>
      <c r="U643" s="59">
        <f t="shared" si="31"/>
        <v>0</v>
      </c>
      <c r="V643" s="55">
        <f t="shared" si="32"/>
        <v>13311</v>
      </c>
    </row>
    <row r="644" spans="1:22" ht="21.5" customHeight="1">
      <c r="A644" s="176">
        <v>627</v>
      </c>
      <c r="B644" s="178" t="s">
        <v>811</v>
      </c>
      <c r="C644" s="271" t="s">
        <v>1201</v>
      </c>
      <c r="D644" s="177">
        <v>45993</v>
      </c>
      <c r="E644" s="178" t="s">
        <v>813</v>
      </c>
      <c r="F644" s="271" t="s">
        <v>814</v>
      </c>
      <c r="G644" s="178" t="s">
        <v>815</v>
      </c>
      <c r="H644" s="366">
        <v>238454</v>
      </c>
      <c r="I644" s="176">
        <v>10</v>
      </c>
      <c r="J644" s="366">
        <v>23845</v>
      </c>
      <c r="K644" s="178" t="s">
        <v>261</v>
      </c>
      <c r="L644" s="178" t="s">
        <v>252</v>
      </c>
      <c r="M644" s="271" t="s">
        <v>816</v>
      </c>
      <c r="N644" s="177">
        <v>46230</v>
      </c>
      <c r="O644" s="177">
        <v>46230</v>
      </c>
      <c r="P644" s="366">
        <v>262299</v>
      </c>
      <c r="Q644" s="176" t="s">
        <v>248</v>
      </c>
      <c r="R644" s="176" t="s">
        <v>434</v>
      </c>
      <c r="S644" s="178" t="s">
        <v>253</v>
      </c>
      <c r="T644" s="57" t="str">
        <f t="shared" si="30"/>
        <v>Đ</v>
      </c>
      <c r="U644" s="59">
        <f t="shared" si="31"/>
        <v>0</v>
      </c>
      <c r="V644" s="55">
        <f t="shared" si="32"/>
        <v>13311</v>
      </c>
    </row>
    <row r="645" spans="1:22" ht="21.5" customHeight="1">
      <c r="A645" s="176">
        <v>628</v>
      </c>
      <c r="B645" s="178" t="s">
        <v>811</v>
      </c>
      <c r="C645" s="271" t="s">
        <v>1202</v>
      </c>
      <c r="D645" s="177">
        <v>45993</v>
      </c>
      <c r="E645" s="178" t="s">
        <v>813</v>
      </c>
      <c r="F645" s="271" t="s">
        <v>814</v>
      </c>
      <c r="G645" s="178" t="s">
        <v>815</v>
      </c>
      <c r="H645" s="366">
        <v>27273</v>
      </c>
      <c r="I645" s="176">
        <v>10</v>
      </c>
      <c r="J645" s="366">
        <v>2727</v>
      </c>
      <c r="K645" s="178" t="s">
        <v>261</v>
      </c>
      <c r="L645" s="178" t="s">
        <v>252</v>
      </c>
      <c r="M645" s="271" t="s">
        <v>816</v>
      </c>
      <c r="N645" s="177">
        <v>46230</v>
      </c>
      <c r="O645" s="177">
        <v>46230</v>
      </c>
      <c r="P645" s="366">
        <v>30000</v>
      </c>
      <c r="Q645" s="176" t="s">
        <v>248</v>
      </c>
      <c r="R645" s="176" t="s">
        <v>434</v>
      </c>
      <c r="S645" s="178" t="s">
        <v>253</v>
      </c>
      <c r="T645" s="57" t="str">
        <f t="shared" si="30"/>
        <v>Đ</v>
      </c>
      <c r="U645" s="59">
        <f t="shared" si="31"/>
        <v>0</v>
      </c>
      <c r="V645" s="55">
        <f t="shared" si="32"/>
        <v>13311</v>
      </c>
    </row>
    <row r="646" spans="1:22" ht="21.5" customHeight="1">
      <c r="A646" s="176">
        <v>629</v>
      </c>
      <c r="B646" s="178" t="s">
        <v>811</v>
      </c>
      <c r="C646" s="271" t="s">
        <v>1203</v>
      </c>
      <c r="D646" s="177">
        <v>45993</v>
      </c>
      <c r="E646" s="178" t="s">
        <v>813</v>
      </c>
      <c r="F646" s="271" t="s">
        <v>814</v>
      </c>
      <c r="G646" s="178" t="s">
        <v>815</v>
      </c>
      <c r="H646" s="366">
        <v>363636</v>
      </c>
      <c r="I646" s="176">
        <v>10</v>
      </c>
      <c r="J646" s="366">
        <v>36364</v>
      </c>
      <c r="K646" s="178" t="s">
        <v>261</v>
      </c>
      <c r="L646" s="178" t="s">
        <v>252</v>
      </c>
      <c r="M646" s="271" t="s">
        <v>816</v>
      </c>
      <c r="N646" s="177">
        <v>46230</v>
      </c>
      <c r="O646" s="177">
        <v>46230</v>
      </c>
      <c r="P646" s="366">
        <v>400000</v>
      </c>
      <c r="Q646" s="176" t="s">
        <v>248</v>
      </c>
      <c r="R646" s="176" t="s">
        <v>434</v>
      </c>
      <c r="S646" s="178" t="s">
        <v>253</v>
      </c>
      <c r="T646" s="57" t="str">
        <f t="shared" si="30"/>
        <v>Đ</v>
      </c>
      <c r="U646" s="59">
        <f t="shared" si="31"/>
        <v>0</v>
      </c>
      <c r="V646" s="55">
        <f t="shared" si="32"/>
        <v>13311</v>
      </c>
    </row>
    <row r="647" spans="1:22" ht="21.5" customHeight="1">
      <c r="A647" s="176">
        <v>630</v>
      </c>
      <c r="B647" s="178" t="s">
        <v>811</v>
      </c>
      <c r="C647" s="271" t="s">
        <v>1204</v>
      </c>
      <c r="D647" s="177">
        <v>45993</v>
      </c>
      <c r="E647" s="178" t="s">
        <v>813</v>
      </c>
      <c r="F647" s="271" t="s">
        <v>814</v>
      </c>
      <c r="G647" s="178" t="s">
        <v>815</v>
      </c>
      <c r="H647" s="366">
        <v>20000</v>
      </c>
      <c r="I647" s="176">
        <v>10</v>
      </c>
      <c r="J647" s="366">
        <v>2000</v>
      </c>
      <c r="K647" s="178" t="s">
        <v>261</v>
      </c>
      <c r="L647" s="178" t="s">
        <v>252</v>
      </c>
      <c r="M647" s="271" t="s">
        <v>816</v>
      </c>
      <c r="N647" s="177">
        <v>46230</v>
      </c>
      <c r="O647" s="177">
        <v>46230</v>
      </c>
      <c r="P647" s="366">
        <v>22000</v>
      </c>
      <c r="Q647" s="176" t="s">
        <v>248</v>
      </c>
      <c r="R647" s="176" t="s">
        <v>434</v>
      </c>
      <c r="S647" s="178" t="s">
        <v>253</v>
      </c>
      <c r="T647" s="57" t="str">
        <f t="shared" si="30"/>
        <v>Đ</v>
      </c>
      <c r="U647" s="59">
        <f t="shared" si="31"/>
        <v>0</v>
      </c>
      <c r="V647" s="55">
        <f t="shared" si="32"/>
        <v>13311</v>
      </c>
    </row>
    <row r="648" spans="1:22" ht="21.5" customHeight="1">
      <c r="A648" s="176">
        <v>631</v>
      </c>
      <c r="B648" s="178" t="s">
        <v>811</v>
      </c>
      <c r="C648" s="271" t="s">
        <v>1205</v>
      </c>
      <c r="D648" s="177">
        <v>45993</v>
      </c>
      <c r="E648" s="178" t="s">
        <v>813</v>
      </c>
      <c r="F648" s="271" t="s">
        <v>814</v>
      </c>
      <c r="G648" s="178" t="s">
        <v>815</v>
      </c>
      <c r="H648" s="366">
        <v>315689</v>
      </c>
      <c r="I648" s="176">
        <v>10</v>
      </c>
      <c r="J648" s="366">
        <v>31569</v>
      </c>
      <c r="K648" s="178" t="s">
        <v>261</v>
      </c>
      <c r="L648" s="178" t="s">
        <v>252</v>
      </c>
      <c r="M648" s="271" t="s">
        <v>816</v>
      </c>
      <c r="N648" s="177">
        <v>46230</v>
      </c>
      <c r="O648" s="177">
        <v>46230</v>
      </c>
      <c r="P648" s="366">
        <v>347258</v>
      </c>
      <c r="Q648" s="176" t="s">
        <v>248</v>
      </c>
      <c r="R648" s="176" t="s">
        <v>434</v>
      </c>
      <c r="S648" s="178" t="s">
        <v>253</v>
      </c>
      <c r="T648" s="57" t="str">
        <f t="shared" si="30"/>
        <v>Đ</v>
      </c>
      <c r="U648" s="59">
        <f t="shared" si="31"/>
        <v>0</v>
      </c>
      <c r="V648" s="55">
        <f t="shared" si="32"/>
        <v>13311</v>
      </c>
    </row>
    <row r="649" spans="1:22" ht="21.5" customHeight="1">
      <c r="A649" s="176">
        <v>632</v>
      </c>
      <c r="B649" s="178" t="s">
        <v>1206</v>
      </c>
      <c r="C649" s="271" t="s">
        <v>1207</v>
      </c>
      <c r="D649" s="177">
        <v>46209</v>
      </c>
      <c r="E649" s="178" t="s">
        <v>1208</v>
      </c>
      <c r="F649" s="271" t="s">
        <v>1209</v>
      </c>
      <c r="G649" s="178" t="s">
        <v>1210</v>
      </c>
      <c r="H649" s="366">
        <v>1075800000</v>
      </c>
      <c r="I649" s="176">
        <v>8</v>
      </c>
      <c r="J649" s="366">
        <v>86064000</v>
      </c>
      <c r="K649" s="178" t="s">
        <v>261</v>
      </c>
      <c r="L649" s="178" t="s">
        <v>252</v>
      </c>
      <c r="M649" s="271" t="s">
        <v>1211</v>
      </c>
      <c r="N649" s="177">
        <v>46233</v>
      </c>
      <c r="O649" s="177">
        <v>46233</v>
      </c>
      <c r="P649" s="366">
        <v>1161864000</v>
      </c>
      <c r="Q649" s="176" t="s">
        <v>248</v>
      </c>
      <c r="R649" s="176" t="s">
        <v>431</v>
      </c>
      <c r="S649" s="178" t="s">
        <v>253</v>
      </c>
      <c r="T649" s="57" t="str">
        <f t="shared" si="30"/>
        <v>Đ</v>
      </c>
      <c r="U649" s="59">
        <f t="shared" si="31"/>
        <v>0</v>
      </c>
      <c r="V649" s="55">
        <f t="shared" si="32"/>
        <v>13311</v>
      </c>
    </row>
    <row r="650" spans="1:22">
      <c r="A650" s="176">
        <v>633</v>
      </c>
      <c r="B650" s="178" t="s">
        <v>1212</v>
      </c>
      <c r="C650" s="271" t="s">
        <v>1213</v>
      </c>
      <c r="D650" s="177">
        <v>46023</v>
      </c>
      <c r="E650" s="178" t="s">
        <v>1214</v>
      </c>
      <c r="F650" s="271" t="s">
        <v>1215</v>
      </c>
      <c r="G650" s="178" t="s">
        <v>1216</v>
      </c>
      <c r="H650" s="366">
        <v>27273</v>
      </c>
      <c r="I650" s="176">
        <v>10</v>
      </c>
      <c r="J650" s="366">
        <v>2727</v>
      </c>
      <c r="K650" s="162"/>
      <c r="L650" s="178" t="s">
        <v>252</v>
      </c>
      <c r="M650" s="271" t="s">
        <v>346</v>
      </c>
      <c r="N650" s="177">
        <v>46234</v>
      </c>
      <c r="O650" s="177">
        <v>46234</v>
      </c>
      <c r="P650" s="366">
        <v>30000</v>
      </c>
      <c r="Q650" s="176" t="s">
        <v>1217</v>
      </c>
      <c r="R650" s="176" t="s">
        <v>348</v>
      </c>
      <c r="S650" s="178" t="s">
        <v>253</v>
      </c>
      <c r="T650" s="57" t="str">
        <f t="shared" si="30"/>
        <v>Đ</v>
      </c>
      <c r="U650" s="59">
        <f t="shared" si="31"/>
        <v>0</v>
      </c>
      <c r="V650" s="55">
        <f t="shared" si="32"/>
        <v>13311</v>
      </c>
    </row>
    <row r="651" spans="1:22" ht="21.5" customHeight="1">
      <c r="A651" s="176">
        <v>634</v>
      </c>
      <c r="B651" s="178" t="s">
        <v>1206</v>
      </c>
      <c r="C651" s="271" t="s">
        <v>1218</v>
      </c>
      <c r="D651" s="177">
        <v>46205</v>
      </c>
      <c r="E651" s="178" t="s">
        <v>1219</v>
      </c>
      <c r="F651" s="271" t="s">
        <v>1220</v>
      </c>
      <c r="G651" s="178" t="s">
        <v>1216</v>
      </c>
      <c r="H651" s="366">
        <v>2567061</v>
      </c>
      <c r="I651" s="176">
        <v>10</v>
      </c>
      <c r="J651" s="366">
        <v>256708</v>
      </c>
      <c r="K651" s="162"/>
      <c r="L651" s="178" t="s">
        <v>252</v>
      </c>
      <c r="M651" s="271" t="s">
        <v>346</v>
      </c>
      <c r="N651" s="177">
        <v>46234</v>
      </c>
      <c r="O651" s="177">
        <v>46234</v>
      </c>
      <c r="P651" s="366">
        <v>2823769</v>
      </c>
      <c r="Q651" s="176" t="s">
        <v>1217</v>
      </c>
      <c r="R651" s="176" t="s">
        <v>348</v>
      </c>
      <c r="S651" s="178" t="s">
        <v>253</v>
      </c>
      <c r="T651" s="57" t="str">
        <f t="shared" si="30"/>
        <v>Đ</v>
      </c>
      <c r="U651" s="59">
        <f t="shared" si="31"/>
        <v>-2</v>
      </c>
      <c r="V651" s="55">
        <f t="shared" si="32"/>
        <v>13311</v>
      </c>
    </row>
    <row r="652" spans="1:22" ht="21.5" customHeight="1">
      <c r="A652" s="176">
        <v>635</v>
      </c>
      <c r="B652" s="178" t="s">
        <v>1206</v>
      </c>
      <c r="C652" s="271" t="s">
        <v>1221</v>
      </c>
      <c r="D652" s="177">
        <v>46211</v>
      </c>
      <c r="E652" s="178" t="s">
        <v>1219</v>
      </c>
      <c r="F652" s="271" t="s">
        <v>1220</v>
      </c>
      <c r="G652" s="178" t="s">
        <v>1216</v>
      </c>
      <c r="H652" s="366">
        <v>774127</v>
      </c>
      <c r="I652" s="176">
        <v>10</v>
      </c>
      <c r="J652" s="366">
        <v>77413</v>
      </c>
      <c r="K652" s="162"/>
      <c r="L652" s="178" t="s">
        <v>252</v>
      </c>
      <c r="M652" s="271" t="s">
        <v>346</v>
      </c>
      <c r="N652" s="177">
        <v>46234</v>
      </c>
      <c r="O652" s="177">
        <v>46234</v>
      </c>
      <c r="P652" s="366">
        <v>851540</v>
      </c>
      <c r="Q652" s="176" t="s">
        <v>1217</v>
      </c>
      <c r="R652" s="176" t="s">
        <v>348</v>
      </c>
      <c r="S652" s="178" t="s">
        <v>253</v>
      </c>
      <c r="T652" s="57" t="str">
        <f t="shared" si="30"/>
        <v>Đ</v>
      </c>
      <c r="U652" s="59">
        <f t="shared" si="31"/>
        <v>0</v>
      </c>
      <c r="V652" s="55">
        <f t="shared" si="32"/>
        <v>13311</v>
      </c>
    </row>
    <row r="653" spans="1:22" ht="21.5" customHeight="1">
      <c r="A653" s="176">
        <v>636</v>
      </c>
      <c r="B653" s="178" t="s">
        <v>1206</v>
      </c>
      <c r="C653" s="271" t="s">
        <v>1222</v>
      </c>
      <c r="D653" s="177">
        <v>46216</v>
      </c>
      <c r="E653" s="178" t="s">
        <v>1219</v>
      </c>
      <c r="F653" s="271" t="s">
        <v>1220</v>
      </c>
      <c r="G653" s="178" t="s">
        <v>1216</v>
      </c>
      <c r="H653" s="366">
        <v>50000</v>
      </c>
      <c r="I653" s="176">
        <v>10</v>
      </c>
      <c r="J653" s="366">
        <v>5000</v>
      </c>
      <c r="K653" s="162"/>
      <c r="L653" s="178" t="s">
        <v>252</v>
      </c>
      <c r="M653" s="271" t="s">
        <v>346</v>
      </c>
      <c r="N653" s="177">
        <v>46234</v>
      </c>
      <c r="O653" s="177">
        <v>46234</v>
      </c>
      <c r="P653" s="366">
        <v>55000</v>
      </c>
      <c r="Q653" s="176" t="s">
        <v>1217</v>
      </c>
      <c r="R653" s="176" t="s">
        <v>348</v>
      </c>
      <c r="S653" s="178" t="s">
        <v>253</v>
      </c>
      <c r="T653" s="57" t="str">
        <f t="shared" si="30"/>
        <v>Đ</v>
      </c>
      <c r="U653" s="59">
        <f t="shared" si="31"/>
        <v>0</v>
      </c>
      <c r="V653" s="55">
        <f t="shared" si="32"/>
        <v>13311</v>
      </c>
    </row>
    <row r="654" spans="1:22" ht="21.5" customHeight="1">
      <c r="A654" s="176">
        <v>637</v>
      </c>
      <c r="B654" s="178" t="s">
        <v>1206</v>
      </c>
      <c r="C654" s="271" t="s">
        <v>1223</v>
      </c>
      <c r="D654" s="177">
        <v>46218</v>
      </c>
      <c r="E654" s="178" t="s">
        <v>1219</v>
      </c>
      <c r="F654" s="271" t="s">
        <v>1220</v>
      </c>
      <c r="G654" s="178" t="s">
        <v>1216</v>
      </c>
      <c r="H654" s="366">
        <v>20000</v>
      </c>
      <c r="I654" s="176">
        <v>10</v>
      </c>
      <c r="J654" s="366">
        <v>2000</v>
      </c>
      <c r="K654" s="162"/>
      <c r="L654" s="178" t="s">
        <v>252</v>
      </c>
      <c r="M654" s="271" t="s">
        <v>346</v>
      </c>
      <c r="N654" s="177">
        <v>46234</v>
      </c>
      <c r="O654" s="177">
        <v>46234</v>
      </c>
      <c r="P654" s="366">
        <v>22000</v>
      </c>
      <c r="Q654" s="176" t="s">
        <v>1217</v>
      </c>
      <c r="R654" s="176" t="s">
        <v>348</v>
      </c>
      <c r="S654" s="178" t="s">
        <v>253</v>
      </c>
      <c r="T654" s="57" t="str">
        <f t="shared" ref="T654:T717" si="33">IF(OR(LEN(F654)=11,LEN(F654)=15),"Đ","SAI")</f>
        <v>Đ</v>
      </c>
      <c r="U654" s="59">
        <f t="shared" ref="U654:U717" si="34">ROUND(H654*I654%,0)-J654</f>
        <v>0</v>
      </c>
      <c r="V654" s="55">
        <f t="shared" ref="V654:V717" si="35">IF(Q654=$V$12,13313,13311)</f>
        <v>13311</v>
      </c>
    </row>
    <row r="655" spans="1:22" ht="21.5" customHeight="1">
      <c r="A655" s="176">
        <v>638</v>
      </c>
      <c r="B655" s="178" t="s">
        <v>1206</v>
      </c>
      <c r="C655" s="271" t="s">
        <v>1224</v>
      </c>
      <c r="D655" s="177">
        <v>46224</v>
      </c>
      <c r="E655" s="178" t="s">
        <v>1219</v>
      </c>
      <c r="F655" s="271" t="s">
        <v>1220</v>
      </c>
      <c r="G655" s="178" t="s">
        <v>1216</v>
      </c>
      <c r="H655" s="366">
        <v>2359075</v>
      </c>
      <c r="I655" s="176">
        <v>10</v>
      </c>
      <c r="J655" s="366">
        <v>235908</v>
      </c>
      <c r="K655" s="162"/>
      <c r="L655" s="178" t="s">
        <v>252</v>
      </c>
      <c r="M655" s="271" t="s">
        <v>346</v>
      </c>
      <c r="N655" s="177">
        <v>46234</v>
      </c>
      <c r="O655" s="177">
        <v>46234</v>
      </c>
      <c r="P655" s="366">
        <v>2594983</v>
      </c>
      <c r="Q655" s="176" t="s">
        <v>1217</v>
      </c>
      <c r="R655" s="176" t="s">
        <v>348</v>
      </c>
      <c r="S655" s="178" t="s">
        <v>253</v>
      </c>
      <c r="T655" s="57" t="str">
        <f t="shared" si="33"/>
        <v>Đ</v>
      </c>
      <c r="U655" s="59">
        <f t="shared" si="34"/>
        <v>0</v>
      </c>
      <c r="V655" s="55">
        <f t="shared" si="35"/>
        <v>13311</v>
      </c>
    </row>
    <row r="656" spans="1:22" ht="21.5" customHeight="1">
      <c r="A656" s="176">
        <v>639</v>
      </c>
      <c r="B656" s="178" t="s">
        <v>1225</v>
      </c>
      <c r="C656" s="271" t="s">
        <v>1226</v>
      </c>
      <c r="D656" s="177">
        <v>46196</v>
      </c>
      <c r="E656" s="178" t="s">
        <v>1227</v>
      </c>
      <c r="F656" s="271" t="s">
        <v>1228</v>
      </c>
      <c r="G656" s="178" t="s">
        <v>1229</v>
      </c>
      <c r="H656" s="366">
        <v>10620000</v>
      </c>
      <c r="I656" s="176">
        <v>8</v>
      </c>
      <c r="J656" s="366">
        <v>849600</v>
      </c>
      <c r="K656" s="162"/>
      <c r="L656" s="178" t="s">
        <v>252</v>
      </c>
      <c r="M656" s="271" t="s">
        <v>346</v>
      </c>
      <c r="N656" s="177">
        <v>46234</v>
      </c>
      <c r="O656" s="177">
        <v>46234</v>
      </c>
      <c r="P656" s="366">
        <v>11469600</v>
      </c>
      <c r="Q656" s="176" t="s">
        <v>1217</v>
      </c>
      <c r="R656" s="176" t="s">
        <v>348</v>
      </c>
      <c r="S656" s="178" t="s">
        <v>253</v>
      </c>
      <c r="T656" s="57" t="str">
        <f t="shared" si="33"/>
        <v>Đ</v>
      </c>
      <c r="U656" s="59">
        <f t="shared" si="34"/>
        <v>0</v>
      </c>
      <c r="V656" s="55">
        <f t="shared" si="35"/>
        <v>13311</v>
      </c>
    </row>
    <row r="657" spans="1:22">
      <c r="A657" s="176">
        <v>640</v>
      </c>
      <c r="B657" s="178" t="s">
        <v>1230</v>
      </c>
      <c r="C657" s="271" t="s">
        <v>1231</v>
      </c>
      <c r="D657" s="177">
        <v>46197</v>
      </c>
      <c r="E657" s="178" t="s">
        <v>1232</v>
      </c>
      <c r="F657" s="271" t="s">
        <v>752</v>
      </c>
      <c r="G657" s="178" t="s">
        <v>1233</v>
      </c>
      <c r="H657" s="366">
        <v>92400000</v>
      </c>
      <c r="I657" s="176">
        <v>8</v>
      </c>
      <c r="J657" s="366">
        <v>7392000</v>
      </c>
      <c r="K657" s="162"/>
      <c r="L657" s="178" t="s">
        <v>252</v>
      </c>
      <c r="M657" s="271" t="s">
        <v>346</v>
      </c>
      <c r="N657" s="177">
        <v>46234</v>
      </c>
      <c r="O657" s="177">
        <v>46234</v>
      </c>
      <c r="P657" s="366">
        <v>99792000</v>
      </c>
      <c r="Q657" s="176" t="s">
        <v>1217</v>
      </c>
      <c r="R657" s="176" t="s">
        <v>348</v>
      </c>
      <c r="S657" s="178" t="s">
        <v>253</v>
      </c>
      <c r="T657" s="57" t="str">
        <f t="shared" si="33"/>
        <v>Đ</v>
      </c>
      <c r="U657" s="59">
        <f t="shared" si="34"/>
        <v>0</v>
      </c>
      <c r="V657" s="55">
        <f t="shared" si="35"/>
        <v>13311</v>
      </c>
    </row>
    <row r="658" spans="1:22" ht="21.5" customHeight="1">
      <c r="A658" s="176">
        <v>641</v>
      </c>
      <c r="B658" s="178" t="s">
        <v>1206</v>
      </c>
      <c r="C658" s="271" t="s">
        <v>1234</v>
      </c>
      <c r="D658" s="177">
        <v>46231</v>
      </c>
      <c r="E658" s="178" t="s">
        <v>1219</v>
      </c>
      <c r="F658" s="271" t="s">
        <v>1220</v>
      </c>
      <c r="G658" s="178" t="s">
        <v>1216</v>
      </c>
      <c r="H658" s="366">
        <v>1000000</v>
      </c>
      <c r="I658" s="176">
        <v>10</v>
      </c>
      <c r="J658" s="366">
        <v>100000</v>
      </c>
      <c r="K658" s="162"/>
      <c r="L658" s="178" t="s">
        <v>252</v>
      </c>
      <c r="M658" s="271" t="s">
        <v>346</v>
      </c>
      <c r="N658" s="177">
        <v>46234</v>
      </c>
      <c r="O658" s="177">
        <v>46234</v>
      </c>
      <c r="P658" s="366">
        <v>1100000</v>
      </c>
      <c r="Q658" s="176" t="s">
        <v>1217</v>
      </c>
      <c r="R658" s="176" t="s">
        <v>348</v>
      </c>
      <c r="S658" s="178" t="s">
        <v>253</v>
      </c>
      <c r="T658" s="57" t="str">
        <f t="shared" si="33"/>
        <v>Đ</v>
      </c>
      <c r="U658" s="59">
        <f t="shared" si="34"/>
        <v>0</v>
      </c>
      <c r="V658" s="55">
        <f t="shared" si="35"/>
        <v>13311</v>
      </c>
    </row>
    <row r="659" spans="1:22" ht="21.5" customHeight="1">
      <c r="A659" s="176">
        <v>642</v>
      </c>
      <c r="B659" s="178" t="s">
        <v>1206</v>
      </c>
      <c r="C659" s="271" t="s">
        <v>1235</v>
      </c>
      <c r="D659" s="177">
        <v>46232</v>
      </c>
      <c r="E659" s="178" t="s">
        <v>1219</v>
      </c>
      <c r="F659" s="271" t="s">
        <v>1220</v>
      </c>
      <c r="G659" s="178" t="s">
        <v>1216</v>
      </c>
      <c r="H659" s="366">
        <v>20000</v>
      </c>
      <c r="I659" s="176">
        <v>10</v>
      </c>
      <c r="J659" s="366">
        <v>2000</v>
      </c>
      <c r="K659" s="162"/>
      <c r="L659" s="178" t="s">
        <v>252</v>
      </c>
      <c r="M659" s="271" t="s">
        <v>346</v>
      </c>
      <c r="N659" s="177">
        <v>46234</v>
      </c>
      <c r="O659" s="177">
        <v>46234</v>
      </c>
      <c r="P659" s="366">
        <v>22000</v>
      </c>
      <c r="Q659" s="176" t="s">
        <v>1217</v>
      </c>
      <c r="R659" s="176" t="s">
        <v>348</v>
      </c>
      <c r="S659" s="178" t="s">
        <v>253</v>
      </c>
      <c r="T659" s="57" t="str">
        <f t="shared" si="33"/>
        <v>Đ</v>
      </c>
      <c r="U659" s="59">
        <f t="shared" si="34"/>
        <v>0</v>
      </c>
      <c r="V659" s="55">
        <f t="shared" si="35"/>
        <v>13311</v>
      </c>
    </row>
    <row r="660" spans="1:22" ht="21.5" customHeight="1">
      <c r="A660" s="176">
        <v>643</v>
      </c>
      <c r="B660" s="178" t="s">
        <v>1236</v>
      </c>
      <c r="C660" s="271" t="s">
        <v>1237</v>
      </c>
      <c r="D660" s="177">
        <v>46234</v>
      </c>
      <c r="E660" s="178" t="s">
        <v>1238</v>
      </c>
      <c r="F660" s="271" t="s">
        <v>1220</v>
      </c>
      <c r="G660" s="178" t="s">
        <v>1239</v>
      </c>
      <c r="H660" s="366">
        <v>5294208</v>
      </c>
      <c r="I660" s="176">
        <v>10</v>
      </c>
      <c r="J660" s="366">
        <v>529421</v>
      </c>
      <c r="K660" s="178" t="s">
        <v>1240</v>
      </c>
      <c r="L660" s="178" t="s">
        <v>252</v>
      </c>
      <c r="M660" s="271" t="s">
        <v>1241</v>
      </c>
      <c r="N660" s="177">
        <v>46234</v>
      </c>
      <c r="O660" s="177">
        <v>46234</v>
      </c>
      <c r="P660" s="366">
        <v>5823629</v>
      </c>
      <c r="Q660" s="176" t="s">
        <v>248</v>
      </c>
      <c r="R660" s="176" t="s">
        <v>178</v>
      </c>
      <c r="S660" s="178" t="s">
        <v>253</v>
      </c>
      <c r="T660" s="57" t="str">
        <f t="shared" si="33"/>
        <v>Đ</v>
      </c>
      <c r="U660" s="59">
        <f t="shared" si="34"/>
        <v>0</v>
      </c>
      <c r="V660" s="55">
        <f t="shared" si="35"/>
        <v>13311</v>
      </c>
    </row>
    <row r="661" spans="1:22" ht="21.5" customHeight="1">
      <c r="A661" s="176">
        <v>644</v>
      </c>
      <c r="B661" s="178" t="s">
        <v>1236</v>
      </c>
      <c r="C661" s="271" t="s">
        <v>1242</v>
      </c>
      <c r="D661" s="177">
        <v>46234</v>
      </c>
      <c r="E661" s="178" t="s">
        <v>1238</v>
      </c>
      <c r="F661" s="271" t="s">
        <v>1220</v>
      </c>
      <c r="G661" s="178" t="s">
        <v>1239</v>
      </c>
      <c r="H661" s="366">
        <v>3004003</v>
      </c>
      <c r="I661" s="176">
        <v>10</v>
      </c>
      <c r="J661" s="366">
        <v>300400</v>
      </c>
      <c r="K661" s="178" t="s">
        <v>1240</v>
      </c>
      <c r="L661" s="178" t="s">
        <v>252</v>
      </c>
      <c r="M661" s="271" t="s">
        <v>1241</v>
      </c>
      <c r="N661" s="177">
        <v>46234</v>
      </c>
      <c r="O661" s="177">
        <v>46234</v>
      </c>
      <c r="P661" s="366">
        <v>3304403</v>
      </c>
      <c r="Q661" s="176" t="s">
        <v>248</v>
      </c>
      <c r="R661" s="176" t="s">
        <v>178</v>
      </c>
      <c r="S661" s="178" t="s">
        <v>253</v>
      </c>
      <c r="T661" s="57" t="str">
        <f t="shared" si="33"/>
        <v>Đ</v>
      </c>
      <c r="U661" s="59">
        <f t="shared" si="34"/>
        <v>0</v>
      </c>
      <c r="V661" s="55">
        <f t="shared" si="35"/>
        <v>13311</v>
      </c>
    </row>
    <row r="662" spans="1:22" ht="21.5" customHeight="1">
      <c r="A662" s="176">
        <v>645</v>
      </c>
      <c r="B662" s="178" t="s">
        <v>1236</v>
      </c>
      <c r="C662" s="271" t="s">
        <v>1243</v>
      </c>
      <c r="D662" s="177">
        <v>46234</v>
      </c>
      <c r="E662" s="178" t="s">
        <v>1238</v>
      </c>
      <c r="F662" s="271" t="s">
        <v>1220</v>
      </c>
      <c r="G662" s="178" t="s">
        <v>1239</v>
      </c>
      <c r="H662" s="366">
        <v>6354422</v>
      </c>
      <c r="I662" s="176">
        <v>10</v>
      </c>
      <c r="J662" s="366">
        <v>635442</v>
      </c>
      <c r="K662" s="178" t="s">
        <v>1240</v>
      </c>
      <c r="L662" s="178" t="s">
        <v>252</v>
      </c>
      <c r="M662" s="271" t="s">
        <v>1241</v>
      </c>
      <c r="N662" s="177">
        <v>46234</v>
      </c>
      <c r="O662" s="177">
        <v>46234</v>
      </c>
      <c r="P662" s="366">
        <v>6989864</v>
      </c>
      <c r="Q662" s="176" t="s">
        <v>248</v>
      </c>
      <c r="R662" s="176" t="s">
        <v>178</v>
      </c>
      <c r="S662" s="178" t="s">
        <v>253</v>
      </c>
      <c r="T662" s="57" t="str">
        <f t="shared" si="33"/>
        <v>Đ</v>
      </c>
      <c r="U662" s="59">
        <f t="shared" si="34"/>
        <v>0</v>
      </c>
      <c r="V662" s="55">
        <f t="shared" si="35"/>
        <v>13311</v>
      </c>
    </row>
    <row r="663" spans="1:22" ht="21.5" customHeight="1">
      <c r="A663" s="176">
        <v>646</v>
      </c>
      <c r="B663" s="178" t="s">
        <v>1244</v>
      </c>
      <c r="C663" s="271" t="s">
        <v>1245</v>
      </c>
      <c r="D663" s="177">
        <v>46182</v>
      </c>
      <c r="E663" s="178" t="s">
        <v>1246</v>
      </c>
      <c r="F663" s="271" t="s">
        <v>1247</v>
      </c>
      <c r="G663" s="178" t="s">
        <v>1248</v>
      </c>
      <c r="H663" s="366">
        <v>325966944</v>
      </c>
      <c r="I663" s="176">
        <v>8</v>
      </c>
      <c r="J663" s="366">
        <v>26077355</v>
      </c>
      <c r="K663" s="162"/>
      <c r="L663" s="178" t="s">
        <v>252</v>
      </c>
      <c r="M663" s="271" t="s">
        <v>349</v>
      </c>
      <c r="N663" s="177">
        <v>46234</v>
      </c>
      <c r="O663" s="177">
        <v>46234</v>
      </c>
      <c r="P663" s="366">
        <v>352044299</v>
      </c>
      <c r="Q663" s="176" t="s">
        <v>1217</v>
      </c>
      <c r="R663" s="176" t="s">
        <v>351</v>
      </c>
      <c r="S663" s="178" t="s">
        <v>253</v>
      </c>
      <c r="T663" s="57" t="str">
        <f t="shared" si="33"/>
        <v>Đ</v>
      </c>
      <c r="U663" s="59">
        <f t="shared" si="34"/>
        <v>1</v>
      </c>
      <c r="V663" s="55">
        <f t="shared" si="35"/>
        <v>13311</v>
      </c>
    </row>
    <row r="664" spans="1:22">
      <c r="A664" s="176">
        <v>647</v>
      </c>
      <c r="B664" s="178" t="s">
        <v>1249</v>
      </c>
      <c r="C664" s="271" t="s">
        <v>1250</v>
      </c>
      <c r="D664" s="177">
        <v>46154</v>
      </c>
      <c r="E664" s="178" t="s">
        <v>1251</v>
      </c>
      <c r="F664" s="271" t="s">
        <v>1252</v>
      </c>
      <c r="G664" s="178" t="s">
        <v>1253</v>
      </c>
      <c r="H664" s="366">
        <v>1639691891</v>
      </c>
      <c r="I664" s="176">
        <v>8</v>
      </c>
      <c r="J664" s="366">
        <v>131175351</v>
      </c>
      <c r="K664" s="162"/>
      <c r="L664" s="178" t="s">
        <v>252</v>
      </c>
      <c r="M664" s="271" t="s">
        <v>349</v>
      </c>
      <c r="N664" s="177">
        <v>46234</v>
      </c>
      <c r="O664" s="177">
        <v>46234</v>
      </c>
      <c r="P664" s="366">
        <v>1770867242</v>
      </c>
      <c r="Q664" s="176" t="s">
        <v>1217</v>
      </c>
      <c r="R664" s="176" t="s">
        <v>351</v>
      </c>
      <c r="S664" s="178" t="s">
        <v>253</v>
      </c>
      <c r="T664" s="57" t="str">
        <f t="shared" si="33"/>
        <v>Đ</v>
      </c>
      <c r="U664" s="59">
        <f t="shared" si="34"/>
        <v>0</v>
      </c>
      <c r="V664" s="55">
        <f t="shared" si="35"/>
        <v>13311</v>
      </c>
    </row>
    <row r="665" spans="1:22">
      <c r="A665" s="176">
        <v>648</v>
      </c>
      <c r="B665" s="178" t="s">
        <v>1254</v>
      </c>
      <c r="C665" s="271" t="s">
        <v>1255</v>
      </c>
      <c r="D665" s="177">
        <v>46155</v>
      </c>
      <c r="E665" s="178" t="s">
        <v>1256</v>
      </c>
      <c r="F665" s="271" t="s">
        <v>1257</v>
      </c>
      <c r="G665" s="178" t="s">
        <v>1258</v>
      </c>
      <c r="H665" s="366">
        <v>81481481</v>
      </c>
      <c r="I665" s="176">
        <v>8</v>
      </c>
      <c r="J665" s="366">
        <v>6518519</v>
      </c>
      <c r="K665" s="162"/>
      <c r="L665" s="178" t="s">
        <v>252</v>
      </c>
      <c r="M665" s="271" t="s">
        <v>349</v>
      </c>
      <c r="N665" s="177">
        <v>46234</v>
      </c>
      <c r="O665" s="177">
        <v>46234</v>
      </c>
      <c r="P665" s="366">
        <v>88000000</v>
      </c>
      <c r="Q665" s="176" t="s">
        <v>1217</v>
      </c>
      <c r="R665" s="176" t="s">
        <v>351</v>
      </c>
      <c r="S665" s="178" t="s">
        <v>253</v>
      </c>
      <c r="T665" s="57" t="str">
        <f t="shared" si="33"/>
        <v>Đ</v>
      </c>
      <c r="U665" s="59">
        <f t="shared" si="34"/>
        <v>-1</v>
      </c>
      <c r="V665" s="55">
        <f t="shared" si="35"/>
        <v>13311</v>
      </c>
    </row>
    <row r="666" spans="1:22">
      <c r="A666" s="176">
        <v>649</v>
      </c>
      <c r="B666" s="178" t="s">
        <v>1259</v>
      </c>
      <c r="C666" s="271" t="s">
        <v>1260</v>
      </c>
      <c r="D666" s="177">
        <v>46189</v>
      </c>
      <c r="E666" s="178" t="s">
        <v>1261</v>
      </c>
      <c r="F666" s="271" t="s">
        <v>1262</v>
      </c>
      <c r="G666" s="178" t="s">
        <v>1258</v>
      </c>
      <c r="H666" s="366">
        <v>66593519</v>
      </c>
      <c r="I666" s="176">
        <v>8</v>
      </c>
      <c r="J666" s="366">
        <v>5327481</v>
      </c>
      <c r="K666" s="162"/>
      <c r="L666" s="178" t="s">
        <v>252</v>
      </c>
      <c r="M666" s="271" t="s">
        <v>349</v>
      </c>
      <c r="N666" s="177">
        <v>46234</v>
      </c>
      <c r="O666" s="177">
        <v>46234</v>
      </c>
      <c r="P666" s="366">
        <v>71921000</v>
      </c>
      <c r="Q666" s="176" t="s">
        <v>1217</v>
      </c>
      <c r="R666" s="176" t="s">
        <v>351</v>
      </c>
      <c r="S666" s="178" t="s">
        <v>253</v>
      </c>
      <c r="T666" s="57" t="str">
        <f t="shared" si="33"/>
        <v>Đ</v>
      </c>
      <c r="U666" s="59">
        <f t="shared" si="34"/>
        <v>1</v>
      </c>
      <c r="V666" s="55">
        <f t="shared" si="35"/>
        <v>13311</v>
      </c>
    </row>
    <row r="667" spans="1:22" ht="21.5" customHeight="1">
      <c r="A667" s="176">
        <v>650</v>
      </c>
      <c r="B667" s="178" t="s">
        <v>1263</v>
      </c>
      <c r="C667" s="271" t="s">
        <v>1264</v>
      </c>
      <c r="D667" s="177">
        <v>46190</v>
      </c>
      <c r="E667" s="178" t="s">
        <v>1265</v>
      </c>
      <c r="F667" s="271" t="s">
        <v>1266</v>
      </c>
      <c r="G667" s="178" t="s">
        <v>1248</v>
      </c>
      <c r="H667" s="366">
        <v>235597513</v>
      </c>
      <c r="I667" s="176">
        <v>8</v>
      </c>
      <c r="J667" s="366">
        <v>18847801</v>
      </c>
      <c r="K667" s="162"/>
      <c r="L667" s="178" t="s">
        <v>252</v>
      </c>
      <c r="M667" s="271" t="s">
        <v>349</v>
      </c>
      <c r="N667" s="177">
        <v>46234</v>
      </c>
      <c r="O667" s="177">
        <v>46234</v>
      </c>
      <c r="P667" s="366">
        <v>254445314</v>
      </c>
      <c r="Q667" s="176" t="s">
        <v>1217</v>
      </c>
      <c r="R667" s="176" t="s">
        <v>351</v>
      </c>
      <c r="S667" s="178" t="s">
        <v>253</v>
      </c>
      <c r="T667" s="57" t="str">
        <f t="shared" si="33"/>
        <v>Đ</v>
      </c>
      <c r="U667" s="59">
        <f t="shared" si="34"/>
        <v>0</v>
      </c>
      <c r="V667" s="55">
        <f t="shared" si="35"/>
        <v>13311</v>
      </c>
    </row>
    <row r="668" spans="1:22">
      <c r="A668" s="176">
        <v>651</v>
      </c>
      <c r="B668" s="178" t="s">
        <v>1267</v>
      </c>
      <c r="C668" s="271" t="s">
        <v>1245</v>
      </c>
      <c r="D668" s="177">
        <v>46191</v>
      </c>
      <c r="E668" s="178" t="s">
        <v>1268</v>
      </c>
      <c r="F668" s="271" t="s">
        <v>1269</v>
      </c>
      <c r="G668" s="178" t="s">
        <v>1248</v>
      </c>
      <c r="H668" s="366">
        <v>481481481</v>
      </c>
      <c r="I668" s="176">
        <v>8</v>
      </c>
      <c r="J668" s="366">
        <v>38518519</v>
      </c>
      <c r="K668" s="162"/>
      <c r="L668" s="178" t="s">
        <v>252</v>
      </c>
      <c r="M668" s="271" t="s">
        <v>349</v>
      </c>
      <c r="N668" s="177">
        <v>46234</v>
      </c>
      <c r="O668" s="177">
        <v>46234</v>
      </c>
      <c r="P668" s="366">
        <v>520000000</v>
      </c>
      <c r="Q668" s="176" t="s">
        <v>1217</v>
      </c>
      <c r="R668" s="176" t="s">
        <v>351</v>
      </c>
      <c r="S668" s="178" t="s">
        <v>253</v>
      </c>
      <c r="T668" s="57" t="str">
        <f t="shared" si="33"/>
        <v>Đ</v>
      </c>
      <c r="U668" s="59">
        <f t="shared" si="34"/>
        <v>-1</v>
      </c>
      <c r="V668" s="55">
        <f t="shared" si="35"/>
        <v>13311</v>
      </c>
    </row>
    <row r="669" spans="1:22" ht="21.5" customHeight="1">
      <c r="A669" s="176">
        <v>652</v>
      </c>
      <c r="B669" s="178" t="s">
        <v>1270</v>
      </c>
      <c r="C669" s="271" t="s">
        <v>1271</v>
      </c>
      <c r="D669" s="177">
        <v>46191</v>
      </c>
      <c r="E669" s="178" t="s">
        <v>1272</v>
      </c>
      <c r="F669" s="271" t="s">
        <v>1273</v>
      </c>
      <c r="G669" s="178" t="s">
        <v>1248</v>
      </c>
      <c r="H669" s="366">
        <v>358082757</v>
      </c>
      <c r="I669" s="176">
        <v>8</v>
      </c>
      <c r="J669" s="366">
        <v>28646621</v>
      </c>
      <c r="K669" s="162"/>
      <c r="L669" s="178" t="s">
        <v>252</v>
      </c>
      <c r="M669" s="271" t="s">
        <v>349</v>
      </c>
      <c r="N669" s="177">
        <v>46234</v>
      </c>
      <c r="O669" s="177">
        <v>46234</v>
      </c>
      <c r="P669" s="366">
        <v>386729378</v>
      </c>
      <c r="Q669" s="176" t="s">
        <v>1217</v>
      </c>
      <c r="R669" s="176" t="s">
        <v>351</v>
      </c>
      <c r="S669" s="178" t="s">
        <v>253</v>
      </c>
      <c r="T669" s="57" t="str">
        <f t="shared" si="33"/>
        <v>Đ</v>
      </c>
      <c r="U669" s="59">
        <f t="shared" si="34"/>
        <v>0</v>
      </c>
      <c r="V669" s="55">
        <f t="shared" si="35"/>
        <v>13311</v>
      </c>
    </row>
    <row r="670" spans="1:22" ht="21.5" customHeight="1">
      <c r="A670" s="176">
        <v>653</v>
      </c>
      <c r="B670" s="178" t="s">
        <v>1270</v>
      </c>
      <c r="C670" s="271" t="s">
        <v>1274</v>
      </c>
      <c r="D670" s="177">
        <v>46191</v>
      </c>
      <c r="E670" s="178" t="s">
        <v>1272</v>
      </c>
      <c r="F670" s="271" t="s">
        <v>1273</v>
      </c>
      <c r="G670" s="178" t="s">
        <v>1248</v>
      </c>
      <c r="H670" s="366">
        <v>224087850</v>
      </c>
      <c r="I670" s="176">
        <v>8</v>
      </c>
      <c r="J670" s="366">
        <v>17927028</v>
      </c>
      <c r="K670" s="162"/>
      <c r="L670" s="178" t="s">
        <v>252</v>
      </c>
      <c r="M670" s="271" t="s">
        <v>349</v>
      </c>
      <c r="N670" s="177">
        <v>46234</v>
      </c>
      <c r="O670" s="177">
        <v>46234</v>
      </c>
      <c r="P670" s="366">
        <v>242014878</v>
      </c>
      <c r="Q670" s="176" t="s">
        <v>1217</v>
      </c>
      <c r="R670" s="176" t="s">
        <v>351</v>
      </c>
      <c r="S670" s="178" t="s">
        <v>253</v>
      </c>
      <c r="T670" s="57" t="str">
        <f t="shared" si="33"/>
        <v>Đ</v>
      </c>
      <c r="U670" s="59">
        <f t="shared" si="34"/>
        <v>0</v>
      </c>
      <c r="V670" s="55">
        <f t="shared" si="35"/>
        <v>13311</v>
      </c>
    </row>
    <row r="671" spans="1:22">
      <c r="A671" s="176">
        <v>654</v>
      </c>
      <c r="B671" s="178" t="s">
        <v>1275</v>
      </c>
      <c r="C671" s="271" t="s">
        <v>1276</v>
      </c>
      <c r="D671" s="177">
        <v>46134</v>
      </c>
      <c r="E671" s="178" t="s">
        <v>1277</v>
      </c>
      <c r="F671" s="271" t="s">
        <v>1278</v>
      </c>
      <c r="G671" s="178" t="s">
        <v>1279</v>
      </c>
      <c r="H671" s="366">
        <v>104839483</v>
      </c>
      <c r="I671" s="176">
        <v>8</v>
      </c>
      <c r="J671" s="366">
        <v>8387159</v>
      </c>
      <c r="K671" s="162"/>
      <c r="L671" s="178" t="s">
        <v>252</v>
      </c>
      <c r="M671" s="271" t="s">
        <v>349</v>
      </c>
      <c r="N671" s="177">
        <v>46234</v>
      </c>
      <c r="O671" s="177">
        <v>46234</v>
      </c>
      <c r="P671" s="366">
        <v>113226642</v>
      </c>
      <c r="Q671" s="176" t="s">
        <v>1217</v>
      </c>
      <c r="R671" s="176" t="s">
        <v>351</v>
      </c>
      <c r="S671" s="178" t="s">
        <v>253</v>
      </c>
      <c r="T671" s="57" t="str">
        <f t="shared" si="33"/>
        <v>Đ</v>
      </c>
      <c r="U671" s="59">
        <f t="shared" si="34"/>
        <v>0</v>
      </c>
      <c r="V671" s="55">
        <f t="shared" si="35"/>
        <v>13311</v>
      </c>
    </row>
    <row r="672" spans="1:22">
      <c r="A672" s="176">
        <v>655</v>
      </c>
      <c r="B672" s="178" t="s">
        <v>1267</v>
      </c>
      <c r="C672" s="271" t="s">
        <v>1280</v>
      </c>
      <c r="D672" s="177">
        <v>46168</v>
      </c>
      <c r="E672" s="178" t="s">
        <v>1281</v>
      </c>
      <c r="F672" s="271" t="s">
        <v>1282</v>
      </c>
      <c r="G672" s="178" t="s">
        <v>1253</v>
      </c>
      <c r="H672" s="366">
        <v>196202205</v>
      </c>
      <c r="I672" s="176">
        <v>8</v>
      </c>
      <c r="J672" s="366">
        <v>15696176</v>
      </c>
      <c r="K672" s="162"/>
      <c r="L672" s="178" t="s">
        <v>252</v>
      </c>
      <c r="M672" s="271" t="s">
        <v>349</v>
      </c>
      <c r="N672" s="177">
        <v>46234</v>
      </c>
      <c r="O672" s="177">
        <v>46234</v>
      </c>
      <c r="P672" s="366">
        <v>211898381</v>
      </c>
      <c r="Q672" s="176" t="s">
        <v>1217</v>
      </c>
      <c r="R672" s="176" t="s">
        <v>351</v>
      </c>
      <c r="S672" s="178" t="s">
        <v>253</v>
      </c>
      <c r="T672" s="57" t="str">
        <f t="shared" si="33"/>
        <v>Đ</v>
      </c>
      <c r="U672" s="59">
        <f t="shared" si="34"/>
        <v>0</v>
      </c>
      <c r="V672" s="55">
        <f t="shared" si="35"/>
        <v>13311</v>
      </c>
    </row>
    <row r="673" spans="1:22" ht="21.5" customHeight="1">
      <c r="A673" s="176">
        <v>656</v>
      </c>
      <c r="B673" s="178" t="s">
        <v>1283</v>
      </c>
      <c r="C673" s="271" t="s">
        <v>1284</v>
      </c>
      <c r="D673" s="177">
        <v>46168</v>
      </c>
      <c r="E673" s="178" t="s">
        <v>1285</v>
      </c>
      <c r="F673" s="271" t="s">
        <v>1286</v>
      </c>
      <c r="G673" s="178" t="s">
        <v>1253</v>
      </c>
      <c r="H673" s="366">
        <v>1072210304</v>
      </c>
      <c r="I673" s="176">
        <v>8</v>
      </c>
      <c r="J673" s="366">
        <v>85776824</v>
      </c>
      <c r="K673" s="162"/>
      <c r="L673" s="178" t="s">
        <v>252</v>
      </c>
      <c r="M673" s="271" t="s">
        <v>349</v>
      </c>
      <c r="N673" s="177">
        <v>46234</v>
      </c>
      <c r="O673" s="177">
        <v>46234</v>
      </c>
      <c r="P673" s="366">
        <v>1157987128</v>
      </c>
      <c r="Q673" s="176" t="s">
        <v>1217</v>
      </c>
      <c r="R673" s="176" t="s">
        <v>351</v>
      </c>
      <c r="S673" s="178" t="s">
        <v>253</v>
      </c>
      <c r="T673" s="57" t="str">
        <f t="shared" si="33"/>
        <v>Đ</v>
      </c>
      <c r="U673" s="59">
        <f t="shared" si="34"/>
        <v>0</v>
      </c>
      <c r="V673" s="55">
        <f t="shared" si="35"/>
        <v>13311</v>
      </c>
    </row>
    <row r="674" spans="1:22">
      <c r="A674" s="176">
        <v>657</v>
      </c>
      <c r="B674" s="178" t="s">
        <v>1287</v>
      </c>
      <c r="C674" s="271" t="s">
        <v>1274</v>
      </c>
      <c r="D674" s="177">
        <v>46200</v>
      </c>
      <c r="E674" s="178" t="s">
        <v>1288</v>
      </c>
      <c r="F674" s="271" t="s">
        <v>1289</v>
      </c>
      <c r="G674" s="178" t="s">
        <v>1253</v>
      </c>
      <c r="H674" s="366">
        <v>3372925771</v>
      </c>
      <c r="I674" s="176">
        <v>8</v>
      </c>
      <c r="J674" s="366">
        <v>269834061</v>
      </c>
      <c r="K674" s="162"/>
      <c r="L674" s="178" t="s">
        <v>252</v>
      </c>
      <c r="M674" s="271" t="s">
        <v>349</v>
      </c>
      <c r="N674" s="177">
        <v>46234</v>
      </c>
      <c r="O674" s="177">
        <v>46234</v>
      </c>
      <c r="P674" s="366">
        <v>3642759832</v>
      </c>
      <c r="Q674" s="176" t="s">
        <v>1217</v>
      </c>
      <c r="R674" s="176" t="s">
        <v>351</v>
      </c>
      <c r="S674" s="178" t="s">
        <v>253</v>
      </c>
      <c r="T674" s="57" t="str">
        <f t="shared" si="33"/>
        <v>Đ</v>
      </c>
      <c r="U674" s="59">
        <f t="shared" si="34"/>
        <v>1</v>
      </c>
      <c r="V674" s="55">
        <f t="shared" si="35"/>
        <v>13311</v>
      </c>
    </row>
    <row r="675" spans="1:22">
      <c r="A675" s="176">
        <v>658</v>
      </c>
      <c r="B675" s="178" t="s">
        <v>1290</v>
      </c>
      <c r="C675" s="271" t="s">
        <v>1291</v>
      </c>
      <c r="D675" s="177">
        <v>46170</v>
      </c>
      <c r="E675" s="178" t="s">
        <v>1292</v>
      </c>
      <c r="F675" s="271" t="s">
        <v>1293</v>
      </c>
      <c r="G675" s="178" t="s">
        <v>1294</v>
      </c>
      <c r="H675" s="366">
        <v>245370370</v>
      </c>
      <c r="I675" s="176">
        <v>8</v>
      </c>
      <c r="J675" s="366">
        <v>19629630</v>
      </c>
      <c r="K675" s="162"/>
      <c r="L675" s="178" t="s">
        <v>252</v>
      </c>
      <c r="M675" s="271" t="s">
        <v>349</v>
      </c>
      <c r="N675" s="177">
        <v>46234</v>
      </c>
      <c r="O675" s="177">
        <v>46234</v>
      </c>
      <c r="P675" s="366">
        <v>265000000</v>
      </c>
      <c r="Q675" s="176" t="s">
        <v>1217</v>
      </c>
      <c r="R675" s="176" t="s">
        <v>351</v>
      </c>
      <c r="S675" s="178" t="s">
        <v>253</v>
      </c>
      <c r="T675" s="57" t="str">
        <f t="shared" si="33"/>
        <v>Đ</v>
      </c>
      <c r="U675" s="59">
        <f t="shared" si="34"/>
        <v>0</v>
      </c>
      <c r="V675" s="55">
        <f t="shared" si="35"/>
        <v>13311</v>
      </c>
    </row>
    <row r="676" spans="1:22">
      <c r="A676" s="176">
        <v>659</v>
      </c>
      <c r="B676" s="178" t="s">
        <v>1290</v>
      </c>
      <c r="C676" s="271" t="s">
        <v>1295</v>
      </c>
      <c r="D676" s="177">
        <v>46170</v>
      </c>
      <c r="E676" s="178" t="s">
        <v>1292</v>
      </c>
      <c r="F676" s="271" t="s">
        <v>1293</v>
      </c>
      <c r="G676" s="178" t="s">
        <v>1296</v>
      </c>
      <c r="H676" s="366">
        <v>310915741</v>
      </c>
      <c r="I676" s="176">
        <v>8</v>
      </c>
      <c r="J676" s="366">
        <v>24873259</v>
      </c>
      <c r="K676" s="162"/>
      <c r="L676" s="178" t="s">
        <v>252</v>
      </c>
      <c r="M676" s="271" t="s">
        <v>349</v>
      </c>
      <c r="N676" s="177">
        <v>46234</v>
      </c>
      <c r="O676" s="177">
        <v>46234</v>
      </c>
      <c r="P676" s="366">
        <v>335789000</v>
      </c>
      <c r="Q676" s="176" t="s">
        <v>1217</v>
      </c>
      <c r="R676" s="176" t="s">
        <v>351</v>
      </c>
      <c r="S676" s="178" t="s">
        <v>253</v>
      </c>
      <c r="T676" s="57" t="str">
        <f t="shared" si="33"/>
        <v>Đ</v>
      </c>
      <c r="U676" s="59">
        <f t="shared" si="34"/>
        <v>0</v>
      </c>
      <c r="V676" s="55">
        <f t="shared" si="35"/>
        <v>13311</v>
      </c>
    </row>
    <row r="677" spans="1:22" ht="14.5" customHeight="1">
      <c r="A677" s="176">
        <v>660</v>
      </c>
      <c r="B677" s="178" t="s">
        <v>1297</v>
      </c>
      <c r="C677" s="271" t="s">
        <v>1298</v>
      </c>
      <c r="D677" s="177">
        <v>46206</v>
      </c>
      <c r="E677" s="178" t="s">
        <v>1299</v>
      </c>
      <c r="F677" s="271" t="s">
        <v>1300</v>
      </c>
      <c r="G677" s="178" t="s">
        <v>1301</v>
      </c>
      <c r="H677" s="366">
        <v>293653815</v>
      </c>
      <c r="I677" s="176">
        <v>8</v>
      </c>
      <c r="J677" s="366">
        <v>23492305</v>
      </c>
      <c r="K677" s="178" t="s">
        <v>261</v>
      </c>
      <c r="L677" s="178" t="s">
        <v>252</v>
      </c>
      <c r="M677" s="271" t="s">
        <v>1302</v>
      </c>
      <c r="N677" s="177">
        <v>46225</v>
      </c>
      <c r="O677" s="177">
        <v>46225</v>
      </c>
      <c r="P677" s="366">
        <v>317146120</v>
      </c>
      <c r="Q677" s="176" t="s">
        <v>1303</v>
      </c>
      <c r="R677" s="176" t="s">
        <v>434</v>
      </c>
      <c r="S677" s="178" t="s">
        <v>253</v>
      </c>
      <c r="T677" s="57" t="str">
        <f t="shared" si="33"/>
        <v>Đ</v>
      </c>
      <c r="U677" s="59">
        <f t="shared" si="34"/>
        <v>0</v>
      </c>
      <c r="V677" s="55">
        <f t="shared" si="35"/>
        <v>13311</v>
      </c>
    </row>
    <row r="678" spans="1:22" ht="14.5" customHeight="1">
      <c r="A678" s="176">
        <v>661</v>
      </c>
      <c r="B678" s="178" t="s">
        <v>1297</v>
      </c>
      <c r="C678" s="271" t="s">
        <v>1304</v>
      </c>
      <c r="D678" s="177">
        <v>46206</v>
      </c>
      <c r="E678" s="178" t="s">
        <v>1299</v>
      </c>
      <c r="F678" s="271" t="s">
        <v>1300</v>
      </c>
      <c r="G678" s="178" t="s">
        <v>1301</v>
      </c>
      <c r="H678" s="366">
        <v>229619715</v>
      </c>
      <c r="I678" s="176">
        <v>8</v>
      </c>
      <c r="J678" s="366">
        <v>18369577</v>
      </c>
      <c r="K678" s="178" t="s">
        <v>261</v>
      </c>
      <c r="L678" s="178" t="s">
        <v>252</v>
      </c>
      <c r="M678" s="271" t="s">
        <v>1302</v>
      </c>
      <c r="N678" s="177">
        <v>46225</v>
      </c>
      <c r="O678" s="177">
        <v>46225</v>
      </c>
      <c r="P678" s="366">
        <v>247989292</v>
      </c>
      <c r="Q678" s="176" t="s">
        <v>1303</v>
      </c>
      <c r="R678" s="176" t="s">
        <v>434</v>
      </c>
      <c r="S678" s="178" t="s">
        <v>253</v>
      </c>
      <c r="T678" s="57" t="str">
        <f t="shared" si="33"/>
        <v>Đ</v>
      </c>
      <c r="U678" s="59">
        <f t="shared" si="34"/>
        <v>0</v>
      </c>
      <c r="V678" s="55">
        <f t="shared" si="35"/>
        <v>13311</v>
      </c>
    </row>
    <row r="679" spans="1:22" ht="14.5" customHeight="1">
      <c r="A679" s="176">
        <v>662</v>
      </c>
      <c r="B679" s="178" t="s">
        <v>1305</v>
      </c>
      <c r="C679" s="271" t="s">
        <v>1306</v>
      </c>
      <c r="D679" s="177">
        <v>46206</v>
      </c>
      <c r="E679" s="178" t="s">
        <v>1307</v>
      </c>
      <c r="F679" s="271" t="s">
        <v>1308</v>
      </c>
      <c r="G679" s="178" t="s">
        <v>1301</v>
      </c>
      <c r="H679" s="366">
        <v>334695</v>
      </c>
      <c r="I679" s="176">
        <v>8</v>
      </c>
      <c r="J679" s="366">
        <v>26776</v>
      </c>
      <c r="K679" s="178" t="s">
        <v>261</v>
      </c>
      <c r="L679" s="178" t="s">
        <v>252</v>
      </c>
      <c r="M679" s="271" t="s">
        <v>1302</v>
      </c>
      <c r="N679" s="177">
        <v>46225</v>
      </c>
      <c r="O679" s="177">
        <v>46225</v>
      </c>
      <c r="P679" s="366">
        <v>361471</v>
      </c>
      <c r="Q679" s="176" t="s">
        <v>1303</v>
      </c>
      <c r="R679" s="176" t="s">
        <v>434</v>
      </c>
      <c r="S679" s="178" t="s">
        <v>253</v>
      </c>
      <c r="T679" s="57" t="str">
        <f t="shared" si="33"/>
        <v>Đ</v>
      </c>
      <c r="U679" s="59">
        <f t="shared" si="34"/>
        <v>0</v>
      </c>
      <c r="V679" s="55">
        <f t="shared" si="35"/>
        <v>13311</v>
      </c>
    </row>
    <row r="680" spans="1:22" ht="14.5" customHeight="1">
      <c r="A680" s="176">
        <v>663</v>
      </c>
      <c r="B680" s="178" t="s">
        <v>1305</v>
      </c>
      <c r="C680" s="271" t="s">
        <v>1309</v>
      </c>
      <c r="D680" s="177">
        <v>46206</v>
      </c>
      <c r="E680" s="178" t="s">
        <v>1310</v>
      </c>
      <c r="F680" s="271" t="s">
        <v>1308</v>
      </c>
      <c r="G680" s="178" t="s">
        <v>1301</v>
      </c>
      <c r="H680" s="366">
        <v>17829350</v>
      </c>
      <c r="I680" s="176">
        <v>8</v>
      </c>
      <c r="J680" s="366">
        <v>1426348</v>
      </c>
      <c r="K680" s="178" t="s">
        <v>261</v>
      </c>
      <c r="L680" s="178" t="s">
        <v>252</v>
      </c>
      <c r="M680" s="271" t="s">
        <v>1302</v>
      </c>
      <c r="N680" s="177">
        <v>46225</v>
      </c>
      <c r="O680" s="177">
        <v>46225</v>
      </c>
      <c r="P680" s="366">
        <v>19255698</v>
      </c>
      <c r="Q680" s="176" t="s">
        <v>1303</v>
      </c>
      <c r="R680" s="176" t="s">
        <v>434</v>
      </c>
      <c r="S680" s="178" t="s">
        <v>253</v>
      </c>
      <c r="T680" s="57" t="str">
        <f t="shared" si="33"/>
        <v>Đ</v>
      </c>
      <c r="U680" s="59">
        <f t="shared" si="34"/>
        <v>0</v>
      </c>
      <c r="V680" s="55">
        <f t="shared" si="35"/>
        <v>13311</v>
      </c>
    </row>
    <row r="681" spans="1:22" ht="14.5" customHeight="1">
      <c r="A681" s="176">
        <v>664</v>
      </c>
      <c r="B681" s="178" t="s">
        <v>1305</v>
      </c>
      <c r="C681" s="271" t="s">
        <v>1311</v>
      </c>
      <c r="D681" s="177">
        <v>46206</v>
      </c>
      <c r="E681" s="178" t="s">
        <v>1310</v>
      </c>
      <c r="F681" s="271" t="s">
        <v>1308</v>
      </c>
      <c r="G681" s="178" t="s">
        <v>1301</v>
      </c>
      <c r="H681" s="366">
        <v>22662430</v>
      </c>
      <c r="I681" s="176">
        <v>8</v>
      </c>
      <c r="J681" s="366">
        <v>1812994</v>
      </c>
      <c r="K681" s="178" t="s">
        <v>261</v>
      </c>
      <c r="L681" s="178" t="s">
        <v>252</v>
      </c>
      <c r="M681" s="271" t="s">
        <v>1302</v>
      </c>
      <c r="N681" s="177">
        <v>46225</v>
      </c>
      <c r="O681" s="177">
        <v>46225</v>
      </c>
      <c r="P681" s="366">
        <v>24475424</v>
      </c>
      <c r="Q681" s="176" t="s">
        <v>1303</v>
      </c>
      <c r="R681" s="176" t="s">
        <v>434</v>
      </c>
      <c r="S681" s="178" t="s">
        <v>253</v>
      </c>
      <c r="T681" s="57" t="str">
        <f t="shared" si="33"/>
        <v>Đ</v>
      </c>
      <c r="U681" s="59">
        <f t="shared" si="34"/>
        <v>0</v>
      </c>
      <c r="V681" s="55">
        <f t="shared" si="35"/>
        <v>13311</v>
      </c>
    </row>
    <row r="682" spans="1:22" ht="21.5" customHeight="1">
      <c r="A682" s="176">
        <v>665</v>
      </c>
      <c r="B682" s="178" t="s">
        <v>1312</v>
      </c>
      <c r="C682" s="271" t="s">
        <v>1313</v>
      </c>
      <c r="D682" s="177">
        <v>46206</v>
      </c>
      <c r="E682" s="178" t="s">
        <v>1314</v>
      </c>
      <c r="F682" s="271" t="s">
        <v>1315</v>
      </c>
      <c r="G682" s="178" t="s">
        <v>1301</v>
      </c>
      <c r="H682" s="366">
        <v>6479190</v>
      </c>
      <c r="I682" s="176">
        <v>8</v>
      </c>
      <c r="J682" s="366">
        <v>518335</v>
      </c>
      <c r="K682" s="178" t="s">
        <v>261</v>
      </c>
      <c r="L682" s="178" t="s">
        <v>252</v>
      </c>
      <c r="M682" s="271" t="s">
        <v>1302</v>
      </c>
      <c r="N682" s="177">
        <v>46225</v>
      </c>
      <c r="O682" s="177">
        <v>46225</v>
      </c>
      <c r="P682" s="366">
        <v>6997525</v>
      </c>
      <c r="Q682" s="176" t="s">
        <v>1303</v>
      </c>
      <c r="R682" s="176" t="s">
        <v>434</v>
      </c>
      <c r="S682" s="178" t="s">
        <v>253</v>
      </c>
      <c r="T682" s="57" t="str">
        <f t="shared" si="33"/>
        <v>Đ</v>
      </c>
      <c r="U682" s="59">
        <f t="shared" si="34"/>
        <v>0</v>
      </c>
      <c r="V682" s="55">
        <f t="shared" si="35"/>
        <v>13311</v>
      </c>
    </row>
    <row r="683" spans="1:22" ht="21.5" customHeight="1">
      <c r="A683" s="176">
        <v>666</v>
      </c>
      <c r="B683" s="178" t="s">
        <v>1312</v>
      </c>
      <c r="C683" s="271" t="s">
        <v>1316</v>
      </c>
      <c r="D683" s="177">
        <v>46206</v>
      </c>
      <c r="E683" s="178" t="s">
        <v>1314</v>
      </c>
      <c r="F683" s="271" t="s">
        <v>1315</v>
      </c>
      <c r="G683" s="178" t="s">
        <v>1301</v>
      </c>
      <c r="H683" s="366">
        <v>12248995</v>
      </c>
      <c r="I683" s="176">
        <v>8</v>
      </c>
      <c r="J683" s="366">
        <v>979920</v>
      </c>
      <c r="K683" s="178" t="s">
        <v>261</v>
      </c>
      <c r="L683" s="178" t="s">
        <v>252</v>
      </c>
      <c r="M683" s="271" t="s">
        <v>1302</v>
      </c>
      <c r="N683" s="177">
        <v>46225</v>
      </c>
      <c r="O683" s="177">
        <v>46225</v>
      </c>
      <c r="P683" s="366">
        <v>13228915</v>
      </c>
      <c r="Q683" s="176" t="s">
        <v>1303</v>
      </c>
      <c r="R683" s="176" t="s">
        <v>434</v>
      </c>
      <c r="S683" s="178" t="s">
        <v>253</v>
      </c>
      <c r="T683" s="57" t="str">
        <f t="shared" si="33"/>
        <v>Đ</v>
      </c>
      <c r="U683" s="59">
        <f t="shared" si="34"/>
        <v>0</v>
      </c>
      <c r="V683" s="55">
        <f t="shared" si="35"/>
        <v>13311</v>
      </c>
    </row>
    <row r="684" spans="1:22" ht="14.5" customHeight="1">
      <c r="A684" s="176">
        <v>667</v>
      </c>
      <c r="B684" s="178" t="s">
        <v>1317</v>
      </c>
      <c r="C684" s="271" t="s">
        <v>1318</v>
      </c>
      <c r="D684" s="177">
        <v>46206</v>
      </c>
      <c r="E684" s="178" t="s">
        <v>1319</v>
      </c>
      <c r="F684" s="271" t="s">
        <v>1320</v>
      </c>
      <c r="G684" s="178" t="s">
        <v>1301</v>
      </c>
      <c r="H684" s="366">
        <v>570455</v>
      </c>
      <c r="I684" s="176">
        <v>8</v>
      </c>
      <c r="J684" s="366">
        <v>45636</v>
      </c>
      <c r="K684" s="178" t="s">
        <v>261</v>
      </c>
      <c r="L684" s="178" t="s">
        <v>252</v>
      </c>
      <c r="M684" s="271" t="s">
        <v>1302</v>
      </c>
      <c r="N684" s="177">
        <v>46225</v>
      </c>
      <c r="O684" s="177">
        <v>46225</v>
      </c>
      <c r="P684" s="366">
        <v>616091</v>
      </c>
      <c r="Q684" s="176" t="s">
        <v>1303</v>
      </c>
      <c r="R684" s="176" t="s">
        <v>434</v>
      </c>
      <c r="S684" s="178" t="s">
        <v>253</v>
      </c>
      <c r="T684" s="57" t="str">
        <f t="shared" si="33"/>
        <v>Đ</v>
      </c>
      <c r="U684" s="59">
        <f t="shared" si="34"/>
        <v>0</v>
      </c>
      <c r="V684" s="55">
        <f t="shared" si="35"/>
        <v>13311</v>
      </c>
    </row>
    <row r="685" spans="1:22" ht="14.5" customHeight="1">
      <c r="A685" s="176">
        <v>668</v>
      </c>
      <c r="B685" s="178" t="s">
        <v>1321</v>
      </c>
      <c r="C685" s="271" t="s">
        <v>1322</v>
      </c>
      <c r="D685" s="177">
        <v>46206</v>
      </c>
      <c r="E685" s="178" t="s">
        <v>1323</v>
      </c>
      <c r="F685" s="271" t="s">
        <v>1324</v>
      </c>
      <c r="G685" s="178" t="s">
        <v>1301</v>
      </c>
      <c r="H685" s="366">
        <v>141929625</v>
      </c>
      <c r="I685" s="176">
        <v>8</v>
      </c>
      <c r="J685" s="366">
        <v>11354370</v>
      </c>
      <c r="K685" s="178" t="s">
        <v>261</v>
      </c>
      <c r="L685" s="178" t="s">
        <v>252</v>
      </c>
      <c r="M685" s="271" t="s">
        <v>1302</v>
      </c>
      <c r="N685" s="177">
        <v>46225</v>
      </c>
      <c r="O685" s="177">
        <v>46225</v>
      </c>
      <c r="P685" s="366">
        <v>153283995</v>
      </c>
      <c r="Q685" s="176" t="s">
        <v>1303</v>
      </c>
      <c r="R685" s="176" t="s">
        <v>434</v>
      </c>
      <c r="S685" s="178" t="s">
        <v>253</v>
      </c>
      <c r="T685" s="57" t="str">
        <f t="shared" si="33"/>
        <v>Đ</v>
      </c>
      <c r="U685" s="59">
        <f t="shared" si="34"/>
        <v>0</v>
      </c>
      <c r="V685" s="55">
        <f t="shared" si="35"/>
        <v>13311</v>
      </c>
    </row>
    <row r="686" spans="1:22" ht="21.5" customHeight="1">
      <c r="A686" s="176">
        <v>669</v>
      </c>
      <c r="B686" s="178" t="s">
        <v>1325</v>
      </c>
      <c r="C686" s="271" t="s">
        <v>1326</v>
      </c>
      <c r="D686" s="177">
        <v>46206</v>
      </c>
      <c r="E686" s="178" t="s">
        <v>1327</v>
      </c>
      <c r="F686" s="271" t="s">
        <v>1328</v>
      </c>
      <c r="G686" s="178" t="s">
        <v>1301</v>
      </c>
      <c r="H686" s="366">
        <v>3050145</v>
      </c>
      <c r="I686" s="176">
        <v>8</v>
      </c>
      <c r="J686" s="366">
        <v>244012</v>
      </c>
      <c r="K686" s="178" t="s">
        <v>261</v>
      </c>
      <c r="L686" s="178" t="s">
        <v>252</v>
      </c>
      <c r="M686" s="271" t="s">
        <v>1302</v>
      </c>
      <c r="N686" s="177">
        <v>46225</v>
      </c>
      <c r="O686" s="177">
        <v>46225</v>
      </c>
      <c r="P686" s="366">
        <v>3294157</v>
      </c>
      <c r="Q686" s="176" t="s">
        <v>1303</v>
      </c>
      <c r="R686" s="176" t="s">
        <v>434</v>
      </c>
      <c r="S686" s="178" t="s">
        <v>253</v>
      </c>
      <c r="T686" s="57" t="str">
        <f t="shared" si="33"/>
        <v>Đ</v>
      </c>
      <c r="U686" s="59">
        <f t="shared" si="34"/>
        <v>0</v>
      </c>
      <c r="V686" s="55">
        <f t="shared" si="35"/>
        <v>13311</v>
      </c>
    </row>
    <row r="687" spans="1:22" ht="14.5" customHeight="1">
      <c r="A687" s="176">
        <v>670</v>
      </c>
      <c r="B687" s="178" t="s">
        <v>1267</v>
      </c>
      <c r="C687" s="271" t="s">
        <v>1326</v>
      </c>
      <c r="D687" s="177">
        <v>46206</v>
      </c>
      <c r="E687" s="178" t="s">
        <v>1329</v>
      </c>
      <c r="F687" s="271" t="s">
        <v>1330</v>
      </c>
      <c r="G687" s="178" t="s">
        <v>1301</v>
      </c>
      <c r="H687" s="366">
        <v>123931875</v>
      </c>
      <c r="I687" s="176">
        <v>8</v>
      </c>
      <c r="J687" s="366">
        <v>9914550</v>
      </c>
      <c r="K687" s="178" t="s">
        <v>261</v>
      </c>
      <c r="L687" s="178" t="s">
        <v>252</v>
      </c>
      <c r="M687" s="271" t="s">
        <v>1302</v>
      </c>
      <c r="N687" s="177">
        <v>46225</v>
      </c>
      <c r="O687" s="177">
        <v>46225</v>
      </c>
      <c r="P687" s="366">
        <v>133846425</v>
      </c>
      <c r="Q687" s="176" t="s">
        <v>1303</v>
      </c>
      <c r="R687" s="176" t="s">
        <v>434</v>
      </c>
      <c r="S687" s="178" t="s">
        <v>253</v>
      </c>
      <c r="T687" s="57" t="str">
        <f t="shared" si="33"/>
        <v>Đ</v>
      </c>
      <c r="U687" s="59">
        <f t="shared" si="34"/>
        <v>0</v>
      </c>
      <c r="V687" s="55">
        <f t="shared" si="35"/>
        <v>13311</v>
      </c>
    </row>
    <row r="688" spans="1:22" ht="21.5" customHeight="1">
      <c r="A688" s="176">
        <v>671</v>
      </c>
      <c r="B688" s="178" t="s">
        <v>1325</v>
      </c>
      <c r="C688" s="271" t="s">
        <v>1331</v>
      </c>
      <c r="D688" s="177">
        <v>46206</v>
      </c>
      <c r="E688" s="178" t="s">
        <v>1327</v>
      </c>
      <c r="F688" s="271" t="s">
        <v>1328</v>
      </c>
      <c r="G688" s="178" t="s">
        <v>1301</v>
      </c>
      <c r="H688" s="366">
        <v>2867010</v>
      </c>
      <c r="I688" s="176">
        <v>8</v>
      </c>
      <c r="J688" s="366">
        <v>229361</v>
      </c>
      <c r="K688" s="178" t="s">
        <v>261</v>
      </c>
      <c r="L688" s="178" t="s">
        <v>252</v>
      </c>
      <c r="M688" s="271" t="s">
        <v>1302</v>
      </c>
      <c r="N688" s="177">
        <v>46225</v>
      </c>
      <c r="O688" s="177">
        <v>46225</v>
      </c>
      <c r="P688" s="366">
        <v>3096371</v>
      </c>
      <c r="Q688" s="176" t="s">
        <v>1303</v>
      </c>
      <c r="R688" s="176" t="s">
        <v>434</v>
      </c>
      <c r="S688" s="178" t="s">
        <v>253</v>
      </c>
      <c r="T688" s="57" t="str">
        <f t="shared" si="33"/>
        <v>Đ</v>
      </c>
      <c r="U688" s="59">
        <f t="shared" si="34"/>
        <v>0</v>
      </c>
      <c r="V688" s="55">
        <f t="shared" si="35"/>
        <v>13311</v>
      </c>
    </row>
    <row r="689" spans="1:22" ht="21.5" customHeight="1">
      <c r="A689" s="176">
        <v>672</v>
      </c>
      <c r="B689" s="178" t="s">
        <v>1325</v>
      </c>
      <c r="C689" s="271" t="s">
        <v>1332</v>
      </c>
      <c r="D689" s="177">
        <v>46206</v>
      </c>
      <c r="E689" s="178" t="s">
        <v>1327</v>
      </c>
      <c r="F689" s="271" t="s">
        <v>1328</v>
      </c>
      <c r="G689" s="178" t="s">
        <v>1301</v>
      </c>
      <c r="H689" s="366">
        <v>2018695</v>
      </c>
      <c r="I689" s="176">
        <v>8</v>
      </c>
      <c r="J689" s="366">
        <v>161496</v>
      </c>
      <c r="K689" s="178" t="s">
        <v>261</v>
      </c>
      <c r="L689" s="178" t="s">
        <v>252</v>
      </c>
      <c r="M689" s="271" t="s">
        <v>1302</v>
      </c>
      <c r="N689" s="177">
        <v>46225</v>
      </c>
      <c r="O689" s="177">
        <v>46225</v>
      </c>
      <c r="P689" s="366">
        <v>2180191</v>
      </c>
      <c r="Q689" s="176" t="s">
        <v>1303</v>
      </c>
      <c r="R689" s="176" t="s">
        <v>434</v>
      </c>
      <c r="S689" s="178" t="s">
        <v>253</v>
      </c>
      <c r="T689" s="57" t="str">
        <f t="shared" si="33"/>
        <v>Đ</v>
      </c>
      <c r="U689" s="59">
        <f t="shared" si="34"/>
        <v>0</v>
      </c>
      <c r="V689" s="55">
        <f t="shared" si="35"/>
        <v>13311</v>
      </c>
    </row>
    <row r="690" spans="1:22" ht="21.5" customHeight="1">
      <c r="A690" s="176">
        <v>673</v>
      </c>
      <c r="B690" s="178" t="s">
        <v>1325</v>
      </c>
      <c r="C690" s="271" t="s">
        <v>1333</v>
      </c>
      <c r="D690" s="177">
        <v>46206</v>
      </c>
      <c r="E690" s="178" t="s">
        <v>1327</v>
      </c>
      <c r="F690" s="271" t="s">
        <v>1328</v>
      </c>
      <c r="G690" s="178" t="s">
        <v>1301</v>
      </c>
      <c r="H690" s="366">
        <v>1978700</v>
      </c>
      <c r="I690" s="176">
        <v>8</v>
      </c>
      <c r="J690" s="366">
        <v>158296</v>
      </c>
      <c r="K690" s="178" t="s">
        <v>261</v>
      </c>
      <c r="L690" s="178" t="s">
        <v>252</v>
      </c>
      <c r="M690" s="271" t="s">
        <v>1302</v>
      </c>
      <c r="N690" s="177">
        <v>46225</v>
      </c>
      <c r="O690" s="177">
        <v>46225</v>
      </c>
      <c r="P690" s="366">
        <v>2136996</v>
      </c>
      <c r="Q690" s="176" t="s">
        <v>1303</v>
      </c>
      <c r="R690" s="176" t="s">
        <v>434</v>
      </c>
      <c r="S690" s="178" t="s">
        <v>253</v>
      </c>
      <c r="T690" s="57" t="str">
        <f t="shared" si="33"/>
        <v>Đ</v>
      </c>
      <c r="U690" s="59">
        <f t="shared" si="34"/>
        <v>0</v>
      </c>
      <c r="V690" s="55">
        <f t="shared" si="35"/>
        <v>13311</v>
      </c>
    </row>
    <row r="691" spans="1:22" ht="14.5" customHeight="1">
      <c r="A691" s="176">
        <v>674</v>
      </c>
      <c r="B691" s="178" t="s">
        <v>1334</v>
      </c>
      <c r="C691" s="271" t="s">
        <v>1335</v>
      </c>
      <c r="D691" s="177">
        <v>46206</v>
      </c>
      <c r="E691" s="178" t="s">
        <v>1336</v>
      </c>
      <c r="F691" s="271" t="s">
        <v>1337</v>
      </c>
      <c r="G691" s="178" t="s">
        <v>1301</v>
      </c>
      <c r="H691" s="366">
        <v>27903880</v>
      </c>
      <c r="I691" s="176">
        <v>8</v>
      </c>
      <c r="J691" s="366">
        <v>2232310</v>
      </c>
      <c r="K691" s="178" t="s">
        <v>261</v>
      </c>
      <c r="L691" s="178" t="s">
        <v>252</v>
      </c>
      <c r="M691" s="271" t="s">
        <v>1302</v>
      </c>
      <c r="N691" s="177">
        <v>46225</v>
      </c>
      <c r="O691" s="177">
        <v>46225</v>
      </c>
      <c r="P691" s="366">
        <v>30136190</v>
      </c>
      <c r="Q691" s="176" t="s">
        <v>1303</v>
      </c>
      <c r="R691" s="176" t="s">
        <v>434</v>
      </c>
      <c r="S691" s="178" t="s">
        <v>253</v>
      </c>
      <c r="T691" s="57" t="str">
        <f t="shared" si="33"/>
        <v>Đ</v>
      </c>
      <c r="U691" s="59">
        <f t="shared" si="34"/>
        <v>0</v>
      </c>
      <c r="V691" s="55">
        <f t="shared" si="35"/>
        <v>13311</v>
      </c>
    </row>
    <row r="692" spans="1:22" ht="21.5" customHeight="1">
      <c r="A692" s="176">
        <v>675</v>
      </c>
      <c r="B692" s="178" t="s">
        <v>1325</v>
      </c>
      <c r="C692" s="271" t="s">
        <v>1338</v>
      </c>
      <c r="D692" s="177">
        <v>46206</v>
      </c>
      <c r="E692" s="178" t="s">
        <v>1327</v>
      </c>
      <c r="F692" s="271" t="s">
        <v>1328</v>
      </c>
      <c r="G692" s="178" t="s">
        <v>1301</v>
      </c>
      <c r="H692" s="366">
        <v>2033430</v>
      </c>
      <c r="I692" s="176">
        <v>8</v>
      </c>
      <c r="J692" s="366">
        <v>162674</v>
      </c>
      <c r="K692" s="178" t="s">
        <v>261</v>
      </c>
      <c r="L692" s="178" t="s">
        <v>252</v>
      </c>
      <c r="M692" s="271" t="s">
        <v>1302</v>
      </c>
      <c r="N692" s="177">
        <v>46225</v>
      </c>
      <c r="O692" s="177">
        <v>46225</v>
      </c>
      <c r="P692" s="366">
        <v>2196104</v>
      </c>
      <c r="Q692" s="176" t="s">
        <v>1303</v>
      </c>
      <c r="R692" s="176" t="s">
        <v>434</v>
      </c>
      <c r="S692" s="178" t="s">
        <v>253</v>
      </c>
      <c r="T692" s="57" t="str">
        <f t="shared" si="33"/>
        <v>Đ</v>
      </c>
      <c r="U692" s="59">
        <f t="shared" si="34"/>
        <v>0</v>
      </c>
      <c r="V692" s="55">
        <f t="shared" si="35"/>
        <v>13311</v>
      </c>
    </row>
    <row r="693" spans="1:22" ht="14.5" customHeight="1">
      <c r="A693" s="176">
        <v>676</v>
      </c>
      <c r="B693" s="178" t="s">
        <v>1267</v>
      </c>
      <c r="C693" s="271" t="s">
        <v>1339</v>
      </c>
      <c r="D693" s="177">
        <v>46206</v>
      </c>
      <c r="E693" s="178" t="s">
        <v>1340</v>
      </c>
      <c r="F693" s="271" t="s">
        <v>1341</v>
      </c>
      <c r="G693" s="178" t="s">
        <v>1301</v>
      </c>
      <c r="H693" s="366">
        <v>188845865</v>
      </c>
      <c r="I693" s="176">
        <v>8</v>
      </c>
      <c r="J693" s="366">
        <v>15107669</v>
      </c>
      <c r="K693" s="178" t="s">
        <v>261</v>
      </c>
      <c r="L693" s="178" t="s">
        <v>252</v>
      </c>
      <c r="M693" s="271" t="s">
        <v>1302</v>
      </c>
      <c r="N693" s="177">
        <v>46225</v>
      </c>
      <c r="O693" s="177">
        <v>46225</v>
      </c>
      <c r="P693" s="366">
        <v>203953534</v>
      </c>
      <c r="Q693" s="176" t="s">
        <v>1303</v>
      </c>
      <c r="R693" s="176" t="s">
        <v>434</v>
      </c>
      <c r="S693" s="178" t="s">
        <v>253</v>
      </c>
      <c r="T693" s="57" t="str">
        <f t="shared" si="33"/>
        <v>Đ</v>
      </c>
      <c r="U693" s="59">
        <f t="shared" si="34"/>
        <v>0</v>
      </c>
      <c r="V693" s="55">
        <f t="shared" si="35"/>
        <v>13311</v>
      </c>
    </row>
    <row r="694" spans="1:22" ht="21.5" customHeight="1">
      <c r="A694" s="176">
        <v>677</v>
      </c>
      <c r="B694" s="178" t="s">
        <v>1342</v>
      </c>
      <c r="C694" s="271" t="s">
        <v>1343</v>
      </c>
      <c r="D694" s="177">
        <v>46206</v>
      </c>
      <c r="E694" s="178" t="s">
        <v>1344</v>
      </c>
      <c r="F694" s="271" t="s">
        <v>1345</v>
      </c>
      <c r="G694" s="178" t="s">
        <v>1301</v>
      </c>
      <c r="H694" s="366">
        <v>45350120</v>
      </c>
      <c r="I694" s="176">
        <v>8</v>
      </c>
      <c r="J694" s="366">
        <v>3628010</v>
      </c>
      <c r="K694" s="178" t="s">
        <v>261</v>
      </c>
      <c r="L694" s="178" t="s">
        <v>252</v>
      </c>
      <c r="M694" s="271" t="s">
        <v>1302</v>
      </c>
      <c r="N694" s="177">
        <v>46225</v>
      </c>
      <c r="O694" s="177">
        <v>46225</v>
      </c>
      <c r="P694" s="366">
        <v>48978130</v>
      </c>
      <c r="Q694" s="176" t="s">
        <v>1303</v>
      </c>
      <c r="R694" s="176" t="s">
        <v>434</v>
      </c>
      <c r="S694" s="178" t="s">
        <v>253</v>
      </c>
      <c r="T694" s="57" t="str">
        <f t="shared" si="33"/>
        <v>Đ</v>
      </c>
      <c r="U694" s="59">
        <f t="shared" si="34"/>
        <v>0</v>
      </c>
      <c r="V694" s="55">
        <f t="shared" si="35"/>
        <v>13311</v>
      </c>
    </row>
    <row r="695" spans="1:22" ht="14.5" customHeight="1">
      <c r="A695" s="176">
        <v>678</v>
      </c>
      <c r="B695" s="178" t="s">
        <v>1346</v>
      </c>
      <c r="C695" s="271" t="s">
        <v>1347</v>
      </c>
      <c r="D695" s="177">
        <v>46206</v>
      </c>
      <c r="E695" s="178" t="s">
        <v>1348</v>
      </c>
      <c r="F695" s="271" t="s">
        <v>1349</v>
      </c>
      <c r="G695" s="178" t="s">
        <v>1301</v>
      </c>
      <c r="H695" s="366">
        <v>9133595</v>
      </c>
      <c r="I695" s="176">
        <v>8</v>
      </c>
      <c r="J695" s="366">
        <v>730688</v>
      </c>
      <c r="K695" s="178" t="s">
        <v>261</v>
      </c>
      <c r="L695" s="178" t="s">
        <v>252</v>
      </c>
      <c r="M695" s="271" t="s">
        <v>1302</v>
      </c>
      <c r="N695" s="177">
        <v>46225</v>
      </c>
      <c r="O695" s="177">
        <v>46225</v>
      </c>
      <c r="P695" s="366">
        <v>9864283</v>
      </c>
      <c r="Q695" s="176" t="s">
        <v>1303</v>
      </c>
      <c r="R695" s="176" t="s">
        <v>434</v>
      </c>
      <c r="S695" s="178" t="s">
        <v>253</v>
      </c>
      <c r="T695" s="57" t="str">
        <f t="shared" si="33"/>
        <v>Đ</v>
      </c>
      <c r="U695" s="59">
        <f t="shared" si="34"/>
        <v>0</v>
      </c>
      <c r="V695" s="55">
        <f t="shared" si="35"/>
        <v>13311</v>
      </c>
    </row>
    <row r="696" spans="1:22" ht="14.5" customHeight="1">
      <c r="A696" s="176">
        <v>679</v>
      </c>
      <c r="B696" s="178" t="s">
        <v>1267</v>
      </c>
      <c r="C696" s="271" t="s">
        <v>1350</v>
      </c>
      <c r="D696" s="177">
        <v>46206</v>
      </c>
      <c r="E696" s="178" t="s">
        <v>1351</v>
      </c>
      <c r="F696" s="271" t="s">
        <v>1352</v>
      </c>
      <c r="G696" s="178" t="s">
        <v>1301</v>
      </c>
      <c r="H696" s="366">
        <v>61914365</v>
      </c>
      <c r="I696" s="176">
        <v>8</v>
      </c>
      <c r="J696" s="366">
        <v>4953149</v>
      </c>
      <c r="K696" s="178" t="s">
        <v>261</v>
      </c>
      <c r="L696" s="178" t="s">
        <v>252</v>
      </c>
      <c r="M696" s="271" t="s">
        <v>1302</v>
      </c>
      <c r="N696" s="177">
        <v>46225</v>
      </c>
      <c r="O696" s="177">
        <v>46225</v>
      </c>
      <c r="P696" s="366">
        <v>66867514</v>
      </c>
      <c r="Q696" s="176" t="s">
        <v>1303</v>
      </c>
      <c r="R696" s="176" t="s">
        <v>434</v>
      </c>
      <c r="S696" s="178" t="s">
        <v>253</v>
      </c>
      <c r="T696" s="57" t="str">
        <f t="shared" si="33"/>
        <v>Đ</v>
      </c>
      <c r="U696" s="59">
        <f t="shared" si="34"/>
        <v>0</v>
      </c>
      <c r="V696" s="55">
        <f t="shared" si="35"/>
        <v>13311</v>
      </c>
    </row>
    <row r="697" spans="1:22" ht="14.5" customHeight="1">
      <c r="A697" s="176">
        <v>680</v>
      </c>
      <c r="B697" s="178" t="s">
        <v>1353</v>
      </c>
      <c r="C697" s="271" t="s">
        <v>1354</v>
      </c>
      <c r="D697" s="177">
        <v>46206</v>
      </c>
      <c r="E697" s="178" t="s">
        <v>1355</v>
      </c>
      <c r="F697" s="271" t="s">
        <v>1356</v>
      </c>
      <c r="G697" s="178" t="s">
        <v>1301</v>
      </c>
      <c r="H697" s="366">
        <v>189450</v>
      </c>
      <c r="I697" s="176">
        <v>8</v>
      </c>
      <c r="J697" s="366">
        <v>15156</v>
      </c>
      <c r="K697" s="178" t="s">
        <v>261</v>
      </c>
      <c r="L697" s="178" t="s">
        <v>252</v>
      </c>
      <c r="M697" s="271" t="s">
        <v>1302</v>
      </c>
      <c r="N697" s="177">
        <v>46225</v>
      </c>
      <c r="O697" s="177">
        <v>46225</v>
      </c>
      <c r="P697" s="366">
        <v>204606</v>
      </c>
      <c r="Q697" s="176" t="s">
        <v>1303</v>
      </c>
      <c r="R697" s="176" t="s">
        <v>434</v>
      </c>
      <c r="S697" s="178" t="s">
        <v>253</v>
      </c>
      <c r="T697" s="57" t="str">
        <f t="shared" si="33"/>
        <v>Đ</v>
      </c>
      <c r="U697" s="59">
        <f t="shared" si="34"/>
        <v>0</v>
      </c>
      <c r="V697" s="55">
        <f t="shared" si="35"/>
        <v>13311</v>
      </c>
    </row>
    <row r="698" spans="1:22" ht="14.5" customHeight="1">
      <c r="A698" s="176">
        <v>681</v>
      </c>
      <c r="B698" s="178" t="s">
        <v>1357</v>
      </c>
      <c r="C698" s="271" t="s">
        <v>803</v>
      </c>
      <c r="D698" s="177">
        <v>46206</v>
      </c>
      <c r="E698" s="178" t="s">
        <v>1358</v>
      </c>
      <c r="F698" s="271" t="s">
        <v>1359</v>
      </c>
      <c r="G698" s="178" t="s">
        <v>1301</v>
      </c>
      <c r="H698" s="366">
        <v>2925950</v>
      </c>
      <c r="I698" s="176">
        <v>8</v>
      </c>
      <c r="J698" s="366">
        <v>234076</v>
      </c>
      <c r="K698" s="178" t="s">
        <v>261</v>
      </c>
      <c r="L698" s="178" t="s">
        <v>252</v>
      </c>
      <c r="M698" s="271" t="s">
        <v>1302</v>
      </c>
      <c r="N698" s="177">
        <v>46225</v>
      </c>
      <c r="O698" s="177">
        <v>46225</v>
      </c>
      <c r="P698" s="366">
        <v>3160026</v>
      </c>
      <c r="Q698" s="176" t="s">
        <v>1303</v>
      </c>
      <c r="R698" s="176" t="s">
        <v>434</v>
      </c>
      <c r="S698" s="178" t="s">
        <v>253</v>
      </c>
      <c r="T698" s="57" t="str">
        <f t="shared" si="33"/>
        <v>Đ</v>
      </c>
      <c r="U698" s="59">
        <f t="shared" si="34"/>
        <v>0</v>
      </c>
      <c r="V698" s="55">
        <f t="shared" si="35"/>
        <v>13311</v>
      </c>
    </row>
    <row r="699" spans="1:22" ht="14.5" customHeight="1">
      <c r="A699" s="176">
        <v>682</v>
      </c>
      <c r="B699" s="178" t="s">
        <v>1360</v>
      </c>
      <c r="C699" s="271" t="s">
        <v>1361</v>
      </c>
      <c r="D699" s="177">
        <v>46206</v>
      </c>
      <c r="E699" s="178" t="s">
        <v>1362</v>
      </c>
      <c r="F699" s="271" t="s">
        <v>1363</v>
      </c>
      <c r="G699" s="178" t="s">
        <v>1301</v>
      </c>
      <c r="H699" s="366">
        <v>273927860</v>
      </c>
      <c r="I699" s="176">
        <v>8</v>
      </c>
      <c r="J699" s="366">
        <v>21914229</v>
      </c>
      <c r="K699" s="178" t="s">
        <v>261</v>
      </c>
      <c r="L699" s="178" t="s">
        <v>252</v>
      </c>
      <c r="M699" s="271" t="s">
        <v>1302</v>
      </c>
      <c r="N699" s="177">
        <v>46225</v>
      </c>
      <c r="O699" s="177">
        <v>46225</v>
      </c>
      <c r="P699" s="366">
        <v>295842089</v>
      </c>
      <c r="Q699" s="176" t="s">
        <v>1303</v>
      </c>
      <c r="R699" s="176" t="s">
        <v>434</v>
      </c>
      <c r="S699" s="178" t="s">
        <v>253</v>
      </c>
      <c r="T699" s="57" t="str">
        <f t="shared" si="33"/>
        <v>Đ</v>
      </c>
      <c r="U699" s="59">
        <f t="shared" si="34"/>
        <v>0</v>
      </c>
      <c r="V699" s="55">
        <f t="shared" si="35"/>
        <v>13311</v>
      </c>
    </row>
    <row r="700" spans="1:22" ht="14.5" customHeight="1">
      <c r="A700" s="176">
        <v>683</v>
      </c>
      <c r="B700" s="178" t="s">
        <v>1364</v>
      </c>
      <c r="C700" s="271" t="s">
        <v>1361</v>
      </c>
      <c r="D700" s="177">
        <v>46206</v>
      </c>
      <c r="E700" s="178" t="s">
        <v>1365</v>
      </c>
      <c r="F700" s="271" t="s">
        <v>1366</v>
      </c>
      <c r="G700" s="178" t="s">
        <v>1301</v>
      </c>
      <c r="H700" s="366">
        <v>17953545</v>
      </c>
      <c r="I700" s="176">
        <v>8</v>
      </c>
      <c r="J700" s="366">
        <v>1436284</v>
      </c>
      <c r="K700" s="178" t="s">
        <v>261</v>
      </c>
      <c r="L700" s="178" t="s">
        <v>252</v>
      </c>
      <c r="M700" s="271" t="s">
        <v>1302</v>
      </c>
      <c r="N700" s="177">
        <v>46225</v>
      </c>
      <c r="O700" s="177">
        <v>46225</v>
      </c>
      <c r="P700" s="366">
        <v>19389829</v>
      </c>
      <c r="Q700" s="176" t="s">
        <v>1303</v>
      </c>
      <c r="R700" s="176" t="s">
        <v>434</v>
      </c>
      <c r="S700" s="178" t="s">
        <v>253</v>
      </c>
      <c r="T700" s="57" t="str">
        <f t="shared" si="33"/>
        <v>Đ</v>
      </c>
      <c r="U700" s="59">
        <f t="shared" si="34"/>
        <v>0</v>
      </c>
      <c r="V700" s="55">
        <f t="shared" si="35"/>
        <v>13311</v>
      </c>
    </row>
    <row r="701" spans="1:22" ht="14.5" customHeight="1">
      <c r="A701" s="176">
        <v>684</v>
      </c>
      <c r="B701" s="178" t="s">
        <v>1367</v>
      </c>
      <c r="C701" s="271" t="s">
        <v>1368</v>
      </c>
      <c r="D701" s="177">
        <v>46177</v>
      </c>
      <c r="E701" s="178" t="s">
        <v>1369</v>
      </c>
      <c r="F701" s="271" t="s">
        <v>1370</v>
      </c>
      <c r="G701" s="178" t="s">
        <v>1371</v>
      </c>
      <c r="H701" s="366">
        <v>122090</v>
      </c>
      <c r="I701" s="176">
        <v>8</v>
      </c>
      <c r="J701" s="366">
        <v>9767</v>
      </c>
      <c r="K701" s="178" t="s">
        <v>261</v>
      </c>
      <c r="L701" s="178" t="s">
        <v>252</v>
      </c>
      <c r="M701" s="271" t="s">
        <v>1302</v>
      </c>
      <c r="N701" s="177">
        <v>46225</v>
      </c>
      <c r="O701" s="177">
        <v>46225</v>
      </c>
      <c r="P701" s="366">
        <v>131857</v>
      </c>
      <c r="Q701" s="176" t="s">
        <v>1303</v>
      </c>
      <c r="R701" s="176" t="s">
        <v>434</v>
      </c>
      <c r="S701" s="178" t="s">
        <v>253</v>
      </c>
      <c r="T701" s="57" t="str">
        <f t="shared" si="33"/>
        <v>Đ</v>
      </c>
      <c r="U701" s="59">
        <f t="shared" si="34"/>
        <v>0</v>
      </c>
      <c r="V701" s="55">
        <f t="shared" si="35"/>
        <v>13311</v>
      </c>
    </row>
    <row r="702" spans="1:22" ht="21.5" customHeight="1">
      <c r="A702" s="176">
        <v>685</v>
      </c>
      <c r="B702" s="178" t="s">
        <v>1287</v>
      </c>
      <c r="C702" s="271" t="s">
        <v>1372</v>
      </c>
      <c r="D702" s="177">
        <v>46207</v>
      </c>
      <c r="E702" s="178" t="s">
        <v>1373</v>
      </c>
      <c r="F702" s="271" t="s">
        <v>1374</v>
      </c>
      <c r="G702" s="178" t="s">
        <v>1301</v>
      </c>
      <c r="H702" s="366">
        <v>216478200</v>
      </c>
      <c r="I702" s="176">
        <v>8</v>
      </c>
      <c r="J702" s="366">
        <v>17318256</v>
      </c>
      <c r="K702" s="178" t="s">
        <v>261</v>
      </c>
      <c r="L702" s="178" t="s">
        <v>252</v>
      </c>
      <c r="M702" s="271" t="s">
        <v>1302</v>
      </c>
      <c r="N702" s="177">
        <v>46225</v>
      </c>
      <c r="O702" s="177">
        <v>46225</v>
      </c>
      <c r="P702" s="366">
        <v>233796456</v>
      </c>
      <c r="Q702" s="176" t="s">
        <v>1303</v>
      </c>
      <c r="R702" s="176" t="s">
        <v>434</v>
      </c>
      <c r="S702" s="178" t="s">
        <v>253</v>
      </c>
      <c r="T702" s="57" t="str">
        <f t="shared" si="33"/>
        <v>Đ</v>
      </c>
      <c r="U702" s="59">
        <f t="shared" si="34"/>
        <v>0</v>
      </c>
      <c r="V702" s="55">
        <f t="shared" si="35"/>
        <v>13311</v>
      </c>
    </row>
    <row r="703" spans="1:22" ht="14.5" customHeight="1">
      <c r="A703" s="176">
        <v>686</v>
      </c>
      <c r="B703" s="178" t="s">
        <v>1375</v>
      </c>
      <c r="C703" s="271" t="s">
        <v>1376</v>
      </c>
      <c r="D703" s="177">
        <v>46207</v>
      </c>
      <c r="E703" s="178" t="s">
        <v>1377</v>
      </c>
      <c r="F703" s="271" t="s">
        <v>1378</v>
      </c>
      <c r="G703" s="178" t="s">
        <v>1301</v>
      </c>
      <c r="H703" s="366">
        <v>2467060</v>
      </c>
      <c r="I703" s="176">
        <v>8</v>
      </c>
      <c r="J703" s="366">
        <v>197365</v>
      </c>
      <c r="K703" s="178" t="s">
        <v>261</v>
      </c>
      <c r="L703" s="178" t="s">
        <v>252</v>
      </c>
      <c r="M703" s="271" t="s">
        <v>1302</v>
      </c>
      <c r="N703" s="177">
        <v>46225</v>
      </c>
      <c r="O703" s="177">
        <v>46225</v>
      </c>
      <c r="P703" s="366">
        <v>2664425</v>
      </c>
      <c r="Q703" s="176" t="s">
        <v>1303</v>
      </c>
      <c r="R703" s="176" t="s">
        <v>434</v>
      </c>
      <c r="S703" s="178" t="s">
        <v>253</v>
      </c>
      <c r="T703" s="57" t="str">
        <f t="shared" si="33"/>
        <v>Đ</v>
      </c>
      <c r="U703" s="59">
        <f t="shared" si="34"/>
        <v>0</v>
      </c>
      <c r="V703" s="55">
        <f t="shared" si="35"/>
        <v>13311</v>
      </c>
    </row>
    <row r="704" spans="1:22" ht="21.5" customHeight="1">
      <c r="A704" s="176">
        <v>687</v>
      </c>
      <c r="B704" s="178" t="s">
        <v>1379</v>
      </c>
      <c r="C704" s="271" t="s">
        <v>1380</v>
      </c>
      <c r="D704" s="177">
        <v>46207</v>
      </c>
      <c r="E704" s="178" t="s">
        <v>1381</v>
      </c>
      <c r="F704" s="271" t="s">
        <v>1382</v>
      </c>
      <c r="G704" s="178" t="s">
        <v>1301</v>
      </c>
      <c r="H704" s="366">
        <v>1448240</v>
      </c>
      <c r="I704" s="176">
        <v>8</v>
      </c>
      <c r="J704" s="366">
        <v>115859</v>
      </c>
      <c r="K704" s="178" t="s">
        <v>261</v>
      </c>
      <c r="L704" s="178" t="s">
        <v>252</v>
      </c>
      <c r="M704" s="271" t="s">
        <v>1302</v>
      </c>
      <c r="N704" s="177">
        <v>46225</v>
      </c>
      <c r="O704" s="177">
        <v>46225</v>
      </c>
      <c r="P704" s="366">
        <v>1564099</v>
      </c>
      <c r="Q704" s="176" t="s">
        <v>1303</v>
      </c>
      <c r="R704" s="176" t="s">
        <v>434</v>
      </c>
      <c r="S704" s="178" t="s">
        <v>253</v>
      </c>
      <c r="T704" s="57" t="str">
        <f t="shared" si="33"/>
        <v>Đ</v>
      </c>
      <c r="U704" s="59">
        <f t="shared" si="34"/>
        <v>0</v>
      </c>
      <c r="V704" s="55">
        <f t="shared" si="35"/>
        <v>13311</v>
      </c>
    </row>
    <row r="705" spans="1:22" ht="14.5" customHeight="1">
      <c r="A705" s="176">
        <v>688</v>
      </c>
      <c r="B705" s="178" t="s">
        <v>1383</v>
      </c>
      <c r="C705" s="271" t="s">
        <v>1384</v>
      </c>
      <c r="D705" s="177">
        <v>46207</v>
      </c>
      <c r="E705" s="178" t="s">
        <v>1385</v>
      </c>
      <c r="F705" s="271" t="s">
        <v>1386</v>
      </c>
      <c r="G705" s="178" t="s">
        <v>1301</v>
      </c>
      <c r="H705" s="366">
        <v>5340385</v>
      </c>
      <c r="I705" s="176">
        <v>8</v>
      </c>
      <c r="J705" s="366">
        <v>427231</v>
      </c>
      <c r="K705" s="178" t="s">
        <v>261</v>
      </c>
      <c r="L705" s="178" t="s">
        <v>252</v>
      </c>
      <c r="M705" s="271" t="s">
        <v>1302</v>
      </c>
      <c r="N705" s="177">
        <v>46225</v>
      </c>
      <c r="O705" s="177">
        <v>46225</v>
      </c>
      <c r="P705" s="366">
        <v>5767616</v>
      </c>
      <c r="Q705" s="176" t="s">
        <v>1303</v>
      </c>
      <c r="R705" s="176" t="s">
        <v>434</v>
      </c>
      <c r="S705" s="178" t="s">
        <v>253</v>
      </c>
      <c r="T705" s="57" t="str">
        <f t="shared" si="33"/>
        <v>Đ</v>
      </c>
      <c r="U705" s="59">
        <f t="shared" si="34"/>
        <v>0</v>
      </c>
      <c r="V705" s="55">
        <f t="shared" si="35"/>
        <v>13311</v>
      </c>
    </row>
    <row r="706" spans="1:22" ht="14.5" customHeight="1">
      <c r="A706" s="176">
        <v>689</v>
      </c>
      <c r="B706" s="178" t="s">
        <v>1383</v>
      </c>
      <c r="C706" s="271" t="s">
        <v>1387</v>
      </c>
      <c r="D706" s="177">
        <v>46207</v>
      </c>
      <c r="E706" s="178" t="s">
        <v>1385</v>
      </c>
      <c r="F706" s="271" t="s">
        <v>1386</v>
      </c>
      <c r="G706" s="178" t="s">
        <v>1301</v>
      </c>
      <c r="H706" s="366">
        <v>2170255</v>
      </c>
      <c r="I706" s="176">
        <v>8</v>
      </c>
      <c r="J706" s="366">
        <v>173620</v>
      </c>
      <c r="K706" s="178" t="s">
        <v>261</v>
      </c>
      <c r="L706" s="178" t="s">
        <v>252</v>
      </c>
      <c r="M706" s="271" t="s">
        <v>1302</v>
      </c>
      <c r="N706" s="177">
        <v>46225</v>
      </c>
      <c r="O706" s="177">
        <v>46225</v>
      </c>
      <c r="P706" s="366">
        <v>2343875</v>
      </c>
      <c r="Q706" s="176" t="s">
        <v>1303</v>
      </c>
      <c r="R706" s="176" t="s">
        <v>434</v>
      </c>
      <c r="S706" s="178" t="s">
        <v>253</v>
      </c>
      <c r="T706" s="57" t="str">
        <f t="shared" si="33"/>
        <v>Đ</v>
      </c>
      <c r="U706" s="59">
        <f t="shared" si="34"/>
        <v>0</v>
      </c>
      <c r="V706" s="55">
        <f t="shared" si="35"/>
        <v>13311</v>
      </c>
    </row>
    <row r="707" spans="1:22" ht="14.5" customHeight="1">
      <c r="A707" s="176">
        <v>690</v>
      </c>
      <c r="B707" s="178" t="s">
        <v>1267</v>
      </c>
      <c r="C707" s="271" t="s">
        <v>1295</v>
      </c>
      <c r="D707" s="177">
        <v>46207</v>
      </c>
      <c r="E707" s="178" t="s">
        <v>1388</v>
      </c>
      <c r="F707" s="271" t="s">
        <v>1389</v>
      </c>
      <c r="G707" s="178" t="s">
        <v>1301</v>
      </c>
      <c r="H707" s="366">
        <v>199046695</v>
      </c>
      <c r="I707" s="176">
        <v>8</v>
      </c>
      <c r="J707" s="366">
        <v>15923736</v>
      </c>
      <c r="K707" s="178" t="s">
        <v>261</v>
      </c>
      <c r="L707" s="178" t="s">
        <v>252</v>
      </c>
      <c r="M707" s="271" t="s">
        <v>1302</v>
      </c>
      <c r="N707" s="177">
        <v>46225</v>
      </c>
      <c r="O707" s="177">
        <v>46225</v>
      </c>
      <c r="P707" s="366">
        <v>214970431</v>
      </c>
      <c r="Q707" s="176" t="s">
        <v>1303</v>
      </c>
      <c r="R707" s="176" t="s">
        <v>434</v>
      </c>
      <c r="S707" s="178" t="s">
        <v>253</v>
      </c>
      <c r="T707" s="57" t="str">
        <f t="shared" si="33"/>
        <v>Đ</v>
      </c>
      <c r="U707" s="59">
        <f t="shared" si="34"/>
        <v>0</v>
      </c>
      <c r="V707" s="55">
        <f t="shared" si="35"/>
        <v>13311</v>
      </c>
    </row>
    <row r="708" spans="1:22" ht="14.5" customHeight="1">
      <c r="A708" s="176">
        <v>691</v>
      </c>
      <c r="B708" s="178" t="s">
        <v>1390</v>
      </c>
      <c r="C708" s="271" t="s">
        <v>1298</v>
      </c>
      <c r="D708" s="177">
        <v>46207</v>
      </c>
      <c r="E708" s="178" t="s">
        <v>1391</v>
      </c>
      <c r="F708" s="271" t="s">
        <v>1392</v>
      </c>
      <c r="G708" s="178" t="s">
        <v>1301</v>
      </c>
      <c r="H708" s="366">
        <v>3805840</v>
      </c>
      <c r="I708" s="176">
        <v>8</v>
      </c>
      <c r="J708" s="366">
        <v>304467</v>
      </c>
      <c r="K708" s="178" t="s">
        <v>261</v>
      </c>
      <c r="L708" s="178" t="s">
        <v>252</v>
      </c>
      <c r="M708" s="271" t="s">
        <v>1302</v>
      </c>
      <c r="N708" s="177">
        <v>46225</v>
      </c>
      <c r="O708" s="177">
        <v>46225</v>
      </c>
      <c r="P708" s="366">
        <v>4110307</v>
      </c>
      <c r="Q708" s="176" t="s">
        <v>1303</v>
      </c>
      <c r="R708" s="176" t="s">
        <v>434</v>
      </c>
      <c r="S708" s="178" t="s">
        <v>253</v>
      </c>
      <c r="T708" s="57" t="str">
        <f t="shared" si="33"/>
        <v>Đ</v>
      </c>
      <c r="U708" s="59">
        <f t="shared" si="34"/>
        <v>0</v>
      </c>
      <c r="V708" s="55">
        <f t="shared" si="35"/>
        <v>13311</v>
      </c>
    </row>
    <row r="709" spans="1:22" ht="14.5" customHeight="1">
      <c r="A709" s="176">
        <v>692</v>
      </c>
      <c r="B709" s="178" t="s">
        <v>1393</v>
      </c>
      <c r="C709" s="271" t="s">
        <v>1298</v>
      </c>
      <c r="D709" s="177">
        <v>46207</v>
      </c>
      <c r="E709" s="178" t="s">
        <v>1394</v>
      </c>
      <c r="F709" s="271" t="s">
        <v>1395</v>
      </c>
      <c r="G709" s="178" t="s">
        <v>1301</v>
      </c>
      <c r="H709" s="366">
        <v>129341725</v>
      </c>
      <c r="I709" s="176">
        <v>8</v>
      </c>
      <c r="J709" s="366">
        <v>10347338</v>
      </c>
      <c r="K709" s="178" t="s">
        <v>261</v>
      </c>
      <c r="L709" s="178" t="s">
        <v>252</v>
      </c>
      <c r="M709" s="271" t="s">
        <v>1302</v>
      </c>
      <c r="N709" s="177">
        <v>46225</v>
      </c>
      <c r="O709" s="177">
        <v>46225</v>
      </c>
      <c r="P709" s="366">
        <v>139689063</v>
      </c>
      <c r="Q709" s="176" t="s">
        <v>1303</v>
      </c>
      <c r="R709" s="176" t="s">
        <v>434</v>
      </c>
      <c r="S709" s="178" t="s">
        <v>253</v>
      </c>
      <c r="T709" s="57" t="str">
        <f t="shared" si="33"/>
        <v>Đ</v>
      </c>
      <c r="U709" s="59">
        <f t="shared" si="34"/>
        <v>0</v>
      </c>
      <c r="V709" s="55">
        <f t="shared" si="35"/>
        <v>13311</v>
      </c>
    </row>
    <row r="710" spans="1:22" ht="14.5" customHeight="1">
      <c r="A710" s="176">
        <v>693</v>
      </c>
      <c r="B710" s="178" t="s">
        <v>1396</v>
      </c>
      <c r="C710" s="271" t="s">
        <v>1298</v>
      </c>
      <c r="D710" s="177">
        <v>46207</v>
      </c>
      <c r="E710" s="178" t="s">
        <v>1397</v>
      </c>
      <c r="F710" s="271" t="s">
        <v>1398</v>
      </c>
      <c r="G710" s="178" t="s">
        <v>1301</v>
      </c>
      <c r="H710" s="366">
        <v>211068350</v>
      </c>
      <c r="I710" s="176">
        <v>8</v>
      </c>
      <c r="J710" s="366">
        <v>16885468</v>
      </c>
      <c r="K710" s="178" t="s">
        <v>261</v>
      </c>
      <c r="L710" s="178" t="s">
        <v>252</v>
      </c>
      <c r="M710" s="271" t="s">
        <v>1302</v>
      </c>
      <c r="N710" s="177">
        <v>46225</v>
      </c>
      <c r="O710" s="177">
        <v>46225</v>
      </c>
      <c r="P710" s="366">
        <v>227953818</v>
      </c>
      <c r="Q710" s="176" t="s">
        <v>1303</v>
      </c>
      <c r="R710" s="176" t="s">
        <v>434</v>
      </c>
      <c r="S710" s="178" t="s">
        <v>253</v>
      </c>
      <c r="T710" s="57" t="str">
        <f t="shared" si="33"/>
        <v>Đ</v>
      </c>
      <c r="U710" s="59">
        <f t="shared" si="34"/>
        <v>0</v>
      </c>
      <c r="V710" s="55">
        <f t="shared" si="35"/>
        <v>13311</v>
      </c>
    </row>
    <row r="711" spans="1:22" ht="21.5" customHeight="1">
      <c r="A711" s="176">
        <v>694</v>
      </c>
      <c r="B711" s="178" t="s">
        <v>1399</v>
      </c>
      <c r="C711" s="271" t="s">
        <v>1400</v>
      </c>
      <c r="D711" s="177">
        <v>46207</v>
      </c>
      <c r="E711" s="178" t="s">
        <v>1401</v>
      </c>
      <c r="F711" s="271" t="s">
        <v>1402</v>
      </c>
      <c r="G711" s="178" t="s">
        <v>1301</v>
      </c>
      <c r="H711" s="366">
        <v>217236000</v>
      </c>
      <c r="I711" s="176">
        <v>8</v>
      </c>
      <c r="J711" s="366">
        <v>17378880</v>
      </c>
      <c r="K711" s="178" t="s">
        <v>261</v>
      </c>
      <c r="L711" s="178" t="s">
        <v>252</v>
      </c>
      <c r="M711" s="271" t="s">
        <v>1302</v>
      </c>
      <c r="N711" s="177">
        <v>46225</v>
      </c>
      <c r="O711" s="177">
        <v>46225</v>
      </c>
      <c r="P711" s="366">
        <v>234614880</v>
      </c>
      <c r="Q711" s="176" t="s">
        <v>1303</v>
      </c>
      <c r="R711" s="176" t="s">
        <v>434</v>
      </c>
      <c r="S711" s="178" t="s">
        <v>253</v>
      </c>
      <c r="T711" s="57" t="str">
        <f t="shared" si="33"/>
        <v>Đ</v>
      </c>
      <c r="U711" s="59">
        <f t="shared" si="34"/>
        <v>0</v>
      </c>
      <c r="V711" s="55">
        <f t="shared" si="35"/>
        <v>13311</v>
      </c>
    </row>
    <row r="712" spans="1:22" ht="14.5" customHeight="1">
      <c r="A712" s="176">
        <v>695</v>
      </c>
      <c r="B712" s="178" t="s">
        <v>1403</v>
      </c>
      <c r="C712" s="271" t="s">
        <v>1404</v>
      </c>
      <c r="D712" s="177">
        <v>46207</v>
      </c>
      <c r="E712" s="178" t="s">
        <v>1405</v>
      </c>
      <c r="F712" s="271" t="s">
        <v>1406</v>
      </c>
      <c r="G712" s="178" t="s">
        <v>1301</v>
      </c>
      <c r="H712" s="366">
        <v>220566110</v>
      </c>
      <c r="I712" s="176">
        <v>8</v>
      </c>
      <c r="J712" s="366">
        <v>17645289</v>
      </c>
      <c r="K712" s="178" t="s">
        <v>261</v>
      </c>
      <c r="L712" s="178" t="s">
        <v>252</v>
      </c>
      <c r="M712" s="271" t="s">
        <v>1302</v>
      </c>
      <c r="N712" s="177">
        <v>46225</v>
      </c>
      <c r="O712" s="177">
        <v>46225</v>
      </c>
      <c r="P712" s="366">
        <v>238211399</v>
      </c>
      <c r="Q712" s="176" t="s">
        <v>1303</v>
      </c>
      <c r="R712" s="176" t="s">
        <v>434</v>
      </c>
      <c r="S712" s="178" t="s">
        <v>253</v>
      </c>
      <c r="T712" s="57" t="str">
        <f t="shared" si="33"/>
        <v>Đ</v>
      </c>
      <c r="U712" s="59">
        <f t="shared" si="34"/>
        <v>0</v>
      </c>
      <c r="V712" s="55">
        <f t="shared" si="35"/>
        <v>13311</v>
      </c>
    </row>
    <row r="713" spans="1:22" ht="14.5" customHeight="1">
      <c r="A713" s="176">
        <v>696</v>
      </c>
      <c r="B713" s="178" t="s">
        <v>1407</v>
      </c>
      <c r="C713" s="271" t="s">
        <v>1304</v>
      </c>
      <c r="D713" s="177">
        <v>46207</v>
      </c>
      <c r="E713" s="178" t="s">
        <v>1408</v>
      </c>
      <c r="F713" s="271" t="s">
        <v>1409</v>
      </c>
      <c r="G713" s="178" t="s">
        <v>1301</v>
      </c>
      <c r="H713" s="366">
        <v>237943972</v>
      </c>
      <c r="I713" s="176">
        <v>8</v>
      </c>
      <c r="J713" s="366">
        <v>19035518</v>
      </c>
      <c r="K713" s="178" t="s">
        <v>261</v>
      </c>
      <c r="L713" s="178" t="s">
        <v>252</v>
      </c>
      <c r="M713" s="271" t="s">
        <v>1302</v>
      </c>
      <c r="N713" s="177">
        <v>46225</v>
      </c>
      <c r="O713" s="177">
        <v>46225</v>
      </c>
      <c r="P713" s="366">
        <v>256979490</v>
      </c>
      <c r="Q713" s="176" t="s">
        <v>1303</v>
      </c>
      <c r="R713" s="176" t="s">
        <v>434</v>
      </c>
      <c r="S713" s="178" t="s">
        <v>253</v>
      </c>
      <c r="T713" s="57" t="str">
        <f t="shared" si="33"/>
        <v>Đ</v>
      </c>
      <c r="U713" s="59">
        <f t="shared" si="34"/>
        <v>0</v>
      </c>
      <c r="V713" s="55">
        <f t="shared" si="35"/>
        <v>13311</v>
      </c>
    </row>
    <row r="714" spans="1:22" ht="21.5" customHeight="1">
      <c r="A714" s="176">
        <v>697</v>
      </c>
      <c r="B714" s="178" t="s">
        <v>1267</v>
      </c>
      <c r="C714" s="271" t="s">
        <v>1304</v>
      </c>
      <c r="D714" s="177">
        <v>46207</v>
      </c>
      <c r="E714" s="178" t="s">
        <v>1410</v>
      </c>
      <c r="F714" s="271" t="s">
        <v>1411</v>
      </c>
      <c r="G714" s="178" t="s">
        <v>1301</v>
      </c>
      <c r="H714" s="366">
        <v>230998588</v>
      </c>
      <c r="I714" s="176">
        <v>8</v>
      </c>
      <c r="J714" s="366">
        <v>18479887</v>
      </c>
      <c r="K714" s="178" t="s">
        <v>261</v>
      </c>
      <c r="L714" s="178" t="s">
        <v>252</v>
      </c>
      <c r="M714" s="271" t="s">
        <v>1302</v>
      </c>
      <c r="N714" s="177">
        <v>46225</v>
      </c>
      <c r="O714" s="177">
        <v>46225</v>
      </c>
      <c r="P714" s="366">
        <v>249478475</v>
      </c>
      <c r="Q714" s="176" t="s">
        <v>1303</v>
      </c>
      <c r="R714" s="176" t="s">
        <v>434</v>
      </c>
      <c r="S714" s="178" t="s">
        <v>253</v>
      </c>
      <c r="T714" s="57" t="str">
        <f t="shared" si="33"/>
        <v>Đ</v>
      </c>
      <c r="U714" s="59">
        <f t="shared" si="34"/>
        <v>0</v>
      </c>
      <c r="V714" s="55">
        <f t="shared" si="35"/>
        <v>13311</v>
      </c>
    </row>
    <row r="715" spans="1:22" ht="14.5" customHeight="1">
      <c r="A715" s="176">
        <v>698</v>
      </c>
      <c r="B715" s="178" t="s">
        <v>1390</v>
      </c>
      <c r="C715" s="271" t="s">
        <v>1304</v>
      </c>
      <c r="D715" s="177">
        <v>46207</v>
      </c>
      <c r="E715" s="178" t="s">
        <v>1412</v>
      </c>
      <c r="F715" s="271" t="s">
        <v>1392</v>
      </c>
      <c r="G715" s="178" t="s">
        <v>1301</v>
      </c>
      <c r="H715" s="366">
        <v>13943520</v>
      </c>
      <c r="I715" s="176">
        <v>8</v>
      </c>
      <c r="J715" s="366">
        <v>1115482</v>
      </c>
      <c r="K715" s="178" t="s">
        <v>261</v>
      </c>
      <c r="L715" s="178" t="s">
        <v>252</v>
      </c>
      <c r="M715" s="271" t="s">
        <v>1302</v>
      </c>
      <c r="N715" s="177">
        <v>46225</v>
      </c>
      <c r="O715" s="177">
        <v>46225</v>
      </c>
      <c r="P715" s="366">
        <v>15059002</v>
      </c>
      <c r="Q715" s="176" t="s">
        <v>1303</v>
      </c>
      <c r="R715" s="176" t="s">
        <v>434</v>
      </c>
      <c r="S715" s="178" t="s">
        <v>253</v>
      </c>
      <c r="T715" s="57" t="str">
        <f t="shared" si="33"/>
        <v>Đ</v>
      </c>
      <c r="U715" s="59">
        <f t="shared" si="34"/>
        <v>0</v>
      </c>
      <c r="V715" s="55">
        <f t="shared" si="35"/>
        <v>13311</v>
      </c>
    </row>
    <row r="716" spans="1:22" ht="14.5" customHeight="1">
      <c r="A716" s="176">
        <v>699</v>
      </c>
      <c r="B716" s="178" t="s">
        <v>1413</v>
      </c>
      <c r="C716" s="271" t="s">
        <v>1313</v>
      </c>
      <c r="D716" s="177">
        <v>46207</v>
      </c>
      <c r="E716" s="178" t="s">
        <v>1414</v>
      </c>
      <c r="F716" s="271" t="s">
        <v>1415</v>
      </c>
      <c r="G716" s="178" t="s">
        <v>1301</v>
      </c>
      <c r="H716" s="366">
        <v>210451585</v>
      </c>
      <c r="I716" s="176">
        <v>8</v>
      </c>
      <c r="J716" s="366">
        <v>16836127</v>
      </c>
      <c r="K716" s="178" t="s">
        <v>261</v>
      </c>
      <c r="L716" s="178" t="s">
        <v>252</v>
      </c>
      <c r="M716" s="271" t="s">
        <v>1302</v>
      </c>
      <c r="N716" s="177">
        <v>46225</v>
      </c>
      <c r="O716" s="177">
        <v>46225</v>
      </c>
      <c r="P716" s="366">
        <v>227287712</v>
      </c>
      <c r="Q716" s="176" t="s">
        <v>1303</v>
      </c>
      <c r="R716" s="176" t="s">
        <v>434</v>
      </c>
      <c r="S716" s="178" t="s">
        <v>253</v>
      </c>
      <c r="T716" s="57" t="str">
        <f t="shared" si="33"/>
        <v>Đ</v>
      </c>
      <c r="U716" s="59">
        <f t="shared" si="34"/>
        <v>0</v>
      </c>
      <c r="V716" s="55">
        <f t="shared" si="35"/>
        <v>13311</v>
      </c>
    </row>
    <row r="717" spans="1:22" ht="14.5" customHeight="1">
      <c r="A717" s="176">
        <v>700</v>
      </c>
      <c r="B717" s="178" t="s">
        <v>1413</v>
      </c>
      <c r="C717" s="271" t="s">
        <v>1316</v>
      </c>
      <c r="D717" s="177">
        <v>46207</v>
      </c>
      <c r="E717" s="178" t="s">
        <v>1416</v>
      </c>
      <c r="F717" s="271" t="s">
        <v>1417</v>
      </c>
      <c r="G717" s="178" t="s">
        <v>1301</v>
      </c>
      <c r="H717" s="366">
        <v>198648850</v>
      </c>
      <c r="I717" s="176">
        <v>8</v>
      </c>
      <c r="J717" s="366">
        <v>15891908</v>
      </c>
      <c r="K717" s="178" t="s">
        <v>261</v>
      </c>
      <c r="L717" s="178" t="s">
        <v>252</v>
      </c>
      <c r="M717" s="271" t="s">
        <v>1302</v>
      </c>
      <c r="N717" s="177">
        <v>46225</v>
      </c>
      <c r="O717" s="177">
        <v>46225</v>
      </c>
      <c r="P717" s="366">
        <v>214540758</v>
      </c>
      <c r="Q717" s="176" t="s">
        <v>1303</v>
      </c>
      <c r="R717" s="176" t="s">
        <v>434</v>
      </c>
      <c r="S717" s="178" t="s">
        <v>253</v>
      </c>
      <c r="T717" s="57" t="str">
        <f t="shared" si="33"/>
        <v>Đ</v>
      </c>
      <c r="U717" s="59">
        <f t="shared" si="34"/>
        <v>0</v>
      </c>
      <c r="V717" s="55">
        <f t="shared" si="35"/>
        <v>13311</v>
      </c>
    </row>
    <row r="718" spans="1:22" ht="14.5" customHeight="1">
      <c r="A718" s="176">
        <v>701</v>
      </c>
      <c r="B718" s="178" t="s">
        <v>1418</v>
      </c>
      <c r="C718" s="271" t="s">
        <v>1419</v>
      </c>
      <c r="D718" s="177">
        <v>46207</v>
      </c>
      <c r="E718" s="178" t="s">
        <v>1420</v>
      </c>
      <c r="F718" s="271" t="s">
        <v>1421</v>
      </c>
      <c r="G718" s="178" t="s">
        <v>1301</v>
      </c>
      <c r="H718" s="366">
        <v>62720580</v>
      </c>
      <c r="I718" s="176">
        <v>8</v>
      </c>
      <c r="J718" s="366">
        <v>5017646</v>
      </c>
      <c r="K718" s="178" t="s">
        <v>261</v>
      </c>
      <c r="L718" s="178" t="s">
        <v>252</v>
      </c>
      <c r="M718" s="271" t="s">
        <v>1302</v>
      </c>
      <c r="N718" s="177">
        <v>46225</v>
      </c>
      <c r="O718" s="177">
        <v>46225</v>
      </c>
      <c r="P718" s="366">
        <v>67738226</v>
      </c>
      <c r="Q718" s="176" t="s">
        <v>1303</v>
      </c>
      <c r="R718" s="176" t="s">
        <v>434</v>
      </c>
      <c r="S718" s="178" t="s">
        <v>253</v>
      </c>
      <c r="T718" s="57" t="str">
        <f t="shared" ref="T718:T781" si="36">IF(OR(LEN(F718)=11,LEN(F718)=15),"Đ","SAI")</f>
        <v>Đ</v>
      </c>
      <c r="U718" s="59">
        <f t="shared" ref="U718:U781" si="37">ROUND(H718*I718%,0)-J718</f>
        <v>0</v>
      </c>
      <c r="V718" s="55">
        <f t="shared" ref="V718:V781" si="38">IF(Q718=$V$12,13313,13311)</f>
        <v>13311</v>
      </c>
    </row>
    <row r="719" spans="1:22" ht="14.5" customHeight="1">
      <c r="A719" s="176">
        <v>702</v>
      </c>
      <c r="B719" s="178" t="s">
        <v>1418</v>
      </c>
      <c r="C719" s="271" t="s">
        <v>1422</v>
      </c>
      <c r="D719" s="177">
        <v>46207</v>
      </c>
      <c r="E719" s="178" t="s">
        <v>1420</v>
      </c>
      <c r="F719" s="271" t="s">
        <v>1421</v>
      </c>
      <c r="G719" s="178" t="s">
        <v>1301</v>
      </c>
      <c r="H719" s="366">
        <v>19313375</v>
      </c>
      <c r="I719" s="176">
        <v>8</v>
      </c>
      <c r="J719" s="366">
        <v>1545070</v>
      </c>
      <c r="K719" s="178" t="s">
        <v>261</v>
      </c>
      <c r="L719" s="178" t="s">
        <v>252</v>
      </c>
      <c r="M719" s="271" t="s">
        <v>1302</v>
      </c>
      <c r="N719" s="177">
        <v>46225</v>
      </c>
      <c r="O719" s="177">
        <v>46225</v>
      </c>
      <c r="P719" s="366">
        <v>20858445</v>
      </c>
      <c r="Q719" s="176" t="s">
        <v>1303</v>
      </c>
      <c r="R719" s="176" t="s">
        <v>434</v>
      </c>
      <c r="S719" s="178" t="s">
        <v>253</v>
      </c>
      <c r="T719" s="57" t="str">
        <f t="shared" si="36"/>
        <v>Đ</v>
      </c>
      <c r="U719" s="59">
        <f t="shared" si="37"/>
        <v>0</v>
      </c>
      <c r="V719" s="55">
        <f t="shared" si="38"/>
        <v>13311</v>
      </c>
    </row>
    <row r="720" spans="1:22" ht="14.5" customHeight="1">
      <c r="A720" s="176">
        <v>703</v>
      </c>
      <c r="B720" s="178" t="s">
        <v>1267</v>
      </c>
      <c r="C720" s="271" t="s">
        <v>1423</v>
      </c>
      <c r="D720" s="177">
        <v>46207</v>
      </c>
      <c r="E720" s="178" t="s">
        <v>1424</v>
      </c>
      <c r="F720" s="271" t="s">
        <v>1425</v>
      </c>
      <c r="G720" s="178" t="s">
        <v>1301</v>
      </c>
      <c r="H720" s="366">
        <v>250741285</v>
      </c>
      <c r="I720" s="176">
        <v>8</v>
      </c>
      <c r="J720" s="366">
        <v>20059303</v>
      </c>
      <c r="K720" s="178" t="s">
        <v>261</v>
      </c>
      <c r="L720" s="178" t="s">
        <v>252</v>
      </c>
      <c r="M720" s="271" t="s">
        <v>1302</v>
      </c>
      <c r="N720" s="177">
        <v>46225</v>
      </c>
      <c r="O720" s="177">
        <v>46225</v>
      </c>
      <c r="P720" s="366">
        <v>270800588</v>
      </c>
      <c r="Q720" s="176" t="s">
        <v>1303</v>
      </c>
      <c r="R720" s="176" t="s">
        <v>434</v>
      </c>
      <c r="S720" s="178" t="s">
        <v>253</v>
      </c>
      <c r="T720" s="57" t="str">
        <f t="shared" si="36"/>
        <v>Đ</v>
      </c>
      <c r="U720" s="59">
        <f t="shared" si="37"/>
        <v>0</v>
      </c>
      <c r="V720" s="55">
        <f t="shared" si="38"/>
        <v>13311</v>
      </c>
    </row>
    <row r="721" spans="1:22" ht="14.5" customHeight="1">
      <c r="A721" s="176">
        <v>704</v>
      </c>
      <c r="B721" s="178" t="s">
        <v>1267</v>
      </c>
      <c r="C721" s="271" t="s">
        <v>1423</v>
      </c>
      <c r="D721" s="177">
        <v>46207</v>
      </c>
      <c r="E721" s="178" t="s">
        <v>1426</v>
      </c>
      <c r="F721" s="271" t="s">
        <v>1427</v>
      </c>
      <c r="G721" s="178" t="s">
        <v>1301</v>
      </c>
      <c r="H721" s="366">
        <v>152545140</v>
      </c>
      <c r="I721" s="176">
        <v>8</v>
      </c>
      <c r="J721" s="366">
        <v>12203611</v>
      </c>
      <c r="K721" s="178" t="s">
        <v>261</v>
      </c>
      <c r="L721" s="178" t="s">
        <v>252</v>
      </c>
      <c r="M721" s="271" t="s">
        <v>1302</v>
      </c>
      <c r="N721" s="177">
        <v>46225</v>
      </c>
      <c r="O721" s="177">
        <v>46225</v>
      </c>
      <c r="P721" s="366">
        <v>164748751</v>
      </c>
      <c r="Q721" s="176" t="s">
        <v>1303</v>
      </c>
      <c r="R721" s="176" t="s">
        <v>434</v>
      </c>
      <c r="S721" s="178" t="s">
        <v>253</v>
      </c>
      <c r="T721" s="57" t="str">
        <f t="shared" si="36"/>
        <v>Đ</v>
      </c>
      <c r="U721" s="59">
        <f t="shared" si="37"/>
        <v>0</v>
      </c>
      <c r="V721" s="55">
        <f t="shared" si="38"/>
        <v>13311</v>
      </c>
    </row>
    <row r="722" spans="1:22" ht="14.5" customHeight="1">
      <c r="A722" s="176">
        <v>705</v>
      </c>
      <c r="B722" s="178" t="s">
        <v>1428</v>
      </c>
      <c r="C722" s="271" t="s">
        <v>1429</v>
      </c>
      <c r="D722" s="177">
        <v>46207</v>
      </c>
      <c r="E722" s="178" t="s">
        <v>1430</v>
      </c>
      <c r="F722" s="271" t="s">
        <v>1431</v>
      </c>
      <c r="G722" s="178" t="s">
        <v>1301</v>
      </c>
      <c r="H722" s="366">
        <v>190270950</v>
      </c>
      <c r="I722" s="176">
        <v>8</v>
      </c>
      <c r="J722" s="366">
        <v>15221676</v>
      </c>
      <c r="K722" s="178" t="s">
        <v>261</v>
      </c>
      <c r="L722" s="178" t="s">
        <v>252</v>
      </c>
      <c r="M722" s="271" t="s">
        <v>1302</v>
      </c>
      <c r="N722" s="177">
        <v>46225</v>
      </c>
      <c r="O722" s="177">
        <v>46225</v>
      </c>
      <c r="P722" s="366">
        <v>205492626</v>
      </c>
      <c r="Q722" s="176" t="s">
        <v>1303</v>
      </c>
      <c r="R722" s="176" t="s">
        <v>434</v>
      </c>
      <c r="S722" s="178" t="s">
        <v>253</v>
      </c>
      <c r="T722" s="57" t="str">
        <f t="shared" si="36"/>
        <v>Đ</v>
      </c>
      <c r="U722" s="59">
        <f t="shared" si="37"/>
        <v>0</v>
      </c>
      <c r="V722" s="55">
        <f t="shared" si="38"/>
        <v>13311</v>
      </c>
    </row>
    <row r="723" spans="1:22" ht="21.5" customHeight="1">
      <c r="A723" s="176">
        <v>706</v>
      </c>
      <c r="B723" s="178" t="s">
        <v>1432</v>
      </c>
      <c r="C723" s="271" t="s">
        <v>1433</v>
      </c>
      <c r="D723" s="177">
        <v>46207</v>
      </c>
      <c r="E723" s="178" t="s">
        <v>1434</v>
      </c>
      <c r="F723" s="271" t="s">
        <v>1435</v>
      </c>
      <c r="G723" s="178" t="s">
        <v>1301</v>
      </c>
      <c r="H723" s="366">
        <v>46240535</v>
      </c>
      <c r="I723" s="176">
        <v>8</v>
      </c>
      <c r="J723" s="366">
        <v>3699243</v>
      </c>
      <c r="K723" s="178" t="s">
        <v>261</v>
      </c>
      <c r="L723" s="178" t="s">
        <v>252</v>
      </c>
      <c r="M723" s="271" t="s">
        <v>1302</v>
      </c>
      <c r="N723" s="177">
        <v>46225</v>
      </c>
      <c r="O723" s="177">
        <v>46225</v>
      </c>
      <c r="P723" s="366">
        <v>49939778</v>
      </c>
      <c r="Q723" s="176" t="s">
        <v>1303</v>
      </c>
      <c r="R723" s="176" t="s">
        <v>434</v>
      </c>
      <c r="S723" s="178" t="s">
        <v>253</v>
      </c>
      <c r="T723" s="57" t="str">
        <f t="shared" si="36"/>
        <v>Đ</v>
      </c>
      <c r="U723" s="59">
        <f t="shared" si="37"/>
        <v>0</v>
      </c>
      <c r="V723" s="55">
        <f t="shared" si="38"/>
        <v>13311</v>
      </c>
    </row>
    <row r="724" spans="1:22" ht="14.5" customHeight="1">
      <c r="A724" s="176">
        <v>707</v>
      </c>
      <c r="B724" s="178" t="s">
        <v>1413</v>
      </c>
      <c r="C724" s="271" t="s">
        <v>566</v>
      </c>
      <c r="D724" s="177">
        <v>46207</v>
      </c>
      <c r="E724" s="178" t="s">
        <v>1436</v>
      </c>
      <c r="F724" s="271" t="s">
        <v>1437</v>
      </c>
      <c r="G724" s="178" t="s">
        <v>1301</v>
      </c>
      <c r="H724" s="366">
        <v>209523280</v>
      </c>
      <c r="I724" s="176">
        <v>8</v>
      </c>
      <c r="J724" s="366">
        <v>16761862</v>
      </c>
      <c r="K724" s="178" t="s">
        <v>261</v>
      </c>
      <c r="L724" s="178" t="s">
        <v>252</v>
      </c>
      <c r="M724" s="271" t="s">
        <v>1302</v>
      </c>
      <c r="N724" s="177">
        <v>46225</v>
      </c>
      <c r="O724" s="177">
        <v>46225</v>
      </c>
      <c r="P724" s="366">
        <v>226285142</v>
      </c>
      <c r="Q724" s="176" t="s">
        <v>1303</v>
      </c>
      <c r="R724" s="176" t="s">
        <v>434</v>
      </c>
      <c r="S724" s="178" t="s">
        <v>253</v>
      </c>
      <c r="T724" s="57" t="str">
        <f t="shared" si="36"/>
        <v>Đ</v>
      </c>
      <c r="U724" s="59">
        <f t="shared" si="37"/>
        <v>0</v>
      </c>
      <c r="V724" s="55">
        <f t="shared" si="38"/>
        <v>13311</v>
      </c>
    </row>
    <row r="725" spans="1:22" ht="14.5" customHeight="1">
      <c r="A725" s="176">
        <v>708</v>
      </c>
      <c r="B725" s="178" t="s">
        <v>1267</v>
      </c>
      <c r="C725" s="271" t="s">
        <v>1322</v>
      </c>
      <c r="D725" s="177">
        <v>46207</v>
      </c>
      <c r="E725" s="178" t="s">
        <v>1438</v>
      </c>
      <c r="F725" s="271" t="s">
        <v>1439</v>
      </c>
      <c r="G725" s="178" t="s">
        <v>1301</v>
      </c>
      <c r="H725" s="366">
        <v>191733925</v>
      </c>
      <c r="I725" s="176">
        <v>8</v>
      </c>
      <c r="J725" s="366">
        <v>15338714</v>
      </c>
      <c r="K725" s="178" t="s">
        <v>261</v>
      </c>
      <c r="L725" s="178" t="s">
        <v>252</v>
      </c>
      <c r="M725" s="271" t="s">
        <v>1302</v>
      </c>
      <c r="N725" s="177">
        <v>46225</v>
      </c>
      <c r="O725" s="177">
        <v>46225</v>
      </c>
      <c r="P725" s="366">
        <v>207072639</v>
      </c>
      <c r="Q725" s="176" t="s">
        <v>1303</v>
      </c>
      <c r="R725" s="176" t="s">
        <v>434</v>
      </c>
      <c r="S725" s="178" t="s">
        <v>253</v>
      </c>
      <c r="T725" s="57" t="str">
        <f t="shared" si="36"/>
        <v>Đ</v>
      </c>
      <c r="U725" s="59">
        <f t="shared" si="37"/>
        <v>0</v>
      </c>
      <c r="V725" s="55">
        <f t="shared" si="38"/>
        <v>13311</v>
      </c>
    </row>
    <row r="726" spans="1:22" ht="21.5" customHeight="1">
      <c r="A726" s="176">
        <v>709</v>
      </c>
      <c r="B726" s="178" t="s">
        <v>1440</v>
      </c>
      <c r="C726" s="271" t="s">
        <v>1326</v>
      </c>
      <c r="D726" s="177">
        <v>46207</v>
      </c>
      <c r="E726" s="178" t="s">
        <v>1441</v>
      </c>
      <c r="F726" s="271" t="s">
        <v>1442</v>
      </c>
      <c r="G726" s="178" t="s">
        <v>1301</v>
      </c>
      <c r="H726" s="366">
        <v>170505</v>
      </c>
      <c r="I726" s="176">
        <v>8</v>
      </c>
      <c r="J726" s="366">
        <v>13640</v>
      </c>
      <c r="K726" s="178" t="s">
        <v>261</v>
      </c>
      <c r="L726" s="178" t="s">
        <v>252</v>
      </c>
      <c r="M726" s="271" t="s">
        <v>1302</v>
      </c>
      <c r="N726" s="177">
        <v>46225</v>
      </c>
      <c r="O726" s="177">
        <v>46225</v>
      </c>
      <c r="P726" s="366">
        <v>184145</v>
      </c>
      <c r="Q726" s="176" t="s">
        <v>1303</v>
      </c>
      <c r="R726" s="176" t="s">
        <v>434</v>
      </c>
      <c r="S726" s="178" t="s">
        <v>253</v>
      </c>
      <c r="T726" s="57" t="str">
        <f t="shared" si="36"/>
        <v>Đ</v>
      </c>
      <c r="U726" s="59">
        <f t="shared" si="37"/>
        <v>0</v>
      </c>
      <c r="V726" s="55">
        <f t="shared" si="38"/>
        <v>13311</v>
      </c>
    </row>
    <row r="727" spans="1:22" ht="14.5" customHeight="1">
      <c r="A727" s="176">
        <v>710</v>
      </c>
      <c r="B727" s="178" t="s">
        <v>1443</v>
      </c>
      <c r="C727" s="271" t="s">
        <v>1331</v>
      </c>
      <c r="D727" s="177">
        <v>46207</v>
      </c>
      <c r="E727" s="178" t="s">
        <v>1444</v>
      </c>
      <c r="F727" s="271" t="s">
        <v>1445</v>
      </c>
      <c r="G727" s="178" t="s">
        <v>1301</v>
      </c>
      <c r="H727" s="366">
        <v>81762410</v>
      </c>
      <c r="I727" s="176">
        <v>8</v>
      </c>
      <c r="J727" s="366">
        <v>6540993</v>
      </c>
      <c r="K727" s="178" t="s">
        <v>261</v>
      </c>
      <c r="L727" s="178" t="s">
        <v>252</v>
      </c>
      <c r="M727" s="271" t="s">
        <v>1302</v>
      </c>
      <c r="N727" s="177">
        <v>46225</v>
      </c>
      <c r="O727" s="177">
        <v>46225</v>
      </c>
      <c r="P727" s="366">
        <v>88303403</v>
      </c>
      <c r="Q727" s="176" t="s">
        <v>1303</v>
      </c>
      <c r="R727" s="176" t="s">
        <v>434</v>
      </c>
      <c r="S727" s="178" t="s">
        <v>253</v>
      </c>
      <c r="T727" s="57" t="str">
        <f t="shared" si="36"/>
        <v>Đ</v>
      </c>
      <c r="U727" s="59">
        <f t="shared" si="37"/>
        <v>0</v>
      </c>
      <c r="V727" s="55">
        <f t="shared" si="38"/>
        <v>13311</v>
      </c>
    </row>
    <row r="728" spans="1:22" ht="14.5" customHeight="1">
      <c r="A728" s="176">
        <v>711</v>
      </c>
      <c r="B728" s="178" t="s">
        <v>1446</v>
      </c>
      <c r="C728" s="271" t="s">
        <v>1333</v>
      </c>
      <c r="D728" s="177">
        <v>46207</v>
      </c>
      <c r="E728" s="178" t="s">
        <v>1447</v>
      </c>
      <c r="F728" s="271" t="s">
        <v>718</v>
      </c>
      <c r="G728" s="178" t="s">
        <v>1301</v>
      </c>
      <c r="H728" s="366">
        <v>1210375</v>
      </c>
      <c r="I728" s="176">
        <v>8</v>
      </c>
      <c r="J728" s="366">
        <v>96830</v>
      </c>
      <c r="K728" s="178" t="s">
        <v>261</v>
      </c>
      <c r="L728" s="178" t="s">
        <v>252</v>
      </c>
      <c r="M728" s="271" t="s">
        <v>1302</v>
      </c>
      <c r="N728" s="177">
        <v>46225</v>
      </c>
      <c r="O728" s="177">
        <v>46225</v>
      </c>
      <c r="P728" s="366">
        <v>1307205</v>
      </c>
      <c r="Q728" s="176" t="s">
        <v>1303</v>
      </c>
      <c r="R728" s="176" t="s">
        <v>434</v>
      </c>
      <c r="S728" s="178" t="s">
        <v>253</v>
      </c>
      <c r="T728" s="57" t="str">
        <f t="shared" si="36"/>
        <v>Đ</v>
      </c>
      <c r="U728" s="59">
        <f t="shared" si="37"/>
        <v>0</v>
      </c>
      <c r="V728" s="55">
        <f t="shared" si="38"/>
        <v>13311</v>
      </c>
    </row>
    <row r="729" spans="1:22" ht="14.5" customHeight="1">
      <c r="A729" s="176">
        <v>712</v>
      </c>
      <c r="B729" s="178" t="s">
        <v>1448</v>
      </c>
      <c r="C729" s="271" t="s">
        <v>1449</v>
      </c>
      <c r="D729" s="177">
        <v>46207</v>
      </c>
      <c r="E729" s="178" t="s">
        <v>1450</v>
      </c>
      <c r="F729" s="271" t="s">
        <v>1451</v>
      </c>
      <c r="G729" s="178" t="s">
        <v>1301</v>
      </c>
      <c r="H729" s="366">
        <v>23917010</v>
      </c>
      <c r="I729" s="176">
        <v>8</v>
      </c>
      <c r="J729" s="366">
        <v>1913361</v>
      </c>
      <c r="K729" s="178" t="s">
        <v>261</v>
      </c>
      <c r="L729" s="178" t="s">
        <v>252</v>
      </c>
      <c r="M729" s="271" t="s">
        <v>1302</v>
      </c>
      <c r="N729" s="177">
        <v>46225</v>
      </c>
      <c r="O729" s="177">
        <v>46225</v>
      </c>
      <c r="P729" s="366">
        <v>25830371</v>
      </c>
      <c r="Q729" s="176" t="s">
        <v>1303</v>
      </c>
      <c r="R729" s="176" t="s">
        <v>434</v>
      </c>
      <c r="S729" s="178" t="s">
        <v>253</v>
      </c>
      <c r="T729" s="57" t="str">
        <f t="shared" si="36"/>
        <v>Đ</v>
      </c>
      <c r="U729" s="59">
        <f t="shared" si="37"/>
        <v>0</v>
      </c>
      <c r="V729" s="55">
        <f t="shared" si="38"/>
        <v>13311</v>
      </c>
    </row>
    <row r="730" spans="1:22" ht="14.5" customHeight="1">
      <c r="A730" s="176">
        <v>713</v>
      </c>
      <c r="B730" s="178" t="s">
        <v>1244</v>
      </c>
      <c r="C730" s="271" t="s">
        <v>1452</v>
      </c>
      <c r="D730" s="177">
        <v>46207</v>
      </c>
      <c r="E730" s="178" t="s">
        <v>1453</v>
      </c>
      <c r="F730" s="271" t="s">
        <v>1454</v>
      </c>
      <c r="G730" s="178" t="s">
        <v>1301</v>
      </c>
      <c r="H730" s="366">
        <v>12844710</v>
      </c>
      <c r="I730" s="176">
        <v>8</v>
      </c>
      <c r="J730" s="366">
        <v>1027577</v>
      </c>
      <c r="K730" s="178" t="s">
        <v>261</v>
      </c>
      <c r="L730" s="178" t="s">
        <v>252</v>
      </c>
      <c r="M730" s="271" t="s">
        <v>1302</v>
      </c>
      <c r="N730" s="177">
        <v>46225</v>
      </c>
      <c r="O730" s="177">
        <v>46225</v>
      </c>
      <c r="P730" s="366">
        <v>13872287</v>
      </c>
      <c r="Q730" s="176" t="s">
        <v>1303</v>
      </c>
      <c r="R730" s="176" t="s">
        <v>434</v>
      </c>
      <c r="S730" s="178" t="s">
        <v>253</v>
      </c>
      <c r="T730" s="57" t="str">
        <f t="shared" si="36"/>
        <v>Đ</v>
      </c>
      <c r="U730" s="59">
        <f t="shared" si="37"/>
        <v>0</v>
      </c>
      <c r="V730" s="55">
        <f t="shared" si="38"/>
        <v>13311</v>
      </c>
    </row>
    <row r="731" spans="1:22" ht="14.5" customHeight="1">
      <c r="A731" s="176">
        <v>714</v>
      </c>
      <c r="B731" s="178" t="s">
        <v>1244</v>
      </c>
      <c r="C731" s="271" t="s">
        <v>1455</v>
      </c>
      <c r="D731" s="177">
        <v>46207</v>
      </c>
      <c r="E731" s="178" t="s">
        <v>1453</v>
      </c>
      <c r="F731" s="271" t="s">
        <v>1454</v>
      </c>
      <c r="G731" s="178" t="s">
        <v>1301</v>
      </c>
      <c r="H731" s="366">
        <v>15772765</v>
      </c>
      <c r="I731" s="176">
        <v>8</v>
      </c>
      <c r="J731" s="366">
        <v>1261821</v>
      </c>
      <c r="K731" s="178" t="s">
        <v>261</v>
      </c>
      <c r="L731" s="178" t="s">
        <v>252</v>
      </c>
      <c r="M731" s="271" t="s">
        <v>1302</v>
      </c>
      <c r="N731" s="177">
        <v>46225</v>
      </c>
      <c r="O731" s="177">
        <v>46225</v>
      </c>
      <c r="P731" s="366">
        <v>17034586</v>
      </c>
      <c r="Q731" s="176" t="s">
        <v>1303</v>
      </c>
      <c r="R731" s="176" t="s">
        <v>434</v>
      </c>
      <c r="S731" s="178" t="s">
        <v>253</v>
      </c>
      <c r="T731" s="57" t="str">
        <f t="shared" si="36"/>
        <v>Đ</v>
      </c>
      <c r="U731" s="59">
        <f t="shared" si="37"/>
        <v>0</v>
      </c>
      <c r="V731" s="55">
        <f t="shared" si="38"/>
        <v>13311</v>
      </c>
    </row>
    <row r="732" spans="1:22" ht="14.5" customHeight="1">
      <c r="A732" s="176">
        <v>715</v>
      </c>
      <c r="B732" s="178" t="s">
        <v>1244</v>
      </c>
      <c r="C732" s="271" t="s">
        <v>1456</v>
      </c>
      <c r="D732" s="177">
        <v>46207</v>
      </c>
      <c r="E732" s="178" t="s">
        <v>1453</v>
      </c>
      <c r="F732" s="271" t="s">
        <v>1454</v>
      </c>
      <c r="G732" s="178" t="s">
        <v>1301</v>
      </c>
      <c r="H732" s="366">
        <v>18252455</v>
      </c>
      <c r="I732" s="176">
        <v>8</v>
      </c>
      <c r="J732" s="366">
        <v>1460196</v>
      </c>
      <c r="K732" s="178" t="s">
        <v>261</v>
      </c>
      <c r="L732" s="178" t="s">
        <v>252</v>
      </c>
      <c r="M732" s="271" t="s">
        <v>1302</v>
      </c>
      <c r="N732" s="177">
        <v>46225</v>
      </c>
      <c r="O732" s="177">
        <v>46225</v>
      </c>
      <c r="P732" s="366">
        <v>19712651</v>
      </c>
      <c r="Q732" s="176" t="s">
        <v>1303</v>
      </c>
      <c r="R732" s="176" t="s">
        <v>434</v>
      </c>
      <c r="S732" s="178" t="s">
        <v>253</v>
      </c>
      <c r="T732" s="57" t="str">
        <f t="shared" si="36"/>
        <v>Đ</v>
      </c>
      <c r="U732" s="59">
        <f t="shared" si="37"/>
        <v>0</v>
      </c>
      <c r="V732" s="55">
        <f t="shared" si="38"/>
        <v>13311</v>
      </c>
    </row>
    <row r="733" spans="1:22" ht="14.5" customHeight="1">
      <c r="A733" s="176">
        <v>716</v>
      </c>
      <c r="B733" s="178" t="s">
        <v>1244</v>
      </c>
      <c r="C733" s="271" t="s">
        <v>1457</v>
      </c>
      <c r="D733" s="177">
        <v>46207</v>
      </c>
      <c r="E733" s="178" t="s">
        <v>1453</v>
      </c>
      <c r="F733" s="271" t="s">
        <v>1454</v>
      </c>
      <c r="G733" s="178" t="s">
        <v>1301</v>
      </c>
      <c r="H733" s="366">
        <v>16096935</v>
      </c>
      <c r="I733" s="176">
        <v>8</v>
      </c>
      <c r="J733" s="366">
        <v>1287755</v>
      </c>
      <c r="K733" s="178" t="s">
        <v>261</v>
      </c>
      <c r="L733" s="178" t="s">
        <v>252</v>
      </c>
      <c r="M733" s="271" t="s">
        <v>1302</v>
      </c>
      <c r="N733" s="177">
        <v>46225</v>
      </c>
      <c r="O733" s="177">
        <v>46225</v>
      </c>
      <c r="P733" s="366">
        <v>17384690</v>
      </c>
      <c r="Q733" s="176" t="s">
        <v>1303</v>
      </c>
      <c r="R733" s="176" t="s">
        <v>434</v>
      </c>
      <c r="S733" s="178" t="s">
        <v>253</v>
      </c>
      <c r="T733" s="57" t="str">
        <f t="shared" si="36"/>
        <v>Đ</v>
      </c>
      <c r="U733" s="59">
        <f t="shared" si="37"/>
        <v>0</v>
      </c>
      <c r="V733" s="55">
        <f t="shared" si="38"/>
        <v>13311</v>
      </c>
    </row>
    <row r="734" spans="1:22" ht="14.5" customHeight="1">
      <c r="A734" s="176">
        <v>717</v>
      </c>
      <c r="B734" s="178" t="s">
        <v>1244</v>
      </c>
      <c r="C734" s="271" t="s">
        <v>1458</v>
      </c>
      <c r="D734" s="177">
        <v>46207</v>
      </c>
      <c r="E734" s="178" t="s">
        <v>1453</v>
      </c>
      <c r="F734" s="271" t="s">
        <v>1454</v>
      </c>
      <c r="G734" s="178" t="s">
        <v>1301</v>
      </c>
      <c r="H734" s="366">
        <v>14728685</v>
      </c>
      <c r="I734" s="176">
        <v>8</v>
      </c>
      <c r="J734" s="366">
        <v>1178295</v>
      </c>
      <c r="K734" s="178" t="s">
        <v>261</v>
      </c>
      <c r="L734" s="178" t="s">
        <v>252</v>
      </c>
      <c r="M734" s="271" t="s">
        <v>1302</v>
      </c>
      <c r="N734" s="177">
        <v>46225</v>
      </c>
      <c r="O734" s="177">
        <v>46225</v>
      </c>
      <c r="P734" s="366">
        <v>15906980</v>
      </c>
      <c r="Q734" s="176" t="s">
        <v>1303</v>
      </c>
      <c r="R734" s="176" t="s">
        <v>434</v>
      </c>
      <c r="S734" s="178" t="s">
        <v>253</v>
      </c>
      <c r="T734" s="57" t="str">
        <f t="shared" si="36"/>
        <v>Đ</v>
      </c>
      <c r="U734" s="59">
        <f t="shared" si="37"/>
        <v>0</v>
      </c>
      <c r="V734" s="55">
        <f t="shared" si="38"/>
        <v>13311</v>
      </c>
    </row>
    <row r="735" spans="1:22" ht="14.5" customHeight="1">
      <c r="A735" s="176">
        <v>718</v>
      </c>
      <c r="B735" s="178" t="s">
        <v>1244</v>
      </c>
      <c r="C735" s="271" t="s">
        <v>1459</v>
      </c>
      <c r="D735" s="177">
        <v>46207</v>
      </c>
      <c r="E735" s="178" t="s">
        <v>1453</v>
      </c>
      <c r="F735" s="271" t="s">
        <v>1454</v>
      </c>
      <c r="G735" s="178" t="s">
        <v>1301</v>
      </c>
      <c r="H735" s="366">
        <v>15370710</v>
      </c>
      <c r="I735" s="176">
        <v>8</v>
      </c>
      <c r="J735" s="366">
        <v>1229657</v>
      </c>
      <c r="K735" s="178" t="s">
        <v>261</v>
      </c>
      <c r="L735" s="178" t="s">
        <v>252</v>
      </c>
      <c r="M735" s="271" t="s">
        <v>1302</v>
      </c>
      <c r="N735" s="177">
        <v>46225</v>
      </c>
      <c r="O735" s="177">
        <v>46225</v>
      </c>
      <c r="P735" s="366">
        <v>16600367</v>
      </c>
      <c r="Q735" s="176" t="s">
        <v>1303</v>
      </c>
      <c r="R735" s="176" t="s">
        <v>434</v>
      </c>
      <c r="S735" s="178" t="s">
        <v>253</v>
      </c>
      <c r="T735" s="57" t="str">
        <f t="shared" si="36"/>
        <v>Đ</v>
      </c>
      <c r="U735" s="59">
        <f t="shared" si="37"/>
        <v>0</v>
      </c>
      <c r="V735" s="55">
        <f t="shared" si="38"/>
        <v>13311</v>
      </c>
    </row>
    <row r="736" spans="1:22" ht="21.5" customHeight="1">
      <c r="A736" s="176">
        <v>719</v>
      </c>
      <c r="B736" s="178" t="s">
        <v>1460</v>
      </c>
      <c r="C736" s="271" t="s">
        <v>1339</v>
      </c>
      <c r="D736" s="177">
        <v>46207</v>
      </c>
      <c r="E736" s="178" t="s">
        <v>1461</v>
      </c>
      <c r="F736" s="271" t="s">
        <v>1462</v>
      </c>
      <c r="G736" s="178" t="s">
        <v>1301</v>
      </c>
      <c r="H736" s="366">
        <v>213322844</v>
      </c>
      <c r="I736" s="176">
        <v>8</v>
      </c>
      <c r="J736" s="366">
        <v>17065828</v>
      </c>
      <c r="K736" s="178" t="s">
        <v>261</v>
      </c>
      <c r="L736" s="178" t="s">
        <v>252</v>
      </c>
      <c r="M736" s="271" t="s">
        <v>1302</v>
      </c>
      <c r="N736" s="177">
        <v>46225</v>
      </c>
      <c r="O736" s="177">
        <v>46225</v>
      </c>
      <c r="P736" s="366">
        <v>230388672</v>
      </c>
      <c r="Q736" s="176" t="s">
        <v>1303</v>
      </c>
      <c r="R736" s="176" t="s">
        <v>434</v>
      </c>
      <c r="S736" s="178" t="s">
        <v>253</v>
      </c>
      <c r="T736" s="57" t="str">
        <f t="shared" si="36"/>
        <v>Đ</v>
      </c>
      <c r="U736" s="59">
        <f t="shared" si="37"/>
        <v>0</v>
      </c>
      <c r="V736" s="55">
        <f t="shared" si="38"/>
        <v>13311</v>
      </c>
    </row>
    <row r="737" spans="1:22" ht="14.5" customHeight="1">
      <c r="A737" s="176">
        <v>720</v>
      </c>
      <c r="B737" s="178" t="s">
        <v>1463</v>
      </c>
      <c r="C737" s="271" t="s">
        <v>1464</v>
      </c>
      <c r="D737" s="177">
        <v>46207</v>
      </c>
      <c r="E737" s="178" t="s">
        <v>1465</v>
      </c>
      <c r="F737" s="271" t="s">
        <v>1466</v>
      </c>
      <c r="G737" s="178" t="s">
        <v>1301</v>
      </c>
      <c r="H737" s="366">
        <v>6929660</v>
      </c>
      <c r="I737" s="176">
        <v>8</v>
      </c>
      <c r="J737" s="366">
        <v>554373</v>
      </c>
      <c r="K737" s="178" t="s">
        <v>261</v>
      </c>
      <c r="L737" s="178" t="s">
        <v>252</v>
      </c>
      <c r="M737" s="271" t="s">
        <v>1302</v>
      </c>
      <c r="N737" s="177">
        <v>46225</v>
      </c>
      <c r="O737" s="177">
        <v>46225</v>
      </c>
      <c r="P737" s="366">
        <v>7484033</v>
      </c>
      <c r="Q737" s="176" t="s">
        <v>1303</v>
      </c>
      <c r="R737" s="176" t="s">
        <v>434</v>
      </c>
      <c r="S737" s="178" t="s">
        <v>253</v>
      </c>
      <c r="T737" s="57" t="str">
        <f t="shared" si="36"/>
        <v>Đ</v>
      </c>
      <c r="U737" s="59">
        <f t="shared" si="37"/>
        <v>0</v>
      </c>
      <c r="V737" s="55">
        <f t="shared" si="38"/>
        <v>13311</v>
      </c>
    </row>
    <row r="738" spans="1:22" ht="14.5" customHeight="1">
      <c r="A738" s="176">
        <v>721</v>
      </c>
      <c r="B738" s="178" t="s">
        <v>1463</v>
      </c>
      <c r="C738" s="271" t="s">
        <v>1467</v>
      </c>
      <c r="D738" s="177">
        <v>46207</v>
      </c>
      <c r="E738" s="178" t="s">
        <v>1468</v>
      </c>
      <c r="F738" s="271" t="s">
        <v>1466</v>
      </c>
      <c r="G738" s="178" t="s">
        <v>1301</v>
      </c>
      <c r="H738" s="366">
        <v>26739815</v>
      </c>
      <c r="I738" s="176">
        <v>8</v>
      </c>
      <c r="J738" s="366">
        <v>2139185</v>
      </c>
      <c r="K738" s="178" t="s">
        <v>261</v>
      </c>
      <c r="L738" s="178" t="s">
        <v>252</v>
      </c>
      <c r="M738" s="271" t="s">
        <v>1302</v>
      </c>
      <c r="N738" s="177">
        <v>46225</v>
      </c>
      <c r="O738" s="177">
        <v>46225</v>
      </c>
      <c r="P738" s="366">
        <v>28879000</v>
      </c>
      <c r="Q738" s="176" t="s">
        <v>1303</v>
      </c>
      <c r="R738" s="176" t="s">
        <v>434</v>
      </c>
      <c r="S738" s="178" t="s">
        <v>253</v>
      </c>
      <c r="T738" s="57" t="str">
        <f t="shared" si="36"/>
        <v>Đ</v>
      </c>
      <c r="U738" s="59">
        <f t="shared" si="37"/>
        <v>0</v>
      </c>
      <c r="V738" s="55">
        <f t="shared" si="38"/>
        <v>13311</v>
      </c>
    </row>
    <row r="739" spans="1:22" ht="14.5" customHeight="1">
      <c r="A739" s="176">
        <v>722</v>
      </c>
      <c r="B739" s="178" t="s">
        <v>1469</v>
      </c>
      <c r="C739" s="271" t="s">
        <v>1470</v>
      </c>
      <c r="D739" s="177">
        <v>46207</v>
      </c>
      <c r="E739" s="178" t="s">
        <v>1471</v>
      </c>
      <c r="F739" s="271" t="s">
        <v>1472</v>
      </c>
      <c r="G739" s="178" t="s">
        <v>1301</v>
      </c>
      <c r="H739" s="366">
        <v>11244910</v>
      </c>
      <c r="I739" s="176">
        <v>8</v>
      </c>
      <c r="J739" s="366">
        <v>899593</v>
      </c>
      <c r="K739" s="178" t="s">
        <v>261</v>
      </c>
      <c r="L739" s="178" t="s">
        <v>252</v>
      </c>
      <c r="M739" s="271" t="s">
        <v>1302</v>
      </c>
      <c r="N739" s="177">
        <v>46225</v>
      </c>
      <c r="O739" s="177">
        <v>46225</v>
      </c>
      <c r="P739" s="366">
        <v>12144503</v>
      </c>
      <c r="Q739" s="176" t="s">
        <v>1303</v>
      </c>
      <c r="R739" s="176" t="s">
        <v>434</v>
      </c>
      <c r="S739" s="178" t="s">
        <v>253</v>
      </c>
      <c r="T739" s="57" t="str">
        <f t="shared" si="36"/>
        <v>Đ</v>
      </c>
      <c r="U739" s="59">
        <f t="shared" si="37"/>
        <v>0</v>
      </c>
      <c r="V739" s="55">
        <f t="shared" si="38"/>
        <v>13311</v>
      </c>
    </row>
    <row r="740" spans="1:22" ht="14.5" customHeight="1">
      <c r="A740" s="176">
        <v>723</v>
      </c>
      <c r="B740" s="178" t="s">
        <v>1473</v>
      </c>
      <c r="C740" s="271" t="s">
        <v>1474</v>
      </c>
      <c r="D740" s="177">
        <v>46207</v>
      </c>
      <c r="E740" s="178" t="s">
        <v>1475</v>
      </c>
      <c r="F740" s="271" t="s">
        <v>1476</v>
      </c>
      <c r="G740" s="178" t="s">
        <v>1301</v>
      </c>
      <c r="H740" s="366">
        <v>33595800</v>
      </c>
      <c r="I740" s="176">
        <v>8</v>
      </c>
      <c r="J740" s="366">
        <v>2687664</v>
      </c>
      <c r="K740" s="178" t="s">
        <v>261</v>
      </c>
      <c r="L740" s="178" t="s">
        <v>252</v>
      </c>
      <c r="M740" s="271" t="s">
        <v>1302</v>
      </c>
      <c r="N740" s="177">
        <v>46225</v>
      </c>
      <c r="O740" s="177">
        <v>46225</v>
      </c>
      <c r="P740" s="366">
        <v>36283464</v>
      </c>
      <c r="Q740" s="176" t="s">
        <v>1303</v>
      </c>
      <c r="R740" s="176" t="s">
        <v>434</v>
      </c>
      <c r="S740" s="178" t="s">
        <v>253</v>
      </c>
      <c r="T740" s="57" t="str">
        <f t="shared" si="36"/>
        <v>Đ</v>
      </c>
      <c r="U740" s="59">
        <f t="shared" si="37"/>
        <v>0</v>
      </c>
      <c r="V740" s="55">
        <f t="shared" si="38"/>
        <v>13311</v>
      </c>
    </row>
    <row r="741" spans="1:22" ht="14.5" customHeight="1">
      <c r="A741" s="176">
        <v>724</v>
      </c>
      <c r="B741" s="178" t="s">
        <v>1477</v>
      </c>
      <c r="C741" s="271" t="s">
        <v>1478</v>
      </c>
      <c r="D741" s="177">
        <v>46207</v>
      </c>
      <c r="E741" s="178" t="s">
        <v>1479</v>
      </c>
      <c r="F741" s="271" t="s">
        <v>1480</v>
      </c>
      <c r="G741" s="178" t="s">
        <v>1301</v>
      </c>
      <c r="H741" s="366">
        <v>1305100</v>
      </c>
      <c r="I741" s="176">
        <v>8</v>
      </c>
      <c r="J741" s="366">
        <v>104408</v>
      </c>
      <c r="K741" s="178" t="s">
        <v>261</v>
      </c>
      <c r="L741" s="178" t="s">
        <v>252</v>
      </c>
      <c r="M741" s="271" t="s">
        <v>1302</v>
      </c>
      <c r="N741" s="177">
        <v>46225</v>
      </c>
      <c r="O741" s="177">
        <v>46225</v>
      </c>
      <c r="P741" s="366">
        <v>1409508</v>
      </c>
      <c r="Q741" s="176" t="s">
        <v>1303</v>
      </c>
      <c r="R741" s="176" t="s">
        <v>434</v>
      </c>
      <c r="S741" s="178" t="s">
        <v>253</v>
      </c>
      <c r="T741" s="57" t="str">
        <f t="shared" si="36"/>
        <v>Đ</v>
      </c>
      <c r="U741" s="59">
        <f t="shared" si="37"/>
        <v>0</v>
      </c>
      <c r="V741" s="55">
        <f t="shared" si="38"/>
        <v>13311</v>
      </c>
    </row>
    <row r="742" spans="1:22" ht="14.5" customHeight="1">
      <c r="A742" s="176">
        <v>725</v>
      </c>
      <c r="B742" s="178" t="s">
        <v>1481</v>
      </c>
      <c r="C742" s="271" t="s">
        <v>1482</v>
      </c>
      <c r="D742" s="177">
        <v>46207</v>
      </c>
      <c r="E742" s="178" t="s">
        <v>1483</v>
      </c>
      <c r="F742" s="271" t="s">
        <v>1484</v>
      </c>
      <c r="G742" s="178" t="s">
        <v>1301</v>
      </c>
      <c r="H742" s="366">
        <v>158660165</v>
      </c>
      <c r="I742" s="176">
        <v>8</v>
      </c>
      <c r="J742" s="366">
        <v>12692813</v>
      </c>
      <c r="K742" s="178" t="s">
        <v>261</v>
      </c>
      <c r="L742" s="178" t="s">
        <v>252</v>
      </c>
      <c r="M742" s="271" t="s">
        <v>1302</v>
      </c>
      <c r="N742" s="177">
        <v>46225</v>
      </c>
      <c r="O742" s="177">
        <v>46225</v>
      </c>
      <c r="P742" s="366">
        <v>171352978</v>
      </c>
      <c r="Q742" s="176" t="s">
        <v>1303</v>
      </c>
      <c r="R742" s="176" t="s">
        <v>434</v>
      </c>
      <c r="S742" s="178" t="s">
        <v>253</v>
      </c>
      <c r="T742" s="57" t="str">
        <f t="shared" si="36"/>
        <v>Đ</v>
      </c>
      <c r="U742" s="59">
        <f t="shared" si="37"/>
        <v>0</v>
      </c>
      <c r="V742" s="55">
        <f t="shared" si="38"/>
        <v>13311</v>
      </c>
    </row>
    <row r="743" spans="1:22" ht="14.5" customHeight="1">
      <c r="A743" s="176">
        <v>726</v>
      </c>
      <c r="B743" s="178" t="s">
        <v>1267</v>
      </c>
      <c r="C743" s="271" t="s">
        <v>1271</v>
      </c>
      <c r="D743" s="177">
        <v>46207</v>
      </c>
      <c r="E743" s="178" t="s">
        <v>1351</v>
      </c>
      <c r="F743" s="271" t="s">
        <v>1352</v>
      </c>
      <c r="G743" s="178" t="s">
        <v>1301</v>
      </c>
      <c r="H743" s="366">
        <v>244371555</v>
      </c>
      <c r="I743" s="176">
        <v>8</v>
      </c>
      <c r="J743" s="366">
        <v>19549724</v>
      </c>
      <c r="K743" s="178" t="s">
        <v>261</v>
      </c>
      <c r="L743" s="178" t="s">
        <v>252</v>
      </c>
      <c r="M743" s="271" t="s">
        <v>1302</v>
      </c>
      <c r="N743" s="177">
        <v>46225</v>
      </c>
      <c r="O743" s="177">
        <v>46225</v>
      </c>
      <c r="P743" s="366">
        <v>263921279</v>
      </c>
      <c r="Q743" s="176" t="s">
        <v>1303</v>
      </c>
      <c r="R743" s="176" t="s">
        <v>434</v>
      </c>
      <c r="S743" s="178" t="s">
        <v>253</v>
      </c>
      <c r="T743" s="57" t="str">
        <f t="shared" si="36"/>
        <v>Đ</v>
      </c>
      <c r="U743" s="59">
        <f t="shared" si="37"/>
        <v>0</v>
      </c>
      <c r="V743" s="55">
        <f t="shared" si="38"/>
        <v>13311</v>
      </c>
    </row>
    <row r="744" spans="1:22" ht="14.5" customHeight="1">
      <c r="A744" s="176">
        <v>727</v>
      </c>
      <c r="B744" s="178" t="s">
        <v>1485</v>
      </c>
      <c r="C744" s="271" t="s">
        <v>1486</v>
      </c>
      <c r="D744" s="177">
        <v>46207</v>
      </c>
      <c r="E744" s="178" t="s">
        <v>1487</v>
      </c>
      <c r="F744" s="271" t="s">
        <v>1488</v>
      </c>
      <c r="G744" s="178" t="s">
        <v>1301</v>
      </c>
      <c r="H744" s="366">
        <v>232838260</v>
      </c>
      <c r="I744" s="176">
        <v>8</v>
      </c>
      <c r="J744" s="366">
        <v>18627061</v>
      </c>
      <c r="K744" s="178" t="s">
        <v>261</v>
      </c>
      <c r="L744" s="178" t="s">
        <v>252</v>
      </c>
      <c r="M744" s="271" t="s">
        <v>1302</v>
      </c>
      <c r="N744" s="177">
        <v>46225</v>
      </c>
      <c r="O744" s="177">
        <v>46225</v>
      </c>
      <c r="P744" s="366">
        <v>251465321</v>
      </c>
      <c r="Q744" s="176" t="s">
        <v>1303</v>
      </c>
      <c r="R744" s="176" t="s">
        <v>434</v>
      </c>
      <c r="S744" s="178" t="s">
        <v>253</v>
      </c>
      <c r="T744" s="57" t="str">
        <f t="shared" si="36"/>
        <v>Đ</v>
      </c>
      <c r="U744" s="59">
        <f t="shared" si="37"/>
        <v>0</v>
      </c>
      <c r="V744" s="55">
        <f t="shared" si="38"/>
        <v>13311</v>
      </c>
    </row>
    <row r="745" spans="1:22" ht="14.5" customHeight="1">
      <c r="A745" s="176">
        <v>728</v>
      </c>
      <c r="B745" s="178" t="s">
        <v>1489</v>
      </c>
      <c r="C745" s="271" t="s">
        <v>1490</v>
      </c>
      <c r="D745" s="177">
        <v>46207</v>
      </c>
      <c r="E745" s="178" t="s">
        <v>1491</v>
      </c>
      <c r="F745" s="271" t="s">
        <v>1492</v>
      </c>
      <c r="G745" s="178" t="s">
        <v>1301</v>
      </c>
      <c r="H745" s="366">
        <v>17924075</v>
      </c>
      <c r="I745" s="176">
        <v>8</v>
      </c>
      <c r="J745" s="366">
        <v>1433926</v>
      </c>
      <c r="K745" s="178" t="s">
        <v>261</v>
      </c>
      <c r="L745" s="178" t="s">
        <v>252</v>
      </c>
      <c r="M745" s="271" t="s">
        <v>1302</v>
      </c>
      <c r="N745" s="177">
        <v>46225</v>
      </c>
      <c r="O745" s="177">
        <v>46225</v>
      </c>
      <c r="P745" s="366">
        <v>19358001</v>
      </c>
      <c r="Q745" s="176" t="s">
        <v>1303</v>
      </c>
      <c r="R745" s="176" t="s">
        <v>434</v>
      </c>
      <c r="S745" s="178" t="s">
        <v>253</v>
      </c>
      <c r="T745" s="57" t="str">
        <f t="shared" si="36"/>
        <v>Đ</v>
      </c>
      <c r="U745" s="59">
        <f t="shared" si="37"/>
        <v>0</v>
      </c>
      <c r="V745" s="55">
        <f t="shared" si="38"/>
        <v>13311</v>
      </c>
    </row>
    <row r="746" spans="1:22" ht="14.5" customHeight="1">
      <c r="A746" s="176">
        <v>729</v>
      </c>
      <c r="B746" s="178" t="s">
        <v>1489</v>
      </c>
      <c r="C746" s="271" t="s">
        <v>1493</v>
      </c>
      <c r="D746" s="177">
        <v>46207</v>
      </c>
      <c r="E746" s="178" t="s">
        <v>1491</v>
      </c>
      <c r="F746" s="271" t="s">
        <v>1492</v>
      </c>
      <c r="G746" s="178" t="s">
        <v>1301</v>
      </c>
      <c r="H746" s="366">
        <v>128030310</v>
      </c>
      <c r="I746" s="176">
        <v>8</v>
      </c>
      <c r="J746" s="366">
        <v>10242425</v>
      </c>
      <c r="K746" s="178" t="s">
        <v>261</v>
      </c>
      <c r="L746" s="178" t="s">
        <v>252</v>
      </c>
      <c r="M746" s="271" t="s">
        <v>1302</v>
      </c>
      <c r="N746" s="177">
        <v>46225</v>
      </c>
      <c r="O746" s="177">
        <v>46225</v>
      </c>
      <c r="P746" s="366">
        <v>138272735</v>
      </c>
      <c r="Q746" s="176" t="s">
        <v>1303</v>
      </c>
      <c r="R746" s="176" t="s">
        <v>434</v>
      </c>
      <c r="S746" s="178" t="s">
        <v>253</v>
      </c>
      <c r="T746" s="57" t="str">
        <f t="shared" si="36"/>
        <v>Đ</v>
      </c>
      <c r="U746" s="59">
        <f t="shared" si="37"/>
        <v>0</v>
      </c>
      <c r="V746" s="55">
        <f t="shared" si="38"/>
        <v>13311</v>
      </c>
    </row>
    <row r="747" spans="1:22" ht="14.5" customHeight="1">
      <c r="A747" s="176">
        <v>730</v>
      </c>
      <c r="B747" s="178" t="s">
        <v>1489</v>
      </c>
      <c r="C747" s="271" t="s">
        <v>1494</v>
      </c>
      <c r="D747" s="177">
        <v>46207</v>
      </c>
      <c r="E747" s="178" t="s">
        <v>1495</v>
      </c>
      <c r="F747" s="271" t="s">
        <v>1496</v>
      </c>
      <c r="G747" s="178" t="s">
        <v>1301</v>
      </c>
      <c r="H747" s="366">
        <v>11303850</v>
      </c>
      <c r="I747" s="176">
        <v>8</v>
      </c>
      <c r="J747" s="366">
        <v>904308</v>
      </c>
      <c r="K747" s="178" t="s">
        <v>261</v>
      </c>
      <c r="L747" s="178" t="s">
        <v>252</v>
      </c>
      <c r="M747" s="271" t="s">
        <v>1302</v>
      </c>
      <c r="N747" s="177">
        <v>46225</v>
      </c>
      <c r="O747" s="177">
        <v>46225</v>
      </c>
      <c r="P747" s="366">
        <v>12208158</v>
      </c>
      <c r="Q747" s="176" t="s">
        <v>1303</v>
      </c>
      <c r="R747" s="176" t="s">
        <v>434</v>
      </c>
      <c r="S747" s="178" t="s">
        <v>253</v>
      </c>
      <c r="T747" s="57" t="str">
        <f t="shared" si="36"/>
        <v>Đ</v>
      </c>
      <c r="U747" s="59">
        <f t="shared" si="37"/>
        <v>0</v>
      </c>
      <c r="V747" s="55">
        <f t="shared" si="38"/>
        <v>13311</v>
      </c>
    </row>
    <row r="748" spans="1:22" ht="14.5" customHeight="1">
      <c r="A748" s="176">
        <v>731</v>
      </c>
      <c r="B748" s="178" t="s">
        <v>1497</v>
      </c>
      <c r="C748" s="271" t="s">
        <v>1498</v>
      </c>
      <c r="D748" s="177">
        <v>46207</v>
      </c>
      <c r="E748" s="178" t="s">
        <v>1499</v>
      </c>
      <c r="F748" s="271" t="s">
        <v>1500</v>
      </c>
      <c r="G748" s="178" t="s">
        <v>1301</v>
      </c>
      <c r="H748" s="366">
        <v>248390</v>
      </c>
      <c r="I748" s="176">
        <v>8</v>
      </c>
      <c r="J748" s="366">
        <v>19871</v>
      </c>
      <c r="K748" s="178" t="s">
        <v>261</v>
      </c>
      <c r="L748" s="178" t="s">
        <v>252</v>
      </c>
      <c r="M748" s="271" t="s">
        <v>1302</v>
      </c>
      <c r="N748" s="177">
        <v>46225</v>
      </c>
      <c r="O748" s="177">
        <v>46225</v>
      </c>
      <c r="P748" s="366">
        <v>268261</v>
      </c>
      <c r="Q748" s="176" t="s">
        <v>1303</v>
      </c>
      <c r="R748" s="176" t="s">
        <v>434</v>
      </c>
      <c r="S748" s="178" t="s">
        <v>253</v>
      </c>
      <c r="T748" s="57" t="str">
        <f t="shared" si="36"/>
        <v>Đ</v>
      </c>
      <c r="U748" s="59">
        <f t="shared" si="37"/>
        <v>0</v>
      </c>
      <c r="V748" s="55">
        <f t="shared" si="38"/>
        <v>13311</v>
      </c>
    </row>
    <row r="749" spans="1:22" ht="21.5" customHeight="1">
      <c r="A749" s="176">
        <v>732</v>
      </c>
      <c r="B749" s="178" t="s">
        <v>1364</v>
      </c>
      <c r="C749" s="271" t="s">
        <v>1501</v>
      </c>
      <c r="D749" s="177">
        <v>46207</v>
      </c>
      <c r="E749" s="178" t="s">
        <v>1502</v>
      </c>
      <c r="F749" s="271" t="s">
        <v>1503</v>
      </c>
      <c r="G749" s="178" t="s">
        <v>1301</v>
      </c>
      <c r="H749" s="366">
        <v>187345</v>
      </c>
      <c r="I749" s="176">
        <v>8</v>
      </c>
      <c r="J749" s="366">
        <v>14988</v>
      </c>
      <c r="K749" s="178" t="s">
        <v>261</v>
      </c>
      <c r="L749" s="178" t="s">
        <v>252</v>
      </c>
      <c r="M749" s="271" t="s">
        <v>1302</v>
      </c>
      <c r="N749" s="177">
        <v>46225</v>
      </c>
      <c r="O749" s="177">
        <v>46225</v>
      </c>
      <c r="P749" s="366">
        <v>202333</v>
      </c>
      <c r="Q749" s="176" t="s">
        <v>1303</v>
      </c>
      <c r="R749" s="176" t="s">
        <v>434</v>
      </c>
      <c r="S749" s="178" t="s">
        <v>253</v>
      </c>
      <c r="T749" s="57" t="str">
        <f t="shared" si="36"/>
        <v>Đ</v>
      </c>
      <c r="U749" s="59">
        <f t="shared" si="37"/>
        <v>0</v>
      </c>
      <c r="V749" s="55">
        <f t="shared" si="38"/>
        <v>13311</v>
      </c>
    </row>
    <row r="750" spans="1:22" ht="21.5" customHeight="1">
      <c r="A750" s="176">
        <v>733</v>
      </c>
      <c r="B750" s="178" t="s">
        <v>1364</v>
      </c>
      <c r="C750" s="271" t="s">
        <v>1354</v>
      </c>
      <c r="D750" s="177">
        <v>46207</v>
      </c>
      <c r="E750" s="178" t="s">
        <v>1504</v>
      </c>
      <c r="F750" s="271" t="s">
        <v>1505</v>
      </c>
      <c r="G750" s="178" t="s">
        <v>1301</v>
      </c>
      <c r="H750" s="366">
        <v>248440520</v>
      </c>
      <c r="I750" s="176">
        <v>8</v>
      </c>
      <c r="J750" s="366">
        <v>19875242</v>
      </c>
      <c r="K750" s="178" t="s">
        <v>261</v>
      </c>
      <c r="L750" s="178" t="s">
        <v>252</v>
      </c>
      <c r="M750" s="271" t="s">
        <v>1302</v>
      </c>
      <c r="N750" s="177">
        <v>46225</v>
      </c>
      <c r="O750" s="177">
        <v>46225</v>
      </c>
      <c r="P750" s="366">
        <v>268315762</v>
      </c>
      <c r="Q750" s="176" t="s">
        <v>1303</v>
      </c>
      <c r="R750" s="176" t="s">
        <v>434</v>
      </c>
      <c r="S750" s="178" t="s">
        <v>253</v>
      </c>
      <c r="T750" s="57" t="str">
        <f t="shared" si="36"/>
        <v>Đ</v>
      </c>
      <c r="U750" s="59">
        <f t="shared" si="37"/>
        <v>0</v>
      </c>
      <c r="V750" s="55">
        <f t="shared" si="38"/>
        <v>13311</v>
      </c>
    </row>
    <row r="751" spans="1:22" ht="14.5" customHeight="1">
      <c r="A751" s="176">
        <v>734</v>
      </c>
      <c r="B751" s="178" t="s">
        <v>1506</v>
      </c>
      <c r="C751" s="271" t="s">
        <v>1354</v>
      </c>
      <c r="D751" s="177">
        <v>46207</v>
      </c>
      <c r="E751" s="178" t="s">
        <v>1507</v>
      </c>
      <c r="F751" s="271" t="s">
        <v>1508</v>
      </c>
      <c r="G751" s="178" t="s">
        <v>1301</v>
      </c>
      <c r="H751" s="366">
        <v>245421950</v>
      </c>
      <c r="I751" s="176">
        <v>8</v>
      </c>
      <c r="J751" s="366">
        <v>19633756</v>
      </c>
      <c r="K751" s="178" t="s">
        <v>261</v>
      </c>
      <c r="L751" s="178" t="s">
        <v>252</v>
      </c>
      <c r="M751" s="271" t="s">
        <v>1302</v>
      </c>
      <c r="N751" s="177">
        <v>46225</v>
      </c>
      <c r="O751" s="177">
        <v>46225</v>
      </c>
      <c r="P751" s="366">
        <v>265055706</v>
      </c>
      <c r="Q751" s="176" t="s">
        <v>1303</v>
      </c>
      <c r="R751" s="176" t="s">
        <v>434</v>
      </c>
      <c r="S751" s="178" t="s">
        <v>253</v>
      </c>
      <c r="T751" s="57" t="str">
        <f t="shared" si="36"/>
        <v>Đ</v>
      </c>
      <c r="U751" s="59">
        <f t="shared" si="37"/>
        <v>0</v>
      </c>
      <c r="V751" s="55">
        <f t="shared" si="38"/>
        <v>13311</v>
      </c>
    </row>
    <row r="752" spans="1:22" ht="21.5" customHeight="1">
      <c r="A752" s="176">
        <v>735</v>
      </c>
      <c r="B752" s="178" t="s">
        <v>1509</v>
      </c>
      <c r="C752" s="271" t="s">
        <v>1354</v>
      </c>
      <c r="D752" s="177">
        <v>46207</v>
      </c>
      <c r="E752" s="178" t="s">
        <v>1510</v>
      </c>
      <c r="F752" s="271" t="s">
        <v>1511</v>
      </c>
      <c r="G752" s="178" t="s">
        <v>1301</v>
      </c>
      <c r="H752" s="366">
        <v>121224845</v>
      </c>
      <c r="I752" s="176">
        <v>8</v>
      </c>
      <c r="J752" s="366">
        <v>9697988</v>
      </c>
      <c r="K752" s="178" t="s">
        <v>261</v>
      </c>
      <c r="L752" s="178" t="s">
        <v>252</v>
      </c>
      <c r="M752" s="271" t="s">
        <v>1302</v>
      </c>
      <c r="N752" s="177">
        <v>46225</v>
      </c>
      <c r="O752" s="177">
        <v>46225</v>
      </c>
      <c r="P752" s="366">
        <v>130922833</v>
      </c>
      <c r="Q752" s="176" t="s">
        <v>1303</v>
      </c>
      <c r="R752" s="176" t="s">
        <v>434</v>
      </c>
      <c r="S752" s="178" t="s">
        <v>253</v>
      </c>
      <c r="T752" s="57" t="str">
        <f t="shared" si="36"/>
        <v>Đ</v>
      </c>
      <c r="U752" s="59">
        <f t="shared" si="37"/>
        <v>0</v>
      </c>
      <c r="V752" s="55">
        <f t="shared" si="38"/>
        <v>13311</v>
      </c>
    </row>
    <row r="753" spans="1:22" ht="14.5" customHeight="1">
      <c r="A753" s="176">
        <v>736</v>
      </c>
      <c r="B753" s="178" t="s">
        <v>1267</v>
      </c>
      <c r="C753" s="271" t="s">
        <v>1354</v>
      </c>
      <c r="D753" s="177">
        <v>46207</v>
      </c>
      <c r="E753" s="178" t="s">
        <v>1512</v>
      </c>
      <c r="F753" s="271" t="s">
        <v>1513</v>
      </c>
      <c r="G753" s="178" t="s">
        <v>1301</v>
      </c>
      <c r="H753" s="366">
        <v>164909910</v>
      </c>
      <c r="I753" s="176">
        <v>8</v>
      </c>
      <c r="J753" s="366">
        <v>13192793</v>
      </c>
      <c r="K753" s="178" t="s">
        <v>261</v>
      </c>
      <c r="L753" s="178" t="s">
        <v>252</v>
      </c>
      <c r="M753" s="271" t="s">
        <v>1302</v>
      </c>
      <c r="N753" s="177">
        <v>46225</v>
      </c>
      <c r="O753" s="177">
        <v>46225</v>
      </c>
      <c r="P753" s="366">
        <v>178102703</v>
      </c>
      <c r="Q753" s="176" t="s">
        <v>1303</v>
      </c>
      <c r="R753" s="176" t="s">
        <v>434</v>
      </c>
      <c r="S753" s="178" t="s">
        <v>253</v>
      </c>
      <c r="T753" s="57" t="str">
        <f t="shared" si="36"/>
        <v>Đ</v>
      </c>
      <c r="U753" s="59">
        <f t="shared" si="37"/>
        <v>0</v>
      </c>
      <c r="V753" s="55">
        <f t="shared" si="38"/>
        <v>13311</v>
      </c>
    </row>
    <row r="754" spans="1:22" ht="21.5" customHeight="1">
      <c r="A754" s="176">
        <v>737</v>
      </c>
      <c r="B754" s="178" t="s">
        <v>1283</v>
      </c>
      <c r="C754" s="271" t="s">
        <v>1354</v>
      </c>
      <c r="D754" s="177">
        <v>46207</v>
      </c>
      <c r="E754" s="178" t="s">
        <v>1514</v>
      </c>
      <c r="F754" s="271" t="s">
        <v>1515</v>
      </c>
      <c r="G754" s="178" t="s">
        <v>1301</v>
      </c>
      <c r="H754" s="366">
        <v>223245775</v>
      </c>
      <c r="I754" s="176">
        <v>8</v>
      </c>
      <c r="J754" s="366">
        <v>17859662</v>
      </c>
      <c r="K754" s="178" t="s">
        <v>261</v>
      </c>
      <c r="L754" s="178" t="s">
        <v>252</v>
      </c>
      <c r="M754" s="271" t="s">
        <v>1302</v>
      </c>
      <c r="N754" s="177">
        <v>46225</v>
      </c>
      <c r="O754" s="177">
        <v>46225</v>
      </c>
      <c r="P754" s="366">
        <v>241105437</v>
      </c>
      <c r="Q754" s="176" t="s">
        <v>1303</v>
      </c>
      <c r="R754" s="176" t="s">
        <v>434</v>
      </c>
      <c r="S754" s="178" t="s">
        <v>253</v>
      </c>
      <c r="T754" s="57" t="str">
        <f t="shared" si="36"/>
        <v>Đ</v>
      </c>
      <c r="U754" s="59">
        <f t="shared" si="37"/>
        <v>0</v>
      </c>
      <c r="V754" s="55">
        <f t="shared" si="38"/>
        <v>13311</v>
      </c>
    </row>
    <row r="755" spans="1:22" ht="14.5" customHeight="1">
      <c r="A755" s="176">
        <v>738</v>
      </c>
      <c r="B755" s="178" t="s">
        <v>1393</v>
      </c>
      <c r="C755" s="271" t="s">
        <v>1354</v>
      </c>
      <c r="D755" s="177">
        <v>46207</v>
      </c>
      <c r="E755" s="178" t="s">
        <v>1516</v>
      </c>
      <c r="F755" s="271" t="s">
        <v>1517</v>
      </c>
      <c r="G755" s="178" t="s">
        <v>1301</v>
      </c>
      <c r="H755" s="366">
        <v>274009955</v>
      </c>
      <c r="I755" s="176">
        <v>8</v>
      </c>
      <c r="J755" s="366">
        <v>21920796</v>
      </c>
      <c r="K755" s="178" t="s">
        <v>261</v>
      </c>
      <c r="L755" s="178" t="s">
        <v>252</v>
      </c>
      <c r="M755" s="271" t="s">
        <v>1302</v>
      </c>
      <c r="N755" s="177">
        <v>46225</v>
      </c>
      <c r="O755" s="177">
        <v>46225</v>
      </c>
      <c r="P755" s="366">
        <v>295930751</v>
      </c>
      <c r="Q755" s="176" t="s">
        <v>1303</v>
      </c>
      <c r="R755" s="176" t="s">
        <v>434</v>
      </c>
      <c r="S755" s="178" t="s">
        <v>253</v>
      </c>
      <c r="T755" s="57" t="str">
        <f t="shared" si="36"/>
        <v>Đ</v>
      </c>
      <c r="U755" s="59">
        <f t="shared" si="37"/>
        <v>0</v>
      </c>
      <c r="V755" s="55">
        <f t="shared" si="38"/>
        <v>13311</v>
      </c>
    </row>
    <row r="756" spans="1:22" ht="21.5" customHeight="1">
      <c r="A756" s="176">
        <v>739</v>
      </c>
      <c r="B756" s="178" t="s">
        <v>1283</v>
      </c>
      <c r="C756" s="271" t="s">
        <v>1354</v>
      </c>
      <c r="D756" s="177">
        <v>46207</v>
      </c>
      <c r="E756" s="178" t="s">
        <v>1518</v>
      </c>
      <c r="F756" s="271" t="s">
        <v>1519</v>
      </c>
      <c r="G756" s="178" t="s">
        <v>1301</v>
      </c>
      <c r="H756" s="366">
        <v>237839740</v>
      </c>
      <c r="I756" s="176">
        <v>8</v>
      </c>
      <c r="J756" s="366">
        <v>19027179</v>
      </c>
      <c r="K756" s="178" t="s">
        <v>261</v>
      </c>
      <c r="L756" s="178" t="s">
        <v>252</v>
      </c>
      <c r="M756" s="271" t="s">
        <v>1302</v>
      </c>
      <c r="N756" s="177">
        <v>46225</v>
      </c>
      <c r="O756" s="177">
        <v>46225</v>
      </c>
      <c r="P756" s="366">
        <v>256866919</v>
      </c>
      <c r="Q756" s="176" t="s">
        <v>1303</v>
      </c>
      <c r="R756" s="176" t="s">
        <v>434</v>
      </c>
      <c r="S756" s="178" t="s">
        <v>253</v>
      </c>
      <c r="T756" s="57" t="str">
        <f t="shared" si="36"/>
        <v>Đ</v>
      </c>
      <c r="U756" s="59">
        <f t="shared" si="37"/>
        <v>0</v>
      </c>
      <c r="V756" s="55">
        <f t="shared" si="38"/>
        <v>13311</v>
      </c>
    </row>
    <row r="757" spans="1:22" ht="14.5" customHeight="1">
      <c r="A757" s="176">
        <v>740</v>
      </c>
      <c r="B757" s="178" t="s">
        <v>1520</v>
      </c>
      <c r="C757" s="271" t="s">
        <v>1354</v>
      </c>
      <c r="D757" s="177">
        <v>46207</v>
      </c>
      <c r="E757" s="178" t="s">
        <v>1521</v>
      </c>
      <c r="F757" s="271" t="s">
        <v>1522</v>
      </c>
      <c r="G757" s="178" t="s">
        <v>1301</v>
      </c>
      <c r="H757" s="366">
        <v>230320680</v>
      </c>
      <c r="I757" s="176">
        <v>8</v>
      </c>
      <c r="J757" s="366">
        <v>18425654</v>
      </c>
      <c r="K757" s="178" t="s">
        <v>261</v>
      </c>
      <c r="L757" s="178" t="s">
        <v>252</v>
      </c>
      <c r="M757" s="271" t="s">
        <v>1302</v>
      </c>
      <c r="N757" s="177">
        <v>46225</v>
      </c>
      <c r="O757" s="177">
        <v>46225</v>
      </c>
      <c r="P757" s="366">
        <v>248746334</v>
      </c>
      <c r="Q757" s="176" t="s">
        <v>1303</v>
      </c>
      <c r="R757" s="176" t="s">
        <v>434</v>
      </c>
      <c r="S757" s="178" t="s">
        <v>253</v>
      </c>
      <c r="T757" s="57" t="str">
        <f t="shared" si="36"/>
        <v>Đ</v>
      </c>
      <c r="U757" s="59">
        <f t="shared" si="37"/>
        <v>0</v>
      </c>
      <c r="V757" s="55">
        <f t="shared" si="38"/>
        <v>13311</v>
      </c>
    </row>
    <row r="758" spans="1:22" ht="21.5" customHeight="1">
      <c r="A758" s="176">
        <v>741</v>
      </c>
      <c r="B758" s="178" t="s">
        <v>1523</v>
      </c>
      <c r="C758" s="271" t="s">
        <v>1354</v>
      </c>
      <c r="D758" s="177">
        <v>46207</v>
      </c>
      <c r="E758" s="178" t="s">
        <v>1524</v>
      </c>
      <c r="F758" s="271" t="s">
        <v>1525</v>
      </c>
      <c r="G758" s="178" t="s">
        <v>1301</v>
      </c>
      <c r="H758" s="366">
        <v>184770585</v>
      </c>
      <c r="I758" s="176">
        <v>8</v>
      </c>
      <c r="J758" s="366">
        <v>14781647</v>
      </c>
      <c r="K758" s="178" t="s">
        <v>261</v>
      </c>
      <c r="L758" s="178" t="s">
        <v>252</v>
      </c>
      <c r="M758" s="271" t="s">
        <v>1302</v>
      </c>
      <c r="N758" s="177">
        <v>46225</v>
      </c>
      <c r="O758" s="177">
        <v>46225</v>
      </c>
      <c r="P758" s="366">
        <v>199552232</v>
      </c>
      <c r="Q758" s="176" t="s">
        <v>1303</v>
      </c>
      <c r="R758" s="176" t="s">
        <v>434</v>
      </c>
      <c r="S758" s="178" t="s">
        <v>253</v>
      </c>
      <c r="T758" s="57" t="str">
        <f t="shared" si="36"/>
        <v>Đ</v>
      </c>
      <c r="U758" s="59">
        <f t="shared" si="37"/>
        <v>0</v>
      </c>
      <c r="V758" s="55">
        <f t="shared" si="38"/>
        <v>13311</v>
      </c>
    </row>
    <row r="759" spans="1:22" ht="21.5" customHeight="1">
      <c r="A759" s="176">
        <v>742</v>
      </c>
      <c r="B759" s="178" t="s">
        <v>1393</v>
      </c>
      <c r="C759" s="271" t="s">
        <v>1354</v>
      </c>
      <c r="D759" s="177">
        <v>46207</v>
      </c>
      <c r="E759" s="178" t="s">
        <v>1526</v>
      </c>
      <c r="F759" s="271" t="s">
        <v>1527</v>
      </c>
      <c r="G759" s="178" t="s">
        <v>1301</v>
      </c>
      <c r="H759" s="366">
        <v>254818670</v>
      </c>
      <c r="I759" s="176">
        <v>8</v>
      </c>
      <c r="J759" s="366">
        <v>20385494</v>
      </c>
      <c r="K759" s="178" t="s">
        <v>261</v>
      </c>
      <c r="L759" s="178" t="s">
        <v>252</v>
      </c>
      <c r="M759" s="271" t="s">
        <v>1302</v>
      </c>
      <c r="N759" s="177">
        <v>46225</v>
      </c>
      <c r="O759" s="177">
        <v>46225</v>
      </c>
      <c r="P759" s="366">
        <v>275204164</v>
      </c>
      <c r="Q759" s="176" t="s">
        <v>1303</v>
      </c>
      <c r="R759" s="176" t="s">
        <v>434</v>
      </c>
      <c r="S759" s="178" t="s">
        <v>253</v>
      </c>
      <c r="T759" s="57" t="str">
        <f t="shared" si="36"/>
        <v>Đ</v>
      </c>
      <c r="U759" s="59">
        <f t="shared" si="37"/>
        <v>0</v>
      </c>
      <c r="V759" s="55">
        <f t="shared" si="38"/>
        <v>13311</v>
      </c>
    </row>
    <row r="760" spans="1:22" ht="21.5" customHeight="1">
      <c r="A760" s="176">
        <v>743</v>
      </c>
      <c r="B760" s="178" t="s">
        <v>1528</v>
      </c>
      <c r="C760" s="271" t="s">
        <v>1354</v>
      </c>
      <c r="D760" s="177">
        <v>46207</v>
      </c>
      <c r="E760" s="178" t="s">
        <v>1529</v>
      </c>
      <c r="F760" s="271" t="s">
        <v>1530</v>
      </c>
      <c r="G760" s="178" t="s">
        <v>1301</v>
      </c>
      <c r="H760" s="366">
        <v>244177912</v>
      </c>
      <c r="I760" s="176">
        <v>8</v>
      </c>
      <c r="J760" s="366">
        <v>19534233</v>
      </c>
      <c r="K760" s="178" t="s">
        <v>261</v>
      </c>
      <c r="L760" s="178" t="s">
        <v>252</v>
      </c>
      <c r="M760" s="271" t="s">
        <v>1302</v>
      </c>
      <c r="N760" s="177">
        <v>46225</v>
      </c>
      <c r="O760" s="177">
        <v>46225</v>
      </c>
      <c r="P760" s="366">
        <v>263712145</v>
      </c>
      <c r="Q760" s="176" t="s">
        <v>1303</v>
      </c>
      <c r="R760" s="176" t="s">
        <v>434</v>
      </c>
      <c r="S760" s="178" t="s">
        <v>253</v>
      </c>
      <c r="T760" s="57" t="str">
        <f t="shared" si="36"/>
        <v>Đ</v>
      </c>
      <c r="U760" s="59">
        <f t="shared" si="37"/>
        <v>0</v>
      </c>
      <c r="V760" s="55">
        <f t="shared" si="38"/>
        <v>13311</v>
      </c>
    </row>
    <row r="761" spans="1:22" ht="14.5" customHeight="1">
      <c r="A761" s="176">
        <v>744</v>
      </c>
      <c r="B761" s="178" t="s">
        <v>1531</v>
      </c>
      <c r="C761" s="271" t="s">
        <v>1532</v>
      </c>
      <c r="D761" s="177">
        <v>46207</v>
      </c>
      <c r="E761" s="178" t="s">
        <v>1533</v>
      </c>
      <c r="F761" s="271" t="s">
        <v>1534</v>
      </c>
      <c r="G761" s="178" t="s">
        <v>1301</v>
      </c>
      <c r="H761" s="366">
        <v>54452140</v>
      </c>
      <c r="I761" s="176">
        <v>8</v>
      </c>
      <c r="J761" s="366">
        <v>4356171</v>
      </c>
      <c r="K761" s="178" t="s">
        <v>261</v>
      </c>
      <c r="L761" s="178" t="s">
        <v>252</v>
      </c>
      <c r="M761" s="271" t="s">
        <v>1302</v>
      </c>
      <c r="N761" s="177">
        <v>46225</v>
      </c>
      <c r="O761" s="177">
        <v>46225</v>
      </c>
      <c r="P761" s="366">
        <v>58808311</v>
      </c>
      <c r="Q761" s="176" t="s">
        <v>1303</v>
      </c>
      <c r="R761" s="176" t="s">
        <v>434</v>
      </c>
      <c r="S761" s="178" t="s">
        <v>253</v>
      </c>
      <c r="T761" s="57" t="str">
        <f t="shared" si="36"/>
        <v>Đ</v>
      </c>
      <c r="U761" s="59">
        <f t="shared" si="37"/>
        <v>0</v>
      </c>
      <c r="V761" s="55">
        <f t="shared" si="38"/>
        <v>13311</v>
      </c>
    </row>
    <row r="762" spans="1:22" ht="14.5" customHeight="1">
      <c r="A762" s="176">
        <v>745</v>
      </c>
      <c r="B762" s="178" t="s">
        <v>1535</v>
      </c>
      <c r="C762" s="271" t="s">
        <v>1536</v>
      </c>
      <c r="D762" s="177">
        <v>46207</v>
      </c>
      <c r="E762" s="178" t="s">
        <v>1537</v>
      </c>
      <c r="F762" s="271" t="s">
        <v>1538</v>
      </c>
      <c r="G762" s="178" t="s">
        <v>1301</v>
      </c>
      <c r="H762" s="366">
        <v>279901850</v>
      </c>
      <c r="I762" s="176">
        <v>8</v>
      </c>
      <c r="J762" s="366">
        <v>22392148</v>
      </c>
      <c r="K762" s="178" t="s">
        <v>261</v>
      </c>
      <c r="L762" s="178" t="s">
        <v>252</v>
      </c>
      <c r="M762" s="271" t="s">
        <v>1302</v>
      </c>
      <c r="N762" s="177">
        <v>46225</v>
      </c>
      <c r="O762" s="177">
        <v>46225</v>
      </c>
      <c r="P762" s="366">
        <v>302293998</v>
      </c>
      <c r="Q762" s="176" t="s">
        <v>1303</v>
      </c>
      <c r="R762" s="176" t="s">
        <v>434</v>
      </c>
      <c r="S762" s="178" t="s">
        <v>253</v>
      </c>
      <c r="T762" s="57" t="str">
        <f t="shared" si="36"/>
        <v>Đ</v>
      </c>
      <c r="U762" s="59">
        <f t="shared" si="37"/>
        <v>0</v>
      </c>
      <c r="V762" s="55">
        <f t="shared" si="38"/>
        <v>13311</v>
      </c>
    </row>
    <row r="763" spans="1:22" ht="14.5" customHeight="1">
      <c r="A763" s="176">
        <v>746</v>
      </c>
      <c r="B763" s="178" t="s">
        <v>1367</v>
      </c>
      <c r="C763" s="271" t="s">
        <v>1539</v>
      </c>
      <c r="D763" s="177">
        <v>46147</v>
      </c>
      <c r="E763" s="178" t="s">
        <v>1369</v>
      </c>
      <c r="F763" s="271" t="s">
        <v>1370</v>
      </c>
      <c r="G763" s="178" t="s">
        <v>1540</v>
      </c>
      <c r="H763" s="366">
        <v>79990</v>
      </c>
      <c r="I763" s="176">
        <v>8</v>
      </c>
      <c r="J763" s="366">
        <v>6399</v>
      </c>
      <c r="K763" s="178" t="s">
        <v>261</v>
      </c>
      <c r="L763" s="178" t="s">
        <v>252</v>
      </c>
      <c r="M763" s="271" t="s">
        <v>1302</v>
      </c>
      <c r="N763" s="177">
        <v>46225</v>
      </c>
      <c r="O763" s="177">
        <v>46225</v>
      </c>
      <c r="P763" s="366">
        <v>86389</v>
      </c>
      <c r="Q763" s="176" t="s">
        <v>1303</v>
      </c>
      <c r="R763" s="176" t="s">
        <v>434</v>
      </c>
      <c r="S763" s="178" t="s">
        <v>253</v>
      </c>
      <c r="T763" s="57" t="str">
        <f t="shared" si="36"/>
        <v>Đ</v>
      </c>
      <c r="U763" s="59">
        <f t="shared" si="37"/>
        <v>0</v>
      </c>
      <c r="V763" s="55">
        <f t="shared" si="38"/>
        <v>13311</v>
      </c>
    </row>
    <row r="764" spans="1:22" ht="14.5" customHeight="1">
      <c r="A764" s="176">
        <v>747</v>
      </c>
      <c r="B764" s="178" t="s">
        <v>1541</v>
      </c>
      <c r="C764" s="271" t="s">
        <v>1343</v>
      </c>
      <c r="D764" s="177">
        <v>46178</v>
      </c>
      <c r="E764" s="178" t="s">
        <v>1542</v>
      </c>
      <c r="F764" s="271" t="s">
        <v>1543</v>
      </c>
      <c r="G764" s="178" t="s">
        <v>1371</v>
      </c>
      <c r="H764" s="366">
        <v>2216565</v>
      </c>
      <c r="I764" s="176">
        <v>8</v>
      </c>
      <c r="J764" s="366">
        <v>177325</v>
      </c>
      <c r="K764" s="178" t="s">
        <v>261</v>
      </c>
      <c r="L764" s="178" t="s">
        <v>252</v>
      </c>
      <c r="M764" s="271" t="s">
        <v>1302</v>
      </c>
      <c r="N764" s="177">
        <v>46225</v>
      </c>
      <c r="O764" s="177">
        <v>46225</v>
      </c>
      <c r="P764" s="366">
        <v>2393890</v>
      </c>
      <c r="Q764" s="176" t="s">
        <v>1303</v>
      </c>
      <c r="R764" s="176" t="s">
        <v>434</v>
      </c>
      <c r="S764" s="178" t="s">
        <v>253</v>
      </c>
      <c r="T764" s="57" t="str">
        <f t="shared" si="36"/>
        <v>Đ</v>
      </c>
      <c r="U764" s="59">
        <f t="shared" si="37"/>
        <v>0</v>
      </c>
      <c r="V764" s="55">
        <f t="shared" si="38"/>
        <v>13311</v>
      </c>
    </row>
    <row r="765" spans="1:22" ht="21.5" customHeight="1">
      <c r="A765" s="176">
        <v>748</v>
      </c>
      <c r="B765" s="178" t="s">
        <v>1481</v>
      </c>
      <c r="C765" s="271" t="s">
        <v>1544</v>
      </c>
      <c r="D765" s="177">
        <v>46178</v>
      </c>
      <c r="E765" s="178" t="s">
        <v>1545</v>
      </c>
      <c r="F765" s="271" t="s">
        <v>1546</v>
      </c>
      <c r="G765" s="178" t="s">
        <v>1371</v>
      </c>
      <c r="H765" s="366">
        <v>249463550</v>
      </c>
      <c r="I765" s="176">
        <v>8</v>
      </c>
      <c r="J765" s="366">
        <v>19957084</v>
      </c>
      <c r="K765" s="178" t="s">
        <v>261</v>
      </c>
      <c r="L765" s="178" t="s">
        <v>252</v>
      </c>
      <c r="M765" s="271" t="s">
        <v>1302</v>
      </c>
      <c r="N765" s="177">
        <v>46225</v>
      </c>
      <c r="O765" s="177">
        <v>46225</v>
      </c>
      <c r="P765" s="366">
        <v>269420634</v>
      </c>
      <c r="Q765" s="176" t="s">
        <v>1303</v>
      </c>
      <c r="R765" s="176" t="s">
        <v>434</v>
      </c>
      <c r="S765" s="178" t="s">
        <v>253</v>
      </c>
      <c r="T765" s="57" t="str">
        <f t="shared" si="36"/>
        <v>Đ</v>
      </c>
      <c r="U765" s="59">
        <f t="shared" si="37"/>
        <v>0</v>
      </c>
      <c r="V765" s="55">
        <f t="shared" si="38"/>
        <v>13311</v>
      </c>
    </row>
    <row r="766" spans="1:22" ht="14.5" customHeight="1">
      <c r="A766" s="176">
        <v>749</v>
      </c>
      <c r="B766" s="178" t="s">
        <v>1267</v>
      </c>
      <c r="C766" s="271" t="s">
        <v>1547</v>
      </c>
      <c r="D766" s="177">
        <v>46178</v>
      </c>
      <c r="E766" s="178" t="s">
        <v>1548</v>
      </c>
      <c r="F766" s="271" t="s">
        <v>1549</v>
      </c>
      <c r="G766" s="178" t="s">
        <v>1371</v>
      </c>
      <c r="H766" s="366">
        <v>12811030</v>
      </c>
      <c r="I766" s="176">
        <v>8</v>
      </c>
      <c r="J766" s="366">
        <v>1024882</v>
      </c>
      <c r="K766" s="178" t="s">
        <v>261</v>
      </c>
      <c r="L766" s="178" t="s">
        <v>252</v>
      </c>
      <c r="M766" s="271" t="s">
        <v>1302</v>
      </c>
      <c r="N766" s="177">
        <v>46225</v>
      </c>
      <c r="O766" s="177">
        <v>46225</v>
      </c>
      <c r="P766" s="366">
        <v>13835912</v>
      </c>
      <c r="Q766" s="176" t="s">
        <v>1303</v>
      </c>
      <c r="R766" s="176" t="s">
        <v>434</v>
      </c>
      <c r="S766" s="178" t="s">
        <v>253</v>
      </c>
      <c r="T766" s="57" t="str">
        <f t="shared" si="36"/>
        <v>Đ</v>
      </c>
      <c r="U766" s="59">
        <f t="shared" si="37"/>
        <v>0</v>
      </c>
      <c r="V766" s="55">
        <f t="shared" si="38"/>
        <v>13311</v>
      </c>
    </row>
    <row r="767" spans="1:22" ht="14.5" customHeight="1">
      <c r="A767" s="176">
        <v>750</v>
      </c>
      <c r="B767" s="178" t="s">
        <v>1550</v>
      </c>
      <c r="C767" s="271" t="s">
        <v>1551</v>
      </c>
      <c r="D767" s="177">
        <v>46208</v>
      </c>
      <c r="E767" s="178" t="s">
        <v>1552</v>
      </c>
      <c r="F767" s="271" t="s">
        <v>1553</v>
      </c>
      <c r="G767" s="178" t="s">
        <v>1301</v>
      </c>
      <c r="H767" s="366">
        <v>1404035</v>
      </c>
      <c r="I767" s="176">
        <v>8</v>
      </c>
      <c r="J767" s="366">
        <v>112323</v>
      </c>
      <c r="K767" s="178" t="s">
        <v>261</v>
      </c>
      <c r="L767" s="178" t="s">
        <v>252</v>
      </c>
      <c r="M767" s="271" t="s">
        <v>1302</v>
      </c>
      <c r="N767" s="177">
        <v>46225</v>
      </c>
      <c r="O767" s="177">
        <v>46225</v>
      </c>
      <c r="P767" s="366">
        <v>1516358</v>
      </c>
      <c r="Q767" s="176" t="s">
        <v>1303</v>
      </c>
      <c r="R767" s="176" t="s">
        <v>434</v>
      </c>
      <c r="S767" s="178" t="s">
        <v>253</v>
      </c>
      <c r="T767" s="57" t="str">
        <f t="shared" si="36"/>
        <v>Đ</v>
      </c>
      <c r="U767" s="59">
        <f t="shared" si="37"/>
        <v>0</v>
      </c>
      <c r="V767" s="55">
        <f t="shared" si="38"/>
        <v>13311</v>
      </c>
    </row>
    <row r="768" spans="1:22" ht="21.5" customHeight="1">
      <c r="A768" s="176">
        <v>751</v>
      </c>
      <c r="B768" s="178" t="s">
        <v>1554</v>
      </c>
      <c r="C768" s="271" t="s">
        <v>1555</v>
      </c>
      <c r="D768" s="177">
        <v>46208</v>
      </c>
      <c r="E768" s="178" t="s">
        <v>1556</v>
      </c>
      <c r="F768" s="271" t="s">
        <v>1557</v>
      </c>
      <c r="G768" s="178" t="s">
        <v>1301</v>
      </c>
      <c r="H768" s="366">
        <v>1006190</v>
      </c>
      <c r="I768" s="176">
        <v>8</v>
      </c>
      <c r="J768" s="366">
        <v>80495</v>
      </c>
      <c r="K768" s="178" t="s">
        <v>261</v>
      </c>
      <c r="L768" s="178" t="s">
        <v>252</v>
      </c>
      <c r="M768" s="271" t="s">
        <v>1302</v>
      </c>
      <c r="N768" s="177">
        <v>46225</v>
      </c>
      <c r="O768" s="177">
        <v>46225</v>
      </c>
      <c r="P768" s="366">
        <v>1086685</v>
      </c>
      <c r="Q768" s="176" t="s">
        <v>1303</v>
      </c>
      <c r="R768" s="176" t="s">
        <v>434</v>
      </c>
      <c r="S768" s="178" t="s">
        <v>253</v>
      </c>
      <c r="T768" s="57" t="str">
        <f t="shared" si="36"/>
        <v>Đ</v>
      </c>
      <c r="U768" s="59">
        <f t="shared" si="37"/>
        <v>0</v>
      </c>
      <c r="V768" s="55">
        <f t="shared" si="38"/>
        <v>13311</v>
      </c>
    </row>
    <row r="769" spans="1:22" ht="14.5" customHeight="1">
      <c r="A769" s="176">
        <v>752</v>
      </c>
      <c r="B769" s="178" t="s">
        <v>1558</v>
      </c>
      <c r="C769" s="271" t="s">
        <v>1354</v>
      </c>
      <c r="D769" s="177">
        <v>46208</v>
      </c>
      <c r="E769" s="178" t="s">
        <v>1559</v>
      </c>
      <c r="F769" s="271" t="s">
        <v>1560</v>
      </c>
      <c r="G769" s="178" t="s">
        <v>1301</v>
      </c>
      <c r="H769" s="366">
        <v>5313020</v>
      </c>
      <c r="I769" s="176">
        <v>8</v>
      </c>
      <c r="J769" s="366">
        <v>425042</v>
      </c>
      <c r="K769" s="178" t="s">
        <v>261</v>
      </c>
      <c r="L769" s="178" t="s">
        <v>252</v>
      </c>
      <c r="M769" s="271" t="s">
        <v>1302</v>
      </c>
      <c r="N769" s="177">
        <v>46225</v>
      </c>
      <c r="O769" s="177">
        <v>46225</v>
      </c>
      <c r="P769" s="366">
        <v>5738062</v>
      </c>
      <c r="Q769" s="176" t="s">
        <v>1303</v>
      </c>
      <c r="R769" s="176" t="s">
        <v>434</v>
      </c>
      <c r="S769" s="178" t="s">
        <v>253</v>
      </c>
      <c r="T769" s="57" t="str">
        <f t="shared" si="36"/>
        <v>Đ</v>
      </c>
      <c r="U769" s="59">
        <f t="shared" si="37"/>
        <v>0</v>
      </c>
      <c r="V769" s="55">
        <f t="shared" si="38"/>
        <v>13311</v>
      </c>
    </row>
    <row r="770" spans="1:22" ht="14.5" customHeight="1">
      <c r="A770" s="176">
        <v>753</v>
      </c>
      <c r="B770" s="178" t="s">
        <v>1367</v>
      </c>
      <c r="C770" s="271" t="s">
        <v>1561</v>
      </c>
      <c r="D770" s="177">
        <v>46208</v>
      </c>
      <c r="E770" s="178" t="s">
        <v>1369</v>
      </c>
      <c r="F770" s="271" t="s">
        <v>1370</v>
      </c>
      <c r="G770" s="178" t="s">
        <v>1301</v>
      </c>
      <c r="H770" s="366">
        <v>138930</v>
      </c>
      <c r="I770" s="176">
        <v>8</v>
      </c>
      <c r="J770" s="366">
        <v>11114</v>
      </c>
      <c r="K770" s="178" t="s">
        <v>261</v>
      </c>
      <c r="L770" s="178" t="s">
        <v>252</v>
      </c>
      <c r="M770" s="271" t="s">
        <v>1302</v>
      </c>
      <c r="N770" s="177">
        <v>46225</v>
      </c>
      <c r="O770" s="177">
        <v>46225</v>
      </c>
      <c r="P770" s="366">
        <v>150044</v>
      </c>
      <c r="Q770" s="176" t="s">
        <v>1303</v>
      </c>
      <c r="R770" s="176" t="s">
        <v>434</v>
      </c>
      <c r="S770" s="178" t="s">
        <v>253</v>
      </c>
      <c r="T770" s="57" t="str">
        <f t="shared" si="36"/>
        <v>Đ</v>
      </c>
      <c r="U770" s="59">
        <f t="shared" si="37"/>
        <v>0</v>
      </c>
      <c r="V770" s="55">
        <f t="shared" si="38"/>
        <v>13311</v>
      </c>
    </row>
    <row r="771" spans="1:22" ht="21.5" customHeight="1">
      <c r="A771" s="176">
        <v>754</v>
      </c>
      <c r="B771" s="178" t="s">
        <v>1562</v>
      </c>
      <c r="C771" s="271" t="s">
        <v>1563</v>
      </c>
      <c r="D771" s="177">
        <v>46059</v>
      </c>
      <c r="E771" s="178" t="s">
        <v>1327</v>
      </c>
      <c r="F771" s="271" t="s">
        <v>1328</v>
      </c>
      <c r="G771" s="178" t="s">
        <v>1564</v>
      </c>
      <c r="H771" s="366">
        <v>1919760</v>
      </c>
      <c r="I771" s="176">
        <v>8</v>
      </c>
      <c r="J771" s="366">
        <v>153581</v>
      </c>
      <c r="K771" s="178" t="s">
        <v>261</v>
      </c>
      <c r="L771" s="178" t="s">
        <v>252</v>
      </c>
      <c r="M771" s="271" t="s">
        <v>1302</v>
      </c>
      <c r="N771" s="177">
        <v>46225</v>
      </c>
      <c r="O771" s="177">
        <v>46225</v>
      </c>
      <c r="P771" s="366">
        <v>2073341</v>
      </c>
      <c r="Q771" s="176" t="s">
        <v>1303</v>
      </c>
      <c r="R771" s="176" t="s">
        <v>434</v>
      </c>
      <c r="S771" s="178" t="s">
        <v>253</v>
      </c>
      <c r="T771" s="57" t="str">
        <f t="shared" si="36"/>
        <v>Đ</v>
      </c>
      <c r="U771" s="59">
        <f t="shared" si="37"/>
        <v>0</v>
      </c>
      <c r="V771" s="55">
        <f t="shared" si="38"/>
        <v>13311</v>
      </c>
    </row>
    <row r="772" spans="1:22" ht="14.5" customHeight="1">
      <c r="A772" s="176">
        <v>755</v>
      </c>
      <c r="B772" s="178" t="s">
        <v>1509</v>
      </c>
      <c r="C772" s="271" t="s">
        <v>1565</v>
      </c>
      <c r="D772" s="177">
        <v>46179</v>
      </c>
      <c r="E772" s="178" t="s">
        <v>1566</v>
      </c>
      <c r="F772" s="271" t="s">
        <v>1567</v>
      </c>
      <c r="G772" s="178" t="s">
        <v>1371</v>
      </c>
      <c r="H772" s="366">
        <v>279412</v>
      </c>
      <c r="I772" s="176">
        <v>8</v>
      </c>
      <c r="J772" s="366">
        <v>22353</v>
      </c>
      <c r="K772" s="178" t="s">
        <v>261</v>
      </c>
      <c r="L772" s="178" t="s">
        <v>252</v>
      </c>
      <c r="M772" s="271" t="s">
        <v>1302</v>
      </c>
      <c r="N772" s="177">
        <v>46225</v>
      </c>
      <c r="O772" s="177">
        <v>46225</v>
      </c>
      <c r="P772" s="366">
        <v>301765</v>
      </c>
      <c r="Q772" s="176" t="s">
        <v>1303</v>
      </c>
      <c r="R772" s="176" t="s">
        <v>434</v>
      </c>
      <c r="S772" s="178" t="s">
        <v>253</v>
      </c>
      <c r="T772" s="57" t="str">
        <f t="shared" si="36"/>
        <v>Đ</v>
      </c>
      <c r="U772" s="59">
        <f t="shared" si="37"/>
        <v>0</v>
      </c>
      <c r="V772" s="55">
        <f t="shared" si="38"/>
        <v>13311</v>
      </c>
    </row>
    <row r="773" spans="1:22" ht="14.5" customHeight="1">
      <c r="A773" s="176">
        <v>756</v>
      </c>
      <c r="B773" s="178" t="s">
        <v>1509</v>
      </c>
      <c r="C773" s="271" t="s">
        <v>1568</v>
      </c>
      <c r="D773" s="177">
        <v>46179</v>
      </c>
      <c r="E773" s="178" t="s">
        <v>1569</v>
      </c>
      <c r="F773" s="271" t="s">
        <v>1567</v>
      </c>
      <c r="G773" s="178" t="s">
        <v>1371</v>
      </c>
      <c r="H773" s="366">
        <v>703070</v>
      </c>
      <c r="I773" s="176">
        <v>8</v>
      </c>
      <c r="J773" s="366">
        <v>56246</v>
      </c>
      <c r="K773" s="178" t="s">
        <v>261</v>
      </c>
      <c r="L773" s="178" t="s">
        <v>252</v>
      </c>
      <c r="M773" s="271" t="s">
        <v>1302</v>
      </c>
      <c r="N773" s="177">
        <v>46225</v>
      </c>
      <c r="O773" s="177">
        <v>46225</v>
      </c>
      <c r="P773" s="366">
        <v>759316</v>
      </c>
      <c r="Q773" s="176" t="s">
        <v>1303</v>
      </c>
      <c r="R773" s="176" t="s">
        <v>434</v>
      </c>
      <c r="S773" s="178" t="s">
        <v>253</v>
      </c>
      <c r="T773" s="57" t="str">
        <f t="shared" si="36"/>
        <v>Đ</v>
      </c>
      <c r="U773" s="59">
        <f t="shared" si="37"/>
        <v>0</v>
      </c>
      <c r="V773" s="55">
        <f t="shared" si="38"/>
        <v>13311</v>
      </c>
    </row>
    <row r="774" spans="1:22" ht="21.5" customHeight="1">
      <c r="A774" s="176">
        <v>757</v>
      </c>
      <c r="B774" s="178" t="s">
        <v>1570</v>
      </c>
      <c r="C774" s="271" t="s">
        <v>655</v>
      </c>
      <c r="D774" s="177">
        <v>46209</v>
      </c>
      <c r="E774" s="178" t="s">
        <v>1571</v>
      </c>
      <c r="F774" s="271" t="s">
        <v>1572</v>
      </c>
      <c r="G774" s="178" t="s">
        <v>1301</v>
      </c>
      <c r="H774" s="366">
        <v>1833455</v>
      </c>
      <c r="I774" s="176">
        <v>8</v>
      </c>
      <c r="J774" s="366">
        <v>146676</v>
      </c>
      <c r="K774" s="178" t="s">
        <v>261</v>
      </c>
      <c r="L774" s="178" t="s">
        <v>252</v>
      </c>
      <c r="M774" s="271" t="s">
        <v>1302</v>
      </c>
      <c r="N774" s="177">
        <v>46225</v>
      </c>
      <c r="O774" s="177">
        <v>46225</v>
      </c>
      <c r="P774" s="366">
        <v>1980131</v>
      </c>
      <c r="Q774" s="176" t="s">
        <v>1303</v>
      </c>
      <c r="R774" s="176" t="s">
        <v>434</v>
      </c>
      <c r="S774" s="178" t="s">
        <v>253</v>
      </c>
      <c r="T774" s="57" t="str">
        <f t="shared" si="36"/>
        <v>Đ</v>
      </c>
      <c r="U774" s="59">
        <f t="shared" si="37"/>
        <v>0</v>
      </c>
      <c r="V774" s="55">
        <f t="shared" si="38"/>
        <v>13311</v>
      </c>
    </row>
    <row r="775" spans="1:22" ht="14.5" customHeight="1">
      <c r="A775" s="176">
        <v>758</v>
      </c>
      <c r="B775" s="178" t="s">
        <v>1573</v>
      </c>
      <c r="C775" s="271" t="s">
        <v>1574</v>
      </c>
      <c r="D775" s="177">
        <v>46209</v>
      </c>
      <c r="E775" s="178" t="s">
        <v>1575</v>
      </c>
      <c r="F775" s="271" t="s">
        <v>1576</v>
      </c>
      <c r="G775" s="178" t="s">
        <v>1301</v>
      </c>
      <c r="H775" s="366">
        <v>120772270</v>
      </c>
      <c r="I775" s="176">
        <v>8</v>
      </c>
      <c r="J775" s="366">
        <v>9661782</v>
      </c>
      <c r="K775" s="178" t="s">
        <v>261</v>
      </c>
      <c r="L775" s="178" t="s">
        <v>252</v>
      </c>
      <c r="M775" s="271" t="s">
        <v>1302</v>
      </c>
      <c r="N775" s="177">
        <v>46225</v>
      </c>
      <c r="O775" s="177">
        <v>46225</v>
      </c>
      <c r="P775" s="366">
        <v>130434052</v>
      </c>
      <c r="Q775" s="176" t="s">
        <v>1303</v>
      </c>
      <c r="R775" s="176" t="s">
        <v>434</v>
      </c>
      <c r="S775" s="178" t="s">
        <v>253</v>
      </c>
      <c r="T775" s="57" t="str">
        <f t="shared" si="36"/>
        <v>Đ</v>
      </c>
      <c r="U775" s="59">
        <f t="shared" si="37"/>
        <v>0</v>
      </c>
      <c r="V775" s="55">
        <f t="shared" si="38"/>
        <v>13311</v>
      </c>
    </row>
    <row r="776" spans="1:22" ht="14.5" customHeight="1">
      <c r="A776" s="176">
        <v>759</v>
      </c>
      <c r="B776" s="178" t="s">
        <v>1573</v>
      </c>
      <c r="C776" s="271" t="s">
        <v>1577</v>
      </c>
      <c r="D776" s="177">
        <v>46209</v>
      </c>
      <c r="E776" s="178" t="s">
        <v>1575</v>
      </c>
      <c r="F776" s="271" t="s">
        <v>1576</v>
      </c>
      <c r="G776" s="178" t="s">
        <v>1301</v>
      </c>
      <c r="H776" s="366">
        <v>219233645</v>
      </c>
      <c r="I776" s="176">
        <v>8</v>
      </c>
      <c r="J776" s="366">
        <v>17538692</v>
      </c>
      <c r="K776" s="178" t="s">
        <v>261</v>
      </c>
      <c r="L776" s="178" t="s">
        <v>252</v>
      </c>
      <c r="M776" s="271" t="s">
        <v>1302</v>
      </c>
      <c r="N776" s="177">
        <v>46225</v>
      </c>
      <c r="O776" s="177">
        <v>46225</v>
      </c>
      <c r="P776" s="366">
        <v>236772337</v>
      </c>
      <c r="Q776" s="176" t="s">
        <v>1303</v>
      </c>
      <c r="R776" s="176" t="s">
        <v>434</v>
      </c>
      <c r="S776" s="178" t="s">
        <v>253</v>
      </c>
      <c r="T776" s="57" t="str">
        <f t="shared" si="36"/>
        <v>Đ</v>
      </c>
      <c r="U776" s="59">
        <f t="shared" si="37"/>
        <v>0</v>
      </c>
      <c r="V776" s="55">
        <f t="shared" si="38"/>
        <v>13311</v>
      </c>
    </row>
    <row r="777" spans="1:22" ht="14.5" customHeight="1">
      <c r="A777" s="176">
        <v>760</v>
      </c>
      <c r="B777" s="178" t="s">
        <v>1578</v>
      </c>
      <c r="C777" s="271" t="s">
        <v>1579</v>
      </c>
      <c r="D777" s="177">
        <v>46209</v>
      </c>
      <c r="E777" s="178" t="s">
        <v>1580</v>
      </c>
      <c r="F777" s="271" t="s">
        <v>1581</v>
      </c>
      <c r="G777" s="178" t="s">
        <v>1301</v>
      </c>
      <c r="H777" s="366">
        <v>8420</v>
      </c>
      <c r="I777" s="176">
        <v>8</v>
      </c>
      <c r="J777" s="366">
        <v>674</v>
      </c>
      <c r="K777" s="178" t="s">
        <v>261</v>
      </c>
      <c r="L777" s="178" t="s">
        <v>252</v>
      </c>
      <c r="M777" s="271" t="s">
        <v>1302</v>
      </c>
      <c r="N777" s="177">
        <v>46225</v>
      </c>
      <c r="O777" s="177">
        <v>46225</v>
      </c>
      <c r="P777" s="366">
        <v>9094</v>
      </c>
      <c r="Q777" s="176" t="s">
        <v>1303</v>
      </c>
      <c r="R777" s="176" t="s">
        <v>434</v>
      </c>
      <c r="S777" s="178" t="s">
        <v>253</v>
      </c>
      <c r="T777" s="57" t="str">
        <f t="shared" si="36"/>
        <v>Đ</v>
      </c>
      <c r="U777" s="59">
        <f t="shared" si="37"/>
        <v>0</v>
      </c>
      <c r="V777" s="55">
        <f t="shared" si="38"/>
        <v>13311</v>
      </c>
    </row>
    <row r="778" spans="1:22" ht="14.5" customHeight="1">
      <c r="A778" s="176">
        <v>761</v>
      </c>
      <c r="B778" s="178" t="s">
        <v>1578</v>
      </c>
      <c r="C778" s="271" t="s">
        <v>1582</v>
      </c>
      <c r="D778" s="177">
        <v>46209</v>
      </c>
      <c r="E778" s="178" t="s">
        <v>1580</v>
      </c>
      <c r="F778" s="271" t="s">
        <v>1581</v>
      </c>
      <c r="G778" s="178" t="s">
        <v>1301</v>
      </c>
      <c r="H778" s="366">
        <v>37890</v>
      </c>
      <c r="I778" s="176">
        <v>8</v>
      </c>
      <c r="J778" s="366">
        <v>3031</v>
      </c>
      <c r="K778" s="178" t="s">
        <v>261</v>
      </c>
      <c r="L778" s="178" t="s">
        <v>252</v>
      </c>
      <c r="M778" s="271" t="s">
        <v>1302</v>
      </c>
      <c r="N778" s="177">
        <v>46225</v>
      </c>
      <c r="O778" s="177">
        <v>46225</v>
      </c>
      <c r="P778" s="366">
        <v>40921</v>
      </c>
      <c r="Q778" s="176" t="s">
        <v>1303</v>
      </c>
      <c r="R778" s="176" t="s">
        <v>434</v>
      </c>
      <c r="S778" s="178" t="s">
        <v>253</v>
      </c>
      <c r="T778" s="57" t="str">
        <f t="shared" si="36"/>
        <v>Đ</v>
      </c>
      <c r="U778" s="59">
        <f t="shared" si="37"/>
        <v>0</v>
      </c>
      <c r="V778" s="55">
        <f t="shared" si="38"/>
        <v>13311</v>
      </c>
    </row>
    <row r="779" spans="1:22" ht="14.5" customHeight="1">
      <c r="A779" s="176">
        <v>762</v>
      </c>
      <c r="B779" s="178" t="s">
        <v>1583</v>
      </c>
      <c r="C779" s="271" t="s">
        <v>1295</v>
      </c>
      <c r="D779" s="177">
        <v>46209</v>
      </c>
      <c r="E779" s="178" t="s">
        <v>1584</v>
      </c>
      <c r="F779" s="271" t="s">
        <v>1585</v>
      </c>
      <c r="G779" s="178" t="s">
        <v>1301</v>
      </c>
      <c r="H779" s="366">
        <v>4601530</v>
      </c>
      <c r="I779" s="176">
        <v>8</v>
      </c>
      <c r="J779" s="366">
        <v>368122</v>
      </c>
      <c r="K779" s="178" t="s">
        <v>261</v>
      </c>
      <c r="L779" s="178" t="s">
        <v>252</v>
      </c>
      <c r="M779" s="271" t="s">
        <v>1302</v>
      </c>
      <c r="N779" s="177">
        <v>46225</v>
      </c>
      <c r="O779" s="177">
        <v>46225</v>
      </c>
      <c r="P779" s="366">
        <v>4969652</v>
      </c>
      <c r="Q779" s="176" t="s">
        <v>1303</v>
      </c>
      <c r="R779" s="176" t="s">
        <v>434</v>
      </c>
      <c r="S779" s="178" t="s">
        <v>253</v>
      </c>
      <c r="T779" s="57" t="str">
        <f t="shared" si="36"/>
        <v>Đ</v>
      </c>
      <c r="U779" s="59">
        <f t="shared" si="37"/>
        <v>0</v>
      </c>
      <c r="V779" s="55">
        <f t="shared" si="38"/>
        <v>13311</v>
      </c>
    </row>
    <row r="780" spans="1:22" ht="14.5" customHeight="1">
      <c r="A780" s="176">
        <v>763</v>
      </c>
      <c r="B780" s="178" t="s">
        <v>1586</v>
      </c>
      <c r="C780" s="271" t="s">
        <v>1587</v>
      </c>
      <c r="D780" s="177">
        <v>46209</v>
      </c>
      <c r="E780" s="178" t="s">
        <v>1588</v>
      </c>
      <c r="F780" s="271" t="s">
        <v>1589</v>
      </c>
      <c r="G780" s="178" t="s">
        <v>1301</v>
      </c>
      <c r="H780" s="366">
        <v>236711460</v>
      </c>
      <c r="I780" s="176">
        <v>8</v>
      </c>
      <c r="J780" s="366">
        <v>18936917</v>
      </c>
      <c r="K780" s="178" t="s">
        <v>261</v>
      </c>
      <c r="L780" s="178" t="s">
        <v>252</v>
      </c>
      <c r="M780" s="271" t="s">
        <v>1302</v>
      </c>
      <c r="N780" s="177">
        <v>46225</v>
      </c>
      <c r="O780" s="177">
        <v>46225</v>
      </c>
      <c r="P780" s="366">
        <v>255648377</v>
      </c>
      <c r="Q780" s="176" t="s">
        <v>1303</v>
      </c>
      <c r="R780" s="176" t="s">
        <v>434</v>
      </c>
      <c r="S780" s="178" t="s">
        <v>253</v>
      </c>
      <c r="T780" s="57" t="str">
        <f t="shared" si="36"/>
        <v>Đ</v>
      </c>
      <c r="U780" s="59">
        <f t="shared" si="37"/>
        <v>0</v>
      </c>
      <c r="V780" s="55">
        <f t="shared" si="38"/>
        <v>13311</v>
      </c>
    </row>
    <row r="781" spans="1:22" ht="14.5" customHeight="1">
      <c r="A781" s="176">
        <v>764</v>
      </c>
      <c r="B781" s="178" t="s">
        <v>1267</v>
      </c>
      <c r="C781" s="271" t="s">
        <v>1590</v>
      </c>
      <c r="D781" s="177">
        <v>46209</v>
      </c>
      <c r="E781" s="178" t="s">
        <v>1591</v>
      </c>
      <c r="F781" s="271" t="s">
        <v>1592</v>
      </c>
      <c r="G781" s="178" t="s">
        <v>1301</v>
      </c>
      <c r="H781" s="366">
        <v>112362795</v>
      </c>
      <c r="I781" s="176">
        <v>8</v>
      </c>
      <c r="J781" s="366">
        <v>8989024</v>
      </c>
      <c r="K781" s="178" t="s">
        <v>261</v>
      </c>
      <c r="L781" s="178" t="s">
        <v>252</v>
      </c>
      <c r="M781" s="271" t="s">
        <v>1302</v>
      </c>
      <c r="N781" s="177">
        <v>46225</v>
      </c>
      <c r="O781" s="177">
        <v>46225</v>
      </c>
      <c r="P781" s="366">
        <v>121351819</v>
      </c>
      <c r="Q781" s="176" t="s">
        <v>1303</v>
      </c>
      <c r="R781" s="176" t="s">
        <v>434</v>
      </c>
      <c r="S781" s="178" t="s">
        <v>253</v>
      </c>
      <c r="T781" s="57" t="str">
        <f t="shared" si="36"/>
        <v>Đ</v>
      </c>
      <c r="U781" s="59">
        <f t="shared" si="37"/>
        <v>0</v>
      </c>
      <c r="V781" s="55">
        <f t="shared" si="38"/>
        <v>13311</v>
      </c>
    </row>
    <row r="782" spans="1:22" ht="14.5" customHeight="1">
      <c r="A782" s="176">
        <v>765</v>
      </c>
      <c r="B782" s="178" t="s">
        <v>1593</v>
      </c>
      <c r="C782" s="271" t="s">
        <v>1309</v>
      </c>
      <c r="D782" s="177">
        <v>46209</v>
      </c>
      <c r="E782" s="178" t="s">
        <v>1594</v>
      </c>
      <c r="F782" s="271" t="s">
        <v>1595</v>
      </c>
      <c r="G782" s="178" t="s">
        <v>1301</v>
      </c>
      <c r="H782" s="366">
        <v>18121945</v>
      </c>
      <c r="I782" s="176">
        <v>8</v>
      </c>
      <c r="J782" s="366">
        <v>1449756</v>
      </c>
      <c r="K782" s="178" t="s">
        <v>261</v>
      </c>
      <c r="L782" s="178" t="s">
        <v>252</v>
      </c>
      <c r="M782" s="271" t="s">
        <v>1302</v>
      </c>
      <c r="N782" s="177">
        <v>46225</v>
      </c>
      <c r="O782" s="177">
        <v>46225</v>
      </c>
      <c r="P782" s="366">
        <v>19571701</v>
      </c>
      <c r="Q782" s="176" t="s">
        <v>1303</v>
      </c>
      <c r="R782" s="176" t="s">
        <v>434</v>
      </c>
      <c r="S782" s="178" t="s">
        <v>253</v>
      </c>
      <c r="T782" s="57" t="str">
        <f t="shared" ref="T782:T845" si="39">IF(OR(LEN(F782)=11,LEN(F782)=15),"Đ","SAI")</f>
        <v>Đ</v>
      </c>
      <c r="U782" s="59">
        <f t="shared" ref="U782:U845" si="40">ROUND(H782*I782%,0)-J782</f>
        <v>0</v>
      </c>
      <c r="V782" s="55">
        <f t="shared" ref="V782:V845" si="41">IF(Q782=$V$12,13313,13311)</f>
        <v>13311</v>
      </c>
    </row>
    <row r="783" spans="1:22" ht="14.5" customHeight="1">
      <c r="A783" s="176">
        <v>766</v>
      </c>
      <c r="B783" s="178" t="s">
        <v>1520</v>
      </c>
      <c r="C783" s="271" t="s">
        <v>1596</v>
      </c>
      <c r="D783" s="177">
        <v>46209</v>
      </c>
      <c r="E783" s="178" t="s">
        <v>1597</v>
      </c>
      <c r="F783" s="271" t="s">
        <v>1598</v>
      </c>
      <c r="G783" s="178" t="s">
        <v>1301</v>
      </c>
      <c r="H783" s="366">
        <v>2486005</v>
      </c>
      <c r="I783" s="176">
        <v>8</v>
      </c>
      <c r="J783" s="366">
        <v>198880</v>
      </c>
      <c r="K783" s="178" t="s">
        <v>261</v>
      </c>
      <c r="L783" s="178" t="s">
        <v>252</v>
      </c>
      <c r="M783" s="271" t="s">
        <v>1302</v>
      </c>
      <c r="N783" s="177">
        <v>46225</v>
      </c>
      <c r="O783" s="177">
        <v>46225</v>
      </c>
      <c r="P783" s="366">
        <v>2684885</v>
      </c>
      <c r="Q783" s="176" t="s">
        <v>1303</v>
      </c>
      <c r="R783" s="176" t="s">
        <v>434</v>
      </c>
      <c r="S783" s="178" t="s">
        <v>253</v>
      </c>
      <c r="T783" s="57" t="str">
        <f t="shared" si="39"/>
        <v>Đ</v>
      </c>
      <c r="U783" s="59">
        <f t="shared" si="40"/>
        <v>0</v>
      </c>
      <c r="V783" s="55">
        <f t="shared" si="41"/>
        <v>13311</v>
      </c>
    </row>
    <row r="784" spans="1:22" ht="14.5" customHeight="1">
      <c r="A784" s="176">
        <v>767</v>
      </c>
      <c r="B784" s="178" t="s">
        <v>1599</v>
      </c>
      <c r="C784" s="271" t="s">
        <v>1600</v>
      </c>
      <c r="D784" s="177">
        <v>46209</v>
      </c>
      <c r="E784" s="178" t="s">
        <v>1601</v>
      </c>
      <c r="F784" s="271" t="s">
        <v>1602</v>
      </c>
      <c r="G784" s="178" t="s">
        <v>1301</v>
      </c>
      <c r="H784" s="366">
        <v>557825</v>
      </c>
      <c r="I784" s="176">
        <v>8</v>
      </c>
      <c r="J784" s="366">
        <v>44626</v>
      </c>
      <c r="K784" s="178" t="s">
        <v>261</v>
      </c>
      <c r="L784" s="178" t="s">
        <v>252</v>
      </c>
      <c r="M784" s="271" t="s">
        <v>1302</v>
      </c>
      <c r="N784" s="177">
        <v>46225</v>
      </c>
      <c r="O784" s="177">
        <v>46225</v>
      </c>
      <c r="P784" s="366">
        <v>602451</v>
      </c>
      <c r="Q784" s="176" t="s">
        <v>1303</v>
      </c>
      <c r="R784" s="176" t="s">
        <v>434</v>
      </c>
      <c r="S784" s="178" t="s">
        <v>253</v>
      </c>
      <c r="T784" s="57" t="str">
        <f t="shared" si="39"/>
        <v>Đ</v>
      </c>
      <c r="U784" s="59">
        <f t="shared" si="40"/>
        <v>0</v>
      </c>
      <c r="V784" s="55">
        <f t="shared" si="41"/>
        <v>13311</v>
      </c>
    </row>
    <row r="785" spans="1:22" ht="14.5" customHeight="1">
      <c r="A785" s="176">
        <v>768</v>
      </c>
      <c r="B785" s="178" t="s">
        <v>1603</v>
      </c>
      <c r="C785" s="271" t="s">
        <v>566</v>
      </c>
      <c r="D785" s="177">
        <v>46209</v>
      </c>
      <c r="E785" s="178" t="s">
        <v>1604</v>
      </c>
      <c r="F785" s="271" t="s">
        <v>1605</v>
      </c>
      <c r="G785" s="178" t="s">
        <v>1301</v>
      </c>
      <c r="H785" s="366">
        <v>186195670</v>
      </c>
      <c r="I785" s="176">
        <v>8</v>
      </c>
      <c r="J785" s="366">
        <v>14895654</v>
      </c>
      <c r="K785" s="178" t="s">
        <v>261</v>
      </c>
      <c r="L785" s="178" t="s">
        <v>252</v>
      </c>
      <c r="M785" s="271" t="s">
        <v>1302</v>
      </c>
      <c r="N785" s="177">
        <v>46225</v>
      </c>
      <c r="O785" s="177">
        <v>46225</v>
      </c>
      <c r="P785" s="366">
        <v>201091324</v>
      </c>
      <c r="Q785" s="176" t="s">
        <v>1303</v>
      </c>
      <c r="R785" s="176" t="s">
        <v>434</v>
      </c>
      <c r="S785" s="178" t="s">
        <v>253</v>
      </c>
      <c r="T785" s="57" t="str">
        <f t="shared" si="39"/>
        <v>Đ</v>
      </c>
      <c r="U785" s="59">
        <f t="shared" si="40"/>
        <v>0</v>
      </c>
      <c r="V785" s="55">
        <f t="shared" si="41"/>
        <v>13311</v>
      </c>
    </row>
    <row r="786" spans="1:22" ht="14.5" customHeight="1">
      <c r="A786" s="176">
        <v>769</v>
      </c>
      <c r="B786" s="178" t="s">
        <v>1573</v>
      </c>
      <c r="C786" s="271" t="s">
        <v>1551</v>
      </c>
      <c r="D786" s="177">
        <v>46209</v>
      </c>
      <c r="E786" s="178" t="s">
        <v>1606</v>
      </c>
      <c r="F786" s="271" t="s">
        <v>1607</v>
      </c>
      <c r="G786" s="178" t="s">
        <v>1301</v>
      </c>
      <c r="H786" s="366">
        <v>235435830</v>
      </c>
      <c r="I786" s="176">
        <v>8</v>
      </c>
      <c r="J786" s="366">
        <v>18834866</v>
      </c>
      <c r="K786" s="178" t="s">
        <v>261</v>
      </c>
      <c r="L786" s="178" t="s">
        <v>252</v>
      </c>
      <c r="M786" s="271" t="s">
        <v>1302</v>
      </c>
      <c r="N786" s="177">
        <v>46225</v>
      </c>
      <c r="O786" s="177">
        <v>46225</v>
      </c>
      <c r="P786" s="366">
        <v>254270696</v>
      </c>
      <c r="Q786" s="176" t="s">
        <v>1303</v>
      </c>
      <c r="R786" s="176" t="s">
        <v>434</v>
      </c>
      <c r="S786" s="178" t="s">
        <v>253</v>
      </c>
      <c r="T786" s="57" t="str">
        <f t="shared" si="39"/>
        <v>Đ</v>
      </c>
      <c r="U786" s="59">
        <f t="shared" si="40"/>
        <v>0</v>
      </c>
      <c r="V786" s="55">
        <f t="shared" si="41"/>
        <v>13311</v>
      </c>
    </row>
    <row r="787" spans="1:22" ht="14.5" customHeight="1">
      <c r="A787" s="176">
        <v>770</v>
      </c>
      <c r="B787" s="178" t="s">
        <v>1608</v>
      </c>
      <c r="C787" s="271" t="s">
        <v>1609</v>
      </c>
      <c r="D787" s="177">
        <v>46209</v>
      </c>
      <c r="E787" s="178" t="s">
        <v>1610</v>
      </c>
      <c r="F787" s="271" t="s">
        <v>1611</v>
      </c>
      <c r="G787" s="178" t="s">
        <v>1301</v>
      </c>
      <c r="H787" s="366">
        <v>243737950</v>
      </c>
      <c r="I787" s="176">
        <v>8</v>
      </c>
      <c r="J787" s="366">
        <v>19499036</v>
      </c>
      <c r="K787" s="178" t="s">
        <v>261</v>
      </c>
      <c r="L787" s="178" t="s">
        <v>252</v>
      </c>
      <c r="M787" s="271" t="s">
        <v>1302</v>
      </c>
      <c r="N787" s="177">
        <v>46225</v>
      </c>
      <c r="O787" s="177">
        <v>46225</v>
      </c>
      <c r="P787" s="366">
        <v>263236986</v>
      </c>
      <c r="Q787" s="176" t="s">
        <v>1303</v>
      </c>
      <c r="R787" s="176" t="s">
        <v>434</v>
      </c>
      <c r="S787" s="178" t="s">
        <v>253</v>
      </c>
      <c r="T787" s="57" t="str">
        <f t="shared" si="39"/>
        <v>Đ</v>
      </c>
      <c r="U787" s="59">
        <f t="shared" si="40"/>
        <v>0</v>
      </c>
      <c r="V787" s="55">
        <f t="shared" si="41"/>
        <v>13311</v>
      </c>
    </row>
    <row r="788" spans="1:22" ht="14.5" customHeight="1">
      <c r="A788" s="176">
        <v>771</v>
      </c>
      <c r="B788" s="178" t="s">
        <v>1608</v>
      </c>
      <c r="C788" s="271" t="s">
        <v>1612</v>
      </c>
      <c r="D788" s="177">
        <v>46209</v>
      </c>
      <c r="E788" s="178" t="s">
        <v>1610</v>
      </c>
      <c r="F788" s="271" t="s">
        <v>1611</v>
      </c>
      <c r="G788" s="178" t="s">
        <v>1301</v>
      </c>
      <c r="H788" s="366">
        <v>235120080</v>
      </c>
      <c r="I788" s="176">
        <v>8</v>
      </c>
      <c r="J788" s="366">
        <v>18809606</v>
      </c>
      <c r="K788" s="178" t="s">
        <v>261</v>
      </c>
      <c r="L788" s="178" t="s">
        <v>252</v>
      </c>
      <c r="M788" s="271" t="s">
        <v>1302</v>
      </c>
      <c r="N788" s="177">
        <v>46225</v>
      </c>
      <c r="O788" s="177">
        <v>46225</v>
      </c>
      <c r="P788" s="366">
        <v>253929686</v>
      </c>
      <c r="Q788" s="176" t="s">
        <v>1303</v>
      </c>
      <c r="R788" s="176" t="s">
        <v>434</v>
      </c>
      <c r="S788" s="178" t="s">
        <v>253</v>
      </c>
      <c r="T788" s="57" t="str">
        <f t="shared" si="39"/>
        <v>Đ</v>
      </c>
      <c r="U788" s="59">
        <f t="shared" si="40"/>
        <v>0</v>
      </c>
      <c r="V788" s="55">
        <f t="shared" si="41"/>
        <v>13311</v>
      </c>
    </row>
    <row r="789" spans="1:22" ht="14.5" customHeight="1">
      <c r="A789" s="176">
        <v>772</v>
      </c>
      <c r="B789" s="178" t="s">
        <v>1608</v>
      </c>
      <c r="C789" s="271" t="s">
        <v>1613</v>
      </c>
      <c r="D789" s="177">
        <v>46209</v>
      </c>
      <c r="E789" s="178" t="s">
        <v>1610</v>
      </c>
      <c r="F789" s="271" t="s">
        <v>1611</v>
      </c>
      <c r="G789" s="178" t="s">
        <v>1301</v>
      </c>
      <c r="H789" s="366">
        <v>270071500</v>
      </c>
      <c r="I789" s="176">
        <v>8</v>
      </c>
      <c r="J789" s="366">
        <v>21605720</v>
      </c>
      <c r="K789" s="178" t="s">
        <v>261</v>
      </c>
      <c r="L789" s="178" t="s">
        <v>252</v>
      </c>
      <c r="M789" s="271" t="s">
        <v>1302</v>
      </c>
      <c r="N789" s="177">
        <v>46225</v>
      </c>
      <c r="O789" s="177">
        <v>46225</v>
      </c>
      <c r="P789" s="366">
        <v>291677220</v>
      </c>
      <c r="Q789" s="176" t="s">
        <v>1303</v>
      </c>
      <c r="R789" s="176" t="s">
        <v>434</v>
      </c>
      <c r="S789" s="178" t="s">
        <v>253</v>
      </c>
      <c r="T789" s="57" t="str">
        <f t="shared" si="39"/>
        <v>Đ</v>
      </c>
      <c r="U789" s="59">
        <f t="shared" si="40"/>
        <v>0</v>
      </c>
      <c r="V789" s="55">
        <f t="shared" si="41"/>
        <v>13311</v>
      </c>
    </row>
    <row r="790" spans="1:22" ht="14.5" customHeight="1">
      <c r="A790" s="176">
        <v>773</v>
      </c>
      <c r="B790" s="178" t="s">
        <v>1603</v>
      </c>
      <c r="C790" s="271" t="s">
        <v>1322</v>
      </c>
      <c r="D790" s="177">
        <v>46209</v>
      </c>
      <c r="E790" s="178" t="s">
        <v>1614</v>
      </c>
      <c r="F790" s="271" t="s">
        <v>1615</v>
      </c>
      <c r="G790" s="178" t="s">
        <v>1301</v>
      </c>
      <c r="H790" s="366">
        <v>67564185</v>
      </c>
      <c r="I790" s="176">
        <v>8</v>
      </c>
      <c r="J790" s="366">
        <v>5405135</v>
      </c>
      <c r="K790" s="178" t="s">
        <v>261</v>
      </c>
      <c r="L790" s="178" t="s">
        <v>252</v>
      </c>
      <c r="M790" s="271" t="s">
        <v>1302</v>
      </c>
      <c r="N790" s="177">
        <v>46225</v>
      </c>
      <c r="O790" s="177">
        <v>46225</v>
      </c>
      <c r="P790" s="366">
        <v>72969320</v>
      </c>
      <c r="Q790" s="176" t="s">
        <v>1303</v>
      </c>
      <c r="R790" s="176" t="s">
        <v>434</v>
      </c>
      <c r="S790" s="178" t="s">
        <v>253</v>
      </c>
      <c r="T790" s="57" t="str">
        <f t="shared" si="39"/>
        <v>Đ</v>
      </c>
      <c r="U790" s="59">
        <f t="shared" si="40"/>
        <v>0</v>
      </c>
      <c r="V790" s="55">
        <f t="shared" si="41"/>
        <v>13311</v>
      </c>
    </row>
    <row r="791" spans="1:22" ht="21.5" customHeight="1">
      <c r="A791" s="176">
        <v>774</v>
      </c>
      <c r="B791" s="178" t="s">
        <v>1616</v>
      </c>
      <c r="C791" s="271" t="s">
        <v>1617</v>
      </c>
      <c r="D791" s="177">
        <v>46209</v>
      </c>
      <c r="E791" s="178" t="s">
        <v>1618</v>
      </c>
      <c r="F791" s="271" t="s">
        <v>1619</v>
      </c>
      <c r="G791" s="178" t="s">
        <v>1301</v>
      </c>
      <c r="H791" s="366">
        <v>1785040</v>
      </c>
      <c r="I791" s="176">
        <v>8</v>
      </c>
      <c r="J791" s="366">
        <v>142803</v>
      </c>
      <c r="K791" s="178" t="s">
        <v>261</v>
      </c>
      <c r="L791" s="178" t="s">
        <v>252</v>
      </c>
      <c r="M791" s="271" t="s">
        <v>1302</v>
      </c>
      <c r="N791" s="177">
        <v>46225</v>
      </c>
      <c r="O791" s="177">
        <v>46225</v>
      </c>
      <c r="P791" s="366">
        <v>1927843</v>
      </c>
      <c r="Q791" s="176" t="s">
        <v>1303</v>
      </c>
      <c r="R791" s="176" t="s">
        <v>434</v>
      </c>
      <c r="S791" s="178" t="s">
        <v>253</v>
      </c>
      <c r="T791" s="57" t="str">
        <f t="shared" si="39"/>
        <v>Đ</v>
      </c>
      <c r="U791" s="59">
        <f t="shared" si="40"/>
        <v>0</v>
      </c>
      <c r="V791" s="55">
        <f t="shared" si="41"/>
        <v>13311</v>
      </c>
    </row>
    <row r="792" spans="1:22" ht="14.5" customHeight="1">
      <c r="A792" s="176">
        <v>775</v>
      </c>
      <c r="B792" s="178" t="s">
        <v>1620</v>
      </c>
      <c r="C792" s="271" t="s">
        <v>1332</v>
      </c>
      <c r="D792" s="177">
        <v>46209</v>
      </c>
      <c r="E792" s="178" t="s">
        <v>1621</v>
      </c>
      <c r="F792" s="271" t="s">
        <v>1622</v>
      </c>
      <c r="G792" s="178" t="s">
        <v>1301</v>
      </c>
      <c r="H792" s="366">
        <v>11737480</v>
      </c>
      <c r="I792" s="176">
        <v>8</v>
      </c>
      <c r="J792" s="366">
        <v>938998</v>
      </c>
      <c r="K792" s="178" t="s">
        <v>261</v>
      </c>
      <c r="L792" s="178" t="s">
        <v>252</v>
      </c>
      <c r="M792" s="271" t="s">
        <v>1302</v>
      </c>
      <c r="N792" s="177">
        <v>46225</v>
      </c>
      <c r="O792" s="177">
        <v>46225</v>
      </c>
      <c r="P792" s="366">
        <v>12676478</v>
      </c>
      <c r="Q792" s="176" t="s">
        <v>1303</v>
      </c>
      <c r="R792" s="176" t="s">
        <v>434</v>
      </c>
      <c r="S792" s="178" t="s">
        <v>253</v>
      </c>
      <c r="T792" s="57" t="str">
        <f t="shared" si="39"/>
        <v>Đ</v>
      </c>
      <c r="U792" s="59">
        <f t="shared" si="40"/>
        <v>0</v>
      </c>
      <c r="V792" s="55">
        <f t="shared" si="41"/>
        <v>13311</v>
      </c>
    </row>
    <row r="793" spans="1:22" ht="14.5" customHeight="1">
      <c r="A793" s="176">
        <v>776</v>
      </c>
      <c r="B793" s="178" t="s">
        <v>1620</v>
      </c>
      <c r="C793" s="271" t="s">
        <v>1333</v>
      </c>
      <c r="D793" s="177">
        <v>46209</v>
      </c>
      <c r="E793" s="178" t="s">
        <v>1621</v>
      </c>
      <c r="F793" s="271" t="s">
        <v>1622</v>
      </c>
      <c r="G793" s="178" t="s">
        <v>1301</v>
      </c>
      <c r="H793" s="366">
        <v>270204115</v>
      </c>
      <c r="I793" s="176">
        <v>8</v>
      </c>
      <c r="J793" s="366">
        <v>21616329</v>
      </c>
      <c r="K793" s="178" t="s">
        <v>261</v>
      </c>
      <c r="L793" s="178" t="s">
        <v>252</v>
      </c>
      <c r="M793" s="271" t="s">
        <v>1302</v>
      </c>
      <c r="N793" s="177">
        <v>46225</v>
      </c>
      <c r="O793" s="177">
        <v>46225</v>
      </c>
      <c r="P793" s="366">
        <v>291820444</v>
      </c>
      <c r="Q793" s="176" t="s">
        <v>1303</v>
      </c>
      <c r="R793" s="176" t="s">
        <v>434</v>
      </c>
      <c r="S793" s="178" t="s">
        <v>253</v>
      </c>
      <c r="T793" s="57" t="str">
        <f t="shared" si="39"/>
        <v>Đ</v>
      </c>
      <c r="U793" s="59">
        <f t="shared" si="40"/>
        <v>0</v>
      </c>
      <c r="V793" s="55">
        <f t="shared" si="41"/>
        <v>13311</v>
      </c>
    </row>
    <row r="794" spans="1:22" ht="14.5" customHeight="1">
      <c r="A794" s="176">
        <v>777</v>
      </c>
      <c r="B794" s="178" t="s">
        <v>1620</v>
      </c>
      <c r="C794" s="271" t="s">
        <v>1338</v>
      </c>
      <c r="D794" s="177">
        <v>46209</v>
      </c>
      <c r="E794" s="178" t="s">
        <v>1621</v>
      </c>
      <c r="F794" s="271" t="s">
        <v>1622</v>
      </c>
      <c r="G794" s="178" t="s">
        <v>1301</v>
      </c>
      <c r="H794" s="366">
        <v>212703935</v>
      </c>
      <c r="I794" s="176">
        <v>8</v>
      </c>
      <c r="J794" s="366">
        <v>17016315</v>
      </c>
      <c r="K794" s="178" t="s">
        <v>261</v>
      </c>
      <c r="L794" s="178" t="s">
        <v>252</v>
      </c>
      <c r="M794" s="271" t="s">
        <v>1302</v>
      </c>
      <c r="N794" s="177">
        <v>46225</v>
      </c>
      <c r="O794" s="177">
        <v>46225</v>
      </c>
      <c r="P794" s="366">
        <v>229720250</v>
      </c>
      <c r="Q794" s="176" t="s">
        <v>1303</v>
      </c>
      <c r="R794" s="176" t="s">
        <v>434</v>
      </c>
      <c r="S794" s="178" t="s">
        <v>253</v>
      </c>
      <c r="T794" s="57" t="str">
        <f t="shared" si="39"/>
        <v>Đ</v>
      </c>
      <c r="U794" s="59">
        <f t="shared" si="40"/>
        <v>0</v>
      </c>
      <c r="V794" s="55">
        <f t="shared" si="41"/>
        <v>13311</v>
      </c>
    </row>
    <row r="795" spans="1:22" ht="21.5" customHeight="1">
      <c r="A795" s="176">
        <v>778</v>
      </c>
      <c r="B795" s="178" t="s">
        <v>1623</v>
      </c>
      <c r="C795" s="271" t="s">
        <v>1343</v>
      </c>
      <c r="D795" s="177">
        <v>46209</v>
      </c>
      <c r="E795" s="178" t="s">
        <v>1624</v>
      </c>
      <c r="F795" s="271" t="s">
        <v>1625</v>
      </c>
      <c r="G795" s="178" t="s">
        <v>1301</v>
      </c>
      <c r="H795" s="366">
        <v>610480</v>
      </c>
      <c r="I795" s="176">
        <v>8</v>
      </c>
      <c r="J795" s="366">
        <v>48838</v>
      </c>
      <c r="K795" s="178" t="s">
        <v>261</v>
      </c>
      <c r="L795" s="178" t="s">
        <v>252</v>
      </c>
      <c r="M795" s="271" t="s">
        <v>1302</v>
      </c>
      <c r="N795" s="177">
        <v>46225</v>
      </c>
      <c r="O795" s="177">
        <v>46225</v>
      </c>
      <c r="P795" s="366">
        <v>659318</v>
      </c>
      <c r="Q795" s="176" t="s">
        <v>1303</v>
      </c>
      <c r="R795" s="176" t="s">
        <v>434</v>
      </c>
      <c r="S795" s="178" t="s">
        <v>253</v>
      </c>
      <c r="T795" s="57" t="str">
        <f t="shared" si="39"/>
        <v>Đ</v>
      </c>
      <c r="U795" s="59">
        <f t="shared" si="40"/>
        <v>0</v>
      </c>
      <c r="V795" s="55">
        <f t="shared" si="41"/>
        <v>13311</v>
      </c>
    </row>
    <row r="796" spans="1:22" ht="14.5" customHeight="1">
      <c r="A796" s="176">
        <v>779</v>
      </c>
      <c r="B796" s="178" t="s">
        <v>1623</v>
      </c>
      <c r="C796" s="271" t="s">
        <v>1626</v>
      </c>
      <c r="D796" s="177">
        <v>46209</v>
      </c>
      <c r="E796" s="178" t="s">
        <v>1627</v>
      </c>
      <c r="F796" s="271" t="s">
        <v>1628</v>
      </c>
      <c r="G796" s="178" t="s">
        <v>1301</v>
      </c>
      <c r="H796" s="366">
        <v>716140</v>
      </c>
      <c r="I796" s="176">
        <v>8</v>
      </c>
      <c r="J796" s="366">
        <v>57291</v>
      </c>
      <c r="K796" s="178" t="s">
        <v>261</v>
      </c>
      <c r="L796" s="178" t="s">
        <v>252</v>
      </c>
      <c r="M796" s="271" t="s">
        <v>1302</v>
      </c>
      <c r="N796" s="177">
        <v>46225</v>
      </c>
      <c r="O796" s="177">
        <v>46225</v>
      </c>
      <c r="P796" s="366">
        <v>773431</v>
      </c>
      <c r="Q796" s="176" t="s">
        <v>1303</v>
      </c>
      <c r="R796" s="176" t="s">
        <v>434</v>
      </c>
      <c r="S796" s="178" t="s">
        <v>253</v>
      </c>
      <c r="T796" s="57" t="str">
        <f t="shared" si="39"/>
        <v>Đ</v>
      </c>
      <c r="U796" s="59">
        <f t="shared" si="40"/>
        <v>0</v>
      </c>
      <c r="V796" s="55">
        <f t="shared" si="41"/>
        <v>13311</v>
      </c>
    </row>
    <row r="797" spans="1:22" ht="14.5" customHeight="1">
      <c r="A797" s="176">
        <v>780</v>
      </c>
      <c r="B797" s="178" t="s">
        <v>1620</v>
      </c>
      <c r="C797" s="271" t="s">
        <v>1629</v>
      </c>
      <c r="D797" s="177">
        <v>46209</v>
      </c>
      <c r="E797" s="178" t="s">
        <v>1630</v>
      </c>
      <c r="F797" s="271" t="s">
        <v>1631</v>
      </c>
      <c r="G797" s="178" t="s">
        <v>1301</v>
      </c>
      <c r="H797" s="366">
        <v>256685805</v>
      </c>
      <c r="I797" s="176">
        <v>8</v>
      </c>
      <c r="J797" s="366">
        <v>20534864</v>
      </c>
      <c r="K797" s="178" t="s">
        <v>261</v>
      </c>
      <c r="L797" s="178" t="s">
        <v>252</v>
      </c>
      <c r="M797" s="271" t="s">
        <v>1302</v>
      </c>
      <c r="N797" s="177">
        <v>46225</v>
      </c>
      <c r="O797" s="177">
        <v>46225</v>
      </c>
      <c r="P797" s="366">
        <v>277220669</v>
      </c>
      <c r="Q797" s="176" t="s">
        <v>1303</v>
      </c>
      <c r="R797" s="176" t="s">
        <v>434</v>
      </c>
      <c r="S797" s="178" t="s">
        <v>253</v>
      </c>
      <c r="T797" s="57" t="str">
        <f t="shared" si="39"/>
        <v>Đ</v>
      </c>
      <c r="U797" s="59">
        <f t="shared" si="40"/>
        <v>0</v>
      </c>
      <c r="V797" s="55">
        <f t="shared" si="41"/>
        <v>13311</v>
      </c>
    </row>
    <row r="798" spans="1:22" ht="21.5" customHeight="1">
      <c r="A798" s="176">
        <v>781</v>
      </c>
      <c r="B798" s="178" t="s">
        <v>1623</v>
      </c>
      <c r="C798" s="271" t="s">
        <v>1629</v>
      </c>
      <c r="D798" s="177">
        <v>46209</v>
      </c>
      <c r="E798" s="178" t="s">
        <v>1624</v>
      </c>
      <c r="F798" s="271" t="s">
        <v>1625</v>
      </c>
      <c r="G798" s="178" t="s">
        <v>1301</v>
      </c>
      <c r="H798" s="366">
        <v>40729645</v>
      </c>
      <c r="I798" s="176">
        <v>8</v>
      </c>
      <c r="J798" s="366">
        <v>3258372</v>
      </c>
      <c r="K798" s="178" t="s">
        <v>261</v>
      </c>
      <c r="L798" s="178" t="s">
        <v>252</v>
      </c>
      <c r="M798" s="271" t="s">
        <v>1302</v>
      </c>
      <c r="N798" s="177">
        <v>46225</v>
      </c>
      <c r="O798" s="177">
        <v>46225</v>
      </c>
      <c r="P798" s="366">
        <v>43988017</v>
      </c>
      <c r="Q798" s="176" t="s">
        <v>1303</v>
      </c>
      <c r="R798" s="176" t="s">
        <v>434</v>
      </c>
      <c r="S798" s="178" t="s">
        <v>253</v>
      </c>
      <c r="T798" s="57" t="str">
        <f t="shared" si="39"/>
        <v>Đ</v>
      </c>
      <c r="U798" s="59">
        <f t="shared" si="40"/>
        <v>0</v>
      </c>
      <c r="V798" s="55">
        <f t="shared" si="41"/>
        <v>13311</v>
      </c>
    </row>
    <row r="799" spans="1:22" ht="14.5" customHeight="1">
      <c r="A799" s="176">
        <v>782</v>
      </c>
      <c r="B799" s="178" t="s">
        <v>1620</v>
      </c>
      <c r="C799" s="271" t="s">
        <v>1632</v>
      </c>
      <c r="D799" s="177">
        <v>46209</v>
      </c>
      <c r="E799" s="178" t="s">
        <v>1630</v>
      </c>
      <c r="F799" s="271" t="s">
        <v>1631</v>
      </c>
      <c r="G799" s="178" t="s">
        <v>1301</v>
      </c>
      <c r="H799" s="366">
        <v>144209340</v>
      </c>
      <c r="I799" s="176">
        <v>8</v>
      </c>
      <c r="J799" s="366">
        <v>11536747</v>
      </c>
      <c r="K799" s="178" t="s">
        <v>261</v>
      </c>
      <c r="L799" s="178" t="s">
        <v>252</v>
      </c>
      <c r="M799" s="271" t="s">
        <v>1302</v>
      </c>
      <c r="N799" s="177">
        <v>46225</v>
      </c>
      <c r="O799" s="177">
        <v>46225</v>
      </c>
      <c r="P799" s="366">
        <v>155746087</v>
      </c>
      <c r="Q799" s="176" t="s">
        <v>1303</v>
      </c>
      <c r="R799" s="176" t="s">
        <v>434</v>
      </c>
      <c r="S799" s="178" t="s">
        <v>253</v>
      </c>
      <c r="T799" s="57" t="str">
        <f t="shared" si="39"/>
        <v>Đ</v>
      </c>
      <c r="U799" s="59">
        <f t="shared" si="40"/>
        <v>0</v>
      </c>
      <c r="V799" s="55">
        <f t="shared" si="41"/>
        <v>13311</v>
      </c>
    </row>
    <row r="800" spans="1:22" ht="14.5" customHeight="1">
      <c r="A800" s="176">
        <v>783</v>
      </c>
      <c r="B800" s="178" t="s">
        <v>1633</v>
      </c>
      <c r="C800" s="271" t="s">
        <v>1470</v>
      </c>
      <c r="D800" s="177">
        <v>46209</v>
      </c>
      <c r="E800" s="178" t="s">
        <v>1634</v>
      </c>
      <c r="F800" s="271" t="s">
        <v>1635</v>
      </c>
      <c r="G800" s="178" t="s">
        <v>1301</v>
      </c>
      <c r="H800" s="366">
        <v>235094820</v>
      </c>
      <c r="I800" s="176">
        <v>8</v>
      </c>
      <c r="J800" s="366">
        <v>18807586</v>
      </c>
      <c r="K800" s="178" t="s">
        <v>261</v>
      </c>
      <c r="L800" s="178" t="s">
        <v>252</v>
      </c>
      <c r="M800" s="271" t="s">
        <v>1302</v>
      </c>
      <c r="N800" s="177">
        <v>46225</v>
      </c>
      <c r="O800" s="177">
        <v>46225</v>
      </c>
      <c r="P800" s="366">
        <v>253902406</v>
      </c>
      <c r="Q800" s="176" t="s">
        <v>1303</v>
      </c>
      <c r="R800" s="176" t="s">
        <v>434</v>
      </c>
      <c r="S800" s="178" t="s">
        <v>253</v>
      </c>
      <c r="T800" s="57" t="str">
        <f t="shared" si="39"/>
        <v>Đ</v>
      </c>
      <c r="U800" s="59">
        <f t="shared" si="40"/>
        <v>0</v>
      </c>
      <c r="V800" s="55">
        <f t="shared" si="41"/>
        <v>13311</v>
      </c>
    </row>
    <row r="801" spans="1:22" ht="14.5" customHeight="1">
      <c r="A801" s="176">
        <v>784</v>
      </c>
      <c r="B801" s="178" t="s">
        <v>1267</v>
      </c>
      <c r="C801" s="271" t="s">
        <v>1474</v>
      </c>
      <c r="D801" s="177">
        <v>46209</v>
      </c>
      <c r="E801" s="178" t="s">
        <v>1636</v>
      </c>
      <c r="F801" s="271" t="s">
        <v>1637</v>
      </c>
      <c r="G801" s="178" t="s">
        <v>1301</v>
      </c>
      <c r="H801" s="366">
        <v>273814190</v>
      </c>
      <c r="I801" s="176">
        <v>8</v>
      </c>
      <c r="J801" s="366">
        <v>21905135</v>
      </c>
      <c r="K801" s="178" t="s">
        <v>261</v>
      </c>
      <c r="L801" s="178" t="s">
        <v>252</v>
      </c>
      <c r="M801" s="271" t="s">
        <v>1302</v>
      </c>
      <c r="N801" s="177">
        <v>46225</v>
      </c>
      <c r="O801" s="177">
        <v>46225</v>
      </c>
      <c r="P801" s="366">
        <v>295719325</v>
      </c>
      <c r="Q801" s="176" t="s">
        <v>1303</v>
      </c>
      <c r="R801" s="176" t="s">
        <v>434</v>
      </c>
      <c r="S801" s="178" t="s">
        <v>253</v>
      </c>
      <c r="T801" s="57" t="str">
        <f t="shared" si="39"/>
        <v>Đ</v>
      </c>
      <c r="U801" s="59">
        <f t="shared" si="40"/>
        <v>0</v>
      </c>
      <c r="V801" s="55">
        <f t="shared" si="41"/>
        <v>13311</v>
      </c>
    </row>
    <row r="802" spans="1:22" ht="14.5" customHeight="1">
      <c r="A802" s="176">
        <v>785</v>
      </c>
      <c r="B802" s="178" t="s">
        <v>1573</v>
      </c>
      <c r="C802" s="271" t="s">
        <v>1474</v>
      </c>
      <c r="D802" s="177">
        <v>46209</v>
      </c>
      <c r="E802" s="178" t="s">
        <v>1638</v>
      </c>
      <c r="F802" s="271" t="s">
        <v>1635</v>
      </c>
      <c r="G802" s="178" t="s">
        <v>1301</v>
      </c>
      <c r="H802" s="366">
        <v>226222245</v>
      </c>
      <c r="I802" s="176">
        <v>8</v>
      </c>
      <c r="J802" s="366">
        <v>18097780</v>
      </c>
      <c r="K802" s="178" t="s">
        <v>261</v>
      </c>
      <c r="L802" s="178" t="s">
        <v>252</v>
      </c>
      <c r="M802" s="271" t="s">
        <v>1302</v>
      </c>
      <c r="N802" s="177">
        <v>46225</v>
      </c>
      <c r="O802" s="177">
        <v>46225</v>
      </c>
      <c r="P802" s="366">
        <v>244320025</v>
      </c>
      <c r="Q802" s="176" t="s">
        <v>1303</v>
      </c>
      <c r="R802" s="176" t="s">
        <v>434</v>
      </c>
      <c r="S802" s="178" t="s">
        <v>253</v>
      </c>
      <c r="T802" s="57" t="str">
        <f t="shared" si="39"/>
        <v>Đ</v>
      </c>
      <c r="U802" s="59">
        <f t="shared" si="40"/>
        <v>0</v>
      </c>
      <c r="V802" s="55">
        <f t="shared" si="41"/>
        <v>13311</v>
      </c>
    </row>
    <row r="803" spans="1:22" ht="14.5" customHeight="1">
      <c r="A803" s="176">
        <v>786</v>
      </c>
      <c r="B803" s="178" t="s">
        <v>1267</v>
      </c>
      <c r="C803" s="271" t="s">
        <v>782</v>
      </c>
      <c r="D803" s="177">
        <v>46209</v>
      </c>
      <c r="E803" s="178" t="s">
        <v>1636</v>
      </c>
      <c r="F803" s="271" t="s">
        <v>1637</v>
      </c>
      <c r="G803" s="178" t="s">
        <v>1301</v>
      </c>
      <c r="H803" s="366">
        <v>275999180</v>
      </c>
      <c r="I803" s="176">
        <v>8</v>
      </c>
      <c r="J803" s="366">
        <v>22079934</v>
      </c>
      <c r="K803" s="178" t="s">
        <v>261</v>
      </c>
      <c r="L803" s="178" t="s">
        <v>252</v>
      </c>
      <c r="M803" s="271" t="s">
        <v>1302</v>
      </c>
      <c r="N803" s="177">
        <v>46225</v>
      </c>
      <c r="O803" s="177">
        <v>46225</v>
      </c>
      <c r="P803" s="366">
        <v>298079114</v>
      </c>
      <c r="Q803" s="176" t="s">
        <v>1303</v>
      </c>
      <c r="R803" s="176" t="s">
        <v>434</v>
      </c>
      <c r="S803" s="178" t="s">
        <v>253</v>
      </c>
      <c r="T803" s="57" t="str">
        <f t="shared" si="39"/>
        <v>Đ</v>
      </c>
      <c r="U803" s="59">
        <f t="shared" si="40"/>
        <v>0</v>
      </c>
      <c r="V803" s="55">
        <f t="shared" si="41"/>
        <v>13311</v>
      </c>
    </row>
    <row r="804" spans="1:22" ht="14.5" customHeight="1">
      <c r="A804" s="176">
        <v>787</v>
      </c>
      <c r="B804" s="178" t="s">
        <v>1633</v>
      </c>
      <c r="C804" s="271" t="s">
        <v>782</v>
      </c>
      <c r="D804" s="177">
        <v>46209</v>
      </c>
      <c r="E804" s="178" t="s">
        <v>1634</v>
      </c>
      <c r="F804" s="271" t="s">
        <v>1635</v>
      </c>
      <c r="G804" s="178" t="s">
        <v>1301</v>
      </c>
      <c r="H804" s="366">
        <v>270387250</v>
      </c>
      <c r="I804" s="176">
        <v>8</v>
      </c>
      <c r="J804" s="366">
        <v>21630980</v>
      </c>
      <c r="K804" s="178" t="s">
        <v>261</v>
      </c>
      <c r="L804" s="178" t="s">
        <v>252</v>
      </c>
      <c r="M804" s="271" t="s">
        <v>1302</v>
      </c>
      <c r="N804" s="177">
        <v>46225</v>
      </c>
      <c r="O804" s="177">
        <v>46225</v>
      </c>
      <c r="P804" s="366">
        <v>292018230</v>
      </c>
      <c r="Q804" s="176" t="s">
        <v>1303</v>
      </c>
      <c r="R804" s="176" t="s">
        <v>434</v>
      </c>
      <c r="S804" s="178" t="s">
        <v>253</v>
      </c>
      <c r="T804" s="57" t="str">
        <f t="shared" si="39"/>
        <v>Đ</v>
      </c>
      <c r="U804" s="59">
        <f t="shared" si="40"/>
        <v>0</v>
      </c>
      <c r="V804" s="55">
        <f t="shared" si="41"/>
        <v>13311</v>
      </c>
    </row>
    <row r="805" spans="1:22" ht="14.5" customHeight="1">
      <c r="A805" s="176">
        <v>788</v>
      </c>
      <c r="B805" s="178" t="s">
        <v>1267</v>
      </c>
      <c r="C805" s="271" t="s">
        <v>1639</v>
      </c>
      <c r="D805" s="177">
        <v>46209</v>
      </c>
      <c r="E805" s="178" t="s">
        <v>1636</v>
      </c>
      <c r="F805" s="271" t="s">
        <v>1637</v>
      </c>
      <c r="G805" s="178" t="s">
        <v>1301</v>
      </c>
      <c r="H805" s="366">
        <v>279085110</v>
      </c>
      <c r="I805" s="176">
        <v>8</v>
      </c>
      <c r="J805" s="366">
        <v>22326809</v>
      </c>
      <c r="K805" s="178" t="s">
        <v>261</v>
      </c>
      <c r="L805" s="178" t="s">
        <v>252</v>
      </c>
      <c r="M805" s="271" t="s">
        <v>1302</v>
      </c>
      <c r="N805" s="177">
        <v>46225</v>
      </c>
      <c r="O805" s="177">
        <v>46225</v>
      </c>
      <c r="P805" s="366">
        <v>301411919</v>
      </c>
      <c r="Q805" s="176" t="s">
        <v>1303</v>
      </c>
      <c r="R805" s="176" t="s">
        <v>434</v>
      </c>
      <c r="S805" s="178" t="s">
        <v>253</v>
      </c>
      <c r="T805" s="57" t="str">
        <f t="shared" si="39"/>
        <v>Đ</v>
      </c>
      <c r="U805" s="59">
        <f t="shared" si="40"/>
        <v>0</v>
      </c>
      <c r="V805" s="55">
        <f t="shared" si="41"/>
        <v>13311</v>
      </c>
    </row>
    <row r="806" spans="1:22" ht="14.5" customHeight="1">
      <c r="A806" s="176">
        <v>789</v>
      </c>
      <c r="B806" s="178" t="s">
        <v>1342</v>
      </c>
      <c r="C806" s="271" t="s">
        <v>1640</v>
      </c>
      <c r="D806" s="177">
        <v>46209</v>
      </c>
      <c r="E806" s="178" t="s">
        <v>1641</v>
      </c>
      <c r="F806" s="271" t="s">
        <v>1642</v>
      </c>
      <c r="G806" s="178" t="s">
        <v>1301</v>
      </c>
      <c r="H806" s="366">
        <v>105296310</v>
      </c>
      <c r="I806" s="176">
        <v>8</v>
      </c>
      <c r="J806" s="366">
        <v>8423705</v>
      </c>
      <c r="K806" s="178" t="s">
        <v>261</v>
      </c>
      <c r="L806" s="178" t="s">
        <v>252</v>
      </c>
      <c r="M806" s="271" t="s">
        <v>1302</v>
      </c>
      <c r="N806" s="177">
        <v>46225</v>
      </c>
      <c r="O806" s="177">
        <v>46225</v>
      </c>
      <c r="P806" s="366">
        <v>113720015</v>
      </c>
      <c r="Q806" s="176" t="s">
        <v>1303</v>
      </c>
      <c r="R806" s="176" t="s">
        <v>434</v>
      </c>
      <c r="S806" s="178" t="s">
        <v>253</v>
      </c>
      <c r="T806" s="57" t="str">
        <f t="shared" si="39"/>
        <v>Đ</v>
      </c>
      <c r="U806" s="59">
        <f t="shared" si="40"/>
        <v>0</v>
      </c>
      <c r="V806" s="55">
        <f t="shared" si="41"/>
        <v>13311</v>
      </c>
    </row>
    <row r="807" spans="1:22" ht="14.5" customHeight="1">
      <c r="A807" s="176">
        <v>790</v>
      </c>
      <c r="B807" s="178" t="s">
        <v>1267</v>
      </c>
      <c r="C807" s="271" t="s">
        <v>1640</v>
      </c>
      <c r="D807" s="177">
        <v>46209</v>
      </c>
      <c r="E807" s="178" t="s">
        <v>1636</v>
      </c>
      <c r="F807" s="271" t="s">
        <v>1637</v>
      </c>
      <c r="G807" s="178" t="s">
        <v>1301</v>
      </c>
      <c r="H807" s="366">
        <v>269071625</v>
      </c>
      <c r="I807" s="176">
        <v>8</v>
      </c>
      <c r="J807" s="366">
        <v>21525730</v>
      </c>
      <c r="K807" s="178" t="s">
        <v>261</v>
      </c>
      <c r="L807" s="178" t="s">
        <v>252</v>
      </c>
      <c r="M807" s="271" t="s">
        <v>1302</v>
      </c>
      <c r="N807" s="177">
        <v>46225</v>
      </c>
      <c r="O807" s="177">
        <v>46225</v>
      </c>
      <c r="P807" s="366">
        <v>290597355</v>
      </c>
      <c r="Q807" s="176" t="s">
        <v>1303</v>
      </c>
      <c r="R807" s="176" t="s">
        <v>434</v>
      </c>
      <c r="S807" s="178" t="s">
        <v>253</v>
      </c>
      <c r="T807" s="57" t="str">
        <f t="shared" si="39"/>
        <v>Đ</v>
      </c>
      <c r="U807" s="59">
        <f t="shared" si="40"/>
        <v>0</v>
      </c>
      <c r="V807" s="55">
        <f t="shared" si="41"/>
        <v>13311</v>
      </c>
    </row>
    <row r="808" spans="1:22" ht="14.5" customHeight="1">
      <c r="A808" s="176">
        <v>791</v>
      </c>
      <c r="B808" s="178" t="s">
        <v>1620</v>
      </c>
      <c r="C808" s="271" t="s">
        <v>1544</v>
      </c>
      <c r="D808" s="177">
        <v>46209</v>
      </c>
      <c r="E808" s="178" t="s">
        <v>1643</v>
      </c>
      <c r="F808" s="271" t="s">
        <v>1644</v>
      </c>
      <c r="G808" s="178" t="s">
        <v>1301</v>
      </c>
      <c r="H808" s="366">
        <v>260451650</v>
      </c>
      <c r="I808" s="176">
        <v>8</v>
      </c>
      <c r="J808" s="366">
        <v>20836132</v>
      </c>
      <c r="K808" s="178" t="s">
        <v>261</v>
      </c>
      <c r="L808" s="178" t="s">
        <v>252</v>
      </c>
      <c r="M808" s="271" t="s">
        <v>1302</v>
      </c>
      <c r="N808" s="177">
        <v>46225</v>
      </c>
      <c r="O808" s="177">
        <v>46225</v>
      </c>
      <c r="P808" s="366">
        <v>281287782</v>
      </c>
      <c r="Q808" s="176" t="s">
        <v>1303</v>
      </c>
      <c r="R808" s="176" t="s">
        <v>434</v>
      </c>
      <c r="S808" s="178" t="s">
        <v>253</v>
      </c>
      <c r="T808" s="57" t="str">
        <f t="shared" si="39"/>
        <v>Đ</v>
      </c>
      <c r="U808" s="59">
        <f t="shared" si="40"/>
        <v>0</v>
      </c>
      <c r="V808" s="55">
        <f t="shared" si="41"/>
        <v>13311</v>
      </c>
    </row>
    <row r="809" spans="1:22" ht="14.5" customHeight="1">
      <c r="A809" s="176">
        <v>792</v>
      </c>
      <c r="B809" s="178" t="s">
        <v>1620</v>
      </c>
      <c r="C809" s="271" t="s">
        <v>1645</v>
      </c>
      <c r="D809" s="177">
        <v>46209</v>
      </c>
      <c r="E809" s="178" t="s">
        <v>1643</v>
      </c>
      <c r="F809" s="271" t="s">
        <v>1644</v>
      </c>
      <c r="G809" s="178" t="s">
        <v>1301</v>
      </c>
      <c r="H809" s="366">
        <v>195638700</v>
      </c>
      <c r="I809" s="176">
        <v>8</v>
      </c>
      <c r="J809" s="366">
        <v>15651096</v>
      </c>
      <c r="K809" s="178" t="s">
        <v>261</v>
      </c>
      <c r="L809" s="178" t="s">
        <v>252</v>
      </c>
      <c r="M809" s="271" t="s">
        <v>1302</v>
      </c>
      <c r="N809" s="177">
        <v>46225</v>
      </c>
      <c r="O809" s="177">
        <v>46225</v>
      </c>
      <c r="P809" s="366">
        <v>211289796</v>
      </c>
      <c r="Q809" s="176" t="s">
        <v>1303</v>
      </c>
      <c r="R809" s="176" t="s">
        <v>434</v>
      </c>
      <c r="S809" s="178" t="s">
        <v>253</v>
      </c>
      <c r="T809" s="57" t="str">
        <f t="shared" si="39"/>
        <v>Đ</v>
      </c>
      <c r="U809" s="59">
        <f t="shared" si="40"/>
        <v>0</v>
      </c>
      <c r="V809" s="55">
        <f t="shared" si="41"/>
        <v>13311</v>
      </c>
    </row>
    <row r="810" spans="1:22" ht="14.5" customHeight="1">
      <c r="A810" s="176">
        <v>793</v>
      </c>
      <c r="B810" s="178" t="s">
        <v>1497</v>
      </c>
      <c r="C810" s="271" t="s">
        <v>1646</v>
      </c>
      <c r="D810" s="177">
        <v>46209</v>
      </c>
      <c r="E810" s="178" t="s">
        <v>1647</v>
      </c>
      <c r="F810" s="271" t="s">
        <v>1648</v>
      </c>
      <c r="G810" s="178" t="s">
        <v>1301</v>
      </c>
      <c r="H810" s="366">
        <v>484150</v>
      </c>
      <c r="I810" s="176">
        <v>8</v>
      </c>
      <c r="J810" s="366">
        <v>38732</v>
      </c>
      <c r="K810" s="178" t="s">
        <v>261</v>
      </c>
      <c r="L810" s="178" t="s">
        <v>252</v>
      </c>
      <c r="M810" s="271" t="s">
        <v>1302</v>
      </c>
      <c r="N810" s="177">
        <v>46225</v>
      </c>
      <c r="O810" s="177">
        <v>46225</v>
      </c>
      <c r="P810" s="366">
        <v>522882</v>
      </c>
      <c r="Q810" s="176" t="s">
        <v>1303</v>
      </c>
      <c r="R810" s="176" t="s">
        <v>434</v>
      </c>
      <c r="S810" s="178" t="s">
        <v>253</v>
      </c>
      <c r="T810" s="57" t="str">
        <f t="shared" si="39"/>
        <v>Đ</v>
      </c>
      <c r="U810" s="59">
        <f t="shared" si="40"/>
        <v>0</v>
      </c>
      <c r="V810" s="55">
        <f t="shared" si="41"/>
        <v>13311</v>
      </c>
    </row>
    <row r="811" spans="1:22" ht="14.5" customHeight="1">
      <c r="A811" s="176">
        <v>794</v>
      </c>
      <c r="B811" s="178" t="s">
        <v>1497</v>
      </c>
      <c r="C811" s="271" t="s">
        <v>1649</v>
      </c>
      <c r="D811" s="177">
        <v>46209</v>
      </c>
      <c r="E811" s="178" t="s">
        <v>1647</v>
      </c>
      <c r="F811" s="271" t="s">
        <v>1648</v>
      </c>
      <c r="G811" s="178" t="s">
        <v>1301</v>
      </c>
      <c r="H811" s="366">
        <v>1044080</v>
      </c>
      <c r="I811" s="176">
        <v>8</v>
      </c>
      <c r="J811" s="366">
        <v>83526</v>
      </c>
      <c r="K811" s="178" t="s">
        <v>261</v>
      </c>
      <c r="L811" s="178" t="s">
        <v>252</v>
      </c>
      <c r="M811" s="271" t="s">
        <v>1302</v>
      </c>
      <c r="N811" s="177">
        <v>46225</v>
      </c>
      <c r="O811" s="177">
        <v>46225</v>
      </c>
      <c r="P811" s="366">
        <v>1127606</v>
      </c>
      <c r="Q811" s="176" t="s">
        <v>1303</v>
      </c>
      <c r="R811" s="176" t="s">
        <v>434</v>
      </c>
      <c r="S811" s="178" t="s">
        <v>253</v>
      </c>
      <c r="T811" s="57" t="str">
        <f t="shared" si="39"/>
        <v>Đ</v>
      </c>
      <c r="U811" s="59">
        <f t="shared" si="40"/>
        <v>0</v>
      </c>
      <c r="V811" s="55">
        <f t="shared" si="41"/>
        <v>13311</v>
      </c>
    </row>
    <row r="812" spans="1:22" ht="14.5" customHeight="1">
      <c r="A812" s="176">
        <v>795</v>
      </c>
      <c r="B812" s="178" t="s">
        <v>1650</v>
      </c>
      <c r="C812" s="271" t="s">
        <v>1274</v>
      </c>
      <c r="D812" s="177">
        <v>46209</v>
      </c>
      <c r="E812" s="178" t="s">
        <v>1651</v>
      </c>
      <c r="F812" s="271" t="s">
        <v>1652</v>
      </c>
      <c r="G812" s="178" t="s">
        <v>1301</v>
      </c>
      <c r="H812" s="366">
        <v>95516480</v>
      </c>
      <c r="I812" s="176">
        <v>8</v>
      </c>
      <c r="J812" s="366">
        <v>7641318</v>
      </c>
      <c r="K812" s="178" t="s">
        <v>261</v>
      </c>
      <c r="L812" s="178" t="s">
        <v>252</v>
      </c>
      <c r="M812" s="271" t="s">
        <v>1302</v>
      </c>
      <c r="N812" s="177">
        <v>46225</v>
      </c>
      <c r="O812" s="177">
        <v>46225</v>
      </c>
      <c r="P812" s="366">
        <v>103157798</v>
      </c>
      <c r="Q812" s="176" t="s">
        <v>1303</v>
      </c>
      <c r="R812" s="176" t="s">
        <v>434</v>
      </c>
      <c r="S812" s="178" t="s">
        <v>253</v>
      </c>
      <c r="T812" s="57" t="str">
        <f t="shared" si="39"/>
        <v>Đ</v>
      </c>
      <c r="U812" s="59">
        <f t="shared" si="40"/>
        <v>0</v>
      </c>
      <c r="V812" s="55">
        <f t="shared" si="41"/>
        <v>13311</v>
      </c>
    </row>
    <row r="813" spans="1:22" ht="14.5" customHeight="1">
      <c r="A813" s="176">
        <v>796</v>
      </c>
      <c r="B813" s="178" t="s">
        <v>1448</v>
      </c>
      <c r="C813" s="271" t="s">
        <v>1653</v>
      </c>
      <c r="D813" s="177">
        <v>46209</v>
      </c>
      <c r="E813" s="178" t="s">
        <v>1654</v>
      </c>
      <c r="F813" s="271" t="s">
        <v>1655</v>
      </c>
      <c r="G813" s="178" t="s">
        <v>1301</v>
      </c>
      <c r="H813" s="366">
        <v>18959735</v>
      </c>
      <c r="I813" s="176">
        <v>8</v>
      </c>
      <c r="J813" s="366">
        <v>1516779</v>
      </c>
      <c r="K813" s="178" t="s">
        <v>261</v>
      </c>
      <c r="L813" s="178" t="s">
        <v>252</v>
      </c>
      <c r="M813" s="271" t="s">
        <v>1302</v>
      </c>
      <c r="N813" s="177">
        <v>46225</v>
      </c>
      <c r="O813" s="177">
        <v>46225</v>
      </c>
      <c r="P813" s="366">
        <v>20476514</v>
      </c>
      <c r="Q813" s="176" t="s">
        <v>1303</v>
      </c>
      <c r="R813" s="176" t="s">
        <v>434</v>
      </c>
      <c r="S813" s="178" t="s">
        <v>253</v>
      </c>
      <c r="T813" s="57" t="str">
        <f t="shared" si="39"/>
        <v>Đ</v>
      </c>
      <c r="U813" s="59">
        <f t="shared" si="40"/>
        <v>0</v>
      </c>
      <c r="V813" s="55">
        <f t="shared" si="41"/>
        <v>13311</v>
      </c>
    </row>
    <row r="814" spans="1:22" ht="14.5" customHeight="1">
      <c r="A814" s="176">
        <v>797</v>
      </c>
      <c r="B814" s="178" t="s">
        <v>1603</v>
      </c>
      <c r="C814" s="271" t="s">
        <v>1656</v>
      </c>
      <c r="D814" s="177">
        <v>46209</v>
      </c>
      <c r="E814" s="178" t="s">
        <v>1657</v>
      </c>
      <c r="F814" s="271" t="s">
        <v>1658</v>
      </c>
      <c r="G814" s="178" t="s">
        <v>1301</v>
      </c>
      <c r="H814" s="366">
        <v>92047440</v>
      </c>
      <c r="I814" s="176">
        <v>8</v>
      </c>
      <c r="J814" s="366">
        <v>7363795</v>
      </c>
      <c r="K814" s="178" t="s">
        <v>261</v>
      </c>
      <c r="L814" s="178" t="s">
        <v>252</v>
      </c>
      <c r="M814" s="271" t="s">
        <v>1302</v>
      </c>
      <c r="N814" s="177">
        <v>46225</v>
      </c>
      <c r="O814" s="177">
        <v>46225</v>
      </c>
      <c r="P814" s="366">
        <v>99411235</v>
      </c>
      <c r="Q814" s="176" t="s">
        <v>1303</v>
      </c>
      <c r="R814" s="176" t="s">
        <v>434</v>
      </c>
      <c r="S814" s="178" t="s">
        <v>253</v>
      </c>
      <c r="T814" s="57" t="str">
        <f t="shared" si="39"/>
        <v>Đ</v>
      </c>
      <c r="U814" s="59">
        <f t="shared" si="40"/>
        <v>0</v>
      </c>
      <c r="V814" s="55">
        <f t="shared" si="41"/>
        <v>13311</v>
      </c>
    </row>
    <row r="815" spans="1:22" ht="14.5" customHeight="1">
      <c r="A815" s="176">
        <v>798</v>
      </c>
      <c r="B815" s="178" t="s">
        <v>1603</v>
      </c>
      <c r="C815" s="271" t="s">
        <v>1659</v>
      </c>
      <c r="D815" s="177">
        <v>46209</v>
      </c>
      <c r="E815" s="178" t="s">
        <v>1657</v>
      </c>
      <c r="F815" s="271" t="s">
        <v>1658</v>
      </c>
      <c r="G815" s="178" t="s">
        <v>1301</v>
      </c>
      <c r="H815" s="366">
        <v>151755765</v>
      </c>
      <c r="I815" s="176">
        <v>8</v>
      </c>
      <c r="J815" s="366">
        <v>12140461</v>
      </c>
      <c r="K815" s="178" t="s">
        <v>261</v>
      </c>
      <c r="L815" s="178" t="s">
        <v>252</v>
      </c>
      <c r="M815" s="271" t="s">
        <v>1302</v>
      </c>
      <c r="N815" s="177">
        <v>46225</v>
      </c>
      <c r="O815" s="177">
        <v>46225</v>
      </c>
      <c r="P815" s="366">
        <v>163896226</v>
      </c>
      <c r="Q815" s="176" t="s">
        <v>1303</v>
      </c>
      <c r="R815" s="176" t="s">
        <v>434</v>
      </c>
      <c r="S815" s="178" t="s">
        <v>253</v>
      </c>
      <c r="T815" s="57" t="str">
        <f t="shared" si="39"/>
        <v>Đ</v>
      </c>
      <c r="U815" s="59">
        <f t="shared" si="40"/>
        <v>0</v>
      </c>
      <c r="V815" s="55">
        <f t="shared" si="41"/>
        <v>13311</v>
      </c>
    </row>
    <row r="816" spans="1:22" ht="14.5" customHeight="1">
      <c r="A816" s="176">
        <v>799</v>
      </c>
      <c r="B816" s="178" t="s">
        <v>1603</v>
      </c>
      <c r="C816" s="271" t="s">
        <v>1660</v>
      </c>
      <c r="D816" s="177">
        <v>46209</v>
      </c>
      <c r="E816" s="178" t="s">
        <v>1657</v>
      </c>
      <c r="F816" s="271" t="s">
        <v>1658</v>
      </c>
      <c r="G816" s="178" t="s">
        <v>1301</v>
      </c>
      <c r="H816" s="366">
        <v>187174495</v>
      </c>
      <c r="I816" s="176">
        <v>8</v>
      </c>
      <c r="J816" s="366">
        <v>14973960</v>
      </c>
      <c r="K816" s="178" t="s">
        <v>261</v>
      </c>
      <c r="L816" s="178" t="s">
        <v>252</v>
      </c>
      <c r="M816" s="271" t="s">
        <v>1302</v>
      </c>
      <c r="N816" s="177">
        <v>46225</v>
      </c>
      <c r="O816" s="177">
        <v>46225</v>
      </c>
      <c r="P816" s="366">
        <v>202148455</v>
      </c>
      <c r="Q816" s="176" t="s">
        <v>1303</v>
      </c>
      <c r="R816" s="176" t="s">
        <v>434</v>
      </c>
      <c r="S816" s="178" t="s">
        <v>253</v>
      </c>
      <c r="T816" s="57" t="str">
        <f t="shared" si="39"/>
        <v>Đ</v>
      </c>
      <c r="U816" s="59">
        <f t="shared" si="40"/>
        <v>0</v>
      </c>
      <c r="V816" s="55">
        <f t="shared" si="41"/>
        <v>13311</v>
      </c>
    </row>
    <row r="817" spans="1:22" ht="21.5" customHeight="1">
      <c r="A817" s="176">
        <v>800</v>
      </c>
      <c r="B817" s="178" t="s">
        <v>1481</v>
      </c>
      <c r="C817" s="271" t="s">
        <v>1661</v>
      </c>
      <c r="D817" s="177">
        <v>46209</v>
      </c>
      <c r="E817" s="178" t="s">
        <v>1545</v>
      </c>
      <c r="F817" s="271" t="s">
        <v>1546</v>
      </c>
      <c r="G817" s="178" t="s">
        <v>1301</v>
      </c>
      <c r="H817" s="366">
        <v>239654250</v>
      </c>
      <c r="I817" s="176">
        <v>8</v>
      </c>
      <c r="J817" s="366">
        <v>19172340</v>
      </c>
      <c r="K817" s="178" t="s">
        <v>261</v>
      </c>
      <c r="L817" s="178" t="s">
        <v>252</v>
      </c>
      <c r="M817" s="271" t="s">
        <v>1302</v>
      </c>
      <c r="N817" s="177">
        <v>46225</v>
      </c>
      <c r="O817" s="177">
        <v>46225</v>
      </c>
      <c r="P817" s="366">
        <v>258826590</v>
      </c>
      <c r="Q817" s="176" t="s">
        <v>1303</v>
      </c>
      <c r="R817" s="176" t="s">
        <v>434</v>
      </c>
      <c r="S817" s="178" t="s">
        <v>253</v>
      </c>
      <c r="T817" s="57" t="str">
        <f t="shared" si="39"/>
        <v>Đ</v>
      </c>
      <c r="U817" s="59">
        <f t="shared" si="40"/>
        <v>0</v>
      </c>
      <c r="V817" s="55">
        <f t="shared" si="41"/>
        <v>13311</v>
      </c>
    </row>
    <row r="818" spans="1:22" ht="21.5" customHeight="1">
      <c r="A818" s="176">
        <v>801</v>
      </c>
      <c r="B818" s="178" t="s">
        <v>1481</v>
      </c>
      <c r="C818" s="271" t="s">
        <v>1662</v>
      </c>
      <c r="D818" s="177">
        <v>46209</v>
      </c>
      <c r="E818" s="178" t="s">
        <v>1545</v>
      </c>
      <c r="F818" s="271" t="s">
        <v>1546</v>
      </c>
      <c r="G818" s="178" t="s">
        <v>1301</v>
      </c>
      <c r="H818" s="366">
        <v>206247900</v>
      </c>
      <c r="I818" s="176">
        <v>8</v>
      </c>
      <c r="J818" s="366">
        <v>16499832</v>
      </c>
      <c r="K818" s="178" t="s">
        <v>261</v>
      </c>
      <c r="L818" s="178" t="s">
        <v>252</v>
      </c>
      <c r="M818" s="271" t="s">
        <v>1302</v>
      </c>
      <c r="N818" s="177">
        <v>46225</v>
      </c>
      <c r="O818" s="177">
        <v>46225</v>
      </c>
      <c r="P818" s="366">
        <v>222747732</v>
      </c>
      <c r="Q818" s="176" t="s">
        <v>1303</v>
      </c>
      <c r="R818" s="176" t="s">
        <v>434</v>
      </c>
      <c r="S818" s="178" t="s">
        <v>253</v>
      </c>
      <c r="T818" s="57" t="str">
        <f t="shared" si="39"/>
        <v>Đ</v>
      </c>
      <c r="U818" s="59">
        <f t="shared" si="40"/>
        <v>0</v>
      </c>
      <c r="V818" s="55">
        <f t="shared" si="41"/>
        <v>13311</v>
      </c>
    </row>
    <row r="819" spans="1:22" ht="14.5" customHeight="1">
      <c r="A819" s="176">
        <v>802</v>
      </c>
      <c r="B819" s="178" t="s">
        <v>1586</v>
      </c>
      <c r="C819" s="271" t="s">
        <v>1663</v>
      </c>
      <c r="D819" s="177">
        <v>46209</v>
      </c>
      <c r="E819" s="178" t="s">
        <v>1664</v>
      </c>
      <c r="F819" s="271" t="s">
        <v>1665</v>
      </c>
      <c r="G819" s="178" t="s">
        <v>1301</v>
      </c>
      <c r="H819" s="366">
        <v>225508650</v>
      </c>
      <c r="I819" s="176">
        <v>8</v>
      </c>
      <c r="J819" s="366">
        <v>18040692</v>
      </c>
      <c r="K819" s="178" t="s">
        <v>261</v>
      </c>
      <c r="L819" s="178" t="s">
        <v>252</v>
      </c>
      <c r="M819" s="271" t="s">
        <v>1302</v>
      </c>
      <c r="N819" s="177">
        <v>46225</v>
      </c>
      <c r="O819" s="177">
        <v>46225</v>
      </c>
      <c r="P819" s="366">
        <v>243549342</v>
      </c>
      <c r="Q819" s="176" t="s">
        <v>1303</v>
      </c>
      <c r="R819" s="176" t="s">
        <v>434</v>
      </c>
      <c r="S819" s="178" t="s">
        <v>253</v>
      </c>
      <c r="T819" s="57" t="str">
        <f t="shared" si="39"/>
        <v>Đ</v>
      </c>
      <c r="U819" s="59">
        <f t="shared" si="40"/>
        <v>0</v>
      </c>
      <c r="V819" s="55">
        <f t="shared" si="41"/>
        <v>13311</v>
      </c>
    </row>
    <row r="820" spans="1:22" ht="14.5" customHeight="1">
      <c r="A820" s="176">
        <v>803</v>
      </c>
      <c r="B820" s="178" t="s">
        <v>1666</v>
      </c>
      <c r="C820" s="271" t="s">
        <v>1667</v>
      </c>
      <c r="D820" s="177">
        <v>46209</v>
      </c>
      <c r="E820" s="178" t="s">
        <v>1668</v>
      </c>
      <c r="F820" s="271" t="s">
        <v>1669</v>
      </c>
      <c r="G820" s="178" t="s">
        <v>1301</v>
      </c>
      <c r="H820" s="366">
        <v>9451450</v>
      </c>
      <c r="I820" s="176">
        <v>8</v>
      </c>
      <c r="J820" s="366">
        <v>756116</v>
      </c>
      <c r="K820" s="178" t="s">
        <v>261</v>
      </c>
      <c r="L820" s="178" t="s">
        <v>252</v>
      </c>
      <c r="M820" s="271" t="s">
        <v>1302</v>
      </c>
      <c r="N820" s="177">
        <v>46225</v>
      </c>
      <c r="O820" s="177">
        <v>46225</v>
      </c>
      <c r="P820" s="366">
        <v>10207566</v>
      </c>
      <c r="Q820" s="176" t="s">
        <v>1303</v>
      </c>
      <c r="R820" s="176" t="s">
        <v>434</v>
      </c>
      <c r="S820" s="178" t="s">
        <v>253</v>
      </c>
      <c r="T820" s="57" t="str">
        <f t="shared" si="39"/>
        <v>Đ</v>
      </c>
      <c r="U820" s="59">
        <f t="shared" si="40"/>
        <v>0</v>
      </c>
      <c r="V820" s="55">
        <f t="shared" si="41"/>
        <v>13311</v>
      </c>
    </row>
    <row r="821" spans="1:22" ht="14.5" customHeight="1">
      <c r="A821" s="176">
        <v>804</v>
      </c>
      <c r="B821" s="178" t="s">
        <v>1670</v>
      </c>
      <c r="C821" s="271" t="s">
        <v>1490</v>
      </c>
      <c r="D821" s="177">
        <v>46209</v>
      </c>
      <c r="E821" s="178" t="s">
        <v>1671</v>
      </c>
      <c r="F821" s="271" t="s">
        <v>1672</v>
      </c>
      <c r="G821" s="178" t="s">
        <v>1301</v>
      </c>
      <c r="H821" s="366">
        <v>64991875</v>
      </c>
      <c r="I821" s="176">
        <v>8</v>
      </c>
      <c r="J821" s="366">
        <v>5199350</v>
      </c>
      <c r="K821" s="178" t="s">
        <v>261</v>
      </c>
      <c r="L821" s="178" t="s">
        <v>252</v>
      </c>
      <c r="M821" s="271" t="s">
        <v>1302</v>
      </c>
      <c r="N821" s="177">
        <v>46225</v>
      </c>
      <c r="O821" s="177">
        <v>46225</v>
      </c>
      <c r="P821" s="366">
        <v>70191225</v>
      </c>
      <c r="Q821" s="176" t="s">
        <v>1303</v>
      </c>
      <c r="R821" s="176" t="s">
        <v>434</v>
      </c>
      <c r="S821" s="178" t="s">
        <v>253</v>
      </c>
      <c r="T821" s="57" t="str">
        <f t="shared" si="39"/>
        <v>Đ</v>
      </c>
      <c r="U821" s="59">
        <f t="shared" si="40"/>
        <v>0</v>
      </c>
      <c r="V821" s="55">
        <f t="shared" si="41"/>
        <v>13311</v>
      </c>
    </row>
    <row r="822" spans="1:22" ht="14.5" customHeight="1">
      <c r="A822" s="176">
        <v>805</v>
      </c>
      <c r="B822" s="178" t="s">
        <v>1586</v>
      </c>
      <c r="C822" s="271" t="s">
        <v>263</v>
      </c>
      <c r="D822" s="177">
        <v>46209</v>
      </c>
      <c r="E822" s="178" t="s">
        <v>1673</v>
      </c>
      <c r="F822" s="271" t="s">
        <v>1674</v>
      </c>
      <c r="G822" s="178" t="s">
        <v>1301</v>
      </c>
      <c r="H822" s="366">
        <v>237460840</v>
      </c>
      <c r="I822" s="176">
        <v>8</v>
      </c>
      <c r="J822" s="366">
        <v>18996867</v>
      </c>
      <c r="K822" s="178" t="s">
        <v>261</v>
      </c>
      <c r="L822" s="178" t="s">
        <v>252</v>
      </c>
      <c r="M822" s="271" t="s">
        <v>1302</v>
      </c>
      <c r="N822" s="177">
        <v>46225</v>
      </c>
      <c r="O822" s="177">
        <v>46225</v>
      </c>
      <c r="P822" s="366">
        <v>256457707</v>
      </c>
      <c r="Q822" s="176" t="s">
        <v>1303</v>
      </c>
      <c r="R822" s="176" t="s">
        <v>434</v>
      </c>
      <c r="S822" s="178" t="s">
        <v>253</v>
      </c>
      <c r="T822" s="57" t="str">
        <f t="shared" si="39"/>
        <v>Đ</v>
      </c>
      <c r="U822" s="59">
        <f t="shared" si="40"/>
        <v>0</v>
      </c>
      <c r="V822" s="55">
        <f t="shared" si="41"/>
        <v>13311</v>
      </c>
    </row>
    <row r="823" spans="1:22" ht="21.5" customHeight="1">
      <c r="A823" s="176">
        <v>806</v>
      </c>
      <c r="B823" s="178" t="s">
        <v>1570</v>
      </c>
      <c r="C823" s="271" t="s">
        <v>1675</v>
      </c>
      <c r="D823" s="177">
        <v>46209</v>
      </c>
      <c r="E823" s="178" t="s">
        <v>1676</v>
      </c>
      <c r="F823" s="271" t="s">
        <v>1677</v>
      </c>
      <c r="G823" s="178" t="s">
        <v>1301</v>
      </c>
      <c r="H823" s="366">
        <v>6971760</v>
      </c>
      <c r="I823" s="176">
        <v>8</v>
      </c>
      <c r="J823" s="366">
        <v>557741</v>
      </c>
      <c r="K823" s="178" t="s">
        <v>261</v>
      </c>
      <c r="L823" s="178" t="s">
        <v>252</v>
      </c>
      <c r="M823" s="271" t="s">
        <v>1302</v>
      </c>
      <c r="N823" s="177">
        <v>46225</v>
      </c>
      <c r="O823" s="177">
        <v>46225</v>
      </c>
      <c r="P823" s="366">
        <v>7529501</v>
      </c>
      <c r="Q823" s="176" t="s">
        <v>1303</v>
      </c>
      <c r="R823" s="176" t="s">
        <v>434</v>
      </c>
      <c r="S823" s="178" t="s">
        <v>253</v>
      </c>
      <c r="T823" s="57" t="str">
        <f t="shared" si="39"/>
        <v>Đ</v>
      </c>
      <c r="U823" s="59">
        <f t="shared" si="40"/>
        <v>0</v>
      </c>
      <c r="V823" s="55">
        <f t="shared" si="41"/>
        <v>13311</v>
      </c>
    </row>
    <row r="824" spans="1:22" ht="21.5" customHeight="1">
      <c r="A824" s="176">
        <v>807</v>
      </c>
      <c r="B824" s="178" t="s">
        <v>1570</v>
      </c>
      <c r="C824" s="271" t="s">
        <v>1678</v>
      </c>
      <c r="D824" s="177">
        <v>46209</v>
      </c>
      <c r="E824" s="178" t="s">
        <v>1676</v>
      </c>
      <c r="F824" s="271" t="s">
        <v>1677</v>
      </c>
      <c r="G824" s="178" t="s">
        <v>1301</v>
      </c>
      <c r="H824" s="366">
        <v>3238446</v>
      </c>
      <c r="I824" s="176">
        <v>8</v>
      </c>
      <c r="J824" s="366">
        <v>259075</v>
      </c>
      <c r="K824" s="178" t="s">
        <v>261</v>
      </c>
      <c r="L824" s="178" t="s">
        <v>252</v>
      </c>
      <c r="M824" s="271" t="s">
        <v>1302</v>
      </c>
      <c r="N824" s="177">
        <v>46225</v>
      </c>
      <c r="O824" s="177">
        <v>46225</v>
      </c>
      <c r="P824" s="366">
        <v>3497521</v>
      </c>
      <c r="Q824" s="176" t="s">
        <v>1303</v>
      </c>
      <c r="R824" s="176" t="s">
        <v>434</v>
      </c>
      <c r="S824" s="178" t="s">
        <v>253</v>
      </c>
      <c r="T824" s="57" t="str">
        <f t="shared" si="39"/>
        <v>Đ</v>
      </c>
      <c r="U824" s="59">
        <f t="shared" si="40"/>
        <v>1</v>
      </c>
      <c r="V824" s="55">
        <f t="shared" si="41"/>
        <v>13311</v>
      </c>
    </row>
    <row r="825" spans="1:22" ht="21.5" customHeight="1">
      <c r="A825" s="176">
        <v>808</v>
      </c>
      <c r="B825" s="178" t="s">
        <v>1679</v>
      </c>
      <c r="C825" s="271" t="s">
        <v>1354</v>
      </c>
      <c r="D825" s="177">
        <v>46209</v>
      </c>
      <c r="E825" s="178" t="s">
        <v>1680</v>
      </c>
      <c r="F825" s="271" t="s">
        <v>1681</v>
      </c>
      <c r="G825" s="178" t="s">
        <v>1301</v>
      </c>
      <c r="H825" s="366">
        <v>200172870</v>
      </c>
      <c r="I825" s="176">
        <v>8</v>
      </c>
      <c r="J825" s="366">
        <v>16013830</v>
      </c>
      <c r="K825" s="178" t="s">
        <v>261</v>
      </c>
      <c r="L825" s="178" t="s">
        <v>252</v>
      </c>
      <c r="M825" s="271" t="s">
        <v>1302</v>
      </c>
      <c r="N825" s="177">
        <v>46225</v>
      </c>
      <c r="O825" s="177">
        <v>46225</v>
      </c>
      <c r="P825" s="366">
        <v>216186700</v>
      </c>
      <c r="Q825" s="176" t="s">
        <v>1303</v>
      </c>
      <c r="R825" s="176" t="s">
        <v>434</v>
      </c>
      <c r="S825" s="178" t="s">
        <v>253</v>
      </c>
      <c r="T825" s="57" t="str">
        <f t="shared" si="39"/>
        <v>Đ</v>
      </c>
      <c r="U825" s="59">
        <f t="shared" si="40"/>
        <v>0</v>
      </c>
      <c r="V825" s="55">
        <f t="shared" si="41"/>
        <v>13311</v>
      </c>
    </row>
    <row r="826" spans="1:22" ht="21.5" customHeight="1">
      <c r="A826" s="176">
        <v>809</v>
      </c>
      <c r="B826" s="178" t="s">
        <v>1682</v>
      </c>
      <c r="C826" s="271" t="s">
        <v>1354</v>
      </c>
      <c r="D826" s="177">
        <v>46209</v>
      </c>
      <c r="E826" s="178" t="s">
        <v>1683</v>
      </c>
      <c r="F826" s="271" t="s">
        <v>1684</v>
      </c>
      <c r="G826" s="178" t="s">
        <v>1301</v>
      </c>
      <c r="H826" s="366">
        <v>210636825</v>
      </c>
      <c r="I826" s="176">
        <v>8</v>
      </c>
      <c r="J826" s="366">
        <v>16850946</v>
      </c>
      <c r="K826" s="178" t="s">
        <v>261</v>
      </c>
      <c r="L826" s="178" t="s">
        <v>252</v>
      </c>
      <c r="M826" s="271" t="s">
        <v>1302</v>
      </c>
      <c r="N826" s="177">
        <v>46225</v>
      </c>
      <c r="O826" s="177">
        <v>46225</v>
      </c>
      <c r="P826" s="366">
        <v>227487771</v>
      </c>
      <c r="Q826" s="176" t="s">
        <v>1303</v>
      </c>
      <c r="R826" s="176" t="s">
        <v>434</v>
      </c>
      <c r="S826" s="178" t="s">
        <v>253</v>
      </c>
      <c r="T826" s="57" t="str">
        <f t="shared" si="39"/>
        <v>Đ</v>
      </c>
      <c r="U826" s="59">
        <f t="shared" si="40"/>
        <v>0</v>
      </c>
      <c r="V826" s="55">
        <f t="shared" si="41"/>
        <v>13311</v>
      </c>
    </row>
    <row r="827" spans="1:22" ht="21.5" customHeight="1">
      <c r="A827" s="176">
        <v>810</v>
      </c>
      <c r="B827" s="178" t="s">
        <v>1685</v>
      </c>
      <c r="C827" s="271" t="s">
        <v>1354</v>
      </c>
      <c r="D827" s="177">
        <v>46209</v>
      </c>
      <c r="E827" s="178" t="s">
        <v>1686</v>
      </c>
      <c r="F827" s="271" t="s">
        <v>1687</v>
      </c>
      <c r="G827" s="178" t="s">
        <v>1301</v>
      </c>
      <c r="H827" s="366">
        <v>194457795</v>
      </c>
      <c r="I827" s="176">
        <v>8</v>
      </c>
      <c r="J827" s="366">
        <v>15556624</v>
      </c>
      <c r="K827" s="178" t="s">
        <v>261</v>
      </c>
      <c r="L827" s="178" t="s">
        <v>252</v>
      </c>
      <c r="M827" s="271" t="s">
        <v>1302</v>
      </c>
      <c r="N827" s="177">
        <v>46225</v>
      </c>
      <c r="O827" s="177">
        <v>46225</v>
      </c>
      <c r="P827" s="366">
        <v>210014419</v>
      </c>
      <c r="Q827" s="176" t="s">
        <v>1303</v>
      </c>
      <c r="R827" s="176" t="s">
        <v>434</v>
      </c>
      <c r="S827" s="178" t="s">
        <v>253</v>
      </c>
      <c r="T827" s="57" t="str">
        <f t="shared" si="39"/>
        <v>Đ</v>
      </c>
      <c r="U827" s="59">
        <f t="shared" si="40"/>
        <v>0</v>
      </c>
      <c r="V827" s="55">
        <f t="shared" si="41"/>
        <v>13311</v>
      </c>
    </row>
    <row r="828" spans="1:22" ht="21.5" customHeight="1">
      <c r="A828" s="176">
        <v>811</v>
      </c>
      <c r="B828" s="178" t="s">
        <v>1688</v>
      </c>
      <c r="C828" s="271" t="s">
        <v>1354</v>
      </c>
      <c r="D828" s="177">
        <v>46209</v>
      </c>
      <c r="E828" s="178" t="s">
        <v>1689</v>
      </c>
      <c r="F828" s="271" t="s">
        <v>1690</v>
      </c>
      <c r="G828" s="178" t="s">
        <v>1301</v>
      </c>
      <c r="H828" s="366">
        <v>201155905</v>
      </c>
      <c r="I828" s="176">
        <v>8</v>
      </c>
      <c r="J828" s="366">
        <v>16092472</v>
      </c>
      <c r="K828" s="178" t="s">
        <v>261</v>
      </c>
      <c r="L828" s="178" t="s">
        <v>252</v>
      </c>
      <c r="M828" s="271" t="s">
        <v>1302</v>
      </c>
      <c r="N828" s="177">
        <v>46225</v>
      </c>
      <c r="O828" s="177">
        <v>46225</v>
      </c>
      <c r="P828" s="366">
        <v>217248377</v>
      </c>
      <c r="Q828" s="176" t="s">
        <v>1303</v>
      </c>
      <c r="R828" s="176" t="s">
        <v>434</v>
      </c>
      <c r="S828" s="178" t="s">
        <v>253</v>
      </c>
      <c r="T828" s="57" t="str">
        <f t="shared" si="39"/>
        <v>Đ</v>
      </c>
      <c r="U828" s="59">
        <f t="shared" si="40"/>
        <v>0</v>
      </c>
      <c r="V828" s="55">
        <f t="shared" si="41"/>
        <v>13311</v>
      </c>
    </row>
    <row r="829" spans="1:22" ht="14.5" customHeight="1">
      <c r="A829" s="176">
        <v>812</v>
      </c>
      <c r="B829" s="178" t="s">
        <v>1396</v>
      </c>
      <c r="C829" s="271" t="s">
        <v>1354</v>
      </c>
      <c r="D829" s="177">
        <v>46209</v>
      </c>
      <c r="E829" s="178" t="s">
        <v>1691</v>
      </c>
      <c r="F829" s="271" t="s">
        <v>1692</v>
      </c>
      <c r="G829" s="178" t="s">
        <v>1301</v>
      </c>
      <c r="H829" s="366">
        <v>215998260</v>
      </c>
      <c r="I829" s="176">
        <v>8</v>
      </c>
      <c r="J829" s="366">
        <v>17279861</v>
      </c>
      <c r="K829" s="178" t="s">
        <v>261</v>
      </c>
      <c r="L829" s="178" t="s">
        <v>252</v>
      </c>
      <c r="M829" s="271" t="s">
        <v>1302</v>
      </c>
      <c r="N829" s="177">
        <v>46225</v>
      </c>
      <c r="O829" s="177">
        <v>46225</v>
      </c>
      <c r="P829" s="366">
        <v>233278121</v>
      </c>
      <c r="Q829" s="176" t="s">
        <v>1303</v>
      </c>
      <c r="R829" s="176" t="s">
        <v>434</v>
      </c>
      <c r="S829" s="178" t="s">
        <v>253</v>
      </c>
      <c r="T829" s="57" t="str">
        <f t="shared" si="39"/>
        <v>Đ</v>
      </c>
      <c r="U829" s="59">
        <f t="shared" si="40"/>
        <v>0</v>
      </c>
      <c r="V829" s="55">
        <f t="shared" si="41"/>
        <v>13311</v>
      </c>
    </row>
    <row r="830" spans="1:22" ht="14.5" customHeight="1">
      <c r="A830" s="176">
        <v>813</v>
      </c>
      <c r="B830" s="178" t="s">
        <v>1267</v>
      </c>
      <c r="C830" s="271" t="s">
        <v>1354</v>
      </c>
      <c r="D830" s="177">
        <v>46209</v>
      </c>
      <c r="E830" s="178" t="s">
        <v>1693</v>
      </c>
      <c r="F830" s="271" t="s">
        <v>1694</v>
      </c>
      <c r="G830" s="178" t="s">
        <v>1301</v>
      </c>
      <c r="H830" s="366">
        <v>122447850</v>
      </c>
      <c r="I830" s="176">
        <v>8</v>
      </c>
      <c r="J830" s="366">
        <v>9795828</v>
      </c>
      <c r="K830" s="178" t="s">
        <v>261</v>
      </c>
      <c r="L830" s="178" t="s">
        <v>252</v>
      </c>
      <c r="M830" s="271" t="s">
        <v>1302</v>
      </c>
      <c r="N830" s="177">
        <v>46225</v>
      </c>
      <c r="O830" s="177">
        <v>46225</v>
      </c>
      <c r="P830" s="366">
        <v>132243678</v>
      </c>
      <c r="Q830" s="176" t="s">
        <v>1303</v>
      </c>
      <c r="R830" s="176" t="s">
        <v>434</v>
      </c>
      <c r="S830" s="178" t="s">
        <v>253</v>
      </c>
      <c r="T830" s="57" t="str">
        <f t="shared" si="39"/>
        <v>Đ</v>
      </c>
      <c r="U830" s="59">
        <f t="shared" si="40"/>
        <v>0</v>
      </c>
      <c r="V830" s="55">
        <f t="shared" si="41"/>
        <v>13311</v>
      </c>
    </row>
    <row r="831" spans="1:22" ht="14.5" customHeight="1">
      <c r="A831" s="176">
        <v>814</v>
      </c>
      <c r="B831" s="178" t="s">
        <v>1460</v>
      </c>
      <c r="C831" s="271" t="s">
        <v>1695</v>
      </c>
      <c r="D831" s="177">
        <v>46209</v>
      </c>
      <c r="E831" s="178" t="s">
        <v>1696</v>
      </c>
      <c r="F831" s="271" t="s">
        <v>1697</v>
      </c>
      <c r="G831" s="178" t="s">
        <v>1301</v>
      </c>
      <c r="H831" s="366">
        <v>4938330</v>
      </c>
      <c r="I831" s="176">
        <v>8</v>
      </c>
      <c r="J831" s="366">
        <v>395066</v>
      </c>
      <c r="K831" s="178" t="s">
        <v>261</v>
      </c>
      <c r="L831" s="178" t="s">
        <v>252</v>
      </c>
      <c r="M831" s="271" t="s">
        <v>1302</v>
      </c>
      <c r="N831" s="177">
        <v>46225</v>
      </c>
      <c r="O831" s="177">
        <v>46225</v>
      </c>
      <c r="P831" s="366">
        <v>5333396</v>
      </c>
      <c r="Q831" s="176" t="s">
        <v>1303</v>
      </c>
      <c r="R831" s="176" t="s">
        <v>434</v>
      </c>
      <c r="S831" s="178" t="s">
        <v>253</v>
      </c>
      <c r="T831" s="57" t="str">
        <f t="shared" si="39"/>
        <v>Đ</v>
      </c>
      <c r="U831" s="59">
        <f t="shared" si="40"/>
        <v>0</v>
      </c>
      <c r="V831" s="55">
        <f t="shared" si="41"/>
        <v>13311</v>
      </c>
    </row>
    <row r="832" spans="1:22" ht="14.5" customHeight="1">
      <c r="A832" s="176">
        <v>815</v>
      </c>
      <c r="B832" s="178" t="s">
        <v>1460</v>
      </c>
      <c r="C832" s="271" t="s">
        <v>1698</v>
      </c>
      <c r="D832" s="177">
        <v>46209</v>
      </c>
      <c r="E832" s="178" t="s">
        <v>1696</v>
      </c>
      <c r="F832" s="271" t="s">
        <v>1697</v>
      </c>
      <c r="G832" s="178" t="s">
        <v>1301</v>
      </c>
      <c r="H832" s="366">
        <v>2081845</v>
      </c>
      <c r="I832" s="176">
        <v>8</v>
      </c>
      <c r="J832" s="366">
        <v>166548</v>
      </c>
      <c r="K832" s="178" t="s">
        <v>261</v>
      </c>
      <c r="L832" s="178" t="s">
        <v>252</v>
      </c>
      <c r="M832" s="271" t="s">
        <v>1302</v>
      </c>
      <c r="N832" s="177">
        <v>46225</v>
      </c>
      <c r="O832" s="177">
        <v>46225</v>
      </c>
      <c r="P832" s="366">
        <v>2248393</v>
      </c>
      <c r="Q832" s="176" t="s">
        <v>1303</v>
      </c>
      <c r="R832" s="176" t="s">
        <v>434</v>
      </c>
      <c r="S832" s="178" t="s">
        <v>253</v>
      </c>
      <c r="T832" s="57" t="str">
        <f t="shared" si="39"/>
        <v>Đ</v>
      </c>
      <c r="U832" s="59">
        <f t="shared" si="40"/>
        <v>0</v>
      </c>
      <c r="V832" s="55">
        <f t="shared" si="41"/>
        <v>13311</v>
      </c>
    </row>
    <row r="833" spans="1:22" ht="14.5" customHeight="1">
      <c r="A833" s="176">
        <v>816</v>
      </c>
      <c r="B833" s="178" t="s">
        <v>1620</v>
      </c>
      <c r="C833" s="271" t="s">
        <v>1699</v>
      </c>
      <c r="D833" s="177">
        <v>46209</v>
      </c>
      <c r="E833" s="178" t="s">
        <v>1700</v>
      </c>
      <c r="F833" s="271" t="s">
        <v>1701</v>
      </c>
      <c r="G833" s="178" t="s">
        <v>1301</v>
      </c>
      <c r="H833" s="366">
        <v>12608950</v>
      </c>
      <c r="I833" s="176">
        <v>8</v>
      </c>
      <c r="J833" s="366">
        <v>1008716</v>
      </c>
      <c r="K833" s="178" t="s">
        <v>261</v>
      </c>
      <c r="L833" s="178" t="s">
        <v>252</v>
      </c>
      <c r="M833" s="271" t="s">
        <v>1302</v>
      </c>
      <c r="N833" s="177">
        <v>46225</v>
      </c>
      <c r="O833" s="177">
        <v>46225</v>
      </c>
      <c r="P833" s="366">
        <v>13617666</v>
      </c>
      <c r="Q833" s="176" t="s">
        <v>1303</v>
      </c>
      <c r="R833" s="176" t="s">
        <v>434</v>
      </c>
      <c r="S833" s="178" t="s">
        <v>253</v>
      </c>
      <c r="T833" s="57" t="str">
        <f t="shared" si="39"/>
        <v>Đ</v>
      </c>
      <c r="U833" s="59">
        <f t="shared" si="40"/>
        <v>0</v>
      </c>
      <c r="V833" s="55">
        <f t="shared" si="41"/>
        <v>13311</v>
      </c>
    </row>
    <row r="834" spans="1:22" ht="14.5" customHeight="1">
      <c r="A834" s="176">
        <v>817</v>
      </c>
      <c r="B834" s="178" t="s">
        <v>1620</v>
      </c>
      <c r="C834" s="271" t="s">
        <v>1702</v>
      </c>
      <c r="D834" s="177">
        <v>46209</v>
      </c>
      <c r="E834" s="178" t="s">
        <v>1703</v>
      </c>
      <c r="F834" s="271" t="s">
        <v>1701</v>
      </c>
      <c r="G834" s="178" t="s">
        <v>1301</v>
      </c>
      <c r="H834" s="366">
        <v>12785770</v>
      </c>
      <c r="I834" s="176">
        <v>8</v>
      </c>
      <c r="J834" s="366">
        <v>1022862</v>
      </c>
      <c r="K834" s="178" t="s">
        <v>261</v>
      </c>
      <c r="L834" s="178" t="s">
        <v>252</v>
      </c>
      <c r="M834" s="271" t="s">
        <v>1302</v>
      </c>
      <c r="N834" s="177">
        <v>46225</v>
      </c>
      <c r="O834" s="177">
        <v>46225</v>
      </c>
      <c r="P834" s="366">
        <v>13808632</v>
      </c>
      <c r="Q834" s="176" t="s">
        <v>1303</v>
      </c>
      <c r="R834" s="176" t="s">
        <v>434</v>
      </c>
      <c r="S834" s="178" t="s">
        <v>253</v>
      </c>
      <c r="T834" s="57" t="str">
        <f t="shared" si="39"/>
        <v>Đ</v>
      </c>
      <c r="U834" s="59">
        <f t="shared" si="40"/>
        <v>0</v>
      </c>
      <c r="V834" s="55">
        <f t="shared" si="41"/>
        <v>13311</v>
      </c>
    </row>
    <row r="835" spans="1:22" ht="14.5" customHeight="1">
      <c r="A835" s="176">
        <v>818</v>
      </c>
      <c r="B835" s="178" t="s">
        <v>1620</v>
      </c>
      <c r="C835" s="271" t="s">
        <v>1704</v>
      </c>
      <c r="D835" s="177">
        <v>46209</v>
      </c>
      <c r="E835" s="178" t="s">
        <v>1703</v>
      </c>
      <c r="F835" s="271" t="s">
        <v>1701</v>
      </c>
      <c r="G835" s="178" t="s">
        <v>1301</v>
      </c>
      <c r="H835" s="366">
        <v>32907465</v>
      </c>
      <c r="I835" s="176">
        <v>8</v>
      </c>
      <c r="J835" s="366">
        <v>2632597</v>
      </c>
      <c r="K835" s="178" t="s">
        <v>261</v>
      </c>
      <c r="L835" s="178" t="s">
        <v>252</v>
      </c>
      <c r="M835" s="271" t="s">
        <v>1302</v>
      </c>
      <c r="N835" s="177">
        <v>46225</v>
      </c>
      <c r="O835" s="177">
        <v>46225</v>
      </c>
      <c r="P835" s="366">
        <v>35540062</v>
      </c>
      <c r="Q835" s="176" t="s">
        <v>1303</v>
      </c>
      <c r="R835" s="176" t="s">
        <v>434</v>
      </c>
      <c r="S835" s="178" t="s">
        <v>253</v>
      </c>
      <c r="T835" s="57" t="str">
        <f t="shared" si="39"/>
        <v>Đ</v>
      </c>
      <c r="U835" s="59">
        <f t="shared" si="40"/>
        <v>0</v>
      </c>
      <c r="V835" s="55">
        <f t="shared" si="41"/>
        <v>13311</v>
      </c>
    </row>
    <row r="836" spans="1:22" ht="14.5" customHeight="1">
      <c r="A836" s="176">
        <v>819</v>
      </c>
      <c r="B836" s="178" t="s">
        <v>1586</v>
      </c>
      <c r="C836" s="271" t="s">
        <v>1705</v>
      </c>
      <c r="D836" s="177">
        <v>46209</v>
      </c>
      <c r="E836" s="178" t="s">
        <v>1706</v>
      </c>
      <c r="F836" s="271" t="s">
        <v>1707</v>
      </c>
      <c r="G836" s="178" t="s">
        <v>1301</v>
      </c>
      <c r="H836" s="366">
        <v>213204925</v>
      </c>
      <c r="I836" s="176">
        <v>8</v>
      </c>
      <c r="J836" s="366">
        <v>17056394</v>
      </c>
      <c r="K836" s="178" t="s">
        <v>261</v>
      </c>
      <c r="L836" s="178" t="s">
        <v>252</v>
      </c>
      <c r="M836" s="271" t="s">
        <v>1302</v>
      </c>
      <c r="N836" s="177">
        <v>46225</v>
      </c>
      <c r="O836" s="177">
        <v>46225</v>
      </c>
      <c r="P836" s="366">
        <v>230261319</v>
      </c>
      <c r="Q836" s="176" t="s">
        <v>1303</v>
      </c>
      <c r="R836" s="176" t="s">
        <v>434</v>
      </c>
      <c r="S836" s="178" t="s">
        <v>253</v>
      </c>
      <c r="T836" s="57" t="str">
        <f t="shared" si="39"/>
        <v>Đ</v>
      </c>
      <c r="U836" s="59">
        <f t="shared" si="40"/>
        <v>0</v>
      </c>
      <c r="V836" s="55">
        <f t="shared" si="41"/>
        <v>13311</v>
      </c>
    </row>
    <row r="837" spans="1:22" ht="14.5" customHeight="1">
      <c r="A837" s="176">
        <v>820</v>
      </c>
      <c r="B837" s="178" t="s">
        <v>1573</v>
      </c>
      <c r="C837" s="271" t="s">
        <v>1708</v>
      </c>
      <c r="D837" s="177">
        <v>46209</v>
      </c>
      <c r="E837" s="178" t="s">
        <v>1575</v>
      </c>
      <c r="F837" s="271" t="s">
        <v>1576</v>
      </c>
      <c r="G837" s="178" t="s">
        <v>1301</v>
      </c>
      <c r="H837" s="366">
        <v>213842740</v>
      </c>
      <c r="I837" s="176">
        <v>8</v>
      </c>
      <c r="J837" s="366">
        <v>17107419</v>
      </c>
      <c r="K837" s="178" t="s">
        <v>261</v>
      </c>
      <c r="L837" s="178" t="s">
        <v>252</v>
      </c>
      <c r="M837" s="271" t="s">
        <v>1302</v>
      </c>
      <c r="N837" s="177">
        <v>46225</v>
      </c>
      <c r="O837" s="177">
        <v>46225</v>
      </c>
      <c r="P837" s="366">
        <v>230950159</v>
      </c>
      <c r="Q837" s="176" t="s">
        <v>1303</v>
      </c>
      <c r="R837" s="176" t="s">
        <v>434</v>
      </c>
      <c r="S837" s="178" t="s">
        <v>253</v>
      </c>
      <c r="T837" s="57" t="str">
        <f t="shared" si="39"/>
        <v>Đ</v>
      </c>
      <c r="U837" s="59">
        <f t="shared" si="40"/>
        <v>0</v>
      </c>
      <c r="V837" s="55">
        <f t="shared" si="41"/>
        <v>13311</v>
      </c>
    </row>
    <row r="838" spans="1:22" ht="14.5" customHeight="1">
      <c r="A838" s="176">
        <v>821</v>
      </c>
      <c r="B838" s="178" t="s">
        <v>1287</v>
      </c>
      <c r="C838" s="271" t="s">
        <v>1304</v>
      </c>
      <c r="D838" s="177">
        <v>46210</v>
      </c>
      <c r="E838" s="178" t="s">
        <v>1709</v>
      </c>
      <c r="F838" s="271" t="s">
        <v>1710</v>
      </c>
      <c r="G838" s="178" t="s">
        <v>1301</v>
      </c>
      <c r="H838" s="366">
        <v>7234885</v>
      </c>
      <c r="I838" s="176">
        <v>8</v>
      </c>
      <c r="J838" s="366">
        <v>578791</v>
      </c>
      <c r="K838" s="178" t="s">
        <v>261</v>
      </c>
      <c r="L838" s="178" t="s">
        <v>252</v>
      </c>
      <c r="M838" s="271" t="s">
        <v>1302</v>
      </c>
      <c r="N838" s="177">
        <v>46225</v>
      </c>
      <c r="O838" s="177">
        <v>46225</v>
      </c>
      <c r="P838" s="366">
        <v>7813676</v>
      </c>
      <c r="Q838" s="176" t="s">
        <v>1303</v>
      </c>
      <c r="R838" s="176" t="s">
        <v>434</v>
      </c>
      <c r="S838" s="178" t="s">
        <v>253</v>
      </c>
      <c r="T838" s="57" t="str">
        <f t="shared" si="39"/>
        <v>Đ</v>
      </c>
      <c r="U838" s="59">
        <f t="shared" si="40"/>
        <v>0</v>
      </c>
      <c r="V838" s="55">
        <f t="shared" si="41"/>
        <v>13311</v>
      </c>
    </row>
    <row r="839" spans="1:22" ht="14.5" customHeight="1">
      <c r="A839" s="176">
        <v>822</v>
      </c>
      <c r="B839" s="178" t="s">
        <v>1620</v>
      </c>
      <c r="C839" s="271" t="s">
        <v>1551</v>
      </c>
      <c r="D839" s="177">
        <v>46210</v>
      </c>
      <c r="E839" s="178" t="s">
        <v>1711</v>
      </c>
      <c r="F839" s="271" t="s">
        <v>1712</v>
      </c>
      <c r="G839" s="178" t="s">
        <v>1301</v>
      </c>
      <c r="H839" s="366">
        <v>230333310</v>
      </c>
      <c r="I839" s="176">
        <v>8</v>
      </c>
      <c r="J839" s="366">
        <v>18426665</v>
      </c>
      <c r="K839" s="178" t="s">
        <v>261</v>
      </c>
      <c r="L839" s="178" t="s">
        <v>252</v>
      </c>
      <c r="M839" s="271" t="s">
        <v>1302</v>
      </c>
      <c r="N839" s="177">
        <v>46225</v>
      </c>
      <c r="O839" s="177">
        <v>46225</v>
      </c>
      <c r="P839" s="366">
        <v>248759975</v>
      </c>
      <c r="Q839" s="176" t="s">
        <v>1303</v>
      </c>
      <c r="R839" s="176" t="s">
        <v>434</v>
      </c>
      <c r="S839" s="178" t="s">
        <v>253</v>
      </c>
      <c r="T839" s="57" t="str">
        <f t="shared" si="39"/>
        <v>Đ</v>
      </c>
      <c r="U839" s="59">
        <f t="shared" si="40"/>
        <v>0</v>
      </c>
      <c r="V839" s="55">
        <f t="shared" si="41"/>
        <v>13311</v>
      </c>
    </row>
    <row r="840" spans="1:22" ht="14.5" customHeight="1">
      <c r="A840" s="176">
        <v>823</v>
      </c>
      <c r="B840" s="178" t="s">
        <v>1620</v>
      </c>
      <c r="C840" s="271" t="s">
        <v>1551</v>
      </c>
      <c r="D840" s="177">
        <v>46210</v>
      </c>
      <c r="E840" s="178" t="s">
        <v>1713</v>
      </c>
      <c r="F840" s="271" t="s">
        <v>1714</v>
      </c>
      <c r="G840" s="178" t="s">
        <v>1301</v>
      </c>
      <c r="H840" s="366">
        <v>234907475</v>
      </c>
      <c r="I840" s="176">
        <v>8</v>
      </c>
      <c r="J840" s="366">
        <v>18792598</v>
      </c>
      <c r="K840" s="178" t="s">
        <v>261</v>
      </c>
      <c r="L840" s="178" t="s">
        <v>252</v>
      </c>
      <c r="M840" s="271" t="s">
        <v>1302</v>
      </c>
      <c r="N840" s="177">
        <v>46225</v>
      </c>
      <c r="O840" s="177">
        <v>46225</v>
      </c>
      <c r="P840" s="366">
        <v>253700073</v>
      </c>
      <c r="Q840" s="176" t="s">
        <v>1303</v>
      </c>
      <c r="R840" s="176" t="s">
        <v>434</v>
      </c>
      <c r="S840" s="178" t="s">
        <v>253</v>
      </c>
      <c r="T840" s="57" t="str">
        <f t="shared" si="39"/>
        <v>Đ</v>
      </c>
      <c r="U840" s="59">
        <f t="shared" si="40"/>
        <v>0</v>
      </c>
      <c r="V840" s="55">
        <f t="shared" si="41"/>
        <v>13311</v>
      </c>
    </row>
    <row r="841" spans="1:22" ht="14.5" customHeight="1">
      <c r="A841" s="176">
        <v>824</v>
      </c>
      <c r="B841" s="178" t="s">
        <v>1620</v>
      </c>
      <c r="C841" s="271" t="s">
        <v>1331</v>
      </c>
      <c r="D841" s="177">
        <v>46210</v>
      </c>
      <c r="E841" s="178" t="s">
        <v>1715</v>
      </c>
      <c r="F841" s="271" t="s">
        <v>1716</v>
      </c>
      <c r="G841" s="178" t="s">
        <v>1301</v>
      </c>
      <c r="H841" s="366">
        <v>142963180</v>
      </c>
      <c r="I841" s="176">
        <v>8</v>
      </c>
      <c r="J841" s="366">
        <v>11437054</v>
      </c>
      <c r="K841" s="178" t="s">
        <v>261</v>
      </c>
      <c r="L841" s="178" t="s">
        <v>252</v>
      </c>
      <c r="M841" s="271" t="s">
        <v>1302</v>
      </c>
      <c r="N841" s="177">
        <v>46225</v>
      </c>
      <c r="O841" s="177">
        <v>46225</v>
      </c>
      <c r="P841" s="366">
        <v>154400234</v>
      </c>
      <c r="Q841" s="176" t="s">
        <v>1303</v>
      </c>
      <c r="R841" s="176" t="s">
        <v>434</v>
      </c>
      <c r="S841" s="178" t="s">
        <v>253</v>
      </c>
      <c r="T841" s="57" t="str">
        <f t="shared" si="39"/>
        <v>Đ</v>
      </c>
      <c r="U841" s="59">
        <f t="shared" si="40"/>
        <v>0</v>
      </c>
      <c r="V841" s="55">
        <f t="shared" si="41"/>
        <v>13311</v>
      </c>
    </row>
    <row r="842" spans="1:22" ht="14.5" customHeight="1">
      <c r="A842" s="176">
        <v>825</v>
      </c>
      <c r="B842" s="178" t="s">
        <v>1620</v>
      </c>
      <c r="C842" s="271" t="s">
        <v>1332</v>
      </c>
      <c r="D842" s="177">
        <v>46210</v>
      </c>
      <c r="E842" s="178" t="s">
        <v>1715</v>
      </c>
      <c r="F842" s="271" t="s">
        <v>1716</v>
      </c>
      <c r="G842" s="178" t="s">
        <v>1301</v>
      </c>
      <c r="H842" s="366">
        <v>73864450</v>
      </c>
      <c r="I842" s="176">
        <v>8</v>
      </c>
      <c r="J842" s="366">
        <v>5909156</v>
      </c>
      <c r="K842" s="178" t="s">
        <v>261</v>
      </c>
      <c r="L842" s="178" t="s">
        <v>252</v>
      </c>
      <c r="M842" s="271" t="s">
        <v>1302</v>
      </c>
      <c r="N842" s="177">
        <v>46225</v>
      </c>
      <c r="O842" s="177">
        <v>46225</v>
      </c>
      <c r="P842" s="366">
        <v>79773606</v>
      </c>
      <c r="Q842" s="176" t="s">
        <v>1303</v>
      </c>
      <c r="R842" s="176" t="s">
        <v>434</v>
      </c>
      <c r="S842" s="178" t="s">
        <v>253</v>
      </c>
      <c r="T842" s="57" t="str">
        <f t="shared" si="39"/>
        <v>Đ</v>
      </c>
      <c r="U842" s="59">
        <f t="shared" si="40"/>
        <v>0</v>
      </c>
      <c r="V842" s="55">
        <f t="shared" si="41"/>
        <v>13311</v>
      </c>
    </row>
    <row r="843" spans="1:22" ht="14.5" customHeight="1">
      <c r="A843" s="176">
        <v>826</v>
      </c>
      <c r="B843" s="178" t="s">
        <v>1509</v>
      </c>
      <c r="C843" s="271" t="s">
        <v>1717</v>
      </c>
      <c r="D843" s="177">
        <v>46210</v>
      </c>
      <c r="E843" s="178" t="s">
        <v>1566</v>
      </c>
      <c r="F843" s="271" t="s">
        <v>1567</v>
      </c>
      <c r="G843" s="178" t="s">
        <v>1301</v>
      </c>
      <c r="H843" s="366">
        <v>340460</v>
      </c>
      <c r="I843" s="176">
        <v>8</v>
      </c>
      <c r="J843" s="366">
        <v>27237</v>
      </c>
      <c r="K843" s="178" t="s">
        <v>261</v>
      </c>
      <c r="L843" s="178" t="s">
        <v>252</v>
      </c>
      <c r="M843" s="271" t="s">
        <v>1302</v>
      </c>
      <c r="N843" s="177">
        <v>46225</v>
      </c>
      <c r="O843" s="177">
        <v>46225</v>
      </c>
      <c r="P843" s="366">
        <v>367697</v>
      </c>
      <c r="Q843" s="176" t="s">
        <v>1303</v>
      </c>
      <c r="R843" s="176" t="s">
        <v>434</v>
      </c>
      <c r="S843" s="178" t="s">
        <v>253</v>
      </c>
      <c r="T843" s="57" t="str">
        <f t="shared" si="39"/>
        <v>Đ</v>
      </c>
      <c r="U843" s="59">
        <f t="shared" si="40"/>
        <v>0</v>
      </c>
      <c r="V843" s="55">
        <f t="shared" si="41"/>
        <v>13311</v>
      </c>
    </row>
    <row r="844" spans="1:22" ht="14.5" customHeight="1">
      <c r="A844" s="176">
        <v>827</v>
      </c>
      <c r="B844" s="178" t="s">
        <v>1509</v>
      </c>
      <c r="C844" s="271" t="s">
        <v>1718</v>
      </c>
      <c r="D844" s="177">
        <v>46210</v>
      </c>
      <c r="E844" s="178" t="s">
        <v>1569</v>
      </c>
      <c r="F844" s="271" t="s">
        <v>1567</v>
      </c>
      <c r="G844" s="178" t="s">
        <v>1301</v>
      </c>
      <c r="H844" s="366">
        <v>21050</v>
      </c>
      <c r="I844" s="176">
        <v>8</v>
      </c>
      <c r="J844" s="366">
        <v>1684</v>
      </c>
      <c r="K844" s="178" t="s">
        <v>261</v>
      </c>
      <c r="L844" s="178" t="s">
        <v>252</v>
      </c>
      <c r="M844" s="271" t="s">
        <v>1302</v>
      </c>
      <c r="N844" s="177">
        <v>46225</v>
      </c>
      <c r="O844" s="177">
        <v>46225</v>
      </c>
      <c r="P844" s="366">
        <v>22734</v>
      </c>
      <c r="Q844" s="176" t="s">
        <v>1303</v>
      </c>
      <c r="R844" s="176" t="s">
        <v>434</v>
      </c>
      <c r="S844" s="178" t="s">
        <v>253</v>
      </c>
      <c r="T844" s="57" t="str">
        <f t="shared" si="39"/>
        <v>Đ</v>
      </c>
      <c r="U844" s="59">
        <f t="shared" si="40"/>
        <v>0</v>
      </c>
      <c r="V844" s="55">
        <f t="shared" si="41"/>
        <v>13311</v>
      </c>
    </row>
    <row r="845" spans="1:22" ht="21.5" customHeight="1">
      <c r="A845" s="176">
        <v>828</v>
      </c>
      <c r="B845" s="178" t="s">
        <v>1267</v>
      </c>
      <c r="C845" s="271" t="s">
        <v>1632</v>
      </c>
      <c r="D845" s="177">
        <v>46210</v>
      </c>
      <c r="E845" s="178" t="s">
        <v>1719</v>
      </c>
      <c r="F845" s="271" t="s">
        <v>1720</v>
      </c>
      <c r="G845" s="178" t="s">
        <v>1301</v>
      </c>
      <c r="H845" s="366">
        <v>114255190</v>
      </c>
      <c r="I845" s="176">
        <v>8</v>
      </c>
      <c r="J845" s="366">
        <v>9140415</v>
      </c>
      <c r="K845" s="178" t="s">
        <v>261</v>
      </c>
      <c r="L845" s="178" t="s">
        <v>252</v>
      </c>
      <c r="M845" s="271" t="s">
        <v>1302</v>
      </c>
      <c r="N845" s="177">
        <v>46225</v>
      </c>
      <c r="O845" s="177">
        <v>46225</v>
      </c>
      <c r="P845" s="366">
        <v>123395605</v>
      </c>
      <c r="Q845" s="176" t="s">
        <v>1303</v>
      </c>
      <c r="R845" s="176" t="s">
        <v>434</v>
      </c>
      <c r="S845" s="178" t="s">
        <v>253</v>
      </c>
      <c r="T845" s="57" t="str">
        <f t="shared" si="39"/>
        <v>Đ</v>
      </c>
      <c r="U845" s="59">
        <f t="shared" si="40"/>
        <v>0</v>
      </c>
      <c r="V845" s="55">
        <f t="shared" si="41"/>
        <v>13311</v>
      </c>
    </row>
    <row r="846" spans="1:22" ht="21.5" customHeight="1">
      <c r="A846" s="176">
        <v>829</v>
      </c>
      <c r="B846" s="178" t="s">
        <v>1267</v>
      </c>
      <c r="C846" s="271" t="s">
        <v>1470</v>
      </c>
      <c r="D846" s="177">
        <v>46210</v>
      </c>
      <c r="E846" s="178" t="s">
        <v>1721</v>
      </c>
      <c r="F846" s="271" t="s">
        <v>1720</v>
      </c>
      <c r="G846" s="178" t="s">
        <v>1301</v>
      </c>
      <c r="H846" s="366">
        <v>194640930</v>
      </c>
      <c r="I846" s="176">
        <v>8</v>
      </c>
      <c r="J846" s="366">
        <v>15571274</v>
      </c>
      <c r="K846" s="178" t="s">
        <v>261</v>
      </c>
      <c r="L846" s="178" t="s">
        <v>252</v>
      </c>
      <c r="M846" s="271" t="s">
        <v>1302</v>
      </c>
      <c r="N846" s="177">
        <v>46225</v>
      </c>
      <c r="O846" s="177">
        <v>46225</v>
      </c>
      <c r="P846" s="366">
        <v>210212204</v>
      </c>
      <c r="Q846" s="176" t="s">
        <v>1303</v>
      </c>
      <c r="R846" s="176" t="s">
        <v>434</v>
      </c>
      <c r="S846" s="178" t="s">
        <v>253</v>
      </c>
      <c r="T846" s="57" t="str">
        <f t="shared" ref="T846:T909" si="42">IF(OR(LEN(F846)=11,LEN(F846)=15),"Đ","SAI")</f>
        <v>Đ</v>
      </c>
      <c r="U846" s="59">
        <f t="shared" ref="U846:U909" si="43">ROUND(H846*I846%,0)-J846</f>
        <v>0</v>
      </c>
      <c r="V846" s="55">
        <f t="shared" ref="V846:V909" si="44">IF(Q846=$V$12,13313,13311)</f>
        <v>13311</v>
      </c>
    </row>
    <row r="847" spans="1:22" ht="21.5" customHeight="1">
      <c r="A847" s="176">
        <v>830</v>
      </c>
      <c r="B847" s="178" t="s">
        <v>1267</v>
      </c>
      <c r="C847" s="271" t="s">
        <v>1474</v>
      </c>
      <c r="D847" s="177">
        <v>46210</v>
      </c>
      <c r="E847" s="178" t="s">
        <v>1721</v>
      </c>
      <c r="F847" s="271" t="s">
        <v>1720</v>
      </c>
      <c r="G847" s="178" t="s">
        <v>1301</v>
      </c>
      <c r="H847" s="366">
        <v>185216845</v>
      </c>
      <c r="I847" s="176">
        <v>8</v>
      </c>
      <c r="J847" s="366">
        <v>14817348</v>
      </c>
      <c r="K847" s="178" t="s">
        <v>261</v>
      </c>
      <c r="L847" s="178" t="s">
        <v>252</v>
      </c>
      <c r="M847" s="271" t="s">
        <v>1302</v>
      </c>
      <c r="N847" s="177">
        <v>46225</v>
      </c>
      <c r="O847" s="177">
        <v>46225</v>
      </c>
      <c r="P847" s="366">
        <v>200034193</v>
      </c>
      <c r="Q847" s="176" t="s">
        <v>1303</v>
      </c>
      <c r="R847" s="176" t="s">
        <v>434</v>
      </c>
      <c r="S847" s="178" t="s">
        <v>253</v>
      </c>
      <c r="T847" s="57" t="str">
        <f t="shared" si="42"/>
        <v>Đ</v>
      </c>
      <c r="U847" s="59">
        <f t="shared" si="43"/>
        <v>0</v>
      </c>
      <c r="V847" s="55">
        <f t="shared" si="44"/>
        <v>13311</v>
      </c>
    </row>
    <row r="848" spans="1:22" ht="14.5" customHeight="1">
      <c r="A848" s="176">
        <v>831</v>
      </c>
      <c r="B848" s="178" t="s">
        <v>1325</v>
      </c>
      <c r="C848" s="271" t="s">
        <v>1722</v>
      </c>
      <c r="D848" s="177">
        <v>46210</v>
      </c>
      <c r="E848" s="178" t="s">
        <v>1723</v>
      </c>
      <c r="F848" s="271" t="s">
        <v>1724</v>
      </c>
      <c r="G848" s="178" t="s">
        <v>1301</v>
      </c>
      <c r="H848" s="366">
        <v>6418145</v>
      </c>
      <c r="I848" s="176">
        <v>8</v>
      </c>
      <c r="J848" s="366">
        <v>513452</v>
      </c>
      <c r="K848" s="178" t="s">
        <v>261</v>
      </c>
      <c r="L848" s="178" t="s">
        <v>252</v>
      </c>
      <c r="M848" s="271" t="s">
        <v>1302</v>
      </c>
      <c r="N848" s="177">
        <v>46225</v>
      </c>
      <c r="O848" s="177">
        <v>46225</v>
      </c>
      <c r="P848" s="366">
        <v>6931597</v>
      </c>
      <c r="Q848" s="176" t="s">
        <v>1303</v>
      </c>
      <c r="R848" s="176" t="s">
        <v>434</v>
      </c>
      <c r="S848" s="178" t="s">
        <v>253</v>
      </c>
      <c r="T848" s="57" t="str">
        <f t="shared" si="42"/>
        <v>Đ</v>
      </c>
      <c r="U848" s="59">
        <f t="shared" si="43"/>
        <v>0</v>
      </c>
      <c r="V848" s="55">
        <f t="shared" si="44"/>
        <v>13311</v>
      </c>
    </row>
    <row r="849" spans="1:22" ht="14.5" customHeight="1">
      <c r="A849" s="176">
        <v>832</v>
      </c>
      <c r="B849" s="178" t="s">
        <v>1287</v>
      </c>
      <c r="C849" s="271" t="s">
        <v>1532</v>
      </c>
      <c r="D849" s="177">
        <v>46210</v>
      </c>
      <c r="E849" s="178" t="s">
        <v>1725</v>
      </c>
      <c r="F849" s="271" t="s">
        <v>1726</v>
      </c>
      <c r="G849" s="178" t="s">
        <v>1301</v>
      </c>
      <c r="H849" s="366">
        <v>269440</v>
      </c>
      <c r="I849" s="176">
        <v>8</v>
      </c>
      <c r="J849" s="366">
        <v>21555</v>
      </c>
      <c r="K849" s="178" t="s">
        <v>261</v>
      </c>
      <c r="L849" s="178" t="s">
        <v>252</v>
      </c>
      <c r="M849" s="271" t="s">
        <v>1302</v>
      </c>
      <c r="N849" s="177">
        <v>46225</v>
      </c>
      <c r="O849" s="177">
        <v>46225</v>
      </c>
      <c r="P849" s="366">
        <v>290995</v>
      </c>
      <c r="Q849" s="176" t="s">
        <v>1303</v>
      </c>
      <c r="R849" s="176" t="s">
        <v>434</v>
      </c>
      <c r="S849" s="178" t="s">
        <v>253</v>
      </c>
      <c r="T849" s="57" t="str">
        <f t="shared" si="42"/>
        <v>Đ</v>
      </c>
      <c r="U849" s="59">
        <f t="shared" si="43"/>
        <v>0</v>
      </c>
      <c r="V849" s="55">
        <f t="shared" si="44"/>
        <v>13311</v>
      </c>
    </row>
    <row r="850" spans="1:22" ht="14.5" customHeight="1">
      <c r="A850" s="176">
        <v>833</v>
      </c>
      <c r="B850" s="178" t="s">
        <v>1727</v>
      </c>
      <c r="C850" s="271" t="s">
        <v>1728</v>
      </c>
      <c r="D850" s="177">
        <v>46210</v>
      </c>
      <c r="E850" s="178" t="s">
        <v>1729</v>
      </c>
      <c r="F850" s="271" t="s">
        <v>1730</v>
      </c>
      <c r="G850" s="178" t="s">
        <v>1301</v>
      </c>
      <c r="H850" s="366">
        <v>636308</v>
      </c>
      <c r="I850" s="176">
        <v>8</v>
      </c>
      <c r="J850" s="366">
        <v>50905</v>
      </c>
      <c r="K850" s="178" t="s">
        <v>261</v>
      </c>
      <c r="L850" s="178" t="s">
        <v>252</v>
      </c>
      <c r="M850" s="271" t="s">
        <v>1302</v>
      </c>
      <c r="N850" s="177">
        <v>46225</v>
      </c>
      <c r="O850" s="177">
        <v>46225</v>
      </c>
      <c r="P850" s="366">
        <v>687213</v>
      </c>
      <c r="Q850" s="176" t="s">
        <v>1303</v>
      </c>
      <c r="R850" s="176" t="s">
        <v>434</v>
      </c>
      <c r="S850" s="178" t="s">
        <v>253</v>
      </c>
      <c r="T850" s="57" t="str">
        <f t="shared" si="42"/>
        <v>Đ</v>
      </c>
      <c r="U850" s="59">
        <f t="shared" si="43"/>
        <v>0</v>
      </c>
      <c r="V850" s="55">
        <f t="shared" si="44"/>
        <v>13311</v>
      </c>
    </row>
    <row r="851" spans="1:22" ht="14.5" customHeight="1">
      <c r="A851" s="176">
        <v>834</v>
      </c>
      <c r="B851" s="178" t="s">
        <v>1727</v>
      </c>
      <c r="C851" s="271" t="s">
        <v>1731</v>
      </c>
      <c r="D851" s="177">
        <v>46210</v>
      </c>
      <c r="E851" s="178" t="s">
        <v>1729</v>
      </c>
      <c r="F851" s="271" t="s">
        <v>1730</v>
      </c>
      <c r="G851" s="178" t="s">
        <v>1301</v>
      </c>
      <c r="H851" s="366">
        <v>703070</v>
      </c>
      <c r="I851" s="176">
        <v>8</v>
      </c>
      <c r="J851" s="366">
        <v>56246</v>
      </c>
      <c r="K851" s="178" t="s">
        <v>261</v>
      </c>
      <c r="L851" s="178" t="s">
        <v>252</v>
      </c>
      <c r="M851" s="271" t="s">
        <v>1302</v>
      </c>
      <c r="N851" s="177">
        <v>46225</v>
      </c>
      <c r="O851" s="177">
        <v>46225</v>
      </c>
      <c r="P851" s="366">
        <v>759316</v>
      </c>
      <c r="Q851" s="176" t="s">
        <v>1303</v>
      </c>
      <c r="R851" s="176" t="s">
        <v>434</v>
      </c>
      <c r="S851" s="178" t="s">
        <v>253</v>
      </c>
      <c r="T851" s="57" t="str">
        <f t="shared" si="42"/>
        <v>Đ</v>
      </c>
      <c r="U851" s="59">
        <f t="shared" si="43"/>
        <v>0</v>
      </c>
      <c r="V851" s="55">
        <f t="shared" si="44"/>
        <v>13311</v>
      </c>
    </row>
    <row r="852" spans="1:22" ht="14.5" customHeight="1">
      <c r="A852" s="176">
        <v>835</v>
      </c>
      <c r="B852" s="178" t="s">
        <v>1570</v>
      </c>
      <c r="C852" s="271" t="s">
        <v>1732</v>
      </c>
      <c r="D852" s="177">
        <v>46211</v>
      </c>
      <c r="E852" s="178" t="s">
        <v>1733</v>
      </c>
      <c r="F852" s="271" t="s">
        <v>1734</v>
      </c>
      <c r="G852" s="178" t="s">
        <v>1301</v>
      </c>
      <c r="H852" s="366">
        <v>783060</v>
      </c>
      <c r="I852" s="176">
        <v>8</v>
      </c>
      <c r="J852" s="366">
        <v>62645</v>
      </c>
      <c r="K852" s="178" t="s">
        <v>261</v>
      </c>
      <c r="L852" s="178" t="s">
        <v>252</v>
      </c>
      <c r="M852" s="271" t="s">
        <v>1302</v>
      </c>
      <c r="N852" s="177">
        <v>46225</v>
      </c>
      <c r="O852" s="177">
        <v>46225</v>
      </c>
      <c r="P852" s="366">
        <v>845705</v>
      </c>
      <c r="Q852" s="176" t="s">
        <v>1303</v>
      </c>
      <c r="R852" s="176" t="s">
        <v>434</v>
      </c>
      <c r="S852" s="178" t="s">
        <v>253</v>
      </c>
      <c r="T852" s="57" t="str">
        <f t="shared" si="42"/>
        <v>Đ</v>
      </c>
      <c r="U852" s="59">
        <f t="shared" si="43"/>
        <v>0</v>
      </c>
      <c r="V852" s="55">
        <f t="shared" si="44"/>
        <v>13311</v>
      </c>
    </row>
    <row r="853" spans="1:22" ht="14.5" customHeight="1">
      <c r="A853" s="176">
        <v>836</v>
      </c>
      <c r="B853" s="178" t="s">
        <v>1541</v>
      </c>
      <c r="C853" s="271" t="s">
        <v>1735</v>
      </c>
      <c r="D853" s="177">
        <v>46211</v>
      </c>
      <c r="E853" s="178" t="s">
        <v>1736</v>
      </c>
      <c r="F853" s="271" t="s">
        <v>1737</v>
      </c>
      <c r="G853" s="178" t="s">
        <v>1301</v>
      </c>
      <c r="H853" s="366">
        <v>276173895</v>
      </c>
      <c r="I853" s="176">
        <v>8</v>
      </c>
      <c r="J853" s="366">
        <v>22093912</v>
      </c>
      <c r="K853" s="178" t="s">
        <v>261</v>
      </c>
      <c r="L853" s="178" t="s">
        <v>252</v>
      </c>
      <c r="M853" s="271" t="s">
        <v>1302</v>
      </c>
      <c r="N853" s="177">
        <v>46225</v>
      </c>
      <c r="O853" s="177">
        <v>46225</v>
      </c>
      <c r="P853" s="366">
        <v>298267807</v>
      </c>
      <c r="Q853" s="176" t="s">
        <v>1303</v>
      </c>
      <c r="R853" s="176" t="s">
        <v>434</v>
      </c>
      <c r="S853" s="178" t="s">
        <v>253</v>
      </c>
      <c r="T853" s="57" t="str">
        <f t="shared" si="42"/>
        <v>Đ</v>
      </c>
      <c r="U853" s="59">
        <f t="shared" si="43"/>
        <v>0</v>
      </c>
      <c r="V853" s="55">
        <f t="shared" si="44"/>
        <v>13311</v>
      </c>
    </row>
    <row r="854" spans="1:22" ht="14.5" customHeight="1">
      <c r="A854" s="176">
        <v>837</v>
      </c>
      <c r="B854" s="178" t="s">
        <v>1738</v>
      </c>
      <c r="C854" s="271" t="s">
        <v>1739</v>
      </c>
      <c r="D854" s="177">
        <v>46211</v>
      </c>
      <c r="E854" s="178" t="s">
        <v>1740</v>
      </c>
      <c r="F854" s="271" t="s">
        <v>1741</v>
      </c>
      <c r="G854" s="178" t="s">
        <v>1301</v>
      </c>
      <c r="H854" s="366">
        <v>3807945</v>
      </c>
      <c r="I854" s="176">
        <v>8</v>
      </c>
      <c r="J854" s="366">
        <v>304636</v>
      </c>
      <c r="K854" s="178" t="s">
        <v>261</v>
      </c>
      <c r="L854" s="178" t="s">
        <v>252</v>
      </c>
      <c r="M854" s="271" t="s">
        <v>1302</v>
      </c>
      <c r="N854" s="177">
        <v>46225</v>
      </c>
      <c r="O854" s="177">
        <v>46225</v>
      </c>
      <c r="P854" s="366">
        <v>4112581</v>
      </c>
      <c r="Q854" s="176" t="s">
        <v>1303</v>
      </c>
      <c r="R854" s="176" t="s">
        <v>434</v>
      </c>
      <c r="S854" s="178" t="s">
        <v>253</v>
      </c>
      <c r="T854" s="57" t="str">
        <f t="shared" si="42"/>
        <v>Đ</v>
      </c>
      <c r="U854" s="59">
        <f t="shared" si="43"/>
        <v>0</v>
      </c>
      <c r="V854" s="55">
        <f t="shared" si="44"/>
        <v>13311</v>
      </c>
    </row>
    <row r="855" spans="1:22" ht="14.5" customHeight="1">
      <c r="A855" s="176">
        <v>838</v>
      </c>
      <c r="B855" s="178" t="s">
        <v>1244</v>
      </c>
      <c r="C855" s="271" t="s">
        <v>1419</v>
      </c>
      <c r="D855" s="177">
        <v>46090</v>
      </c>
      <c r="E855" s="178" t="s">
        <v>1742</v>
      </c>
      <c r="F855" s="271" t="s">
        <v>1743</v>
      </c>
      <c r="G855" s="178" t="s">
        <v>1744</v>
      </c>
      <c r="H855" s="366">
        <v>1578750</v>
      </c>
      <c r="I855" s="176">
        <v>8</v>
      </c>
      <c r="J855" s="366">
        <v>126300</v>
      </c>
      <c r="K855" s="178" t="s">
        <v>261</v>
      </c>
      <c r="L855" s="178" t="s">
        <v>252</v>
      </c>
      <c r="M855" s="271" t="s">
        <v>1302</v>
      </c>
      <c r="N855" s="177">
        <v>46225</v>
      </c>
      <c r="O855" s="177">
        <v>46225</v>
      </c>
      <c r="P855" s="366">
        <v>1705050</v>
      </c>
      <c r="Q855" s="176" t="s">
        <v>1303</v>
      </c>
      <c r="R855" s="176" t="s">
        <v>434</v>
      </c>
      <c r="S855" s="178" t="s">
        <v>253</v>
      </c>
      <c r="T855" s="57" t="str">
        <f t="shared" si="42"/>
        <v>Đ</v>
      </c>
      <c r="U855" s="59">
        <f t="shared" si="43"/>
        <v>0</v>
      </c>
      <c r="V855" s="55">
        <f t="shared" si="44"/>
        <v>13311</v>
      </c>
    </row>
    <row r="856" spans="1:22" ht="14.5" customHeight="1">
      <c r="A856" s="176">
        <v>839</v>
      </c>
      <c r="B856" s="178" t="s">
        <v>1745</v>
      </c>
      <c r="C856" s="271" t="s">
        <v>1354</v>
      </c>
      <c r="D856" s="177">
        <v>46121</v>
      </c>
      <c r="E856" s="178" t="s">
        <v>1746</v>
      </c>
      <c r="F856" s="271" t="s">
        <v>1747</v>
      </c>
      <c r="G856" s="178" t="s">
        <v>1748</v>
      </c>
      <c r="H856" s="366">
        <v>1494550</v>
      </c>
      <c r="I856" s="176">
        <v>8</v>
      </c>
      <c r="J856" s="366">
        <v>119564</v>
      </c>
      <c r="K856" s="178" t="s">
        <v>261</v>
      </c>
      <c r="L856" s="178" t="s">
        <v>252</v>
      </c>
      <c r="M856" s="271" t="s">
        <v>1302</v>
      </c>
      <c r="N856" s="177">
        <v>46225</v>
      </c>
      <c r="O856" s="177">
        <v>46225</v>
      </c>
      <c r="P856" s="366">
        <v>1614114</v>
      </c>
      <c r="Q856" s="176" t="s">
        <v>1303</v>
      </c>
      <c r="R856" s="176" t="s">
        <v>434</v>
      </c>
      <c r="S856" s="178" t="s">
        <v>253</v>
      </c>
      <c r="T856" s="57" t="str">
        <f t="shared" si="42"/>
        <v>Đ</v>
      </c>
      <c r="U856" s="59">
        <f t="shared" si="43"/>
        <v>0</v>
      </c>
      <c r="V856" s="55">
        <f t="shared" si="44"/>
        <v>13311</v>
      </c>
    </row>
    <row r="857" spans="1:22" ht="14.5" customHeight="1">
      <c r="A857" s="176">
        <v>840</v>
      </c>
      <c r="B857" s="178" t="s">
        <v>1745</v>
      </c>
      <c r="C857" s="271" t="s">
        <v>1749</v>
      </c>
      <c r="D857" s="177">
        <v>46121</v>
      </c>
      <c r="E857" s="178" t="s">
        <v>1746</v>
      </c>
      <c r="F857" s="271" t="s">
        <v>1747</v>
      </c>
      <c r="G857" s="178" t="s">
        <v>1748</v>
      </c>
      <c r="H857" s="366">
        <v>1580855</v>
      </c>
      <c r="I857" s="176">
        <v>8</v>
      </c>
      <c r="J857" s="366">
        <v>126468</v>
      </c>
      <c r="K857" s="178" t="s">
        <v>261</v>
      </c>
      <c r="L857" s="178" t="s">
        <v>252</v>
      </c>
      <c r="M857" s="271" t="s">
        <v>1302</v>
      </c>
      <c r="N857" s="177">
        <v>46225</v>
      </c>
      <c r="O857" s="177">
        <v>46225</v>
      </c>
      <c r="P857" s="366">
        <v>1707323</v>
      </c>
      <c r="Q857" s="176" t="s">
        <v>1303</v>
      </c>
      <c r="R857" s="176" t="s">
        <v>434</v>
      </c>
      <c r="S857" s="178" t="s">
        <v>253</v>
      </c>
      <c r="T857" s="57" t="str">
        <f t="shared" si="42"/>
        <v>Đ</v>
      </c>
      <c r="U857" s="59">
        <f t="shared" si="43"/>
        <v>0</v>
      </c>
      <c r="V857" s="55">
        <f t="shared" si="44"/>
        <v>13311</v>
      </c>
    </row>
    <row r="858" spans="1:22" ht="14.5" customHeight="1">
      <c r="A858" s="176">
        <v>841</v>
      </c>
      <c r="B858" s="178" t="s">
        <v>1745</v>
      </c>
      <c r="C858" s="271" t="s">
        <v>1361</v>
      </c>
      <c r="D858" s="177">
        <v>46121</v>
      </c>
      <c r="E858" s="178" t="s">
        <v>1746</v>
      </c>
      <c r="F858" s="271" t="s">
        <v>1747</v>
      </c>
      <c r="G858" s="178" t="s">
        <v>1748</v>
      </c>
      <c r="H858" s="366">
        <v>2397595</v>
      </c>
      <c r="I858" s="176">
        <v>8</v>
      </c>
      <c r="J858" s="366">
        <v>191808</v>
      </c>
      <c r="K858" s="178" t="s">
        <v>261</v>
      </c>
      <c r="L858" s="178" t="s">
        <v>252</v>
      </c>
      <c r="M858" s="271" t="s">
        <v>1302</v>
      </c>
      <c r="N858" s="177">
        <v>46225</v>
      </c>
      <c r="O858" s="177">
        <v>46225</v>
      </c>
      <c r="P858" s="366">
        <v>2589403</v>
      </c>
      <c r="Q858" s="176" t="s">
        <v>1303</v>
      </c>
      <c r="R858" s="176" t="s">
        <v>434</v>
      </c>
      <c r="S858" s="178" t="s">
        <v>253</v>
      </c>
      <c r="T858" s="57" t="str">
        <f t="shared" si="42"/>
        <v>Đ</v>
      </c>
      <c r="U858" s="59">
        <f t="shared" si="43"/>
        <v>0</v>
      </c>
      <c r="V858" s="55">
        <f t="shared" si="44"/>
        <v>13311</v>
      </c>
    </row>
    <row r="859" spans="1:22" ht="14.5" customHeight="1">
      <c r="A859" s="176">
        <v>842</v>
      </c>
      <c r="B859" s="178" t="s">
        <v>1396</v>
      </c>
      <c r="C859" s="271" t="s">
        <v>1304</v>
      </c>
      <c r="D859" s="177">
        <v>46212</v>
      </c>
      <c r="E859" s="178" t="s">
        <v>1397</v>
      </c>
      <c r="F859" s="271" t="s">
        <v>1398</v>
      </c>
      <c r="G859" s="178" t="s">
        <v>1301</v>
      </c>
      <c r="H859" s="366">
        <v>174967600</v>
      </c>
      <c r="I859" s="176">
        <v>8</v>
      </c>
      <c r="J859" s="366">
        <v>13997408</v>
      </c>
      <c r="K859" s="178" t="s">
        <v>261</v>
      </c>
      <c r="L859" s="178" t="s">
        <v>252</v>
      </c>
      <c r="M859" s="271" t="s">
        <v>1302</v>
      </c>
      <c r="N859" s="177">
        <v>46225</v>
      </c>
      <c r="O859" s="177">
        <v>46225</v>
      </c>
      <c r="P859" s="366">
        <v>188965008</v>
      </c>
      <c r="Q859" s="176" t="s">
        <v>1303</v>
      </c>
      <c r="R859" s="176" t="s">
        <v>434</v>
      </c>
      <c r="S859" s="178" t="s">
        <v>253</v>
      </c>
      <c r="T859" s="57" t="str">
        <f t="shared" si="42"/>
        <v>Đ</v>
      </c>
      <c r="U859" s="59">
        <f t="shared" si="43"/>
        <v>0</v>
      </c>
      <c r="V859" s="55">
        <f t="shared" si="44"/>
        <v>13311</v>
      </c>
    </row>
    <row r="860" spans="1:22" ht="14.5" customHeight="1">
      <c r="A860" s="176">
        <v>843</v>
      </c>
      <c r="B860" s="178" t="s">
        <v>1305</v>
      </c>
      <c r="C860" s="271" t="s">
        <v>1750</v>
      </c>
      <c r="D860" s="177">
        <v>46212</v>
      </c>
      <c r="E860" s="178" t="s">
        <v>1751</v>
      </c>
      <c r="F860" s="271" t="s">
        <v>1308</v>
      </c>
      <c r="G860" s="178" t="s">
        <v>1301</v>
      </c>
      <c r="H860" s="366">
        <v>50751550</v>
      </c>
      <c r="I860" s="176">
        <v>8</v>
      </c>
      <c r="J860" s="366">
        <v>4060124</v>
      </c>
      <c r="K860" s="178" t="s">
        <v>261</v>
      </c>
      <c r="L860" s="178" t="s">
        <v>252</v>
      </c>
      <c r="M860" s="271" t="s">
        <v>1302</v>
      </c>
      <c r="N860" s="177">
        <v>46225</v>
      </c>
      <c r="O860" s="177">
        <v>46225</v>
      </c>
      <c r="P860" s="366">
        <v>54811674</v>
      </c>
      <c r="Q860" s="176" t="s">
        <v>1303</v>
      </c>
      <c r="R860" s="176" t="s">
        <v>434</v>
      </c>
      <c r="S860" s="178" t="s">
        <v>253</v>
      </c>
      <c r="T860" s="57" t="str">
        <f t="shared" si="42"/>
        <v>Đ</v>
      </c>
      <c r="U860" s="59">
        <f t="shared" si="43"/>
        <v>0</v>
      </c>
      <c r="V860" s="55">
        <f t="shared" si="44"/>
        <v>13311</v>
      </c>
    </row>
    <row r="861" spans="1:22" ht="14.5" customHeight="1">
      <c r="A861" s="176">
        <v>844</v>
      </c>
      <c r="B861" s="178" t="s">
        <v>1275</v>
      </c>
      <c r="C861" s="271" t="s">
        <v>1752</v>
      </c>
      <c r="D861" s="177">
        <v>46212</v>
      </c>
      <c r="E861" s="178" t="s">
        <v>1753</v>
      </c>
      <c r="F861" s="271" t="s">
        <v>1754</v>
      </c>
      <c r="G861" s="178" t="s">
        <v>1301</v>
      </c>
      <c r="H861" s="366">
        <v>3690065</v>
      </c>
      <c r="I861" s="176">
        <v>8</v>
      </c>
      <c r="J861" s="366">
        <v>295205</v>
      </c>
      <c r="K861" s="178" t="s">
        <v>261</v>
      </c>
      <c r="L861" s="178" t="s">
        <v>252</v>
      </c>
      <c r="M861" s="271" t="s">
        <v>1302</v>
      </c>
      <c r="N861" s="177">
        <v>46225</v>
      </c>
      <c r="O861" s="177">
        <v>46225</v>
      </c>
      <c r="P861" s="366">
        <v>3985270</v>
      </c>
      <c r="Q861" s="176" t="s">
        <v>1303</v>
      </c>
      <c r="R861" s="176" t="s">
        <v>434</v>
      </c>
      <c r="S861" s="178" t="s">
        <v>253</v>
      </c>
      <c r="T861" s="57" t="str">
        <f t="shared" si="42"/>
        <v>Đ</v>
      </c>
      <c r="U861" s="59">
        <f t="shared" si="43"/>
        <v>0</v>
      </c>
      <c r="V861" s="55">
        <f t="shared" si="44"/>
        <v>13311</v>
      </c>
    </row>
    <row r="862" spans="1:22" ht="14.5" customHeight="1">
      <c r="A862" s="176">
        <v>845</v>
      </c>
      <c r="B862" s="178" t="s">
        <v>1275</v>
      </c>
      <c r="C862" s="271" t="s">
        <v>1547</v>
      </c>
      <c r="D862" s="177">
        <v>46212</v>
      </c>
      <c r="E862" s="178" t="s">
        <v>1753</v>
      </c>
      <c r="F862" s="271" t="s">
        <v>1754</v>
      </c>
      <c r="G862" s="178" t="s">
        <v>1301</v>
      </c>
      <c r="H862" s="366">
        <v>3374315</v>
      </c>
      <c r="I862" s="176">
        <v>8</v>
      </c>
      <c r="J862" s="366">
        <v>269945</v>
      </c>
      <c r="K862" s="178" t="s">
        <v>261</v>
      </c>
      <c r="L862" s="178" t="s">
        <v>252</v>
      </c>
      <c r="M862" s="271" t="s">
        <v>1302</v>
      </c>
      <c r="N862" s="177">
        <v>46225</v>
      </c>
      <c r="O862" s="177">
        <v>46225</v>
      </c>
      <c r="P862" s="366">
        <v>3644260</v>
      </c>
      <c r="Q862" s="176" t="s">
        <v>1303</v>
      </c>
      <c r="R862" s="176" t="s">
        <v>434</v>
      </c>
      <c r="S862" s="178" t="s">
        <v>253</v>
      </c>
      <c r="T862" s="57" t="str">
        <f t="shared" si="42"/>
        <v>Đ</v>
      </c>
      <c r="U862" s="59">
        <f t="shared" si="43"/>
        <v>0</v>
      </c>
      <c r="V862" s="55">
        <f t="shared" si="44"/>
        <v>13311</v>
      </c>
    </row>
    <row r="863" spans="1:22" ht="14.5" customHeight="1">
      <c r="A863" s="176">
        <v>846</v>
      </c>
      <c r="B863" s="178" t="s">
        <v>1275</v>
      </c>
      <c r="C863" s="271" t="s">
        <v>1354</v>
      </c>
      <c r="D863" s="177">
        <v>46212</v>
      </c>
      <c r="E863" s="178" t="s">
        <v>1753</v>
      </c>
      <c r="F863" s="271" t="s">
        <v>1754</v>
      </c>
      <c r="G863" s="178" t="s">
        <v>1301</v>
      </c>
      <c r="H863" s="366">
        <v>3003835</v>
      </c>
      <c r="I863" s="176">
        <v>8</v>
      </c>
      <c r="J863" s="366">
        <v>240307</v>
      </c>
      <c r="K863" s="178" t="s">
        <v>261</v>
      </c>
      <c r="L863" s="178" t="s">
        <v>252</v>
      </c>
      <c r="M863" s="271" t="s">
        <v>1302</v>
      </c>
      <c r="N863" s="177">
        <v>46225</v>
      </c>
      <c r="O863" s="177">
        <v>46225</v>
      </c>
      <c r="P863" s="366">
        <v>3244142</v>
      </c>
      <c r="Q863" s="176" t="s">
        <v>1303</v>
      </c>
      <c r="R863" s="176" t="s">
        <v>434</v>
      </c>
      <c r="S863" s="178" t="s">
        <v>253</v>
      </c>
      <c r="T863" s="57" t="str">
        <f t="shared" si="42"/>
        <v>Đ</v>
      </c>
      <c r="U863" s="59">
        <f t="shared" si="43"/>
        <v>0</v>
      </c>
      <c r="V863" s="55">
        <f t="shared" si="44"/>
        <v>13311</v>
      </c>
    </row>
    <row r="864" spans="1:22" ht="14.5" customHeight="1">
      <c r="A864" s="176">
        <v>847</v>
      </c>
      <c r="B864" s="178" t="s">
        <v>1755</v>
      </c>
      <c r="C864" s="271" t="s">
        <v>1354</v>
      </c>
      <c r="D864" s="177">
        <v>46212</v>
      </c>
      <c r="E864" s="178" t="s">
        <v>1756</v>
      </c>
      <c r="F864" s="271" t="s">
        <v>1757</v>
      </c>
      <c r="G864" s="178" t="s">
        <v>1301</v>
      </c>
      <c r="H864" s="366">
        <v>848315</v>
      </c>
      <c r="I864" s="176">
        <v>8</v>
      </c>
      <c r="J864" s="366">
        <v>67865</v>
      </c>
      <c r="K864" s="178" t="s">
        <v>261</v>
      </c>
      <c r="L864" s="178" t="s">
        <v>252</v>
      </c>
      <c r="M864" s="271" t="s">
        <v>1302</v>
      </c>
      <c r="N864" s="177">
        <v>46225</v>
      </c>
      <c r="O864" s="177">
        <v>46225</v>
      </c>
      <c r="P864" s="366">
        <v>916180</v>
      </c>
      <c r="Q864" s="176" t="s">
        <v>1303</v>
      </c>
      <c r="R864" s="176" t="s">
        <v>434</v>
      </c>
      <c r="S864" s="178" t="s">
        <v>253</v>
      </c>
      <c r="T864" s="57" t="str">
        <f t="shared" si="42"/>
        <v>Đ</v>
      </c>
      <c r="U864" s="59">
        <f t="shared" si="43"/>
        <v>0</v>
      </c>
      <c r="V864" s="55">
        <f t="shared" si="44"/>
        <v>13311</v>
      </c>
    </row>
    <row r="865" spans="1:22" ht="14.5" customHeight="1">
      <c r="A865" s="176">
        <v>848</v>
      </c>
      <c r="B865" s="178" t="s">
        <v>1244</v>
      </c>
      <c r="C865" s="271" t="s">
        <v>1758</v>
      </c>
      <c r="D865" s="177">
        <v>46212</v>
      </c>
      <c r="E865" s="178" t="s">
        <v>1742</v>
      </c>
      <c r="F865" s="271" t="s">
        <v>1743</v>
      </c>
      <c r="G865" s="178" t="s">
        <v>1301</v>
      </c>
      <c r="H865" s="366">
        <v>498885</v>
      </c>
      <c r="I865" s="176">
        <v>8</v>
      </c>
      <c r="J865" s="366">
        <v>39911</v>
      </c>
      <c r="K865" s="178" t="s">
        <v>261</v>
      </c>
      <c r="L865" s="178" t="s">
        <v>252</v>
      </c>
      <c r="M865" s="271" t="s">
        <v>1302</v>
      </c>
      <c r="N865" s="177">
        <v>46225</v>
      </c>
      <c r="O865" s="177">
        <v>46225</v>
      </c>
      <c r="P865" s="366">
        <v>538796</v>
      </c>
      <c r="Q865" s="176" t="s">
        <v>1303</v>
      </c>
      <c r="R865" s="176" t="s">
        <v>434</v>
      </c>
      <c r="S865" s="178" t="s">
        <v>253</v>
      </c>
      <c r="T865" s="57" t="str">
        <f t="shared" si="42"/>
        <v>Đ</v>
      </c>
      <c r="U865" s="59">
        <f t="shared" si="43"/>
        <v>0</v>
      </c>
      <c r="V865" s="55">
        <f t="shared" si="44"/>
        <v>13311</v>
      </c>
    </row>
    <row r="866" spans="1:22" ht="14.5" customHeight="1">
      <c r="A866" s="176">
        <v>849</v>
      </c>
      <c r="B866" s="178" t="s">
        <v>1383</v>
      </c>
      <c r="C866" s="271" t="s">
        <v>1577</v>
      </c>
      <c r="D866" s="177">
        <v>46183</v>
      </c>
      <c r="E866" s="178" t="s">
        <v>1385</v>
      </c>
      <c r="F866" s="271" t="s">
        <v>1386</v>
      </c>
      <c r="G866" s="178" t="s">
        <v>1371</v>
      </c>
      <c r="H866" s="366">
        <v>3311165</v>
      </c>
      <c r="I866" s="176">
        <v>8</v>
      </c>
      <c r="J866" s="366">
        <v>264893</v>
      </c>
      <c r="K866" s="178" t="s">
        <v>261</v>
      </c>
      <c r="L866" s="178" t="s">
        <v>252</v>
      </c>
      <c r="M866" s="271" t="s">
        <v>1302</v>
      </c>
      <c r="N866" s="177">
        <v>46225</v>
      </c>
      <c r="O866" s="177">
        <v>46225</v>
      </c>
      <c r="P866" s="366">
        <v>3576058</v>
      </c>
      <c r="Q866" s="176" t="s">
        <v>1303</v>
      </c>
      <c r="R866" s="176" t="s">
        <v>434</v>
      </c>
      <c r="S866" s="178" t="s">
        <v>253</v>
      </c>
      <c r="T866" s="57" t="str">
        <f t="shared" si="42"/>
        <v>Đ</v>
      </c>
      <c r="U866" s="59">
        <f t="shared" si="43"/>
        <v>0</v>
      </c>
      <c r="V866" s="55">
        <f t="shared" si="44"/>
        <v>13311</v>
      </c>
    </row>
    <row r="867" spans="1:22" ht="14.5" customHeight="1">
      <c r="A867" s="176">
        <v>850</v>
      </c>
      <c r="B867" s="178" t="s">
        <v>1383</v>
      </c>
      <c r="C867" s="271" t="s">
        <v>1759</v>
      </c>
      <c r="D867" s="177">
        <v>46183</v>
      </c>
      <c r="E867" s="178" t="s">
        <v>1385</v>
      </c>
      <c r="F867" s="271" t="s">
        <v>1386</v>
      </c>
      <c r="G867" s="178" t="s">
        <v>1371</v>
      </c>
      <c r="H867" s="366">
        <v>854630</v>
      </c>
      <c r="I867" s="176">
        <v>8</v>
      </c>
      <c r="J867" s="366">
        <v>68370</v>
      </c>
      <c r="K867" s="178" t="s">
        <v>261</v>
      </c>
      <c r="L867" s="178" t="s">
        <v>252</v>
      </c>
      <c r="M867" s="271" t="s">
        <v>1302</v>
      </c>
      <c r="N867" s="177">
        <v>46225</v>
      </c>
      <c r="O867" s="177">
        <v>46225</v>
      </c>
      <c r="P867" s="366">
        <v>923000</v>
      </c>
      <c r="Q867" s="176" t="s">
        <v>1303</v>
      </c>
      <c r="R867" s="176" t="s">
        <v>434</v>
      </c>
      <c r="S867" s="178" t="s">
        <v>253</v>
      </c>
      <c r="T867" s="57" t="str">
        <f t="shared" si="42"/>
        <v>Đ</v>
      </c>
      <c r="U867" s="59">
        <f t="shared" si="43"/>
        <v>0</v>
      </c>
      <c r="V867" s="55">
        <f t="shared" si="44"/>
        <v>13311</v>
      </c>
    </row>
    <row r="868" spans="1:22" ht="14.5" customHeight="1">
      <c r="A868" s="176">
        <v>851</v>
      </c>
      <c r="B868" s="178" t="s">
        <v>1325</v>
      </c>
      <c r="C868" s="271" t="s">
        <v>1640</v>
      </c>
      <c r="D868" s="177">
        <v>46183</v>
      </c>
      <c r="E868" s="178" t="s">
        <v>1723</v>
      </c>
      <c r="F868" s="271" t="s">
        <v>1724</v>
      </c>
      <c r="G868" s="178" t="s">
        <v>1371</v>
      </c>
      <c r="H868" s="366">
        <v>7495905</v>
      </c>
      <c r="I868" s="176">
        <v>8</v>
      </c>
      <c r="J868" s="366">
        <v>599672</v>
      </c>
      <c r="K868" s="178" t="s">
        <v>261</v>
      </c>
      <c r="L868" s="178" t="s">
        <v>252</v>
      </c>
      <c r="M868" s="271" t="s">
        <v>1302</v>
      </c>
      <c r="N868" s="177">
        <v>46225</v>
      </c>
      <c r="O868" s="177">
        <v>46225</v>
      </c>
      <c r="P868" s="366">
        <v>8095577</v>
      </c>
      <c r="Q868" s="176" t="s">
        <v>1303</v>
      </c>
      <c r="R868" s="176" t="s">
        <v>434</v>
      </c>
      <c r="S868" s="178" t="s">
        <v>253</v>
      </c>
      <c r="T868" s="57" t="str">
        <f t="shared" si="42"/>
        <v>Đ</v>
      </c>
      <c r="U868" s="59">
        <f t="shared" si="43"/>
        <v>0</v>
      </c>
      <c r="V868" s="55">
        <f t="shared" si="44"/>
        <v>13311</v>
      </c>
    </row>
    <row r="869" spans="1:22" ht="21.5" customHeight="1">
      <c r="A869" s="176">
        <v>852</v>
      </c>
      <c r="B869" s="178" t="s">
        <v>1760</v>
      </c>
      <c r="C869" s="271" t="s">
        <v>1423</v>
      </c>
      <c r="D869" s="177">
        <v>46213</v>
      </c>
      <c r="E869" s="178" t="s">
        <v>1761</v>
      </c>
      <c r="F869" s="271" t="s">
        <v>1762</v>
      </c>
      <c r="G869" s="178" t="s">
        <v>1301</v>
      </c>
      <c r="H869" s="366">
        <v>83193810</v>
      </c>
      <c r="I869" s="176">
        <v>8</v>
      </c>
      <c r="J869" s="366">
        <v>6655505</v>
      </c>
      <c r="K869" s="178" t="s">
        <v>261</v>
      </c>
      <c r="L869" s="178" t="s">
        <v>252</v>
      </c>
      <c r="M869" s="271" t="s">
        <v>1302</v>
      </c>
      <c r="N869" s="177">
        <v>46225</v>
      </c>
      <c r="O869" s="177">
        <v>46225</v>
      </c>
      <c r="P869" s="366">
        <v>89849315</v>
      </c>
      <c r="Q869" s="176" t="s">
        <v>1303</v>
      </c>
      <c r="R869" s="176" t="s">
        <v>434</v>
      </c>
      <c r="S869" s="178" t="s">
        <v>253</v>
      </c>
      <c r="T869" s="57" t="str">
        <f t="shared" si="42"/>
        <v>Đ</v>
      </c>
      <c r="U869" s="59">
        <f t="shared" si="43"/>
        <v>0</v>
      </c>
      <c r="V869" s="55">
        <f t="shared" si="44"/>
        <v>13311</v>
      </c>
    </row>
    <row r="870" spans="1:22" ht="14.5" customHeight="1">
      <c r="A870" s="176">
        <v>853</v>
      </c>
      <c r="B870" s="178" t="s">
        <v>1763</v>
      </c>
      <c r="C870" s="271" t="s">
        <v>1764</v>
      </c>
      <c r="D870" s="177">
        <v>46213</v>
      </c>
      <c r="E870" s="178" t="s">
        <v>1765</v>
      </c>
      <c r="F870" s="271" t="s">
        <v>1766</v>
      </c>
      <c r="G870" s="178" t="s">
        <v>1301</v>
      </c>
      <c r="H870" s="366">
        <v>8870470</v>
      </c>
      <c r="I870" s="176">
        <v>8</v>
      </c>
      <c r="J870" s="366">
        <v>709638</v>
      </c>
      <c r="K870" s="178" t="s">
        <v>261</v>
      </c>
      <c r="L870" s="178" t="s">
        <v>252</v>
      </c>
      <c r="M870" s="271" t="s">
        <v>1302</v>
      </c>
      <c r="N870" s="177">
        <v>46225</v>
      </c>
      <c r="O870" s="177">
        <v>46225</v>
      </c>
      <c r="P870" s="366">
        <v>9580108</v>
      </c>
      <c r="Q870" s="176" t="s">
        <v>1303</v>
      </c>
      <c r="R870" s="176" t="s">
        <v>434</v>
      </c>
      <c r="S870" s="178" t="s">
        <v>253</v>
      </c>
      <c r="T870" s="57" t="str">
        <f t="shared" si="42"/>
        <v>Đ</v>
      </c>
      <c r="U870" s="59">
        <f t="shared" si="43"/>
        <v>0</v>
      </c>
      <c r="V870" s="55">
        <f t="shared" si="44"/>
        <v>13311</v>
      </c>
    </row>
    <row r="871" spans="1:22" ht="14.5" customHeight="1">
      <c r="A871" s="176">
        <v>854</v>
      </c>
      <c r="B871" s="178" t="s">
        <v>1763</v>
      </c>
      <c r="C871" s="271" t="s">
        <v>1452</v>
      </c>
      <c r="D871" s="177">
        <v>46213</v>
      </c>
      <c r="E871" s="178" t="s">
        <v>1765</v>
      </c>
      <c r="F871" s="271" t="s">
        <v>1766</v>
      </c>
      <c r="G871" s="178" t="s">
        <v>1301</v>
      </c>
      <c r="H871" s="366">
        <v>9428295</v>
      </c>
      <c r="I871" s="176">
        <v>8</v>
      </c>
      <c r="J871" s="366">
        <v>754264</v>
      </c>
      <c r="K871" s="178" t="s">
        <v>261</v>
      </c>
      <c r="L871" s="178" t="s">
        <v>252</v>
      </c>
      <c r="M871" s="271" t="s">
        <v>1302</v>
      </c>
      <c r="N871" s="177">
        <v>46225</v>
      </c>
      <c r="O871" s="177">
        <v>46225</v>
      </c>
      <c r="P871" s="366">
        <v>10182559</v>
      </c>
      <c r="Q871" s="176" t="s">
        <v>1303</v>
      </c>
      <c r="R871" s="176" t="s">
        <v>434</v>
      </c>
      <c r="S871" s="178" t="s">
        <v>253</v>
      </c>
      <c r="T871" s="57" t="str">
        <f t="shared" si="42"/>
        <v>Đ</v>
      </c>
      <c r="U871" s="59">
        <f t="shared" si="43"/>
        <v>0</v>
      </c>
      <c r="V871" s="55">
        <f t="shared" si="44"/>
        <v>13311</v>
      </c>
    </row>
    <row r="872" spans="1:22" ht="14.5" customHeight="1">
      <c r="A872" s="176">
        <v>855</v>
      </c>
      <c r="B872" s="178" t="s">
        <v>1763</v>
      </c>
      <c r="C872" s="271" t="s">
        <v>1455</v>
      </c>
      <c r="D872" s="177">
        <v>46213</v>
      </c>
      <c r="E872" s="178" t="s">
        <v>1767</v>
      </c>
      <c r="F872" s="271" t="s">
        <v>1766</v>
      </c>
      <c r="G872" s="178" t="s">
        <v>1301</v>
      </c>
      <c r="H872" s="366">
        <v>4191180</v>
      </c>
      <c r="I872" s="176">
        <v>8</v>
      </c>
      <c r="J872" s="366">
        <v>335294</v>
      </c>
      <c r="K872" s="178" t="s">
        <v>261</v>
      </c>
      <c r="L872" s="178" t="s">
        <v>252</v>
      </c>
      <c r="M872" s="271" t="s">
        <v>1302</v>
      </c>
      <c r="N872" s="177">
        <v>46225</v>
      </c>
      <c r="O872" s="177">
        <v>46225</v>
      </c>
      <c r="P872" s="366">
        <v>4526474</v>
      </c>
      <c r="Q872" s="176" t="s">
        <v>1303</v>
      </c>
      <c r="R872" s="176" t="s">
        <v>434</v>
      </c>
      <c r="S872" s="178" t="s">
        <v>253</v>
      </c>
      <c r="T872" s="57" t="str">
        <f t="shared" si="42"/>
        <v>Đ</v>
      </c>
      <c r="U872" s="59">
        <f t="shared" si="43"/>
        <v>0</v>
      </c>
      <c r="V872" s="55">
        <f t="shared" si="44"/>
        <v>13311</v>
      </c>
    </row>
    <row r="873" spans="1:22" ht="14.5" customHeight="1">
      <c r="A873" s="176">
        <v>856</v>
      </c>
      <c r="B873" s="178" t="s">
        <v>1541</v>
      </c>
      <c r="C873" s="271" t="s">
        <v>1474</v>
      </c>
      <c r="D873" s="177">
        <v>46213</v>
      </c>
      <c r="E873" s="178" t="s">
        <v>1542</v>
      </c>
      <c r="F873" s="271" t="s">
        <v>1543</v>
      </c>
      <c r="G873" s="178" t="s">
        <v>1301</v>
      </c>
      <c r="H873" s="366">
        <v>1989225</v>
      </c>
      <c r="I873" s="176">
        <v>8</v>
      </c>
      <c r="J873" s="366">
        <v>159138</v>
      </c>
      <c r="K873" s="178" t="s">
        <v>261</v>
      </c>
      <c r="L873" s="178" t="s">
        <v>252</v>
      </c>
      <c r="M873" s="271" t="s">
        <v>1302</v>
      </c>
      <c r="N873" s="177">
        <v>46225</v>
      </c>
      <c r="O873" s="177">
        <v>46225</v>
      </c>
      <c r="P873" s="366">
        <v>2148363</v>
      </c>
      <c r="Q873" s="176" t="s">
        <v>1303</v>
      </c>
      <c r="R873" s="176" t="s">
        <v>434</v>
      </c>
      <c r="S873" s="178" t="s">
        <v>253</v>
      </c>
      <c r="T873" s="57" t="str">
        <f t="shared" si="42"/>
        <v>Đ</v>
      </c>
      <c r="U873" s="59">
        <f t="shared" si="43"/>
        <v>0</v>
      </c>
      <c r="V873" s="55">
        <f t="shared" si="44"/>
        <v>13311</v>
      </c>
    </row>
    <row r="874" spans="1:22" ht="14.5" customHeight="1">
      <c r="A874" s="176">
        <v>857</v>
      </c>
      <c r="B874" s="178" t="s">
        <v>1287</v>
      </c>
      <c r="C874" s="271" t="s">
        <v>1298</v>
      </c>
      <c r="D874" s="177">
        <v>46185</v>
      </c>
      <c r="E874" s="178" t="s">
        <v>1709</v>
      </c>
      <c r="F874" s="271" t="s">
        <v>1710</v>
      </c>
      <c r="G874" s="178" t="s">
        <v>1371</v>
      </c>
      <c r="H874" s="366">
        <v>25017925</v>
      </c>
      <c r="I874" s="176">
        <v>8</v>
      </c>
      <c r="J874" s="366">
        <v>2001434</v>
      </c>
      <c r="K874" s="178" t="s">
        <v>261</v>
      </c>
      <c r="L874" s="178" t="s">
        <v>252</v>
      </c>
      <c r="M874" s="271" t="s">
        <v>1302</v>
      </c>
      <c r="N874" s="177">
        <v>46225</v>
      </c>
      <c r="O874" s="177">
        <v>46225</v>
      </c>
      <c r="P874" s="366">
        <v>27019359</v>
      </c>
      <c r="Q874" s="176" t="s">
        <v>1303</v>
      </c>
      <c r="R874" s="176" t="s">
        <v>434</v>
      </c>
      <c r="S874" s="178" t="s">
        <v>253</v>
      </c>
      <c r="T874" s="57" t="str">
        <f t="shared" si="42"/>
        <v>Đ</v>
      </c>
      <c r="U874" s="59">
        <f t="shared" si="43"/>
        <v>0</v>
      </c>
      <c r="V874" s="55">
        <f t="shared" si="44"/>
        <v>13311</v>
      </c>
    </row>
    <row r="875" spans="1:22" ht="14.5" customHeight="1">
      <c r="A875" s="176">
        <v>858</v>
      </c>
      <c r="B875" s="178" t="s">
        <v>1520</v>
      </c>
      <c r="C875" s="271" t="s">
        <v>1768</v>
      </c>
      <c r="D875" s="177">
        <v>46189</v>
      </c>
      <c r="E875" s="178" t="s">
        <v>1597</v>
      </c>
      <c r="F875" s="271" t="s">
        <v>1598</v>
      </c>
      <c r="G875" s="178" t="s">
        <v>1371</v>
      </c>
      <c r="H875" s="366">
        <v>2702820</v>
      </c>
      <c r="I875" s="176">
        <v>8</v>
      </c>
      <c r="J875" s="366">
        <v>216226</v>
      </c>
      <c r="K875" s="178" t="s">
        <v>261</v>
      </c>
      <c r="L875" s="178" t="s">
        <v>252</v>
      </c>
      <c r="M875" s="271" t="s">
        <v>1302</v>
      </c>
      <c r="N875" s="177">
        <v>46225</v>
      </c>
      <c r="O875" s="177">
        <v>46225</v>
      </c>
      <c r="P875" s="366">
        <v>2919046</v>
      </c>
      <c r="Q875" s="176" t="s">
        <v>1303</v>
      </c>
      <c r="R875" s="176" t="s">
        <v>434</v>
      </c>
      <c r="S875" s="178" t="s">
        <v>253</v>
      </c>
      <c r="T875" s="57" t="str">
        <f t="shared" si="42"/>
        <v>Đ</v>
      </c>
      <c r="U875" s="59">
        <f t="shared" si="43"/>
        <v>0</v>
      </c>
      <c r="V875" s="55">
        <f t="shared" si="44"/>
        <v>13311</v>
      </c>
    </row>
    <row r="876" spans="1:22" ht="14.5" customHeight="1">
      <c r="A876" s="176">
        <v>859</v>
      </c>
      <c r="B876" s="178" t="s">
        <v>1342</v>
      </c>
      <c r="C876" s="271" t="s">
        <v>1769</v>
      </c>
      <c r="D876" s="177">
        <v>46189</v>
      </c>
      <c r="E876" s="178" t="s">
        <v>1770</v>
      </c>
      <c r="F876" s="271" t="s">
        <v>1771</v>
      </c>
      <c r="G876" s="178" t="s">
        <v>1371</v>
      </c>
      <c r="H876" s="366">
        <v>873575</v>
      </c>
      <c r="I876" s="176">
        <v>8</v>
      </c>
      <c r="J876" s="366">
        <v>69886</v>
      </c>
      <c r="K876" s="178" t="s">
        <v>261</v>
      </c>
      <c r="L876" s="178" t="s">
        <v>252</v>
      </c>
      <c r="M876" s="271" t="s">
        <v>1302</v>
      </c>
      <c r="N876" s="177">
        <v>46225</v>
      </c>
      <c r="O876" s="177">
        <v>46225</v>
      </c>
      <c r="P876" s="366">
        <v>943461</v>
      </c>
      <c r="Q876" s="176" t="s">
        <v>1303</v>
      </c>
      <c r="R876" s="176" t="s">
        <v>434</v>
      </c>
      <c r="S876" s="178" t="s">
        <v>253</v>
      </c>
      <c r="T876" s="57" t="str">
        <f t="shared" si="42"/>
        <v>Đ</v>
      </c>
      <c r="U876" s="59">
        <f t="shared" si="43"/>
        <v>0</v>
      </c>
      <c r="V876" s="55">
        <f t="shared" si="44"/>
        <v>13311</v>
      </c>
    </row>
    <row r="877" spans="1:22" ht="14.5" customHeight="1">
      <c r="A877" s="176">
        <v>860</v>
      </c>
      <c r="B877" s="178" t="s">
        <v>1342</v>
      </c>
      <c r="C877" s="271" t="s">
        <v>1772</v>
      </c>
      <c r="D877" s="177">
        <v>46189</v>
      </c>
      <c r="E877" s="178" t="s">
        <v>1770</v>
      </c>
      <c r="F877" s="271" t="s">
        <v>1771</v>
      </c>
      <c r="G877" s="178" t="s">
        <v>1371</v>
      </c>
      <c r="H877" s="366">
        <v>633605</v>
      </c>
      <c r="I877" s="176">
        <v>8</v>
      </c>
      <c r="J877" s="366">
        <v>50688</v>
      </c>
      <c r="K877" s="178" t="s">
        <v>261</v>
      </c>
      <c r="L877" s="178" t="s">
        <v>252</v>
      </c>
      <c r="M877" s="271" t="s">
        <v>1302</v>
      </c>
      <c r="N877" s="177">
        <v>46225</v>
      </c>
      <c r="O877" s="177">
        <v>46225</v>
      </c>
      <c r="P877" s="366">
        <v>684293</v>
      </c>
      <c r="Q877" s="176" t="s">
        <v>1303</v>
      </c>
      <c r="R877" s="176" t="s">
        <v>434</v>
      </c>
      <c r="S877" s="178" t="s">
        <v>253</v>
      </c>
      <c r="T877" s="57" t="str">
        <f t="shared" si="42"/>
        <v>Đ</v>
      </c>
      <c r="U877" s="59">
        <f t="shared" si="43"/>
        <v>0</v>
      </c>
      <c r="V877" s="55">
        <f t="shared" si="44"/>
        <v>13311</v>
      </c>
    </row>
    <row r="878" spans="1:22" ht="14.5" customHeight="1">
      <c r="A878" s="176">
        <v>861</v>
      </c>
      <c r="B878" s="178" t="s">
        <v>1763</v>
      </c>
      <c r="C878" s="271" t="s">
        <v>1773</v>
      </c>
      <c r="D878" s="177">
        <v>46190</v>
      </c>
      <c r="E878" s="178" t="s">
        <v>1765</v>
      </c>
      <c r="F878" s="271" t="s">
        <v>1766</v>
      </c>
      <c r="G878" s="178" t="s">
        <v>1371</v>
      </c>
      <c r="H878" s="366">
        <v>9925075</v>
      </c>
      <c r="I878" s="176">
        <v>8</v>
      </c>
      <c r="J878" s="366">
        <v>794006</v>
      </c>
      <c r="K878" s="178" t="s">
        <v>261</v>
      </c>
      <c r="L878" s="178" t="s">
        <v>252</v>
      </c>
      <c r="M878" s="271" t="s">
        <v>1302</v>
      </c>
      <c r="N878" s="177">
        <v>46225</v>
      </c>
      <c r="O878" s="177">
        <v>46225</v>
      </c>
      <c r="P878" s="366">
        <v>10719081</v>
      </c>
      <c r="Q878" s="176" t="s">
        <v>1303</v>
      </c>
      <c r="R878" s="176" t="s">
        <v>434</v>
      </c>
      <c r="S878" s="178" t="s">
        <v>253</v>
      </c>
      <c r="T878" s="57" t="str">
        <f t="shared" si="42"/>
        <v>Đ</v>
      </c>
      <c r="U878" s="59">
        <f t="shared" si="43"/>
        <v>0</v>
      </c>
      <c r="V878" s="55">
        <f t="shared" si="44"/>
        <v>13311</v>
      </c>
    </row>
    <row r="879" spans="1:22" ht="14.5" customHeight="1">
      <c r="A879" s="176">
        <v>862</v>
      </c>
      <c r="B879" s="178" t="s">
        <v>1763</v>
      </c>
      <c r="C879" s="271" t="s">
        <v>1774</v>
      </c>
      <c r="D879" s="177">
        <v>46190</v>
      </c>
      <c r="E879" s="178" t="s">
        <v>1765</v>
      </c>
      <c r="F879" s="271" t="s">
        <v>1766</v>
      </c>
      <c r="G879" s="178" t="s">
        <v>1371</v>
      </c>
      <c r="H879" s="366">
        <v>12154270</v>
      </c>
      <c r="I879" s="176">
        <v>8</v>
      </c>
      <c r="J879" s="366">
        <v>972342</v>
      </c>
      <c r="K879" s="178" t="s">
        <v>261</v>
      </c>
      <c r="L879" s="178" t="s">
        <v>252</v>
      </c>
      <c r="M879" s="271" t="s">
        <v>1302</v>
      </c>
      <c r="N879" s="177">
        <v>46225</v>
      </c>
      <c r="O879" s="177">
        <v>46225</v>
      </c>
      <c r="P879" s="366">
        <v>13126612</v>
      </c>
      <c r="Q879" s="176" t="s">
        <v>1303</v>
      </c>
      <c r="R879" s="176" t="s">
        <v>434</v>
      </c>
      <c r="S879" s="178" t="s">
        <v>253</v>
      </c>
      <c r="T879" s="57" t="str">
        <f t="shared" si="42"/>
        <v>Đ</v>
      </c>
      <c r="U879" s="59">
        <f t="shared" si="43"/>
        <v>0</v>
      </c>
      <c r="V879" s="55">
        <f t="shared" si="44"/>
        <v>13311</v>
      </c>
    </row>
    <row r="880" spans="1:22" ht="14.4" customHeight="1">
      <c r="A880" s="176">
        <v>863</v>
      </c>
      <c r="B880" s="178" t="s">
        <v>1763</v>
      </c>
      <c r="C880" s="271" t="s">
        <v>1775</v>
      </c>
      <c r="D880" s="177">
        <v>46190</v>
      </c>
      <c r="E880" s="178" t="s">
        <v>1767</v>
      </c>
      <c r="F880" s="271" t="s">
        <v>1766</v>
      </c>
      <c r="G880" s="178" t="s">
        <v>1371</v>
      </c>
      <c r="H880" s="366">
        <v>4470592</v>
      </c>
      <c r="I880" s="176">
        <v>8</v>
      </c>
      <c r="J880" s="366">
        <v>357647</v>
      </c>
      <c r="K880" s="178" t="s">
        <v>261</v>
      </c>
      <c r="L880" s="178" t="s">
        <v>252</v>
      </c>
      <c r="M880" s="271" t="s">
        <v>1302</v>
      </c>
      <c r="N880" s="177">
        <v>46225</v>
      </c>
      <c r="O880" s="177">
        <v>46225</v>
      </c>
      <c r="P880" s="366">
        <v>4828239</v>
      </c>
      <c r="Q880" s="176" t="s">
        <v>1303</v>
      </c>
      <c r="R880" s="176" t="s">
        <v>434</v>
      </c>
      <c r="S880" s="178" t="s">
        <v>253</v>
      </c>
      <c r="T880" s="57" t="str">
        <f t="shared" si="42"/>
        <v>Đ</v>
      </c>
      <c r="U880" s="59">
        <f t="shared" si="43"/>
        <v>0</v>
      </c>
      <c r="V880" s="55">
        <f t="shared" si="44"/>
        <v>13311</v>
      </c>
    </row>
    <row r="881" spans="1:22" ht="14.5" customHeight="1">
      <c r="A881" s="176">
        <v>864</v>
      </c>
      <c r="B881" s="178" t="s">
        <v>1776</v>
      </c>
      <c r="C881" s="271" t="s">
        <v>1777</v>
      </c>
      <c r="D881" s="177">
        <v>46191</v>
      </c>
      <c r="E881" s="178" t="s">
        <v>1778</v>
      </c>
      <c r="F881" s="271" t="s">
        <v>1779</v>
      </c>
      <c r="G881" s="178" t="s">
        <v>1371</v>
      </c>
      <c r="H881" s="366">
        <v>3936350</v>
      </c>
      <c r="I881" s="176">
        <v>8</v>
      </c>
      <c r="J881" s="366">
        <v>314908</v>
      </c>
      <c r="K881" s="178" t="s">
        <v>261</v>
      </c>
      <c r="L881" s="178" t="s">
        <v>252</v>
      </c>
      <c r="M881" s="271" t="s">
        <v>1302</v>
      </c>
      <c r="N881" s="177">
        <v>46225</v>
      </c>
      <c r="O881" s="177">
        <v>46225</v>
      </c>
      <c r="P881" s="366">
        <v>4251258</v>
      </c>
      <c r="Q881" s="176" t="s">
        <v>1303</v>
      </c>
      <c r="R881" s="176" t="s">
        <v>434</v>
      </c>
      <c r="S881" s="178" t="s">
        <v>253</v>
      </c>
      <c r="T881" s="57" t="str">
        <f t="shared" si="42"/>
        <v>Đ</v>
      </c>
      <c r="U881" s="59">
        <f t="shared" si="43"/>
        <v>0</v>
      </c>
      <c r="V881" s="55">
        <f t="shared" si="44"/>
        <v>13311</v>
      </c>
    </row>
    <row r="882" spans="1:22" ht="14.5" customHeight="1">
      <c r="A882" s="176">
        <v>865</v>
      </c>
      <c r="B882" s="178" t="s">
        <v>1745</v>
      </c>
      <c r="C882" s="271" t="s">
        <v>1429</v>
      </c>
      <c r="D882" s="177">
        <v>46191</v>
      </c>
      <c r="E882" s="178" t="s">
        <v>1746</v>
      </c>
      <c r="F882" s="271" t="s">
        <v>1747</v>
      </c>
      <c r="G882" s="178" t="s">
        <v>1371</v>
      </c>
      <c r="H882" s="366">
        <v>2309185</v>
      </c>
      <c r="I882" s="176">
        <v>8</v>
      </c>
      <c r="J882" s="366">
        <v>184735</v>
      </c>
      <c r="K882" s="178" t="s">
        <v>261</v>
      </c>
      <c r="L882" s="178" t="s">
        <v>252</v>
      </c>
      <c r="M882" s="271" t="s">
        <v>1302</v>
      </c>
      <c r="N882" s="177">
        <v>46225</v>
      </c>
      <c r="O882" s="177">
        <v>46225</v>
      </c>
      <c r="P882" s="366">
        <v>2493920</v>
      </c>
      <c r="Q882" s="176" t="s">
        <v>1303</v>
      </c>
      <c r="R882" s="176" t="s">
        <v>434</v>
      </c>
      <c r="S882" s="178" t="s">
        <v>253</v>
      </c>
      <c r="T882" s="57" t="str">
        <f t="shared" si="42"/>
        <v>Đ</v>
      </c>
      <c r="U882" s="59">
        <f t="shared" si="43"/>
        <v>0</v>
      </c>
      <c r="V882" s="55">
        <f t="shared" si="44"/>
        <v>13311</v>
      </c>
    </row>
    <row r="883" spans="1:22" ht="14.4" customHeight="1">
      <c r="A883" s="176">
        <v>866</v>
      </c>
      <c r="B883" s="178" t="s">
        <v>1267</v>
      </c>
      <c r="C883" s="271" t="s">
        <v>1295</v>
      </c>
      <c r="D883" s="177">
        <v>46192</v>
      </c>
      <c r="E883" s="178" t="s">
        <v>1410</v>
      </c>
      <c r="F883" s="271" t="s">
        <v>1411</v>
      </c>
      <c r="G883" s="178" t="s">
        <v>1371</v>
      </c>
      <c r="H883" s="366">
        <v>256007136</v>
      </c>
      <c r="I883" s="176">
        <v>8</v>
      </c>
      <c r="J883" s="366">
        <v>20480571</v>
      </c>
      <c r="K883" s="178" t="s">
        <v>261</v>
      </c>
      <c r="L883" s="178" t="s">
        <v>252</v>
      </c>
      <c r="M883" s="271" t="s">
        <v>1302</v>
      </c>
      <c r="N883" s="177">
        <v>46225</v>
      </c>
      <c r="O883" s="177">
        <v>46225</v>
      </c>
      <c r="P883" s="366">
        <v>276487707</v>
      </c>
      <c r="Q883" s="176" t="s">
        <v>1303</v>
      </c>
      <c r="R883" s="176" t="s">
        <v>434</v>
      </c>
      <c r="S883" s="178" t="s">
        <v>253</v>
      </c>
      <c r="T883" s="57" t="str">
        <f t="shared" si="42"/>
        <v>Đ</v>
      </c>
      <c r="U883" s="59">
        <f t="shared" si="43"/>
        <v>0</v>
      </c>
      <c r="V883" s="55">
        <f t="shared" si="44"/>
        <v>13311</v>
      </c>
    </row>
    <row r="884" spans="1:22" ht="21.5" customHeight="1">
      <c r="A884" s="176">
        <v>867</v>
      </c>
      <c r="B884" s="178" t="s">
        <v>1780</v>
      </c>
      <c r="C884" s="271" t="s">
        <v>1781</v>
      </c>
      <c r="D884" s="177">
        <v>46204</v>
      </c>
      <c r="E884" s="178" t="s">
        <v>1782</v>
      </c>
      <c r="F884" s="271" t="s">
        <v>1783</v>
      </c>
      <c r="G884" s="178" t="s">
        <v>730</v>
      </c>
      <c r="H884" s="366">
        <v>4629630</v>
      </c>
      <c r="I884" s="176">
        <v>8</v>
      </c>
      <c r="J884" s="366">
        <v>370370</v>
      </c>
      <c r="K884" s="178" t="s">
        <v>261</v>
      </c>
      <c r="L884" s="178" t="s">
        <v>252</v>
      </c>
      <c r="M884" s="271" t="s">
        <v>1784</v>
      </c>
      <c r="N884" s="177">
        <v>46234</v>
      </c>
      <c r="O884" s="177">
        <v>46234</v>
      </c>
      <c r="P884" s="366">
        <v>5000000</v>
      </c>
      <c r="Q884" s="176" t="s">
        <v>248</v>
      </c>
      <c r="R884" s="176" t="s">
        <v>434</v>
      </c>
      <c r="S884" s="178" t="s">
        <v>253</v>
      </c>
      <c r="T884" s="57" t="str">
        <f t="shared" si="42"/>
        <v>Đ</v>
      </c>
      <c r="U884" s="59">
        <f t="shared" si="43"/>
        <v>0</v>
      </c>
      <c r="V884" s="55">
        <f t="shared" si="44"/>
        <v>13311</v>
      </c>
    </row>
    <row r="885" spans="1:22" ht="21.5" customHeight="1">
      <c r="A885" s="176">
        <v>868</v>
      </c>
      <c r="B885" s="178" t="s">
        <v>1785</v>
      </c>
      <c r="C885" s="271" t="s">
        <v>1786</v>
      </c>
      <c r="D885" s="177">
        <v>46204</v>
      </c>
      <c r="E885" s="178" t="s">
        <v>1787</v>
      </c>
      <c r="F885" s="271" t="s">
        <v>1788</v>
      </c>
      <c r="G885" s="178" t="s">
        <v>1789</v>
      </c>
      <c r="H885" s="366">
        <v>731481</v>
      </c>
      <c r="I885" s="176">
        <v>8</v>
      </c>
      <c r="J885" s="366">
        <v>58519</v>
      </c>
      <c r="K885" s="178" t="s">
        <v>261</v>
      </c>
      <c r="L885" s="178" t="s">
        <v>252</v>
      </c>
      <c r="M885" s="271" t="s">
        <v>1784</v>
      </c>
      <c r="N885" s="177">
        <v>46234</v>
      </c>
      <c r="O885" s="177">
        <v>46234</v>
      </c>
      <c r="P885" s="366">
        <v>790000</v>
      </c>
      <c r="Q885" s="176" t="s">
        <v>248</v>
      </c>
      <c r="R885" s="176" t="s">
        <v>434</v>
      </c>
      <c r="S885" s="178" t="s">
        <v>253</v>
      </c>
      <c r="T885" s="57" t="str">
        <f t="shared" si="42"/>
        <v>Đ</v>
      </c>
      <c r="U885" s="59">
        <f t="shared" si="43"/>
        <v>-1</v>
      </c>
      <c r="V885" s="55">
        <f t="shared" si="44"/>
        <v>13311</v>
      </c>
    </row>
    <row r="886" spans="1:22" ht="14.4" customHeight="1">
      <c r="A886" s="176">
        <v>869</v>
      </c>
      <c r="B886" s="178" t="s">
        <v>1785</v>
      </c>
      <c r="C886" s="271" t="s">
        <v>1790</v>
      </c>
      <c r="D886" s="177">
        <v>46204</v>
      </c>
      <c r="E886" s="178" t="s">
        <v>1787</v>
      </c>
      <c r="F886" s="271" t="s">
        <v>1788</v>
      </c>
      <c r="G886" s="178" t="s">
        <v>1789</v>
      </c>
      <c r="H886" s="366">
        <v>879630</v>
      </c>
      <c r="I886" s="176">
        <v>8</v>
      </c>
      <c r="J886" s="366">
        <v>70370</v>
      </c>
      <c r="K886" s="178" t="s">
        <v>261</v>
      </c>
      <c r="L886" s="178" t="s">
        <v>252</v>
      </c>
      <c r="M886" s="271" t="s">
        <v>1784</v>
      </c>
      <c r="N886" s="177">
        <v>46234</v>
      </c>
      <c r="O886" s="177">
        <v>46234</v>
      </c>
      <c r="P886" s="366">
        <v>950000</v>
      </c>
      <c r="Q886" s="176" t="s">
        <v>248</v>
      </c>
      <c r="R886" s="176" t="s">
        <v>434</v>
      </c>
      <c r="S886" s="178" t="s">
        <v>253</v>
      </c>
      <c r="T886" s="57" t="str">
        <f t="shared" si="42"/>
        <v>Đ</v>
      </c>
      <c r="U886" s="59">
        <f t="shared" si="43"/>
        <v>0</v>
      </c>
      <c r="V886" s="55">
        <f t="shared" si="44"/>
        <v>13311</v>
      </c>
    </row>
    <row r="887" spans="1:22" ht="14.5" customHeight="1">
      <c r="A887" s="176">
        <v>870</v>
      </c>
      <c r="B887" s="178" t="s">
        <v>1791</v>
      </c>
      <c r="C887" s="271" t="s">
        <v>1717</v>
      </c>
      <c r="D887" s="177">
        <v>46175</v>
      </c>
      <c r="E887" s="178" t="s">
        <v>1792</v>
      </c>
      <c r="F887" s="271" t="s">
        <v>1793</v>
      </c>
      <c r="G887" s="178" t="s">
        <v>1794</v>
      </c>
      <c r="H887" s="366">
        <v>450000</v>
      </c>
      <c r="I887" s="176">
        <v>10</v>
      </c>
      <c r="J887" s="366">
        <v>45000</v>
      </c>
      <c r="K887" s="178" t="s">
        <v>261</v>
      </c>
      <c r="L887" s="178" t="s">
        <v>252</v>
      </c>
      <c r="M887" s="271" t="s">
        <v>1784</v>
      </c>
      <c r="N887" s="177">
        <v>46234</v>
      </c>
      <c r="O887" s="177">
        <v>46234</v>
      </c>
      <c r="P887" s="366">
        <v>495000</v>
      </c>
      <c r="Q887" s="176" t="s">
        <v>248</v>
      </c>
      <c r="R887" s="176" t="s">
        <v>434</v>
      </c>
      <c r="S887" s="178" t="s">
        <v>253</v>
      </c>
      <c r="T887" s="57" t="str">
        <f t="shared" si="42"/>
        <v>Đ</v>
      </c>
      <c r="U887" s="59">
        <f t="shared" si="43"/>
        <v>0</v>
      </c>
      <c r="V887" s="55">
        <f t="shared" si="44"/>
        <v>13311</v>
      </c>
    </row>
    <row r="888" spans="1:22" ht="14.5" customHeight="1">
      <c r="A888" s="176">
        <v>871</v>
      </c>
      <c r="B888" s="178" t="s">
        <v>1791</v>
      </c>
      <c r="C888" s="271" t="s">
        <v>1717</v>
      </c>
      <c r="D888" s="177">
        <v>46175</v>
      </c>
      <c r="E888" s="178" t="s">
        <v>1792</v>
      </c>
      <c r="F888" s="271" t="s">
        <v>1793</v>
      </c>
      <c r="G888" s="178" t="s">
        <v>1794</v>
      </c>
      <c r="H888" s="366">
        <v>4156000</v>
      </c>
      <c r="I888" s="176">
        <v>8</v>
      </c>
      <c r="J888" s="366">
        <v>332480</v>
      </c>
      <c r="K888" s="178" t="s">
        <v>261</v>
      </c>
      <c r="L888" s="178" t="s">
        <v>252</v>
      </c>
      <c r="M888" s="271" t="s">
        <v>1784</v>
      </c>
      <c r="N888" s="177">
        <v>46234</v>
      </c>
      <c r="O888" s="177">
        <v>46234</v>
      </c>
      <c r="P888" s="366">
        <v>4488480</v>
      </c>
      <c r="Q888" s="176" t="s">
        <v>248</v>
      </c>
      <c r="R888" s="176" t="s">
        <v>434</v>
      </c>
      <c r="S888" s="178" t="s">
        <v>253</v>
      </c>
      <c r="T888" s="57" t="str">
        <f t="shared" si="42"/>
        <v>Đ</v>
      </c>
      <c r="U888" s="59">
        <f t="shared" si="43"/>
        <v>0</v>
      </c>
      <c r="V888" s="55">
        <f t="shared" si="44"/>
        <v>13311</v>
      </c>
    </row>
    <row r="889" spans="1:22" ht="14.4" customHeight="1">
      <c r="A889" s="176">
        <v>872</v>
      </c>
      <c r="B889" s="178" t="s">
        <v>1795</v>
      </c>
      <c r="C889" s="271" t="s">
        <v>1387</v>
      </c>
      <c r="D889" s="177">
        <v>46205</v>
      </c>
      <c r="E889" s="178" t="s">
        <v>1796</v>
      </c>
      <c r="F889" s="271" t="s">
        <v>1797</v>
      </c>
      <c r="G889" s="178" t="s">
        <v>753</v>
      </c>
      <c r="H889" s="366">
        <v>9000000</v>
      </c>
      <c r="I889" s="176">
        <v>8</v>
      </c>
      <c r="J889" s="366">
        <v>720000</v>
      </c>
      <c r="K889" s="178" t="s">
        <v>261</v>
      </c>
      <c r="L889" s="178" t="s">
        <v>252</v>
      </c>
      <c r="M889" s="271" t="s">
        <v>1784</v>
      </c>
      <c r="N889" s="177">
        <v>46234</v>
      </c>
      <c r="O889" s="177">
        <v>46234</v>
      </c>
      <c r="P889" s="366">
        <v>9720000</v>
      </c>
      <c r="Q889" s="176" t="s">
        <v>248</v>
      </c>
      <c r="R889" s="176" t="s">
        <v>434</v>
      </c>
      <c r="S889" s="178" t="s">
        <v>253</v>
      </c>
      <c r="T889" s="57" t="str">
        <f t="shared" si="42"/>
        <v>Đ</v>
      </c>
      <c r="U889" s="59">
        <f t="shared" si="43"/>
        <v>0</v>
      </c>
      <c r="V889" s="55">
        <f t="shared" si="44"/>
        <v>13311</v>
      </c>
    </row>
    <row r="890" spans="1:22" ht="21.5" customHeight="1">
      <c r="A890" s="176">
        <v>873</v>
      </c>
      <c r="B890" s="178" t="s">
        <v>1236</v>
      </c>
      <c r="C890" s="271" t="s">
        <v>1798</v>
      </c>
      <c r="D890" s="177">
        <v>46205</v>
      </c>
      <c r="E890" s="178" t="s">
        <v>487</v>
      </c>
      <c r="F890" s="271" t="s">
        <v>488</v>
      </c>
      <c r="G890" s="178" t="s">
        <v>1799</v>
      </c>
      <c r="H890" s="366">
        <v>24360261</v>
      </c>
      <c r="I890" s="176">
        <v>8</v>
      </c>
      <c r="J890" s="366">
        <v>1948821</v>
      </c>
      <c r="K890" s="178" t="s">
        <v>261</v>
      </c>
      <c r="L890" s="178" t="s">
        <v>252</v>
      </c>
      <c r="M890" s="271" t="s">
        <v>1784</v>
      </c>
      <c r="N890" s="177">
        <v>46234</v>
      </c>
      <c r="O890" s="177">
        <v>46234</v>
      </c>
      <c r="P890" s="366">
        <v>26309082</v>
      </c>
      <c r="Q890" s="176" t="s">
        <v>248</v>
      </c>
      <c r="R890" s="176" t="s">
        <v>434</v>
      </c>
      <c r="S890" s="178" t="s">
        <v>253</v>
      </c>
      <c r="T890" s="57" t="str">
        <f t="shared" si="42"/>
        <v>Đ</v>
      </c>
      <c r="U890" s="59">
        <f t="shared" si="43"/>
        <v>0</v>
      </c>
      <c r="V890" s="55">
        <f t="shared" si="44"/>
        <v>13311</v>
      </c>
    </row>
    <row r="891" spans="1:22" ht="21.5" customHeight="1">
      <c r="A891" s="176">
        <v>874</v>
      </c>
      <c r="B891" s="178" t="s">
        <v>1236</v>
      </c>
      <c r="C891" s="271" t="s">
        <v>1800</v>
      </c>
      <c r="D891" s="177">
        <v>46205</v>
      </c>
      <c r="E891" s="178" t="s">
        <v>487</v>
      </c>
      <c r="F891" s="271" t="s">
        <v>488</v>
      </c>
      <c r="G891" s="178" t="s">
        <v>1799</v>
      </c>
      <c r="H891" s="366">
        <v>6233800</v>
      </c>
      <c r="I891" s="176">
        <v>8</v>
      </c>
      <c r="J891" s="366">
        <v>498704</v>
      </c>
      <c r="K891" s="178" t="s">
        <v>261</v>
      </c>
      <c r="L891" s="178" t="s">
        <v>252</v>
      </c>
      <c r="M891" s="271" t="s">
        <v>1784</v>
      </c>
      <c r="N891" s="177">
        <v>46234</v>
      </c>
      <c r="O891" s="177">
        <v>46234</v>
      </c>
      <c r="P891" s="366">
        <v>6732504</v>
      </c>
      <c r="Q891" s="176" t="s">
        <v>248</v>
      </c>
      <c r="R891" s="176" t="s">
        <v>434</v>
      </c>
      <c r="S891" s="178" t="s">
        <v>253</v>
      </c>
      <c r="T891" s="57" t="str">
        <f t="shared" si="42"/>
        <v>Đ</v>
      </c>
      <c r="U891" s="59">
        <f t="shared" si="43"/>
        <v>0</v>
      </c>
      <c r="V891" s="55">
        <f t="shared" si="44"/>
        <v>13311</v>
      </c>
    </row>
    <row r="892" spans="1:22" ht="14.4" customHeight="1">
      <c r="A892" s="176">
        <v>875</v>
      </c>
      <c r="B892" s="178" t="s">
        <v>1236</v>
      </c>
      <c r="C892" s="271" t="s">
        <v>1801</v>
      </c>
      <c r="D892" s="177">
        <v>46205</v>
      </c>
      <c r="E892" s="178" t="s">
        <v>487</v>
      </c>
      <c r="F892" s="271" t="s">
        <v>488</v>
      </c>
      <c r="G892" s="178" t="s">
        <v>1799</v>
      </c>
      <c r="H892" s="366">
        <v>8725920</v>
      </c>
      <c r="I892" s="176">
        <v>8</v>
      </c>
      <c r="J892" s="366">
        <v>698074</v>
      </c>
      <c r="K892" s="178" t="s">
        <v>261</v>
      </c>
      <c r="L892" s="178" t="s">
        <v>252</v>
      </c>
      <c r="M892" s="271" t="s">
        <v>1784</v>
      </c>
      <c r="N892" s="177">
        <v>46234</v>
      </c>
      <c r="O892" s="177">
        <v>46234</v>
      </c>
      <c r="P892" s="366">
        <v>9423994</v>
      </c>
      <c r="Q892" s="176" t="s">
        <v>248</v>
      </c>
      <c r="R892" s="176" t="s">
        <v>434</v>
      </c>
      <c r="S892" s="178" t="s">
        <v>253</v>
      </c>
      <c r="T892" s="57" t="str">
        <f t="shared" si="42"/>
        <v>Đ</v>
      </c>
      <c r="U892" s="59">
        <f t="shared" si="43"/>
        <v>0</v>
      </c>
      <c r="V892" s="55">
        <f t="shared" si="44"/>
        <v>13311</v>
      </c>
    </row>
    <row r="893" spans="1:22" ht="21.5" customHeight="1">
      <c r="A893" s="176">
        <v>876</v>
      </c>
      <c r="B893" s="178" t="s">
        <v>1236</v>
      </c>
      <c r="C893" s="271" t="s">
        <v>1802</v>
      </c>
      <c r="D893" s="177">
        <v>46205</v>
      </c>
      <c r="E893" s="178" t="s">
        <v>487</v>
      </c>
      <c r="F893" s="271" t="s">
        <v>488</v>
      </c>
      <c r="G893" s="178" t="s">
        <v>1799</v>
      </c>
      <c r="H893" s="366">
        <v>2072441</v>
      </c>
      <c r="I893" s="176">
        <v>8</v>
      </c>
      <c r="J893" s="366">
        <v>165795</v>
      </c>
      <c r="K893" s="178" t="s">
        <v>261</v>
      </c>
      <c r="L893" s="178" t="s">
        <v>252</v>
      </c>
      <c r="M893" s="271" t="s">
        <v>1784</v>
      </c>
      <c r="N893" s="177">
        <v>46234</v>
      </c>
      <c r="O893" s="177">
        <v>46234</v>
      </c>
      <c r="P893" s="366">
        <v>2238236</v>
      </c>
      <c r="Q893" s="176" t="s">
        <v>248</v>
      </c>
      <c r="R893" s="176" t="s">
        <v>434</v>
      </c>
      <c r="S893" s="178" t="s">
        <v>253</v>
      </c>
      <c r="T893" s="57" t="str">
        <f t="shared" si="42"/>
        <v>Đ</v>
      </c>
      <c r="U893" s="59">
        <f t="shared" si="43"/>
        <v>0</v>
      </c>
      <c r="V893" s="55">
        <f t="shared" si="44"/>
        <v>13311</v>
      </c>
    </row>
    <row r="894" spans="1:22" ht="21.5" customHeight="1">
      <c r="A894" s="176">
        <v>877</v>
      </c>
      <c r="B894" s="178" t="s">
        <v>1236</v>
      </c>
      <c r="C894" s="271" t="s">
        <v>1803</v>
      </c>
      <c r="D894" s="177">
        <v>46205</v>
      </c>
      <c r="E894" s="178" t="s">
        <v>487</v>
      </c>
      <c r="F894" s="271" t="s">
        <v>488</v>
      </c>
      <c r="G894" s="178" t="s">
        <v>1799</v>
      </c>
      <c r="H894" s="366">
        <v>10022558</v>
      </c>
      <c r="I894" s="176">
        <v>8</v>
      </c>
      <c r="J894" s="366">
        <v>801805</v>
      </c>
      <c r="K894" s="178" t="s">
        <v>261</v>
      </c>
      <c r="L894" s="178" t="s">
        <v>252</v>
      </c>
      <c r="M894" s="271" t="s">
        <v>1784</v>
      </c>
      <c r="N894" s="177">
        <v>46234</v>
      </c>
      <c r="O894" s="177">
        <v>46234</v>
      </c>
      <c r="P894" s="366">
        <v>10824363</v>
      </c>
      <c r="Q894" s="176" t="s">
        <v>248</v>
      </c>
      <c r="R894" s="176" t="s">
        <v>434</v>
      </c>
      <c r="S894" s="178" t="s">
        <v>253</v>
      </c>
      <c r="T894" s="57" t="str">
        <f t="shared" si="42"/>
        <v>Đ</v>
      </c>
      <c r="U894" s="59">
        <f t="shared" si="43"/>
        <v>0</v>
      </c>
      <c r="V894" s="55">
        <f t="shared" si="44"/>
        <v>13311</v>
      </c>
    </row>
    <row r="895" spans="1:22" ht="21.5" customHeight="1">
      <c r="A895" s="176">
        <v>878</v>
      </c>
      <c r="B895" s="178" t="s">
        <v>1236</v>
      </c>
      <c r="C895" s="271" t="s">
        <v>1804</v>
      </c>
      <c r="D895" s="177">
        <v>46205</v>
      </c>
      <c r="E895" s="178" t="s">
        <v>487</v>
      </c>
      <c r="F895" s="271" t="s">
        <v>488</v>
      </c>
      <c r="G895" s="178" t="s">
        <v>1799</v>
      </c>
      <c r="H895" s="366">
        <v>52133780</v>
      </c>
      <c r="I895" s="176">
        <v>8</v>
      </c>
      <c r="J895" s="366">
        <v>4170702</v>
      </c>
      <c r="K895" s="178" t="s">
        <v>261</v>
      </c>
      <c r="L895" s="178" t="s">
        <v>252</v>
      </c>
      <c r="M895" s="271" t="s">
        <v>1784</v>
      </c>
      <c r="N895" s="177">
        <v>46234</v>
      </c>
      <c r="O895" s="177">
        <v>46234</v>
      </c>
      <c r="P895" s="366">
        <v>56304482</v>
      </c>
      <c r="Q895" s="176" t="s">
        <v>248</v>
      </c>
      <c r="R895" s="176" t="s">
        <v>434</v>
      </c>
      <c r="S895" s="178" t="s">
        <v>253</v>
      </c>
      <c r="T895" s="57" t="str">
        <f t="shared" si="42"/>
        <v>Đ</v>
      </c>
      <c r="U895" s="59">
        <f t="shared" si="43"/>
        <v>0</v>
      </c>
      <c r="V895" s="55">
        <f t="shared" si="44"/>
        <v>13311</v>
      </c>
    </row>
    <row r="896" spans="1:22" ht="21.5" customHeight="1">
      <c r="A896" s="176">
        <v>879</v>
      </c>
      <c r="B896" s="178" t="s">
        <v>1236</v>
      </c>
      <c r="C896" s="271" t="s">
        <v>1805</v>
      </c>
      <c r="D896" s="177">
        <v>46205</v>
      </c>
      <c r="E896" s="178" t="s">
        <v>487</v>
      </c>
      <c r="F896" s="271" t="s">
        <v>488</v>
      </c>
      <c r="G896" s="178" t="s">
        <v>1799</v>
      </c>
      <c r="H896" s="366">
        <v>6924088</v>
      </c>
      <c r="I896" s="176">
        <v>8</v>
      </c>
      <c r="J896" s="366">
        <v>553927</v>
      </c>
      <c r="K896" s="178" t="s">
        <v>261</v>
      </c>
      <c r="L896" s="178" t="s">
        <v>252</v>
      </c>
      <c r="M896" s="271" t="s">
        <v>1784</v>
      </c>
      <c r="N896" s="177">
        <v>46234</v>
      </c>
      <c r="O896" s="177">
        <v>46234</v>
      </c>
      <c r="P896" s="366">
        <v>7478015</v>
      </c>
      <c r="Q896" s="176" t="s">
        <v>248</v>
      </c>
      <c r="R896" s="176" t="s">
        <v>434</v>
      </c>
      <c r="S896" s="178" t="s">
        <v>253</v>
      </c>
      <c r="T896" s="57" t="str">
        <f t="shared" si="42"/>
        <v>Đ</v>
      </c>
      <c r="U896" s="59">
        <f t="shared" si="43"/>
        <v>0</v>
      </c>
      <c r="V896" s="55">
        <f t="shared" si="44"/>
        <v>13311</v>
      </c>
    </row>
    <row r="897" spans="1:22" ht="21.5" customHeight="1">
      <c r="A897" s="176">
        <v>880</v>
      </c>
      <c r="B897" s="178" t="s">
        <v>1236</v>
      </c>
      <c r="C897" s="271" t="s">
        <v>1806</v>
      </c>
      <c r="D897" s="177">
        <v>46205</v>
      </c>
      <c r="E897" s="178" t="s">
        <v>487</v>
      </c>
      <c r="F897" s="271" t="s">
        <v>488</v>
      </c>
      <c r="G897" s="178" t="s">
        <v>1799</v>
      </c>
      <c r="H897" s="366">
        <v>3746226</v>
      </c>
      <c r="I897" s="176">
        <v>8</v>
      </c>
      <c r="J897" s="366">
        <v>299698</v>
      </c>
      <c r="K897" s="178" t="s">
        <v>261</v>
      </c>
      <c r="L897" s="178" t="s">
        <v>252</v>
      </c>
      <c r="M897" s="271" t="s">
        <v>1784</v>
      </c>
      <c r="N897" s="177">
        <v>46234</v>
      </c>
      <c r="O897" s="177">
        <v>46234</v>
      </c>
      <c r="P897" s="366">
        <v>4045924</v>
      </c>
      <c r="Q897" s="176" t="s">
        <v>248</v>
      </c>
      <c r="R897" s="176" t="s">
        <v>434</v>
      </c>
      <c r="S897" s="178" t="s">
        <v>253</v>
      </c>
      <c r="T897" s="57" t="str">
        <f t="shared" si="42"/>
        <v>Đ</v>
      </c>
      <c r="U897" s="59">
        <f t="shared" si="43"/>
        <v>0</v>
      </c>
      <c r="V897" s="55">
        <f t="shared" si="44"/>
        <v>13311</v>
      </c>
    </row>
    <row r="898" spans="1:22" ht="21.5" customHeight="1">
      <c r="A898" s="176">
        <v>881</v>
      </c>
      <c r="B898" s="178" t="s">
        <v>1236</v>
      </c>
      <c r="C898" s="271" t="s">
        <v>1807</v>
      </c>
      <c r="D898" s="177">
        <v>46205</v>
      </c>
      <c r="E898" s="178" t="s">
        <v>487</v>
      </c>
      <c r="F898" s="271" t="s">
        <v>488</v>
      </c>
      <c r="G898" s="178" t="s">
        <v>1799</v>
      </c>
      <c r="H898" s="366">
        <v>11912044</v>
      </c>
      <c r="I898" s="176">
        <v>8</v>
      </c>
      <c r="J898" s="366">
        <v>952964</v>
      </c>
      <c r="K898" s="178" t="s">
        <v>261</v>
      </c>
      <c r="L898" s="178" t="s">
        <v>252</v>
      </c>
      <c r="M898" s="271" t="s">
        <v>1784</v>
      </c>
      <c r="N898" s="177">
        <v>46234</v>
      </c>
      <c r="O898" s="177">
        <v>46234</v>
      </c>
      <c r="P898" s="366">
        <v>12865008</v>
      </c>
      <c r="Q898" s="176" t="s">
        <v>248</v>
      </c>
      <c r="R898" s="176" t="s">
        <v>434</v>
      </c>
      <c r="S898" s="178" t="s">
        <v>253</v>
      </c>
      <c r="T898" s="57" t="str">
        <f t="shared" si="42"/>
        <v>Đ</v>
      </c>
      <c r="U898" s="59">
        <f t="shared" si="43"/>
        <v>0</v>
      </c>
      <c r="V898" s="55">
        <f t="shared" si="44"/>
        <v>13311</v>
      </c>
    </row>
    <row r="899" spans="1:22" ht="21.5" customHeight="1">
      <c r="A899" s="176">
        <v>882</v>
      </c>
      <c r="B899" s="178" t="s">
        <v>1808</v>
      </c>
      <c r="C899" s="271" t="s">
        <v>1809</v>
      </c>
      <c r="D899" s="177">
        <v>46205</v>
      </c>
      <c r="E899" s="178" t="s">
        <v>813</v>
      </c>
      <c r="F899" s="271" t="s">
        <v>814</v>
      </c>
      <c r="G899" s="178" t="s">
        <v>1810</v>
      </c>
      <c r="H899" s="366">
        <v>27273</v>
      </c>
      <c r="I899" s="176">
        <v>10</v>
      </c>
      <c r="J899" s="366">
        <v>2727</v>
      </c>
      <c r="K899" s="178" t="s">
        <v>261</v>
      </c>
      <c r="L899" s="178" t="s">
        <v>252</v>
      </c>
      <c r="M899" s="271" t="s">
        <v>1784</v>
      </c>
      <c r="N899" s="177">
        <v>46234</v>
      </c>
      <c r="O899" s="177">
        <v>46234</v>
      </c>
      <c r="P899" s="366">
        <v>30000</v>
      </c>
      <c r="Q899" s="176" t="s">
        <v>248</v>
      </c>
      <c r="R899" s="176" t="s">
        <v>434</v>
      </c>
      <c r="S899" s="178" t="s">
        <v>253</v>
      </c>
      <c r="T899" s="57" t="str">
        <f t="shared" si="42"/>
        <v>Đ</v>
      </c>
      <c r="U899" s="59">
        <f t="shared" si="43"/>
        <v>0</v>
      </c>
      <c r="V899" s="55">
        <f t="shared" si="44"/>
        <v>13311</v>
      </c>
    </row>
    <row r="900" spans="1:22" ht="15.65" customHeight="1">
      <c r="A900" s="176">
        <v>883</v>
      </c>
      <c r="B900" s="178" t="s">
        <v>1808</v>
      </c>
      <c r="C900" s="271" t="s">
        <v>1811</v>
      </c>
      <c r="D900" s="177">
        <v>46205</v>
      </c>
      <c r="E900" s="178" t="s">
        <v>813</v>
      </c>
      <c r="F900" s="271" t="s">
        <v>814</v>
      </c>
      <c r="G900" s="178" t="s">
        <v>1810</v>
      </c>
      <c r="H900" s="366">
        <v>27273</v>
      </c>
      <c r="I900" s="176">
        <v>10</v>
      </c>
      <c r="J900" s="366">
        <v>2727</v>
      </c>
      <c r="K900" s="178" t="s">
        <v>261</v>
      </c>
      <c r="L900" s="178" t="s">
        <v>252</v>
      </c>
      <c r="M900" s="271" t="s">
        <v>1784</v>
      </c>
      <c r="N900" s="177">
        <v>46234</v>
      </c>
      <c r="O900" s="177">
        <v>46234</v>
      </c>
      <c r="P900" s="366">
        <v>30000</v>
      </c>
      <c r="Q900" s="176" t="s">
        <v>248</v>
      </c>
      <c r="R900" s="176" t="s">
        <v>434</v>
      </c>
      <c r="S900" s="178" t="s">
        <v>253</v>
      </c>
      <c r="T900" s="57" t="str">
        <f t="shared" si="42"/>
        <v>Đ</v>
      </c>
      <c r="U900" s="59">
        <f t="shared" si="43"/>
        <v>0</v>
      </c>
      <c r="V900" s="55">
        <f t="shared" si="44"/>
        <v>13311</v>
      </c>
    </row>
    <row r="901" spans="1:22" ht="15.65" customHeight="1">
      <c r="A901" s="176">
        <v>884</v>
      </c>
      <c r="B901" s="178" t="s">
        <v>1808</v>
      </c>
      <c r="C901" s="271" t="s">
        <v>1812</v>
      </c>
      <c r="D901" s="177">
        <v>46205</v>
      </c>
      <c r="E901" s="178" t="s">
        <v>813</v>
      </c>
      <c r="F901" s="271" t="s">
        <v>814</v>
      </c>
      <c r="G901" s="178" t="s">
        <v>1810</v>
      </c>
      <c r="H901" s="366">
        <v>20000</v>
      </c>
      <c r="I901" s="176">
        <v>10</v>
      </c>
      <c r="J901" s="366">
        <v>2000</v>
      </c>
      <c r="K901" s="178" t="s">
        <v>261</v>
      </c>
      <c r="L901" s="178" t="s">
        <v>252</v>
      </c>
      <c r="M901" s="271" t="s">
        <v>1784</v>
      </c>
      <c r="N901" s="177">
        <v>46234</v>
      </c>
      <c r="O901" s="177">
        <v>46234</v>
      </c>
      <c r="P901" s="366">
        <v>22000</v>
      </c>
      <c r="Q901" s="176" t="s">
        <v>248</v>
      </c>
      <c r="R901" s="176" t="s">
        <v>434</v>
      </c>
      <c r="S901" s="178" t="s">
        <v>253</v>
      </c>
      <c r="T901" s="57" t="str">
        <f t="shared" si="42"/>
        <v>Đ</v>
      </c>
      <c r="U901" s="59">
        <f t="shared" si="43"/>
        <v>0</v>
      </c>
      <c r="V901" s="55">
        <f t="shared" si="44"/>
        <v>13311</v>
      </c>
    </row>
    <row r="902" spans="1:22" ht="15.65" customHeight="1">
      <c r="A902" s="176">
        <v>885</v>
      </c>
      <c r="B902" s="178" t="s">
        <v>1808</v>
      </c>
      <c r="C902" s="271" t="s">
        <v>1813</v>
      </c>
      <c r="D902" s="177">
        <v>46205</v>
      </c>
      <c r="E902" s="178" t="s">
        <v>813</v>
      </c>
      <c r="F902" s="271" t="s">
        <v>814</v>
      </c>
      <c r="G902" s="178" t="s">
        <v>1810</v>
      </c>
      <c r="H902" s="366">
        <v>27273</v>
      </c>
      <c r="I902" s="176">
        <v>10</v>
      </c>
      <c r="J902" s="366">
        <v>2727</v>
      </c>
      <c r="K902" s="178" t="s">
        <v>261</v>
      </c>
      <c r="L902" s="178" t="s">
        <v>252</v>
      </c>
      <c r="M902" s="271" t="s">
        <v>1784</v>
      </c>
      <c r="N902" s="177">
        <v>46234</v>
      </c>
      <c r="O902" s="177">
        <v>46234</v>
      </c>
      <c r="P902" s="366">
        <v>30000</v>
      </c>
      <c r="Q902" s="176" t="s">
        <v>248</v>
      </c>
      <c r="R902" s="176" t="s">
        <v>434</v>
      </c>
      <c r="S902" s="178" t="s">
        <v>253</v>
      </c>
      <c r="T902" s="57" t="str">
        <f t="shared" si="42"/>
        <v>Đ</v>
      </c>
      <c r="U902" s="59">
        <f t="shared" si="43"/>
        <v>0</v>
      </c>
      <c r="V902" s="55">
        <f t="shared" si="44"/>
        <v>13311</v>
      </c>
    </row>
    <row r="903" spans="1:22" ht="15.65" customHeight="1">
      <c r="A903" s="176">
        <v>886</v>
      </c>
      <c r="B903" s="178" t="s">
        <v>1808</v>
      </c>
      <c r="C903" s="271" t="s">
        <v>1814</v>
      </c>
      <c r="D903" s="177">
        <v>46205</v>
      </c>
      <c r="E903" s="178" t="s">
        <v>813</v>
      </c>
      <c r="F903" s="271" t="s">
        <v>814</v>
      </c>
      <c r="G903" s="178" t="s">
        <v>1810</v>
      </c>
      <c r="H903" s="366">
        <v>28297</v>
      </c>
      <c r="I903" s="176">
        <v>10</v>
      </c>
      <c r="J903" s="366">
        <v>2830</v>
      </c>
      <c r="K903" s="178" t="s">
        <v>261</v>
      </c>
      <c r="L903" s="178" t="s">
        <v>252</v>
      </c>
      <c r="M903" s="271" t="s">
        <v>1784</v>
      </c>
      <c r="N903" s="177">
        <v>46234</v>
      </c>
      <c r="O903" s="177">
        <v>46234</v>
      </c>
      <c r="P903" s="366">
        <v>31127</v>
      </c>
      <c r="Q903" s="176" t="s">
        <v>248</v>
      </c>
      <c r="R903" s="176" t="s">
        <v>434</v>
      </c>
      <c r="S903" s="178" t="s">
        <v>253</v>
      </c>
      <c r="T903" s="57" t="str">
        <f t="shared" si="42"/>
        <v>Đ</v>
      </c>
      <c r="U903" s="59">
        <f t="shared" si="43"/>
        <v>0</v>
      </c>
      <c r="V903" s="55">
        <f t="shared" si="44"/>
        <v>13311</v>
      </c>
    </row>
    <row r="904" spans="1:22" ht="21.5" customHeight="1">
      <c r="A904" s="176">
        <v>887</v>
      </c>
      <c r="B904" s="178" t="s">
        <v>1808</v>
      </c>
      <c r="C904" s="271" t="s">
        <v>1815</v>
      </c>
      <c r="D904" s="177">
        <v>46205</v>
      </c>
      <c r="E904" s="178" t="s">
        <v>813</v>
      </c>
      <c r="F904" s="271" t="s">
        <v>814</v>
      </c>
      <c r="G904" s="178" t="s">
        <v>1810</v>
      </c>
      <c r="H904" s="366">
        <v>27273</v>
      </c>
      <c r="I904" s="176">
        <v>10</v>
      </c>
      <c r="J904" s="366">
        <v>2727</v>
      </c>
      <c r="K904" s="178" t="s">
        <v>261</v>
      </c>
      <c r="L904" s="178" t="s">
        <v>252</v>
      </c>
      <c r="M904" s="271" t="s">
        <v>1784</v>
      </c>
      <c r="N904" s="177">
        <v>46234</v>
      </c>
      <c r="O904" s="177">
        <v>46234</v>
      </c>
      <c r="P904" s="366">
        <v>30000</v>
      </c>
      <c r="Q904" s="176" t="s">
        <v>248</v>
      </c>
      <c r="R904" s="176" t="s">
        <v>434</v>
      </c>
      <c r="S904" s="178" t="s">
        <v>253</v>
      </c>
      <c r="T904" s="57" t="str">
        <f t="shared" si="42"/>
        <v>Đ</v>
      </c>
      <c r="U904" s="59">
        <f t="shared" si="43"/>
        <v>0</v>
      </c>
      <c r="V904" s="55">
        <f t="shared" si="44"/>
        <v>13311</v>
      </c>
    </row>
    <row r="905" spans="1:22" ht="21.5" customHeight="1">
      <c r="A905" s="176">
        <v>888</v>
      </c>
      <c r="B905" s="178" t="s">
        <v>1808</v>
      </c>
      <c r="C905" s="271" t="s">
        <v>1816</v>
      </c>
      <c r="D905" s="177">
        <v>46205</v>
      </c>
      <c r="E905" s="178" t="s">
        <v>813</v>
      </c>
      <c r="F905" s="271" t="s">
        <v>814</v>
      </c>
      <c r="G905" s="178" t="s">
        <v>1810</v>
      </c>
      <c r="H905" s="366">
        <v>27273</v>
      </c>
      <c r="I905" s="176">
        <v>10</v>
      </c>
      <c r="J905" s="366">
        <v>2727</v>
      </c>
      <c r="K905" s="178" t="s">
        <v>261</v>
      </c>
      <c r="L905" s="178" t="s">
        <v>252</v>
      </c>
      <c r="M905" s="271" t="s">
        <v>1784</v>
      </c>
      <c r="N905" s="177">
        <v>46234</v>
      </c>
      <c r="O905" s="177">
        <v>46234</v>
      </c>
      <c r="P905" s="366">
        <v>30000</v>
      </c>
      <c r="Q905" s="176" t="s">
        <v>248</v>
      </c>
      <c r="R905" s="176" t="s">
        <v>434</v>
      </c>
      <c r="S905" s="178" t="s">
        <v>253</v>
      </c>
      <c r="T905" s="57" t="str">
        <f t="shared" si="42"/>
        <v>Đ</v>
      </c>
      <c r="U905" s="59">
        <f t="shared" si="43"/>
        <v>0</v>
      </c>
      <c r="V905" s="55">
        <f t="shared" si="44"/>
        <v>13311</v>
      </c>
    </row>
    <row r="906" spans="1:22" ht="21.5" customHeight="1">
      <c r="A906" s="176">
        <v>889</v>
      </c>
      <c r="B906" s="178" t="s">
        <v>1808</v>
      </c>
      <c r="C906" s="271" t="s">
        <v>1817</v>
      </c>
      <c r="D906" s="177">
        <v>46205</v>
      </c>
      <c r="E906" s="178" t="s">
        <v>813</v>
      </c>
      <c r="F906" s="271" t="s">
        <v>814</v>
      </c>
      <c r="G906" s="178" t="s">
        <v>1810</v>
      </c>
      <c r="H906" s="366">
        <v>325900</v>
      </c>
      <c r="I906" s="176">
        <v>10</v>
      </c>
      <c r="J906" s="366">
        <v>32590</v>
      </c>
      <c r="K906" s="178" t="s">
        <v>261</v>
      </c>
      <c r="L906" s="178" t="s">
        <v>252</v>
      </c>
      <c r="M906" s="271" t="s">
        <v>1784</v>
      </c>
      <c r="N906" s="177">
        <v>46234</v>
      </c>
      <c r="O906" s="177">
        <v>46234</v>
      </c>
      <c r="P906" s="366">
        <v>358490</v>
      </c>
      <c r="Q906" s="176" t="s">
        <v>248</v>
      </c>
      <c r="R906" s="176" t="s">
        <v>434</v>
      </c>
      <c r="S906" s="178" t="s">
        <v>253</v>
      </c>
      <c r="T906" s="57" t="str">
        <f t="shared" si="42"/>
        <v>Đ</v>
      </c>
      <c r="U906" s="59">
        <f t="shared" si="43"/>
        <v>0</v>
      </c>
      <c r="V906" s="55">
        <f t="shared" si="44"/>
        <v>13311</v>
      </c>
    </row>
    <row r="907" spans="1:22" ht="21.5" customHeight="1">
      <c r="A907" s="176">
        <v>890</v>
      </c>
      <c r="B907" s="178" t="s">
        <v>1808</v>
      </c>
      <c r="C907" s="271" t="s">
        <v>1818</v>
      </c>
      <c r="D907" s="177">
        <v>46205</v>
      </c>
      <c r="E907" s="178" t="s">
        <v>813</v>
      </c>
      <c r="F907" s="271" t="s">
        <v>814</v>
      </c>
      <c r="G907" s="178" t="s">
        <v>1810</v>
      </c>
      <c r="H907" s="366">
        <v>193656</v>
      </c>
      <c r="I907" s="176">
        <v>10</v>
      </c>
      <c r="J907" s="366">
        <v>19366</v>
      </c>
      <c r="K907" s="178" t="s">
        <v>261</v>
      </c>
      <c r="L907" s="178" t="s">
        <v>252</v>
      </c>
      <c r="M907" s="271" t="s">
        <v>1784</v>
      </c>
      <c r="N907" s="177">
        <v>46234</v>
      </c>
      <c r="O907" s="177">
        <v>46234</v>
      </c>
      <c r="P907" s="366">
        <v>213022</v>
      </c>
      <c r="Q907" s="176" t="s">
        <v>248</v>
      </c>
      <c r="R907" s="176" t="s">
        <v>434</v>
      </c>
      <c r="S907" s="178" t="s">
        <v>253</v>
      </c>
      <c r="T907" s="57" t="str">
        <f t="shared" si="42"/>
        <v>Đ</v>
      </c>
      <c r="U907" s="59">
        <f t="shared" si="43"/>
        <v>0</v>
      </c>
      <c r="V907" s="55">
        <f t="shared" si="44"/>
        <v>13311</v>
      </c>
    </row>
    <row r="908" spans="1:22" ht="21.5" customHeight="1">
      <c r="A908" s="176">
        <v>891</v>
      </c>
      <c r="B908" s="178" t="s">
        <v>1808</v>
      </c>
      <c r="C908" s="271" t="s">
        <v>1819</v>
      </c>
      <c r="D908" s="177">
        <v>46205</v>
      </c>
      <c r="E908" s="178" t="s">
        <v>813</v>
      </c>
      <c r="F908" s="271" t="s">
        <v>814</v>
      </c>
      <c r="G908" s="178" t="s">
        <v>1810</v>
      </c>
      <c r="H908" s="366">
        <v>27273</v>
      </c>
      <c r="I908" s="176">
        <v>10</v>
      </c>
      <c r="J908" s="366">
        <v>2727</v>
      </c>
      <c r="K908" s="178" t="s">
        <v>261</v>
      </c>
      <c r="L908" s="178" t="s">
        <v>252</v>
      </c>
      <c r="M908" s="271" t="s">
        <v>1784</v>
      </c>
      <c r="N908" s="177">
        <v>46234</v>
      </c>
      <c r="O908" s="177">
        <v>46234</v>
      </c>
      <c r="P908" s="366">
        <v>30000</v>
      </c>
      <c r="Q908" s="176" t="s">
        <v>248</v>
      </c>
      <c r="R908" s="176" t="s">
        <v>434</v>
      </c>
      <c r="S908" s="178" t="s">
        <v>253</v>
      </c>
      <c r="T908" s="57" t="str">
        <f t="shared" si="42"/>
        <v>Đ</v>
      </c>
      <c r="U908" s="59">
        <f t="shared" si="43"/>
        <v>0</v>
      </c>
      <c r="V908" s="55">
        <f t="shared" si="44"/>
        <v>13311</v>
      </c>
    </row>
    <row r="909" spans="1:22" ht="21.5" customHeight="1">
      <c r="A909" s="176">
        <v>892</v>
      </c>
      <c r="B909" s="178" t="s">
        <v>1808</v>
      </c>
      <c r="C909" s="271" t="s">
        <v>1820</v>
      </c>
      <c r="D909" s="177">
        <v>46205</v>
      </c>
      <c r="E909" s="178" t="s">
        <v>813</v>
      </c>
      <c r="F909" s="271" t="s">
        <v>814</v>
      </c>
      <c r="G909" s="178" t="s">
        <v>1810</v>
      </c>
      <c r="H909" s="366">
        <v>30699</v>
      </c>
      <c r="I909" s="176">
        <v>10</v>
      </c>
      <c r="J909" s="366">
        <v>3070</v>
      </c>
      <c r="K909" s="178" t="s">
        <v>261</v>
      </c>
      <c r="L909" s="178" t="s">
        <v>252</v>
      </c>
      <c r="M909" s="271" t="s">
        <v>1784</v>
      </c>
      <c r="N909" s="177">
        <v>46234</v>
      </c>
      <c r="O909" s="177">
        <v>46234</v>
      </c>
      <c r="P909" s="366">
        <v>33769</v>
      </c>
      <c r="Q909" s="176" t="s">
        <v>248</v>
      </c>
      <c r="R909" s="176" t="s">
        <v>434</v>
      </c>
      <c r="S909" s="178" t="s">
        <v>253</v>
      </c>
      <c r="T909" s="57" t="str">
        <f t="shared" si="42"/>
        <v>Đ</v>
      </c>
      <c r="U909" s="59">
        <f t="shared" si="43"/>
        <v>0</v>
      </c>
      <c r="V909" s="55">
        <f t="shared" si="44"/>
        <v>13311</v>
      </c>
    </row>
    <row r="910" spans="1:22" ht="21.5" customHeight="1">
      <c r="A910" s="176">
        <v>893</v>
      </c>
      <c r="B910" s="178" t="s">
        <v>1808</v>
      </c>
      <c r="C910" s="271" t="s">
        <v>1821</v>
      </c>
      <c r="D910" s="177">
        <v>46205</v>
      </c>
      <c r="E910" s="178" t="s">
        <v>813</v>
      </c>
      <c r="F910" s="271" t="s">
        <v>814</v>
      </c>
      <c r="G910" s="178" t="s">
        <v>1810</v>
      </c>
      <c r="H910" s="366">
        <v>27273</v>
      </c>
      <c r="I910" s="176">
        <v>10</v>
      </c>
      <c r="J910" s="366">
        <v>2727</v>
      </c>
      <c r="K910" s="178" t="s">
        <v>261</v>
      </c>
      <c r="L910" s="178" t="s">
        <v>252</v>
      </c>
      <c r="M910" s="271" t="s">
        <v>1784</v>
      </c>
      <c r="N910" s="177">
        <v>46234</v>
      </c>
      <c r="O910" s="177">
        <v>46234</v>
      </c>
      <c r="P910" s="366">
        <v>30000</v>
      </c>
      <c r="Q910" s="176" t="s">
        <v>248</v>
      </c>
      <c r="R910" s="176" t="s">
        <v>434</v>
      </c>
      <c r="S910" s="178" t="s">
        <v>253</v>
      </c>
      <c r="T910" s="57" t="str">
        <f t="shared" ref="T910:T973" si="45">IF(OR(LEN(F910)=11,LEN(F910)=15),"Đ","SAI")</f>
        <v>Đ</v>
      </c>
      <c r="U910" s="59">
        <f t="shared" ref="U910:U973" si="46">ROUND(H910*I910%,0)-J910</f>
        <v>0</v>
      </c>
      <c r="V910" s="55">
        <f t="shared" ref="V910:V973" si="47">IF(Q910=$V$12,13313,13311)</f>
        <v>13311</v>
      </c>
    </row>
    <row r="911" spans="1:22" ht="21.5" customHeight="1">
      <c r="A911" s="176">
        <v>894</v>
      </c>
      <c r="B911" s="178" t="s">
        <v>1808</v>
      </c>
      <c r="C911" s="271" t="s">
        <v>1822</v>
      </c>
      <c r="D911" s="177">
        <v>46205</v>
      </c>
      <c r="E911" s="178" t="s">
        <v>813</v>
      </c>
      <c r="F911" s="271" t="s">
        <v>814</v>
      </c>
      <c r="G911" s="178" t="s">
        <v>1810</v>
      </c>
      <c r="H911" s="366">
        <v>418965</v>
      </c>
      <c r="I911" s="176">
        <v>10</v>
      </c>
      <c r="J911" s="366">
        <v>41897</v>
      </c>
      <c r="K911" s="178" t="s">
        <v>261</v>
      </c>
      <c r="L911" s="178" t="s">
        <v>252</v>
      </c>
      <c r="M911" s="271" t="s">
        <v>1784</v>
      </c>
      <c r="N911" s="177">
        <v>46234</v>
      </c>
      <c r="O911" s="177">
        <v>46234</v>
      </c>
      <c r="P911" s="366">
        <v>460862</v>
      </c>
      <c r="Q911" s="176" t="s">
        <v>248</v>
      </c>
      <c r="R911" s="176" t="s">
        <v>434</v>
      </c>
      <c r="S911" s="178" t="s">
        <v>253</v>
      </c>
      <c r="T911" s="57" t="str">
        <f t="shared" si="45"/>
        <v>Đ</v>
      </c>
      <c r="U911" s="59">
        <f t="shared" si="46"/>
        <v>0</v>
      </c>
      <c r="V911" s="55">
        <f t="shared" si="47"/>
        <v>13311</v>
      </c>
    </row>
    <row r="912" spans="1:22" ht="21.5" customHeight="1">
      <c r="A912" s="176">
        <v>895</v>
      </c>
      <c r="B912" s="178" t="s">
        <v>1808</v>
      </c>
      <c r="C912" s="271" t="s">
        <v>1823</v>
      </c>
      <c r="D912" s="177">
        <v>46205</v>
      </c>
      <c r="E912" s="178" t="s">
        <v>813</v>
      </c>
      <c r="F912" s="271" t="s">
        <v>814</v>
      </c>
      <c r="G912" s="178" t="s">
        <v>1810</v>
      </c>
      <c r="H912" s="366">
        <v>27273</v>
      </c>
      <c r="I912" s="176">
        <v>10</v>
      </c>
      <c r="J912" s="366">
        <v>2727</v>
      </c>
      <c r="K912" s="178" t="s">
        <v>261</v>
      </c>
      <c r="L912" s="178" t="s">
        <v>252</v>
      </c>
      <c r="M912" s="271" t="s">
        <v>1784</v>
      </c>
      <c r="N912" s="177">
        <v>46234</v>
      </c>
      <c r="O912" s="177">
        <v>46234</v>
      </c>
      <c r="P912" s="366">
        <v>30000</v>
      </c>
      <c r="Q912" s="176" t="s">
        <v>248</v>
      </c>
      <c r="R912" s="176" t="s">
        <v>434</v>
      </c>
      <c r="S912" s="178" t="s">
        <v>253</v>
      </c>
      <c r="T912" s="57" t="str">
        <f t="shared" si="45"/>
        <v>Đ</v>
      </c>
      <c r="U912" s="59">
        <f t="shared" si="46"/>
        <v>0</v>
      </c>
      <c r="V912" s="55">
        <f t="shared" si="47"/>
        <v>13311</v>
      </c>
    </row>
    <row r="913" spans="1:22" ht="21.5" customHeight="1">
      <c r="A913" s="176">
        <v>896</v>
      </c>
      <c r="B913" s="178" t="s">
        <v>1808</v>
      </c>
      <c r="C913" s="271" t="s">
        <v>1824</v>
      </c>
      <c r="D913" s="177">
        <v>46205</v>
      </c>
      <c r="E913" s="178" t="s">
        <v>813</v>
      </c>
      <c r="F913" s="271" t="s">
        <v>814</v>
      </c>
      <c r="G913" s="178" t="s">
        <v>1810</v>
      </c>
      <c r="H913" s="366">
        <v>27273</v>
      </c>
      <c r="I913" s="176">
        <v>10</v>
      </c>
      <c r="J913" s="366">
        <v>2727</v>
      </c>
      <c r="K913" s="178" t="s">
        <v>261</v>
      </c>
      <c r="L913" s="178" t="s">
        <v>252</v>
      </c>
      <c r="M913" s="271" t="s">
        <v>1784</v>
      </c>
      <c r="N913" s="177">
        <v>46234</v>
      </c>
      <c r="O913" s="177">
        <v>46234</v>
      </c>
      <c r="P913" s="366">
        <v>30000</v>
      </c>
      <c r="Q913" s="176" t="s">
        <v>248</v>
      </c>
      <c r="R913" s="176" t="s">
        <v>434</v>
      </c>
      <c r="S913" s="178" t="s">
        <v>253</v>
      </c>
      <c r="T913" s="57" t="str">
        <f t="shared" si="45"/>
        <v>Đ</v>
      </c>
      <c r="U913" s="59">
        <f t="shared" si="46"/>
        <v>0</v>
      </c>
      <c r="V913" s="55">
        <f t="shared" si="47"/>
        <v>13311</v>
      </c>
    </row>
    <row r="914" spans="1:22" ht="21.5" customHeight="1">
      <c r="A914" s="176">
        <v>897</v>
      </c>
      <c r="B914" s="178" t="s">
        <v>1808</v>
      </c>
      <c r="C914" s="271" t="s">
        <v>1825</v>
      </c>
      <c r="D914" s="177">
        <v>46205</v>
      </c>
      <c r="E914" s="178" t="s">
        <v>813</v>
      </c>
      <c r="F914" s="271" t="s">
        <v>814</v>
      </c>
      <c r="G914" s="178" t="s">
        <v>1810</v>
      </c>
      <c r="H914" s="366">
        <v>27273</v>
      </c>
      <c r="I914" s="176">
        <v>10</v>
      </c>
      <c r="J914" s="366">
        <v>2727</v>
      </c>
      <c r="K914" s="178" t="s">
        <v>261</v>
      </c>
      <c r="L914" s="178" t="s">
        <v>252</v>
      </c>
      <c r="M914" s="271" t="s">
        <v>1784</v>
      </c>
      <c r="N914" s="177">
        <v>46234</v>
      </c>
      <c r="O914" s="177">
        <v>46234</v>
      </c>
      <c r="P914" s="366">
        <v>30000</v>
      </c>
      <c r="Q914" s="176" t="s">
        <v>248</v>
      </c>
      <c r="R914" s="176" t="s">
        <v>434</v>
      </c>
      <c r="S914" s="178" t="s">
        <v>253</v>
      </c>
      <c r="T914" s="57" t="str">
        <f t="shared" si="45"/>
        <v>Đ</v>
      </c>
      <c r="U914" s="59">
        <f t="shared" si="46"/>
        <v>0</v>
      </c>
      <c r="V914" s="55">
        <f t="shared" si="47"/>
        <v>13311</v>
      </c>
    </row>
    <row r="915" spans="1:22" ht="21.5" customHeight="1">
      <c r="A915" s="176">
        <v>898</v>
      </c>
      <c r="B915" s="178" t="s">
        <v>1808</v>
      </c>
      <c r="C915" s="271" t="s">
        <v>1826</v>
      </c>
      <c r="D915" s="177">
        <v>46205</v>
      </c>
      <c r="E915" s="178" t="s">
        <v>813</v>
      </c>
      <c r="F915" s="271" t="s">
        <v>814</v>
      </c>
      <c r="G915" s="178" t="s">
        <v>1810</v>
      </c>
      <c r="H915" s="366">
        <v>27273</v>
      </c>
      <c r="I915" s="176">
        <v>10</v>
      </c>
      <c r="J915" s="366">
        <v>2727</v>
      </c>
      <c r="K915" s="178" t="s">
        <v>261</v>
      </c>
      <c r="L915" s="178" t="s">
        <v>252</v>
      </c>
      <c r="M915" s="271" t="s">
        <v>1784</v>
      </c>
      <c r="N915" s="177">
        <v>46234</v>
      </c>
      <c r="O915" s="177">
        <v>46234</v>
      </c>
      <c r="P915" s="366">
        <v>30000</v>
      </c>
      <c r="Q915" s="176" t="s">
        <v>248</v>
      </c>
      <c r="R915" s="176" t="s">
        <v>434</v>
      </c>
      <c r="S915" s="178" t="s">
        <v>253</v>
      </c>
      <c r="T915" s="57" t="str">
        <f t="shared" si="45"/>
        <v>Đ</v>
      </c>
      <c r="U915" s="59">
        <f t="shared" si="46"/>
        <v>0</v>
      </c>
      <c r="V915" s="55">
        <f t="shared" si="47"/>
        <v>13311</v>
      </c>
    </row>
    <row r="916" spans="1:22" ht="21.5" customHeight="1">
      <c r="A916" s="176">
        <v>899</v>
      </c>
      <c r="B916" s="178" t="s">
        <v>1808</v>
      </c>
      <c r="C916" s="271" t="s">
        <v>1827</v>
      </c>
      <c r="D916" s="177">
        <v>46205</v>
      </c>
      <c r="E916" s="178" t="s">
        <v>813</v>
      </c>
      <c r="F916" s="271" t="s">
        <v>814</v>
      </c>
      <c r="G916" s="178" t="s">
        <v>1810</v>
      </c>
      <c r="H916" s="366">
        <v>40848</v>
      </c>
      <c r="I916" s="176">
        <v>10</v>
      </c>
      <c r="J916" s="366">
        <v>4085</v>
      </c>
      <c r="K916" s="178" t="s">
        <v>261</v>
      </c>
      <c r="L916" s="178" t="s">
        <v>252</v>
      </c>
      <c r="M916" s="271" t="s">
        <v>1784</v>
      </c>
      <c r="N916" s="177">
        <v>46234</v>
      </c>
      <c r="O916" s="177">
        <v>46234</v>
      </c>
      <c r="P916" s="366">
        <v>44933</v>
      </c>
      <c r="Q916" s="176" t="s">
        <v>248</v>
      </c>
      <c r="R916" s="176" t="s">
        <v>434</v>
      </c>
      <c r="S916" s="178" t="s">
        <v>253</v>
      </c>
      <c r="T916" s="57" t="str">
        <f t="shared" si="45"/>
        <v>Đ</v>
      </c>
      <c r="U916" s="59">
        <f t="shared" si="46"/>
        <v>0</v>
      </c>
      <c r="V916" s="55">
        <f t="shared" si="47"/>
        <v>13311</v>
      </c>
    </row>
    <row r="917" spans="1:22" ht="21.5" customHeight="1">
      <c r="A917" s="176">
        <v>900</v>
      </c>
      <c r="B917" s="178" t="s">
        <v>1808</v>
      </c>
      <c r="C917" s="271" t="s">
        <v>1828</v>
      </c>
      <c r="D917" s="177">
        <v>46205</v>
      </c>
      <c r="E917" s="178" t="s">
        <v>813</v>
      </c>
      <c r="F917" s="271" t="s">
        <v>814</v>
      </c>
      <c r="G917" s="178" t="s">
        <v>1810</v>
      </c>
      <c r="H917" s="366">
        <v>27273</v>
      </c>
      <c r="I917" s="176">
        <v>10</v>
      </c>
      <c r="J917" s="366">
        <v>2727</v>
      </c>
      <c r="K917" s="178" t="s">
        <v>261</v>
      </c>
      <c r="L917" s="178" t="s">
        <v>252</v>
      </c>
      <c r="M917" s="271" t="s">
        <v>1784</v>
      </c>
      <c r="N917" s="177">
        <v>46234</v>
      </c>
      <c r="O917" s="177">
        <v>46234</v>
      </c>
      <c r="P917" s="366">
        <v>30000</v>
      </c>
      <c r="Q917" s="176" t="s">
        <v>248</v>
      </c>
      <c r="R917" s="176" t="s">
        <v>434</v>
      </c>
      <c r="S917" s="178" t="s">
        <v>253</v>
      </c>
      <c r="T917" s="57" t="str">
        <f t="shared" si="45"/>
        <v>Đ</v>
      </c>
      <c r="U917" s="59">
        <f t="shared" si="46"/>
        <v>0</v>
      </c>
      <c r="V917" s="55">
        <f t="shared" si="47"/>
        <v>13311</v>
      </c>
    </row>
    <row r="918" spans="1:22" ht="21.5" customHeight="1">
      <c r="A918" s="176">
        <v>901</v>
      </c>
      <c r="B918" s="178" t="s">
        <v>1808</v>
      </c>
      <c r="C918" s="271" t="s">
        <v>1829</v>
      </c>
      <c r="D918" s="177">
        <v>46205</v>
      </c>
      <c r="E918" s="178" t="s">
        <v>813</v>
      </c>
      <c r="F918" s="271" t="s">
        <v>814</v>
      </c>
      <c r="G918" s="178" t="s">
        <v>1810</v>
      </c>
      <c r="H918" s="366">
        <v>27273</v>
      </c>
      <c r="I918" s="176">
        <v>10</v>
      </c>
      <c r="J918" s="366">
        <v>2727</v>
      </c>
      <c r="K918" s="178" t="s">
        <v>261</v>
      </c>
      <c r="L918" s="178" t="s">
        <v>252</v>
      </c>
      <c r="M918" s="271" t="s">
        <v>1784</v>
      </c>
      <c r="N918" s="177">
        <v>46234</v>
      </c>
      <c r="O918" s="177">
        <v>46234</v>
      </c>
      <c r="P918" s="366">
        <v>30000</v>
      </c>
      <c r="Q918" s="176" t="s">
        <v>248</v>
      </c>
      <c r="R918" s="176" t="s">
        <v>434</v>
      </c>
      <c r="S918" s="178" t="s">
        <v>253</v>
      </c>
      <c r="T918" s="57" t="str">
        <f t="shared" si="45"/>
        <v>Đ</v>
      </c>
      <c r="U918" s="59">
        <f t="shared" si="46"/>
        <v>0</v>
      </c>
      <c r="V918" s="55">
        <f t="shared" si="47"/>
        <v>13311</v>
      </c>
    </row>
    <row r="919" spans="1:22" ht="21.5" customHeight="1">
      <c r="A919" s="176">
        <v>902</v>
      </c>
      <c r="B919" s="178" t="s">
        <v>1808</v>
      </c>
      <c r="C919" s="271" t="s">
        <v>1830</v>
      </c>
      <c r="D919" s="177">
        <v>46205</v>
      </c>
      <c r="E919" s="178" t="s">
        <v>813</v>
      </c>
      <c r="F919" s="271" t="s">
        <v>814</v>
      </c>
      <c r="G919" s="178" t="s">
        <v>1810</v>
      </c>
      <c r="H919" s="366">
        <v>20000</v>
      </c>
      <c r="I919" s="176">
        <v>10</v>
      </c>
      <c r="J919" s="366">
        <v>2000</v>
      </c>
      <c r="K919" s="178" t="s">
        <v>261</v>
      </c>
      <c r="L919" s="178" t="s">
        <v>252</v>
      </c>
      <c r="M919" s="271" t="s">
        <v>1784</v>
      </c>
      <c r="N919" s="177">
        <v>46234</v>
      </c>
      <c r="O919" s="177">
        <v>46234</v>
      </c>
      <c r="P919" s="366">
        <v>22000</v>
      </c>
      <c r="Q919" s="176" t="s">
        <v>248</v>
      </c>
      <c r="R919" s="176" t="s">
        <v>434</v>
      </c>
      <c r="S919" s="178" t="s">
        <v>253</v>
      </c>
      <c r="T919" s="57" t="str">
        <f t="shared" si="45"/>
        <v>Đ</v>
      </c>
      <c r="U919" s="59">
        <f t="shared" si="46"/>
        <v>0</v>
      </c>
      <c r="V919" s="55">
        <f t="shared" si="47"/>
        <v>13311</v>
      </c>
    </row>
    <row r="920" spans="1:22" ht="21.5" customHeight="1">
      <c r="A920" s="176">
        <v>903</v>
      </c>
      <c r="B920" s="178" t="s">
        <v>1808</v>
      </c>
      <c r="C920" s="271" t="s">
        <v>1831</v>
      </c>
      <c r="D920" s="177">
        <v>46205</v>
      </c>
      <c r="E920" s="178" t="s">
        <v>813</v>
      </c>
      <c r="F920" s="271" t="s">
        <v>814</v>
      </c>
      <c r="G920" s="178" t="s">
        <v>1810</v>
      </c>
      <c r="H920" s="366">
        <v>27273</v>
      </c>
      <c r="I920" s="176">
        <v>10</v>
      </c>
      <c r="J920" s="366">
        <v>2727</v>
      </c>
      <c r="K920" s="178" t="s">
        <v>261</v>
      </c>
      <c r="L920" s="178" t="s">
        <v>252</v>
      </c>
      <c r="M920" s="271" t="s">
        <v>1784</v>
      </c>
      <c r="N920" s="177">
        <v>46234</v>
      </c>
      <c r="O920" s="177">
        <v>46234</v>
      </c>
      <c r="P920" s="366">
        <v>30000</v>
      </c>
      <c r="Q920" s="176" t="s">
        <v>248</v>
      </c>
      <c r="R920" s="176" t="s">
        <v>434</v>
      </c>
      <c r="S920" s="178" t="s">
        <v>253</v>
      </c>
      <c r="T920" s="57" t="str">
        <f t="shared" si="45"/>
        <v>Đ</v>
      </c>
      <c r="U920" s="59">
        <f t="shared" si="46"/>
        <v>0</v>
      </c>
      <c r="V920" s="55">
        <f t="shared" si="47"/>
        <v>13311</v>
      </c>
    </row>
    <row r="921" spans="1:22" ht="21.5" customHeight="1">
      <c r="A921" s="176">
        <v>904</v>
      </c>
      <c r="B921" s="178" t="s">
        <v>1808</v>
      </c>
      <c r="C921" s="271" t="s">
        <v>1832</v>
      </c>
      <c r="D921" s="177">
        <v>46205</v>
      </c>
      <c r="E921" s="178" t="s">
        <v>813</v>
      </c>
      <c r="F921" s="271" t="s">
        <v>814</v>
      </c>
      <c r="G921" s="178" t="s">
        <v>1810</v>
      </c>
      <c r="H921" s="366">
        <v>27273</v>
      </c>
      <c r="I921" s="176">
        <v>10</v>
      </c>
      <c r="J921" s="366">
        <v>2727</v>
      </c>
      <c r="K921" s="178" t="s">
        <v>261</v>
      </c>
      <c r="L921" s="178" t="s">
        <v>252</v>
      </c>
      <c r="M921" s="271" t="s">
        <v>1784</v>
      </c>
      <c r="N921" s="177">
        <v>46234</v>
      </c>
      <c r="O921" s="177">
        <v>46234</v>
      </c>
      <c r="P921" s="366">
        <v>30000</v>
      </c>
      <c r="Q921" s="176" t="s">
        <v>248</v>
      </c>
      <c r="R921" s="176" t="s">
        <v>434</v>
      </c>
      <c r="S921" s="178" t="s">
        <v>253</v>
      </c>
      <c r="T921" s="57" t="str">
        <f t="shared" si="45"/>
        <v>Đ</v>
      </c>
      <c r="U921" s="59">
        <f t="shared" si="46"/>
        <v>0</v>
      </c>
      <c r="V921" s="55">
        <f t="shared" si="47"/>
        <v>13311</v>
      </c>
    </row>
    <row r="922" spans="1:22" ht="21.5" customHeight="1">
      <c r="A922" s="176">
        <v>905</v>
      </c>
      <c r="B922" s="178" t="s">
        <v>1808</v>
      </c>
      <c r="C922" s="271" t="s">
        <v>1833</v>
      </c>
      <c r="D922" s="177">
        <v>46205</v>
      </c>
      <c r="E922" s="178" t="s">
        <v>813</v>
      </c>
      <c r="F922" s="271" t="s">
        <v>814</v>
      </c>
      <c r="G922" s="178" t="s">
        <v>1810</v>
      </c>
      <c r="H922" s="366">
        <v>27273</v>
      </c>
      <c r="I922" s="176">
        <v>10</v>
      </c>
      <c r="J922" s="366">
        <v>2727</v>
      </c>
      <c r="K922" s="178" t="s">
        <v>261</v>
      </c>
      <c r="L922" s="178" t="s">
        <v>252</v>
      </c>
      <c r="M922" s="271" t="s">
        <v>1784</v>
      </c>
      <c r="N922" s="177">
        <v>46234</v>
      </c>
      <c r="O922" s="177">
        <v>46234</v>
      </c>
      <c r="P922" s="366">
        <v>30000</v>
      </c>
      <c r="Q922" s="176" t="s">
        <v>248</v>
      </c>
      <c r="R922" s="176" t="s">
        <v>434</v>
      </c>
      <c r="S922" s="178" t="s">
        <v>253</v>
      </c>
      <c r="T922" s="57" t="str">
        <f t="shared" si="45"/>
        <v>Đ</v>
      </c>
      <c r="U922" s="59">
        <f t="shared" si="46"/>
        <v>0</v>
      </c>
      <c r="V922" s="55">
        <f t="shared" si="47"/>
        <v>13311</v>
      </c>
    </row>
    <row r="923" spans="1:22" ht="21.5" customHeight="1">
      <c r="A923" s="176">
        <v>906</v>
      </c>
      <c r="B923" s="178" t="s">
        <v>1808</v>
      </c>
      <c r="C923" s="271" t="s">
        <v>1834</v>
      </c>
      <c r="D923" s="177">
        <v>46205</v>
      </c>
      <c r="E923" s="178" t="s">
        <v>813</v>
      </c>
      <c r="F923" s="271" t="s">
        <v>814</v>
      </c>
      <c r="G923" s="178" t="s">
        <v>1810</v>
      </c>
      <c r="H923" s="366">
        <v>109091</v>
      </c>
      <c r="I923" s="176">
        <v>10</v>
      </c>
      <c r="J923" s="366">
        <v>10909</v>
      </c>
      <c r="K923" s="178" t="s">
        <v>261</v>
      </c>
      <c r="L923" s="178" t="s">
        <v>252</v>
      </c>
      <c r="M923" s="271" t="s">
        <v>1784</v>
      </c>
      <c r="N923" s="177">
        <v>46234</v>
      </c>
      <c r="O923" s="177">
        <v>46234</v>
      </c>
      <c r="P923" s="366">
        <v>120000</v>
      </c>
      <c r="Q923" s="176" t="s">
        <v>248</v>
      </c>
      <c r="R923" s="176" t="s">
        <v>434</v>
      </c>
      <c r="S923" s="178" t="s">
        <v>253</v>
      </c>
      <c r="T923" s="57" t="str">
        <f t="shared" si="45"/>
        <v>Đ</v>
      </c>
      <c r="U923" s="59">
        <f t="shared" si="46"/>
        <v>0</v>
      </c>
      <c r="V923" s="55">
        <f t="shared" si="47"/>
        <v>13311</v>
      </c>
    </row>
    <row r="924" spans="1:22" ht="21.5" customHeight="1">
      <c r="A924" s="176">
        <v>907</v>
      </c>
      <c r="B924" s="178" t="s">
        <v>1808</v>
      </c>
      <c r="C924" s="271" t="s">
        <v>1835</v>
      </c>
      <c r="D924" s="177">
        <v>46205</v>
      </c>
      <c r="E924" s="178" t="s">
        <v>813</v>
      </c>
      <c r="F924" s="271" t="s">
        <v>814</v>
      </c>
      <c r="G924" s="178" t="s">
        <v>1810</v>
      </c>
      <c r="H924" s="366">
        <v>20000</v>
      </c>
      <c r="I924" s="176">
        <v>10</v>
      </c>
      <c r="J924" s="366">
        <v>2000</v>
      </c>
      <c r="K924" s="178" t="s">
        <v>261</v>
      </c>
      <c r="L924" s="178" t="s">
        <v>252</v>
      </c>
      <c r="M924" s="271" t="s">
        <v>1784</v>
      </c>
      <c r="N924" s="177">
        <v>46234</v>
      </c>
      <c r="O924" s="177">
        <v>46234</v>
      </c>
      <c r="P924" s="366">
        <v>22000</v>
      </c>
      <c r="Q924" s="176" t="s">
        <v>248</v>
      </c>
      <c r="R924" s="176" t="s">
        <v>434</v>
      </c>
      <c r="S924" s="178" t="s">
        <v>253</v>
      </c>
      <c r="T924" s="57" t="str">
        <f t="shared" si="45"/>
        <v>Đ</v>
      </c>
      <c r="U924" s="59">
        <f t="shared" si="46"/>
        <v>0</v>
      </c>
      <c r="V924" s="55">
        <f t="shared" si="47"/>
        <v>13311</v>
      </c>
    </row>
    <row r="925" spans="1:22" ht="21.5" customHeight="1">
      <c r="A925" s="176">
        <v>908</v>
      </c>
      <c r="B925" s="178" t="s">
        <v>1808</v>
      </c>
      <c r="C925" s="271" t="s">
        <v>1836</v>
      </c>
      <c r="D925" s="177">
        <v>46205</v>
      </c>
      <c r="E925" s="178" t="s">
        <v>813</v>
      </c>
      <c r="F925" s="271" t="s">
        <v>814</v>
      </c>
      <c r="G925" s="178" t="s">
        <v>1810</v>
      </c>
      <c r="H925" s="366">
        <v>158783</v>
      </c>
      <c r="I925" s="176">
        <v>10</v>
      </c>
      <c r="J925" s="366">
        <v>15878</v>
      </c>
      <c r="K925" s="178" t="s">
        <v>261</v>
      </c>
      <c r="L925" s="178" t="s">
        <v>252</v>
      </c>
      <c r="M925" s="271" t="s">
        <v>1784</v>
      </c>
      <c r="N925" s="177">
        <v>46234</v>
      </c>
      <c r="O925" s="177">
        <v>46234</v>
      </c>
      <c r="P925" s="366">
        <v>174661</v>
      </c>
      <c r="Q925" s="176" t="s">
        <v>248</v>
      </c>
      <c r="R925" s="176" t="s">
        <v>434</v>
      </c>
      <c r="S925" s="178" t="s">
        <v>253</v>
      </c>
      <c r="T925" s="57" t="str">
        <f t="shared" si="45"/>
        <v>Đ</v>
      </c>
      <c r="U925" s="59">
        <f t="shared" si="46"/>
        <v>0</v>
      </c>
      <c r="V925" s="55">
        <f t="shared" si="47"/>
        <v>13311</v>
      </c>
    </row>
    <row r="926" spans="1:22" ht="21.5" customHeight="1">
      <c r="A926" s="176">
        <v>909</v>
      </c>
      <c r="B926" s="178" t="s">
        <v>1808</v>
      </c>
      <c r="C926" s="271" t="s">
        <v>1837</v>
      </c>
      <c r="D926" s="177">
        <v>46205</v>
      </c>
      <c r="E926" s="178" t="s">
        <v>813</v>
      </c>
      <c r="F926" s="271" t="s">
        <v>814</v>
      </c>
      <c r="G926" s="178" t="s">
        <v>1810</v>
      </c>
      <c r="H926" s="366">
        <v>27273</v>
      </c>
      <c r="I926" s="176">
        <v>10</v>
      </c>
      <c r="J926" s="366">
        <v>2727</v>
      </c>
      <c r="K926" s="178" t="s">
        <v>261</v>
      </c>
      <c r="L926" s="178" t="s">
        <v>252</v>
      </c>
      <c r="M926" s="271" t="s">
        <v>1784</v>
      </c>
      <c r="N926" s="177">
        <v>46234</v>
      </c>
      <c r="O926" s="177">
        <v>46234</v>
      </c>
      <c r="P926" s="366">
        <v>30000</v>
      </c>
      <c r="Q926" s="176" t="s">
        <v>248</v>
      </c>
      <c r="R926" s="176" t="s">
        <v>434</v>
      </c>
      <c r="S926" s="178" t="s">
        <v>253</v>
      </c>
      <c r="T926" s="57" t="str">
        <f t="shared" si="45"/>
        <v>Đ</v>
      </c>
      <c r="U926" s="59">
        <f t="shared" si="46"/>
        <v>0</v>
      </c>
      <c r="V926" s="55">
        <f t="shared" si="47"/>
        <v>13311</v>
      </c>
    </row>
    <row r="927" spans="1:22" ht="21.5" customHeight="1">
      <c r="A927" s="176">
        <v>910</v>
      </c>
      <c r="B927" s="178" t="s">
        <v>1808</v>
      </c>
      <c r="C927" s="271" t="s">
        <v>1838</v>
      </c>
      <c r="D927" s="177">
        <v>46205</v>
      </c>
      <c r="E927" s="178" t="s">
        <v>813</v>
      </c>
      <c r="F927" s="271" t="s">
        <v>814</v>
      </c>
      <c r="G927" s="178" t="s">
        <v>1810</v>
      </c>
      <c r="H927" s="366">
        <v>181818</v>
      </c>
      <c r="I927" s="176">
        <v>10</v>
      </c>
      <c r="J927" s="366">
        <v>18182</v>
      </c>
      <c r="K927" s="178" t="s">
        <v>261</v>
      </c>
      <c r="L927" s="178" t="s">
        <v>252</v>
      </c>
      <c r="M927" s="271" t="s">
        <v>1784</v>
      </c>
      <c r="N927" s="177">
        <v>46234</v>
      </c>
      <c r="O927" s="177">
        <v>46234</v>
      </c>
      <c r="P927" s="366">
        <v>200000</v>
      </c>
      <c r="Q927" s="176" t="s">
        <v>248</v>
      </c>
      <c r="R927" s="176" t="s">
        <v>434</v>
      </c>
      <c r="S927" s="178" t="s">
        <v>253</v>
      </c>
      <c r="T927" s="57" t="str">
        <f t="shared" si="45"/>
        <v>Đ</v>
      </c>
      <c r="U927" s="59">
        <f t="shared" si="46"/>
        <v>0</v>
      </c>
      <c r="V927" s="55">
        <f t="shared" si="47"/>
        <v>13311</v>
      </c>
    </row>
    <row r="928" spans="1:22" ht="21.5" customHeight="1">
      <c r="A928" s="176">
        <v>911</v>
      </c>
      <c r="B928" s="178" t="s">
        <v>1808</v>
      </c>
      <c r="C928" s="271" t="s">
        <v>1839</v>
      </c>
      <c r="D928" s="177">
        <v>46205</v>
      </c>
      <c r="E928" s="178" t="s">
        <v>813</v>
      </c>
      <c r="F928" s="271" t="s">
        <v>814</v>
      </c>
      <c r="G928" s="178" t="s">
        <v>1810</v>
      </c>
      <c r="H928" s="366">
        <v>900000</v>
      </c>
      <c r="I928" s="176">
        <v>10</v>
      </c>
      <c r="J928" s="366">
        <v>90000</v>
      </c>
      <c r="K928" s="178" t="s">
        <v>261</v>
      </c>
      <c r="L928" s="178" t="s">
        <v>252</v>
      </c>
      <c r="M928" s="271" t="s">
        <v>1784</v>
      </c>
      <c r="N928" s="177">
        <v>46234</v>
      </c>
      <c r="O928" s="177">
        <v>46234</v>
      </c>
      <c r="P928" s="366">
        <v>990000</v>
      </c>
      <c r="Q928" s="176" t="s">
        <v>248</v>
      </c>
      <c r="R928" s="176" t="s">
        <v>434</v>
      </c>
      <c r="S928" s="178" t="s">
        <v>253</v>
      </c>
      <c r="T928" s="57" t="str">
        <f t="shared" si="45"/>
        <v>Đ</v>
      </c>
      <c r="U928" s="59">
        <f t="shared" si="46"/>
        <v>0</v>
      </c>
      <c r="V928" s="55">
        <f t="shared" si="47"/>
        <v>13311</v>
      </c>
    </row>
    <row r="929" spans="1:22" ht="21.5" customHeight="1">
      <c r="A929" s="176">
        <v>912</v>
      </c>
      <c r="B929" s="178" t="s">
        <v>1808</v>
      </c>
      <c r="C929" s="271" t="s">
        <v>1840</v>
      </c>
      <c r="D929" s="177">
        <v>46205</v>
      </c>
      <c r="E929" s="178" t="s">
        <v>813</v>
      </c>
      <c r="F929" s="271" t="s">
        <v>814</v>
      </c>
      <c r="G929" s="178" t="s">
        <v>1810</v>
      </c>
      <c r="H929" s="366">
        <v>800000</v>
      </c>
      <c r="I929" s="176">
        <v>10</v>
      </c>
      <c r="J929" s="366">
        <v>80000</v>
      </c>
      <c r="K929" s="178" t="s">
        <v>261</v>
      </c>
      <c r="L929" s="178" t="s">
        <v>252</v>
      </c>
      <c r="M929" s="271" t="s">
        <v>1784</v>
      </c>
      <c r="N929" s="177">
        <v>46234</v>
      </c>
      <c r="O929" s="177">
        <v>46234</v>
      </c>
      <c r="P929" s="366">
        <v>880000</v>
      </c>
      <c r="Q929" s="176" t="s">
        <v>248</v>
      </c>
      <c r="R929" s="176" t="s">
        <v>434</v>
      </c>
      <c r="S929" s="178" t="s">
        <v>253</v>
      </c>
      <c r="T929" s="57" t="str">
        <f t="shared" si="45"/>
        <v>Đ</v>
      </c>
      <c r="U929" s="59">
        <f t="shared" si="46"/>
        <v>0</v>
      </c>
      <c r="V929" s="55">
        <f t="shared" si="47"/>
        <v>13311</v>
      </c>
    </row>
    <row r="930" spans="1:22" ht="21.5" customHeight="1">
      <c r="A930" s="176">
        <v>913</v>
      </c>
      <c r="B930" s="178" t="s">
        <v>1808</v>
      </c>
      <c r="C930" s="271" t="s">
        <v>1841</v>
      </c>
      <c r="D930" s="177">
        <v>46205</v>
      </c>
      <c r="E930" s="178" t="s">
        <v>813</v>
      </c>
      <c r="F930" s="271" t="s">
        <v>814</v>
      </c>
      <c r="G930" s="178" t="s">
        <v>1810</v>
      </c>
      <c r="H930" s="366">
        <v>27273</v>
      </c>
      <c r="I930" s="176">
        <v>10</v>
      </c>
      <c r="J930" s="366">
        <v>2727</v>
      </c>
      <c r="K930" s="178" t="s">
        <v>261</v>
      </c>
      <c r="L930" s="178" t="s">
        <v>252</v>
      </c>
      <c r="M930" s="271" t="s">
        <v>1784</v>
      </c>
      <c r="N930" s="177">
        <v>46234</v>
      </c>
      <c r="O930" s="177">
        <v>46234</v>
      </c>
      <c r="P930" s="366">
        <v>30000</v>
      </c>
      <c r="Q930" s="176" t="s">
        <v>248</v>
      </c>
      <c r="R930" s="176" t="s">
        <v>434</v>
      </c>
      <c r="S930" s="178" t="s">
        <v>253</v>
      </c>
      <c r="T930" s="57" t="str">
        <f t="shared" si="45"/>
        <v>Đ</v>
      </c>
      <c r="U930" s="59">
        <f t="shared" si="46"/>
        <v>0</v>
      </c>
      <c r="V930" s="55">
        <f t="shared" si="47"/>
        <v>13311</v>
      </c>
    </row>
    <row r="931" spans="1:22" ht="21.5" customHeight="1">
      <c r="A931" s="176">
        <v>914</v>
      </c>
      <c r="B931" s="178" t="s">
        <v>1808</v>
      </c>
      <c r="C931" s="271" t="s">
        <v>1842</v>
      </c>
      <c r="D931" s="177">
        <v>46205</v>
      </c>
      <c r="E931" s="178" t="s">
        <v>813</v>
      </c>
      <c r="F931" s="271" t="s">
        <v>814</v>
      </c>
      <c r="G931" s="178" t="s">
        <v>1810</v>
      </c>
      <c r="H931" s="366">
        <v>150000</v>
      </c>
      <c r="I931" s="176">
        <v>10</v>
      </c>
      <c r="J931" s="366">
        <v>15000</v>
      </c>
      <c r="K931" s="178" t="s">
        <v>261</v>
      </c>
      <c r="L931" s="178" t="s">
        <v>252</v>
      </c>
      <c r="M931" s="271" t="s">
        <v>1784</v>
      </c>
      <c r="N931" s="177">
        <v>46234</v>
      </c>
      <c r="O931" s="177">
        <v>46234</v>
      </c>
      <c r="P931" s="366">
        <v>165000</v>
      </c>
      <c r="Q931" s="176" t="s">
        <v>248</v>
      </c>
      <c r="R931" s="176" t="s">
        <v>434</v>
      </c>
      <c r="S931" s="178" t="s">
        <v>253</v>
      </c>
      <c r="T931" s="57" t="str">
        <f t="shared" si="45"/>
        <v>Đ</v>
      </c>
      <c r="U931" s="59">
        <f t="shared" si="46"/>
        <v>0</v>
      </c>
      <c r="V931" s="55">
        <f t="shared" si="47"/>
        <v>13311</v>
      </c>
    </row>
    <row r="932" spans="1:22" ht="21.5" customHeight="1">
      <c r="A932" s="176">
        <v>915</v>
      </c>
      <c r="B932" s="178" t="s">
        <v>1808</v>
      </c>
      <c r="C932" s="271" t="s">
        <v>1843</v>
      </c>
      <c r="D932" s="177">
        <v>46205</v>
      </c>
      <c r="E932" s="178" t="s">
        <v>813</v>
      </c>
      <c r="F932" s="271" t="s">
        <v>814</v>
      </c>
      <c r="G932" s="178" t="s">
        <v>1810</v>
      </c>
      <c r="H932" s="366">
        <v>354393</v>
      </c>
      <c r="I932" s="176">
        <v>10</v>
      </c>
      <c r="J932" s="366">
        <v>35439</v>
      </c>
      <c r="K932" s="178" t="s">
        <v>261</v>
      </c>
      <c r="L932" s="178" t="s">
        <v>252</v>
      </c>
      <c r="M932" s="271" t="s">
        <v>1784</v>
      </c>
      <c r="N932" s="177">
        <v>46234</v>
      </c>
      <c r="O932" s="177">
        <v>46234</v>
      </c>
      <c r="P932" s="366">
        <v>389832</v>
      </c>
      <c r="Q932" s="176" t="s">
        <v>248</v>
      </c>
      <c r="R932" s="176" t="s">
        <v>434</v>
      </c>
      <c r="S932" s="178" t="s">
        <v>253</v>
      </c>
      <c r="T932" s="57" t="str">
        <f t="shared" si="45"/>
        <v>Đ</v>
      </c>
      <c r="U932" s="59">
        <f t="shared" si="46"/>
        <v>0</v>
      </c>
      <c r="V932" s="55">
        <f t="shared" si="47"/>
        <v>13311</v>
      </c>
    </row>
    <row r="933" spans="1:22" ht="14.5" customHeight="1">
      <c r="A933" s="176">
        <v>916</v>
      </c>
      <c r="B933" s="178" t="s">
        <v>1267</v>
      </c>
      <c r="C933" s="271" t="s">
        <v>1722</v>
      </c>
      <c r="D933" s="177">
        <v>46205</v>
      </c>
      <c r="E933" s="178" t="s">
        <v>1844</v>
      </c>
      <c r="F933" s="271" t="s">
        <v>1845</v>
      </c>
      <c r="G933" s="178" t="s">
        <v>1846</v>
      </c>
      <c r="H933" s="366">
        <v>4200000</v>
      </c>
      <c r="I933" s="176">
        <v>8</v>
      </c>
      <c r="J933" s="366">
        <v>336000</v>
      </c>
      <c r="K933" s="178" t="s">
        <v>261</v>
      </c>
      <c r="L933" s="178" t="s">
        <v>252</v>
      </c>
      <c r="M933" s="271" t="s">
        <v>1784</v>
      </c>
      <c r="N933" s="177">
        <v>46234</v>
      </c>
      <c r="O933" s="177">
        <v>46234</v>
      </c>
      <c r="P933" s="366">
        <v>4536000</v>
      </c>
      <c r="Q933" s="176" t="s">
        <v>248</v>
      </c>
      <c r="R933" s="176" t="s">
        <v>434</v>
      </c>
      <c r="S933" s="178" t="s">
        <v>253</v>
      </c>
      <c r="T933" s="57" t="str">
        <f t="shared" si="45"/>
        <v>Đ</v>
      </c>
      <c r="U933" s="59">
        <f t="shared" si="46"/>
        <v>0</v>
      </c>
      <c r="V933" s="55">
        <f t="shared" si="47"/>
        <v>13311</v>
      </c>
    </row>
    <row r="934" spans="1:22" ht="31.5" customHeight="1">
      <c r="A934" s="176">
        <v>917</v>
      </c>
      <c r="B934" s="178" t="s">
        <v>1847</v>
      </c>
      <c r="C934" s="271" t="s">
        <v>1848</v>
      </c>
      <c r="D934" s="177">
        <v>46205</v>
      </c>
      <c r="E934" s="178" t="s">
        <v>1849</v>
      </c>
      <c r="F934" s="271" t="s">
        <v>283</v>
      </c>
      <c r="G934" s="178" t="s">
        <v>1850</v>
      </c>
      <c r="H934" s="366">
        <v>57434</v>
      </c>
      <c r="I934" s="176">
        <v>10</v>
      </c>
      <c r="J934" s="366">
        <v>5743</v>
      </c>
      <c r="K934" s="178" t="s">
        <v>261</v>
      </c>
      <c r="L934" s="178" t="s">
        <v>252</v>
      </c>
      <c r="M934" s="271" t="s">
        <v>1784</v>
      </c>
      <c r="N934" s="177">
        <v>46234</v>
      </c>
      <c r="O934" s="177">
        <v>46234</v>
      </c>
      <c r="P934" s="366">
        <v>63177</v>
      </c>
      <c r="Q934" s="176" t="s">
        <v>248</v>
      </c>
      <c r="R934" s="176" t="s">
        <v>434</v>
      </c>
      <c r="S934" s="178" t="s">
        <v>253</v>
      </c>
      <c r="T934" s="57" t="str">
        <f t="shared" si="45"/>
        <v>Đ</v>
      </c>
      <c r="U934" s="59">
        <f t="shared" si="46"/>
        <v>0</v>
      </c>
      <c r="V934" s="55">
        <f t="shared" si="47"/>
        <v>13311</v>
      </c>
    </row>
    <row r="935" spans="1:22" ht="31.5" customHeight="1">
      <c r="A935" s="176">
        <v>918</v>
      </c>
      <c r="B935" s="178" t="s">
        <v>1847</v>
      </c>
      <c r="C935" s="271" t="s">
        <v>1851</v>
      </c>
      <c r="D935" s="177">
        <v>46205</v>
      </c>
      <c r="E935" s="178" t="s">
        <v>1849</v>
      </c>
      <c r="F935" s="271" t="s">
        <v>283</v>
      </c>
      <c r="G935" s="178" t="s">
        <v>1850</v>
      </c>
      <c r="H935" s="366">
        <v>790909</v>
      </c>
      <c r="I935" s="176">
        <v>10</v>
      </c>
      <c r="J935" s="366">
        <v>79091</v>
      </c>
      <c r="K935" s="178" t="s">
        <v>261</v>
      </c>
      <c r="L935" s="178" t="s">
        <v>252</v>
      </c>
      <c r="M935" s="271" t="s">
        <v>1784</v>
      </c>
      <c r="N935" s="177">
        <v>46234</v>
      </c>
      <c r="O935" s="177">
        <v>46234</v>
      </c>
      <c r="P935" s="366">
        <v>870000</v>
      </c>
      <c r="Q935" s="176" t="s">
        <v>248</v>
      </c>
      <c r="R935" s="176" t="s">
        <v>434</v>
      </c>
      <c r="S935" s="178" t="s">
        <v>253</v>
      </c>
      <c r="T935" s="57" t="str">
        <f t="shared" si="45"/>
        <v>Đ</v>
      </c>
      <c r="U935" s="59">
        <f t="shared" si="46"/>
        <v>0</v>
      </c>
      <c r="V935" s="55">
        <f t="shared" si="47"/>
        <v>13311</v>
      </c>
    </row>
    <row r="936" spans="1:22" ht="31.5" customHeight="1">
      <c r="A936" s="176">
        <v>919</v>
      </c>
      <c r="B936" s="178" t="s">
        <v>1847</v>
      </c>
      <c r="C936" s="271" t="s">
        <v>1852</v>
      </c>
      <c r="D936" s="177">
        <v>46205</v>
      </c>
      <c r="E936" s="178" t="s">
        <v>1849</v>
      </c>
      <c r="F936" s="271" t="s">
        <v>283</v>
      </c>
      <c r="G936" s="178" t="s">
        <v>1850</v>
      </c>
      <c r="H936" s="366">
        <v>90000</v>
      </c>
      <c r="I936" s="176">
        <v>10</v>
      </c>
      <c r="J936" s="366">
        <v>9000</v>
      </c>
      <c r="K936" s="178" t="s">
        <v>261</v>
      </c>
      <c r="L936" s="178" t="s">
        <v>252</v>
      </c>
      <c r="M936" s="271" t="s">
        <v>1784</v>
      </c>
      <c r="N936" s="177">
        <v>46234</v>
      </c>
      <c r="O936" s="177">
        <v>46234</v>
      </c>
      <c r="P936" s="366">
        <v>99000</v>
      </c>
      <c r="Q936" s="176" t="s">
        <v>248</v>
      </c>
      <c r="R936" s="176" t="s">
        <v>434</v>
      </c>
      <c r="S936" s="178" t="s">
        <v>253</v>
      </c>
      <c r="T936" s="57" t="str">
        <f t="shared" si="45"/>
        <v>Đ</v>
      </c>
      <c r="U936" s="59">
        <f t="shared" si="46"/>
        <v>0</v>
      </c>
      <c r="V936" s="55">
        <f t="shared" si="47"/>
        <v>13311</v>
      </c>
    </row>
    <row r="937" spans="1:22" ht="31.5" customHeight="1">
      <c r="A937" s="176">
        <v>920</v>
      </c>
      <c r="B937" s="178" t="s">
        <v>1847</v>
      </c>
      <c r="C937" s="271" t="s">
        <v>1853</v>
      </c>
      <c r="D937" s="177">
        <v>46205</v>
      </c>
      <c r="E937" s="178" t="s">
        <v>1849</v>
      </c>
      <c r="F937" s="271" t="s">
        <v>283</v>
      </c>
      <c r="G937" s="178" t="s">
        <v>1850</v>
      </c>
      <c r="H937" s="366">
        <v>230000</v>
      </c>
      <c r="I937" s="176">
        <v>10</v>
      </c>
      <c r="J937" s="366">
        <v>23000</v>
      </c>
      <c r="K937" s="178" t="s">
        <v>261</v>
      </c>
      <c r="L937" s="178" t="s">
        <v>252</v>
      </c>
      <c r="M937" s="271" t="s">
        <v>1784</v>
      </c>
      <c r="N937" s="177">
        <v>46234</v>
      </c>
      <c r="O937" s="177">
        <v>46234</v>
      </c>
      <c r="P937" s="366">
        <v>253000</v>
      </c>
      <c r="Q937" s="176" t="s">
        <v>248</v>
      </c>
      <c r="R937" s="176" t="s">
        <v>434</v>
      </c>
      <c r="S937" s="178" t="s">
        <v>253</v>
      </c>
      <c r="T937" s="57" t="str">
        <f t="shared" si="45"/>
        <v>Đ</v>
      </c>
      <c r="U937" s="59">
        <f t="shared" si="46"/>
        <v>0</v>
      </c>
      <c r="V937" s="55">
        <f t="shared" si="47"/>
        <v>13311</v>
      </c>
    </row>
    <row r="938" spans="1:22" ht="31.5" customHeight="1">
      <c r="A938" s="176">
        <v>921</v>
      </c>
      <c r="B938" s="178" t="s">
        <v>1847</v>
      </c>
      <c r="C938" s="271" t="s">
        <v>1854</v>
      </c>
      <c r="D938" s="177">
        <v>46205</v>
      </c>
      <c r="E938" s="178" t="s">
        <v>1849</v>
      </c>
      <c r="F938" s="271" t="s">
        <v>283</v>
      </c>
      <c r="G938" s="178" t="s">
        <v>1850</v>
      </c>
      <c r="H938" s="366">
        <v>20000</v>
      </c>
      <c r="I938" s="176">
        <v>10</v>
      </c>
      <c r="J938" s="366">
        <v>2000</v>
      </c>
      <c r="K938" s="178" t="s">
        <v>261</v>
      </c>
      <c r="L938" s="178" t="s">
        <v>252</v>
      </c>
      <c r="M938" s="271" t="s">
        <v>1784</v>
      </c>
      <c r="N938" s="177">
        <v>46234</v>
      </c>
      <c r="O938" s="177">
        <v>46234</v>
      </c>
      <c r="P938" s="366">
        <v>22000</v>
      </c>
      <c r="Q938" s="176" t="s">
        <v>248</v>
      </c>
      <c r="R938" s="176" t="s">
        <v>434</v>
      </c>
      <c r="S938" s="178" t="s">
        <v>253</v>
      </c>
      <c r="T938" s="57" t="str">
        <f t="shared" si="45"/>
        <v>Đ</v>
      </c>
      <c r="U938" s="59">
        <f t="shared" si="46"/>
        <v>0</v>
      </c>
      <c r="V938" s="55">
        <f t="shared" si="47"/>
        <v>13311</v>
      </c>
    </row>
    <row r="939" spans="1:22" ht="31.5" customHeight="1">
      <c r="A939" s="176">
        <v>922</v>
      </c>
      <c r="B939" s="178" t="s">
        <v>1847</v>
      </c>
      <c r="C939" s="271" t="s">
        <v>1855</v>
      </c>
      <c r="D939" s="177">
        <v>46205</v>
      </c>
      <c r="E939" s="178" t="s">
        <v>1849</v>
      </c>
      <c r="F939" s="271" t="s">
        <v>283</v>
      </c>
      <c r="G939" s="178" t="s">
        <v>1850</v>
      </c>
      <c r="H939" s="366">
        <v>900000</v>
      </c>
      <c r="I939" s="176">
        <v>10</v>
      </c>
      <c r="J939" s="366">
        <v>90000</v>
      </c>
      <c r="K939" s="178" t="s">
        <v>261</v>
      </c>
      <c r="L939" s="178" t="s">
        <v>252</v>
      </c>
      <c r="M939" s="271" t="s">
        <v>1784</v>
      </c>
      <c r="N939" s="177">
        <v>46234</v>
      </c>
      <c r="O939" s="177">
        <v>46234</v>
      </c>
      <c r="P939" s="366">
        <v>990000</v>
      </c>
      <c r="Q939" s="176" t="s">
        <v>248</v>
      </c>
      <c r="R939" s="176" t="s">
        <v>434</v>
      </c>
      <c r="S939" s="178" t="s">
        <v>253</v>
      </c>
      <c r="T939" s="57" t="str">
        <f t="shared" si="45"/>
        <v>Đ</v>
      </c>
      <c r="U939" s="59">
        <f t="shared" si="46"/>
        <v>0</v>
      </c>
      <c r="V939" s="55">
        <f t="shared" si="47"/>
        <v>13311</v>
      </c>
    </row>
    <row r="940" spans="1:22" ht="31.5" customHeight="1">
      <c r="A940" s="176">
        <v>923</v>
      </c>
      <c r="B940" s="178" t="s">
        <v>1847</v>
      </c>
      <c r="C940" s="271" t="s">
        <v>1856</v>
      </c>
      <c r="D940" s="177">
        <v>46205</v>
      </c>
      <c r="E940" s="178" t="s">
        <v>1849</v>
      </c>
      <c r="F940" s="271" t="s">
        <v>283</v>
      </c>
      <c r="G940" s="178" t="s">
        <v>1850</v>
      </c>
      <c r="H940" s="366">
        <v>92273</v>
      </c>
      <c r="I940" s="176">
        <v>10</v>
      </c>
      <c r="J940" s="366">
        <v>9227</v>
      </c>
      <c r="K940" s="178" t="s">
        <v>261</v>
      </c>
      <c r="L940" s="178" t="s">
        <v>252</v>
      </c>
      <c r="M940" s="271" t="s">
        <v>1784</v>
      </c>
      <c r="N940" s="177">
        <v>46234</v>
      </c>
      <c r="O940" s="177">
        <v>46234</v>
      </c>
      <c r="P940" s="366">
        <v>101500</v>
      </c>
      <c r="Q940" s="176" t="s">
        <v>248</v>
      </c>
      <c r="R940" s="176" t="s">
        <v>434</v>
      </c>
      <c r="S940" s="178" t="s">
        <v>253</v>
      </c>
      <c r="T940" s="57" t="str">
        <f t="shared" si="45"/>
        <v>Đ</v>
      </c>
      <c r="U940" s="59">
        <f t="shared" si="46"/>
        <v>0</v>
      </c>
      <c r="V940" s="55">
        <f t="shared" si="47"/>
        <v>13311</v>
      </c>
    </row>
    <row r="941" spans="1:22" ht="31.5" customHeight="1">
      <c r="A941" s="176">
        <v>924</v>
      </c>
      <c r="B941" s="178" t="s">
        <v>1847</v>
      </c>
      <c r="C941" s="271" t="s">
        <v>1857</v>
      </c>
      <c r="D941" s="177">
        <v>46205</v>
      </c>
      <c r="E941" s="178" t="s">
        <v>1849</v>
      </c>
      <c r="F941" s="271" t="s">
        <v>283</v>
      </c>
      <c r="G941" s="178" t="s">
        <v>1850</v>
      </c>
      <c r="H941" s="366">
        <v>20000</v>
      </c>
      <c r="I941" s="176">
        <v>10</v>
      </c>
      <c r="J941" s="366">
        <v>2000</v>
      </c>
      <c r="K941" s="178" t="s">
        <v>261</v>
      </c>
      <c r="L941" s="178" t="s">
        <v>252</v>
      </c>
      <c r="M941" s="271" t="s">
        <v>1784</v>
      </c>
      <c r="N941" s="177">
        <v>46234</v>
      </c>
      <c r="O941" s="177">
        <v>46234</v>
      </c>
      <c r="P941" s="366">
        <v>22000</v>
      </c>
      <c r="Q941" s="176" t="s">
        <v>248</v>
      </c>
      <c r="R941" s="176" t="s">
        <v>434</v>
      </c>
      <c r="S941" s="178" t="s">
        <v>253</v>
      </c>
      <c r="T941" s="57" t="str">
        <f t="shared" si="45"/>
        <v>Đ</v>
      </c>
      <c r="U941" s="59">
        <f t="shared" si="46"/>
        <v>0</v>
      </c>
      <c r="V941" s="55">
        <f t="shared" si="47"/>
        <v>13311</v>
      </c>
    </row>
    <row r="942" spans="1:22" ht="21.5" customHeight="1">
      <c r="A942" s="176">
        <v>925</v>
      </c>
      <c r="B942" s="178" t="s">
        <v>1858</v>
      </c>
      <c r="C942" s="271" t="s">
        <v>1859</v>
      </c>
      <c r="D942" s="177">
        <v>46205</v>
      </c>
      <c r="E942" s="178" t="s">
        <v>1860</v>
      </c>
      <c r="F942" s="271" t="s">
        <v>1861</v>
      </c>
      <c r="G942" s="178" t="s">
        <v>730</v>
      </c>
      <c r="H942" s="366">
        <v>6000259</v>
      </c>
      <c r="I942" s="176">
        <v>8</v>
      </c>
      <c r="J942" s="366">
        <v>480021</v>
      </c>
      <c r="K942" s="178" t="s">
        <v>261</v>
      </c>
      <c r="L942" s="178" t="s">
        <v>252</v>
      </c>
      <c r="M942" s="271" t="s">
        <v>1784</v>
      </c>
      <c r="N942" s="177">
        <v>46234</v>
      </c>
      <c r="O942" s="177">
        <v>46234</v>
      </c>
      <c r="P942" s="366">
        <v>6480280</v>
      </c>
      <c r="Q942" s="176" t="s">
        <v>248</v>
      </c>
      <c r="R942" s="176" t="s">
        <v>434</v>
      </c>
      <c r="S942" s="178" t="s">
        <v>253</v>
      </c>
      <c r="T942" s="57" t="str">
        <f t="shared" si="45"/>
        <v>Đ</v>
      </c>
      <c r="U942" s="59">
        <f t="shared" si="46"/>
        <v>0</v>
      </c>
      <c r="V942" s="55">
        <f t="shared" si="47"/>
        <v>13311</v>
      </c>
    </row>
    <row r="943" spans="1:22" ht="31.5" customHeight="1">
      <c r="A943" s="176">
        <v>926</v>
      </c>
      <c r="B943" s="178" t="s">
        <v>1847</v>
      </c>
      <c r="C943" s="271" t="s">
        <v>1862</v>
      </c>
      <c r="D943" s="177">
        <v>46205</v>
      </c>
      <c r="E943" s="178" t="s">
        <v>1849</v>
      </c>
      <c r="F943" s="271" t="s">
        <v>283</v>
      </c>
      <c r="G943" s="178" t="s">
        <v>1850</v>
      </c>
      <c r="H943" s="366">
        <v>1118182</v>
      </c>
      <c r="I943" s="176">
        <v>10</v>
      </c>
      <c r="J943" s="366">
        <v>111818</v>
      </c>
      <c r="K943" s="178" t="s">
        <v>261</v>
      </c>
      <c r="L943" s="178" t="s">
        <v>252</v>
      </c>
      <c r="M943" s="271" t="s">
        <v>1784</v>
      </c>
      <c r="N943" s="177">
        <v>46234</v>
      </c>
      <c r="O943" s="177">
        <v>46234</v>
      </c>
      <c r="P943" s="366">
        <v>1230000</v>
      </c>
      <c r="Q943" s="176" t="s">
        <v>248</v>
      </c>
      <c r="R943" s="176" t="s">
        <v>434</v>
      </c>
      <c r="S943" s="178" t="s">
        <v>253</v>
      </c>
      <c r="T943" s="57" t="str">
        <f t="shared" si="45"/>
        <v>Đ</v>
      </c>
      <c r="U943" s="59">
        <f t="shared" si="46"/>
        <v>0</v>
      </c>
      <c r="V943" s="55">
        <f t="shared" si="47"/>
        <v>13311</v>
      </c>
    </row>
    <row r="944" spans="1:22" ht="31.5" customHeight="1">
      <c r="A944" s="176">
        <v>927</v>
      </c>
      <c r="B944" s="178" t="s">
        <v>1847</v>
      </c>
      <c r="C944" s="271" t="s">
        <v>1863</v>
      </c>
      <c r="D944" s="177">
        <v>46205</v>
      </c>
      <c r="E944" s="178" t="s">
        <v>1849</v>
      </c>
      <c r="F944" s="271" t="s">
        <v>283</v>
      </c>
      <c r="G944" s="178" t="s">
        <v>1850</v>
      </c>
      <c r="H944" s="366">
        <v>247257</v>
      </c>
      <c r="I944" s="176">
        <v>10</v>
      </c>
      <c r="J944" s="366">
        <v>24726</v>
      </c>
      <c r="K944" s="178" t="s">
        <v>261</v>
      </c>
      <c r="L944" s="178" t="s">
        <v>252</v>
      </c>
      <c r="M944" s="271" t="s">
        <v>1784</v>
      </c>
      <c r="N944" s="177">
        <v>46234</v>
      </c>
      <c r="O944" s="177">
        <v>46234</v>
      </c>
      <c r="P944" s="366">
        <v>271983</v>
      </c>
      <c r="Q944" s="176" t="s">
        <v>248</v>
      </c>
      <c r="R944" s="176" t="s">
        <v>434</v>
      </c>
      <c r="S944" s="178" t="s">
        <v>253</v>
      </c>
      <c r="T944" s="57" t="str">
        <f t="shared" si="45"/>
        <v>Đ</v>
      </c>
      <c r="U944" s="59">
        <f t="shared" si="46"/>
        <v>0</v>
      </c>
      <c r="V944" s="55">
        <f t="shared" si="47"/>
        <v>13311</v>
      </c>
    </row>
    <row r="945" spans="1:22" ht="31.5" customHeight="1">
      <c r="A945" s="176">
        <v>928</v>
      </c>
      <c r="B945" s="178" t="s">
        <v>1847</v>
      </c>
      <c r="C945" s="271" t="s">
        <v>1864</v>
      </c>
      <c r="D945" s="177">
        <v>46205</v>
      </c>
      <c r="E945" s="178" t="s">
        <v>1849</v>
      </c>
      <c r="F945" s="271" t="s">
        <v>283</v>
      </c>
      <c r="G945" s="178" t="s">
        <v>1850</v>
      </c>
      <c r="H945" s="366">
        <v>20000</v>
      </c>
      <c r="I945" s="176">
        <v>10</v>
      </c>
      <c r="J945" s="366">
        <v>2000</v>
      </c>
      <c r="K945" s="178" t="s">
        <v>261</v>
      </c>
      <c r="L945" s="178" t="s">
        <v>252</v>
      </c>
      <c r="M945" s="271" t="s">
        <v>1784</v>
      </c>
      <c r="N945" s="177">
        <v>46234</v>
      </c>
      <c r="O945" s="177">
        <v>46234</v>
      </c>
      <c r="P945" s="366">
        <v>22000</v>
      </c>
      <c r="Q945" s="176" t="s">
        <v>248</v>
      </c>
      <c r="R945" s="176" t="s">
        <v>434</v>
      </c>
      <c r="S945" s="178" t="s">
        <v>253</v>
      </c>
      <c r="T945" s="57" t="str">
        <f t="shared" si="45"/>
        <v>Đ</v>
      </c>
      <c r="U945" s="59">
        <f t="shared" si="46"/>
        <v>0</v>
      </c>
      <c r="V945" s="55">
        <f t="shared" si="47"/>
        <v>13311</v>
      </c>
    </row>
    <row r="946" spans="1:22" ht="31.5" customHeight="1">
      <c r="A946" s="176">
        <v>929</v>
      </c>
      <c r="B946" s="178" t="s">
        <v>1847</v>
      </c>
      <c r="C946" s="271" t="s">
        <v>1865</v>
      </c>
      <c r="D946" s="177">
        <v>46205</v>
      </c>
      <c r="E946" s="178" t="s">
        <v>1849</v>
      </c>
      <c r="F946" s="271" t="s">
        <v>283</v>
      </c>
      <c r="G946" s="178" t="s">
        <v>1850</v>
      </c>
      <c r="H946" s="366">
        <v>531000</v>
      </c>
      <c r="I946" s="176">
        <v>10</v>
      </c>
      <c r="J946" s="366">
        <v>53100</v>
      </c>
      <c r="K946" s="178" t="s">
        <v>261</v>
      </c>
      <c r="L946" s="178" t="s">
        <v>252</v>
      </c>
      <c r="M946" s="271" t="s">
        <v>1784</v>
      </c>
      <c r="N946" s="177">
        <v>46234</v>
      </c>
      <c r="O946" s="177">
        <v>46234</v>
      </c>
      <c r="P946" s="366">
        <v>584100</v>
      </c>
      <c r="Q946" s="176" t="s">
        <v>248</v>
      </c>
      <c r="R946" s="176" t="s">
        <v>434</v>
      </c>
      <c r="S946" s="178" t="s">
        <v>253</v>
      </c>
      <c r="T946" s="57" t="str">
        <f t="shared" si="45"/>
        <v>Đ</v>
      </c>
      <c r="U946" s="59">
        <f t="shared" si="46"/>
        <v>0</v>
      </c>
      <c r="V946" s="55">
        <f t="shared" si="47"/>
        <v>13311</v>
      </c>
    </row>
    <row r="947" spans="1:22" ht="31.5" customHeight="1">
      <c r="A947" s="176">
        <v>930</v>
      </c>
      <c r="B947" s="178" t="s">
        <v>1847</v>
      </c>
      <c r="C947" s="271" t="s">
        <v>1866</v>
      </c>
      <c r="D947" s="177">
        <v>46205</v>
      </c>
      <c r="E947" s="178" t="s">
        <v>1849</v>
      </c>
      <c r="F947" s="271" t="s">
        <v>283</v>
      </c>
      <c r="G947" s="178" t="s">
        <v>1850</v>
      </c>
      <c r="H947" s="366">
        <v>21722</v>
      </c>
      <c r="I947" s="176">
        <v>10</v>
      </c>
      <c r="J947" s="366">
        <v>2172</v>
      </c>
      <c r="K947" s="178" t="s">
        <v>261</v>
      </c>
      <c r="L947" s="178" t="s">
        <v>252</v>
      </c>
      <c r="M947" s="271" t="s">
        <v>1784</v>
      </c>
      <c r="N947" s="177">
        <v>46234</v>
      </c>
      <c r="O947" s="177">
        <v>46234</v>
      </c>
      <c r="P947" s="366">
        <v>23894</v>
      </c>
      <c r="Q947" s="176" t="s">
        <v>248</v>
      </c>
      <c r="R947" s="176" t="s">
        <v>434</v>
      </c>
      <c r="S947" s="178" t="s">
        <v>253</v>
      </c>
      <c r="T947" s="57" t="str">
        <f t="shared" si="45"/>
        <v>Đ</v>
      </c>
      <c r="U947" s="59">
        <f t="shared" si="46"/>
        <v>0</v>
      </c>
      <c r="V947" s="55">
        <f t="shared" si="47"/>
        <v>13311</v>
      </c>
    </row>
    <row r="948" spans="1:22" ht="31.5" customHeight="1">
      <c r="A948" s="176">
        <v>931</v>
      </c>
      <c r="B948" s="178" t="s">
        <v>1847</v>
      </c>
      <c r="C948" s="271" t="s">
        <v>1867</v>
      </c>
      <c r="D948" s="177">
        <v>46205</v>
      </c>
      <c r="E948" s="178" t="s">
        <v>1849</v>
      </c>
      <c r="F948" s="271" t="s">
        <v>283</v>
      </c>
      <c r="G948" s="178" t="s">
        <v>1850</v>
      </c>
      <c r="H948" s="366">
        <v>69091</v>
      </c>
      <c r="I948" s="176">
        <v>10</v>
      </c>
      <c r="J948" s="366">
        <v>6909</v>
      </c>
      <c r="K948" s="178" t="s">
        <v>261</v>
      </c>
      <c r="L948" s="178" t="s">
        <v>252</v>
      </c>
      <c r="M948" s="271" t="s">
        <v>1784</v>
      </c>
      <c r="N948" s="177">
        <v>46234</v>
      </c>
      <c r="O948" s="177">
        <v>46234</v>
      </c>
      <c r="P948" s="366">
        <v>76000</v>
      </c>
      <c r="Q948" s="176" t="s">
        <v>248</v>
      </c>
      <c r="R948" s="176" t="s">
        <v>434</v>
      </c>
      <c r="S948" s="178" t="s">
        <v>253</v>
      </c>
      <c r="T948" s="57" t="str">
        <f t="shared" si="45"/>
        <v>Đ</v>
      </c>
      <c r="U948" s="59">
        <f t="shared" si="46"/>
        <v>0</v>
      </c>
      <c r="V948" s="55">
        <f t="shared" si="47"/>
        <v>13311</v>
      </c>
    </row>
    <row r="949" spans="1:22" ht="31.5" customHeight="1">
      <c r="A949" s="176">
        <v>932</v>
      </c>
      <c r="B949" s="178" t="s">
        <v>1847</v>
      </c>
      <c r="C949" s="271" t="s">
        <v>1868</v>
      </c>
      <c r="D949" s="177">
        <v>46205</v>
      </c>
      <c r="E949" s="178" t="s">
        <v>1849</v>
      </c>
      <c r="F949" s="271" t="s">
        <v>283</v>
      </c>
      <c r="G949" s="178" t="s">
        <v>1850</v>
      </c>
      <c r="H949" s="366">
        <v>1450000</v>
      </c>
      <c r="I949" s="176">
        <v>10</v>
      </c>
      <c r="J949" s="366">
        <v>145000</v>
      </c>
      <c r="K949" s="178" t="s">
        <v>261</v>
      </c>
      <c r="L949" s="178" t="s">
        <v>252</v>
      </c>
      <c r="M949" s="271" t="s">
        <v>1784</v>
      </c>
      <c r="N949" s="177">
        <v>46234</v>
      </c>
      <c r="O949" s="177">
        <v>46234</v>
      </c>
      <c r="P949" s="366">
        <v>1595000</v>
      </c>
      <c r="Q949" s="176" t="s">
        <v>248</v>
      </c>
      <c r="R949" s="176" t="s">
        <v>434</v>
      </c>
      <c r="S949" s="178" t="s">
        <v>253</v>
      </c>
      <c r="T949" s="57" t="str">
        <f t="shared" si="45"/>
        <v>Đ</v>
      </c>
      <c r="U949" s="59">
        <f t="shared" si="46"/>
        <v>0</v>
      </c>
      <c r="V949" s="55">
        <f t="shared" si="47"/>
        <v>13311</v>
      </c>
    </row>
    <row r="950" spans="1:22" ht="31.5" customHeight="1">
      <c r="A950" s="176">
        <v>933</v>
      </c>
      <c r="B950" s="178" t="s">
        <v>1847</v>
      </c>
      <c r="C950" s="271" t="s">
        <v>1869</v>
      </c>
      <c r="D950" s="177">
        <v>46205</v>
      </c>
      <c r="E950" s="178" t="s">
        <v>1849</v>
      </c>
      <c r="F950" s="271" t="s">
        <v>283</v>
      </c>
      <c r="G950" s="178" t="s">
        <v>1850</v>
      </c>
      <c r="H950" s="366">
        <v>354000</v>
      </c>
      <c r="I950" s="176">
        <v>10</v>
      </c>
      <c r="J950" s="366">
        <v>35400</v>
      </c>
      <c r="K950" s="178" t="s">
        <v>261</v>
      </c>
      <c r="L950" s="178" t="s">
        <v>252</v>
      </c>
      <c r="M950" s="271" t="s">
        <v>1784</v>
      </c>
      <c r="N950" s="177">
        <v>46234</v>
      </c>
      <c r="O950" s="177">
        <v>46234</v>
      </c>
      <c r="P950" s="366">
        <v>389400</v>
      </c>
      <c r="Q950" s="176" t="s">
        <v>248</v>
      </c>
      <c r="R950" s="176" t="s">
        <v>434</v>
      </c>
      <c r="S950" s="178" t="s">
        <v>253</v>
      </c>
      <c r="T950" s="57" t="str">
        <f t="shared" si="45"/>
        <v>Đ</v>
      </c>
      <c r="U950" s="59">
        <f t="shared" si="46"/>
        <v>0</v>
      </c>
      <c r="V950" s="55">
        <f t="shared" si="47"/>
        <v>13311</v>
      </c>
    </row>
    <row r="951" spans="1:22" ht="31.5" customHeight="1">
      <c r="A951" s="176">
        <v>934</v>
      </c>
      <c r="B951" s="178" t="s">
        <v>1847</v>
      </c>
      <c r="C951" s="271" t="s">
        <v>1870</v>
      </c>
      <c r="D951" s="177">
        <v>46205</v>
      </c>
      <c r="E951" s="178" t="s">
        <v>1849</v>
      </c>
      <c r="F951" s="271" t="s">
        <v>283</v>
      </c>
      <c r="G951" s="178" t="s">
        <v>1850</v>
      </c>
      <c r="H951" s="366">
        <v>3254548</v>
      </c>
      <c r="I951" s="176">
        <v>10</v>
      </c>
      <c r="J951" s="366">
        <v>325455</v>
      </c>
      <c r="K951" s="178" t="s">
        <v>261</v>
      </c>
      <c r="L951" s="178" t="s">
        <v>252</v>
      </c>
      <c r="M951" s="271" t="s">
        <v>1784</v>
      </c>
      <c r="N951" s="177">
        <v>46234</v>
      </c>
      <c r="O951" s="177">
        <v>46234</v>
      </c>
      <c r="P951" s="366">
        <v>3580003</v>
      </c>
      <c r="Q951" s="176" t="s">
        <v>248</v>
      </c>
      <c r="R951" s="176" t="s">
        <v>434</v>
      </c>
      <c r="S951" s="178" t="s">
        <v>253</v>
      </c>
      <c r="T951" s="57" t="str">
        <f t="shared" si="45"/>
        <v>Đ</v>
      </c>
      <c r="U951" s="59">
        <f t="shared" si="46"/>
        <v>0</v>
      </c>
      <c r="V951" s="55">
        <f t="shared" si="47"/>
        <v>13311</v>
      </c>
    </row>
    <row r="952" spans="1:22" ht="31.5" customHeight="1">
      <c r="A952" s="176">
        <v>935</v>
      </c>
      <c r="B952" s="178" t="s">
        <v>1847</v>
      </c>
      <c r="C952" s="271" t="s">
        <v>1871</v>
      </c>
      <c r="D952" s="177">
        <v>46205</v>
      </c>
      <c r="E952" s="178" t="s">
        <v>1849</v>
      </c>
      <c r="F952" s="271" t="s">
        <v>283</v>
      </c>
      <c r="G952" s="178" t="s">
        <v>1850</v>
      </c>
      <c r="H952" s="366">
        <v>34377</v>
      </c>
      <c r="I952" s="176">
        <v>10</v>
      </c>
      <c r="J952" s="366">
        <v>3438</v>
      </c>
      <c r="K952" s="178" t="s">
        <v>261</v>
      </c>
      <c r="L952" s="178" t="s">
        <v>252</v>
      </c>
      <c r="M952" s="271" t="s">
        <v>1784</v>
      </c>
      <c r="N952" s="177">
        <v>46234</v>
      </c>
      <c r="O952" s="177">
        <v>46234</v>
      </c>
      <c r="P952" s="366">
        <v>37815</v>
      </c>
      <c r="Q952" s="176" t="s">
        <v>248</v>
      </c>
      <c r="R952" s="176" t="s">
        <v>434</v>
      </c>
      <c r="S952" s="178" t="s">
        <v>253</v>
      </c>
      <c r="T952" s="57" t="str">
        <f t="shared" si="45"/>
        <v>Đ</v>
      </c>
      <c r="U952" s="59">
        <f t="shared" si="46"/>
        <v>0</v>
      </c>
      <c r="V952" s="55">
        <f t="shared" si="47"/>
        <v>13311</v>
      </c>
    </row>
    <row r="953" spans="1:22" ht="31.5" customHeight="1">
      <c r="A953" s="176">
        <v>936</v>
      </c>
      <c r="B953" s="178" t="s">
        <v>1847</v>
      </c>
      <c r="C953" s="271" t="s">
        <v>1872</v>
      </c>
      <c r="D953" s="177">
        <v>46205</v>
      </c>
      <c r="E953" s="178" t="s">
        <v>1849</v>
      </c>
      <c r="F953" s="271" t="s">
        <v>283</v>
      </c>
      <c r="G953" s="178" t="s">
        <v>1850</v>
      </c>
      <c r="H953" s="366">
        <v>163636</v>
      </c>
      <c r="I953" s="176">
        <v>10</v>
      </c>
      <c r="J953" s="366">
        <v>16364</v>
      </c>
      <c r="K953" s="178" t="s">
        <v>261</v>
      </c>
      <c r="L953" s="178" t="s">
        <v>252</v>
      </c>
      <c r="M953" s="271" t="s">
        <v>1784</v>
      </c>
      <c r="N953" s="177">
        <v>46234</v>
      </c>
      <c r="O953" s="177">
        <v>46234</v>
      </c>
      <c r="P953" s="366">
        <v>180000</v>
      </c>
      <c r="Q953" s="176" t="s">
        <v>248</v>
      </c>
      <c r="R953" s="176" t="s">
        <v>434</v>
      </c>
      <c r="S953" s="178" t="s">
        <v>253</v>
      </c>
      <c r="T953" s="57" t="str">
        <f t="shared" si="45"/>
        <v>Đ</v>
      </c>
      <c r="U953" s="59">
        <f t="shared" si="46"/>
        <v>0</v>
      </c>
      <c r="V953" s="55">
        <f t="shared" si="47"/>
        <v>13311</v>
      </c>
    </row>
    <row r="954" spans="1:22" ht="31.5" customHeight="1">
      <c r="A954" s="176">
        <v>937</v>
      </c>
      <c r="B954" s="178" t="s">
        <v>1847</v>
      </c>
      <c r="C954" s="271" t="s">
        <v>1873</v>
      </c>
      <c r="D954" s="177">
        <v>46205</v>
      </c>
      <c r="E954" s="178" t="s">
        <v>1849</v>
      </c>
      <c r="F954" s="271" t="s">
        <v>283</v>
      </c>
      <c r="G954" s="178" t="s">
        <v>1850</v>
      </c>
      <c r="H954" s="366">
        <v>144545</v>
      </c>
      <c r="I954" s="176">
        <v>10</v>
      </c>
      <c r="J954" s="366">
        <v>14455</v>
      </c>
      <c r="K954" s="178" t="s">
        <v>261</v>
      </c>
      <c r="L954" s="178" t="s">
        <v>252</v>
      </c>
      <c r="M954" s="271" t="s">
        <v>1784</v>
      </c>
      <c r="N954" s="177">
        <v>46234</v>
      </c>
      <c r="O954" s="177">
        <v>46234</v>
      </c>
      <c r="P954" s="366">
        <v>159000</v>
      </c>
      <c r="Q954" s="176" t="s">
        <v>248</v>
      </c>
      <c r="R954" s="176" t="s">
        <v>434</v>
      </c>
      <c r="S954" s="178" t="s">
        <v>253</v>
      </c>
      <c r="T954" s="57" t="str">
        <f t="shared" si="45"/>
        <v>Đ</v>
      </c>
      <c r="U954" s="59">
        <f t="shared" si="46"/>
        <v>0</v>
      </c>
      <c r="V954" s="55">
        <f t="shared" si="47"/>
        <v>13311</v>
      </c>
    </row>
    <row r="955" spans="1:22" ht="31.5" customHeight="1">
      <c r="A955" s="176">
        <v>938</v>
      </c>
      <c r="B955" s="178" t="s">
        <v>1847</v>
      </c>
      <c r="C955" s="271" t="s">
        <v>1874</v>
      </c>
      <c r="D955" s="177">
        <v>46205</v>
      </c>
      <c r="E955" s="178" t="s">
        <v>1849</v>
      </c>
      <c r="F955" s="271" t="s">
        <v>283</v>
      </c>
      <c r="G955" s="178" t="s">
        <v>1850</v>
      </c>
      <c r="H955" s="366">
        <v>582797</v>
      </c>
      <c r="I955" s="176">
        <v>10</v>
      </c>
      <c r="J955" s="366">
        <v>58280</v>
      </c>
      <c r="K955" s="178" t="s">
        <v>261</v>
      </c>
      <c r="L955" s="178" t="s">
        <v>252</v>
      </c>
      <c r="M955" s="271" t="s">
        <v>1784</v>
      </c>
      <c r="N955" s="177">
        <v>46234</v>
      </c>
      <c r="O955" s="177">
        <v>46234</v>
      </c>
      <c r="P955" s="366">
        <v>641077</v>
      </c>
      <c r="Q955" s="176" t="s">
        <v>248</v>
      </c>
      <c r="R955" s="176" t="s">
        <v>434</v>
      </c>
      <c r="S955" s="178" t="s">
        <v>253</v>
      </c>
      <c r="T955" s="57" t="str">
        <f t="shared" si="45"/>
        <v>Đ</v>
      </c>
      <c r="U955" s="59">
        <f t="shared" si="46"/>
        <v>0</v>
      </c>
      <c r="V955" s="55">
        <f t="shared" si="47"/>
        <v>13311</v>
      </c>
    </row>
    <row r="956" spans="1:22" ht="31.5" customHeight="1">
      <c r="A956" s="176">
        <v>939</v>
      </c>
      <c r="B956" s="178" t="s">
        <v>1847</v>
      </c>
      <c r="C956" s="271" t="s">
        <v>1875</v>
      </c>
      <c r="D956" s="177">
        <v>46205</v>
      </c>
      <c r="E956" s="178" t="s">
        <v>1849</v>
      </c>
      <c r="F956" s="271" t="s">
        <v>283</v>
      </c>
      <c r="G956" s="178" t="s">
        <v>1850</v>
      </c>
      <c r="H956" s="366">
        <v>218182</v>
      </c>
      <c r="I956" s="176">
        <v>10</v>
      </c>
      <c r="J956" s="366">
        <v>21818</v>
      </c>
      <c r="K956" s="178" t="s">
        <v>261</v>
      </c>
      <c r="L956" s="178" t="s">
        <v>252</v>
      </c>
      <c r="M956" s="271" t="s">
        <v>1784</v>
      </c>
      <c r="N956" s="177">
        <v>46234</v>
      </c>
      <c r="O956" s="177">
        <v>46234</v>
      </c>
      <c r="P956" s="366">
        <v>240000</v>
      </c>
      <c r="Q956" s="176" t="s">
        <v>248</v>
      </c>
      <c r="R956" s="176" t="s">
        <v>434</v>
      </c>
      <c r="S956" s="178" t="s">
        <v>253</v>
      </c>
      <c r="T956" s="57" t="str">
        <f t="shared" si="45"/>
        <v>Đ</v>
      </c>
      <c r="U956" s="59">
        <f t="shared" si="46"/>
        <v>0</v>
      </c>
      <c r="V956" s="55">
        <f t="shared" si="47"/>
        <v>13311</v>
      </c>
    </row>
    <row r="957" spans="1:22" ht="21.5" customHeight="1">
      <c r="A957" s="176">
        <v>940</v>
      </c>
      <c r="B957" s="178" t="s">
        <v>1876</v>
      </c>
      <c r="C957" s="271" t="s">
        <v>1877</v>
      </c>
      <c r="D957" s="177">
        <v>46206</v>
      </c>
      <c r="E957" s="178" t="s">
        <v>1878</v>
      </c>
      <c r="F957" s="271" t="s">
        <v>1879</v>
      </c>
      <c r="G957" s="178" t="s">
        <v>1880</v>
      </c>
      <c r="H957" s="366">
        <v>44000000</v>
      </c>
      <c r="I957" s="176">
        <v>8</v>
      </c>
      <c r="J957" s="366">
        <v>3520000</v>
      </c>
      <c r="K957" s="178" t="s">
        <v>261</v>
      </c>
      <c r="L957" s="178" t="s">
        <v>252</v>
      </c>
      <c r="M957" s="271" t="s">
        <v>1784</v>
      </c>
      <c r="N957" s="177">
        <v>46234</v>
      </c>
      <c r="O957" s="177">
        <v>46234</v>
      </c>
      <c r="P957" s="366">
        <v>47520000</v>
      </c>
      <c r="Q957" s="176" t="s">
        <v>248</v>
      </c>
      <c r="R957" s="176" t="s">
        <v>434</v>
      </c>
      <c r="S957" s="178" t="s">
        <v>253</v>
      </c>
      <c r="T957" s="57" t="str">
        <f t="shared" si="45"/>
        <v>Đ</v>
      </c>
      <c r="U957" s="59">
        <f t="shared" si="46"/>
        <v>0</v>
      </c>
      <c r="V957" s="55">
        <f t="shared" si="47"/>
        <v>13311</v>
      </c>
    </row>
    <row r="958" spans="1:22" ht="14.5" customHeight="1">
      <c r="A958" s="176">
        <v>941</v>
      </c>
      <c r="B958" s="178" t="s">
        <v>1881</v>
      </c>
      <c r="C958" s="271" t="s">
        <v>1882</v>
      </c>
      <c r="D958" s="177">
        <v>46206</v>
      </c>
      <c r="E958" s="178" t="s">
        <v>1883</v>
      </c>
      <c r="F958" s="271" t="s">
        <v>1884</v>
      </c>
      <c r="G958" s="178" t="s">
        <v>730</v>
      </c>
      <c r="H958" s="366">
        <v>2932000</v>
      </c>
      <c r="I958" s="176">
        <v>8</v>
      </c>
      <c r="J958" s="366">
        <v>234560</v>
      </c>
      <c r="K958" s="178" t="s">
        <v>261</v>
      </c>
      <c r="L958" s="178" t="s">
        <v>252</v>
      </c>
      <c r="M958" s="271" t="s">
        <v>1784</v>
      </c>
      <c r="N958" s="177">
        <v>46234</v>
      </c>
      <c r="O958" s="177">
        <v>46234</v>
      </c>
      <c r="P958" s="366">
        <v>3166560</v>
      </c>
      <c r="Q958" s="176" t="s">
        <v>248</v>
      </c>
      <c r="R958" s="176" t="s">
        <v>434</v>
      </c>
      <c r="S958" s="178" t="s">
        <v>253</v>
      </c>
      <c r="T958" s="57" t="str">
        <f t="shared" si="45"/>
        <v>Đ</v>
      </c>
      <c r="U958" s="59">
        <f t="shared" si="46"/>
        <v>0</v>
      </c>
      <c r="V958" s="55">
        <f t="shared" si="47"/>
        <v>13311</v>
      </c>
    </row>
    <row r="959" spans="1:22" ht="14.5" customHeight="1">
      <c r="A959" s="176">
        <v>942</v>
      </c>
      <c r="B959" s="178" t="s">
        <v>1881</v>
      </c>
      <c r="C959" s="271" t="s">
        <v>1882</v>
      </c>
      <c r="D959" s="177">
        <v>46206</v>
      </c>
      <c r="E959" s="178" t="s">
        <v>1883</v>
      </c>
      <c r="F959" s="271" t="s">
        <v>1884</v>
      </c>
      <c r="G959" s="178" t="s">
        <v>730</v>
      </c>
      <c r="H959" s="366">
        <v>105000</v>
      </c>
      <c r="I959" s="176">
        <v>10</v>
      </c>
      <c r="J959" s="366">
        <v>10500</v>
      </c>
      <c r="K959" s="178" t="s">
        <v>261</v>
      </c>
      <c r="L959" s="178" t="s">
        <v>252</v>
      </c>
      <c r="M959" s="271" t="s">
        <v>1784</v>
      </c>
      <c r="N959" s="177">
        <v>46234</v>
      </c>
      <c r="O959" s="177">
        <v>46234</v>
      </c>
      <c r="P959" s="366">
        <v>115500</v>
      </c>
      <c r="Q959" s="176" t="s">
        <v>248</v>
      </c>
      <c r="R959" s="176" t="s">
        <v>434</v>
      </c>
      <c r="S959" s="178" t="s">
        <v>253</v>
      </c>
      <c r="T959" s="57" t="str">
        <f t="shared" si="45"/>
        <v>Đ</v>
      </c>
      <c r="U959" s="59">
        <f t="shared" si="46"/>
        <v>0</v>
      </c>
      <c r="V959" s="55">
        <f t="shared" si="47"/>
        <v>13311</v>
      </c>
    </row>
    <row r="960" spans="1:22" ht="21.5" customHeight="1">
      <c r="A960" s="176">
        <v>943</v>
      </c>
      <c r="B960" s="178" t="s">
        <v>715</v>
      </c>
      <c r="C960" s="271" t="s">
        <v>1885</v>
      </c>
      <c r="D960" s="177">
        <v>46208</v>
      </c>
      <c r="E960" s="178" t="s">
        <v>1886</v>
      </c>
      <c r="F960" s="271" t="s">
        <v>1887</v>
      </c>
      <c r="G960" s="178" t="s">
        <v>1888</v>
      </c>
      <c r="H960" s="366">
        <v>33333</v>
      </c>
      <c r="I960" s="176">
        <v>8</v>
      </c>
      <c r="J960" s="366">
        <v>2667</v>
      </c>
      <c r="K960" s="178" t="s">
        <v>261</v>
      </c>
      <c r="L960" s="178" t="s">
        <v>252</v>
      </c>
      <c r="M960" s="271" t="s">
        <v>1784</v>
      </c>
      <c r="N960" s="177">
        <v>46234</v>
      </c>
      <c r="O960" s="177">
        <v>46234</v>
      </c>
      <c r="P960" s="366">
        <v>36000</v>
      </c>
      <c r="Q960" s="176" t="s">
        <v>248</v>
      </c>
      <c r="R960" s="176" t="s">
        <v>434</v>
      </c>
      <c r="S960" s="178" t="s">
        <v>253</v>
      </c>
      <c r="T960" s="57" t="str">
        <f t="shared" si="45"/>
        <v>Đ</v>
      </c>
      <c r="U960" s="59">
        <f t="shared" si="46"/>
        <v>0</v>
      </c>
      <c r="V960" s="55">
        <f t="shared" si="47"/>
        <v>13311</v>
      </c>
    </row>
    <row r="961" spans="1:22" ht="14.5" customHeight="1">
      <c r="A961" s="176">
        <v>944</v>
      </c>
      <c r="B961" s="178" t="s">
        <v>715</v>
      </c>
      <c r="C961" s="271" t="s">
        <v>1889</v>
      </c>
      <c r="D961" s="177">
        <v>46209</v>
      </c>
      <c r="E961" s="178" t="s">
        <v>1890</v>
      </c>
      <c r="F961" s="271" t="s">
        <v>1891</v>
      </c>
      <c r="G961" s="178" t="s">
        <v>1892</v>
      </c>
      <c r="H961" s="366">
        <v>533400</v>
      </c>
      <c r="I961" s="176">
        <v>5</v>
      </c>
      <c r="J961" s="366">
        <v>26670</v>
      </c>
      <c r="K961" s="178" t="s">
        <v>261</v>
      </c>
      <c r="L961" s="178" t="s">
        <v>252</v>
      </c>
      <c r="M961" s="271" t="s">
        <v>1784</v>
      </c>
      <c r="N961" s="177">
        <v>46234</v>
      </c>
      <c r="O961" s="177">
        <v>46234</v>
      </c>
      <c r="P961" s="366">
        <v>560070</v>
      </c>
      <c r="Q961" s="176" t="s">
        <v>248</v>
      </c>
      <c r="R961" s="176" t="s">
        <v>434</v>
      </c>
      <c r="S961" s="178" t="s">
        <v>253</v>
      </c>
      <c r="T961" s="57" t="str">
        <f t="shared" si="45"/>
        <v>Đ</v>
      </c>
      <c r="U961" s="59">
        <f t="shared" si="46"/>
        <v>0</v>
      </c>
      <c r="V961" s="55">
        <f t="shared" si="47"/>
        <v>13311</v>
      </c>
    </row>
    <row r="962" spans="1:22" ht="14.5" customHeight="1">
      <c r="A962" s="176">
        <v>945</v>
      </c>
      <c r="B962" s="178" t="s">
        <v>715</v>
      </c>
      <c r="C962" s="271" t="s">
        <v>1893</v>
      </c>
      <c r="D962" s="177">
        <v>46209</v>
      </c>
      <c r="E962" s="178" t="s">
        <v>1890</v>
      </c>
      <c r="F962" s="271" t="s">
        <v>1891</v>
      </c>
      <c r="G962" s="178" t="s">
        <v>1892</v>
      </c>
      <c r="H962" s="366">
        <v>1378000</v>
      </c>
      <c r="I962" s="176">
        <v>5</v>
      </c>
      <c r="J962" s="366">
        <v>68900</v>
      </c>
      <c r="K962" s="178" t="s">
        <v>261</v>
      </c>
      <c r="L962" s="178" t="s">
        <v>252</v>
      </c>
      <c r="M962" s="271" t="s">
        <v>1784</v>
      </c>
      <c r="N962" s="177">
        <v>46234</v>
      </c>
      <c r="O962" s="177">
        <v>46234</v>
      </c>
      <c r="P962" s="366">
        <v>1446900</v>
      </c>
      <c r="Q962" s="176" t="s">
        <v>248</v>
      </c>
      <c r="R962" s="176" t="s">
        <v>434</v>
      </c>
      <c r="S962" s="178" t="s">
        <v>253</v>
      </c>
      <c r="T962" s="57" t="str">
        <f t="shared" si="45"/>
        <v>Đ</v>
      </c>
      <c r="U962" s="59">
        <f t="shared" si="46"/>
        <v>0</v>
      </c>
      <c r="V962" s="55">
        <f t="shared" si="47"/>
        <v>13311</v>
      </c>
    </row>
    <row r="963" spans="1:22" ht="21.5" customHeight="1">
      <c r="A963" s="176">
        <v>946</v>
      </c>
      <c r="B963" s="178" t="s">
        <v>1894</v>
      </c>
      <c r="C963" s="271" t="s">
        <v>1895</v>
      </c>
      <c r="D963" s="177">
        <v>46210</v>
      </c>
      <c r="E963" s="178" t="s">
        <v>694</v>
      </c>
      <c r="F963" s="271" t="s">
        <v>695</v>
      </c>
      <c r="G963" s="178" t="s">
        <v>1896</v>
      </c>
      <c r="H963" s="366">
        <v>227273</v>
      </c>
      <c r="I963" s="176">
        <v>8</v>
      </c>
      <c r="J963" s="366">
        <v>18182</v>
      </c>
      <c r="K963" s="178" t="s">
        <v>261</v>
      </c>
      <c r="L963" s="178" t="s">
        <v>252</v>
      </c>
      <c r="M963" s="271" t="s">
        <v>1784</v>
      </c>
      <c r="N963" s="177">
        <v>46234</v>
      </c>
      <c r="O963" s="177">
        <v>46234</v>
      </c>
      <c r="P963" s="366">
        <v>245455</v>
      </c>
      <c r="Q963" s="176" t="s">
        <v>248</v>
      </c>
      <c r="R963" s="176" t="s">
        <v>434</v>
      </c>
      <c r="S963" s="178" t="s">
        <v>253</v>
      </c>
      <c r="T963" s="57" t="str">
        <f t="shared" si="45"/>
        <v>Đ</v>
      </c>
      <c r="U963" s="59">
        <f t="shared" si="46"/>
        <v>0</v>
      </c>
      <c r="V963" s="55">
        <f t="shared" si="47"/>
        <v>13311</v>
      </c>
    </row>
    <row r="964" spans="1:22" ht="31.5" customHeight="1">
      <c r="A964" s="176">
        <v>947</v>
      </c>
      <c r="B964" s="178" t="s">
        <v>1847</v>
      </c>
      <c r="C964" s="271" t="s">
        <v>1897</v>
      </c>
      <c r="D964" s="177">
        <v>46210</v>
      </c>
      <c r="E964" s="178" t="s">
        <v>1849</v>
      </c>
      <c r="F964" s="271" t="s">
        <v>283</v>
      </c>
      <c r="G964" s="178" t="s">
        <v>1898</v>
      </c>
      <c r="H964" s="366">
        <v>272727</v>
      </c>
      <c r="I964" s="176">
        <v>10</v>
      </c>
      <c r="J964" s="366">
        <v>27273</v>
      </c>
      <c r="K964" s="178" t="s">
        <v>261</v>
      </c>
      <c r="L964" s="178" t="s">
        <v>252</v>
      </c>
      <c r="M964" s="271" t="s">
        <v>1784</v>
      </c>
      <c r="N964" s="177">
        <v>46234</v>
      </c>
      <c r="O964" s="177">
        <v>46234</v>
      </c>
      <c r="P964" s="366">
        <v>300000</v>
      </c>
      <c r="Q964" s="176" t="s">
        <v>248</v>
      </c>
      <c r="R964" s="176" t="s">
        <v>434</v>
      </c>
      <c r="S964" s="178" t="s">
        <v>253</v>
      </c>
      <c r="T964" s="57" t="str">
        <f t="shared" si="45"/>
        <v>Đ</v>
      </c>
      <c r="U964" s="59">
        <f t="shared" si="46"/>
        <v>0</v>
      </c>
      <c r="V964" s="55">
        <f t="shared" si="47"/>
        <v>13311</v>
      </c>
    </row>
    <row r="965" spans="1:22" ht="31.5" customHeight="1">
      <c r="A965" s="176">
        <v>948</v>
      </c>
      <c r="B965" s="178" t="s">
        <v>1847</v>
      </c>
      <c r="C965" s="271" t="s">
        <v>1899</v>
      </c>
      <c r="D965" s="177">
        <v>46210</v>
      </c>
      <c r="E965" s="178" t="s">
        <v>1849</v>
      </c>
      <c r="F965" s="271" t="s">
        <v>283</v>
      </c>
      <c r="G965" s="178" t="s">
        <v>1898</v>
      </c>
      <c r="H965" s="366">
        <v>272727</v>
      </c>
      <c r="I965" s="176">
        <v>10</v>
      </c>
      <c r="J965" s="366">
        <v>27273</v>
      </c>
      <c r="K965" s="178" t="s">
        <v>261</v>
      </c>
      <c r="L965" s="178" t="s">
        <v>252</v>
      </c>
      <c r="M965" s="271" t="s">
        <v>1784</v>
      </c>
      <c r="N965" s="177">
        <v>46234</v>
      </c>
      <c r="O965" s="177">
        <v>46234</v>
      </c>
      <c r="P965" s="366">
        <v>300000</v>
      </c>
      <c r="Q965" s="176" t="s">
        <v>248</v>
      </c>
      <c r="R965" s="176" t="s">
        <v>434</v>
      </c>
      <c r="S965" s="178" t="s">
        <v>253</v>
      </c>
      <c r="T965" s="57" t="str">
        <f t="shared" si="45"/>
        <v>Đ</v>
      </c>
      <c r="U965" s="59">
        <f t="shared" si="46"/>
        <v>0</v>
      </c>
      <c r="V965" s="55">
        <f t="shared" si="47"/>
        <v>13311</v>
      </c>
    </row>
    <row r="966" spans="1:22" ht="31.5" customHeight="1">
      <c r="A966" s="176">
        <v>949</v>
      </c>
      <c r="B966" s="178" t="s">
        <v>1847</v>
      </c>
      <c r="C966" s="271" t="s">
        <v>1900</v>
      </c>
      <c r="D966" s="177">
        <v>46210</v>
      </c>
      <c r="E966" s="178" t="s">
        <v>1849</v>
      </c>
      <c r="F966" s="271" t="s">
        <v>283</v>
      </c>
      <c r="G966" s="178" t="s">
        <v>1898</v>
      </c>
      <c r="H966" s="366">
        <v>272727</v>
      </c>
      <c r="I966" s="176">
        <v>10</v>
      </c>
      <c r="J966" s="366">
        <v>27273</v>
      </c>
      <c r="K966" s="178" t="s">
        <v>261</v>
      </c>
      <c r="L966" s="178" t="s">
        <v>252</v>
      </c>
      <c r="M966" s="271" t="s">
        <v>1784</v>
      </c>
      <c r="N966" s="177">
        <v>46234</v>
      </c>
      <c r="O966" s="177">
        <v>46234</v>
      </c>
      <c r="P966" s="366">
        <v>300000</v>
      </c>
      <c r="Q966" s="176" t="s">
        <v>248</v>
      </c>
      <c r="R966" s="176" t="s">
        <v>434</v>
      </c>
      <c r="S966" s="178" t="s">
        <v>253</v>
      </c>
      <c r="T966" s="57" t="str">
        <f t="shared" si="45"/>
        <v>Đ</v>
      </c>
      <c r="U966" s="59">
        <f t="shared" si="46"/>
        <v>0</v>
      </c>
      <c r="V966" s="55">
        <f t="shared" si="47"/>
        <v>13311</v>
      </c>
    </row>
    <row r="967" spans="1:22" ht="31.5" customHeight="1">
      <c r="A967" s="176">
        <v>950</v>
      </c>
      <c r="B967" s="178" t="s">
        <v>1847</v>
      </c>
      <c r="C967" s="271" t="s">
        <v>1901</v>
      </c>
      <c r="D967" s="177">
        <v>46210</v>
      </c>
      <c r="E967" s="178" t="s">
        <v>1849</v>
      </c>
      <c r="F967" s="271" t="s">
        <v>283</v>
      </c>
      <c r="G967" s="178" t="s">
        <v>1898</v>
      </c>
      <c r="H967" s="366">
        <v>272727</v>
      </c>
      <c r="I967" s="176">
        <v>10</v>
      </c>
      <c r="J967" s="366">
        <v>27273</v>
      </c>
      <c r="K967" s="178" t="s">
        <v>261</v>
      </c>
      <c r="L967" s="178" t="s">
        <v>252</v>
      </c>
      <c r="M967" s="271" t="s">
        <v>1784</v>
      </c>
      <c r="N967" s="177">
        <v>46234</v>
      </c>
      <c r="O967" s="177">
        <v>46234</v>
      </c>
      <c r="P967" s="366">
        <v>300000</v>
      </c>
      <c r="Q967" s="176" t="s">
        <v>248</v>
      </c>
      <c r="R967" s="176" t="s">
        <v>434</v>
      </c>
      <c r="S967" s="178" t="s">
        <v>253</v>
      </c>
      <c r="T967" s="57" t="str">
        <f t="shared" si="45"/>
        <v>Đ</v>
      </c>
      <c r="U967" s="59">
        <f t="shared" si="46"/>
        <v>0</v>
      </c>
      <c r="V967" s="55">
        <f t="shared" si="47"/>
        <v>13311</v>
      </c>
    </row>
    <row r="968" spans="1:22" ht="14.5" customHeight="1">
      <c r="A968" s="176">
        <v>951</v>
      </c>
      <c r="B968" s="178" t="s">
        <v>1902</v>
      </c>
      <c r="C968" s="271" t="s">
        <v>1667</v>
      </c>
      <c r="D968" s="177">
        <v>46211</v>
      </c>
      <c r="E968" s="178" t="s">
        <v>1903</v>
      </c>
      <c r="F968" s="271" t="s">
        <v>1904</v>
      </c>
      <c r="G968" s="178" t="s">
        <v>1905</v>
      </c>
      <c r="H968" s="366">
        <v>666667</v>
      </c>
      <c r="I968" s="176">
        <v>8</v>
      </c>
      <c r="J968" s="366">
        <v>53333</v>
      </c>
      <c r="K968" s="178" t="s">
        <v>261</v>
      </c>
      <c r="L968" s="178" t="s">
        <v>252</v>
      </c>
      <c r="M968" s="271" t="s">
        <v>1784</v>
      </c>
      <c r="N968" s="177">
        <v>46234</v>
      </c>
      <c r="O968" s="177">
        <v>46234</v>
      </c>
      <c r="P968" s="366">
        <v>720000</v>
      </c>
      <c r="Q968" s="176" t="s">
        <v>248</v>
      </c>
      <c r="R968" s="176" t="s">
        <v>434</v>
      </c>
      <c r="S968" s="178" t="s">
        <v>253</v>
      </c>
      <c r="T968" s="57" t="str">
        <f t="shared" si="45"/>
        <v>Đ</v>
      </c>
      <c r="U968" s="59">
        <f t="shared" si="46"/>
        <v>0</v>
      </c>
      <c r="V968" s="55">
        <f t="shared" si="47"/>
        <v>13311</v>
      </c>
    </row>
    <row r="969" spans="1:22" ht="14.5" customHeight="1">
      <c r="A969" s="176">
        <v>952</v>
      </c>
      <c r="B969" s="178" t="s">
        <v>1906</v>
      </c>
      <c r="C969" s="271" t="s">
        <v>1561</v>
      </c>
      <c r="D969" s="177">
        <v>46182</v>
      </c>
      <c r="E969" s="178" t="s">
        <v>728</v>
      </c>
      <c r="F969" s="271" t="s">
        <v>729</v>
      </c>
      <c r="G969" s="178" t="s">
        <v>730</v>
      </c>
      <c r="H969" s="366">
        <v>4443000</v>
      </c>
      <c r="I969" s="176">
        <v>8</v>
      </c>
      <c r="J969" s="366">
        <v>355440</v>
      </c>
      <c r="K969" s="178" t="s">
        <v>261</v>
      </c>
      <c r="L969" s="178" t="s">
        <v>252</v>
      </c>
      <c r="M969" s="271" t="s">
        <v>1784</v>
      </c>
      <c r="N969" s="177">
        <v>46234</v>
      </c>
      <c r="O969" s="177">
        <v>46234</v>
      </c>
      <c r="P969" s="366">
        <v>4798440</v>
      </c>
      <c r="Q969" s="176" t="s">
        <v>248</v>
      </c>
      <c r="R969" s="176" t="s">
        <v>434</v>
      </c>
      <c r="S969" s="178" t="s">
        <v>253</v>
      </c>
      <c r="T969" s="57" t="str">
        <f t="shared" si="45"/>
        <v>Đ</v>
      </c>
      <c r="U969" s="59">
        <f t="shared" si="46"/>
        <v>0</v>
      </c>
      <c r="V969" s="55">
        <f t="shared" si="47"/>
        <v>13311</v>
      </c>
    </row>
    <row r="970" spans="1:22" ht="14.5" customHeight="1">
      <c r="A970" s="176">
        <v>953</v>
      </c>
      <c r="B970" s="178" t="s">
        <v>1906</v>
      </c>
      <c r="C970" s="271" t="s">
        <v>1561</v>
      </c>
      <c r="D970" s="177">
        <v>46182</v>
      </c>
      <c r="E970" s="178" t="s">
        <v>728</v>
      </c>
      <c r="F970" s="271" t="s">
        <v>729</v>
      </c>
      <c r="G970" s="178" t="s">
        <v>730</v>
      </c>
      <c r="H970" s="366">
        <v>180000</v>
      </c>
      <c r="I970" s="176">
        <v>10</v>
      </c>
      <c r="J970" s="366">
        <v>18000</v>
      </c>
      <c r="K970" s="178" t="s">
        <v>261</v>
      </c>
      <c r="L970" s="178" t="s">
        <v>252</v>
      </c>
      <c r="M970" s="271" t="s">
        <v>1784</v>
      </c>
      <c r="N970" s="177">
        <v>46234</v>
      </c>
      <c r="O970" s="177">
        <v>46234</v>
      </c>
      <c r="P970" s="366">
        <v>198000</v>
      </c>
      <c r="Q970" s="176" t="s">
        <v>248</v>
      </c>
      <c r="R970" s="176" t="s">
        <v>434</v>
      </c>
      <c r="S970" s="178" t="s">
        <v>253</v>
      </c>
      <c r="T970" s="57" t="str">
        <f t="shared" si="45"/>
        <v>Đ</v>
      </c>
      <c r="U970" s="59">
        <f t="shared" si="46"/>
        <v>0</v>
      </c>
      <c r="V970" s="55">
        <f t="shared" si="47"/>
        <v>13311</v>
      </c>
    </row>
    <row r="971" spans="1:22" ht="14.5" customHeight="1">
      <c r="A971" s="176">
        <v>954</v>
      </c>
      <c r="B971" s="178" t="s">
        <v>1906</v>
      </c>
      <c r="C971" s="271" t="s">
        <v>1907</v>
      </c>
      <c r="D971" s="177">
        <v>46183</v>
      </c>
      <c r="E971" s="178" t="s">
        <v>1908</v>
      </c>
      <c r="F971" s="271" t="s">
        <v>1909</v>
      </c>
      <c r="G971" s="178" t="s">
        <v>730</v>
      </c>
      <c r="H971" s="366">
        <v>200000</v>
      </c>
      <c r="I971" s="176">
        <v>10</v>
      </c>
      <c r="J971" s="366">
        <v>20000</v>
      </c>
      <c r="K971" s="178" t="s">
        <v>261</v>
      </c>
      <c r="L971" s="178" t="s">
        <v>252</v>
      </c>
      <c r="M971" s="271" t="s">
        <v>1784</v>
      </c>
      <c r="N971" s="177">
        <v>46234</v>
      </c>
      <c r="O971" s="177">
        <v>46234</v>
      </c>
      <c r="P971" s="366">
        <v>220000</v>
      </c>
      <c r="Q971" s="176" t="s">
        <v>248</v>
      </c>
      <c r="R971" s="176" t="s">
        <v>434</v>
      </c>
      <c r="S971" s="178" t="s">
        <v>253</v>
      </c>
      <c r="T971" s="57" t="str">
        <f t="shared" si="45"/>
        <v>Đ</v>
      </c>
      <c r="U971" s="59">
        <f t="shared" si="46"/>
        <v>0</v>
      </c>
      <c r="V971" s="55">
        <f t="shared" si="47"/>
        <v>13311</v>
      </c>
    </row>
    <row r="972" spans="1:22" ht="14.5" customHeight="1">
      <c r="A972" s="176">
        <v>955</v>
      </c>
      <c r="B972" s="178" t="s">
        <v>1906</v>
      </c>
      <c r="C972" s="271" t="s">
        <v>1907</v>
      </c>
      <c r="D972" s="177">
        <v>46183</v>
      </c>
      <c r="E972" s="178" t="s">
        <v>1908</v>
      </c>
      <c r="F972" s="271" t="s">
        <v>1909</v>
      </c>
      <c r="G972" s="178" t="s">
        <v>730</v>
      </c>
      <c r="H972" s="366">
        <v>5814815</v>
      </c>
      <c r="I972" s="176">
        <v>8</v>
      </c>
      <c r="J972" s="366">
        <v>465185</v>
      </c>
      <c r="K972" s="178" t="s">
        <v>261</v>
      </c>
      <c r="L972" s="178" t="s">
        <v>252</v>
      </c>
      <c r="M972" s="271" t="s">
        <v>1784</v>
      </c>
      <c r="N972" s="177">
        <v>46234</v>
      </c>
      <c r="O972" s="177">
        <v>46234</v>
      </c>
      <c r="P972" s="366">
        <v>6280000</v>
      </c>
      <c r="Q972" s="176" t="s">
        <v>248</v>
      </c>
      <c r="R972" s="176" t="s">
        <v>434</v>
      </c>
      <c r="S972" s="178" t="s">
        <v>253</v>
      </c>
      <c r="T972" s="57" t="str">
        <f t="shared" si="45"/>
        <v>Đ</v>
      </c>
      <c r="U972" s="59">
        <f t="shared" si="46"/>
        <v>0</v>
      </c>
      <c r="V972" s="55">
        <f t="shared" si="47"/>
        <v>13311</v>
      </c>
    </row>
    <row r="973" spans="1:22" ht="21.5" customHeight="1">
      <c r="A973" s="176">
        <v>956</v>
      </c>
      <c r="B973" s="178" t="s">
        <v>1858</v>
      </c>
      <c r="C973" s="271" t="s">
        <v>1910</v>
      </c>
      <c r="D973" s="177">
        <v>46183</v>
      </c>
      <c r="E973" s="178" t="s">
        <v>1911</v>
      </c>
      <c r="F973" s="271" t="s">
        <v>1861</v>
      </c>
      <c r="G973" s="178" t="s">
        <v>1912</v>
      </c>
      <c r="H973" s="366">
        <v>3894000</v>
      </c>
      <c r="I973" s="176">
        <v>8</v>
      </c>
      <c r="J973" s="366">
        <v>311520</v>
      </c>
      <c r="K973" s="178" t="s">
        <v>261</v>
      </c>
      <c r="L973" s="178" t="s">
        <v>252</v>
      </c>
      <c r="M973" s="271" t="s">
        <v>1784</v>
      </c>
      <c r="N973" s="177">
        <v>46234</v>
      </c>
      <c r="O973" s="177">
        <v>46234</v>
      </c>
      <c r="P973" s="366">
        <v>4205520</v>
      </c>
      <c r="Q973" s="176" t="s">
        <v>248</v>
      </c>
      <c r="R973" s="176" t="s">
        <v>434</v>
      </c>
      <c r="S973" s="178" t="s">
        <v>253</v>
      </c>
      <c r="T973" s="57" t="str">
        <f t="shared" si="45"/>
        <v>Đ</v>
      </c>
      <c r="U973" s="59">
        <f t="shared" si="46"/>
        <v>0</v>
      </c>
      <c r="V973" s="55">
        <f t="shared" si="47"/>
        <v>13311</v>
      </c>
    </row>
    <row r="974" spans="1:22" ht="21.5" customHeight="1">
      <c r="A974" s="176">
        <v>957</v>
      </c>
      <c r="B974" s="178" t="s">
        <v>1858</v>
      </c>
      <c r="C974" s="271" t="s">
        <v>1910</v>
      </c>
      <c r="D974" s="177">
        <v>46183</v>
      </c>
      <c r="E974" s="178" t="s">
        <v>1911</v>
      </c>
      <c r="F974" s="271" t="s">
        <v>1861</v>
      </c>
      <c r="G974" s="178" t="s">
        <v>1912</v>
      </c>
      <c r="H974" s="366">
        <v>64000</v>
      </c>
      <c r="I974" s="176">
        <v>10</v>
      </c>
      <c r="J974" s="366">
        <v>6400</v>
      </c>
      <c r="K974" s="178" t="s">
        <v>261</v>
      </c>
      <c r="L974" s="178" t="s">
        <v>252</v>
      </c>
      <c r="M974" s="271" t="s">
        <v>1784</v>
      </c>
      <c r="N974" s="177">
        <v>46234</v>
      </c>
      <c r="O974" s="177">
        <v>46234</v>
      </c>
      <c r="P974" s="366">
        <v>70400</v>
      </c>
      <c r="Q974" s="176" t="s">
        <v>248</v>
      </c>
      <c r="R974" s="176" t="s">
        <v>434</v>
      </c>
      <c r="S974" s="178" t="s">
        <v>253</v>
      </c>
      <c r="T974" s="57" t="str">
        <f t="shared" ref="T974:T1037" si="48">IF(OR(LEN(F974)=11,LEN(F974)=15),"Đ","SAI")</f>
        <v>Đ</v>
      </c>
      <c r="U974" s="59">
        <f t="shared" ref="U974:U1037" si="49">ROUND(H974*I974%,0)-J974</f>
        <v>0</v>
      </c>
      <c r="V974" s="55">
        <f t="shared" ref="V974:V1037" si="50">IF(Q974=$V$12,13313,13311)</f>
        <v>13311</v>
      </c>
    </row>
    <row r="975" spans="1:22" ht="14.5" customHeight="1">
      <c r="A975" s="176">
        <v>958</v>
      </c>
      <c r="B975" s="178" t="s">
        <v>1913</v>
      </c>
      <c r="C975" s="271" t="s">
        <v>1914</v>
      </c>
      <c r="D975" s="177">
        <v>46184</v>
      </c>
      <c r="E975" s="178" t="s">
        <v>468</v>
      </c>
      <c r="F975" s="271" t="s">
        <v>469</v>
      </c>
      <c r="G975" s="178" t="s">
        <v>1915</v>
      </c>
      <c r="H975" s="366">
        <v>1944444</v>
      </c>
      <c r="I975" s="176">
        <v>8</v>
      </c>
      <c r="J975" s="366">
        <v>155556</v>
      </c>
      <c r="K975" s="178" t="s">
        <v>261</v>
      </c>
      <c r="L975" s="178" t="s">
        <v>252</v>
      </c>
      <c r="M975" s="271" t="s">
        <v>1784</v>
      </c>
      <c r="N975" s="177">
        <v>46234</v>
      </c>
      <c r="O975" s="177">
        <v>46234</v>
      </c>
      <c r="P975" s="366">
        <v>2100000</v>
      </c>
      <c r="Q975" s="176" t="s">
        <v>248</v>
      </c>
      <c r="R975" s="176" t="s">
        <v>434</v>
      </c>
      <c r="S975" s="178" t="s">
        <v>253</v>
      </c>
      <c r="T975" s="57" t="str">
        <f t="shared" si="48"/>
        <v>Đ</v>
      </c>
      <c r="U975" s="59">
        <f t="shared" si="49"/>
        <v>0</v>
      </c>
      <c r="V975" s="55">
        <f t="shared" si="50"/>
        <v>13311</v>
      </c>
    </row>
    <row r="976" spans="1:22" ht="21.5" customHeight="1">
      <c r="A976" s="176">
        <v>959</v>
      </c>
      <c r="B976" s="178" t="s">
        <v>1916</v>
      </c>
      <c r="C976" s="271" t="s">
        <v>1917</v>
      </c>
      <c r="D976" s="177">
        <v>46215</v>
      </c>
      <c r="E976" s="178" t="s">
        <v>1918</v>
      </c>
      <c r="F976" s="271" t="s">
        <v>1919</v>
      </c>
      <c r="G976" s="178" t="s">
        <v>1920</v>
      </c>
      <c r="H976" s="366">
        <v>1097222</v>
      </c>
      <c r="I976" s="176">
        <v>8</v>
      </c>
      <c r="J976" s="366">
        <v>87778</v>
      </c>
      <c r="K976" s="178" t="s">
        <v>261</v>
      </c>
      <c r="L976" s="178" t="s">
        <v>252</v>
      </c>
      <c r="M976" s="271" t="s">
        <v>1784</v>
      </c>
      <c r="N976" s="177">
        <v>46234</v>
      </c>
      <c r="O976" s="177">
        <v>46234</v>
      </c>
      <c r="P976" s="366">
        <v>1185000</v>
      </c>
      <c r="Q976" s="176" t="s">
        <v>248</v>
      </c>
      <c r="R976" s="176" t="s">
        <v>434</v>
      </c>
      <c r="S976" s="178" t="s">
        <v>253</v>
      </c>
      <c r="T976" s="57" t="str">
        <f t="shared" si="48"/>
        <v>Đ</v>
      </c>
      <c r="U976" s="59">
        <f t="shared" si="49"/>
        <v>0</v>
      </c>
      <c r="V976" s="55">
        <f t="shared" si="50"/>
        <v>13311</v>
      </c>
    </row>
    <row r="977" spans="1:22" ht="21.5" customHeight="1">
      <c r="A977" s="176">
        <v>960</v>
      </c>
      <c r="B977" s="178" t="s">
        <v>1603</v>
      </c>
      <c r="C977" s="271" t="s">
        <v>1298</v>
      </c>
      <c r="D977" s="177">
        <v>46216</v>
      </c>
      <c r="E977" s="178" t="s">
        <v>1921</v>
      </c>
      <c r="F977" s="271" t="s">
        <v>1922</v>
      </c>
      <c r="G977" s="178" t="s">
        <v>1923</v>
      </c>
      <c r="H977" s="366">
        <v>45819444</v>
      </c>
      <c r="I977" s="176">
        <v>8</v>
      </c>
      <c r="J977" s="366">
        <v>3665556</v>
      </c>
      <c r="K977" s="178" t="s">
        <v>261</v>
      </c>
      <c r="L977" s="178" t="s">
        <v>252</v>
      </c>
      <c r="M977" s="271" t="s">
        <v>1784</v>
      </c>
      <c r="N977" s="177">
        <v>46234</v>
      </c>
      <c r="O977" s="177">
        <v>46234</v>
      </c>
      <c r="P977" s="366">
        <v>49485000</v>
      </c>
      <c r="Q977" s="176" t="s">
        <v>248</v>
      </c>
      <c r="R977" s="176" t="s">
        <v>434</v>
      </c>
      <c r="S977" s="178" t="s">
        <v>253</v>
      </c>
      <c r="T977" s="57" t="str">
        <f t="shared" si="48"/>
        <v>Đ</v>
      </c>
      <c r="U977" s="59">
        <f t="shared" si="49"/>
        <v>0</v>
      </c>
      <c r="V977" s="55">
        <f t="shared" si="50"/>
        <v>13311</v>
      </c>
    </row>
    <row r="978" spans="1:22" ht="14.5" customHeight="1">
      <c r="A978" s="176">
        <v>961</v>
      </c>
      <c r="B978" s="178" t="s">
        <v>1924</v>
      </c>
      <c r="C978" s="271" t="s">
        <v>1925</v>
      </c>
      <c r="D978" s="177">
        <v>46216</v>
      </c>
      <c r="E978" s="178" t="s">
        <v>1926</v>
      </c>
      <c r="F978" s="271" t="s">
        <v>1927</v>
      </c>
      <c r="G978" s="178" t="s">
        <v>1905</v>
      </c>
      <c r="H978" s="366">
        <v>787500</v>
      </c>
      <c r="I978" s="176">
        <v>8</v>
      </c>
      <c r="J978" s="366">
        <v>63000</v>
      </c>
      <c r="K978" s="178" t="s">
        <v>261</v>
      </c>
      <c r="L978" s="178" t="s">
        <v>252</v>
      </c>
      <c r="M978" s="271" t="s">
        <v>1784</v>
      </c>
      <c r="N978" s="177">
        <v>46234</v>
      </c>
      <c r="O978" s="177">
        <v>46234</v>
      </c>
      <c r="P978" s="366">
        <v>850500</v>
      </c>
      <c r="Q978" s="176" t="s">
        <v>248</v>
      </c>
      <c r="R978" s="176" t="s">
        <v>434</v>
      </c>
      <c r="S978" s="178" t="s">
        <v>253</v>
      </c>
      <c r="T978" s="57" t="str">
        <f t="shared" si="48"/>
        <v>Đ</v>
      </c>
      <c r="U978" s="59">
        <f t="shared" si="49"/>
        <v>0</v>
      </c>
      <c r="V978" s="55">
        <f t="shared" si="50"/>
        <v>13311</v>
      </c>
    </row>
    <row r="979" spans="1:22" ht="21.5" customHeight="1">
      <c r="A979" s="176">
        <v>962</v>
      </c>
      <c r="B979" s="178" t="s">
        <v>1780</v>
      </c>
      <c r="C979" s="271" t="s">
        <v>808</v>
      </c>
      <c r="D979" s="177">
        <v>46216</v>
      </c>
      <c r="E979" s="178" t="s">
        <v>1782</v>
      </c>
      <c r="F979" s="271" t="s">
        <v>1783</v>
      </c>
      <c r="G979" s="178" t="s">
        <v>1928</v>
      </c>
      <c r="H979" s="366">
        <v>1850000</v>
      </c>
      <c r="I979" s="176">
        <v>8</v>
      </c>
      <c r="J979" s="366">
        <v>148000</v>
      </c>
      <c r="K979" s="178" t="s">
        <v>261</v>
      </c>
      <c r="L979" s="178" t="s">
        <v>252</v>
      </c>
      <c r="M979" s="271" t="s">
        <v>1784</v>
      </c>
      <c r="N979" s="177">
        <v>46234</v>
      </c>
      <c r="O979" s="177">
        <v>46234</v>
      </c>
      <c r="P979" s="366">
        <v>1998000</v>
      </c>
      <c r="Q979" s="176" t="s">
        <v>248</v>
      </c>
      <c r="R979" s="176" t="s">
        <v>434</v>
      </c>
      <c r="S979" s="178" t="s">
        <v>253</v>
      </c>
      <c r="T979" s="57" t="str">
        <f t="shared" si="48"/>
        <v>Đ</v>
      </c>
      <c r="U979" s="59">
        <f t="shared" si="49"/>
        <v>0</v>
      </c>
      <c r="V979" s="55">
        <f t="shared" si="50"/>
        <v>13311</v>
      </c>
    </row>
    <row r="980" spans="1:22" ht="21.5" customHeight="1">
      <c r="A980" s="176">
        <v>963</v>
      </c>
      <c r="B980" s="178" t="s">
        <v>1780</v>
      </c>
      <c r="C980" s="271" t="s">
        <v>809</v>
      </c>
      <c r="D980" s="177">
        <v>46216</v>
      </c>
      <c r="E980" s="178" t="s">
        <v>1782</v>
      </c>
      <c r="F980" s="271" t="s">
        <v>1783</v>
      </c>
      <c r="G980" s="178" t="s">
        <v>1928</v>
      </c>
      <c r="H980" s="366">
        <v>1850000</v>
      </c>
      <c r="I980" s="176">
        <v>8</v>
      </c>
      <c r="J980" s="366">
        <v>148000</v>
      </c>
      <c r="K980" s="178" t="s">
        <v>261</v>
      </c>
      <c r="L980" s="178" t="s">
        <v>252</v>
      </c>
      <c r="M980" s="271" t="s">
        <v>1784</v>
      </c>
      <c r="N980" s="177">
        <v>46234</v>
      </c>
      <c r="O980" s="177">
        <v>46234</v>
      </c>
      <c r="P980" s="366">
        <v>1998000</v>
      </c>
      <c r="Q980" s="176" t="s">
        <v>248</v>
      </c>
      <c r="R980" s="176" t="s">
        <v>434</v>
      </c>
      <c r="S980" s="178" t="s">
        <v>253</v>
      </c>
      <c r="T980" s="57" t="str">
        <f t="shared" si="48"/>
        <v>Đ</v>
      </c>
      <c r="U980" s="59">
        <f t="shared" si="49"/>
        <v>0</v>
      </c>
      <c r="V980" s="55">
        <f t="shared" si="50"/>
        <v>13311</v>
      </c>
    </row>
    <row r="981" spans="1:22" ht="21.5" customHeight="1">
      <c r="A981" s="176">
        <v>964</v>
      </c>
      <c r="B981" s="178" t="s">
        <v>1780</v>
      </c>
      <c r="C981" s="271" t="s">
        <v>750</v>
      </c>
      <c r="D981" s="177">
        <v>46216</v>
      </c>
      <c r="E981" s="178" t="s">
        <v>1782</v>
      </c>
      <c r="F981" s="271" t="s">
        <v>1783</v>
      </c>
      <c r="G981" s="178" t="s">
        <v>1928</v>
      </c>
      <c r="H981" s="366">
        <v>1850000</v>
      </c>
      <c r="I981" s="176">
        <v>8</v>
      </c>
      <c r="J981" s="366">
        <v>148000</v>
      </c>
      <c r="K981" s="178" t="s">
        <v>261</v>
      </c>
      <c r="L981" s="178" t="s">
        <v>252</v>
      </c>
      <c r="M981" s="271" t="s">
        <v>1784</v>
      </c>
      <c r="N981" s="177">
        <v>46234</v>
      </c>
      <c r="O981" s="177">
        <v>46234</v>
      </c>
      <c r="P981" s="366">
        <v>1998000</v>
      </c>
      <c r="Q981" s="176" t="s">
        <v>248</v>
      </c>
      <c r="R981" s="176" t="s">
        <v>434</v>
      </c>
      <c r="S981" s="178" t="s">
        <v>253</v>
      </c>
      <c r="T981" s="57" t="str">
        <f t="shared" si="48"/>
        <v>Đ</v>
      </c>
      <c r="U981" s="59">
        <f t="shared" si="49"/>
        <v>0</v>
      </c>
      <c r="V981" s="55">
        <f t="shared" si="50"/>
        <v>13311</v>
      </c>
    </row>
    <row r="982" spans="1:22" ht="21.5" customHeight="1">
      <c r="A982" s="176">
        <v>965</v>
      </c>
      <c r="B982" s="178" t="s">
        <v>1780</v>
      </c>
      <c r="C982" s="271" t="s">
        <v>810</v>
      </c>
      <c r="D982" s="177">
        <v>46216</v>
      </c>
      <c r="E982" s="178" t="s">
        <v>1782</v>
      </c>
      <c r="F982" s="271" t="s">
        <v>1783</v>
      </c>
      <c r="G982" s="178" t="s">
        <v>1928</v>
      </c>
      <c r="H982" s="366">
        <v>1850000</v>
      </c>
      <c r="I982" s="176">
        <v>8</v>
      </c>
      <c r="J982" s="366">
        <v>148000</v>
      </c>
      <c r="K982" s="178" t="s">
        <v>261</v>
      </c>
      <c r="L982" s="178" t="s">
        <v>252</v>
      </c>
      <c r="M982" s="271" t="s">
        <v>1784</v>
      </c>
      <c r="N982" s="177">
        <v>46234</v>
      </c>
      <c r="O982" s="177">
        <v>46234</v>
      </c>
      <c r="P982" s="366">
        <v>1998000</v>
      </c>
      <c r="Q982" s="176" t="s">
        <v>248</v>
      </c>
      <c r="R982" s="176" t="s">
        <v>434</v>
      </c>
      <c r="S982" s="178" t="s">
        <v>253</v>
      </c>
      <c r="T982" s="57" t="str">
        <f t="shared" si="48"/>
        <v>Đ</v>
      </c>
      <c r="U982" s="59">
        <f t="shared" si="49"/>
        <v>0</v>
      </c>
      <c r="V982" s="55">
        <f t="shared" si="50"/>
        <v>13311</v>
      </c>
    </row>
    <row r="983" spans="1:22" ht="21.5" customHeight="1">
      <c r="A983" s="176">
        <v>966</v>
      </c>
      <c r="B983" s="178" t="s">
        <v>1780</v>
      </c>
      <c r="C983" s="271" t="s">
        <v>1563</v>
      </c>
      <c r="D983" s="177">
        <v>46216</v>
      </c>
      <c r="E983" s="178" t="s">
        <v>1782</v>
      </c>
      <c r="F983" s="271" t="s">
        <v>1783</v>
      </c>
      <c r="G983" s="178" t="s">
        <v>1928</v>
      </c>
      <c r="H983" s="366">
        <v>1850000</v>
      </c>
      <c r="I983" s="176">
        <v>8</v>
      </c>
      <c r="J983" s="366">
        <v>148000</v>
      </c>
      <c r="K983" s="178" t="s">
        <v>261</v>
      </c>
      <c r="L983" s="178" t="s">
        <v>252</v>
      </c>
      <c r="M983" s="271" t="s">
        <v>1784</v>
      </c>
      <c r="N983" s="177">
        <v>46234</v>
      </c>
      <c r="O983" s="177">
        <v>46234</v>
      </c>
      <c r="P983" s="366">
        <v>1998000</v>
      </c>
      <c r="Q983" s="176" t="s">
        <v>248</v>
      </c>
      <c r="R983" s="176" t="s">
        <v>434</v>
      </c>
      <c r="S983" s="178" t="s">
        <v>253</v>
      </c>
      <c r="T983" s="57" t="str">
        <f t="shared" si="48"/>
        <v>Đ</v>
      </c>
      <c r="U983" s="59">
        <f t="shared" si="49"/>
        <v>0</v>
      </c>
      <c r="V983" s="55">
        <f t="shared" si="50"/>
        <v>13311</v>
      </c>
    </row>
    <row r="984" spans="1:22" ht="21.5" customHeight="1">
      <c r="A984" s="176">
        <v>967</v>
      </c>
      <c r="B984" s="178" t="s">
        <v>1780</v>
      </c>
      <c r="C984" s="271" t="s">
        <v>1929</v>
      </c>
      <c r="D984" s="177">
        <v>46216</v>
      </c>
      <c r="E984" s="178" t="s">
        <v>1782</v>
      </c>
      <c r="F984" s="271" t="s">
        <v>1783</v>
      </c>
      <c r="G984" s="178" t="s">
        <v>1928</v>
      </c>
      <c r="H984" s="366">
        <v>1850000</v>
      </c>
      <c r="I984" s="176">
        <v>8</v>
      </c>
      <c r="J984" s="366">
        <v>148000</v>
      </c>
      <c r="K984" s="178" t="s">
        <v>261</v>
      </c>
      <c r="L984" s="178" t="s">
        <v>252</v>
      </c>
      <c r="M984" s="271" t="s">
        <v>1784</v>
      </c>
      <c r="N984" s="177">
        <v>46234</v>
      </c>
      <c r="O984" s="177">
        <v>46234</v>
      </c>
      <c r="P984" s="366">
        <v>1998000</v>
      </c>
      <c r="Q984" s="176" t="s">
        <v>248</v>
      </c>
      <c r="R984" s="176" t="s">
        <v>434</v>
      </c>
      <c r="S984" s="178" t="s">
        <v>253</v>
      </c>
      <c r="T984" s="57" t="str">
        <f t="shared" si="48"/>
        <v>Đ</v>
      </c>
      <c r="U984" s="59">
        <f t="shared" si="49"/>
        <v>0</v>
      </c>
      <c r="V984" s="55">
        <f t="shared" si="50"/>
        <v>13311</v>
      </c>
    </row>
    <row r="985" spans="1:22" ht="21.5" customHeight="1">
      <c r="A985" s="176">
        <v>968</v>
      </c>
      <c r="B985" s="178" t="s">
        <v>1780</v>
      </c>
      <c r="C985" s="271" t="s">
        <v>1930</v>
      </c>
      <c r="D985" s="177">
        <v>46216</v>
      </c>
      <c r="E985" s="178" t="s">
        <v>1782</v>
      </c>
      <c r="F985" s="271" t="s">
        <v>1783</v>
      </c>
      <c r="G985" s="178" t="s">
        <v>1928</v>
      </c>
      <c r="H985" s="366">
        <v>1850000</v>
      </c>
      <c r="I985" s="176">
        <v>8</v>
      </c>
      <c r="J985" s="366">
        <v>148000</v>
      </c>
      <c r="K985" s="178" t="s">
        <v>261</v>
      </c>
      <c r="L985" s="178" t="s">
        <v>252</v>
      </c>
      <c r="M985" s="271" t="s">
        <v>1784</v>
      </c>
      <c r="N985" s="177">
        <v>46234</v>
      </c>
      <c r="O985" s="177">
        <v>46234</v>
      </c>
      <c r="P985" s="366">
        <v>1998000</v>
      </c>
      <c r="Q985" s="176" t="s">
        <v>248</v>
      </c>
      <c r="R985" s="176" t="s">
        <v>434</v>
      </c>
      <c r="S985" s="178" t="s">
        <v>253</v>
      </c>
      <c r="T985" s="57" t="str">
        <f t="shared" si="48"/>
        <v>Đ</v>
      </c>
      <c r="U985" s="59">
        <f t="shared" si="49"/>
        <v>0</v>
      </c>
      <c r="V985" s="55">
        <f t="shared" si="50"/>
        <v>13311</v>
      </c>
    </row>
    <row r="986" spans="1:22" ht="21.5" customHeight="1">
      <c r="A986" s="176">
        <v>969</v>
      </c>
      <c r="B986" s="178" t="s">
        <v>1780</v>
      </c>
      <c r="C986" s="271" t="s">
        <v>1931</v>
      </c>
      <c r="D986" s="177">
        <v>46216</v>
      </c>
      <c r="E986" s="178" t="s">
        <v>1782</v>
      </c>
      <c r="F986" s="271" t="s">
        <v>1783</v>
      </c>
      <c r="G986" s="178" t="s">
        <v>1928</v>
      </c>
      <c r="H986" s="366">
        <v>1850000</v>
      </c>
      <c r="I986" s="176">
        <v>8</v>
      </c>
      <c r="J986" s="366">
        <v>148000</v>
      </c>
      <c r="K986" s="178" t="s">
        <v>261</v>
      </c>
      <c r="L986" s="178" t="s">
        <v>252</v>
      </c>
      <c r="M986" s="271" t="s">
        <v>1784</v>
      </c>
      <c r="N986" s="177">
        <v>46234</v>
      </c>
      <c r="O986" s="177">
        <v>46234</v>
      </c>
      <c r="P986" s="366">
        <v>1998000</v>
      </c>
      <c r="Q986" s="176" t="s">
        <v>248</v>
      </c>
      <c r="R986" s="176" t="s">
        <v>434</v>
      </c>
      <c r="S986" s="178" t="s">
        <v>253</v>
      </c>
      <c r="T986" s="57" t="str">
        <f t="shared" si="48"/>
        <v>Đ</v>
      </c>
      <c r="U986" s="59">
        <f t="shared" si="49"/>
        <v>0</v>
      </c>
      <c r="V986" s="55">
        <f t="shared" si="50"/>
        <v>13311</v>
      </c>
    </row>
    <row r="987" spans="1:22" ht="21.5" customHeight="1">
      <c r="A987" s="176">
        <v>970</v>
      </c>
      <c r="B987" s="178" t="s">
        <v>1497</v>
      </c>
      <c r="C987" s="271" t="s">
        <v>1932</v>
      </c>
      <c r="D987" s="177">
        <v>46126</v>
      </c>
      <c r="E987" s="178" t="s">
        <v>1933</v>
      </c>
      <c r="F987" s="271" t="s">
        <v>1934</v>
      </c>
      <c r="G987" s="178" t="s">
        <v>730</v>
      </c>
      <c r="H987" s="366">
        <v>480000</v>
      </c>
      <c r="I987" s="176">
        <v>10</v>
      </c>
      <c r="J987" s="366">
        <v>48000</v>
      </c>
      <c r="K987" s="178" t="s">
        <v>261</v>
      </c>
      <c r="L987" s="178" t="s">
        <v>252</v>
      </c>
      <c r="M987" s="271" t="s">
        <v>1784</v>
      </c>
      <c r="N987" s="177">
        <v>46234</v>
      </c>
      <c r="O987" s="177">
        <v>46234</v>
      </c>
      <c r="P987" s="366">
        <v>528000</v>
      </c>
      <c r="Q987" s="176" t="s">
        <v>248</v>
      </c>
      <c r="R987" s="176" t="s">
        <v>434</v>
      </c>
      <c r="S987" s="178" t="s">
        <v>253</v>
      </c>
      <c r="T987" s="57" t="str">
        <f t="shared" si="48"/>
        <v>Đ</v>
      </c>
      <c r="U987" s="59">
        <f t="shared" si="49"/>
        <v>0</v>
      </c>
      <c r="V987" s="55">
        <f t="shared" si="50"/>
        <v>13311</v>
      </c>
    </row>
    <row r="988" spans="1:22" ht="21.5" customHeight="1">
      <c r="A988" s="176">
        <v>971</v>
      </c>
      <c r="B988" s="178" t="s">
        <v>1497</v>
      </c>
      <c r="C988" s="271" t="s">
        <v>1932</v>
      </c>
      <c r="D988" s="177">
        <v>46126</v>
      </c>
      <c r="E988" s="178" t="s">
        <v>1933</v>
      </c>
      <c r="F988" s="271" t="s">
        <v>1934</v>
      </c>
      <c r="G988" s="178" t="s">
        <v>730</v>
      </c>
      <c r="H988" s="366">
        <v>10622222</v>
      </c>
      <c r="I988" s="176">
        <v>8</v>
      </c>
      <c r="J988" s="366">
        <v>849778</v>
      </c>
      <c r="K988" s="178" t="s">
        <v>261</v>
      </c>
      <c r="L988" s="178" t="s">
        <v>252</v>
      </c>
      <c r="M988" s="271" t="s">
        <v>1784</v>
      </c>
      <c r="N988" s="177">
        <v>46234</v>
      </c>
      <c r="O988" s="177">
        <v>46234</v>
      </c>
      <c r="P988" s="366">
        <v>11472000</v>
      </c>
      <c r="Q988" s="176" t="s">
        <v>248</v>
      </c>
      <c r="R988" s="176" t="s">
        <v>434</v>
      </c>
      <c r="S988" s="178" t="s">
        <v>253</v>
      </c>
      <c r="T988" s="57" t="str">
        <f t="shared" si="48"/>
        <v>Đ</v>
      </c>
      <c r="U988" s="59">
        <f t="shared" si="49"/>
        <v>0</v>
      </c>
      <c r="V988" s="55">
        <f t="shared" si="50"/>
        <v>13311</v>
      </c>
    </row>
    <row r="989" spans="1:22" ht="14.5" customHeight="1">
      <c r="A989" s="176">
        <v>972</v>
      </c>
      <c r="B989" s="178" t="s">
        <v>1906</v>
      </c>
      <c r="C989" s="271" t="s">
        <v>1935</v>
      </c>
      <c r="D989" s="177">
        <v>46217</v>
      </c>
      <c r="E989" s="178" t="s">
        <v>1936</v>
      </c>
      <c r="F989" s="271" t="s">
        <v>1937</v>
      </c>
      <c r="G989" s="178" t="s">
        <v>730</v>
      </c>
      <c r="H989" s="366">
        <v>15390000</v>
      </c>
      <c r="I989" s="176">
        <v>8</v>
      </c>
      <c r="J989" s="366">
        <v>1231200</v>
      </c>
      <c r="K989" s="178" t="s">
        <v>261</v>
      </c>
      <c r="L989" s="178" t="s">
        <v>252</v>
      </c>
      <c r="M989" s="271" t="s">
        <v>1784</v>
      </c>
      <c r="N989" s="177">
        <v>46234</v>
      </c>
      <c r="O989" s="177">
        <v>46234</v>
      </c>
      <c r="P989" s="366">
        <v>16621200</v>
      </c>
      <c r="Q989" s="176" t="s">
        <v>248</v>
      </c>
      <c r="R989" s="176" t="s">
        <v>434</v>
      </c>
      <c r="S989" s="178" t="s">
        <v>253</v>
      </c>
      <c r="T989" s="57" t="str">
        <f t="shared" si="48"/>
        <v>Đ</v>
      </c>
      <c r="U989" s="59">
        <f t="shared" si="49"/>
        <v>0</v>
      </c>
      <c r="V989" s="55">
        <f t="shared" si="50"/>
        <v>13311</v>
      </c>
    </row>
    <row r="990" spans="1:22" ht="21.5" customHeight="1">
      <c r="A990" s="176">
        <v>973</v>
      </c>
      <c r="B990" s="178" t="s">
        <v>1267</v>
      </c>
      <c r="C990" s="271" t="s">
        <v>1938</v>
      </c>
      <c r="D990" s="177">
        <v>46218</v>
      </c>
      <c r="E990" s="178" t="s">
        <v>1939</v>
      </c>
      <c r="F990" s="271" t="s">
        <v>1940</v>
      </c>
      <c r="G990" s="178" t="s">
        <v>1941</v>
      </c>
      <c r="H990" s="366">
        <v>16727273</v>
      </c>
      <c r="I990" s="176">
        <v>10</v>
      </c>
      <c r="J990" s="366">
        <v>1672727</v>
      </c>
      <c r="K990" s="178" t="s">
        <v>261</v>
      </c>
      <c r="L990" s="178" t="s">
        <v>252</v>
      </c>
      <c r="M990" s="271" t="s">
        <v>1784</v>
      </c>
      <c r="N990" s="177">
        <v>46234</v>
      </c>
      <c r="O990" s="177">
        <v>46234</v>
      </c>
      <c r="P990" s="366">
        <v>18400000</v>
      </c>
      <c r="Q990" s="176" t="s">
        <v>248</v>
      </c>
      <c r="R990" s="176" t="s">
        <v>434</v>
      </c>
      <c r="S990" s="178" t="s">
        <v>253</v>
      </c>
      <c r="T990" s="57" t="str">
        <f t="shared" si="48"/>
        <v>Đ</v>
      </c>
      <c r="U990" s="59">
        <f t="shared" si="49"/>
        <v>0</v>
      </c>
      <c r="V990" s="55">
        <f t="shared" si="50"/>
        <v>13311</v>
      </c>
    </row>
    <row r="991" spans="1:22" ht="14.5" customHeight="1">
      <c r="A991" s="176">
        <v>974</v>
      </c>
      <c r="B991" s="178" t="s">
        <v>1902</v>
      </c>
      <c r="C991" s="271" t="s">
        <v>1942</v>
      </c>
      <c r="D991" s="177">
        <v>46219</v>
      </c>
      <c r="E991" s="178" t="s">
        <v>1903</v>
      </c>
      <c r="F991" s="271" t="s">
        <v>1904</v>
      </c>
      <c r="G991" s="178" t="s">
        <v>1905</v>
      </c>
      <c r="H991" s="366">
        <v>416667</v>
      </c>
      <c r="I991" s="176">
        <v>8</v>
      </c>
      <c r="J991" s="366">
        <v>33333</v>
      </c>
      <c r="K991" s="178" t="s">
        <v>261</v>
      </c>
      <c r="L991" s="178" t="s">
        <v>252</v>
      </c>
      <c r="M991" s="271" t="s">
        <v>1784</v>
      </c>
      <c r="N991" s="177">
        <v>46234</v>
      </c>
      <c r="O991" s="177">
        <v>46234</v>
      </c>
      <c r="P991" s="366">
        <v>450000</v>
      </c>
      <c r="Q991" s="176" t="s">
        <v>248</v>
      </c>
      <c r="R991" s="176" t="s">
        <v>434</v>
      </c>
      <c r="S991" s="178" t="s">
        <v>253</v>
      </c>
      <c r="T991" s="57" t="str">
        <f t="shared" si="48"/>
        <v>Đ</v>
      </c>
      <c r="U991" s="59">
        <f t="shared" si="49"/>
        <v>0</v>
      </c>
      <c r="V991" s="55">
        <f t="shared" si="50"/>
        <v>13311</v>
      </c>
    </row>
    <row r="992" spans="1:22" ht="14.5" customHeight="1">
      <c r="A992" s="176">
        <v>975</v>
      </c>
      <c r="B992" s="178" t="s">
        <v>1206</v>
      </c>
      <c r="C992" s="271" t="s">
        <v>1943</v>
      </c>
      <c r="D992" s="177">
        <v>46220</v>
      </c>
      <c r="E992" s="178" t="s">
        <v>1944</v>
      </c>
      <c r="F992" s="271" t="s">
        <v>1945</v>
      </c>
      <c r="G992" s="178" t="s">
        <v>1946</v>
      </c>
      <c r="H992" s="366">
        <v>6092480</v>
      </c>
      <c r="I992" s="176">
        <v>8</v>
      </c>
      <c r="J992" s="366">
        <v>487398</v>
      </c>
      <c r="K992" s="178" t="s">
        <v>261</v>
      </c>
      <c r="L992" s="178" t="s">
        <v>252</v>
      </c>
      <c r="M992" s="271" t="s">
        <v>1784</v>
      </c>
      <c r="N992" s="177">
        <v>46234</v>
      </c>
      <c r="O992" s="177">
        <v>46234</v>
      </c>
      <c r="P992" s="366">
        <v>6579878</v>
      </c>
      <c r="Q992" s="176" t="s">
        <v>248</v>
      </c>
      <c r="R992" s="176" t="s">
        <v>434</v>
      </c>
      <c r="S992" s="178" t="s">
        <v>253</v>
      </c>
      <c r="T992" s="57" t="str">
        <f t="shared" si="48"/>
        <v>Đ</v>
      </c>
      <c r="U992" s="59">
        <f t="shared" si="49"/>
        <v>0</v>
      </c>
      <c r="V992" s="55">
        <f t="shared" si="50"/>
        <v>13311</v>
      </c>
    </row>
    <row r="993" spans="1:22" ht="14.5" customHeight="1">
      <c r="A993" s="176">
        <v>976</v>
      </c>
      <c r="B993" s="178" t="s">
        <v>1206</v>
      </c>
      <c r="C993" s="271" t="s">
        <v>1943</v>
      </c>
      <c r="D993" s="177">
        <v>46220</v>
      </c>
      <c r="E993" s="178" t="s">
        <v>1944</v>
      </c>
      <c r="F993" s="271" t="s">
        <v>1945</v>
      </c>
      <c r="G993" s="178" t="s">
        <v>1946</v>
      </c>
      <c r="H993" s="366">
        <v>13225800</v>
      </c>
      <c r="I993" s="176">
        <v>5</v>
      </c>
      <c r="J993" s="366">
        <v>661290</v>
      </c>
      <c r="K993" s="178" t="s">
        <v>261</v>
      </c>
      <c r="L993" s="178" t="s">
        <v>252</v>
      </c>
      <c r="M993" s="271" t="s">
        <v>1784</v>
      </c>
      <c r="N993" s="177">
        <v>46234</v>
      </c>
      <c r="O993" s="177">
        <v>46234</v>
      </c>
      <c r="P993" s="366">
        <v>13887090</v>
      </c>
      <c r="Q993" s="176" t="s">
        <v>248</v>
      </c>
      <c r="R993" s="176" t="s">
        <v>434</v>
      </c>
      <c r="S993" s="178" t="s">
        <v>253</v>
      </c>
      <c r="T993" s="57" t="str">
        <f t="shared" si="48"/>
        <v>Đ</v>
      </c>
      <c r="U993" s="59">
        <f t="shared" si="49"/>
        <v>0</v>
      </c>
      <c r="V993" s="55">
        <f t="shared" si="50"/>
        <v>13311</v>
      </c>
    </row>
    <row r="994" spans="1:22" ht="14.5" customHeight="1">
      <c r="A994" s="176">
        <v>977</v>
      </c>
      <c r="B994" s="178" t="s">
        <v>1947</v>
      </c>
      <c r="C994" s="271" t="s">
        <v>1948</v>
      </c>
      <c r="D994" s="177">
        <v>46220</v>
      </c>
      <c r="E994" s="178" t="s">
        <v>1949</v>
      </c>
      <c r="F994" s="271" t="s">
        <v>1950</v>
      </c>
      <c r="G994" s="178" t="s">
        <v>1892</v>
      </c>
      <c r="H994" s="366">
        <v>616400</v>
      </c>
      <c r="I994" s="176">
        <v>5</v>
      </c>
      <c r="J994" s="366">
        <v>30820</v>
      </c>
      <c r="K994" s="178" t="s">
        <v>261</v>
      </c>
      <c r="L994" s="178" t="s">
        <v>252</v>
      </c>
      <c r="M994" s="271" t="s">
        <v>1784</v>
      </c>
      <c r="N994" s="177">
        <v>46234</v>
      </c>
      <c r="O994" s="177">
        <v>46234</v>
      </c>
      <c r="P994" s="366">
        <v>647220</v>
      </c>
      <c r="Q994" s="176" t="s">
        <v>248</v>
      </c>
      <c r="R994" s="176" t="s">
        <v>434</v>
      </c>
      <c r="S994" s="178" t="s">
        <v>253</v>
      </c>
      <c r="T994" s="57" t="str">
        <f t="shared" si="48"/>
        <v>Đ</v>
      </c>
      <c r="U994" s="59">
        <f t="shared" si="49"/>
        <v>0</v>
      </c>
      <c r="V994" s="55">
        <f t="shared" si="50"/>
        <v>13311</v>
      </c>
    </row>
    <row r="995" spans="1:22" ht="14.5" customHeight="1">
      <c r="A995" s="176">
        <v>978</v>
      </c>
      <c r="B995" s="178" t="s">
        <v>1951</v>
      </c>
      <c r="C995" s="271" t="s">
        <v>1302</v>
      </c>
      <c r="D995" s="177">
        <v>46220</v>
      </c>
      <c r="E995" s="178" t="s">
        <v>1952</v>
      </c>
      <c r="F995" s="271" t="s">
        <v>1953</v>
      </c>
      <c r="G995" s="178" t="s">
        <v>1954</v>
      </c>
      <c r="H995" s="366">
        <v>20726390</v>
      </c>
      <c r="I995" s="176">
        <v>8</v>
      </c>
      <c r="J995" s="366">
        <v>1658110</v>
      </c>
      <c r="K995" s="178" t="s">
        <v>261</v>
      </c>
      <c r="L995" s="178" t="s">
        <v>252</v>
      </c>
      <c r="M995" s="271" t="s">
        <v>1784</v>
      </c>
      <c r="N995" s="177">
        <v>46234</v>
      </c>
      <c r="O995" s="177">
        <v>46234</v>
      </c>
      <c r="P995" s="366">
        <v>22384500</v>
      </c>
      <c r="Q995" s="176" t="s">
        <v>248</v>
      </c>
      <c r="R995" s="176" t="s">
        <v>434</v>
      </c>
      <c r="S995" s="178" t="s">
        <v>253</v>
      </c>
      <c r="T995" s="57" t="str">
        <f t="shared" si="48"/>
        <v>Đ</v>
      </c>
      <c r="U995" s="59">
        <f t="shared" si="49"/>
        <v>1</v>
      </c>
      <c r="V995" s="55">
        <f t="shared" si="50"/>
        <v>13311</v>
      </c>
    </row>
    <row r="996" spans="1:22" ht="14.5" customHeight="1">
      <c r="A996" s="176">
        <v>979</v>
      </c>
      <c r="B996" s="178" t="s">
        <v>1951</v>
      </c>
      <c r="C996" s="271" t="s">
        <v>1302</v>
      </c>
      <c r="D996" s="177">
        <v>46220</v>
      </c>
      <c r="E996" s="178" t="s">
        <v>1952</v>
      </c>
      <c r="F996" s="271" t="s">
        <v>1953</v>
      </c>
      <c r="G996" s="178" t="s">
        <v>1954</v>
      </c>
      <c r="H996" s="366">
        <v>95238</v>
      </c>
      <c r="I996" s="176">
        <v>5</v>
      </c>
      <c r="J996" s="366">
        <v>4762</v>
      </c>
      <c r="K996" s="178" t="s">
        <v>261</v>
      </c>
      <c r="L996" s="178" t="s">
        <v>252</v>
      </c>
      <c r="M996" s="271" t="s">
        <v>1784</v>
      </c>
      <c r="N996" s="177">
        <v>46234</v>
      </c>
      <c r="O996" s="177">
        <v>46234</v>
      </c>
      <c r="P996" s="366">
        <v>100000</v>
      </c>
      <c r="Q996" s="176" t="s">
        <v>248</v>
      </c>
      <c r="R996" s="176" t="s">
        <v>434</v>
      </c>
      <c r="S996" s="178" t="s">
        <v>253</v>
      </c>
      <c r="T996" s="57" t="str">
        <f t="shared" si="48"/>
        <v>Đ</v>
      </c>
      <c r="U996" s="59">
        <f t="shared" si="49"/>
        <v>0</v>
      </c>
      <c r="V996" s="55">
        <f t="shared" si="50"/>
        <v>13311</v>
      </c>
    </row>
    <row r="997" spans="1:22" ht="14.5" customHeight="1">
      <c r="A997" s="176">
        <v>980</v>
      </c>
      <c r="B997" s="178" t="s">
        <v>1267</v>
      </c>
      <c r="C997" s="271" t="s">
        <v>1955</v>
      </c>
      <c r="D997" s="177">
        <v>46220</v>
      </c>
      <c r="E997" s="178" t="s">
        <v>1956</v>
      </c>
      <c r="F997" s="271" t="s">
        <v>1957</v>
      </c>
      <c r="G997" s="178" t="s">
        <v>1958</v>
      </c>
      <c r="H997" s="366">
        <v>16111110</v>
      </c>
      <c r="I997" s="176">
        <v>8</v>
      </c>
      <c r="J997" s="366">
        <v>1288890</v>
      </c>
      <c r="K997" s="178" t="s">
        <v>261</v>
      </c>
      <c r="L997" s="178" t="s">
        <v>252</v>
      </c>
      <c r="M997" s="271" t="s">
        <v>1784</v>
      </c>
      <c r="N997" s="177">
        <v>46234</v>
      </c>
      <c r="O997" s="177">
        <v>46234</v>
      </c>
      <c r="P997" s="366">
        <v>17400000</v>
      </c>
      <c r="Q997" s="176" t="s">
        <v>248</v>
      </c>
      <c r="R997" s="176" t="s">
        <v>434</v>
      </c>
      <c r="S997" s="178" t="s">
        <v>253</v>
      </c>
      <c r="T997" s="57" t="str">
        <f t="shared" si="48"/>
        <v>Đ</v>
      </c>
      <c r="U997" s="59">
        <f t="shared" si="49"/>
        <v>-1</v>
      </c>
      <c r="V997" s="55">
        <f t="shared" si="50"/>
        <v>13311</v>
      </c>
    </row>
    <row r="998" spans="1:22" ht="14.5" customHeight="1">
      <c r="A998" s="176">
        <v>981</v>
      </c>
      <c r="B998" s="178" t="s">
        <v>1959</v>
      </c>
      <c r="C998" s="271" t="s">
        <v>1960</v>
      </c>
      <c r="D998" s="177">
        <v>46220</v>
      </c>
      <c r="E998" s="178" t="s">
        <v>1961</v>
      </c>
      <c r="F998" s="271" t="s">
        <v>1962</v>
      </c>
      <c r="G998" s="178" t="s">
        <v>730</v>
      </c>
      <c r="H998" s="366">
        <v>28930555</v>
      </c>
      <c r="I998" s="176">
        <v>8</v>
      </c>
      <c r="J998" s="366">
        <v>2314444</v>
      </c>
      <c r="K998" s="178" t="s">
        <v>261</v>
      </c>
      <c r="L998" s="178" t="s">
        <v>252</v>
      </c>
      <c r="M998" s="271" t="s">
        <v>1784</v>
      </c>
      <c r="N998" s="177">
        <v>46234</v>
      </c>
      <c r="O998" s="177">
        <v>46234</v>
      </c>
      <c r="P998" s="366">
        <v>31244999</v>
      </c>
      <c r="Q998" s="176" t="s">
        <v>248</v>
      </c>
      <c r="R998" s="176" t="s">
        <v>434</v>
      </c>
      <c r="S998" s="178" t="s">
        <v>253</v>
      </c>
      <c r="T998" s="57" t="str">
        <f t="shared" si="48"/>
        <v>Đ</v>
      </c>
      <c r="U998" s="59">
        <f t="shared" si="49"/>
        <v>0</v>
      </c>
      <c r="V998" s="55">
        <f t="shared" si="50"/>
        <v>13311</v>
      </c>
    </row>
    <row r="999" spans="1:22" ht="14.5" customHeight="1">
      <c r="A999" s="176">
        <v>982</v>
      </c>
      <c r="B999" s="178" t="s">
        <v>1959</v>
      </c>
      <c r="C999" s="271" t="s">
        <v>1960</v>
      </c>
      <c r="D999" s="177">
        <v>46220</v>
      </c>
      <c r="E999" s="178" t="s">
        <v>1961</v>
      </c>
      <c r="F999" s="271" t="s">
        <v>1962</v>
      </c>
      <c r="G999" s="178" t="s">
        <v>730</v>
      </c>
      <c r="H999" s="366">
        <v>300000</v>
      </c>
      <c r="I999" s="176">
        <v>10</v>
      </c>
      <c r="J999" s="366">
        <v>30000</v>
      </c>
      <c r="K999" s="178" t="s">
        <v>261</v>
      </c>
      <c r="L999" s="178" t="s">
        <v>252</v>
      </c>
      <c r="M999" s="271" t="s">
        <v>1784</v>
      </c>
      <c r="N999" s="177">
        <v>46234</v>
      </c>
      <c r="O999" s="177">
        <v>46234</v>
      </c>
      <c r="P999" s="366">
        <v>330000</v>
      </c>
      <c r="Q999" s="176" t="s">
        <v>248</v>
      </c>
      <c r="R999" s="176" t="s">
        <v>434</v>
      </c>
      <c r="S999" s="178" t="s">
        <v>253</v>
      </c>
      <c r="T999" s="57" t="str">
        <f t="shared" si="48"/>
        <v>Đ</v>
      </c>
      <c r="U999" s="59">
        <f t="shared" si="49"/>
        <v>0</v>
      </c>
      <c r="V999" s="55">
        <f t="shared" si="50"/>
        <v>13311</v>
      </c>
    </row>
    <row r="1000" spans="1:22" ht="21.5" customHeight="1">
      <c r="A1000" s="176">
        <v>983</v>
      </c>
      <c r="B1000" s="178" t="s">
        <v>1858</v>
      </c>
      <c r="C1000" s="271" t="s">
        <v>1963</v>
      </c>
      <c r="D1000" s="177">
        <v>46220</v>
      </c>
      <c r="E1000" s="178" t="s">
        <v>1860</v>
      </c>
      <c r="F1000" s="271" t="s">
        <v>1861</v>
      </c>
      <c r="G1000" s="178" t="s">
        <v>1794</v>
      </c>
      <c r="H1000" s="366">
        <v>16015200</v>
      </c>
      <c r="I1000" s="176">
        <v>8</v>
      </c>
      <c r="J1000" s="366">
        <v>1281216</v>
      </c>
      <c r="K1000" s="178" t="s">
        <v>261</v>
      </c>
      <c r="L1000" s="178" t="s">
        <v>252</v>
      </c>
      <c r="M1000" s="271" t="s">
        <v>1784</v>
      </c>
      <c r="N1000" s="177">
        <v>46234</v>
      </c>
      <c r="O1000" s="177">
        <v>46234</v>
      </c>
      <c r="P1000" s="366">
        <v>17296416</v>
      </c>
      <c r="Q1000" s="176" t="s">
        <v>248</v>
      </c>
      <c r="R1000" s="176" t="s">
        <v>434</v>
      </c>
      <c r="S1000" s="178" t="s">
        <v>253</v>
      </c>
      <c r="T1000" s="57" t="str">
        <f t="shared" si="48"/>
        <v>Đ</v>
      </c>
      <c r="U1000" s="59">
        <f t="shared" si="49"/>
        <v>0</v>
      </c>
      <c r="V1000" s="55">
        <f t="shared" si="50"/>
        <v>13311</v>
      </c>
    </row>
    <row r="1001" spans="1:22" ht="21.5" customHeight="1">
      <c r="A1001" s="176">
        <v>984</v>
      </c>
      <c r="B1001" s="178" t="s">
        <v>1964</v>
      </c>
      <c r="C1001" s="271" t="s">
        <v>1551</v>
      </c>
      <c r="D1001" s="177">
        <v>46191</v>
      </c>
      <c r="E1001" s="178" t="s">
        <v>1965</v>
      </c>
      <c r="F1001" s="271" t="s">
        <v>1966</v>
      </c>
      <c r="G1001" s="178" t="s">
        <v>753</v>
      </c>
      <c r="H1001" s="366">
        <v>42600000</v>
      </c>
      <c r="I1001" s="176">
        <v>8</v>
      </c>
      <c r="J1001" s="366">
        <v>3408000</v>
      </c>
      <c r="K1001" s="178" t="s">
        <v>261</v>
      </c>
      <c r="L1001" s="178" t="s">
        <v>252</v>
      </c>
      <c r="M1001" s="271" t="s">
        <v>1784</v>
      </c>
      <c r="N1001" s="177">
        <v>46234</v>
      </c>
      <c r="O1001" s="177">
        <v>46234</v>
      </c>
      <c r="P1001" s="366">
        <v>46008000</v>
      </c>
      <c r="Q1001" s="176" t="s">
        <v>248</v>
      </c>
      <c r="R1001" s="176" t="s">
        <v>434</v>
      </c>
      <c r="S1001" s="178" t="s">
        <v>253</v>
      </c>
      <c r="T1001" s="57" t="str">
        <f t="shared" si="48"/>
        <v>Đ</v>
      </c>
      <c r="U1001" s="59">
        <f t="shared" si="49"/>
        <v>0</v>
      </c>
      <c r="V1001" s="55">
        <f t="shared" si="50"/>
        <v>13311</v>
      </c>
    </row>
    <row r="1002" spans="1:22" ht="21.5" customHeight="1">
      <c r="A1002" s="176">
        <v>985</v>
      </c>
      <c r="B1002" s="178" t="s">
        <v>1964</v>
      </c>
      <c r="C1002" s="271" t="s">
        <v>1322</v>
      </c>
      <c r="D1002" s="177">
        <v>46191</v>
      </c>
      <c r="E1002" s="178" t="s">
        <v>1965</v>
      </c>
      <c r="F1002" s="271" t="s">
        <v>1966</v>
      </c>
      <c r="G1002" s="178" t="s">
        <v>753</v>
      </c>
      <c r="H1002" s="366">
        <v>28400000</v>
      </c>
      <c r="I1002" s="176">
        <v>8</v>
      </c>
      <c r="J1002" s="366">
        <v>2272000</v>
      </c>
      <c r="K1002" s="178" t="s">
        <v>261</v>
      </c>
      <c r="L1002" s="178" t="s">
        <v>252</v>
      </c>
      <c r="M1002" s="271" t="s">
        <v>1784</v>
      </c>
      <c r="N1002" s="177">
        <v>46234</v>
      </c>
      <c r="O1002" s="177">
        <v>46234</v>
      </c>
      <c r="P1002" s="366">
        <v>30672000</v>
      </c>
      <c r="Q1002" s="176" t="s">
        <v>248</v>
      </c>
      <c r="R1002" s="176" t="s">
        <v>434</v>
      </c>
      <c r="S1002" s="178" t="s">
        <v>253</v>
      </c>
      <c r="T1002" s="57" t="str">
        <f t="shared" si="48"/>
        <v>Đ</v>
      </c>
      <c r="U1002" s="59">
        <f t="shared" si="49"/>
        <v>0</v>
      </c>
      <c r="V1002" s="55">
        <f t="shared" si="50"/>
        <v>13311</v>
      </c>
    </row>
    <row r="1003" spans="1:22" ht="14.5" customHeight="1">
      <c r="A1003" s="176">
        <v>986</v>
      </c>
      <c r="B1003" s="178" t="s">
        <v>1902</v>
      </c>
      <c r="C1003" s="271" t="s">
        <v>800</v>
      </c>
      <c r="D1003" s="177">
        <v>46221</v>
      </c>
      <c r="E1003" s="178" t="s">
        <v>1903</v>
      </c>
      <c r="F1003" s="271" t="s">
        <v>1904</v>
      </c>
      <c r="G1003" s="178" t="s">
        <v>1905</v>
      </c>
      <c r="H1003" s="366">
        <v>333333</v>
      </c>
      <c r="I1003" s="176">
        <v>8</v>
      </c>
      <c r="J1003" s="366">
        <v>26667</v>
      </c>
      <c r="K1003" s="178" t="s">
        <v>261</v>
      </c>
      <c r="L1003" s="178" t="s">
        <v>252</v>
      </c>
      <c r="M1003" s="271" t="s">
        <v>1784</v>
      </c>
      <c r="N1003" s="177">
        <v>46234</v>
      </c>
      <c r="O1003" s="177">
        <v>46234</v>
      </c>
      <c r="P1003" s="366">
        <v>360000</v>
      </c>
      <c r="Q1003" s="176" t="s">
        <v>248</v>
      </c>
      <c r="R1003" s="176" t="s">
        <v>434</v>
      </c>
      <c r="S1003" s="178" t="s">
        <v>253</v>
      </c>
      <c r="T1003" s="57" t="str">
        <f t="shared" si="48"/>
        <v>Đ</v>
      </c>
      <c r="U1003" s="59">
        <f t="shared" si="49"/>
        <v>0</v>
      </c>
      <c r="V1003" s="55">
        <f t="shared" si="50"/>
        <v>13311</v>
      </c>
    </row>
    <row r="1004" spans="1:22" ht="14.5" customHeight="1">
      <c r="A1004" s="176">
        <v>987</v>
      </c>
      <c r="B1004" s="178" t="s">
        <v>1902</v>
      </c>
      <c r="C1004" s="271" t="s">
        <v>1967</v>
      </c>
      <c r="D1004" s="177">
        <v>46192</v>
      </c>
      <c r="E1004" s="178" t="s">
        <v>1968</v>
      </c>
      <c r="F1004" s="271" t="s">
        <v>1969</v>
      </c>
      <c r="G1004" s="178" t="s">
        <v>730</v>
      </c>
      <c r="H1004" s="366">
        <v>120000</v>
      </c>
      <c r="I1004" s="176">
        <v>10</v>
      </c>
      <c r="J1004" s="366">
        <v>12000</v>
      </c>
      <c r="K1004" s="178" t="s">
        <v>261</v>
      </c>
      <c r="L1004" s="178" t="s">
        <v>252</v>
      </c>
      <c r="M1004" s="271" t="s">
        <v>1784</v>
      </c>
      <c r="N1004" s="177">
        <v>46234</v>
      </c>
      <c r="O1004" s="177">
        <v>46234</v>
      </c>
      <c r="P1004" s="366">
        <v>132000</v>
      </c>
      <c r="Q1004" s="176" t="s">
        <v>248</v>
      </c>
      <c r="R1004" s="176" t="s">
        <v>434</v>
      </c>
      <c r="S1004" s="178" t="s">
        <v>253</v>
      </c>
      <c r="T1004" s="57" t="str">
        <f t="shared" si="48"/>
        <v>Đ</v>
      </c>
      <c r="U1004" s="59">
        <f t="shared" si="49"/>
        <v>0</v>
      </c>
      <c r="V1004" s="55">
        <f t="shared" si="50"/>
        <v>13311</v>
      </c>
    </row>
    <row r="1005" spans="1:22" ht="14.5" customHeight="1">
      <c r="A1005" s="176">
        <v>988</v>
      </c>
      <c r="B1005" s="178" t="s">
        <v>1902</v>
      </c>
      <c r="C1005" s="271" t="s">
        <v>1967</v>
      </c>
      <c r="D1005" s="177">
        <v>46192</v>
      </c>
      <c r="E1005" s="178" t="s">
        <v>1968</v>
      </c>
      <c r="F1005" s="271" t="s">
        <v>1969</v>
      </c>
      <c r="G1005" s="178" t="s">
        <v>730</v>
      </c>
      <c r="H1005" s="366">
        <v>1098000</v>
      </c>
      <c r="I1005" s="176">
        <v>8</v>
      </c>
      <c r="J1005" s="366">
        <v>87840</v>
      </c>
      <c r="K1005" s="178" t="s">
        <v>261</v>
      </c>
      <c r="L1005" s="178" t="s">
        <v>252</v>
      </c>
      <c r="M1005" s="271" t="s">
        <v>1784</v>
      </c>
      <c r="N1005" s="177">
        <v>46234</v>
      </c>
      <c r="O1005" s="177">
        <v>46234</v>
      </c>
      <c r="P1005" s="366">
        <v>1185840</v>
      </c>
      <c r="Q1005" s="176" t="s">
        <v>248</v>
      </c>
      <c r="R1005" s="176" t="s">
        <v>434</v>
      </c>
      <c r="S1005" s="178" t="s">
        <v>253</v>
      </c>
      <c r="T1005" s="57" t="str">
        <f t="shared" si="48"/>
        <v>Đ</v>
      </c>
      <c r="U1005" s="59">
        <f t="shared" si="49"/>
        <v>0</v>
      </c>
      <c r="V1005" s="55">
        <f t="shared" si="50"/>
        <v>13311</v>
      </c>
    </row>
    <row r="1006" spans="1:22" ht="14.5" customHeight="1">
      <c r="A1006" s="176">
        <v>989</v>
      </c>
      <c r="B1006" s="178" t="s">
        <v>1906</v>
      </c>
      <c r="C1006" s="271" t="s">
        <v>1970</v>
      </c>
      <c r="D1006" s="177">
        <v>46192</v>
      </c>
      <c r="E1006" s="178" t="s">
        <v>1971</v>
      </c>
      <c r="F1006" s="271" t="s">
        <v>1972</v>
      </c>
      <c r="G1006" s="178" t="s">
        <v>730</v>
      </c>
      <c r="H1006" s="366">
        <v>6362000</v>
      </c>
      <c r="I1006" s="176">
        <v>8</v>
      </c>
      <c r="J1006" s="366">
        <v>508960</v>
      </c>
      <c r="K1006" s="178" t="s">
        <v>261</v>
      </c>
      <c r="L1006" s="178" t="s">
        <v>252</v>
      </c>
      <c r="M1006" s="271" t="s">
        <v>1784</v>
      </c>
      <c r="N1006" s="177">
        <v>46234</v>
      </c>
      <c r="O1006" s="177">
        <v>46234</v>
      </c>
      <c r="P1006" s="366">
        <v>6870960</v>
      </c>
      <c r="Q1006" s="176" t="s">
        <v>248</v>
      </c>
      <c r="R1006" s="176" t="s">
        <v>434</v>
      </c>
      <c r="S1006" s="178" t="s">
        <v>253</v>
      </c>
      <c r="T1006" s="57" t="str">
        <f t="shared" si="48"/>
        <v>Đ</v>
      </c>
      <c r="U1006" s="59">
        <f t="shared" si="49"/>
        <v>0</v>
      </c>
      <c r="V1006" s="55">
        <f t="shared" si="50"/>
        <v>13311</v>
      </c>
    </row>
    <row r="1007" spans="1:22" ht="14.5" customHeight="1">
      <c r="A1007" s="176">
        <v>990</v>
      </c>
      <c r="B1007" s="178" t="s">
        <v>1906</v>
      </c>
      <c r="C1007" s="271" t="s">
        <v>1970</v>
      </c>
      <c r="D1007" s="177">
        <v>46192</v>
      </c>
      <c r="E1007" s="178" t="s">
        <v>1971</v>
      </c>
      <c r="F1007" s="271" t="s">
        <v>1972</v>
      </c>
      <c r="G1007" s="178" t="s">
        <v>730</v>
      </c>
      <c r="H1007" s="366">
        <v>120000</v>
      </c>
      <c r="I1007" s="176">
        <v>10</v>
      </c>
      <c r="J1007" s="366">
        <v>12000</v>
      </c>
      <c r="K1007" s="178" t="s">
        <v>261</v>
      </c>
      <c r="L1007" s="178" t="s">
        <v>252</v>
      </c>
      <c r="M1007" s="271" t="s">
        <v>1784</v>
      </c>
      <c r="N1007" s="177">
        <v>46234</v>
      </c>
      <c r="O1007" s="177">
        <v>46234</v>
      </c>
      <c r="P1007" s="366">
        <v>132000</v>
      </c>
      <c r="Q1007" s="176" t="s">
        <v>248</v>
      </c>
      <c r="R1007" s="176" t="s">
        <v>434</v>
      </c>
      <c r="S1007" s="178" t="s">
        <v>253</v>
      </c>
      <c r="T1007" s="57" t="str">
        <f t="shared" si="48"/>
        <v>Đ</v>
      </c>
      <c r="U1007" s="59">
        <f t="shared" si="49"/>
        <v>0</v>
      </c>
      <c r="V1007" s="55">
        <f t="shared" si="50"/>
        <v>13311</v>
      </c>
    </row>
    <row r="1008" spans="1:22" ht="14.5" customHeight="1">
      <c r="A1008" s="176">
        <v>991</v>
      </c>
      <c r="B1008" s="178" t="s">
        <v>1973</v>
      </c>
      <c r="C1008" s="271" t="s">
        <v>1974</v>
      </c>
      <c r="D1008" s="177">
        <v>46223</v>
      </c>
      <c r="E1008" s="178" t="s">
        <v>1975</v>
      </c>
      <c r="F1008" s="271" t="s">
        <v>1976</v>
      </c>
      <c r="G1008" s="178" t="s">
        <v>1977</v>
      </c>
      <c r="H1008" s="366">
        <v>3332000</v>
      </c>
      <c r="I1008" s="176">
        <v>8</v>
      </c>
      <c r="J1008" s="366">
        <v>266560</v>
      </c>
      <c r="K1008" s="178" t="s">
        <v>261</v>
      </c>
      <c r="L1008" s="178" t="s">
        <v>252</v>
      </c>
      <c r="M1008" s="271" t="s">
        <v>1784</v>
      </c>
      <c r="N1008" s="177">
        <v>46234</v>
      </c>
      <c r="O1008" s="177">
        <v>46234</v>
      </c>
      <c r="P1008" s="366">
        <v>3598560</v>
      </c>
      <c r="Q1008" s="176" t="s">
        <v>248</v>
      </c>
      <c r="R1008" s="176" t="s">
        <v>434</v>
      </c>
      <c r="S1008" s="178" t="s">
        <v>253</v>
      </c>
      <c r="T1008" s="57" t="str">
        <f t="shared" si="48"/>
        <v>Đ</v>
      </c>
      <c r="U1008" s="59">
        <f t="shared" si="49"/>
        <v>0</v>
      </c>
      <c r="V1008" s="55">
        <f t="shared" si="50"/>
        <v>13311</v>
      </c>
    </row>
    <row r="1009" spans="1:22" ht="14.5" customHeight="1">
      <c r="A1009" s="176">
        <v>992</v>
      </c>
      <c r="B1009" s="178" t="s">
        <v>1906</v>
      </c>
      <c r="C1009" s="271" t="s">
        <v>1978</v>
      </c>
      <c r="D1009" s="177">
        <v>46163</v>
      </c>
      <c r="E1009" s="178" t="s">
        <v>728</v>
      </c>
      <c r="F1009" s="271" t="s">
        <v>729</v>
      </c>
      <c r="G1009" s="178" t="s">
        <v>730</v>
      </c>
      <c r="H1009" s="366">
        <v>200000</v>
      </c>
      <c r="I1009" s="176">
        <v>10</v>
      </c>
      <c r="J1009" s="366">
        <v>20000</v>
      </c>
      <c r="K1009" s="178" t="s">
        <v>261</v>
      </c>
      <c r="L1009" s="178" t="s">
        <v>252</v>
      </c>
      <c r="M1009" s="271" t="s">
        <v>1784</v>
      </c>
      <c r="N1009" s="177">
        <v>46234</v>
      </c>
      <c r="O1009" s="177">
        <v>46234</v>
      </c>
      <c r="P1009" s="366">
        <v>220000</v>
      </c>
      <c r="Q1009" s="176" t="s">
        <v>248</v>
      </c>
      <c r="R1009" s="176" t="s">
        <v>434</v>
      </c>
      <c r="S1009" s="178" t="s">
        <v>253</v>
      </c>
      <c r="T1009" s="57" t="str">
        <f t="shared" si="48"/>
        <v>Đ</v>
      </c>
      <c r="U1009" s="59">
        <f t="shared" si="49"/>
        <v>0</v>
      </c>
      <c r="V1009" s="55">
        <f t="shared" si="50"/>
        <v>13311</v>
      </c>
    </row>
    <row r="1010" spans="1:22" ht="14.5" customHeight="1">
      <c r="A1010" s="176">
        <v>993</v>
      </c>
      <c r="B1010" s="178" t="s">
        <v>1906</v>
      </c>
      <c r="C1010" s="271" t="s">
        <v>1978</v>
      </c>
      <c r="D1010" s="177">
        <v>46163</v>
      </c>
      <c r="E1010" s="178" t="s">
        <v>728</v>
      </c>
      <c r="F1010" s="271" t="s">
        <v>729</v>
      </c>
      <c r="G1010" s="178" t="s">
        <v>730</v>
      </c>
      <c r="H1010" s="366">
        <v>9065000</v>
      </c>
      <c r="I1010" s="176">
        <v>8</v>
      </c>
      <c r="J1010" s="366">
        <v>725200</v>
      </c>
      <c r="K1010" s="178" t="s">
        <v>261</v>
      </c>
      <c r="L1010" s="178" t="s">
        <v>252</v>
      </c>
      <c r="M1010" s="271" t="s">
        <v>1784</v>
      </c>
      <c r="N1010" s="177">
        <v>46234</v>
      </c>
      <c r="O1010" s="177">
        <v>46234</v>
      </c>
      <c r="P1010" s="366">
        <v>9790200</v>
      </c>
      <c r="Q1010" s="176" t="s">
        <v>248</v>
      </c>
      <c r="R1010" s="176" t="s">
        <v>434</v>
      </c>
      <c r="S1010" s="178" t="s">
        <v>253</v>
      </c>
      <c r="T1010" s="57" t="str">
        <f t="shared" si="48"/>
        <v>Đ</v>
      </c>
      <c r="U1010" s="59">
        <f t="shared" si="49"/>
        <v>0</v>
      </c>
      <c r="V1010" s="55">
        <f t="shared" si="50"/>
        <v>13311</v>
      </c>
    </row>
    <row r="1011" spans="1:22" ht="21.5" customHeight="1">
      <c r="A1011" s="176">
        <v>994</v>
      </c>
      <c r="B1011" s="178" t="s">
        <v>1780</v>
      </c>
      <c r="C1011" s="271" t="s">
        <v>1574</v>
      </c>
      <c r="D1011" s="177">
        <v>46224</v>
      </c>
      <c r="E1011" s="178" t="s">
        <v>1782</v>
      </c>
      <c r="F1011" s="271" t="s">
        <v>1783</v>
      </c>
      <c r="G1011" s="178" t="s">
        <v>1928</v>
      </c>
      <c r="H1011" s="366">
        <v>5724495</v>
      </c>
      <c r="I1011" s="176">
        <v>8</v>
      </c>
      <c r="J1011" s="366">
        <v>457961</v>
      </c>
      <c r="K1011" s="178" t="s">
        <v>261</v>
      </c>
      <c r="L1011" s="178" t="s">
        <v>252</v>
      </c>
      <c r="M1011" s="271" t="s">
        <v>1784</v>
      </c>
      <c r="N1011" s="177">
        <v>46234</v>
      </c>
      <c r="O1011" s="177">
        <v>46234</v>
      </c>
      <c r="P1011" s="366">
        <v>6182456</v>
      </c>
      <c r="Q1011" s="176" t="s">
        <v>248</v>
      </c>
      <c r="R1011" s="176" t="s">
        <v>434</v>
      </c>
      <c r="S1011" s="178" t="s">
        <v>253</v>
      </c>
      <c r="T1011" s="57" t="str">
        <f t="shared" si="48"/>
        <v>Đ</v>
      </c>
      <c r="U1011" s="59">
        <f t="shared" si="49"/>
        <v>-1</v>
      </c>
      <c r="V1011" s="55">
        <f t="shared" si="50"/>
        <v>13311</v>
      </c>
    </row>
    <row r="1012" spans="1:22" ht="21.5" customHeight="1">
      <c r="A1012" s="176">
        <v>995</v>
      </c>
      <c r="B1012" s="178" t="s">
        <v>1780</v>
      </c>
      <c r="C1012" s="271" t="s">
        <v>1577</v>
      </c>
      <c r="D1012" s="177">
        <v>46224</v>
      </c>
      <c r="E1012" s="178" t="s">
        <v>1782</v>
      </c>
      <c r="F1012" s="271" t="s">
        <v>1783</v>
      </c>
      <c r="G1012" s="178" t="s">
        <v>1928</v>
      </c>
      <c r="H1012" s="366">
        <v>4801474</v>
      </c>
      <c r="I1012" s="176">
        <v>8</v>
      </c>
      <c r="J1012" s="366">
        <v>384118</v>
      </c>
      <c r="K1012" s="178" t="s">
        <v>261</v>
      </c>
      <c r="L1012" s="178" t="s">
        <v>252</v>
      </c>
      <c r="M1012" s="271" t="s">
        <v>1784</v>
      </c>
      <c r="N1012" s="177">
        <v>46234</v>
      </c>
      <c r="O1012" s="177">
        <v>46234</v>
      </c>
      <c r="P1012" s="366">
        <v>5185592</v>
      </c>
      <c r="Q1012" s="176" t="s">
        <v>248</v>
      </c>
      <c r="R1012" s="176" t="s">
        <v>434</v>
      </c>
      <c r="S1012" s="178" t="s">
        <v>253</v>
      </c>
      <c r="T1012" s="57" t="str">
        <f t="shared" si="48"/>
        <v>Đ</v>
      </c>
      <c r="U1012" s="59">
        <f t="shared" si="49"/>
        <v>0</v>
      </c>
      <c r="V1012" s="55">
        <f t="shared" si="50"/>
        <v>13311</v>
      </c>
    </row>
    <row r="1013" spans="1:22" ht="21.5" customHeight="1">
      <c r="A1013" s="176">
        <v>996</v>
      </c>
      <c r="B1013" s="178" t="s">
        <v>1780</v>
      </c>
      <c r="C1013" s="271" t="s">
        <v>1759</v>
      </c>
      <c r="D1013" s="177">
        <v>46224</v>
      </c>
      <c r="E1013" s="178" t="s">
        <v>1782</v>
      </c>
      <c r="F1013" s="271" t="s">
        <v>1783</v>
      </c>
      <c r="G1013" s="178" t="s">
        <v>1928</v>
      </c>
      <c r="H1013" s="366">
        <v>4629630</v>
      </c>
      <c r="I1013" s="176">
        <v>8</v>
      </c>
      <c r="J1013" s="366">
        <v>370370</v>
      </c>
      <c r="K1013" s="178" t="s">
        <v>261</v>
      </c>
      <c r="L1013" s="178" t="s">
        <v>252</v>
      </c>
      <c r="M1013" s="271" t="s">
        <v>1784</v>
      </c>
      <c r="N1013" s="177">
        <v>46234</v>
      </c>
      <c r="O1013" s="177">
        <v>46234</v>
      </c>
      <c r="P1013" s="366">
        <v>5000000</v>
      </c>
      <c r="Q1013" s="176" t="s">
        <v>248</v>
      </c>
      <c r="R1013" s="176" t="s">
        <v>434</v>
      </c>
      <c r="S1013" s="178" t="s">
        <v>253</v>
      </c>
      <c r="T1013" s="57" t="str">
        <f t="shared" si="48"/>
        <v>Đ</v>
      </c>
      <c r="U1013" s="59">
        <f t="shared" si="49"/>
        <v>0</v>
      </c>
      <c r="V1013" s="55">
        <f t="shared" si="50"/>
        <v>13311</v>
      </c>
    </row>
    <row r="1014" spans="1:22" ht="21.5" customHeight="1">
      <c r="A1014" s="176">
        <v>997</v>
      </c>
      <c r="B1014" s="178" t="s">
        <v>1780</v>
      </c>
      <c r="C1014" s="271" t="s">
        <v>1979</v>
      </c>
      <c r="D1014" s="177">
        <v>46224</v>
      </c>
      <c r="E1014" s="178" t="s">
        <v>1782</v>
      </c>
      <c r="F1014" s="271" t="s">
        <v>1783</v>
      </c>
      <c r="G1014" s="178" t="s">
        <v>1928</v>
      </c>
      <c r="H1014" s="366">
        <v>4643319</v>
      </c>
      <c r="I1014" s="176">
        <v>8</v>
      </c>
      <c r="J1014" s="366">
        <v>371465</v>
      </c>
      <c r="K1014" s="178" t="s">
        <v>261</v>
      </c>
      <c r="L1014" s="178" t="s">
        <v>252</v>
      </c>
      <c r="M1014" s="271" t="s">
        <v>1784</v>
      </c>
      <c r="N1014" s="177">
        <v>46234</v>
      </c>
      <c r="O1014" s="177">
        <v>46234</v>
      </c>
      <c r="P1014" s="366">
        <v>5014784</v>
      </c>
      <c r="Q1014" s="176" t="s">
        <v>248</v>
      </c>
      <c r="R1014" s="176" t="s">
        <v>434</v>
      </c>
      <c r="S1014" s="178" t="s">
        <v>253</v>
      </c>
      <c r="T1014" s="57" t="str">
        <f t="shared" si="48"/>
        <v>Đ</v>
      </c>
      <c r="U1014" s="59">
        <f t="shared" si="49"/>
        <v>1</v>
      </c>
      <c r="V1014" s="55">
        <f t="shared" si="50"/>
        <v>13311</v>
      </c>
    </row>
    <row r="1015" spans="1:22" ht="14.5" customHeight="1">
      <c r="A1015" s="176">
        <v>998</v>
      </c>
      <c r="B1015" s="178" t="s">
        <v>1906</v>
      </c>
      <c r="C1015" s="271" t="s">
        <v>1980</v>
      </c>
      <c r="D1015" s="177">
        <v>46224</v>
      </c>
      <c r="E1015" s="178" t="s">
        <v>728</v>
      </c>
      <c r="F1015" s="271" t="s">
        <v>729</v>
      </c>
      <c r="G1015" s="178" t="s">
        <v>1912</v>
      </c>
      <c r="H1015" s="366">
        <v>2949000</v>
      </c>
      <c r="I1015" s="176">
        <v>8</v>
      </c>
      <c r="J1015" s="366">
        <v>235920</v>
      </c>
      <c r="K1015" s="178" t="s">
        <v>261</v>
      </c>
      <c r="L1015" s="178" t="s">
        <v>252</v>
      </c>
      <c r="M1015" s="271" t="s">
        <v>1784</v>
      </c>
      <c r="N1015" s="177">
        <v>46234</v>
      </c>
      <c r="O1015" s="177">
        <v>46234</v>
      </c>
      <c r="P1015" s="366">
        <v>3184920</v>
      </c>
      <c r="Q1015" s="176" t="s">
        <v>248</v>
      </c>
      <c r="R1015" s="176" t="s">
        <v>434</v>
      </c>
      <c r="S1015" s="178" t="s">
        <v>253</v>
      </c>
      <c r="T1015" s="57" t="str">
        <f t="shared" si="48"/>
        <v>Đ</v>
      </c>
      <c r="U1015" s="59">
        <f t="shared" si="49"/>
        <v>0</v>
      </c>
      <c r="V1015" s="55">
        <f t="shared" si="50"/>
        <v>13311</v>
      </c>
    </row>
    <row r="1016" spans="1:22" ht="14.5" customHeight="1">
      <c r="A1016" s="176">
        <v>999</v>
      </c>
      <c r="B1016" s="178" t="s">
        <v>1906</v>
      </c>
      <c r="C1016" s="271" t="s">
        <v>1980</v>
      </c>
      <c r="D1016" s="177">
        <v>46224</v>
      </c>
      <c r="E1016" s="178" t="s">
        <v>728</v>
      </c>
      <c r="F1016" s="271" t="s">
        <v>729</v>
      </c>
      <c r="G1016" s="178" t="s">
        <v>1912</v>
      </c>
      <c r="H1016" s="366">
        <v>60000</v>
      </c>
      <c r="I1016" s="176">
        <v>10</v>
      </c>
      <c r="J1016" s="366">
        <v>6000</v>
      </c>
      <c r="K1016" s="178" t="s">
        <v>261</v>
      </c>
      <c r="L1016" s="178" t="s">
        <v>252</v>
      </c>
      <c r="M1016" s="271" t="s">
        <v>1784</v>
      </c>
      <c r="N1016" s="177">
        <v>46234</v>
      </c>
      <c r="O1016" s="177">
        <v>46234</v>
      </c>
      <c r="P1016" s="366">
        <v>66000</v>
      </c>
      <c r="Q1016" s="176" t="s">
        <v>248</v>
      </c>
      <c r="R1016" s="176" t="s">
        <v>434</v>
      </c>
      <c r="S1016" s="178" t="s">
        <v>253</v>
      </c>
      <c r="T1016" s="57" t="str">
        <f t="shared" si="48"/>
        <v>Đ</v>
      </c>
      <c r="U1016" s="59">
        <f t="shared" si="49"/>
        <v>0</v>
      </c>
      <c r="V1016" s="55">
        <f t="shared" si="50"/>
        <v>13311</v>
      </c>
    </row>
    <row r="1017" spans="1:22" ht="14.5" customHeight="1">
      <c r="A1017" s="176">
        <v>1000</v>
      </c>
      <c r="B1017" s="178" t="s">
        <v>1206</v>
      </c>
      <c r="C1017" s="271" t="s">
        <v>1981</v>
      </c>
      <c r="D1017" s="177">
        <v>46224</v>
      </c>
      <c r="E1017" s="178" t="s">
        <v>1944</v>
      </c>
      <c r="F1017" s="271" t="s">
        <v>1945</v>
      </c>
      <c r="G1017" s="178" t="s">
        <v>1946</v>
      </c>
      <c r="H1017" s="366">
        <v>3752000</v>
      </c>
      <c r="I1017" s="176">
        <v>5</v>
      </c>
      <c r="J1017" s="366">
        <v>187600</v>
      </c>
      <c r="K1017" s="178" t="s">
        <v>261</v>
      </c>
      <c r="L1017" s="178" t="s">
        <v>252</v>
      </c>
      <c r="M1017" s="271" t="s">
        <v>1784</v>
      </c>
      <c r="N1017" s="177">
        <v>46234</v>
      </c>
      <c r="O1017" s="177">
        <v>46234</v>
      </c>
      <c r="P1017" s="366">
        <v>3939600</v>
      </c>
      <c r="Q1017" s="176" t="s">
        <v>248</v>
      </c>
      <c r="R1017" s="176" t="s">
        <v>434</v>
      </c>
      <c r="S1017" s="178" t="s">
        <v>253</v>
      </c>
      <c r="T1017" s="57" t="str">
        <f t="shared" si="48"/>
        <v>Đ</v>
      </c>
      <c r="U1017" s="59">
        <f t="shared" si="49"/>
        <v>0</v>
      </c>
      <c r="V1017" s="55">
        <f t="shared" si="50"/>
        <v>13311</v>
      </c>
    </row>
    <row r="1018" spans="1:22" ht="14.5" customHeight="1">
      <c r="A1018" s="176">
        <v>1001</v>
      </c>
      <c r="B1018" s="178" t="s">
        <v>1206</v>
      </c>
      <c r="C1018" s="271" t="s">
        <v>1981</v>
      </c>
      <c r="D1018" s="177">
        <v>46224</v>
      </c>
      <c r="E1018" s="178" t="s">
        <v>1944</v>
      </c>
      <c r="F1018" s="271" t="s">
        <v>1945</v>
      </c>
      <c r="G1018" s="178" t="s">
        <v>1946</v>
      </c>
      <c r="H1018" s="366">
        <v>1727488</v>
      </c>
      <c r="I1018" s="176">
        <v>8</v>
      </c>
      <c r="J1018" s="366">
        <v>138199</v>
      </c>
      <c r="K1018" s="178" t="s">
        <v>261</v>
      </c>
      <c r="L1018" s="178" t="s">
        <v>252</v>
      </c>
      <c r="M1018" s="271" t="s">
        <v>1784</v>
      </c>
      <c r="N1018" s="177">
        <v>46234</v>
      </c>
      <c r="O1018" s="177">
        <v>46234</v>
      </c>
      <c r="P1018" s="366">
        <v>1865687</v>
      </c>
      <c r="Q1018" s="176" t="s">
        <v>248</v>
      </c>
      <c r="R1018" s="176" t="s">
        <v>434</v>
      </c>
      <c r="S1018" s="178" t="s">
        <v>253</v>
      </c>
      <c r="T1018" s="57" t="str">
        <f t="shared" si="48"/>
        <v>Đ</v>
      </c>
      <c r="U1018" s="59">
        <f t="shared" si="49"/>
        <v>0</v>
      </c>
      <c r="V1018" s="55">
        <f t="shared" si="50"/>
        <v>13311</v>
      </c>
    </row>
    <row r="1019" spans="1:22" ht="14.5" customHeight="1">
      <c r="A1019" s="176">
        <v>1002</v>
      </c>
      <c r="B1019" s="178" t="s">
        <v>1959</v>
      </c>
      <c r="C1019" s="271" t="s">
        <v>1982</v>
      </c>
      <c r="D1019" s="177">
        <v>46224</v>
      </c>
      <c r="E1019" s="178" t="s">
        <v>1961</v>
      </c>
      <c r="F1019" s="271" t="s">
        <v>1962</v>
      </c>
      <c r="G1019" s="178" t="s">
        <v>730</v>
      </c>
      <c r="H1019" s="366">
        <v>7962963</v>
      </c>
      <c r="I1019" s="176">
        <v>8</v>
      </c>
      <c r="J1019" s="366">
        <v>637037</v>
      </c>
      <c r="K1019" s="178" t="s">
        <v>261</v>
      </c>
      <c r="L1019" s="178" t="s">
        <v>252</v>
      </c>
      <c r="M1019" s="271" t="s">
        <v>1784</v>
      </c>
      <c r="N1019" s="177">
        <v>46234</v>
      </c>
      <c r="O1019" s="177">
        <v>46234</v>
      </c>
      <c r="P1019" s="366">
        <v>8600000</v>
      </c>
      <c r="Q1019" s="176" t="s">
        <v>248</v>
      </c>
      <c r="R1019" s="176" t="s">
        <v>434</v>
      </c>
      <c r="S1019" s="178" t="s">
        <v>253</v>
      </c>
      <c r="T1019" s="57" t="str">
        <f t="shared" si="48"/>
        <v>Đ</v>
      </c>
      <c r="U1019" s="59">
        <f t="shared" si="49"/>
        <v>0</v>
      </c>
      <c r="V1019" s="55">
        <f t="shared" si="50"/>
        <v>13311</v>
      </c>
    </row>
    <row r="1020" spans="1:22" ht="21.5" customHeight="1">
      <c r="A1020" s="176">
        <v>1003</v>
      </c>
      <c r="B1020" s="178" t="s">
        <v>1780</v>
      </c>
      <c r="C1020" s="271" t="s">
        <v>1708</v>
      </c>
      <c r="D1020" s="177">
        <v>46224</v>
      </c>
      <c r="E1020" s="178" t="s">
        <v>1782</v>
      </c>
      <c r="F1020" s="271" t="s">
        <v>1783</v>
      </c>
      <c r="G1020" s="178" t="s">
        <v>1928</v>
      </c>
      <c r="H1020" s="366">
        <v>5852830</v>
      </c>
      <c r="I1020" s="176">
        <v>8</v>
      </c>
      <c r="J1020" s="366">
        <v>468226</v>
      </c>
      <c r="K1020" s="178" t="s">
        <v>261</v>
      </c>
      <c r="L1020" s="178" t="s">
        <v>252</v>
      </c>
      <c r="M1020" s="271" t="s">
        <v>1784</v>
      </c>
      <c r="N1020" s="177">
        <v>46234</v>
      </c>
      <c r="O1020" s="177">
        <v>46234</v>
      </c>
      <c r="P1020" s="366">
        <v>6321056</v>
      </c>
      <c r="Q1020" s="176" t="s">
        <v>248</v>
      </c>
      <c r="R1020" s="176" t="s">
        <v>434</v>
      </c>
      <c r="S1020" s="178" t="s">
        <v>253</v>
      </c>
      <c r="T1020" s="57" t="str">
        <f t="shared" si="48"/>
        <v>Đ</v>
      </c>
      <c r="U1020" s="59">
        <f t="shared" si="49"/>
        <v>0</v>
      </c>
      <c r="V1020" s="55">
        <f t="shared" si="50"/>
        <v>13311</v>
      </c>
    </row>
    <row r="1021" spans="1:22" ht="14.5" customHeight="1">
      <c r="A1021" s="176">
        <v>1004</v>
      </c>
      <c r="B1021" s="178" t="s">
        <v>1906</v>
      </c>
      <c r="C1021" s="271" t="s">
        <v>1983</v>
      </c>
      <c r="D1021" s="177">
        <v>46195</v>
      </c>
      <c r="E1021" s="178" t="s">
        <v>728</v>
      </c>
      <c r="F1021" s="271" t="s">
        <v>729</v>
      </c>
      <c r="G1021" s="178" t="s">
        <v>730</v>
      </c>
      <c r="H1021" s="366">
        <v>5817000</v>
      </c>
      <c r="I1021" s="176">
        <v>8</v>
      </c>
      <c r="J1021" s="366">
        <v>465360</v>
      </c>
      <c r="K1021" s="178" t="s">
        <v>261</v>
      </c>
      <c r="L1021" s="178" t="s">
        <v>252</v>
      </c>
      <c r="M1021" s="271" t="s">
        <v>1784</v>
      </c>
      <c r="N1021" s="177">
        <v>46234</v>
      </c>
      <c r="O1021" s="177">
        <v>46234</v>
      </c>
      <c r="P1021" s="366">
        <v>6282360</v>
      </c>
      <c r="Q1021" s="176" t="s">
        <v>248</v>
      </c>
      <c r="R1021" s="176" t="s">
        <v>434</v>
      </c>
      <c r="S1021" s="178" t="s">
        <v>253</v>
      </c>
      <c r="T1021" s="57" t="str">
        <f t="shared" si="48"/>
        <v>Đ</v>
      </c>
      <c r="U1021" s="59">
        <f t="shared" si="49"/>
        <v>0</v>
      </c>
      <c r="V1021" s="55">
        <f t="shared" si="50"/>
        <v>13311</v>
      </c>
    </row>
    <row r="1022" spans="1:22" ht="14.5" customHeight="1">
      <c r="A1022" s="176">
        <v>1005</v>
      </c>
      <c r="B1022" s="178" t="s">
        <v>1906</v>
      </c>
      <c r="C1022" s="271" t="s">
        <v>1983</v>
      </c>
      <c r="D1022" s="177">
        <v>46195</v>
      </c>
      <c r="E1022" s="178" t="s">
        <v>728</v>
      </c>
      <c r="F1022" s="271" t="s">
        <v>729</v>
      </c>
      <c r="G1022" s="178" t="s">
        <v>730</v>
      </c>
      <c r="H1022" s="366">
        <v>200000</v>
      </c>
      <c r="I1022" s="176">
        <v>10</v>
      </c>
      <c r="J1022" s="366">
        <v>20000</v>
      </c>
      <c r="K1022" s="178" t="s">
        <v>261</v>
      </c>
      <c r="L1022" s="178" t="s">
        <v>252</v>
      </c>
      <c r="M1022" s="271" t="s">
        <v>1784</v>
      </c>
      <c r="N1022" s="177">
        <v>46234</v>
      </c>
      <c r="O1022" s="177">
        <v>46234</v>
      </c>
      <c r="P1022" s="366">
        <v>220000</v>
      </c>
      <c r="Q1022" s="176" t="s">
        <v>248</v>
      </c>
      <c r="R1022" s="176" t="s">
        <v>434</v>
      </c>
      <c r="S1022" s="178" t="s">
        <v>253</v>
      </c>
      <c r="T1022" s="57" t="str">
        <f t="shared" si="48"/>
        <v>Đ</v>
      </c>
      <c r="U1022" s="59">
        <f t="shared" si="49"/>
        <v>0</v>
      </c>
      <c r="V1022" s="55">
        <f t="shared" si="50"/>
        <v>13311</v>
      </c>
    </row>
    <row r="1023" spans="1:22" ht="31.5" customHeight="1">
      <c r="A1023" s="176">
        <v>1006</v>
      </c>
      <c r="B1023" s="178" t="s">
        <v>1984</v>
      </c>
      <c r="C1023" s="271" t="s">
        <v>1985</v>
      </c>
      <c r="D1023" s="177">
        <v>46196</v>
      </c>
      <c r="E1023" s="178" t="s">
        <v>1986</v>
      </c>
      <c r="F1023" s="271" t="s">
        <v>1987</v>
      </c>
      <c r="G1023" s="178" t="s">
        <v>1988</v>
      </c>
      <c r="H1023" s="366">
        <v>36970661</v>
      </c>
      <c r="I1023" s="176">
        <v>8</v>
      </c>
      <c r="J1023" s="366">
        <v>2957653</v>
      </c>
      <c r="K1023" s="178" t="s">
        <v>261</v>
      </c>
      <c r="L1023" s="178" t="s">
        <v>252</v>
      </c>
      <c r="M1023" s="271" t="s">
        <v>1784</v>
      </c>
      <c r="N1023" s="177">
        <v>46234</v>
      </c>
      <c r="O1023" s="177">
        <v>46234</v>
      </c>
      <c r="P1023" s="366">
        <v>39928314</v>
      </c>
      <c r="Q1023" s="176" t="s">
        <v>248</v>
      </c>
      <c r="R1023" s="176" t="s">
        <v>434</v>
      </c>
      <c r="S1023" s="178" t="s">
        <v>253</v>
      </c>
      <c r="T1023" s="57" t="str">
        <f t="shared" si="48"/>
        <v>Đ</v>
      </c>
      <c r="U1023" s="59">
        <f t="shared" si="49"/>
        <v>0</v>
      </c>
      <c r="V1023" s="55">
        <f t="shared" si="50"/>
        <v>13311</v>
      </c>
    </row>
    <row r="1024" spans="1:22" ht="21.5" customHeight="1">
      <c r="A1024" s="176">
        <v>1007</v>
      </c>
      <c r="B1024" s="178" t="s">
        <v>1989</v>
      </c>
      <c r="C1024" s="271" t="s">
        <v>1990</v>
      </c>
      <c r="D1024" s="177">
        <v>46196</v>
      </c>
      <c r="E1024" s="178" t="s">
        <v>1991</v>
      </c>
      <c r="F1024" s="271" t="s">
        <v>1992</v>
      </c>
      <c r="G1024" s="178" t="s">
        <v>1794</v>
      </c>
      <c r="H1024" s="366">
        <v>54545</v>
      </c>
      <c r="I1024" s="176">
        <v>10</v>
      </c>
      <c r="J1024" s="366">
        <v>5455</v>
      </c>
      <c r="K1024" s="178" t="s">
        <v>261</v>
      </c>
      <c r="L1024" s="178" t="s">
        <v>252</v>
      </c>
      <c r="M1024" s="271" t="s">
        <v>1784</v>
      </c>
      <c r="N1024" s="177">
        <v>46234</v>
      </c>
      <c r="O1024" s="177">
        <v>46234</v>
      </c>
      <c r="P1024" s="366">
        <v>60000</v>
      </c>
      <c r="Q1024" s="176" t="s">
        <v>248</v>
      </c>
      <c r="R1024" s="176" t="s">
        <v>434</v>
      </c>
      <c r="S1024" s="178" t="s">
        <v>253</v>
      </c>
      <c r="T1024" s="57" t="str">
        <f t="shared" si="48"/>
        <v>Đ</v>
      </c>
      <c r="U1024" s="59">
        <f t="shared" si="49"/>
        <v>0</v>
      </c>
      <c r="V1024" s="55">
        <f t="shared" si="50"/>
        <v>13311</v>
      </c>
    </row>
    <row r="1025" spans="1:22" ht="21.5" customHeight="1">
      <c r="A1025" s="176">
        <v>1008</v>
      </c>
      <c r="B1025" s="178" t="s">
        <v>1989</v>
      </c>
      <c r="C1025" s="271" t="s">
        <v>1990</v>
      </c>
      <c r="D1025" s="177">
        <v>46196</v>
      </c>
      <c r="E1025" s="178" t="s">
        <v>1991</v>
      </c>
      <c r="F1025" s="271" t="s">
        <v>1992</v>
      </c>
      <c r="G1025" s="178" t="s">
        <v>1794</v>
      </c>
      <c r="H1025" s="366">
        <v>3648149</v>
      </c>
      <c r="I1025" s="176">
        <v>8</v>
      </c>
      <c r="J1025" s="366">
        <v>291851</v>
      </c>
      <c r="K1025" s="178" t="s">
        <v>261</v>
      </c>
      <c r="L1025" s="178" t="s">
        <v>252</v>
      </c>
      <c r="M1025" s="271" t="s">
        <v>1784</v>
      </c>
      <c r="N1025" s="177">
        <v>46234</v>
      </c>
      <c r="O1025" s="177">
        <v>46234</v>
      </c>
      <c r="P1025" s="366">
        <v>3940000</v>
      </c>
      <c r="Q1025" s="176" t="s">
        <v>248</v>
      </c>
      <c r="R1025" s="176" t="s">
        <v>434</v>
      </c>
      <c r="S1025" s="178" t="s">
        <v>253</v>
      </c>
      <c r="T1025" s="57" t="str">
        <f t="shared" si="48"/>
        <v>Đ</v>
      </c>
      <c r="U1025" s="59">
        <f t="shared" si="49"/>
        <v>1</v>
      </c>
      <c r="V1025" s="55">
        <f t="shared" si="50"/>
        <v>13311</v>
      </c>
    </row>
    <row r="1026" spans="1:22" ht="21.5" customHeight="1">
      <c r="A1026" s="176">
        <v>1009</v>
      </c>
      <c r="B1026" s="178" t="s">
        <v>1993</v>
      </c>
      <c r="C1026" s="271" t="s">
        <v>1749</v>
      </c>
      <c r="D1026" s="177">
        <v>46196</v>
      </c>
      <c r="E1026" s="178" t="s">
        <v>656</v>
      </c>
      <c r="F1026" s="271" t="s">
        <v>657</v>
      </c>
      <c r="G1026" s="178" t="s">
        <v>1994</v>
      </c>
      <c r="H1026" s="366">
        <v>30000000</v>
      </c>
      <c r="I1026" s="176">
        <v>8</v>
      </c>
      <c r="J1026" s="366">
        <v>2400000</v>
      </c>
      <c r="K1026" s="178" t="s">
        <v>261</v>
      </c>
      <c r="L1026" s="178" t="s">
        <v>252</v>
      </c>
      <c r="M1026" s="271" t="s">
        <v>1784</v>
      </c>
      <c r="N1026" s="177">
        <v>46234</v>
      </c>
      <c r="O1026" s="177">
        <v>46234</v>
      </c>
      <c r="P1026" s="366">
        <v>32400000</v>
      </c>
      <c r="Q1026" s="176" t="s">
        <v>248</v>
      </c>
      <c r="R1026" s="176" t="s">
        <v>434</v>
      </c>
      <c r="S1026" s="178" t="s">
        <v>253</v>
      </c>
      <c r="T1026" s="57" t="str">
        <f t="shared" si="48"/>
        <v>Đ</v>
      </c>
      <c r="U1026" s="59">
        <f t="shared" si="49"/>
        <v>0</v>
      </c>
      <c r="V1026" s="55">
        <f t="shared" si="50"/>
        <v>13311</v>
      </c>
    </row>
    <row r="1027" spans="1:22" ht="14.5" customHeight="1">
      <c r="A1027" s="176">
        <v>1010</v>
      </c>
      <c r="B1027" s="178" t="s">
        <v>1206</v>
      </c>
      <c r="C1027" s="271" t="s">
        <v>1995</v>
      </c>
      <c r="D1027" s="177">
        <v>46226</v>
      </c>
      <c r="E1027" s="178" t="s">
        <v>1944</v>
      </c>
      <c r="F1027" s="271" t="s">
        <v>1945</v>
      </c>
      <c r="G1027" s="178" t="s">
        <v>1946</v>
      </c>
      <c r="H1027" s="366">
        <v>964800</v>
      </c>
      <c r="I1027" s="176">
        <v>5</v>
      </c>
      <c r="J1027" s="366">
        <v>48240</v>
      </c>
      <c r="K1027" s="178" t="s">
        <v>261</v>
      </c>
      <c r="L1027" s="178" t="s">
        <v>252</v>
      </c>
      <c r="M1027" s="271" t="s">
        <v>1784</v>
      </c>
      <c r="N1027" s="177">
        <v>46234</v>
      </c>
      <c r="O1027" s="177">
        <v>46234</v>
      </c>
      <c r="P1027" s="366">
        <v>1013040</v>
      </c>
      <c r="Q1027" s="176" t="s">
        <v>248</v>
      </c>
      <c r="R1027" s="176" t="s">
        <v>434</v>
      </c>
      <c r="S1027" s="178" t="s">
        <v>253</v>
      </c>
      <c r="T1027" s="57" t="str">
        <f t="shared" si="48"/>
        <v>Đ</v>
      </c>
      <c r="U1027" s="59">
        <f t="shared" si="49"/>
        <v>0</v>
      </c>
      <c r="V1027" s="55">
        <f t="shared" si="50"/>
        <v>13311</v>
      </c>
    </row>
    <row r="1028" spans="1:22" ht="21.5" customHeight="1">
      <c r="A1028" s="176">
        <v>1011</v>
      </c>
      <c r="B1028" s="178" t="s">
        <v>1312</v>
      </c>
      <c r="C1028" s="271" t="s">
        <v>1245</v>
      </c>
      <c r="D1028" s="177">
        <v>46226</v>
      </c>
      <c r="E1028" s="178" t="s">
        <v>1996</v>
      </c>
      <c r="F1028" s="271" t="s">
        <v>1997</v>
      </c>
      <c r="G1028" s="178" t="s">
        <v>1998</v>
      </c>
      <c r="H1028" s="366">
        <v>21111111</v>
      </c>
      <c r="I1028" s="176">
        <v>8</v>
      </c>
      <c r="J1028" s="366">
        <v>1688889</v>
      </c>
      <c r="K1028" s="178" t="s">
        <v>261</v>
      </c>
      <c r="L1028" s="178" t="s">
        <v>252</v>
      </c>
      <c r="M1028" s="271" t="s">
        <v>1784</v>
      </c>
      <c r="N1028" s="177">
        <v>46234</v>
      </c>
      <c r="O1028" s="177">
        <v>46234</v>
      </c>
      <c r="P1028" s="366">
        <v>22800000</v>
      </c>
      <c r="Q1028" s="176" t="s">
        <v>248</v>
      </c>
      <c r="R1028" s="176" t="s">
        <v>434</v>
      </c>
      <c r="S1028" s="178" t="s">
        <v>253</v>
      </c>
      <c r="T1028" s="57" t="str">
        <f t="shared" si="48"/>
        <v>Đ</v>
      </c>
      <c r="U1028" s="59">
        <f t="shared" si="49"/>
        <v>0</v>
      </c>
      <c r="V1028" s="55">
        <f t="shared" si="50"/>
        <v>13311</v>
      </c>
    </row>
    <row r="1029" spans="1:22" ht="21.5" customHeight="1">
      <c r="A1029" s="176">
        <v>1012</v>
      </c>
      <c r="B1029" s="178" t="s">
        <v>1989</v>
      </c>
      <c r="C1029" s="271" t="s">
        <v>1999</v>
      </c>
      <c r="D1029" s="177">
        <v>46226</v>
      </c>
      <c r="E1029" s="178" t="s">
        <v>1991</v>
      </c>
      <c r="F1029" s="271" t="s">
        <v>1992</v>
      </c>
      <c r="G1029" s="178" t="s">
        <v>730</v>
      </c>
      <c r="H1029" s="366">
        <v>7370371</v>
      </c>
      <c r="I1029" s="176">
        <v>8</v>
      </c>
      <c r="J1029" s="366">
        <v>589630</v>
      </c>
      <c r="K1029" s="178" t="s">
        <v>261</v>
      </c>
      <c r="L1029" s="178" t="s">
        <v>252</v>
      </c>
      <c r="M1029" s="271" t="s">
        <v>1784</v>
      </c>
      <c r="N1029" s="177">
        <v>46234</v>
      </c>
      <c r="O1029" s="177">
        <v>46234</v>
      </c>
      <c r="P1029" s="366">
        <v>7960001</v>
      </c>
      <c r="Q1029" s="176" t="s">
        <v>248</v>
      </c>
      <c r="R1029" s="176" t="s">
        <v>434</v>
      </c>
      <c r="S1029" s="178" t="s">
        <v>253</v>
      </c>
      <c r="T1029" s="57" t="str">
        <f t="shared" si="48"/>
        <v>Đ</v>
      </c>
      <c r="U1029" s="59">
        <f t="shared" si="49"/>
        <v>0</v>
      </c>
      <c r="V1029" s="55">
        <f t="shared" si="50"/>
        <v>13311</v>
      </c>
    </row>
    <row r="1030" spans="1:22" ht="21.5" customHeight="1">
      <c r="A1030" s="176">
        <v>1013</v>
      </c>
      <c r="B1030" s="178" t="s">
        <v>1367</v>
      </c>
      <c r="C1030" s="271" t="s">
        <v>2000</v>
      </c>
      <c r="D1030" s="177">
        <v>46226</v>
      </c>
      <c r="E1030" s="178" t="s">
        <v>2001</v>
      </c>
      <c r="F1030" s="271" t="s">
        <v>2002</v>
      </c>
      <c r="G1030" s="178" t="s">
        <v>2003</v>
      </c>
      <c r="H1030" s="366">
        <v>10844444</v>
      </c>
      <c r="I1030" s="176">
        <v>8</v>
      </c>
      <c r="J1030" s="366">
        <v>867556</v>
      </c>
      <c r="K1030" s="178" t="s">
        <v>261</v>
      </c>
      <c r="L1030" s="178" t="s">
        <v>252</v>
      </c>
      <c r="M1030" s="271" t="s">
        <v>1784</v>
      </c>
      <c r="N1030" s="177">
        <v>46234</v>
      </c>
      <c r="O1030" s="177">
        <v>46234</v>
      </c>
      <c r="P1030" s="366">
        <v>11712000</v>
      </c>
      <c r="Q1030" s="176" t="s">
        <v>248</v>
      </c>
      <c r="R1030" s="176" t="s">
        <v>434</v>
      </c>
      <c r="S1030" s="178" t="s">
        <v>253</v>
      </c>
      <c r="T1030" s="57" t="str">
        <f t="shared" si="48"/>
        <v>Đ</v>
      </c>
      <c r="U1030" s="59">
        <f t="shared" si="49"/>
        <v>0</v>
      </c>
      <c r="V1030" s="55">
        <f t="shared" si="50"/>
        <v>13311</v>
      </c>
    </row>
    <row r="1031" spans="1:22" ht="21.5" customHeight="1">
      <c r="A1031" s="176">
        <v>1014</v>
      </c>
      <c r="B1031" s="178" t="s">
        <v>1497</v>
      </c>
      <c r="C1031" s="271" t="s">
        <v>2004</v>
      </c>
      <c r="D1031" s="177">
        <v>46197</v>
      </c>
      <c r="E1031" s="178" t="s">
        <v>1933</v>
      </c>
      <c r="F1031" s="271" t="s">
        <v>1934</v>
      </c>
      <c r="G1031" s="178" t="s">
        <v>730</v>
      </c>
      <c r="H1031" s="366">
        <v>160000</v>
      </c>
      <c r="I1031" s="176">
        <v>10</v>
      </c>
      <c r="J1031" s="366">
        <v>16000</v>
      </c>
      <c r="K1031" s="178" t="s">
        <v>261</v>
      </c>
      <c r="L1031" s="178" t="s">
        <v>252</v>
      </c>
      <c r="M1031" s="271" t="s">
        <v>1784</v>
      </c>
      <c r="N1031" s="177">
        <v>46234</v>
      </c>
      <c r="O1031" s="177">
        <v>46234</v>
      </c>
      <c r="P1031" s="366">
        <v>176000</v>
      </c>
      <c r="Q1031" s="176" t="s">
        <v>248</v>
      </c>
      <c r="R1031" s="176" t="s">
        <v>434</v>
      </c>
      <c r="S1031" s="178" t="s">
        <v>253</v>
      </c>
      <c r="T1031" s="57" t="str">
        <f t="shared" si="48"/>
        <v>Đ</v>
      </c>
      <c r="U1031" s="59">
        <f t="shared" si="49"/>
        <v>0</v>
      </c>
      <c r="V1031" s="55">
        <f t="shared" si="50"/>
        <v>13311</v>
      </c>
    </row>
    <row r="1032" spans="1:22" ht="21.5" customHeight="1">
      <c r="A1032" s="176">
        <v>1015</v>
      </c>
      <c r="B1032" s="178" t="s">
        <v>1497</v>
      </c>
      <c r="C1032" s="271" t="s">
        <v>2004</v>
      </c>
      <c r="D1032" s="177">
        <v>46197</v>
      </c>
      <c r="E1032" s="178" t="s">
        <v>1933</v>
      </c>
      <c r="F1032" s="271" t="s">
        <v>1934</v>
      </c>
      <c r="G1032" s="178" t="s">
        <v>730</v>
      </c>
      <c r="H1032" s="366">
        <v>4281481</v>
      </c>
      <c r="I1032" s="176">
        <v>8</v>
      </c>
      <c r="J1032" s="366">
        <v>342519</v>
      </c>
      <c r="K1032" s="178" t="s">
        <v>261</v>
      </c>
      <c r="L1032" s="178" t="s">
        <v>252</v>
      </c>
      <c r="M1032" s="271" t="s">
        <v>1784</v>
      </c>
      <c r="N1032" s="177">
        <v>46234</v>
      </c>
      <c r="O1032" s="177">
        <v>46234</v>
      </c>
      <c r="P1032" s="366">
        <v>4624000</v>
      </c>
      <c r="Q1032" s="176" t="s">
        <v>248</v>
      </c>
      <c r="R1032" s="176" t="s">
        <v>434</v>
      </c>
      <c r="S1032" s="178" t="s">
        <v>253</v>
      </c>
      <c r="T1032" s="57" t="str">
        <f t="shared" si="48"/>
        <v>Đ</v>
      </c>
      <c r="U1032" s="59">
        <f t="shared" si="49"/>
        <v>-1</v>
      </c>
      <c r="V1032" s="55">
        <f t="shared" si="50"/>
        <v>13311</v>
      </c>
    </row>
    <row r="1033" spans="1:22" ht="14.5" customHeight="1">
      <c r="A1033" s="176">
        <v>1016</v>
      </c>
      <c r="B1033" s="178" t="s">
        <v>1881</v>
      </c>
      <c r="C1033" s="271" t="s">
        <v>2005</v>
      </c>
      <c r="D1033" s="177">
        <v>46197</v>
      </c>
      <c r="E1033" s="178" t="s">
        <v>1883</v>
      </c>
      <c r="F1033" s="271" t="s">
        <v>1884</v>
      </c>
      <c r="G1033" s="178" t="s">
        <v>1794</v>
      </c>
      <c r="H1033" s="366">
        <v>68182</v>
      </c>
      <c r="I1033" s="176">
        <v>10</v>
      </c>
      <c r="J1033" s="366">
        <v>6818</v>
      </c>
      <c r="K1033" s="178" t="s">
        <v>261</v>
      </c>
      <c r="L1033" s="178" t="s">
        <v>252</v>
      </c>
      <c r="M1033" s="271" t="s">
        <v>1784</v>
      </c>
      <c r="N1033" s="177">
        <v>46234</v>
      </c>
      <c r="O1033" s="177">
        <v>46234</v>
      </c>
      <c r="P1033" s="366">
        <v>75000</v>
      </c>
      <c r="Q1033" s="176" t="s">
        <v>248</v>
      </c>
      <c r="R1033" s="176" t="s">
        <v>434</v>
      </c>
      <c r="S1033" s="178" t="s">
        <v>253</v>
      </c>
      <c r="T1033" s="57" t="str">
        <f t="shared" si="48"/>
        <v>Đ</v>
      </c>
      <c r="U1033" s="59">
        <f t="shared" si="49"/>
        <v>0</v>
      </c>
      <c r="V1033" s="55">
        <f t="shared" si="50"/>
        <v>13311</v>
      </c>
    </row>
    <row r="1034" spans="1:22" ht="14.5" customHeight="1">
      <c r="A1034" s="176">
        <v>1017</v>
      </c>
      <c r="B1034" s="178" t="s">
        <v>1881</v>
      </c>
      <c r="C1034" s="271" t="s">
        <v>2005</v>
      </c>
      <c r="D1034" s="177">
        <v>46197</v>
      </c>
      <c r="E1034" s="178" t="s">
        <v>1883</v>
      </c>
      <c r="F1034" s="271" t="s">
        <v>1884</v>
      </c>
      <c r="G1034" s="178" t="s">
        <v>1794</v>
      </c>
      <c r="H1034" s="366">
        <v>3691667</v>
      </c>
      <c r="I1034" s="176">
        <v>8</v>
      </c>
      <c r="J1034" s="366">
        <v>295333</v>
      </c>
      <c r="K1034" s="178" t="s">
        <v>261</v>
      </c>
      <c r="L1034" s="178" t="s">
        <v>252</v>
      </c>
      <c r="M1034" s="271" t="s">
        <v>1784</v>
      </c>
      <c r="N1034" s="177">
        <v>46234</v>
      </c>
      <c r="O1034" s="177">
        <v>46234</v>
      </c>
      <c r="P1034" s="366">
        <v>3987000</v>
      </c>
      <c r="Q1034" s="176" t="s">
        <v>248</v>
      </c>
      <c r="R1034" s="176" t="s">
        <v>434</v>
      </c>
      <c r="S1034" s="178" t="s">
        <v>253</v>
      </c>
      <c r="T1034" s="57" t="str">
        <f t="shared" si="48"/>
        <v>Đ</v>
      </c>
      <c r="U1034" s="59">
        <f t="shared" si="49"/>
        <v>0</v>
      </c>
      <c r="V1034" s="55">
        <f t="shared" si="50"/>
        <v>13311</v>
      </c>
    </row>
    <row r="1035" spans="1:22" ht="21.5" customHeight="1">
      <c r="A1035" s="176">
        <v>1018</v>
      </c>
      <c r="B1035" s="178" t="s">
        <v>2006</v>
      </c>
      <c r="C1035" s="271" t="s">
        <v>2007</v>
      </c>
      <c r="D1035" s="177">
        <v>46198</v>
      </c>
      <c r="E1035" s="178" t="s">
        <v>2008</v>
      </c>
      <c r="F1035" s="271" t="s">
        <v>2009</v>
      </c>
      <c r="G1035" s="178" t="s">
        <v>1794</v>
      </c>
      <c r="H1035" s="366">
        <v>3657408</v>
      </c>
      <c r="I1035" s="176">
        <v>8</v>
      </c>
      <c r="J1035" s="366">
        <v>292592</v>
      </c>
      <c r="K1035" s="178" t="s">
        <v>261</v>
      </c>
      <c r="L1035" s="178" t="s">
        <v>252</v>
      </c>
      <c r="M1035" s="271" t="s">
        <v>1784</v>
      </c>
      <c r="N1035" s="177">
        <v>46234</v>
      </c>
      <c r="O1035" s="177">
        <v>46234</v>
      </c>
      <c r="P1035" s="366">
        <v>3950000</v>
      </c>
      <c r="Q1035" s="176" t="s">
        <v>248</v>
      </c>
      <c r="R1035" s="176" t="s">
        <v>434</v>
      </c>
      <c r="S1035" s="178" t="s">
        <v>253</v>
      </c>
      <c r="T1035" s="57" t="str">
        <f t="shared" si="48"/>
        <v>Đ</v>
      </c>
      <c r="U1035" s="59">
        <f t="shared" si="49"/>
        <v>1</v>
      </c>
      <c r="V1035" s="55">
        <f t="shared" si="50"/>
        <v>13311</v>
      </c>
    </row>
    <row r="1036" spans="1:22" ht="21.5" customHeight="1">
      <c r="A1036" s="176">
        <v>1019</v>
      </c>
      <c r="B1036" s="178" t="s">
        <v>2006</v>
      </c>
      <c r="C1036" s="271" t="s">
        <v>2007</v>
      </c>
      <c r="D1036" s="177">
        <v>46198</v>
      </c>
      <c r="E1036" s="178" t="s">
        <v>2008</v>
      </c>
      <c r="F1036" s="271" t="s">
        <v>2009</v>
      </c>
      <c r="G1036" s="178" t="s">
        <v>1794</v>
      </c>
      <c r="H1036" s="366">
        <v>58181</v>
      </c>
      <c r="I1036" s="176">
        <v>10</v>
      </c>
      <c r="J1036" s="366">
        <v>5819</v>
      </c>
      <c r="K1036" s="178" t="s">
        <v>261</v>
      </c>
      <c r="L1036" s="178" t="s">
        <v>252</v>
      </c>
      <c r="M1036" s="271" t="s">
        <v>1784</v>
      </c>
      <c r="N1036" s="177">
        <v>46234</v>
      </c>
      <c r="O1036" s="177">
        <v>46234</v>
      </c>
      <c r="P1036" s="366">
        <v>64000</v>
      </c>
      <c r="Q1036" s="176" t="s">
        <v>248</v>
      </c>
      <c r="R1036" s="176" t="s">
        <v>434</v>
      </c>
      <c r="S1036" s="178" t="s">
        <v>253</v>
      </c>
      <c r="T1036" s="57" t="str">
        <f t="shared" si="48"/>
        <v>Đ</v>
      </c>
      <c r="U1036" s="59">
        <f t="shared" si="49"/>
        <v>-1</v>
      </c>
      <c r="V1036" s="55">
        <f t="shared" si="50"/>
        <v>13311</v>
      </c>
    </row>
    <row r="1037" spans="1:22" ht="21.5" customHeight="1">
      <c r="A1037" s="176">
        <v>1020</v>
      </c>
      <c r="B1037" s="178" t="s">
        <v>2010</v>
      </c>
      <c r="C1037" s="271" t="s">
        <v>2011</v>
      </c>
      <c r="D1037" s="177">
        <v>46198</v>
      </c>
      <c r="E1037" s="178" t="s">
        <v>2012</v>
      </c>
      <c r="F1037" s="271" t="s">
        <v>577</v>
      </c>
      <c r="G1037" s="178" t="s">
        <v>2013</v>
      </c>
      <c r="H1037" s="366">
        <v>45990800</v>
      </c>
      <c r="I1037" s="176">
        <v>8</v>
      </c>
      <c r="J1037" s="366">
        <v>3679264</v>
      </c>
      <c r="K1037" s="178" t="s">
        <v>261</v>
      </c>
      <c r="L1037" s="178" t="s">
        <v>252</v>
      </c>
      <c r="M1037" s="271" t="s">
        <v>1784</v>
      </c>
      <c r="N1037" s="177">
        <v>46234</v>
      </c>
      <c r="O1037" s="177">
        <v>46234</v>
      </c>
      <c r="P1037" s="366">
        <v>49670064</v>
      </c>
      <c r="Q1037" s="176" t="s">
        <v>248</v>
      </c>
      <c r="R1037" s="176" t="s">
        <v>434</v>
      </c>
      <c r="S1037" s="178" t="s">
        <v>253</v>
      </c>
      <c r="T1037" s="57" t="str">
        <f t="shared" si="48"/>
        <v>Đ</v>
      </c>
      <c r="U1037" s="59">
        <f t="shared" si="49"/>
        <v>0</v>
      </c>
      <c r="V1037" s="55">
        <f t="shared" si="50"/>
        <v>13311</v>
      </c>
    </row>
    <row r="1038" spans="1:22" ht="21.5" customHeight="1">
      <c r="A1038" s="176">
        <v>1021</v>
      </c>
      <c r="B1038" s="178" t="s">
        <v>1312</v>
      </c>
      <c r="C1038" s="271" t="s">
        <v>1295</v>
      </c>
      <c r="D1038" s="177">
        <v>46199</v>
      </c>
      <c r="E1038" s="178" t="s">
        <v>1996</v>
      </c>
      <c r="F1038" s="271" t="s">
        <v>1997</v>
      </c>
      <c r="G1038" s="178" t="s">
        <v>1998</v>
      </c>
      <c r="H1038" s="366">
        <v>21111111</v>
      </c>
      <c r="I1038" s="176">
        <v>8</v>
      </c>
      <c r="J1038" s="366">
        <v>1688889</v>
      </c>
      <c r="K1038" s="178" t="s">
        <v>261</v>
      </c>
      <c r="L1038" s="178" t="s">
        <v>252</v>
      </c>
      <c r="M1038" s="271" t="s">
        <v>1784</v>
      </c>
      <c r="N1038" s="177">
        <v>46234</v>
      </c>
      <c r="O1038" s="177">
        <v>46234</v>
      </c>
      <c r="P1038" s="366">
        <v>22800000</v>
      </c>
      <c r="Q1038" s="176" t="s">
        <v>248</v>
      </c>
      <c r="R1038" s="176" t="s">
        <v>434</v>
      </c>
      <c r="S1038" s="178" t="s">
        <v>253</v>
      </c>
      <c r="T1038" s="57" t="str">
        <f t="shared" ref="T1038:T1101" si="51">IF(OR(LEN(F1038)=11,LEN(F1038)=15),"Đ","SAI")</f>
        <v>Đ</v>
      </c>
      <c r="U1038" s="59">
        <f t="shared" ref="U1038:U1101" si="52">ROUND(H1038*I1038%,0)-J1038</f>
        <v>0</v>
      </c>
      <c r="V1038" s="55">
        <f t="shared" ref="V1038:V1101" si="53">IF(Q1038=$V$12,13313,13311)</f>
        <v>13311</v>
      </c>
    </row>
    <row r="1039" spans="1:22" ht="14.5" customHeight="1">
      <c r="A1039" s="176">
        <v>1022</v>
      </c>
      <c r="B1039" s="178" t="s">
        <v>1906</v>
      </c>
      <c r="C1039" s="271" t="s">
        <v>2014</v>
      </c>
      <c r="D1039" s="177">
        <v>46199</v>
      </c>
      <c r="E1039" s="178" t="s">
        <v>1908</v>
      </c>
      <c r="F1039" s="271" t="s">
        <v>1909</v>
      </c>
      <c r="G1039" s="178" t="s">
        <v>1912</v>
      </c>
      <c r="H1039" s="366">
        <v>120000</v>
      </c>
      <c r="I1039" s="176">
        <v>10</v>
      </c>
      <c r="J1039" s="366">
        <v>12000</v>
      </c>
      <c r="K1039" s="178" t="s">
        <v>261</v>
      </c>
      <c r="L1039" s="178" t="s">
        <v>252</v>
      </c>
      <c r="M1039" s="271" t="s">
        <v>1784</v>
      </c>
      <c r="N1039" s="177">
        <v>46234</v>
      </c>
      <c r="O1039" s="177">
        <v>46234</v>
      </c>
      <c r="P1039" s="366">
        <v>132000</v>
      </c>
      <c r="Q1039" s="176" t="s">
        <v>248</v>
      </c>
      <c r="R1039" s="176" t="s">
        <v>434</v>
      </c>
      <c r="S1039" s="178" t="s">
        <v>253</v>
      </c>
      <c r="T1039" s="57" t="str">
        <f t="shared" si="51"/>
        <v>Đ</v>
      </c>
      <c r="U1039" s="59">
        <f t="shared" si="52"/>
        <v>0</v>
      </c>
      <c r="V1039" s="55">
        <f t="shared" si="53"/>
        <v>13311</v>
      </c>
    </row>
    <row r="1040" spans="1:22" ht="14.5" customHeight="1">
      <c r="A1040" s="176">
        <v>1023</v>
      </c>
      <c r="B1040" s="178" t="s">
        <v>1906</v>
      </c>
      <c r="C1040" s="271" t="s">
        <v>2014</v>
      </c>
      <c r="D1040" s="177">
        <v>46199</v>
      </c>
      <c r="E1040" s="178" t="s">
        <v>1908</v>
      </c>
      <c r="F1040" s="271" t="s">
        <v>1909</v>
      </c>
      <c r="G1040" s="178" t="s">
        <v>1912</v>
      </c>
      <c r="H1040" s="366">
        <v>4498000</v>
      </c>
      <c r="I1040" s="176">
        <v>8</v>
      </c>
      <c r="J1040" s="366">
        <v>359840</v>
      </c>
      <c r="K1040" s="178" t="s">
        <v>261</v>
      </c>
      <c r="L1040" s="178" t="s">
        <v>252</v>
      </c>
      <c r="M1040" s="271" t="s">
        <v>1784</v>
      </c>
      <c r="N1040" s="177">
        <v>46234</v>
      </c>
      <c r="O1040" s="177">
        <v>46234</v>
      </c>
      <c r="P1040" s="366">
        <v>4857840</v>
      </c>
      <c r="Q1040" s="176" t="s">
        <v>248</v>
      </c>
      <c r="R1040" s="176" t="s">
        <v>434</v>
      </c>
      <c r="S1040" s="178" t="s">
        <v>253</v>
      </c>
      <c r="T1040" s="57" t="str">
        <f t="shared" si="51"/>
        <v>Đ</v>
      </c>
      <c r="U1040" s="59">
        <f t="shared" si="52"/>
        <v>0</v>
      </c>
      <c r="V1040" s="55">
        <f t="shared" si="53"/>
        <v>13311</v>
      </c>
    </row>
    <row r="1041" spans="1:22" ht="14.5" customHeight="1">
      <c r="A1041" s="176">
        <v>1024</v>
      </c>
      <c r="B1041" s="178" t="s">
        <v>2015</v>
      </c>
      <c r="C1041" s="271" t="s">
        <v>2016</v>
      </c>
      <c r="D1041" s="177">
        <v>46199</v>
      </c>
      <c r="E1041" s="178" t="s">
        <v>2017</v>
      </c>
      <c r="F1041" s="271" t="s">
        <v>2018</v>
      </c>
      <c r="G1041" s="178" t="s">
        <v>2019</v>
      </c>
      <c r="H1041" s="366">
        <v>14800000</v>
      </c>
      <c r="I1041" s="176">
        <v>8</v>
      </c>
      <c r="J1041" s="366">
        <v>1184000</v>
      </c>
      <c r="K1041" s="178" t="s">
        <v>261</v>
      </c>
      <c r="L1041" s="178" t="s">
        <v>252</v>
      </c>
      <c r="M1041" s="271" t="s">
        <v>1784</v>
      </c>
      <c r="N1041" s="177">
        <v>46234</v>
      </c>
      <c r="O1041" s="177">
        <v>46234</v>
      </c>
      <c r="P1041" s="366">
        <v>15984000</v>
      </c>
      <c r="Q1041" s="176" t="s">
        <v>248</v>
      </c>
      <c r="R1041" s="176" t="s">
        <v>434</v>
      </c>
      <c r="S1041" s="178" t="s">
        <v>253</v>
      </c>
      <c r="T1041" s="57" t="str">
        <f t="shared" si="51"/>
        <v>Đ</v>
      </c>
      <c r="U1041" s="59">
        <f t="shared" si="52"/>
        <v>0</v>
      </c>
      <c r="V1041" s="55">
        <f t="shared" si="53"/>
        <v>13311</v>
      </c>
    </row>
    <row r="1042" spans="1:22" ht="14.5" customHeight="1">
      <c r="A1042" s="176">
        <v>1025</v>
      </c>
      <c r="B1042" s="178" t="s">
        <v>2015</v>
      </c>
      <c r="C1042" s="271" t="s">
        <v>2020</v>
      </c>
      <c r="D1042" s="177">
        <v>46199</v>
      </c>
      <c r="E1042" s="178" t="s">
        <v>2017</v>
      </c>
      <c r="F1042" s="271" t="s">
        <v>2018</v>
      </c>
      <c r="G1042" s="178" t="s">
        <v>2019</v>
      </c>
      <c r="H1042" s="366">
        <v>14800000</v>
      </c>
      <c r="I1042" s="176">
        <v>8</v>
      </c>
      <c r="J1042" s="366">
        <v>1184000</v>
      </c>
      <c r="K1042" s="178" t="s">
        <v>261</v>
      </c>
      <c r="L1042" s="178" t="s">
        <v>252</v>
      </c>
      <c r="M1042" s="271" t="s">
        <v>1784</v>
      </c>
      <c r="N1042" s="177">
        <v>46234</v>
      </c>
      <c r="O1042" s="177">
        <v>46234</v>
      </c>
      <c r="P1042" s="366">
        <v>15984000</v>
      </c>
      <c r="Q1042" s="176" t="s">
        <v>248</v>
      </c>
      <c r="R1042" s="176" t="s">
        <v>434</v>
      </c>
      <c r="S1042" s="178" t="s">
        <v>253</v>
      </c>
      <c r="T1042" s="57" t="str">
        <f t="shared" si="51"/>
        <v>Đ</v>
      </c>
      <c r="U1042" s="59">
        <f t="shared" si="52"/>
        <v>0</v>
      </c>
      <c r="V1042" s="55">
        <f t="shared" si="53"/>
        <v>13311</v>
      </c>
    </row>
    <row r="1043" spans="1:22" ht="21.5" customHeight="1">
      <c r="A1043" s="176">
        <v>1026</v>
      </c>
      <c r="B1043" s="178" t="s">
        <v>1570</v>
      </c>
      <c r="C1043" s="271" t="s">
        <v>2021</v>
      </c>
      <c r="D1043" s="177">
        <v>46169</v>
      </c>
      <c r="E1043" s="178" t="s">
        <v>2022</v>
      </c>
      <c r="F1043" s="271" t="s">
        <v>2023</v>
      </c>
      <c r="G1043" s="178" t="s">
        <v>2024</v>
      </c>
      <c r="H1043" s="366">
        <v>322312</v>
      </c>
      <c r="I1043" s="176">
        <v>8</v>
      </c>
      <c r="J1043" s="366">
        <v>25785</v>
      </c>
      <c r="K1043" s="178" t="s">
        <v>261</v>
      </c>
      <c r="L1043" s="178" t="s">
        <v>252</v>
      </c>
      <c r="M1043" s="271" t="s">
        <v>1784</v>
      </c>
      <c r="N1043" s="177">
        <v>46234</v>
      </c>
      <c r="O1043" s="177">
        <v>46234</v>
      </c>
      <c r="P1043" s="366">
        <v>348097</v>
      </c>
      <c r="Q1043" s="176" t="s">
        <v>248</v>
      </c>
      <c r="R1043" s="176" t="s">
        <v>434</v>
      </c>
      <c r="S1043" s="178" t="s">
        <v>253</v>
      </c>
      <c r="T1043" s="57" t="str">
        <f t="shared" si="51"/>
        <v>Đ</v>
      </c>
      <c r="U1043" s="59">
        <f t="shared" si="52"/>
        <v>0</v>
      </c>
      <c r="V1043" s="55">
        <f t="shared" si="53"/>
        <v>13311</v>
      </c>
    </row>
    <row r="1044" spans="1:22" ht="21.5" customHeight="1">
      <c r="A1044" s="176">
        <v>1027</v>
      </c>
      <c r="B1044" s="178" t="s">
        <v>1570</v>
      </c>
      <c r="C1044" s="271" t="s">
        <v>1587</v>
      </c>
      <c r="D1044" s="177">
        <v>46169</v>
      </c>
      <c r="E1044" s="178" t="s">
        <v>2022</v>
      </c>
      <c r="F1044" s="271" t="s">
        <v>2023</v>
      </c>
      <c r="G1044" s="178" t="s">
        <v>2024</v>
      </c>
      <c r="H1044" s="366">
        <v>574439</v>
      </c>
      <c r="I1044" s="176">
        <v>8</v>
      </c>
      <c r="J1044" s="366">
        <v>45955</v>
      </c>
      <c r="K1044" s="178" t="s">
        <v>261</v>
      </c>
      <c r="L1044" s="178" t="s">
        <v>252</v>
      </c>
      <c r="M1044" s="271" t="s">
        <v>1784</v>
      </c>
      <c r="N1044" s="177">
        <v>46234</v>
      </c>
      <c r="O1044" s="177">
        <v>46234</v>
      </c>
      <c r="P1044" s="366">
        <v>620394</v>
      </c>
      <c r="Q1044" s="176" t="s">
        <v>248</v>
      </c>
      <c r="R1044" s="176" t="s">
        <v>434</v>
      </c>
      <c r="S1044" s="178" t="s">
        <v>253</v>
      </c>
      <c r="T1044" s="57" t="str">
        <f t="shared" si="51"/>
        <v>Đ</v>
      </c>
      <c r="U1044" s="59">
        <f t="shared" si="52"/>
        <v>0</v>
      </c>
      <c r="V1044" s="55">
        <f t="shared" si="53"/>
        <v>13311</v>
      </c>
    </row>
    <row r="1045" spans="1:22" ht="21.5" customHeight="1">
      <c r="A1045" s="176">
        <v>1028</v>
      </c>
      <c r="B1045" s="178" t="s">
        <v>1312</v>
      </c>
      <c r="C1045" s="271" t="s">
        <v>1298</v>
      </c>
      <c r="D1045" s="177">
        <v>46200</v>
      </c>
      <c r="E1045" s="178" t="s">
        <v>1996</v>
      </c>
      <c r="F1045" s="271" t="s">
        <v>1997</v>
      </c>
      <c r="G1045" s="178" t="s">
        <v>1998</v>
      </c>
      <c r="H1045" s="366">
        <v>21111111</v>
      </c>
      <c r="I1045" s="176">
        <v>8</v>
      </c>
      <c r="J1045" s="366">
        <v>1688889</v>
      </c>
      <c r="K1045" s="178" t="s">
        <v>261</v>
      </c>
      <c r="L1045" s="178" t="s">
        <v>252</v>
      </c>
      <c r="M1045" s="271" t="s">
        <v>1784</v>
      </c>
      <c r="N1045" s="177">
        <v>46234</v>
      </c>
      <c r="O1045" s="177">
        <v>46234</v>
      </c>
      <c r="P1045" s="366">
        <v>22800000</v>
      </c>
      <c r="Q1045" s="176" t="s">
        <v>248</v>
      </c>
      <c r="R1045" s="176" t="s">
        <v>434</v>
      </c>
      <c r="S1045" s="178" t="s">
        <v>253</v>
      </c>
      <c r="T1045" s="57" t="str">
        <f t="shared" si="51"/>
        <v>Đ</v>
      </c>
      <c r="U1045" s="59">
        <f t="shared" si="52"/>
        <v>0</v>
      </c>
      <c r="V1045" s="55">
        <f t="shared" si="53"/>
        <v>13311</v>
      </c>
    </row>
    <row r="1046" spans="1:22" ht="21.5" customHeight="1">
      <c r="A1046" s="176">
        <v>1029</v>
      </c>
      <c r="B1046" s="178" t="s">
        <v>1312</v>
      </c>
      <c r="C1046" s="271" t="s">
        <v>1304</v>
      </c>
      <c r="D1046" s="177">
        <v>46201</v>
      </c>
      <c r="E1046" s="178" t="s">
        <v>1996</v>
      </c>
      <c r="F1046" s="271" t="s">
        <v>1997</v>
      </c>
      <c r="G1046" s="178" t="s">
        <v>1998</v>
      </c>
      <c r="H1046" s="366">
        <v>21111111</v>
      </c>
      <c r="I1046" s="176">
        <v>8</v>
      </c>
      <c r="J1046" s="366">
        <v>1688889</v>
      </c>
      <c r="K1046" s="178" t="s">
        <v>261</v>
      </c>
      <c r="L1046" s="178" t="s">
        <v>252</v>
      </c>
      <c r="M1046" s="271" t="s">
        <v>1784</v>
      </c>
      <c r="N1046" s="177">
        <v>46234</v>
      </c>
      <c r="O1046" s="177">
        <v>46234</v>
      </c>
      <c r="P1046" s="366">
        <v>22800000</v>
      </c>
      <c r="Q1046" s="176" t="s">
        <v>248</v>
      </c>
      <c r="R1046" s="176" t="s">
        <v>434</v>
      </c>
      <c r="S1046" s="178" t="s">
        <v>253</v>
      </c>
      <c r="T1046" s="57" t="str">
        <f t="shared" si="51"/>
        <v>Đ</v>
      </c>
      <c r="U1046" s="59">
        <f t="shared" si="52"/>
        <v>0</v>
      </c>
      <c r="V1046" s="55">
        <f t="shared" si="53"/>
        <v>13311</v>
      </c>
    </row>
    <row r="1047" spans="1:22" ht="21.5" customHeight="1">
      <c r="A1047" s="176">
        <v>1030</v>
      </c>
      <c r="B1047" s="178" t="s">
        <v>1763</v>
      </c>
      <c r="C1047" s="271" t="s">
        <v>2025</v>
      </c>
      <c r="D1047" s="177">
        <v>46231</v>
      </c>
      <c r="E1047" s="178" t="s">
        <v>2026</v>
      </c>
      <c r="F1047" s="271" t="s">
        <v>2027</v>
      </c>
      <c r="G1047" s="178" t="s">
        <v>2028</v>
      </c>
      <c r="H1047" s="366">
        <v>36420000</v>
      </c>
      <c r="I1047" s="176">
        <v>8</v>
      </c>
      <c r="J1047" s="366">
        <v>2913600</v>
      </c>
      <c r="K1047" s="178" t="s">
        <v>261</v>
      </c>
      <c r="L1047" s="178" t="s">
        <v>252</v>
      </c>
      <c r="M1047" s="271" t="s">
        <v>1784</v>
      </c>
      <c r="N1047" s="177">
        <v>46234</v>
      </c>
      <c r="O1047" s="177">
        <v>46234</v>
      </c>
      <c r="P1047" s="366">
        <v>39333600</v>
      </c>
      <c r="Q1047" s="176" t="s">
        <v>248</v>
      </c>
      <c r="R1047" s="176" t="s">
        <v>434</v>
      </c>
      <c r="S1047" s="178" t="s">
        <v>253</v>
      </c>
      <c r="T1047" s="57" t="str">
        <f t="shared" si="51"/>
        <v>Đ</v>
      </c>
      <c r="U1047" s="59">
        <f t="shared" si="52"/>
        <v>0</v>
      </c>
      <c r="V1047" s="55">
        <f t="shared" si="53"/>
        <v>13311</v>
      </c>
    </row>
    <row r="1048" spans="1:22" ht="21.5" customHeight="1">
      <c r="A1048" s="176">
        <v>1031</v>
      </c>
      <c r="B1048" s="178" t="s">
        <v>1570</v>
      </c>
      <c r="C1048" s="271" t="s">
        <v>1979</v>
      </c>
      <c r="D1048" s="177">
        <v>46141</v>
      </c>
      <c r="E1048" s="178" t="s">
        <v>2022</v>
      </c>
      <c r="F1048" s="271" t="s">
        <v>2023</v>
      </c>
      <c r="G1048" s="178" t="s">
        <v>2024</v>
      </c>
      <c r="H1048" s="366">
        <v>628721</v>
      </c>
      <c r="I1048" s="176">
        <v>8</v>
      </c>
      <c r="J1048" s="366">
        <v>50298</v>
      </c>
      <c r="K1048" s="178" t="s">
        <v>261</v>
      </c>
      <c r="L1048" s="178" t="s">
        <v>252</v>
      </c>
      <c r="M1048" s="271" t="s">
        <v>1784</v>
      </c>
      <c r="N1048" s="177">
        <v>46234</v>
      </c>
      <c r="O1048" s="177">
        <v>46234</v>
      </c>
      <c r="P1048" s="366">
        <v>679019</v>
      </c>
      <c r="Q1048" s="176" t="s">
        <v>248</v>
      </c>
      <c r="R1048" s="176" t="s">
        <v>434</v>
      </c>
      <c r="S1048" s="178" t="s">
        <v>253</v>
      </c>
      <c r="T1048" s="57" t="str">
        <f t="shared" si="51"/>
        <v>Đ</v>
      </c>
      <c r="U1048" s="59">
        <f t="shared" si="52"/>
        <v>0</v>
      </c>
      <c r="V1048" s="55">
        <f t="shared" si="53"/>
        <v>13311</v>
      </c>
    </row>
    <row r="1049" spans="1:22" ht="14.5" customHeight="1">
      <c r="A1049" s="176">
        <v>1032</v>
      </c>
      <c r="B1049" s="178" t="s">
        <v>1906</v>
      </c>
      <c r="C1049" s="271" t="s">
        <v>2029</v>
      </c>
      <c r="D1049" s="177">
        <v>46202</v>
      </c>
      <c r="E1049" s="178" t="s">
        <v>728</v>
      </c>
      <c r="F1049" s="271" t="s">
        <v>729</v>
      </c>
      <c r="G1049" s="178" t="s">
        <v>730</v>
      </c>
      <c r="H1049" s="366">
        <v>4196000</v>
      </c>
      <c r="I1049" s="176">
        <v>8</v>
      </c>
      <c r="J1049" s="366">
        <v>335680</v>
      </c>
      <c r="K1049" s="178" t="s">
        <v>261</v>
      </c>
      <c r="L1049" s="178" t="s">
        <v>252</v>
      </c>
      <c r="M1049" s="271" t="s">
        <v>1784</v>
      </c>
      <c r="N1049" s="177">
        <v>46234</v>
      </c>
      <c r="O1049" s="177">
        <v>46234</v>
      </c>
      <c r="P1049" s="366">
        <v>4531680</v>
      </c>
      <c r="Q1049" s="176" t="s">
        <v>248</v>
      </c>
      <c r="R1049" s="176" t="s">
        <v>434</v>
      </c>
      <c r="S1049" s="178" t="s">
        <v>253</v>
      </c>
      <c r="T1049" s="57" t="str">
        <f t="shared" si="51"/>
        <v>Đ</v>
      </c>
      <c r="U1049" s="59">
        <f t="shared" si="52"/>
        <v>0</v>
      </c>
      <c r="V1049" s="55">
        <f t="shared" si="53"/>
        <v>13311</v>
      </c>
    </row>
    <row r="1050" spans="1:22" ht="14.5" customHeight="1">
      <c r="A1050" s="176">
        <v>1033</v>
      </c>
      <c r="B1050" s="178" t="s">
        <v>1906</v>
      </c>
      <c r="C1050" s="271" t="s">
        <v>2029</v>
      </c>
      <c r="D1050" s="177">
        <v>46202</v>
      </c>
      <c r="E1050" s="178" t="s">
        <v>728</v>
      </c>
      <c r="F1050" s="271" t="s">
        <v>729</v>
      </c>
      <c r="G1050" s="178" t="s">
        <v>730</v>
      </c>
      <c r="H1050" s="366">
        <v>200000</v>
      </c>
      <c r="I1050" s="176">
        <v>10</v>
      </c>
      <c r="J1050" s="366">
        <v>20000</v>
      </c>
      <c r="K1050" s="178" t="s">
        <v>261</v>
      </c>
      <c r="L1050" s="178" t="s">
        <v>252</v>
      </c>
      <c r="M1050" s="271" t="s">
        <v>1784</v>
      </c>
      <c r="N1050" s="177">
        <v>46234</v>
      </c>
      <c r="O1050" s="177">
        <v>46234</v>
      </c>
      <c r="P1050" s="366">
        <v>220000</v>
      </c>
      <c r="Q1050" s="176" t="s">
        <v>248</v>
      </c>
      <c r="R1050" s="176" t="s">
        <v>434</v>
      </c>
      <c r="S1050" s="178" t="s">
        <v>253</v>
      </c>
      <c r="T1050" s="57" t="str">
        <f t="shared" si="51"/>
        <v>Đ</v>
      </c>
      <c r="U1050" s="59">
        <f t="shared" si="52"/>
        <v>0</v>
      </c>
      <c r="V1050" s="55">
        <f t="shared" si="53"/>
        <v>13311</v>
      </c>
    </row>
    <row r="1051" spans="1:22" ht="21.5" customHeight="1">
      <c r="A1051" s="176">
        <v>1034</v>
      </c>
      <c r="B1051" s="178" t="s">
        <v>1312</v>
      </c>
      <c r="C1051" s="271" t="s">
        <v>1313</v>
      </c>
      <c r="D1051" s="177">
        <v>46202</v>
      </c>
      <c r="E1051" s="178" t="s">
        <v>1996</v>
      </c>
      <c r="F1051" s="271" t="s">
        <v>1997</v>
      </c>
      <c r="G1051" s="178" t="s">
        <v>1998</v>
      </c>
      <c r="H1051" s="366">
        <v>21111111</v>
      </c>
      <c r="I1051" s="176">
        <v>8</v>
      </c>
      <c r="J1051" s="366">
        <v>1688889</v>
      </c>
      <c r="K1051" s="178" t="s">
        <v>261</v>
      </c>
      <c r="L1051" s="178" t="s">
        <v>252</v>
      </c>
      <c r="M1051" s="271" t="s">
        <v>1784</v>
      </c>
      <c r="N1051" s="177">
        <v>46234</v>
      </c>
      <c r="O1051" s="177">
        <v>46234</v>
      </c>
      <c r="P1051" s="366">
        <v>22800000</v>
      </c>
      <c r="Q1051" s="176" t="s">
        <v>248</v>
      </c>
      <c r="R1051" s="176" t="s">
        <v>434</v>
      </c>
      <c r="S1051" s="178" t="s">
        <v>253</v>
      </c>
      <c r="T1051" s="57" t="str">
        <f t="shared" si="51"/>
        <v>Đ</v>
      </c>
      <c r="U1051" s="59">
        <f t="shared" si="52"/>
        <v>0</v>
      </c>
      <c r="V1051" s="55">
        <f t="shared" si="53"/>
        <v>13311</v>
      </c>
    </row>
    <row r="1052" spans="1:22" ht="21.5" customHeight="1">
      <c r="A1052" s="176">
        <v>1035</v>
      </c>
      <c r="B1052" s="178" t="s">
        <v>1989</v>
      </c>
      <c r="C1052" s="271" t="s">
        <v>2030</v>
      </c>
      <c r="D1052" s="177">
        <v>46202</v>
      </c>
      <c r="E1052" s="178" t="s">
        <v>1991</v>
      </c>
      <c r="F1052" s="271" t="s">
        <v>1992</v>
      </c>
      <c r="G1052" s="178" t="s">
        <v>730</v>
      </c>
      <c r="H1052" s="366">
        <v>68182</v>
      </c>
      <c r="I1052" s="176">
        <v>10</v>
      </c>
      <c r="J1052" s="366">
        <v>6818</v>
      </c>
      <c r="K1052" s="178" t="s">
        <v>261</v>
      </c>
      <c r="L1052" s="178" t="s">
        <v>252</v>
      </c>
      <c r="M1052" s="271" t="s">
        <v>1784</v>
      </c>
      <c r="N1052" s="177">
        <v>46234</v>
      </c>
      <c r="O1052" s="177">
        <v>46234</v>
      </c>
      <c r="P1052" s="366">
        <v>75000</v>
      </c>
      <c r="Q1052" s="176" t="s">
        <v>248</v>
      </c>
      <c r="R1052" s="176" t="s">
        <v>434</v>
      </c>
      <c r="S1052" s="178" t="s">
        <v>253</v>
      </c>
      <c r="T1052" s="57" t="str">
        <f t="shared" si="51"/>
        <v>Đ</v>
      </c>
      <c r="U1052" s="59">
        <f t="shared" si="52"/>
        <v>0</v>
      </c>
      <c r="V1052" s="55">
        <f t="shared" si="53"/>
        <v>13311</v>
      </c>
    </row>
    <row r="1053" spans="1:22" ht="21.5" customHeight="1">
      <c r="A1053" s="176">
        <v>1036</v>
      </c>
      <c r="B1053" s="178" t="s">
        <v>1989</v>
      </c>
      <c r="C1053" s="271" t="s">
        <v>2030</v>
      </c>
      <c r="D1053" s="177">
        <v>46202</v>
      </c>
      <c r="E1053" s="178" t="s">
        <v>1991</v>
      </c>
      <c r="F1053" s="271" t="s">
        <v>1992</v>
      </c>
      <c r="G1053" s="178" t="s">
        <v>730</v>
      </c>
      <c r="H1053" s="366">
        <v>3712037</v>
      </c>
      <c r="I1053" s="176">
        <v>8</v>
      </c>
      <c r="J1053" s="366">
        <v>296963</v>
      </c>
      <c r="K1053" s="178" t="s">
        <v>261</v>
      </c>
      <c r="L1053" s="178" t="s">
        <v>252</v>
      </c>
      <c r="M1053" s="271" t="s">
        <v>1784</v>
      </c>
      <c r="N1053" s="177">
        <v>46234</v>
      </c>
      <c r="O1053" s="177">
        <v>46234</v>
      </c>
      <c r="P1053" s="366">
        <v>4009000</v>
      </c>
      <c r="Q1053" s="176" t="s">
        <v>248</v>
      </c>
      <c r="R1053" s="176" t="s">
        <v>434</v>
      </c>
      <c r="S1053" s="178" t="s">
        <v>253</v>
      </c>
      <c r="T1053" s="57" t="str">
        <f t="shared" si="51"/>
        <v>Đ</v>
      </c>
      <c r="U1053" s="59">
        <f t="shared" si="52"/>
        <v>0</v>
      </c>
      <c r="V1053" s="55">
        <f t="shared" si="53"/>
        <v>13311</v>
      </c>
    </row>
    <row r="1054" spans="1:22" ht="21.5" customHeight="1">
      <c r="A1054" s="176">
        <v>1037</v>
      </c>
      <c r="B1054" s="178" t="s">
        <v>2010</v>
      </c>
      <c r="C1054" s="271" t="s">
        <v>2031</v>
      </c>
      <c r="D1054" s="177">
        <v>46202</v>
      </c>
      <c r="E1054" s="178" t="s">
        <v>2012</v>
      </c>
      <c r="F1054" s="271" t="s">
        <v>577</v>
      </c>
      <c r="G1054" s="178" t="s">
        <v>2032</v>
      </c>
      <c r="H1054" s="366">
        <v>462963</v>
      </c>
      <c r="I1054" s="176">
        <v>8</v>
      </c>
      <c r="J1054" s="366">
        <v>37037</v>
      </c>
      <c r="K1054" s="178" t="s">
        <v>261</v>
      </c>
      <c r="L1054" s="178" t="s">
        <v>252</v>
      </c>
      <c r="M1054" s="271" t="s">
        <v>1784</v>
      </c>
      <c r="N1054" s="177">
        <v>46234</v>
      </c>
      <c r="O1054" s="177">
        <v>46234</v>
      </c>
      <c r="P1054" s="366">
        <v>500000</v>
      </c>
      <c r="Q1054" s="176" t="s">
        <v>248</v>
      </c>
      <c r="R1054" s="176" t="s">
        <v>434</v>
      </c>
      <c r="S1054" s="178" t="s">
        <v>253</v>
      </c>
      <c r="T1054" s="57" t="str">
        <f t="shared" si="51"/>
        <v>Đ</v>
      </c>
      <c r="U1054" s="59">
        <f t="shared" si="52"/>
        <v>0</v>
      </c>
      <c r="V1054" s="55">
        <f t="shared" si="53"/>
        <v>13311</v>
      </c>
    </row>
    <row r="1055" spans="1:22" ht="14.5" customHeight="1">
      <c r="A1055" s="176">
        <v>1038</v>
      </c>
      <c r="B1055" s="178" t="s">
        <v>1230</v>
      </c>
      <c r="C1055" s="271" t="s">
        <v>2033</v>
      </c>
      <c r="D1055" s="177">
        <v>46202</v>
      </c>
      <c r="E1055" s="178" t="s">
        <v>2034</v>
      </c>
      <c r="F1055" s="271" t="s">
        <v>1953</v>
      </c>
      <c r="G1055" s="178" t="s">
        <v>1954</v>
      </c>
      <c r="H1055" s="366">
        <v>1185185</v>
      </c>
      <c r="I1055" s="176">
        <v>8</v>
      </c>
      <c r="J1055" s="366">
        <v>94815</v>
      </c>
      <c r="K1055" s="178" t="s">
        <v>261</v>
      </c>
      <c r="L1055" s="178" t="s">
        <v>252</v>
      </c>
      <c r="M1055" s="271" t="s">
        <v>1784</v>
      </c>
      <c r="N1055" s="177">
        <v>46234</v>
      </c>
      <c r="O1055" s="177">
        <v>46234</v>
      </c>
      <c r="P1055" s="366">
        <v>1280000</v>
      </c>
      <c r="Q1055" s="176" t="s">
        <v>248</v>
      </c>
      <c r="R1055" s="176" t="s">
        <v>434</v>
      </c>
      <c r="S1055" s="178" t="s">
        <v>253</v>
      </c>
      <c r="T1055" s="57" t="str">
        <f t="shared" si="51"/>
        <v>Đ</v>
      </c>
      <c r="U1055" s="59">
        <f t="shared" si="52"/>
        <v>0</v>
      </c>
      <c r="V1055" s="55">
        <f t="shared" si="53"/>
        <v>13311</v>
      </c>
    </row>
    <row r="1056" spans="1:22" ht="14.5" customHeight="1">
      <c r="A1056" s="176">
        <v>1039</v>
      </c>
      <c r="B1056" s="178" t="s">
        <v>1230</v>
      </c>
      <c r="C1056" s="271" t="s">
        <v>2035</v>
      </c>
      <c r="D1056" s="177">
        <v>46202</v>
      </c>
      <c r="E1056" s="178" t="s">
        <v>751</v>
      </c>
      <c r="F1056" s="271" t="s">
        <v>752</v>
      </c>
      <c r="G1056" s="178" t="s">
        <v>753</v>
      </c>
      <c r="H1056" s="366">
        <v>8050000</v>
      </c>
      <c r="I1056" s="176">
        <v>8</v>
      </c>
      <c r="J1056" s="366">
        <v>644000</v>
      </c>
      <c r="K1056" s="178" t="s">
        <v>261</v>
      </c>
      <c r="L1056" s="178" t="s">
        <v>252</v>
      </c>
      <c r="M1056" s="271" t="s">
        <v>1784</v>
      </c>
      <c r="N1056" s="177">
        <v>46234</v>
      </c>
      <c r="O1056" s="177">
        <v>46234</v>
      </c>
      <c r="P1056" s="366">
        <v>8694000</v>
      </c>
      <c r="Q1056" s="176" t="s">
        <v>248</v>
      </c>
      <c r="R1056" s="176" t="s">
        <v>434</v>
      </c>
      <c r="S1056" s="178" t="s">
        <v>253</v>
      </c>
      <c r="T1056" s="57" t="str">
        <f t="shared" si="51"/>
        <v>Đ</v>
      </c>
      <c r="U1056" s="59">
        <f t="shared" si="52"/>
        <v>0</v>
      </c>
      <c r="V1056" s="55">
        <f t="shared" si="53"/>
        <v>13311</v>
      </c>
    </row>
    <row r="1057" spans="1:22" ht="14.5" customHeight="1">
      <c r="A1057" s="176">
        <v>1040</v>
      </c>
      <c r="B1057" s="178" t="s">
        <v>1881</v>
      </c>
      <c r="C1057" s="271" t="s">
        <v>2036</v>
      </c>
      <c r="D1057" s="177">
        <v>46232</v>
      </c>
      <c r="E1057" s="178" t="s">
        <v>1883</v>
      </c>
      <c r="F1057" s="271" t="s">
        <v>1884</v>
      </c>
      <c r="G1057" s="178" t="s">
        <v>730</v>
      </c>
      <c r="H1057" s="366">
        <v>4347000</v>
      </c>
      <c r="I1057" s="176">
        <v>8</v>
      </c>
      <c r="J1057" s="366">
        <v>347760</v>
      </c>
      <c r="K1057" s="178" t="s">
        <v>261</v>
      </c>
      <c r="L1057" s="178" t="s">
        <v>252</v>
      </c>
      <c r="M1057" s="271" t="s">
        <v>1784</v>
      </c>
      <c r="N1057" s="177">
        <v>46234</v>
      </c>
      <c r="O1057" s="177">
        <v>46234</v>
      </c>
      <c r="P1057" s="366">
        <v>4694760</v>
      </c>
      <c r="Q1057" s="176" t="s">
        <v>248</v>
      </c>
      <c r="R1057" s="176" t="s">
        <v>434</v>
      </c>
      <c r="S1057" s="178" t="s">
        <v>253</v>
      </c>
      <c r="T1057" s="57" t="str">
        <f t="shared" si="51"/>
        <v>Đ</v>
      </c>
      <c r="U1057" s="59">
        <f t="shared" si="52"/>
        <v>0</v>
      </c>
      <c r="V1057" s="55">
        <f t="shared" si="53"/>
        <v>13311</v>
      </c>
    </row>
    <row r="1058" spans="1:22" ht="14.5" customHeight="1">
      <c r="A1058" s="176">
        <v>1041</v>
      </c>
      <c r="B1058" s="178" t="s">
        <v>1881</v>
      </c>
      <c r="C1058" s="271" t="s">
        <v>2036</v>
      </c>
      <c r="D1058" s="177">
        <v>46232</v>
      </c>
      <c r="E1058" s="178" t="s">
        <v>1883</v>
      </c>
      <c r="F1058" s="271" t="s">
        <v>1884</v>
      </c>
      <c r="G1058" s="178" t="s">
        <v>730</v>
      </c>
      <c r="H1058" s="366">
        <v>30000</v>
      </c>
      <c r="I1058" s="176">
        <v>10</v>
      </c>
      <c r="J1058" s="366">
        <v>3000</v>
      </c>
      <c r="K1058" s="178" t="s">
        <v>261</v>
      </c>
      <c r="L1058" s="178" t="s">
        <v>252</v>
      </c>
      <c r="M1058" s="271" t="s">
        <v>1784</v>
      </c>
      <c r="N1058" s="177">
        <v>46234</v>
      </c>
      <c r="O1058" s="177">
        <v>46234</v>
      </c>
      <c r="P1058" s="366">
        <v>33000</v>
      </c>
      <c r="Q1058" s="176" t="s">
        <v>248</v>
      </c>
      <c r="R1058" s="176" t="s">
        <v>434</v>
      </c>
      <c r="S1058" s="178" t="s">
        <v>253</v>
      </c>
      <c r="T1058" s="57" t="str">
        <f t="shared" si="51"/>
        <v>Đ</v>
      </c>
      <c r="U1058" s="59">
        <f t="shared" si="52"/>
        <v>0</v>
      </c>
      <c r="V1058" s="55">
        <f t="shared" si="53"/>
        <v>13311</v>
      </c>
    </row>
    <row r="1059" spans="1:22" ht="21.5" customHeight="1">
      <c r="A1059" s="176">
        <v>1042</v>
      </c>
      <c r="B1059" s="178" t="s">
        <v>2037</v>
      </c>
      <c r="C1059" s="271" t="s">
        <v>2038</v>
      </c>
      <c r="D1059" s="177">
        <v>46232</v>
      </c>
      <c r="E1059" s="178" t="s">
        <v>2039</v>
      </c>
      <c r="F1059" s="271" t="s">
        <v>2040</v>
      </c>
      <c r="G1059" s="178" t="s">
        <v>1920</v>
      </c>
      <c r="H1059" s="366">
        <v>3108356</v>
      </c>
      <c r="I1059" s="176">
        <v>8</v>
      </c>
      <c r="J1059" s="366">
        <v>248668</v>
      </c>
      <c r="K1059" s="178" t="s">
        <v>261</v>
      </c>
      <c r="L1059" s="178" t="s">
        <v>252</v>
      </c>
      <c r="M1059" s="271" t="s">
        <v>1784</v>
      </c>
      <c r="N1059" s="177">
        <v>46234</v>
      </c>
      <c r="O1059" s="177">
        <v>46234</v>
      </c>
      <c r="P1059" s="366">
        <v>3357024</v>
      </c>
      <c r="Q1059" s="176" t="s">
        <v>248</v>
      </c>
      <c r="R1059" s="176" t="s">
        <v>434</v>
      </c>
      <c r="S1059" s="178" t="s">
        <v>253</v>
      </c>
      <c r="T1059" s="57" t="str">
        <f t="shared" si="51"/>
        <v>Đ</v>
      </c>
      <c r="U1059" s="59">
        <f t="shared" si="52"/>
        <v>0</v>
      </c>
      <c r="V1059" s="55">
        <f t="shared" si="53"/>
        <v>13311</v>
      </c>
    </row>
    <row r="1060" spans="1:22" ht="21.5" customHeight="1">
      <c r="A1060" s="176">
        <v>1043</v>
      </c>
      <c r="B1060" s="178" t="s">
        <v>1312</v>
      </c>
      <c r="C1060" s="271" t="s">
        <v>1316</v>
      </c>
      <c r="D1060" s="177">
        <v>46203</v>
      </c>
      <c r="E1060" s="178" t="s">
        <v>1996</v>
      </c>
      <c r="F1060" s="271" t="s">
        <v>1997</v>
      </c>
      <c r="G1060" s="178" t="s">
        <v>1998</v>
      </c>
      <c r="H1060" s="366">
        <v>21111111</v>
      </c>
      <c r="I1060" s="176">
        <v>8</v>
      </c>
      <c r="J1060" s="366">
        <v>1688889</v>
      </c>
      <c r="K1060" s="178" t="s">
        <v>261</v>
      </c>
      <c r="L1060" s="178" t="s">
        <v>252</v>
      </c>
      <c r="M1060" s="271" t="s">
        <v>1784</v>
      </c>
      <c r="N1060" s="177">
        <v>46234</v>
      </c>
      <c r="O1060" s="177">
        <v>46234</v>
      </c>
      <c r="P1060" s="366">
        <v>22800000</v>
      </c>
      <c r="Q1060" s="176" t="s">
        <v>248</v>
      </c>
      <c r="R1060" s="176" t="s">
        <v>434</v>
      </c>
      <c r="S1060" s="178" t="s">
        <v>253</v>
      </c>
      <c r="T1060" s="57" t="str">
        <f t="shared" si="51"/>
        <v>Đ</v>
      </c>
      <c r="U1060" s="59">
        <f t="shared" si="52"/>
        <v>0</v>
      </c>
      <c r="V1060" s="55">
        <f t="shared" si="53"/>
        <v>13311</v>
      </c>
    </row>
    <row r="1061" spans="1:22" ht="21.5" customHeight="1">
      <c r="A1061" s="176">
        <v>1044</v>
      </c>
      <c r="B1061" s="178" t="s">
        <v>2006</v>
      </c>
      <c r="C1061" s="271" t="s">
        <v>2041</v>
      </c>
      <c r="D1061" s="177">
        <v>46203</v>
      </c>
      <c r="E1061" s="178" t="s">
        <v>2008</v>
      </c>
      <c r="F1061" s="271" t="s">
        <v>2009</v>
      </c>
      <c r="G1061" s="178" t="s">
        <v>730</v>
      </c>
      <c r="H1061" s="366">
        <v>3737037</v>
      </c>
      <c r="I1061" s="176">
        <v>8</v>
      </c>
      <c r="J1061" s="366">
        <v>298963</v>
      </c>
      <c r="K1061" s="178" t="s">
        <v>261</v>
      </c>
      <c r="L1061" s="178" t="s">
        <v>252</v>
      </c>
      <c r="M1061" s="271" t="s">
        <v>1784</v>
      </c>
      <c r="N1061" s="177">
        <v>46234</v>
      </c>
      <c r="O1061" s="177">
        <v>46234</v>
      </c>
      <c r="P1061" s="366">
        <v>4036000</v>
      </c>
      <c r="Q1061" s="176" t="s">
        <v>248</v>
      </c>
      <c r="R1061" s="176" t="s">
        <v>434</v>
      </c>
      <c r="S1061" s="178" t="s">
        <v>253</v>
      </c>
      <c r="T1061" s="57" t="str">
        <f t="shared" si="51"/>
        <v>Đ</v>
      </c>
      <c r="U1061" s="59">
        <f t="shared" si="52"/>
        <v>0</v>
      </c>
      <c r="V1061" s="55">
        <f t="shared" si="53"/>
        <v>13311</v>
      </c>
    </row>
    <row r="1062" spans="1:22" ht="21.5" customHeight="1">
      <c r="A1062" s="176">
        <v>1045</v>
      </c>
      <c r="B1062" s="178" t="s">
        <v>1989</v>
      </c>
      <c r="C1062" s="271" t="s">
        <v>2042</v>
      </c>
      <c r="D1062" s="177">
        <v>46203</v>
      </c>
      <c r="E1062" s="178" t="s">
        <v>1991</v>
      </c>
      <c r="F1062" s="271" t="s">
        <v>1992</v>
      </c>
      <c r="G1062" s="178" t="s">
        <v>730</v>
      </c>
      <c r="H1062" s="366">
        <v>3722223</v>
      </c>
      <c r="I1062" s="176">
        <v>8</v>
      </c>
      <c r="J1062" s="366">
        <v>297777</v>
      </c>
      <c r="K1062" s="178" t="s">
        <v>261</v>
      </c>
      <c r="L1062" s="178" t="s">
        <v>252</v>
      </c>
      <c r="M1062" s="271" t="s">
        <v>1784</v>
      </c>
      <c r="N1062" s="177">
        <v>46234</v>
      </c>
      <c r="O1062" s="177">
        <v>46234</v>
      </c>
      <c r="P1062" s="366">
        <v>4020000</v>
      </c>
      <c r="Q1062" s="176" t="s">
        <v>248</v>
      </c>
      <c r="R1062" s="176" t="s">
        <v>434</v>
      </c>
      <c r="S1062" s="178" t="s">
        <v>253</v>
      </c>
      <c r="T1062" s="57" t="str">
        <f t="shared" si="51"/>
        <v>Đ</v>
      </c>
      <c r="U1062" s="59">
        <f t="shared" si="52"/>
        <v>1</v>
      </c>
      <c r="V1062" s="55">
        <f t="shared" si="53"/>
        <v>13311</v>
      </c>
    </row>
    <row r="1063" spans="1:22" ht="21.5" customHeight="1">
      <c r="A1063" s="176">
        <v>1046</v>
      </c>
      <c r="B1063" s="178" t="s">
        <v>1964</v>
      </c>
      <c r="C1063" s="271" t="s">
        <v>1332</v>
      </c>
      <c r="D1063" s="177">
        <v>46203</v>
      </c>
      <c r="E1063" s="178" t="s">
        <v>1965</v>
      </c>
      <c r="F1063" s="271" t="s">
        <v>1966</v>
      </c>
      <c r="G1063" s="178" t="s">
        <v>753</v>
      </c>
      <c r="H1063" s="366">
        <v>23800000</v>
      </c>
      <c r="I1063" s="176">
        <v>8</v>
      </c>
      <c r="J1063" s="366">
        <v>1904000</v>
      </c>
      <c r="K1063" s="178" t="s">
        <v>261</v>
      </c>
      <c r="L1063" s="178" t="s">
        <v>252</v>
      </c>
      <c r="M1063" s="271" t="s">
        <v>1784</v>
      </c>
      <c r="N1063" s="177">
        <v>46234</v>
      </c>
      <c r="O1063" s="177">
        <v>46234</v>
      </c>
      <c r="P1063" s="366">
        <v>25704000</v>
      </c>
      <c r="Q1063" s="176" t="s">
        <v>248</v>
      </c>
      <c r="R1063" s="176" t="s">
        <v>434</v>
      </c>
      <c r="S1063" s="178" t="s">
        <v>253</v>
      </c>
      <c r="T1063" s="57" t="str">
        <f t="shared" si="51"/>
        <v>Đ</v>
      </c>
      <c r="U1063" s="59">
        <f t="shared" si="52"/>
        <v>0</v>
      </c>
      <c r="V1063" s="55">
        <f t="shared" si="53"/>
        <v>13311</v>
      </c>
    </row>
    <row r="1064" spans="1:22" ht="14.5" customHeight="1">
      <c r="A1064" s="176">
        <v>1047</v>
      </c>
      <c r="B1064" s="178" t="s">
        <v>1959</v>
      </c>
      <c r="C1064" s="271" t="s">
        <v>1555</v>
      </c>
      <c r="D1064" s="177">
        <v>46203</v>
      </c>
      <c r="E1064" s="178" t="s">
        <v>1961</v>
      </c>
      <c r="F1064" s="271" t="s">
        <v>1962</v>
      </c>
      <c r="G1064" s="178" t="s">
        <v>730</v>
      </c>
      <c r="H1064" s="366">
        <v>8481481</v>
      </c>
      <c r="I1064" s="176">
        <v>8</v>
      </c>
      <c r="J1064" s="366">
        <v>678519</v>
      </c>
      <c r="K1064" s="178" t="s">
        <v>261</v>
      </c>
      <c r="L1064" s="178" t="s">
        <v>252</v>
      </c>
      <c r="M1064" s="271" t="s">
        <v>1784</v>
      </c>
      <c r="N1064" s="177">
        <v>46234</v>
      </c>
      <c r="O1064" s="177">
        <v>46234</v>
      </c>
      <c r="P1064" s="366">
        <v>9160000</v>
      </c>
      <c r="Q1064" s="176" t="s">
        <v>248</v>
      </c>
      <c r="R1064" s="176" t="s">
        <v>434</v>
      </c>
      <c r="S1064" s="178" t="s">
        <v>253</v>
      </c>
      <c r="T1064" s="57" t="str">
        <f t="shared" si="51"/>
        <v>Đ</v>
      </c>
      <c r="U1064" s="59">
        <f t="shared" si="52"/>
        <v>-1</v>
      </c>
      <c r="V1064" s="55">
        <f t="shared" si="53"/>
        <v>13311</v>
      </c>
    </row>
    <row r="1065" spans="1:22" ht="14.5" customHeight="1">
      <c r="A1065" s="176">
        <v>1048</v>
      </c>
      <c r="B1065" s="178" t="s">
        <v>1959</v>
      </c>
      <c r="C1065" s="271" t="s">
        <v>2043</v>
      </c>
      <c r="D1065" s="177">
        <v>46203</v>
      </c>
      <c r="E1065" s="178" t="s">
        <v>1961</v>
      </c>
      <c r="F1065" s="271" t="s">
        <v>1962</v>
      </c>
      <c r="G1065" s="178" t="s">
        <v>730</v>
      </c>
      <c r="H1065" s="366">
        <v>8925926</v>
      </c>
      <c r="I1065" s="176">
        <v>8</v>
      </c>
      <c r="J1065" s="366">
        <v>714074</v>
      </c>
      <c r="K1065" s="178" t="s">
        <v>261</v>
      </c>
      <c r="L1065" s="178" t="s">
        <v>252</v>
      </c>
      <c r="M1065" s="271" t="s">
        <v>1784</v>
      </c>
      <c r="N1065" s="177">
        <v>46234</v>
      </c>
      <c r="O1065" s="177">
        <v>46234</v>
      </c>
      <c r="P1065" s="366">
        <v>9640000</v>
      </c>
      <c r="Q1065" s="176" t="s">
        <v>248</v>
      </c>
      <c r="R1065" s="176" t="s">
        <v>434</v>
      </c>
      <c r="S1065" s="178" t="s">
        <v>253</v>
      </c>
      <c r="T1065" s="57" t="str">
        <f t="shared" si="51"/>
        <v>Đ</v>
      </c>
      <c r="U1065" s="59">
        <f t="shared" si="52"/>
        <v>0</v>
      </c>
      <c r="V1065" s="55">
        <f t="shared" si="53"/>
        <v>13311</v>
      </c>
    </row>
    <row r="1066" spans="1:22" ht="14.5" customHeight="1">
      <c r="A1066" s="176">
        <v>1049</v>
      </c>
      <c r="B1066" s="178" t="s">
        <v>1959</v>
      </c>
      <c r="C1066" s="271" t="s">
        <v>2044</v>
      </c>
      <c r="D1066" s="177">
        <v>46203</v>
      </c>
      <c r="E1066" s="178" t="s">
        <v>1961</v>
      </c>
      <c r="F1066" s="271" t="s">
        <v>1962</v>
      </c>
      <c r="G1066" s="178" t="s">
        <v>1794</v>
      </c>
      <c r="H1066" s="366">
        <v>120000</v>
      </c>
      <c r="I1066" s="176">
        <v>10</v>
      </c>
      <c r="J1066" s="366">
        <v>12000</v>
      </c>
      <c r="K1066" s="178" t="s">
        <v>261</v>
      </c>
      <c r="L1066" s="178" t="s">
        <v>252</v>
      </c>
      <c r="M1066" s="271" t="s">
        <v>1784</v>
      </c>
      <c r="N1066" s="177">
        <v>46234</v>
      </c>
      <c r="O1066" s="177">
        <v>46234</v>
      </c>
      <c r="P1066" s="366">
        <v>132000</v>
      </c>
      <c r="Q1066" s="176" t="s">
        <v>248</v>
      </c>
      <c r="R1066" s="176" t="s">
        <v>434</v>
      </c>
      <c r="S1066" s="178" t="s">
        <v>253</v>
      </c>
      <c r="T1066" s="57" t="str">
        <f t="shared" si="51"/>
        <v>Đ</v>
      </c>
      <c r="U1066" s="59">
        <f t="shared" si="52"/>
        <v>0</v>
      </c>
      <c r="V1066" s="55">
        <f t="shared" si="53"/>
        <v>13311</v>
      </c>
    </row>
    <row r="1067" spans="1:22" ht="14.5" customHeight="1">
      <c r="A1067" s="176">
        <v>1050</v>
      </c>
      <c r="B1067" s="178" t="s">
        <v>1959</v>
      </c>
      <c r="C1067" s="271" t="s">
        <v>2044</v>
      </c>
      <c r="D1067" s="177">
        <v>46203</v>
      </c>
      <c r="E1067" s="178" t="s">
        <v>1961</v>
      </c>
      <c r="F1067" s="271" t="s">
        <v>1962</v>
      </c>
      <c r="G1067" s="178" t="s">
        <v>1794</v>
      </c>
      <c r="H1067" s="366">
        <v>8592593</v>
      </c>
      <c r="I1067" s="176">
        <v>8</v>
      </c>
      <c r="J1067" s="366">
        <v>687407</v>
      </c>
      <c r="K1067" s="178" t="s">
        <v>261</v>
      </c>
      <c r="L1067" s="178" t="s">
        <v>252</v>
      </c>
      <c r="M1067" s="271" t="s">
        <v>1784</v>
      </c>
      <c r="N1067" s="177">
        <v>46234</v>
      </c>
      <c r="O1067" s="177">
        <v>46234</v>
      </c>
      <c r="P1067" s="366">
        <v>9280000</v>
      </c>
      <c r="Q1067" s="176" t="s">
        <v>248</v>
      </c>
      <c r="R1067" s="176" t="s">
        <v>434</v>
      </c>
      <c r="S1067" s="178" t="s">
        <v>253</v>
      </c>
      <c r="T1067" s="57" t="str">
        <f t="shared" si="51"/>
        <v>Đ</v>
      </c>
      <c r="U1067" s="59">
        <f t="shared" si="52"/>
        <v>0</v>
      </c>
      <c r="V1067" s="55">
        <f t="shared" si="53"/>
        <v>13311</v>
      </c>
    </row>
    <row r="1068" spans="1:22" ht="21.5" customHeight="1">
      <c r="A1068" s="176">
        <v>1051</v>
      </c>
      <c r="B1068" s="178" t="s">
        <v>2045</v>
      </c>
      <c r="C1068" s="271" t="s">
        <v>1350</v>
      </c>
      <c r="D1068" s="177">
        <v>46203</v>
      </c>
      <c r="E1068" s="178" t="s">
        <v>2046</v>
      </c>
      <c r="F1068" s="271" t="s">
        <v>2047</v>
      </c>
      <c r="G1068" s="178" t="s">
        <v>2048</v>
      </c>
      <c r="H1068" s="366">
        <v>12820000</v>
      </c>
      <c r="I1068" s="176">
        <v>8</v>
      </c>
      <c r="J1068" s="366">
        <v>1025600</v>
      </c>
      <c r="K1068" s="178" t="s">
        <v>261</v>
      </c>
      <c r="L1068" s="178" t="s">
        <v>252</v>
      </c>
      <c r="M1068" s="271" t="s">
        <v>1784</v>
      </c>
      <c r="N1068" s="177">
        <v>46234</v>
      </c>
      <c r="O1068" s="177">
        <v>46234</v>
      </c>
      <c r="P1068" s="366">
        <v>13845600</v>
      </c>
      <c r="Q1068" s="176" t="s">
        <v>248</v>
      </c>
      <c r="R1068" s="176" t="s">
        <v>434</v>
      </c>
      <c r="S1068" s="178" t="s">
        <v>253</v>
      </c>
      <c r="T1068" s="57" t="str">
        <f t="shared" si="51"/>
        <v>Đ</v>
      </c>
      <c r="U1068" s="59">
        <f t="shared" si="52"/>
        <v>0</v>
      </c>
      <c r="V1068" s="55">
        <f t="shared" si="53"/>
        <v>13311</v>
      </c>
    </row>
    <row r="1069" spans="1:22" ht="14.5" customHeight="1">
      <c r="A1069" s="176">
        <v>1052</v>
      </c>
      <c r="B1069" s="178" t="s">
        <v>2049</v>
      </c>
      <c r="C1069" s="271" t="s">
        <v>2050</v>
      </c>
      <c r="D1069" s="177">
        <v>46203</v>
      </c>
      <c r="E1069" s="178" t="s">
        <v>2051</v>
      </c>
      <c r="F1069" s="271" t="s">
        <v>2052</v>
      </c>
      <c r="G1069" s="178" t="s">
        <v>2053</v>
      </c>
      <c r="H1069" s="366">
        <v>19364800</v>
      </c>
      <c r="I1069" s="176">
        <v>8</v>
      </c>
      <c r="J1069" s="366">
        <v>1549184</v>
      </c>
      <c r="K1069" s="178" t="s">
        <v>261</v>
      </c>
      <c r="L1069" s="178" t="s">
        <v>252</v>
      </c>
      <c r="M1069" s="271" t="s">
        <v>1784</v>
      </c>
      <c r="N1069" s="177">
        <v>46234</v>
      </c>
      <c r="O1069" s="177">
        <v>46234</v>
      </c>
      <c r="P1069" s="366">
        <v>20913984</v>
      </c>
      <c r="Q1069" s="176" t="s">
        <v>248</v>
      </c>
      <c r="R1069" s="176" t="s">
        <v>434</v>
      </c>
      <c r="S1069" s="178" t="s">
        <v>253</v>
      </c>
      <c r="T1069" s="57" t="str">
        <f t="shared" si="51"/>
        <v>Đ</v>
      </c>
      <c r="U1069" s="59">
        <f t="shared" si="52"/>
        <v>0</v>
      </c>
      <c r="V1069" s="55">
        <f t="shared" si="53"/>
        <v>13311</v>
      </c>
    </row>
    <row r="1070" spans="1:22" ht="14.5" customHeight="1">
      <c r="A1070" s="176">
        <v>1053</v>
      </c>
      <c r="B1070" s="178" t="s">
        <v>1396</v>
      </c>
      <c r="C1070" s="271" t="s">
        <v>257</v>
      </c>
      <c r="D1070" s="177">
        <v>46203</v>
      </c>
      <c r="E1070" s="178" t="s">
        <v>2054</v>
      </c>
      <c r="F1070" s="271" t="s">
        <v>2055</v>
      </c>
      <c r="G1070" s="178" t="s">
        <v>2056</v>
      </c>
      <c r="H1070" s="366">
        <v>1390000</v>
      </c>
      <c r="I1070" s="176">
        <v>8</v>
      </c>
      <c r="J1070" s="366">
        <v>111200</v>
      </c>
      <c r="K1070" s="178" t="s">
        <v>261</v>
      </c>
      <c r="L1070" s="178" t="s">
        <v>252</v>
      </c>
      <c r="M1070" s="271" t="s">
        <v>1784</v>
      </c>
      <c r="N1070" s="177">
        <v>46234</v>
      </c>
      <c r="O1070" s="177">
        <v>46234</v>
      </c>
      <c r="P1070" s="366">
        <v>1501200</v>
      </c>
      <c r="Q1070" s="176" t="s">
        <v>248</v>
      </c>
      <c r="R1070" s="176" t="s">
        <v>434</v>
      </c>
      <c r="S1070" s="178" t="s">
        <v>253</v>
      </c>
      <c r="T1070" s="57" t="str">
        <f t="shared" si="51"/>
        <v>Đ</v>
      </c>
      <c r="U1070" s="59">
        <f t="shared" si="52"/>
        <v>0</v>
      </c>
      <c r="V1070" s="55">
        <f t="shared" si="53"/>
        <v>13311</v>
      </c>
    </row>
    <row r="1071" spans="1:22" ht="14.5" customHeight="1">
      <c r="A1071" s="176">
        <v>1054</v>
      </c>
      <c r="B1071" s="178" t="s">
        <v>2057</v>
      </c>
      <c r="C1071" s="271" t="s">
        <v>2058</v>
      </c>
      <c r="D1071" s="177">
        <v>46203</v>
      </c>
      <c r="E1071" s="178" t="s">
        <v>2059</v>
      </c>
      <c r="F1071" s="271" t="s">
        <v>2060</v>
      </c>
      <c r="G1071" s="178" t="s">
        <v>2061</v>
      </c>
      <c r="H1071" s="366">
        <v>2194500</v>
      </c>
      <c r="I1071" s="176">
        <v>8</v>
      </c>
      <c r="J1071" s="366">
        <v>175560</v>
      </c>
      <c r="K1071" s="178" t="s">
        <v>261</v>
      </c>
      <c r="L1071" s="178" t="s">
        <v>252</v>
      </c>
      <c r="M1071" s="271" t="s">
        <v>1784</v>
      </c>
      <c r="N1071" s="177">
        <v>46234</v>
      </c>
      <c r="O1071" s="177">
        <v>46234</v>
      </c>
      <c r="P1071" s="366">
        <v>2370060</v>
      </c>
      <c r="Q1071" s="176" t="s">
        <v>248</v>
      </c>
      <c r="R1071" s="176" t="s">
        <v>434</v>
      </c>
      <c r="S1071" s="178" t="s">
        <v>253</v>
      </c>
      <c r="T1071" s="57" t="str">
        <f t="shared" si="51"/>
        <v>Đ</v>
      </c>
      <c r="U1071" s="59">
        <f t="shared" si="52"/>
        <v>0</v>
      </c>
      <c r="V1071" s="55">
        <f t="shared" si="53"/>
        <v>13311</v>
      </c>
    </row>
    <row r="1072" spans="1:22" ht="21.5" customHeight="1">
      <c r="A1072" s="176">
        <v>1055</v>
      </c>
      <c r="B1072" s="178" t="s">
        <v>1531</v>
      </c>
      <c r="C1072" s="271" t="s">
        <v>2062</v>
      </c>
      <c r="D1072" s="177">
        <v>46203</v>
      </c>
      <c r="E1072" s="178" t="s">
        <v>760</v>
      </c>
      <c r="F1072" s="271" t="s">
        <v>761</v>
      </c>
      <c r="G1072" s="178" t="s">
        <v>2063</v>
      </c>
      <c r="H1072" s="366">
        <v>6944444</v>
      </c>
      <c r="I1072" s="176">
        <v>8</v>
      </c>
      <c r="J1072" s="366">
        <v>555556</v>
      </c>
      <c r="K1072" s="178" t="s">
        <v>261</v>
      </c>
      <c r="L1072" s="178" t="s">
        <v>252</v>
      </c>
      <c r="M1072" s="271" t="s">
        <v>1784</v>
      </c>
      <c r="N1072" s="177">
        <v>46234</v>
      </c>
      <c r="O1072" s="177">
        <v>46234</v>
      </c>
      <c r="P1072" s="366">
        <v>7500000</v>
      </c>
      <c r="Q1072" s="176" t="s">
        <v>248</v>
      </c>
      <c r="R1072" s="176" t="s">
        <v>434</v>
      </c>
      <c r="S1072" s="178" t="s">
        <v>253</v>
      </c>
      <c r="T1072" s="57" t="str">
        <f t="shared" si="51"/>
        <v>Đ</v>
      </c>
      <c r="U1072" s="59">
        <f t="shared" si="52"/>
        <v>0</v>
      </c>
      <c r="V1072" s="55">
        <f t="shared" si="53"/>
        <v>13311</v>
      </c>
    </row>
    <row r="1073" spans="1:22" ht="21.5" customHeight="1">
      <c r="A1073" s="176">
        <v>1056</v>
      </c>
      <c r="B1073" s="178" t="s">
        <v>1531</v>
      </c>
      <c r="C1073" s="271" t="s">
        <v>2064</v>
      </c>
      <c r="D1073" s="177">
        <v>46203</v>
      </c>
      <c r="E1073" s="178" t="s">
        <v>760</v>
      </c>
      <c r="F1073" s="271" t="s">
        <v>761</v>
      </c>
      <c r="G1073" s="178" t="s">
        <v>2063</v>
      </c>
      <c r="H1073" s="366">
        <v>6944444</v>
      </c>
      <c r="I1073" s="176">
        <v>8</v>
      </c>
      <c r="J1073" s="366">
        <v>555556</v>
      </c>
      <c r="K1073" s="178" t="s">
        <v>261</v>
      </c>
      <c r="L1073" s="178" t="s">
        <v>252</v>
      </c>
      <c r="M1073" s="271" t="s">
        <v>1784</v>
      </c>
      <c r="N1073" s="177">
        <v>46234</v>
      </c>
      <c r="O1073" s="177">
        <v>46234</v>
      </c>
      <c r="P1073" s="366">
        <v>7500000</v>
      </c>
      <c r="Q1073" s="176" t="s">
        <v>248</v>
      </c>
      <c r="R1073" s="176" t="s">
        <v>434</v>
      </c>
      <c r="S1073" s="178" t="s">
        <v>253</v>
      </c>
      <c r="T1073" s="57" t="str">
        <f t="shared" si="51"/>
        <v>Đ</v>
      </c>
      <c r="U1073" s="59">
        <f t="shared" si="52"/>
        <v>0</v>
      </c>
      <c r="V1073" s="55">
        <f t="shared" si="53"/>
        <v>13311</v>
      </c>
    </row>
    <row r="1074" spans="1:22" ht="21.5" customHeight="1">
      <c r="A1074" s="176">
        <v>1057</v>
      </c>
      <c r="B1074" s="178" t="s">
        <v>1993</v>
      </c>
      <c r="C1074" s="271" t="s">
        <v>1361</v>
      </c>
      <c r="D1074" s="177">
        <v>46203</v>
      </c>
      <c r="E1074" s="178" t="s">
        <v>656</v>
      </c>
      <c r="F1074" s="271" t="s">
        <v>657</v>
      </c>
      <c r="G1074" s="178" t="s">
        <v>1994</v>
      </c>
      <c r="H1074" s="366">
        <v>30000000</v>
      </c>
      <c r="I1074" s="176">
        <v>8</v>
      </c>
      <c r="J1074" s="366">
        <v>2400000</v>
      </c>
      <c r="K1074" s="178" t="s">
        <v>261</v>
      </c>
      <c r="L1074" s="178" t="s">
        <v>252</v>
      </c>
      <c r="M1074" s="271" t="s">
        <v>1784</v>
      </c>
      <c r="N1074" s="177">
        <v>46234</v>
      </c>
      <c r="O1074" s="177">
        <v>46234</v>
      </c>
      <c r="P1074" s="366">
        <v>32400000</v>
      </c>
      <c r="Q1074" s="176" t="s">
        <v>248</v>
      </c>
      <c r="R1074" s="176" t="s">
        <v>434</v>
      </c>
      <c r="S1074" s="178" t="s">
        <v>253</v>
      </c>
      <c r="T1074" s="57" t="str">
        <f t="shared" si="51"/>
        <v>Đ</v>
      </c>
      <c r="U1074" s="59">
        <f t="shared" si="52"/>
        <v>0</v>
      </c>
      <c r="V1074" s="55">
        <f t="shared" si="53"/>
        <v>13311</v>
      </c>
    </row>
    <row r="1075" spans="1:22" ht="21.5" customHeight="1">
      <c r="A1075" s="176">
        <v>1058</v>
      </c>
      <c r="B1075" s="178" t="s">
        <v>2006</v>
      </c>
      <c r="C1075" s="271" t="s">
        <v>2065</v>
      </c>
      <c r="D1075" s="177">
        <v>46233</v>
      </c>
      <c r="E1075" s="178" t="s">
        <v>2008</v>
      </c>
      <c r="F1075" s="271" t="s">
        <v>2009</v>
      </c>
      <c r="G1075" s="178" t="s">
        <v>730</v>
      </c>
      <c r="H1075" s="366">
        <v>4475000</v>
      </c>
      <c r="I1075" s="176">
        <v>8</v>
      </c>
      <c r="J1075" s="366">
        <v>358000</v>
      </c>
      <c r="K1075" s="178" t="s">
        <v>261</v>
      </c>
      <c r="L1075" s="178" t="s">
        <v>252</v>
      </c>
      <c r="M1075" s="271" t="s">
        <v>1784</v>
      </c>
      <c r="N1075" s="177">
        <v>46234</v>
      </c>
      <c r="O1075" s="177">
        <v>46234</v>
      </c>
      <c r="P1075" s="366">
        <v>4833000</v>
      </c>
      <c r="Q1075" s="176" t="s">
        <v>248</v>
      </c>
      <c r="R1075" s="176" t="s">
        <v>434</v>
      </c>
      <c r="S1075" s="178" t="s">
        <v>253</v>
      </c>
      <c r="T1075" s="57" t="str">
        <f t="shared" si="51"/>
        <v>Đ</v>
      </c>
      <c r="U1075" s="59">
        <f t="shared" si="52"/>
        <v>0</v>
      </c>
      <c r="V1075" s="55">
        <f t="shared" si="53"/>
        <v>13311</v>
      </c>
    </row>
    <row r="1076" spans="1:22" ht="21.5" customHeight="1">
      <c r="A1076" s="176">
        <v>1059</v>
      </c>
      <c r="B1076" s="178" t="s">
        <v>2006</v>
      </c>
      <c r="C1076" s="271" t="s">
        <v>2065</v>
      </c>
      <c r="D1076" s="177">
        <v>46233</v>
      </c>
      <c r="E1076" s="178" t="s">
        <v>2008</v>
      </c>
      <c r="F1076" s="271" t="s">
        <v>2009</v>
      </c>
      <c r="G1076" s="178" t="s">
        <v>730</v>
      </c>
      <c r="H1076" s="366">
        <v>144000</v>
      </c>
      <c r="I1076" s="176">
        <v>10</v>
      </c>
      <c r="J1076" s="366">
        <v>14400</v>
      </c>
      <c r="K1076" s="178" t="s">
        <v>261</v>
      </c>
      <c r="L1076" s="178" t="s">
        <v>252</v>
      </c>
      <c r="M1076" s="271" t="s">
        <v>1784</v>
      </c>
      <c r="N1076" s="177">
        <v>46234</v>
      </c>
      <c r="O1076" s="177">
        <v>46234</v>
      </c>
      <c r="P1076" s="366">
        <v>158400</v>
      </c>
      <c r="Q1076" s="176" t="s">
        <v>248</v>
      </c>
      <c r="R1076" s="176" t="s">
        <v>434</v>
      </c>
      <c r="S1076" s="178" t="s">
        <v>253</v>
      </c>
      <c r="T1076" s="57" t="str">
        <f t="shared" si="51"/>
        <v>Đ</v>
      </c>
      <c r="U1076" s="59">
        <f t="shared" si="52"/>
        <v>0</v>
      </c>
      <c r="V1076" s="55">
        <f t="shared" si="53"/>
        <v>13311</v>
      </c>
    </row>
    <row r="1077" spans="1:22" ht="14.5" customHeight="1">
      <c r="A1077" s="176">
        <v>1060</v>
      </c>
      <c r="B1077" s="178" t="s">
        <v>2066</v>
      </c>
      <c r="C1077" s="271" t="s">
        <v>2067</v>
      </c>
      <c r="D1077" s="177">
        <v>46202</v>
      </c>
      <c r="E1077" s="178" t="s">
        <v>2068</v>
      </c>
      <c r="F1077" s="271" t="s">
        <v>2069</v>
      </c>
      <c r="G1077" s="178" t="s">
        <v>2070</v>
      </c>
      <c r="H1077" s="366">
        <v>10655169</v>
      </c>
      <c r="I1077" s="176">
        <v>5</v>
      </c>
      <c r="J1077" s="366">
        <v>532791</v>
      </c>
      <c r="K1077" s="178" t="s">
        <v>2071</v>
      </c>
      <c r="L1077" s="178" t="s">
        <v>252</v>
      </c>
      <c r="M1077" s="271" t="s">
        <v>2072</v>
      </c>
      <c r="N1077" s="177">
        <v>46234</v>
      </c>
      <c r="O1077" s="177">
        <v>46234</v>
      </c>
      <c r="P1077" s="366">
        <v>11187960</v>
      </c>
      <c r="Q1077" s="176" t="s">
        <v>248</v>
      </c>
      <c r="R1077" s="176" t="s">
        <v>433</v>
      </c>
      <c r="S1077" s="178" t="s">
        <v>253</v>
      </c>
      <c r="T1077" s="57" t="str">
        <f t="shared" si="51"/>
        <v>Đ</v>
      </c>
      <c r="U1077" s="59">
        <f t="shared" si="52"/>
        <v>-33</v>
      </c>
      <c r="V1077" s="55">
        <f t="shared" si="53"/>
        <v>13311</v>
      </c>
    </row>
    <row r="1078" spans="1:22" ht="14.5" customHeight="1">
      <c r="A1078" s="176">
        <v>1061</v>
      </c>
      <c r="B1078" s="178" t="s">
        <v>2066</v>
      </c>
      <c r="C1078" s="271" t="s">
        <v>2067</v>
      </c>
      <c r="D1078" s="177">
        <v>46202</v>
      </c>
      <c r="E1078" s="178" t="s">
        <v>2068</v>
      </c>
      <c r="F1078" s="271" t="s">
        <v>2069</v>
      </c>
      <c r="G1078" s="178" t="s">
        <v>2070</v>
      </c>
      <c r="H1078" s="366">
        <v>1918192</v>
      </c>
      <c r="I1078" s="176">
        <v>8</v>
      </c>
      <c r="J1078" s="366">
        <v>153458</v>
      </c>
      <c r="K1078" s="178" t="s">
        <v>2071</v>
      </c>
      <c r="L1078" s="178" t="s">
        <v>252</v>
      </c>
      <c r="M1078" s="271" t="s">
        <v>2072</v>
      </c>
      <c r="N1078" s="177">
        <v>46234</v>
      </c>
      <c r="O1078" s="177">
        <v>46234</v>
      </c>
      <c r="P1078" s="366">
        <v>2071650</v>
      </c>
      <c r="Q1078" s="176" t="s">
        <v>248</v>
      </c>
      <c r="R1078" s="176" t="s">
        <v>433</v>
      </c>
      <c r="S1078" s="178" t="s">
        <v>253</v>
      </c>
      <c r="T1078" s="57" t="str">
        <f t="shared" si="51"/>
        <v>Đ</v>
      </c>
      <c r="U1078" s="59">
        <f t="shared" si="52"/>
        <v>-3</v>
      </c>
      <c r="V1078" s="55">
        <f t="shared" si="53"/>
        <v>13311</v>
      </c>
    </row>
    <row r="1079" spans="1:22" ht="21.5" customHeight="1">
      <c r="A1079" s="176">
        <v>1062</v>
      </c>
      <c r="B1079" s="178" t="s">
        <v>704</v>
      </c>
      <c r="C1079" s="271" t="s">
        <v>1728</v>
      </c>
      <c r="D1079" s="177">
        <v>46021</v>
      </c>
      <c r="E1079" s="178" t="s">
        <v>2073</v>
      </c>
      <c r="F1079" s="271" t="s">
        <v>276</v>
      </c>
      <c r="G1079" s="178" t="s">
        <v>2074</v>
      </c>
      <c r="H1079" s="366">
        <v>697894389</v>
      </c>
      <c r="I1079" s="176">
        <v>8</v>
      </c>
      <c r="J1079" s="366">
        <v>55831551</v>
      </c>
      <c r="K1079" s="178" t="s">
        <v>2075</v>
      </c>
      <c r="L1079" s="178" t="s">
        <v>252</v>
      </c>
      <c r="M1079" s="271" t="s">
        <v>2076</v>
      </c>
      <c r="N1079" s="177">
        <v>46234</v>
      </c>
      <c r="O1079" s="177">
        <v>46234</v>
      </c>
      <c r="P1079" s="366">
        <v>753725940</v>
      </c>
      <c r="Q1079" s="176" t="s">
        <v>248</v>
      </c>
      <c r="R1079" s="176" t="s">
        <v>433</v>
      </c>
      <c r="S1079" s="178" t="s">
        <v>253</v>
      </c>
      <c r="T1079" s="57" t="str">
        <f t="shared" si="51"/>
        <v>Đ</v>
      </c>
      <c r="U1079" s="59">
        <f t="shared" si="52"/>
        <v>0</v>
      </c>
      <c r="V1079" s="55">
        <f t="shared" si="53"/>
        <v>13311</v>
      </c>
    </row>
    <row r="1080" spans="1:22" ht="21.5" customHeight="1">
      <c r="A1080" s="176">
        <v>1063</v>
      </c>
      <c r="B1080" s="178" t="s">
        <v>2077</v>
      </c>
      <c r="C1080" s="271" t="s">
        <v>2078</v>
      </c>
      <c r="D1080" s="177">
        <v>46182</v>
      </c>
      <c r="E1080" s="178" t="s">
        <v>2079</v>
      </c>
      <c r="F1080" s="271" t="s">
        <v>2080</v>
      </c>
      <c r="G1080" s="178" t="s">
        <v>2081</v>
      </c>
      <c r="H1080" s="366">
        <v>2079616</v>
      </c>
      <c r="I1080" s="176">
        <v>8</v>
      </c>
      <c r="J1080" s="366">
        <v>166369</v>
      </c>
      <c r="K1080" s="178" t="s">
        <v>2082</v>
      </c>
      <c r="L1080" s="178" t="s">
        <v>252</v>
      </c>
      <c r="M1080" s="271" t="s">
        <v>2083</v>
      </c>
      <c r="N1080" s="177">
        <v>46234</v>
      </c>
      <c r="O1080" s="177">
        <v>46234</v>
      </c>
      <c r="P1080" s="366">
        <v>2245985</v>
      </c>
      <c r="Q1080" s="176" t="s">
        <v>248</v>
      </c>
      <c r="R1080" s="176" t="s">
        <v>433</v>
      </c>
      <c r="S1080" s="178" t="s">
        <v>253</v>
      </c>
      <c r="T1080" s="57" t="str">
        <f t="shared" si="51"/>
        <v>Đ</v>
      </c>
      <c r="U1080" s="59">
        <f t="shared" si="52"/>
        <v>0</v>
      </c>
      <c r="V1080" s="55">
        <f t="shared" si="53"/>
        <v>13311</v>
      </c>
    </row>
    <row r="1081" spans="1:22" ht="14.5" customHeight="1">
      <c r="A1081" s="176">
        <v>1064</v>
      </c>
      <c r="B1081" s="178" t="s">
        <v>1469</v>
      </c>
      <c r="C1081" s="271" t="s">
        <v>2084</v>
      </c>
      <c r="D1081" s="177">
        <v>46183</v>
      </c>
      <c r="E1081" s="178" t="s">
        <v>2085</v>
      </c>
      <c r="F1081" s="271" t="s">
        <v>2086</v>
      </c>
      <c r="G1081" s="178" t="s">
        <v>2087</v>
      </c>
      <c r="H1081" s="366">
        <v>46285000</v>
      </c>
      <c r="I1081" s="176">
        <v>8</v>
      </c>
      <c r="J1081" s="366">
        <v>3702800</v>
      </c>
      <c r="K1081" s="178" t="s">
        <v>2082</v>
      </c>
      <c r="L1081" s="178" t="s">
        <v>252</v>
      </c>
      <c r="M1081" s="271" t="s">
        <v>2083</v>
      </c>
      <c r="N1081" s="177">
        <v>46234</v>
      </c>
      <c r="O1081" s="177">
        <v>46234</v>
      </c>
      <c r="P1081" s="366">
        <v>49987800</v>
      </c>
      <c r="Q1081" s="176" t="s">
        <v>248</v>
      </c>
      <c r="R1081" s="176" t="s">
        <v>433</v>
      </c>
      <c r="S1081" s="178" t="s">
        <v>253</v>
      </c>
      <c r="T1081" s="57" t="str">
        <f t="shared" si="51"/>
        <v>Đ</v>
      </c>
      <c r="U1081" s="59">
        <f t="shared" si="52"/>
        <v>0</v>
      </c>
      <c r="V1081" s="55">
        <f t="shared" si="53"/>
        <v>13311</v>
      </c>
    </row>
    <row r="1082" spans="1:22" ht="14.5" customHeight="1">
      <c r="A1082" s="176">
        <v>1065</v>
      </c>
      <c r="B1082" s="178" t="s">
        <v>1267</v>
      </c>
      <c r="C1082" s="271" t="s">
        <v>2088</v>
      </c>
      <c r="D1082" s="177">
        <v>46184</v>
      </c>
      <c r="E1082" s="178" t="s">
        <v>2089</v>
      </c>
      <c r="F1082" s="271" t="s">
        <v>2090</v>
      </c>
      <c r="G1082" s="178" t="s">
        <v>2091</v>
      </c>
      <c r="H1082" s="366">
        <v>46200000</v>
      </c>
      <c r="I1082" s="176">
        <v>8</v>
      </c>
      <c r="J1082" s="366">
        <v>3696000</v>
      </c>
      <c r="K1082" s="178" t="s">
        <v>2082</v>
      </c>
      <c r="L1082" s="178" t="s">
        <v>252</v>
      </c>
      <c r="M1082" s="271" t="s">
        <v>2083</v>
      </c>
      <c r="N1082" s="177">
        <v>46234</v>
      </c>
      <c r="O1082" s="177">
        <v>46234</v>
      </c>
      <c r="P1082" s="366">
        <v>49896000</v>
      </c>
      <c r="Q1082" s="176" t="s">
        <v>248</v>
      </c>
      <c r="R1082" s="176" t="s">
        <v>433</v>
      </c>
      <c r="S1082" s="178" t="s">
        <v>253</v>
      </c>
      <c r="T1082" s="57" t="str">
        <f t="shared" si="51"/>
        <v>Đ</v>
      </c>
      <c r="U1082" s="59">
        <f t="shared" si="52"/>
        <v>0</v>
      </c>
      <c r="V1082" s="55">
        <f t="shared" si="53"/>
        <v>13311</v>
      </c>
    </row>
    <row r="1083" spans="1:22" ht="14.5" customHeight="1">
      <c r="A1083" s="176">
        <v>1066</v>
      </c>
      <c r="B1083" s="178" t="s">
        <v>1267</v>
      </c>
      <c r="C1083" s="271" t="s">
        <v>2092</v>
      </c>
      <c r="D1083" s="177">
        <v>46185</v>
      </c>
      <c r="E1083" s="178" t="s">
        <v>2089</v>
      </c>
      <c r="F1083" s="271" t="s">
        <v>2090</v>
      </c>
      <c r="G1083" s="178" t="s">
        <v>2091</v>
      </c>
      <c r="H1083" s="366">
        <v>46200000</v>
      </c>
      <c r="I1083" s="176">
        <v>8</v>
      </c>
      <c r="J1083" s="366">
        <v>3696000</v>
      </c>
      <c r="K1083" s="178" t="s">
        <v>2082</v>
      </c>
      <c r="L1083" s="178" t="s">
        <v>252</v>
      </c>
      <c r="M1083" s="271" t="s">
        <v>2083</v>
      </c>
      <c r="N1083" s="177">
        <v>46234</v>
      </c>
      <c r="O1083" s="177">
        <v>46234</v>
      </c>
      <c r="P1083" s="366">
        <v>49896000</v>
      </c>
      <c r="Q1083" s="176" t="s">
        <v>248</v>
      </c>
      <c r="R1083" s="176" t="s">
        <v>433</v>
      </c>
      <c r="S1083" s="178" t="s">
        <v>253</v>
      </c>
      <c r="T1083" s="57" t="str">
        <f t="shared" si="51"/>
        <v>Đ</v>
      </c>
      <c r="U1083" s="59">
        <f t="shared" si="52"/>
        <v>0</v>
      </c>
      <c r="V1083" s="55">
        <f t="shared" si="53"/>
        <v>13311</v>
      </c>
    </row>
    <row r="1084" spans="1:22" ht="21.5" customHeight="1">
      <c r="A1084" s="176">
        <v>1067</v>
      </c>
      <c r="B1084" s="178" t="s">
        <v>2077</v>
      </c>
      <c r="C1084" s="271" t="s">
        <v>2093</v>
      </c>
      <c r="D1084" s="177">
        <v>46188</v>
      </c>
      <c r="E1084" s="178" t="s">
        <v>2079</v>
      </c>
      <c r="F1084" s="271" t="s">
        <v>2080</v>
      </c>
      <c r="G1084" s="178" t="s">
        <v>2094</v>
      </c>
      <c r="H1084" s="366">
        <v>6258555</v>
      </c>
      <c r="I1084" s="176">
        <v>8</v>
      </c>
      <c r="J1084" s="366">
        <v>500684</v>
      </c>
      <c r="K1084" s="178" t="s">
        <v>2082</v>
      </c>
      <c r="L1084" s="178" t="s">
        <v>252</v>
      </c>
      <c r="M1084" s="271" t="s">
        <v>2083</v>
      </c>
      <c r="N1084" s="177">
        <v>46234</v>
      </c>
      <c r="O1084" s="177">
        <v>46234</v>
      </c>
      <c r="P1084" s="366">
        <v>6759239</v>
      </c>
      <c r="Q1084" s="176" t="s">
        <v>248</v>
      </c>
      <c r="R1084" s="176" t="s">
        <v>433</v>
      </c>
      <c r="S1084" s="178" t="s">
        <v>253</v>
      </c>
      <c r="T1084" s="57" t="str">
        <f t="shared" si="51"/>
        <v>Đ</v>
      </c>
      <c r="U1084" s="59">
        <f t="shared" si="52"/>
        <v>0</v>
      </c>
      <c r="V1084" s="55">
        <f t="shared" si="53"/>
        <v>13311</v>
      </c>
    </row>
    <row r="1085" spans="1:22" ht="21.5" customHeight="1">
      <c r="A1085" s="176">
        <v>1068</v>
      </c>
      <c r="B1085" s="178" t="s">
        <v>2095</v>
      </c>
      <c r="C1085" s="271" t="s">
        <v>2096</v>
      </c>
      <c r="D1085" s="177">
        <v>46188</v>
      </c>
      <c r="E1085" s="178" t="s">
        <v>2097</v>
      </c>
      <c r="F1085" s="271" t="s">
        <v>2098</v>
      </c>
      <c r="G1085" s="178" t="s">
        <v>2099</v>
      </c>
      <c r="H1085" s="366">
        <v>10000000</v>
      </c>
      <c r="I1085" s="176">
        <v>8</v>
      </c>
      <c r="J1085" s="366">
        <v>800000</v>
      </c>
      <c r="K1085" s="178" t="s">
        <v>2082</v>
      </c>
      <c r="L1085" s="178" t="s">
        <v>252</v>
      </c>
      <c r="M1085" s="271" t="s">
        <v>2083</v>
      </c>
      <c r="N1085" s="177">
        <v>46234</v>
      </c>
      <c r="O1085" s="177">
        <v>46234</v>
      </c>
      <c r="P1085" s="366">
        <v>10800000</v>
      </c>
      <c r="Q1085" s="176" t="s">
        <v>248</v>
      </c>
      <c r="R1085" s="176" t="s">
        <v>433</v>
      </c>
      <c r="S1085" s="178" t="s">
        <v>253</v>
      </c>
      <c r="T1085" s="57" t="str">
        <f t="shared" si="51"/>
        <v>Đ</v>
      </c>
      <c r="U1085" s="59">
        <f t="shared" si="52"/>
        <v>0</v>
      </c>
      <c r="V1085" s="55">
        <f t="shared" si="53"/>
        <v>13311</v>
      </c>
    </row>
    <row r="1086" spans="1:22" ht="21.5" customHeight="1">
      <c r="A1086" s="176">
        <v>1069</v>
      </c>
      <c r="B1086" s="178" t="s">
        <v>2077</v>
      </c>
      <c r="C1086" s="271" t="s">
        <v>2100</v>
      </c>
      <c r="D1086" s="177">
        <v>46161</v>
      </c>
      <c r="E1086" s="178" t="s">
        <v>2079</v>
      </c>
      <c r="F1086" s="271" t="s">
        <v>2080</v>
      </c>
      <c r="G1086" s="178" t="s">
        <v>1229</v>
      </c>
      <c r="H1086" s="366">
        <v>3401389</v>
      </c>
      <c r="I1086" s="176">
        <v>8</v>
      </c>
      <c r="J1086" s="366">
        <v>272111</v>
      </c>
      <c r="K1086" s="178" t="s">
        <v>2082</v>
      </c>
      <c r="L1086" s="178" t="s">
        <v>252</v>
      </c>
      <c r="M1086" s="271" t="s">
        <v>2083</v>
      </c>
      <c r="N1086" s="177">
        <v>46234</v>
      </c>
      <c r="O1086" s="177">
        <v>46234</v>
      </c>
      <c r="P1086" s="366">
        <v>3673500</v>
      </c>
      <c r="Q1086" s="176" t="s">
        <v>248</v>
      </c>
      <c r="R1086" s="176" t="s">
        <v>433</v>
      </c>
      <c r="S1086" s="178" t="s">
        <v>253</v>
      </c>
      <c r="T1086" s="57" t="str">
        <f t="shared" si="51"/>
        <v>Đ</v>
      </c>
      <c r="U1086" s="59">
        <f t="shared" si="52"/>
        <v>0</v>
      </c>
      <c r="V1086" s="55">
        <f t="shared" si="53"/>
        <v>13311</v>
      </c>
    </row>
    <row r="1087" spans="1:22" ht="21.5" customHeight="1">
      <c r="A1087" s="176">
        <v>1070</v>
      </c>
      <c r="B1087" s="178" t="s">
        <v>2101</v>
      </c>
      <c r="C1087" s="271" t="s">
        <v>1663</v>
      </c>
      <c r="D1087" s="177">
        <v>46163</v>
      </c>
      <c r="E1087" s="178" t="s">
        <v>2102</v>
      </c>
      <c r="F1087" s="271" t="s">
        <v>276</v>
      </c>
      <c r="G1087" s="178" t="s">
        <v>1229</v>
      </c>
      <c r="H1087" s="366">
        <v>41518340</v>
      </c>
      <c r="I1087" s="176">
        <v>8</v>
      </c>
      <c r="J1087" s="366">
        <v>3321467</v>
      </c>
      <c r="K1087" s="178" t="s">
        <v>2082</v>
      </c>
      <c r="L1087" s="178" t="s">
        <v>252</v>
      </c>
      <c r="M1087" s="271" t="s">
        <v>2083</v>
      </c>
      <c r="N1087" s="177">
        <v>46234</v>
      </c>
      <c r="O1087" s="177">
        <v>46234</v>
      </c>
      <c r="P1087" s="366">
        <v>44839807</v>
      </c>
      <c r="Q1087" s="176" t="s">
        <v>248</v>
      </c>
      <c r="R1087" s="176" t="s">
        <v>433</v>
      </c>
      <c r="S1087" s="178" t="s">
        <v>253</v>
      </c>
      <c r="T1087" s="57" t="str">
        <f t="shared" si="51"/>
        <v>Đ</v>
      </c>
      <c r="U1087" s="59">
        <f t="shared" si="52"/>
        <v>0</v>
      </c>
      <c r="V1087" s="55">
        <f t="shared" si="53"/>
        <v>13311</v>
      </c>
    </row>
    <row r="1088" spans="1:22" ht="14.5" customHeight="1">
      <c r="A1088" s="176">
        <v>1071</v>
      </c>
      <c r="B1088" s="178" t="s">
        <v>1287</v>
      </c>
      <c r="C1088" s="271" t="s">
        <v>2103</v>
      </c>
      <c r="D1088" s="177">
        <v>46224</v>
      </c>
      <c r="E1088" s="178" t="s">
        <v>2104</v>
      </c>
      <c r="F1088" s="271" t="s">
        <v>2105</v>
      </c>
      <c r="G1088" s="178" t="s">
        <v>2106</v>
      </c>
      <c r="H1088" s="366">
        <v>13796296</v>
      </c>
      <c r="I1088" s="176">
        <v>8</v>
      </c>
      <c r="J1088" s="366">
        <v>1103704</v>
      </c>
      <c r="K1088" s="178" t="s">
        <v>2082</v>
      </c>
      <c r="L1088" s="178" t="s">
        <v>252</v>
      </c>
      <c r="M1088" s="271" t="s">
        <v>2083</v>
      </c>
      <c r="N1088" s="177">
        <v>46234</v>
      </c>
      <c r="O1088" s="177">
        <v>46234</v>
      </c>
      <c r="P1088" s="366">
        <v>14900000</v>
      </c>
      <c r="Q1088" s="176" t="s">
        <v>248</v>
      </c>
      <c r="R1088" s="176" t="s">
        <v>433</v>
      </c>
      <c r="S1088" s="178" t="s">
        <v>253</v>
      </c>
      <c r="T1088" s="57" t="str">
        <f t="shared" si="51"/>
        <v>Đ</v>
      </c>
      <c r="U1088" s="59">
        <f t="shared" si="52"/>
        <v>0</v>
      </c>
      <c r="V1088" s="55">
        <f t="shared" si="53"/>
        <v>13311</v>
      </c>
    </row>
    <row r="1089" spans="1:22" ht="21.5" customHeight="1">
      <c r="A1089" s="176">
        <v>1072</v>
      </c>
      <c r="B1089" s="178" t="s">
        <v>2077</v>
      </c>
      <c r="C1089" s="271" t="s">
        <v>2107</v>
      </c>
      <c r="D1089" s="177">
        <v>46195</v>
      </c>
      <c r="E1089" s="178" t="s">
        <v>2079</v>
      </c>
      <c r="F1089" s="271" t="s">
        <v>2080</v>
      </c>
      <c r="G1089" s="178" t="s">
        <v>1229</v>
      </c>
      <c r="H1089" s="366">
        <v>26872082</v>
      </c>
      <c r="I1089" s="176">
        <v>8</v>
      </c>
      <c r="J1089" s="366">
        <v>2149767</v>
      </c>
      <c r="K1089" s="178" t="s">
        <v>2082</v>
      </c>
      <c r="L1089" s="178" t="s">
        <v>252</v>
      </c>
      <c r="M1089" s="271" t="s">
        <v>2083</v>
      </c>
      <c r="N1089" s="177">
        <v>46234</v>
      </c>
      <c r="O1089" s="177">
        <v>46234</v>
      </c>
      <c r="P1089" s="366">
        <v>29021849</v>
      </c>
      <c r="Q1089" s="176" t="s">
        <v>248</v>
      </c>
      <c r="R1089" s="176" t="s">
        <v>433</v>
      </c>
      <c r="S1089" s="178" t="s">
        <v>253</v>
      </c>
      <c r="T1089" s="57" t="str">
        <f t="shared" si="51"/>
        <v>Đ</v>
      </c>
      <c r="U1089" s="59">
        <f t="shared" si="52"/>
        <v>0</v>
      </c>
      <c r="V1089" s="55">
        <f t="shared" si="53"/>
        <v>13311</v>
      </c>
    </row>
    <row r="1090" spans="1:22" ht="14.5" customHeight="1">
      <c r="A1090" s="176">
        <v>1073</v>
      </c>
      <c r="B1090" s="178" t="s">
        <v>2108</v>
      </c>
      <c r="C1090" s="271" t="s">
        <v>2109</v>
      </c>
      <c r="D1090" s="177">
        <v>46195</v>
      </c>
      <c r="E1090" s="178" t="s">
        <v>2110</v>
      </c>
      <c r="F1090" s="271" t="s">
        <v>2111</v>
      </c>
      <c r="G1090" s="178" t="s">
        <v>2112</v>
      </c>
      <c r="H1090" s="366">
        <v>19611111</v>
      </c>
      <c r="I1090" s="176">
        <v>8</v>
      </c>
      <c r="J1090" s="366">
        <v>1568889</v>
      </c>
      <c r="K1090" s="178" t="s">
        <v>2082</v>
      </c>
      <c r="L1090" s="178" t="s">
        <v>252</v>
      </c>
      <c r="M1090" s="271" t="s">
        <v>2083</v>
      </c>
      <c r="N1090" s="177">
        <v>46234</v>
      </c>
      <c r="O1090" s="177">
        <v>46234</v>
      </c>
      <c r="P1090" s="366">
        <v>21180000</v>
      </c>
      <c r="Q1090" s="176" t="s">
        <v>248</v>
      </c>
      <c r="R1090" s="176" t="s">
        <v>433</v>
      </c>
      <c r="S1090" s="178" t="s">
        <v>253</v>
      </c>
      <c r="T1090" s="57" t="str">
        <f t="shared" si="51"/>
        <v>Đ</v>
      </c>
      <c r="U1090" s="59">
        <f t="shared" si="52"/>
        <v>0</v>
      </c>
      <c r="V1090" s="55">
        <f t="shared" si="53"/>
        <v>13311</v>
      </c>
    </row>
    <row r="1091" spans="1:22" ht="14.5" customHeight="1">
      <c r="A1091" s="176">
        <v>1074</v>
      </c>
      <c r="B1091" s="178" t="s">
        <v>1267</v>
      </c>
      <c r="C1091" s="271" t="s">
        <v>2113</v>
      </c>
      <c r="D1091" s="177">
        <v>46197</v>
      </c>
      <c r="E1091" s="178" t="s">
        <v>2114</v>
      </c>
      <c r="F1091" s="271" t="s">
        <v>2115</v>
      </c>
      <c r="G1091" s="178" t="s">
        <v>2116</v>
      </c>
      <c r="H1091" s="366">
        <v>73500000</v>
      </c>
      <c r="I1091" s="176">
        <v>8</v>
      </c>
      <c r="J1091" s="366">
        <v>5880000</v>
      </c>
      <c r="K1091" s="178" t="s">
        <v>2082</v>
      </c>
      <c r="L1091" s="178" t="s">
        <v>252</v>
      </c>
      <c r="M1091" s="271" t="s">
        <v>2083</v>
      </c>
      <c r="N1091" s="177">
        <v>46234</v>
      </c>
      <c r="O1091" s="177">
        <v>46234</v>
      </c>
      <c r="P1091" s="366">
        <v>79380000</v>
      </c>
      <c r="Q1091" s="176" t="s">
        <v>248</v>
      </c>
      <c r="R1091" s="176" t="s">
        <v>433</v>
      </c>
      <c r="S1091" s="178" t="s">
        <v>253</v>
      </c>
      <c r="T1091" s="57" t="str">
        <f t="shared" si="51"/>
        <v>Đ</v>
      </c>
      <c r="U1091" s="59">
        <f t="shared" si="52"/>
        <v>0</v>
      </c>
      <c r="V1091" s="55">
        <f t="shared" si="53"/>
        <v>13311</v>
      </c>
    </row>
    <row r="1092" spans="1:22" ht="14.5" customHeight="1">
      <c r="A1092" s="176">
        <v>1075</v>
      </c>
      <c r="B1092" s="178" t="s">
        <v>2117</v>
      </c>
      <c r="C1092" s="271" t="s">
        <v>1237</v>
      </c>
      <c r="D1092" s="177">
        <v>46170</v>
      </c>
      <c r="E1092" s="178" t="s">
        <v>2118</v>
      </c>
      <c r="F1092" s="271" t="s">
        <v>2119</v>
      </c>
      <c r="G1092" s="178" t="s">
        <v>1229</v>
      </c>
      <c r="H1092" s="366">
        <v>706823402</v>
      </c>
      <c r="I1092" s="176">
        <v>8</v>
      </c>
      <c r="J1092" s="366">
        <v>56545872</v>
      </c>
      <c r="K1092" s="178" t="s">
        <v>2082</v>
      </c>
      <c r="L1092" s="178" t="s">
        <v>252</v>
      </c>
      <c r="M1092" s="271" t="s">
        <v>2083</v>
      </c>
      <c r="N1092" s="177">
        <v>46234</v>
      </c>
      <c r="O1092" s="177">
        <v>46234</v>
      </c>
      <c r="P1092" s="366">
        <v>763369274</v>
      </c>
      <c r="Q1092" s="176" t="s">
        <v>248</v>
      </c>
      <c r="R1092" s="176" t="s">
        <v>433</v>
      </c>
      <c r="S1092" s="178" t="s">
        <v>253</v>
      </c>
      <c r="T1092" s="57" t="str">
        <f t="shared" si="51"/>
        <v>Đ</v>
      </c>
      <c r="U1092" s="59">
        <f t="shared" si="52"/>
        <v>0</v>
      </c>
      <c r="V1092" s="55">
        <f t="shared" si="53"/>
        <v>13311</v>
      </c>
    </row>
    <row r="1093" spans="1:22" ht="14.5" customHeight="1">
      <c r="A1093" s="176">
        <v>1076</v>
      </c>
      <c r="B1093" s="178" t="s">
        <v>2117</v>
      </c>
      <c r="C1093" s="271" t="s">
        <v>1242</v>
      </c>
      <c r="D1093" s="177">
        <v>46170</v>
      </c>
      <c r="E1093" s="178" t="s">
        <v>2118</v>
      </c>
      <c r="F1093" s="271" t="s">
        <v>2119</v>
      </c>
      <c r="G1093" s="178" t="s">
        <v>1229</v>
      </c>
      <c r="H1093" s="366">
        <v>485519642</v>
      </c>
      <c r="I1093" s="176">
        <v>8</v>
      </c>
      <c r="J1093" s="366">
        <v>38841571</v>
      </c>
      <c r="K1093" s="178" t="s">
        <v>2082</v>
      </c>
      <c r="L1093" s="178" t="s">
        <v>252</v>
      </c>
      <c r="M1093" s="271" t="s">
        <v>2083</v>
      </c>
      <c r="N1093" s="177">
        <v>46234</v>
      </c>
      <c r="O1093" s="177">
        <v>46234</v>
      </c>
      <c r="P1093" s="366">
        <v>524361213</v>
      </c>
      <c r="Q1093" s="176" t="s">
        <v>248</v>
      </c>
      <c r="R1093" s="176" t="s">
        <v>433</v>
      </c>
      <c r="S1093" s="178" t="s">
        <v>253</v>
      </c>
      <c r="T1093" s="57" t="str">
        <f t="shared" si="51"/>
        <v>Đ</v>
      </c>
      <c r="U1093" s="59">
        <f t="shared" si="52"/>
        <v>0</v>
      </c>
      <c r="V1093" s="55">
        <f t="shared" si="53"/>
        <v>13311</v>
      </c>
    </row>
    <row r="1094" spans="1:22" ht="14.5" customHeight="1">
      <c r="A1094" s="176">
        <v>1077</v>
      </c>
      <c r="B1094" s="178" t="s">
        <v>2117</v>
      </c>
      <c r="C1094" s="271" t="s">
        <v>1243</v>
      </c>
      <c r="D1094" s="177">
        <v>46170</v>
      </c>
      <c r="E1094" s="178" t="s">
        <v>2118</v>
      </c>
      <c r="F1094" s="271" t="s">
        <v>2119</v>
      </c>
      <c r="G1094" s="178" t="s">
        <v>1229</v>
      </c>
      <c r="H1094" s="366">
        <v>433449811</v>
      </c>
      <c r="I1094" s="176">
        <v>8</v>
      </c>
      <c r="J1094" s="366">
        <v>34675985</v>
      </c>
      <c r="K1094" s="178" t="s">
        <v>2082</v>
      </c>
      <c r="L1094" s="178" t="s">
        <v>252</v>
      </c>
      <c r="M1094" s="271" t="s">
        <v>2083</v>
      </c>
      <c r="N1094" s="177">
        <v>46234</v>
      </c>
      <c r="O1094" s="177">
        <v>46234</v>
      </c>
      <c r="P1094" s="366">
        <v>468125796</v>
      </c>
      <c r="Q1094" s="176" t="s">
        <v>248</v>
      </c>
      <c r="R1094" s="176" t="s">
        <v>433</v>
      </c>
      <c r="S1094" s="178" t="s">
        <v>253</v>
      </c>
      <c r="T1094" s="57" t="str">
        <f t="shared" si="51"/>
        <v>Đ</v>
      </c>
      <c r="U1094" s="59">
        <f t="shared" si="52"/>
        <v>0</v>
      </c>
      <c r="V1094" s="55">
        <f t="shared" si="53"/>
        <v>13311</v>
      </c>
    </row>
    <row r="1095" spans="1:22" ht="14.5" customHeight="1">
      <c r="A1095" s="176">
        <v>1078</v>
      </c>
      <c r="B1095" s="178" t="s">
        <v>2117</v>
      </c>
      <c r="C1095" s="271" t="s">
        <v>2120</v>
      </c>
      <c r="D1095" s="177">
        <v>46170</v>
      </c>
      <c r="E1095" s="178" t="s">
        <v>2118</v>
      </c>
      <c r="F1095" s="271" t="s">
        <v>2119</v>
      </c>
      <c r="G1095" s="178" t="s">
        <v>1229</v>
      </c>
      <c r="H1095" s="366">
        <v>22244460</v>
      </c>
      <c r="I1095" s="176">
        <v>8</v>
      </c>
      <c r="J1095" s="366">
        <v>1779557</v>
      </c>
      <c r="K1095" s="178" t="s">
        <v>2082</v>
      </c>
      <c r="L1095" s="178" t="s">
        <v>252</v>
      </c>
      <c r="M1095" s="271" t="s">
        <v>2083</v>
      </c>
      <c r="N1095" s="177">
        <v>46234</v>
      </c>
      <c r="O1095" s="177">
        <v>46234</v>
      </c>
      <c r="P1095" s="366">
        <v>24024017</v>
      </c>
      <c r="Q1095" s="176" t="s">
        <v>248</v>
      </c>
      <c r="R1095" s="176" t="s">
        <v>433</v>
      </c>
      <c r="S1095" s="178" t="s">
        <v>253</v>
      </c>
      <c r="T1095" s="57" t="str">
        <f t="shared" si="51"/>
        <v>Đ</v>
      </c>
      <c r="U1095" s="59">
        <f t="shared" si="52"/>
        <v>0</v>
      </c>
      <c r="V1095" s="55">
        <f t="shared" si="53"/>
        <v>13311</v>
      </c>
    </row>
    <row r="1096" spans="1:22" ht="14.5" customHeight="1">
      <c r="A1096" s="176">
        <v>1079</v>
      </c>
      <c r="B1096" s="178" t="s">
        <v>2117</v>
      </c>
      <c r="C1096" s="271" t="s">
        <v>2121</v>
      </c>
      <c r="D1096" s="177">
        <v>46170</v>
      </c>
      <c r="E1096" s="178" t="s">
        <v>2118</v>
      </c>
      <c r="F1096" s="271" t="s">
        <v>2119</v>
      </c>
      <c r="G1096" s="178" t="s">
        <v>1229</v>
      </c>
      <c r="H1096" s="366">
        <v>26557870</v>
      </c>
      <c r="I1096" s="176">
        <v>8</v>
      </c>
      <c r="J1096" s="366">
        <v>2124630</v>
      </c>
      <c r="K1096" s="178" t="s">
        <v>2082</v>
      </c>
      <c r="L1096" s="178" t="s">
        <v>252</v>
      </c>
      <c r="M1096" s="271" t="s">
        <v>2083</v>
      </c>
      <c r="N1096" s="177">
        <v>46234</v>
      </c>
      <c r="O1096" s="177">
        <v>46234</v>
      </c>
      <c r="P1096" s="366">
        <v>28682500</v>
      </c>
      <c r="Q1096" s="176" t="s">
        <v>248</v>
      </c>
      <c r="R1096" s="176" t="s">
        <v>433</v>
      </c>
      <c r="S1096" s="178" t="s">
        <v>253</v>
      </c>
      <c r="T1096" s="57" t="str">
        <f t="shared" si="51"/>
        <v>Đ</v>
      </c>
      <c r="U1096" s="59">
        <f t="shared" si="52"/>
        <v>0</v>
      </c>
      <c r="V1096" s="55">
        <f t="shared" si="53"/>
        <v>13311</v>
      </c>
    </row>
    <row r="1097" spans="1:22" ht="21.5" customHeight="1">
      <c r="A1097" s="176">
        <v>1080</v>
      </c>
      <c r="B1097" s="178" t="s">
        <v>2101</v>
      </c>
      <c r="C1097" s="271" t="s">
        <v>2122</v>
      </c>
      <c r="D1097" s="177">
        <v>46170</v>
      </c>
      <c r="E1097" s="178" t="s">
        <v>2123</v>
      </c>
      <c r="F1097" s="271" t="s">
        <v>276</v>
      </c>
      <c r="G1097" s="178" t="s">
        <v>1229</v>
      </c>
      <c r="H1097" s="366">
        <v>50157501</v>
      </c>
      <c r="I1097" s="176">
        <v>8</v>
      </c>
      <c r="J1097" s="366">
        <v>4012600</v>
      </c>
      <c r="K1097" s="178" t="s">
        <v>2082</v>
      </c>
      <c r="L1097" s="178" t="s">
        <v>252</v>
      </c>
      <c r="M1097" s="271" t="s">
        <v>2083</v>
      </c>
      <c r="N1097" s="177">
        <v>46234</v>
      </c>
      <c r="O1097" s="177">
        <v>46234</v>
      </c>
      <c r="P1097" s="366">
        <v>54170101</v>
      </c>
      <c r="Q1097" s="176" t="s">
        <v>248</v>
      </c>
      <c r="R1097" s="176" t="s">
        <v>433</v>
      </c>
      <c r="S1097" s="178" t="s">
        <v>253</v>
      </c>
      <c r="T1097" s="57" t="str">
        <f t="shared" si="51"/>
        <v>Đ</v>
      </c>
      <c r="U1097" s="59">
        <f t="shared" si="52"/>
        <v>0</v>
      </c>
      <c r="V1097" s="55">
        <f t="shared" si="53"/>
        <v>13311</v>
      </c>
    </row>
    <row r="1098" spans="1:22" ht="14.5" customHeight="1">
      <c r="A1098" s="176">
        <v>1081</v>
      </c>
      <c r="B1098" s="178" t="s">
        <v>1267</v>
      </c>
      <c r="C1098" s="271" t="s">
        <v>2124</v>
      </c>
      <c r="D1098" s="177">
        <v>46203</v>
      </c>
      <c r="E1098" s="178" t="s">
        <v>2125</v>
      </c>
      <c r="F1098" s="271" t="s">
        <v>2126</v>
      </c>
      <c r="G1098" s="178" t="s">
        <v>2127</v>
      </c>
      <c r="H1098" s="366">
        <v>19111112</v>
      </c>
      <c r="I1098" s="176">
        <v>8</v>
      </c>
      <c r="J1098" s="366">
        <v>1528888</v>
      </c>
      <c r="K1098" s="178" t="s">
        <v>2082</v>
      </c>
      <c r="L1098" s="178" t="s">
        <v>252</v>
      </c>
      <c r="M1098" s="271" t="s">
        <v>2083</v>
      </c>
      <c r="N1098" s="177">
        <v>46234</v>
      </c>
      <c r="O1098" s="177">
        <v>46234</v>
      </c>
      <c r="P1098" s="366">
        <v>20640000</v>
      </c>
      <c r="Q1098" s="176" t="s">
        <v>248</v>
      </c>
      <c r="R1098" s="176" t="s">
        <v>433</v>
      </c>
      <c r="S1098" s="178" t="s">
        <v>253</v>
      </c>
      <c r="T1098" s="57" t="str">
        <f t="shared" si="51"/>
        <v>Đ</v>
      </c>
      <c r="U1098" s="59">
        <f t="shared" si="52"/>
        <v>1</v>
      </c>
      <c r="V1098" s="55">
        <f t="shared" si="53"/>
        <v>13311</v>
      </c>
    </row>
    <row r="1099" spans="1:22" ht="21.5" customHeight="1">
      <c r="A1099" s="176">
        <v>1082</v>
      </c>
      <c r="B1099" s="178" t="s">
        <v>2128</v>
      </c>
      <c r="C1099" s="271" t="s">
        <v>1226</v>
      </c>
      <c r="D1099" s="177">
        <v>46203</v>
      </c>
      <c r="E1099" s="178" t="s">
        <v>2129</v>
      </c>
      <c r="F1099" s="271" t="s">
        <v>2130</v>
      </c>
      <c r="G1099" s="178" t="s">
        <v>2131</v>
      </c>
      <c r="H1099" s="366">
        <v>248801000</v>
      </c>
      <c r="I1099" s="176">
        <v>8</v>
      </c>
      <c r="J1099" s="366">
        <v>19904080</v>
      </c>
      <c r="K1099" s="178" t="s">
        <v>2082</v>
      </c>
      <c r="L1099" s="178" t="s">
        <v>252</v>
      </c>
      <c r="M1099" s="271" t="s">
        <v>2083</v>
      </c>
      <c r="N1099" s="177">
        <v>46234</v>
      </c>
      <c r="O1099" s="177">
        <v>46234</v>
      </c>
      <c r="P1099" s="366">
        <v>268705080</v>
      </c>
      <c r="Q1099" s="176" t="s">
        <v>248</v>
      </c>
      <c r="R1099" s="176" t="s">
        <v>433</v>
      </c>
      <c r="S1099" s="178" t="s">
        <v>253</v>
      </c>
      <c r="T1099" s="57" t="str">
        <f t="shared" si="51"/>
        <v>Đ</v>
      </c>
      <c r="U1099" s="59">
        <f t="shared" si="52"/>
        <v>0</v>
      </c>
      <c r="V1099" s="55">
        <f t="shared" si="53"/>
        <v>13311</v>
      </c>
    </row>
    <row r="1100" spans="1:22" ht="14.5" customHeight="1">
      <c r="A1100" s="176">
        <v>1083</v>
      </c>
      <c r="B1100" s="178" t="s">
        <v>1738</v>
      </c>
      <c r="C1100" s="271" t="s">
        <v>274</v>
      </c>
      <c r="D1100" s="177">
        <v>46203</v>
      </c>
      <c r="E1100" s="178" t="s">
        <v>2132</v>
      </c>
      <c r="F1100" s="271" t="s">
        <v>2133</v>
      </c>
      <c r="G1100" s="178" t="s">
        <v>2134</v>
      </c>
      <c r="H1100" s="366">
        <v>128000000</v>
      </c>
      <c r="I1100" s="176">
        <v>8</v>
      </c>
      <c r="J1100" s="366">
        <v>10240000</v>
      </c>
      <c r="K1100" s="178" t="s">
        <v>2082</v>
      </c>
      <c r="L1100" s="178" t="s">
        <v>252</v>
      </c>
      <c r="M1100" s="271" t="s">
        <v>2083</v>
      </c>
      <c r="N1100" s="177">
        <v>46234</v>
      </c>
      <c r="O1100" s="177">
        <v>46234</v>
      </c>
      <c r="P1100" s="366">
        <v>138240000</v>
      </c>
      <c r="Q1100" s="176" t="s">
        <v>248</v>
      </c>
      <c r="R1100" s="176" t="s">
        <v>433</v>
      </c>
      <c r="S1100" s="178" t="s">
        <v>253</v>
      </c>
      <c r="T1100" s="57" t="str">
        <f t="shared" si="51"/>
        <v>Đ</v>
      </c>
      <c r="U1100" s="59">
        <f t="shared" si="52"/>
        <v>0</v>
      </c>
      <c r="V1100" s="55">
        <f t="shared" si="53"/>
        <v>13311</v>
      </c>
    </row>
    <row r="1101" spans="1:22" ht="21.5" customHeight="1">
      <c r="A1101" s="176">
        <v>1084</v>
      </c>
      <c r="B1101" s="178" t="s">
        <v>1206</v>
      </c>
      <c r="C1101" s="271" t="s">
        <v>2135</v>
      </c>
      <c r="D1101" s="177">
        <v>46209</v>
      </c>
      <c r="E1101" s="178" t="s">
        <v>2136</v>
      </c>
      <c r="F1101" s="271" t="s">
        <v>1209</v>
      </c>
      <c r="G1101" s="178" t="s">
        <v>2137</v>
      </c>
      <c r="H1101" s="366">
        <v>1261138604621</v>
      </c>
      <c r="I1101" s="176">
        <v>8</v>
      </c>
      <c r="J1101" s="366">
        <v>100891088370</v>
      </c>
      <c r="K1101" s="178" t="s">
        <v>261</v>
      </c>
      <c r="L1101" s="178" t="s">
        <v>252</v>
      </c>
      <c r="M1101" s="271" t="s">
        <v>2138</v>
      </c>
      <c r="N1101" s="177">
        <v>46234</v>
      </c>
      <c r="O1101" s="177">
        <v>46234</v>
      </c>
      <c r="P1101" s="366">
        <v>1362029692991</v>
      </c>
      <c r="Q1101" s="176" t="s">
        <v>248</v>
      </c>
      <c r="R1101" s="176" t="s">
        <v>354</v>
      </c>
      <c r="S1101" s="178" t="s">
        <v>253</v>
      </c>
      <c r="T1101" s="57" t="str">
        <f t="shared" si="51"/>
        <v>Đ</v>
      </c>
      <c r="U1101" s="59">
        <f t="shared" si="52"/>
        <v>0</v>
      </c>
      <c r="V1101" s="55">
        <f t="shared" si="53"/>
        <v>13311</v>
      </c>
    </row>
    <row r="1102" spans="1:22" ht="21.5" customHeight="1">
      <c r="A1102" s="176">
        <v>1085</v>
      </c>
      <c r="B1102" s="178" t="s">
        <v>2139</v>
      </c>
      <c r="C1102" s="271" t="s">
        <v>2140</v>
      </c>
      <c r="D1102" s="177">
        <v>46204</v>
      </c>
      <c r="E1102" s="178" t="s">
        <v>2141</v>
      </c>
      <c r="F1102" s="271" t="s">
        <v>2142</v>
      </c>
      <c r="G1102" s="178" t="s">
        <v>2143</v>
      </c>
      <c r="H1102" s="366">
        <v>1104167</v>
      </c>
      <c r="I1102" s="176">
        <v>8</v>
      </c>
      <c r="J1102" s="366">
        <v>88333</v>
      </c>
      <c r="K1102" s="178" t="s">
        <v>2144</v>
      </c>
      <c r="L1102" s="178" t="s">
        <v>2145</v>
      </c>
      <c r="M1102" s="271" t="s">
        <v>2146</v>
      </c>
      <c r="N1102" s="177">
        <v>46217</v>
      </c>
      <c r="O1102" s="177">
        <v>46217</v>
      </c>
      <c r="P1102" s="366">
        <v>1192500</v>
      </c>
      <c r="Q1102" s="176" t="s">
        <v>248</v>
      </c>
      <c r="R1102" s="176" t="s">
        <v>434</v>
      </c>
      <c r="S1102" s="178" t="s">
        <v>2147</v>
      </c>
      <c r="T1102" s="57" t="str">
        <f t="shared" ref="T1102:T1143" si="54">IF(OR(LEN(F1102)=11,LEN(F1102)=15),"Đ","SAI")</f>
        <v>Đ</v>
      </c>
      <c r="U1102" s="59">
        <f t="shared" ref="U1102:U1143" si="55">ROUND(H1102*I1102%,0)-J1102</f>
        <v>0</v>
      </c>
      <c r="V1102" s="55">
        <f t="shared" ref="V1102:V1143" si="56">IF(Q1102=$V$12,13313,13311)</f>
        <v>13311</v>
      </c>
    </row>
    <row r="1103" spans="1:22" ht="14.5" customHeight="1">
      <c r="A1103" s="176">
        <v>1086</v>
      </c>
      <c r="B1103" s="178" t="s">
        <v>1858</v>
      </c>
      <c r="C1103" s="271" t="s">
        <v>2148</v>
      </c>
      <c r="D1103" s="177">
        <v>46158</v>
      </c>
      <c r="E1103" s="178" t="s">
        <v>2149</v>
      </c>
      <c r="F1103" s="271" t="s">
        <v>1861</v>
      </c>
      <c r="G1103" s="178" t="s">
        <v>1794</v>
      </c>
      <c r="H1103" s="366">
        <v>3901000</v>
      </c>
      <c r="I1103" s="176">
        <v>8</v>
      </c>
      <c r="J1103" s="366">
        <v>312080</v>
      </c>
      <c r="K1103" s="178" t="s">
        <v>2144</v>
      </c>
      <c r="L1103" s="178" t="s">
        <v>2145</v>
      </c>
      <c r="M1103" s="271" t="s">
        <v>2150</v>
      </c>
      <c r="N1103" s="177">
        <v>46218</v>
      </c>
      <c r="O1103" s="177">
        <v>46218</v>
      </c>
      <c r="P1103" s="366">
        <v>4213080</v>
      </c>
      <c r="Q1103" s="176" t="s">
        <v>248</v>
      </c>
      <c r="R1103" s="176" t="s">
        <v>434</v>
      </c>
      <c r="S1103" s="178" t="s">
        <v>2147</v>
      </c>
      <c r="T1103" s="57" t="str">
        <f t="shared" si="54"/>
        <v>Đ</v>
      </c>
      <c r="U1103" s="59">
        <f t="shared" si="55"/>
        <v>0</v>
      </c>
      <c r="V1103" s="55">
        <f t="shared" si="56"/>
        <v>13311</v>
      </c>
    </row>
    <row r="1104" spans="1:22" ht="21.5" customHeight="1">
      <c r="A1104" s="176">
        <v>1087</v>
      </c>
      <c r="B1104" s="178" t="s">
        <v>2151</v>
      </c>
      <c r="C1104" s="271" t="s">
        <v>2152</v>
      </c>
      <c r="D1104" s="177">
        <v>46226</v>
      </c>
      <c r="E1104" s="178" t="s">
        <v>2153</v>
      </c>
      <c r="F1104" s="271" t="s">
        <v>2154</v>
      </c>
      <c r="G1104" s="178" t="s">
        <v>2155</v>
      </c>
      <c r="H1104" s="366">
        <v>15000</v>
      </c>
      <c r="I1104" s="176">
        <v>10</v>
      </c>
      <c r="J1104" s="366">
        <v>1500</v>
      </c>
      <c r="K1104" s="178" t="s">
        <v>261</v>
      </c>
      <c r="L1104" s="178" t="s">
        <v>2145</v>
      </c>
      <c r="M1104" s="271" t="s">
        <v>2156</v>
      </c>
      <c r="N1104" s="177">
        <v>46226</v>
      </c>
      <c r="O1104" s="177">
        <v>46226</v>
      </c>
      <c r="P1104" s="366">
        <v>16500</v>
      </c>
      <c r="Q1104" s="176" t="s">
        <v>248</v>
      </c>
      <c r="R1104" s="176" t="s">
        <v>434</v>
      </c>
      <c r="S1104" s="178" t="s">
        <v>2147</v>
      </c>
      <c r="T1104" s="57" t="str">
        <f t="shared" si="54"/>
        <v>Đ</v>
      </c>
      <c r="U1104" s="59">
        <f t="shared" si="55"/>
        <v>0</v>
      </c>
      <c r="V1104" s="55">
        <f t="shared" si="56"/>
        <v>13311</v>
      </c>
    </row>
    <row r="1105" spans="1:22" ht="21.5" customHeight="1">
      <c r="A1105" s="176">
        <v>1088</v>
      </c>
      <c r="B1105" s="178" t="s">
        <v>2151</v>
      </c>
      <c r="C1105" s="271" t="s">
        <v>2157</v>
      </c>
      <c r="D1105" s="177">
        <v>46227</v>
      </c>
      <c r="E1105" s="178" t="s">
        <v>2153</v>
      </c>
      <c r="F1105" s="271" t="s">
        <v>2154</v>
      </c>
      <c r="G1105" s="178" t="s">
        <v>2158</v>
      </c>
      <c r="H1105" s="366">
        <v>1360000</v>
      </c>
      <c r="I1105" s="176">
        <v>10</v>
      </c>
      <c r="J1105" s="366">
        <v>136000</v>
      </c>
      <c r="K1105" s="178" t="s">
        <v>261</v>
      </c>
      <c r="L1105" s="178" t="s">
        <v>2145</v>
      </c>
      <c r="M1105" s="271" t="s">
        <v>2159</v>
      </c>
      <c r="N1105" s="177">
        <v>46227</v>
      </c>
      <c r="O1105" s="177">
        <v>46227</v>
      </c>
      <c r="P1105" s="366">
        <v>1496000</v>
      </c>
      <c r="Q1105" s="176" t="s">
        <v>248</v>
      </c>
      <c r="R1105" s="176" t="s">
        <v>434</v>
      </c>
      <c r="S1105" s="178" t="s">
        <v>2147</v>
      </c>
      <c r="T1105" s="57" t="str">
        <f t="shared" si="54"/>
        <v>Đ</v>
      </c>
      <c r="U1105" s="59">
        <f t="shared" si="55"/>
        <v>0</v>
      </c>
      <c r="V1105" s="55">
        <f t="shared" si="56"/>
        <v>13311</v>
      </c>
    </row>
    <row r="1106" spans="1:22" ht="21.5" customHeight="1">
      <c r="A1106" s="176">
        <v>1089</v>
      </c>
      <c r="B1106" s="178" t="s">
        <v>2151</v>
      </c>
      <c r="C1106" s="271" t="s">
        <v>2152</v>
      </c>
      <c r="D1106" s="177">
        <v>46226</v>
      </c>
      <c r="E1106" s="178" t="s">
        <v>2160</v>
      </c>
      <c r="F1106" s="271" t="s">
        <v>2154</v>
      </c>
      <c r="G1106" s="178" t="s">
        <v>2161</v>
      </c>
      <c r="H1106" s="366">
        <v>15000</v>
      </c>
      <c r="I1106" s="176">
        <v>10</v>
      </c>
      <c r="J1106" s="366">
        <v>1500</v>
      </c>
      <c r="K1106" s="178" t="s">
        <v>261</v>
      </c>
      <c r="L1106" s="178" t="s">
        <v>2145</v>
      </c>
      <c r="M1106" s="271" t="s">
        <v>2162</v>
      </c>
      <c r="N1106" s="177">
        <v>46226</v>
      </c>
      <c r="O1106" s="177">
        <v>46226</v>
      </c>
      <c r="P1106" s="366">
        <v>16500</v>
      </c>
      <c r="Q1106" s="176" t="s">
        <v>248</v>
      </c>
      <c r="R1106" s="176" t="s">
        <v>178</v>
      </c>
      <c r="S1106" s="178" t="s">
        <v>2147</v>
      </c>
      <c r="T1106" s="57" t="str">
        <f t="shared" si="54"/>
        <v>Đ</v>
      </c>
      <c r="U1106" s="59">
        <f t="shared" si="55"/>
        <v>0</v>
      </c>
      <c r="V1106" s="55">
        <f t="shared" si="56"/>
        <v>13311</v>
      </c>
    </row>
    <row r="1107" spans="1:22" ht="14.5" customHeight="1">
      <c r="A1107" s="176">
        <v>1090</v>
      </c>
      <c r="B1107" s="178" t="s">
        <v>1570</v>
      </c>
      <c r="C1107" s="271" t="s">
        <v>2163</v>
      </c>
      <c r="D1107" s="177">
        <v>46218</v>
      </c>
      <c r="E1107" s="178" t="s">
        <v>2164</v>
      </c>
      <c r="F1107" s="271" t="s">
        <v>2165</v>
      </c>
      <c r="G1107" s="178" t="s">
        <v>2166</v>
      </c>
      <c r="H1107" s="366">
        <v>36400000</v>
      </c>
      <c r="I1107" s="176">
        <v>8</v>
      </c>
      <c r="J1107" s="366">
        <v>2912000</v>
      </c>
      <c r="K1107" s="178" t="s">
        <v>261</v>
      </c>
      <c r="L1107" s="178" t="s">
        <v>2145</v>
      </c>
      <c r="M1107" s="271" t="s">
        <v>2167</v>
      </c>
      <c r="N1107" s="177">
        <v>46227</v>
      </c>
      <c r="O1107" s="177">
        <v>46227</v>
      </c>
      <c r="P1107" s="366">
        <v>39312000</v>
      </c>
      <c r="Q1107" s="176" t="s">
        <v>248</v>
      </c>
      <c r="R1107" s="176" t="s">
        <v>433</v>
      </c>
      <c r="S1107" s="178" t="s">
        <v>2147</v>
      </c>
      <c r="T1107" s="57" t="str">
        <f t="shared" si="54"/>
        <v>Đ</v>
      </c>
      <c r="U1107" s="59">
        <f t="shared" si="55"/>
        <v>0</v>
      </c>
      <c r="V1107" s="55">
        <f t="shared" si="56"/>
        <v>13311</v>
      </c>
    </row>
    <row r="1108" spans="1:22" ht="14.5" customHeight="1">
      <c r="A1108" s="176">
        <v>1091</v>
      </c>
      <c r="B1108" s="178" t="s">
        <v>2168</v>
      </c>
      <c r="C1108" s="271" t="s">
        <v>2169</v>
      </c>
      <c r="D1108" s="177">
        <v>46231</v>
      </c>
      <c r="E1108" s="178" t="s">
        <v>2170</v>
      </c>
      <c r="F1108" s="271" t="s">
        <v>2171</v>
      </c>
      <c r="G1108" s="178" t="s">
        <v>2172</v>
      </c>
      <c r="H1108" s="366">
        <v>200000</v>
      </c>
      <c r="I1108" s="176">
        <v>10</v>
      </c>
      <c r="J1108" s="366">
        <v>20000</v>
      </c>
      <c r="K1108" s="178" t="s">
        <v>261</v>
      </c>
      <c r="L1108" s="178" t="s">
        <v>2145</v>
      </c>
      <c r="M1108" s="271" t="s">
        <v>2173</v>
      </c>
      <c r="N1108" s="177">
        <v>46231</v>
      </c>
      <c r="O1108" s="177">
        <v>46231</v>
      </c>
      <c r="P1108" s="366">
        <v>220000</v>
      </c>
      <c r="Q1108" s="176" t="s">
        <v>248</v>
      </c>
      <c r="R1108" s="176" t="s">
        <v>433</v>
      </c>
      <c r="S1108" s="178" t="s">
        <v>2147</v>
      </c>
      <c r="T1108" s="57" t="str">
        <f t="shared" si="54"/>
        <v>Đ</v>
      </c>
      <c r="U1108" s="59">
        <f t="shared" si="55"/>
        <v>0</v>
      </c>
      <c r="V1108" s="55">
        <f t="shared" si="56"/>
        <v>13311</v>
      </c>
    </row>
    <row r="1109" spans="1:22" ht="14.5" customHeight="1">
      <c r="A1109" s="176">
        <v>1092</v>
      </c>
      <c r="B1109" s="178">
        <v>200895</v>
      </c>
      <c r="C1109" s="271" t="s">
        <v>2174</v>
      </c>
      <c r="D1109" s="177">
        <v>46231</v>
      </c>
      <c r="E1109" s="178" t="s">
        <v>2175</v>
      </c>
      <c r="F1109" s="271" t="s">
        <v>2171</v>
      </c>
      <c r="G1109" s="178" t="s">
        <v>2176</v>
      </c>
      <c r="H1109" s="366">
        <v>50000</v>
      </c>
      <c r="I1109" s="176">
        <v>10</v>
      </c>
      <c r="J1109" s="366">
        <v>5000</v>
      </c>
      <c r="K1109" s="178" t="s">
        <v>261</v>
      </c>
      <c r="L1109" s="178" t="s">
        <v>2145</v>
      </c>
      <c r="M1109" s="271" t="s">
        <v>2177</v>
      </c>
      <c r="N1109" s="177">
        <v>46231</v>
      </c>
      <c r="O1109" s="177">
        <v>46231</v>
      </c>
      <c r="P1109" s="366">
        <v>55000</v>
      </c>
      <c r="Q1109" s="176" t="s">
        <v>248</v>
      </c>
      <c r="R1109" s="176" t="s">
        <v>185</v>
      </c>
      <c r="S1109" s="178" t="s">
        <v>2147</v>
      </c>
      <c r="T1109" s="57" t="str">
        <f t="shared" si="54"/>
        <v>Đ</v>
      </c>
      <c r="U1109" s="59">
        <f t="shared" si="55"/>
        <v>0</v>
      </c>
      <c r="V1109" s="55">
        <f t="shared" si="56"/>
        <v>13311</v>
      </c>
    </row>
    <row r="1110" spans="1:22" ht="14.5" customHeight="1">
      <c r="A1110" s="176">
        <v>1093</v>
      </c>
      <c r="B1110" s="178" t="s">
        <v>2168</v>
      </c>
      <c r="C1110" s="271" t="s">
        <v>2178</v>
      </c>
      <c r="D1110" s="177">
        <v>46231</v>
      </c>
      <c r="E1110" s="178" t="s">
        <v>2170</v>
      </c>
      <c r="F1110" s="271" t="s">
        <v>2171</v>
      </c>
      <c r="G1110" s="178" t="s">
        <v>2172</v>
      </c>
      <c r="H1110" s="366">
        <v>50000</v>
      </c>
      <c r="I1110" s="176">
        <v>10</v>
      </c>
      <c r="J1110" s="366">
        <v>5000</v>
      </c>
      <c r="K1110" s="178" t="s">
        <v>261</v>
      </c>
      <c r="L1110" s="178" t="s">
        <v>2145</v>
      </c>
      <c r="M1110" s="271" t="s">
        <v>2179</v>
      </c>
      <c r="N1110" s="177">
        <v>46231</v>
      </c>
      <c r="O1110" s="177">
        <v>46231</v>
      </c>
      <c r="P1110" s="366">
        <v>55000</v>
      </c>
      <c r="Q1110" s="176" t="s">
        <v>248</v>
      </c>
      <c r="R1110" s="176" t="s">
        <v>433</v>
      </c>
      <c r="S1110" s="178" t="s">
        <v>2147</v>
      </c>
      <c r="T1110" s="57" t="str">
        <f t="shared" si="54"/>
        <v>Đ</v>
      </c>
      <c r="U1110" s="59">
        <f t="shared" si="55"/>
        <v>0</v>
      </c>
      <c r="V1110" s="55">
        <f t="shared" si="56"/>
        <v>13311</v>
      </c>
    </row>
    <row r="1111" spans="1:22" ht="14.5" customHeight="1">
      <c r="A1111" s="176">
        <v>1094</v>
      </c>
      <c r="B1111" s="178" t="s">
        <v>2180</v>
      </c>
      <c r="C1111" s="271" t="s">
        <v>2181</v>
      </c>
      <c r="D1111" s="177">
        <v>46231</v>
      </c>
      <c r="E1111" s="178" t="s">
        <v>2175</v>
      </c>
      <c r="F1111" s="271" t="s">
        <v>2171</v>
      </c>
      <c r="G1111" s="178" t="s">
        <v>2182</v>
      </c>
      <c r="H1111" s="366">
        <v>50000</v>
      </c>
      <c r="I1111" s="176">
        <v>10</v>
      </c>
      <c r="J1111" s="366">
        <v>5000</v>
      </c>
      <c r="K1111" s="178" t="s">
        <v>261</v>
      </c>
      <c r="L1111" s="178" t="s">
        <v>2145</v>
      </c>
      <c r="M1111" s="271" t="s">
        <v>2183</v>
      </c>
      <c r="N1111" s="177">
        <v>46231</v>
      </c>
      <c r="O1111" s="177">
        <v>46231</v>
      </c>
      <c r="P1111" s="366">
        <v>55000</v>
      </c>
      <c r="Q1111" s="176" t="s">
        <v>248</v>
      </c>
      <c r="R1111" s="176" t="s">
        <v>185</v>
      </c>
      <c r="S1111" s="178" t="s">
        <v>2147</v>
      </c>
      <c r="T1111" s="57" t="str">
        <f t="shared" si="54"/>
        <v>Đ</v>
      </c>
      <c r="U1111" s="59">
        <f t="shared" si="55"/>
        <v>0</v>
      </c>
      <c r="V1111" s="55">
        <f t="shared" si="56"/>
        <v>13311</v>
      </c>
    </row>
    <row r="1112" spans="1:22" ht="21.5" customHeight="1">
      <c r="A1112" s="176">
        <v>1095</v>
      </c>
      <c r="B1112" s="178" t="s">
        <v>1206</v>
      </c>
      <c r="C1112" s="271" t="s">
        <v>2184</v>
      </c>
      <c r="D1112" s="177">
        <v>46210</v>
      </c>
      <c r="E1112" s="178" t="s">
        <v>1238</v>
      </c>
      <c r="F1112" s="271" t="s">
        <v>1220</v>
      </c>
      <c r="G1112" s="178" t="s">
        <v>1239</v>
      </c>
      <c r="H1112" s="366">
        <v>700000</v>
      </c>
      <c r="I1112" s="176">
        <v>10</v>
      </c>
      <c r="J1112" s="366">
        <v>70000</v>
      </c>
      <c r="K1112" s="178" t="s">
        <v>261</v>
      </c>
      <c r="L1112" s="178" t="s">
        <v>2145</v>
      </c>
      <c r="M1112" s="271" t="s">
        <v>2185</v>
      </c>
      <c r="N1112" s="177">
        <v>46210</v>
      </c>
      <c r="O1112" s="177">
        <v>46210</v>
      </c>
      <c r="P1112" s="366">
        <v>770000</v>
      </c>
      <c r="Q1112" s="176" t="s">
        <v>248</v>
      </c>
      <c r="R1112" s="176" t="s">
        <v>178</v>
      </c>
      <c r="S1112" s="178" t="s">
        <v>2147</v>
      </c>
      <c r="T1112" s="57" t="str">
        <f t="shared" si="54"/>
        <v>Đ</v>
      </c>
      <c r="U1112" s="59">
        <f t="shared" si="55"/>
        <v>0</v>
      </c>
      <c r="V1112" s="55">
        <f t="shared" si="56"/>
        <v>13311</v>
      </c>
    </row>
    <row r="1113" spans="1:22" ht="21.5" customHeight="1">
      <c r="A1113" s="176">
        <v>1096</v>
      </c>
      <c r="B1113" s="178" t="s">
        <v>1206</v>
      </c>
      <c r="C1113" s="271" t="s">
        <v>2186</v>
      </c>
      <c r="D1113" s="177">
        <v>46216</v>
      </c>
      <c r="E1113" s="178" t="s">
        <v>1238</v>
      </c>
      <c r="F1113" s="271" t="s">
        <v>1220</v>
      </c>
      <c r="G1113" s="178" t="s">
        <v>2161</v>
      </c>
      <c r="H1113" s="366">
        <v>50000</v>
      </c>
      <c r="I1113" s="176">
        <v>10</v>
      </c>
      <c r="J1113" s="366">
        <v>5000</v>
      </c>
      <c r="K1113" s="178" t="s">
        <v>261</v>
      </c>
      <c r="L1113" s="178" t="s">
        <v>2145</v>
      </c>
      <c r="M1113" s="271" t="s">
        <v>2187</v>
      </c>
      <c r="N1113" s="177">
        <v>46216</v>
      </c>
      <c r="O1113" s="177">
        <v>46216</v>
      </c>
      <c r="P1113" s="366">
        <v>55000</v>
      </c>
      <c r="Q1113" s="176" t="s">
        <v>248</v>
      </c>
      <c r="R1113" s="176" t="s">
        <v>178</v>
      </c>
      <c r="S1113" s="178" t="s">
        <v>2147</v>
      </c>
      <c r="T1113" s="57" t="str">
        <f t="shared" si="54"/>
        <v>Đ</v>
      </c>
      <c r="U1113" s="59">
        <f t="shared" si="55"/>
        <v>0</v>
      </c>
      <c r="V1113" s="55">
        <f t="shared" si="56"/>
        <v>13311</v>
      </c>
    </row>
    <row r="1114" spans="1:22" ht="21.5" customHeight="1">
      <c r="A1114" s="176">
        <v>1097</v>
      </c>
      <c r="B1114" s="178" t="s">
        <v>1206</v>
      </c>
      <c r="C1114" s="271" t="s">
        <v>2188</v>
      </c>
      <c r="D1114" s="177">
        <v>46219</v>
      </c>
      <c r="E1114" s="178" t="s">
        <v>1238</v>
      </c>
      <c r="F1114" s="271" t="s">
        <v>1220</v>
      </c>
      <c r="G1114" s="178" t="s">
        <v>1239</v>
      </c>
      <c r="H1114" s="366">
        <v>700000</v>
      </c>
      <c r="I1114" s="176">
        <v>10</v>
      </c>
      <c r="J1114" s="366">
        <v>70000</v>
      </c>
      <c r="K1114" s="178" t="s">
        <v>261</v>
      </c>
      <c r="L1114" s="178" t="s">
        <v>2145</v>
      </c>
      <c r="M1114" s="271" t="s">
        <v>2189</v>
      </c>
      <c r="N1114" s="177">
        <v>46219</v>
      </c>
      <c r="O1114" s="177">
        <v>46219</v>
      </c>
      <c r="P1114" s="366">
        <v>770000</v>
      </c>
      <c r="Q1114" s="176" t="s">
        <v>248</v>
      </c>
      <c r="R1114" s="176" t="s">
        <v>178</v>
      </c>
      <c r="S1114" s="178" t="s">
        <v>2147</v>
      </c>
      <c r="T1114" s="57" t="str">
        <f t="shared" si="54"/>
        <v>Đ</v>
      </c>
      <c r="U1114" s="59">
        <f t="shared" si="55"/>
        <v>0</v>
      </c>
      <c r="V1114" s="55">
        <f t="shared" si="56"/>
        <v>13311</v>
      </c>
    </row>
    <row r="1115" spans="1:22" ht="21.5" customHeight="1">
      <c r="A1115" s="176">
        <v>1098</v>
      </c>
      <c r="B1115" s="178" t="s">
        <v>1206</v>
      </c>
      <c r="C1115" s="271" t="s">
        <v>2190</v>
      </c>
      <c r="D1115" s="177">
        <v>46223</v>
      </c>
      <c r="E1115" s="178" t="s">
        <v>1238</v>
      </c>
      <c r="F1115" s="271" t="s">
        <v>1220</v>
      </c>
      <c r="G1115" s="178" t="s">
        <v>2191</v>
      </c>
      <c r="H1115" s="366">
        <v>20000</v>
      </c>
      <c r="I1115" s="176">
        <v>10</v>
      </c>
      <c r="J1115" s="366">
        <v>2000</v>
      </c>
      <c r="K1115" s="178" t="s">
        <v>261</v>
      </c>
      <c r="L1115" s="178" t="s">
        <v>2145</v>
      </c>
      <c r="M1115" s="271" t="s">
        <v>2192</v>
      </c>
      <c r="N1115" s="177">
        <v>46223</v>
      </c>
      <c r="O1115" s="177">
        <v>46223</v>
      </c>
      <c r="P1115" s="366">
        <v>22000</v>
      </c>
      <c r="Q1115" s="176" t="s">
        <v>248</v>
      </c>
      <c r="R1115" s="176" t="s">
        <v>178</v>
      </c>
      <c r="S1115" s="178" t="s">
        <v>2147</v>
      </c>
      <c r="T1115" s="57" t="str">
        <f t="shared" si="54"/>
        <v>Đ</v>
      </c>
      <c r="U1115" s="59">
        <f t="shared" si="55"/>
        <v>0</v>
      </c>
      <c r="V1115" s="55">
        <f t="shared" si="56"/>
        <v>13311</v>
      </c>
    </row>
    <row r="1116" spans="1:22" ht="21.5" customHeight="1">
      <c r="A1116" s="176">
        <v>1099</v>
      </c>
      <c r="B1116" s="178" t="s">
        <v>1206</v>
      </c>
      <c r="C1116" s="271" t="s">
        <v>2193</v>
      </c>
      <c r="D1116" s="177">
        <v>46227</v>
      </c>
      <c r="E1116" s="178" t="s">
        <v>1238</v>
      </c>
      <c r="F1116" s="271" t="s">
        <v>1220</v>
      </c>
      <c r="G1116" s="178" t="s">
        <v>2194</v>
      </c>
      <c r="H1116" s="366">
        <v>750000</v>
      </c>
      <c r="I1116" s="176">
        <v>10</v>
      </c>
      <c r="J1116" s="366">
        <v>75000</v>
      </c>
      <c r="K1116" s="178" t="s">
        <v>261</v>
      </c>
      <c r="L1116" s="178" t="s">
        <v>2145</v>
      </c>
      <c r="M1116" s="271" t="s">
        <v>2195</v>
      </c>
      <c r="N1116" s="177">
        <v>46227</v>
      </c>
      <c r="O1116" s="177">
        <v>46227</v>
      </c>
      <c r="P1116" s="366">
        <v>825000</v>
      </c>
      <c r="Q1116" s="176" t="s">
        <v>248</v>
      </c>
      <c r="R1116" s="176" t="s">
        <v>178</v>
      </c>
      <c r="S1116" s="178" t="s">
        <v>2147</v>
      </c>
      <c r="T1116" s="57" t="str">
        <f t="shared" si="54"/>
        <v>Đ</v>
      </c>
      <c r="U1116" s="59">
        <f t="shared" si="55"/>
        <v>0</v>
      </c>
      <c r="V1116" s="55">
        <f t="shared" si="56"/>
        <v>13311</v>
      </c>
    </row>
    <row r="1117" spans="1:22" ht="21.5" customHeight="1">
      <c r="A1117" s="176">
        <v>1100</v>
      </c>
      <c r="B1117" s="178" t="s">
        <v>1206</v>
      </c>
      <c r="C1117" s="271" t="s">
        <v>2196</v>
      </c>
      <c r="D1117" s="177">
        <v>46230</v>
      </c>
      <c r="E1117" s="178" t="s">
        <v>1238</v>
      </c>
      <c r="F1117" s="271" t="s">
        <v>1220</v>
      </c>
      <c r="G1117" s="178" t="s">
        <v>1239</v>
      </c>
      <c r="H1117" s="366">
        <v>225134</v>
      </c>
      <c r="I1117" s="176">
        <v>10</v>
      </c>
      <c r="J1117" s="366">
        <v>22513</v>
      </c>
      <c r="K1117" s="178" t="s">
        <v>261</v>
      </c>
      <c r="L1117" s="178" t="s">
        <v>2145</v>
      </c>
      <c r="M1117" s="271" t="s">
        <v>2197</v>
      </c>
      <c r="N1117" s="177">
        <v>46230</v>
      </c>
      <c r="O1117" s="177">
        <v>46230</v>
      </c>
      <c r="P1117" s="366">
        <v>247647</v>
      </c>
      <c r="Q1117" s="176" t="s">
        <v>248</v>
      </c>
      <c r="R1117" s="176" t="s">
        <v>178</v>
      </c>
      <c r="S1117" s="178" t="s">
        <v>2147</v>
      </c>
      <c r="T1117" s="57" t="str">
        <f t="shared" si="54"/>
        <v>Đ</v>
      </c>
      <c r="U1117" s="59">
        <f t="shared" si="55"/>
        <v>0</v>
      </c>
      <c r="V1117" s="55">
        <f t="shared" si="56"/>
        <v>13311</v>
      </c>
    </row>
    <row r="1118" spans="1:22">
      <c r="A1118" s="175" t="s">
        <v>117</v>
      </c>
      <c r="B1118" s="162"/>
      <c r="C1118" s="162"/>
      <c r="D1118" s="162"/>
      <c r="E1118" s="162"/>
      <c r="F1118" s="162"/>
      <c r="G1118" s="162"/>
      <c r="H1118" s="366">
        <v>1295895825163</v>
      </c>
      <c r="I1118" s="162"/>
      <c r="J1118" s="366">
        <v>103673307829</v>
      </c>
      <c r="K1118" s="162"/>
      <c r="L1118" s="162"/>
      <c r="M1118" s="162"/>
      <c r="N1118" s="162"/>
      <c r="O1118" s="162"/>
      <c r="P1118" s="366">
        <v>1399569132992</v>
      </c>
      <c r="Q1118" s="162"/>
      <c r="R1118" s="162"/>
      <c r="S1118" s="162"/>
      <c r="T1118" t="str">
        <f t="shared" si="54"/>
        <v>SAI</v>
      </c>
      <c r="U1118">
        <f t="shared" si="55"/>
        <v>-103673307829</v>
      </c>
      <c r="V1118">
        <f t="shared" si="56"/>
        <v>13311</v>
      </c>
    </row>
    <row r="1119" spans="1:22" ht="14.5" customHeight="1">
      <c r="A1119" s="279" t="s">
        <v>2198</v>
      </c>
      <c r="B1119" s="356"/>
      <c r="C1119" s="356"/>
      <c r="D1119" s="356"/>
      <c r="E1119" s="356"/>
      <c r="F1119" s="356"/>
      <c r="G1119" s="356"/>
      <c r="I1119" s="356"/>
      <c r="K1119" s="356"/>
      <c r="L1119" s="356"/>
      <c r="M1119" s="356"/>
      <c r="N1119" s="356"/>
      <c r="O1119" s="356"/>
      <c r="Q1119" s="356"/>
      <c r="R1119" s="356"/>
      <c r="S1119" s="357"/>
      <c r="T1119" t="str">
        <f t="shared" si="54"/>
        <v>SAI</v>
      </c>
      <c r="U1119">
        <f t="shared" si="55"/>
        <v>0</v>
      </c>
      <c r="V1119">
        <f t="shared" si="56"/>
        <v>13311</v>
      </c>
    </row>
    <row r="1120" spans="1:22">
      <c r="A1120" s="176">
        <v>1</v>
      </c>
      <c r="B1120" s="162"/>
      <c r="C1120" s="271" t="s">
        <v>243</v>
      </c>
      <c r="D1120" s="162"/>
      <c r="E1120" s="162"/>
      <c r="F1120" s="271" t="s">
        <v>243</v>
      </c>
      <c r="G1120" s="162"/>
      <c r="H1120" s="366">
        <v>0</v>
      </c>
      <c r="I1120" s="162"/>
      <c r="K1120" s="162"/>
      <c r="L1120" s="162"/>
      <c r="M1120" s="271" t="s">
        <v>243</v>
      </c>
      <c r="N1120" s="162"/>
      <c r="O1120" s="162"/>
      <c r="Q1120" s="162"/>
      <c r="R1120" s="162"/>
      <c r="S1120" s="162"/>
      <c r="T1120" t="str">
        <f t="shared" si="54"/>
        <v>SAI</v>
      </c>
      <c r="U1120">
        <f t="shared" si="55"/>
        <v>0</v>
      </c>
      <c r="V1120">
        <f t="shared" si="56"/>
        <v>13311</v>
      </c>
    </row>
    <row r="1121" spans="1:22">
      <c r="A1121" s="175" t="s">
        <v>117</v>
      </c>
      <c r="B1121" s="162"/>
      <c r="C1121" s="162"/>
      <c r="D1121" s="162"/>
      <c r="E1121" s="162"/>
      <c r="F1121" s="162"/>
      <c r="G1121" s="162"/>
      <c r="H1121" s="366">
        <v>0</v>
      </c>
      <c r="I1121" s="162"/>
      <c r="K1121" s="162"/>
      <c r="L1121" s="162"/>
      <c r="M1121" s="162"/>
      <c r="N1121" s="162"/>
      <c r="O1121" s="162"/>
      <c r="Q1121" s="162"/>
      <c r="R1121" s="162"/>
      <c r="S1121" s="162"/>
      <c r="T1121" t="str">
        <f t="shared" si="54"/>
        <v>SAI</v>
      </c>
      <c r="U1121">
        <f t="shared" si="55"/>
        <v>0</v>
      </c>
      <c r="V1121">
        <f t="shared" si="56"/>
        <v>13311</v>
      </c>
    </row>
    <row r="1122" spans="1:22" ht="14.5" customHeight="1">
      <c r="A1122" s="279" t="s">
        <v>2199</v>
      </c>
      <c r="B1122" s="356"/>
      <c r="C1122" s="356"/>
      <c r="D1122" s="356"/>
      <c r="E1122" s="356"/>
      <c r="F1122" s="356"/>
      <c r="G1122" s="356"/>
      <c r="I1122" s="356"/>
      <c r="K1122" s="356"/>
      <c r="L1122" s="356"/>
      <c r="M1122" s="356"/>
      <c r="N1122" s="356"/>
      <c r="O1122" s="356"/>
      <c r="Q1122" s="356"/>
      <c r="R1122" s="356"/>
      <c r="S1122" s="357"/>
      <c r="T1122" t="str">
        <f t="shared" si="54"/>
        <v>SAI</v>
      </c>
      <c r="U1122">
        <f t="shared" si="55"/>
        <v>0</v>
      </c>
      <c r="V1122">
        <f t="shared" si="56"/>
        <v>13311</v>
      </c>
    </row>
    <row r="1123" spans="1:22">
      <c r="A1123" s="176">
        <v>1</v>
      </c>
      <c r="B1123" s="162"/>
      <c r="C1123" s="271" t="s">
        <v>243</v>
      </c>
      <c r="D1123" s="162"/>
      <c r="E1123" s="162"/>
      <c r="F1123" s="271" t="s">
        <v>243</v>
      </c>
      <c r="G1123" s="162"/>
      <c r="H1123" s="366">
        <v>0</v>
      </c>
      <c r="I1123" s="162"/>
      <c r="K1123" s="162"/>
      <c r="L1123" s="162"/>
      <c r="M1123" s="271" t="s">
        <v>243</v>
      </c>
      <c r="N1123" s="162"/>
      <c r="O1123" s="162"/>
      <c r="Q1123" s="162"/>
      <c r="R1123" s="162"/>
      <c r="S1123" s="162"/>
      <c r="T1123" t="str">
        <f t="shared" si="54"/>
        <v>SAI</v>
      </c>
      <c r="U1123">
        <f t="shared" si="55"/>
        <v>0</v>
      </c>
      <c r="V1123">
        <f t="shared" si="56"/>
        <v>13311</v>
      </c>
    </row>
    <row r="1124" spans="1:22">
      <c r="A1124" s="175" t="s">
        <v>117</v>
      </c>
      <c r="B1124" s="162"/>
      <c r="C1124" s="162"/>
      <c r="D1124" s="162"/>
      <c r="E1124" s="162"/>
      <c r="F1124" s="162"/>
      <c r="G1124" s="162"/>
      <c r="H1124" s="366">
        <v>0</v>
      </c>
      <c r="I1124" s="162"/>
      <c r="K1124" s="162"/>
      <c r="L1124" s="162"/>
      <c r="M1124" s="162"/>
      <c r="N1124" s="162"/>
      <c r="O1124" s="162"/>
      <c r="Q1124" s="162"/>
      <c r="R1124" s="162"/>
      <c r="S1124" s="162"/>
      <c r="T1124" t="str">
        <f t="shared" si="54"/>
        <v>SAI</v>
      </c>
      <c r="U1124">
        <f t="shared" si="55"/>
        <v>0</v>
      </c>
      <c r="V1124">
        <f t="shared" si="56"/>
        <v>13311</v>
      </c>
    </row>
    <row r="1125" spans="1:22" ht="14.5" customHeight="1">
      <c r="A1125" s="279" t="s">
        <v>2200</v>
      </c>
      <c r="B1125" s="356"/>
      <c r="C1125" s="356"/>
      <c r="D1125" s="356"/>
      <c r="E1125" s="356"/>
      <c r="F1125" s="356"/>
      <c r="G1125" s="356"/>
      <c r="I1125" s="356"/>
      <c r="K1125" s="356"/>
      <c r="L1125" s="356"/>
      <c r="M1125" s="356"/>
      <c r="N1125" s="356"/>
      <c r="O1125" s="356"/>
      <c r="Q1125" s="356"/>
      <c r="R1125" s="356"/>
      <c r="S1125" s="357"/>
      <c r="T1125" t="str">
        <f t="shared" si="54"/>
        <v>SAI</v>
      </c>
      <c r="U1125">
        <f t="shared" si="55"/>
        <v>0</v>
      </c>
      <c r="V1125">
        <f t="shared" si="56"/>
        <v>13311</v>
      </c>
    </row>
    <row r="1126" spans="1:22">
      <c r="A1126" s="176">
        <v>1</v>
      </c>
      <c r="B1126" s="162"/>
      <c r="C1126" s="271" t="s">
        <v>243</v>
      </c>
      <c r="D1126" s="162"/>
      <c r="E1126" s="162"/>
      <c r="F1126" s="271" t="s">
        <v>243</v>
      </c>
      <c r="G1126" s="162"/>
      <c r="H1126" s="366">
        <v>0</v>
      </c>
      <c r="I1126" s="162"/>
      <c r="K1126" s="162"/>
      <c r="L1126" s="162"/>
      <c r="M1126" s="271" t="s">
        <v>243</v>
      </c>
      <c r="N1126" s="162"/>
      <c r="O1126" s="162"/>
      <c r="Q1126" s="162"/>
      <c r="R1126" s="162"/>
      <c r="S1126" s="162"/>
      <c r="T1126" t="str">
        <f t="shared" si="54"/>
        <v>SAI</v>
      </c>
      <c r="U1126">
        <f t="shared" si="55"/>
        <v>0</v>
      </c>
      <c r="V1126">
        <f t="shared" si="56"/>
        <v>13311</v>
      </c>
    </row>
    <row r="1127" spans="1:22">
      <c r="A1127" s="175" t="s">
        <v>117</v>
      </c>
      <c r="B1127" s="162"/>
      <c r="C1127" s="162"/>
      <c r="D1127" s="162"/>
      <c r="E1127" s="162"/>
      <c r="F1127" s="162"/>
      <c r="G1127" s="162"/>
      <c r="H1127" s="366">
        <v>0</v>
      </c>
      <c r="I1127" s="162"/>
      <c r="K1127" s="162"/>
      <c r="L1127" s="162"/>
      <c r="M1127" s="162"/>
      <c r="N1127" s="162"/>
      <c r="O1127" s="162"/>
      <c r="Q1127" s="162"/>
      <c r="R1127" s="162"/>
      <c r="S1127" s="162"/>
      <c r="T1127" t="str">
        <f t="shared" si="54"/>
        <v>SAI</v>
      </c>
      <c r="U1127">
        <f t="shared" si="55"/>
        <v>0</v>
      </c>
      <c r="V1127">
        <f t="shared" si="56"/>
        <v>13311</v>
      </c>
    </row>
    <row r="1128" spans="1:22" ht="14.5" customHeight="1">
      <c r="A1128" s="279" t="s">
        <v>2201</v>
      </c>
      <c r="B1128" s="356"/>
      <c r="C1128" s="356"/>
      <c r="D1128" s="356"/>
      <c r="E1128" s="356"/>
      <c r="F1128" s="356"/>
      <c r="G1128" s="356"/>
      <c r="I1128" s="356"/>
      <c r="K1128" s="356"/>
      <c r="L1128" s="356"/>
      <c r="M1128" s="356"/>
      <c r="N1128" s="356"/>
      <c r="O1128" s="356"/>
      <c r="Q1128" s="356"/>
      <c r="R1128" s="356"/>
      <c r="S1128" s="357"/>
      <c r="T1128" t="str">
        <f t="shared" si="54"/>
        <v>SAI</v>
      </c>
      <c r="U1128">
        <f t="shared" si="55"/>
        <v>0</v>
      </c>
      <c r="V1128">
        <f t="shared" si="56"/>
        <v>13311</v>
      </c>
    </row>
    <row r="1129" spans="1:22">
      <c r="A1129" s="176">
        <v>1</v>
      </c>
      <c r="B1129" s="162"/>
      <c r="C1129" s="271" t="s">
        <v>243</v>
      </c>
      <c r="D1129" s="162"/>
      <c r="E1129" s="162"/>
      <c r="F1129" s="271" t="s">
        <v>243</v>
      </c>
      <c r="G1129" s="162"/>
      <c r="H1129" s="366">
        <v>0</v>
      </c>
      <c r="I1129" s="162"/>
      <c r="K1129" s="162"/>
      <c r="L1129" s="162"/>
      <c r="M1129" s="271" t="s">
        <v>243</v>
      </c>
      <c r="N1129" s="162"/>
      <c r="O1129" s="162"/>
      <c r="Q1129" s="162"/>
      <c r="R1129" s="162"/>
      <c r="S1129" s="162"/>
      <c r="T1129" t="str">
        <f t="shared" si="54"/>
        <v>SAI</v>
      </c>
      <c r="U1129">
        <f t="shared" si="55"/>
        <v>0</v>
      </c>
      <c r="V1129">
        <f t="shared" si="56"/>
        <v>13311</v>
      </c>
    </row>
    <row r="1130" spans="1:22">
      <c r="A1130" s="175" t="s">
        <v>117</v>
      </c>
      <c r="B1130" s="162"/>
      <c r="C1130" s="162"/>
      <c r="D1130" s="162"/>
      <c r="E1130" s="162"/>
      <c r="F1130" s="162"/>
      <c r="G1130" s="162"/>
      <c r="H1130" s="366">
        <v>0</v>
      </c>
      <c r="I1130" s="162"/>
      <c r="K1130" s="162"/>
      <c r="L1130" s="162"/>
      <c r="M1130" s="162"/>
      <c r="N1130" s="162"/>
      <c r="O1130" s="162"/>
      <c r="Q1130" s="162"/>
      <c r="R1130" s="162"/>
      <c r="S1130" s="162"/>
      <c r="T1130" t="str">
        <f t="shared" si="54"/>
        <v>SAI</v>
      </c>
      <c r="U1130">
        <f t="shared" si="55"/>
        <v>0</v>
      </c>
      <c r="V1130">
        <f t="shared" si="56"/>
        <v>13311</v>
      </c>
    </row>
    <row r="1131" spans="1:22" ht="14.5" customHeight="1">
      <c r="A1131" s="279" t="s">
        <v>2202</v>
      </c>
      <c r="B1131" s="356"/>
      <c r="C1131" s="356"/>
      <c r="D1131" s="356"/>
      <c r="E1131" s="356"/>
      <c r="F1131" s="356"/>
      <c r="G1131" s="356"/>
      <c r="I1131" s="356"/>
      <c r="K1131" s="356"/>
      <c r="L1131" s="356"/>
      <c r="M1131" s="356"/>
      <c r="N1131" s="356"/>
      <c r="O1131" s="356"/>
      <c r="Q1131" s="356"/>
      <c r="R1131" s="356"/>
      <c r="S1131" s="357"/>
      <c r="T1131" t="str">
        <f t="shared" si="54"/>
        <v>SAI</v>
      </c>
      <c r="U1131">
        <f t="shared" si="55"/>
        <v>0</v>
      </c>
      <c r="V1131">
        <f t="shared" si="56"/>
        <v>13311</v>
      </c>
    </row>
    <row r="1132" spans="1:22">
      <c r="A1132" s="176">
        <v>1</v>
      </c>
      <c r="B1132" s="162"/>
      <c r="C1132" s="271" t="s">
        <v>243</v>
      </c>
      <c r="D1132" s="162"/>
      <c r="E1132" s="162"/>
      <c r="F1132" s="271" t="s">
        <v>243</v>
      </c>
      <c r="G1132" s="162"/>
      <c r="H1132" s="366">
        <v>0</v>
      </c>
      <c r="I1132" s="162"/>
      <c r="K1132" s="162"/>
      <c r="L1132" s="162"/>
      <c r="M1132" s="271" t="s">
        <v>243</v>
      </c>
      <c r="N1132" s="162"/>
      <c r="O1132" s="162"/>
      <c r="Q1132" s="162"/>
      <c r="R1132" s="162"/>
      <c r="S1132" s="162"/>
      <c r="T1132" t="str">
        <f t="shared" si="54"/>
        <v>SAI</v>
      </c>
      <c r="U1132">
        <f t="shared" si="55"/>
        <v>0</v>
      </c>
      <c r="V1132">
        <f t="shared" si="56"/>
        <v>13311</v>
      </c>
    </row>
    <row r="1133" spans="1:22">
      <c r="A1133" s="175" t="s">
        <v>117</v>
      </c>
      <c r="B1133" s="162"/>
      <c r="C1133" s="162"/>
      <c r="D1133" s="162"/>
      <c r="E1133" s="162"/>
      <c r="F1133" s="162"/>
      <c r="G1133" s="162"/>
      <c r="H1133" s="366">
        <v>0</v>
      </c>
      <c r="I1133" s="162"/>
      <c r="K1133" s="162"/>
      <c r="L1133" s="162"/>
      <c r="M1133" s="162"/>
      <c r="N1133" s="162"/>
      <c r="O1133" s="162"/>
      <c r="Q1133" s="162"/>
      <c r="R1133" s="162"/>
      <c r="S1133" s="162"/>
      <c r="T1133" t="str">
        <f t="shared" si="54"/>
        <v>SAI</v>
      </c>
      <c r="U1133">
        <f t="shared" si="55"/>
        <v>0</v>
      </c>
      <c r="V1133">
        <f t="shared" si="56"/>
        <v>13311</v>
      </c>
    </row>
    <row r="1134" spans="1:22">
      <c r="A1134" s="175" t="s">
        <v>117</v>
      </c>
      <c r="B1134" s="162"/>
      <c r="C1134" s="162"/>
      <c r="D1134" s="162"/>
      <c r="E1134" s="162"/>
      <c r="F1134" s="162"/>
      <c r="G1134" s="162"/>
      <c r="H1134" s="366">
        <v>1295895825163</v>
      </c>
      <c r="I1134" s="162"/>
      <c r="J1134" s="366">
        <v>103673307829</v>
      </c>
      <c r="K1134" s="162"/>
      <c r="L1134" s="162"/>
      <c r="M1134" s="162"/>
      <c r="N1134" s="162"/>
      <c r="O1134" s="162"/>
      <c r="Q1134" s="162"/>
      <c r="R1134" s="162"/>
      <c r="S1134" s="162"/>
      <c r="T1134" t="str">
        <f t="shared" si="54"/>
        <v>SAI</v>
      </c>
      <c r="U1134">
        <f t="shared" si="55"/>
        <v>-103673307829</v>
      </c>
      <c r="V1134">
        <f t="shared" si="56"/>
        <v>13311</v>
      </c>
    </row>
    <row r="1135" spans="1:22">
      <c r="T1135" t="str">
        <f t="shared" si="54"/>
        <v>SAI</v>
      </c>
      <c r="U1135">
        <f t="shared" si="55"/>
        <v>0</v>
      </c>
      <c r="V1135">
        <f t="shared" si="56"/>
        <v>13311</v>
      </c>
    </row>
    <row r="1136" spans="1:22">
      <c r="T1136" t="str">
        <f t="shared" si="54"/>
        <v>SAI</v>
      </c>
      <c r="U1136">
        <f t="shared" si="55"/>
        <v>0</v>
      </c>
      <c r="V1136">
        <f t="shared" si="56"/>
        <v>13311</v>
      </c>
    </row>
    <row r="1137" spans="1:22">
      <c r="T1137" t="str">
        <f t="shared" si="54"/>
        <v>SAI</v>
      </c>
      <c r="U1137">
        <f t="shared" si="55"/>
        <v>0</v>
      </c>
      <c r="V1137">
        <f t="shared" si="56"/>
        <v>13311</v>
      </c>
    </row>
    <row r="1138" spans="1:22">
      <c r="A1138" s="159"/>
      <c r="B1138" s="159"/>
      <c r="C1138" s="159"/>
      <c r="D1138" s="159"/>
      <c r="E1138" s="159"/>
      <c r="F1138" s="159"/>
      <c r="G1138" s="159"/>
      <c r="I1138" s="159"/>
      <c r="K1138" s="159"/>
      <c r="L1138" s="159"/>
      <c r="M1138" s="159"/>
      <c r="N1138" s="159"/>
      <c r="O1138" s="159"/>
      <c r="Q1138" s="159"/>
      <c r="R1138" s="159"/>
      <c r="S1138" s="159"/>
      <c r="T1138" t="str">
        <f t="shared" si="54"/>
        <v>SAI</v>
      </c>
      <c r="U1138">
        <f t="shared" si="55"/>
        <v>0</v>
      </c>
      <c r="V1138">
        <f t="shared" si="56"/>
        <v>13311</v>
      </c>
    </row>
    <row r="1139" spans="1:22" ht="15.5" customHeight="1">
      <c r="A1139" s="277" t="s">
        <v>2203</v>
      </c>
      <c r="B1139" s="358"/>
      <c r="C1139" s="358"/>
      <c r="D1139" s="358"/>
      <c r="E1139" s="358"/>
      <c r="F1139" s="358"/>
      <c r="G1139" s="159"/>
      <c r="I1139" s="159"/>
      <c r="K1139" s="361" t="s">
        <v>312</v>
      </c>
      <c r="L1139" s="358"/>
      <c r="M1139" s="358"/>
      <c r="N1139" s="358"/>
      <c r="O1139" s="358"/>
      <c r="Q1139" s="159"/>
      <c r="R1139" s="159"/>
      <c r="S1139" s="159"/>
      <c r="T1139" t="str">
        <f t="shared" si="54"/>
        <v>SAI</v>
      </c>
      <c r="U1139">
        <f t="shared" si="55"/>
        <v>0</v>
      </c>
      <c r="V1139">
        <f t="shared" si="56"/>
        <v>13311</v>
      </c>
    </row>
    <row r="1140" spans="1:22" ht="15.5" customHeight="1">
      <c r="A1140" s="277" t="s">
        <v>2204</v>
      </c>
      <c r="B1140" s="358"/>
      <c r="C1140" s="358"/>
      <c r="D1140" s="358"/>
      <c r="E1140" s="358"/>
      <c r="F1140" s="358"/>
      <c r="G1140" s="159"/>
      <c r="I1140" s="159"/>
      <c r="K1140" s="362" t="s">
        <v>313</v>
      </c>
      <c r="L1140" s="358"/>
      <c r="M1140" s="358"/>
      <c r="N1140" s="358"/>
      <c r="O1140" s="358"/>
      <c r="Q1140" s="159"/>
      <c r="R1140" s="159"/>
      <c r="S1140" s="159"/>
      <c r="T1140" t="str">
        <f t="shared" si="54"/>
        <v>SAI</v>
      </c>
      <c r="U1140">
        <f t="shared" si="55"/>
        <v>0</v>
      </c>
      <c r="V1140">
        <f t="shared" si="56"/>
        <v>13311</v>
      </c>
    </row>
    <row r="1141" spans="1:22" ht="15.5" customHeight="1">
      <c r="A1141" s="159"/>
      <c r="B1141" s="159"/>
      <c r="C1141" s="159"/>
      <c r="D1141" s="159"/>
      <c r="E1141" s="159"/>
      <c r="F1141" s="159"/>
      <c r="G1141" s="159"/>
      <c r="I1141" s="159"/>
      <c r="K1141" s="362" t="s">
        <v>314</v>
      </c>
      <c r="L1141" s="358"/>
      <c r="M1141" s="358"/>
      <c r="N1141" s="358"/>
      <c r="O1141" s="358"/>
      <c r="Q1141" s="159"/>
      <c r="R1141" s="159"/>
      <c r="S1141" s="159"/>
      <c r="T1141" t="str">
        <f t="shared" si="54"/>
        <v>SAI</v>
      </c>
      <c r="U1141">
        <f t="shared" si="55"/>
        <v>0</v>
      </c>
      <c r="V1141">
        <f t="shared" si="56"/>
        <v>13311</v>
      </c>
    </row>
    <row r="1142" spans="1:22" ht="15.5" customHeight="1">
      <c r="A1142" s="159"/>
      <c r="B1142" s="159"/>
      <c r="C1142" s="159"/>
      <c r="D1142" s="159"/>
      <c r="E1142" s="159"/>
      <c r="F1142" s="159"/>
      <c r="G1142" s="159"/>
      <c r="I1142" s="159"/>
      <c r="K1142" s="361" t="s">
        <v>315</v>
      </c>
      <c r="L1142" s="358"/>
      <c r="M1142" s="358"/>
      <c r="N1142" s="358"/>
      <c r="O1142" s="358"/>
      <c r="Q1142" s="159"/>
      <c r="R1142" s="159"/>
      <c r="S1142" s="159"/>
      <c r="T1142" t="str">
        <f t="shared" si="54"/>
        <v>SAI</v>
      </c>
      <c r="U1142">
        <f t="shared" si="55"/>
        <v>0</v>
      </c>
      <c r="V1142">
        <f t="shared" si="56"/>
        <v>13311</v>
      </c>
    </row>
    <row r="1143" spans="1:22">
      <c r="A1143" s="159"/>
      <c r="B1143" s="159"/>
      <c r="C1143" s="159"/>
      <c r="D1143" s="159"/>
      <c r="E1143" s="159"/>
      <c r="F1143" s="159"/>
      <c r="G1143" s="159"/>
      <c r="I1143" s="159"/>
      <c r="K1143" s="159"/>
      <c r="L1143" s="159"/>
      <c r="M1143" s="159"/>
      <c r="N1143" s="159"/>
      <c r="O1143" s="159"/>
      <c r="Q1143" s="159"/>
      <c r="R1143" s="159"/>
      <c r="S1143" s="159"/>
      <c r="T1143" t="str">
        <f t="shared" si="54"/>
        <v>SAI</v>
      </c>
      <c r="U1143">
        <f t="shared" si="55"/>
        <v>0</v>
      </c>
      <c r="V1143">
        <f t="shared" si="56"/>
        <v>13311</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L1128"/>
  <sheetViews>
    <sheetView showGridLines="0" zoomScale="90" zoomScaleNormal="90" workbookViewId="0">
      <pane xSplit="3" ySplit="15" topLeftCell="D1108" activePane="bottomRight" state="frozen"/>
      <selection activeCell="S16" sqref="S16"/>
      <selection pane="topRight" activeCell="S16" sqref="S16"/>
      <selection pane="bottomLeft" activeCell="S16" sqref="S16"/>
      <selection pane="bottomRight" activeCell="K5" sqref="K5"/>
    </sheetView>
  </sheetViews>
  <sheetFormatPr defaultColWidth="9" defaultRowHeight="15.5"/>
  <cols>
    <col min="1" max="1" width="32" bestFit="1" customWidth="1"/>
    <col min="2" max="2" width="11.25" bestFit="1" customWidth="1"/>
    <col min="3" max="3" width="11.33203125" bestFit="1" customWidth="1"/>
    <col min="4" max="4" width="32" bestFit="1" customWidth="1"/>
    <col min="5" max="6" width="13.83203125" style="1" bestFit="1" customWidth="1"/>
    <col min="7" max="7" width="16.25" bestFit="1" customWidth="1"/>
    <col min="8" max="8" width="8.75" bestFit="1" customWidth="1"/>
    <col min="9" max="9" width="15.9140625" style="2" customWidth="1"/>
    <col min="10" max="10" width="6.5" style="42" bestFit="1" customWidth="1"/>
    <col min="11" max="11" width="25.9140625" style="35" bestFit="1" customWidth="1"/>
    <col min="12" max="12" width="17.58203125" style="15" bestFit="1" customWidth="1"/>
    <col min="13" max="13" width="14.08203125" style="35" bestFit="1" customWidth="1"/>
    <col min="14" max="14" width="9" style="35" customWidth="1"/>
    <col min="15" max="16384" width="9" style="35"/>
  </cols>
  <sheetData>
    <row r="1" spans="1:12" ht="26.5" customHeight="1">
      <c r="A1" s="156" t="s">
        <v>101</v>
      </c>
      <c r="I1" s="144"/>
      <c r="K1" s="43" t="s">
        <v>2205</v>
      </c>
    </row>
    <row r="2" spans="1:12" ht="52.5" customHeight="1">
      <c r="A2" s="156" t="s">
        <v>316</v>
      </c>
      <c r="I2" s="143"/>
      <c r="K2" s="35" t="s">
        <v>2206</v>
      </c>
      <c r="L2" s="15">
        <f>SUMIF($J:$J,$K2,$I:$I)</f>
        <v>102967637809</v>
      </c>
    </row>
    <row r="3" spans="1:12" ht="41.4" customHeight="1">
      <c r="A3" s="157" t="s">
        <v>317</v>
      </c>
      <c r="K3" s="35" t="s">
        <v>2207</v>
      </c>
      <c r="L3" s="15">
        <f>SUMIF($J:$J,$K3,$I:$I)</f>
        <v>706159140</v>
      </c>
    </row>
    <row r="4" spans="1:12" ht="39.5" customHeight="1">
      <c r="A4" s="158" t="s">
        <v>2208</v>
      </c>
      <c r="I4" s="153"/>
      <c r="K4" s="276" t="s">
        <v>2209</v>
      </c>
      <c r="L4" s="42">
        <f>SUM(L2:L3)</f>
        <v>103673796949</v>
      </c>
    </row>
    <row r="5" spans="1:12">
      <c r="A5" s="158" t="s">
        <v>319</v>
      </c>
    </row>
    <row r="6" spans="1:12">
      <c r="A6" s="158" t="s">
        <v>320</v>
      </c>
    </row>
    <row r="7" spans="1:12">
      <c r="A7" s="159"/>
    </row>
    <row r="9" spans="1:12" ht="14.4" customHeight="1">
      <c r="A9" s="326" t="s">
        <v>321</v>
      </c>
      <c r="B9" s="305"/>
      <c r="C9" s="306"/>
      <c r="D9" s="326" t="s">
        <v>322</v>
      </c>
      <c r="E9" s="328" t="s">
        <v>323</v>
      </c>
      <c r="F9" s="328" t="s">
        <v>324</v>
      </c>
      <c r="G9" s="326" t="s">
        <v>325</v>
      </c>
      <c r="H9" s="326" t="s">
        <v>238</v>
      </c>
    </row>
    <row r="10" spans="1:12" ht="14.5" customHeight="1">
      <c r="A10" s="160" t="s">
        <v>326</v>
      </c>
      <c r="B10" s="160" t="s">
        <v>232</v>
      </c>
      <c r="C10" s="160" t="s">
        <v>231</v>
      </c>
      <c r="D10" s="307"/>
      <c r="E10" s="307"/>
      <c r="F10" s="307"/>
      <c r="G10" s="307"/>
      <c r="H10" s="307"/>
    </row>
    <row r="11" spans="1:12">
      <c r="A11" s="327" t="s">
        <v>2210</v>
      </c>
      <c r="B11" s="305"/>
      <c r="C11" s="306"/>
      <c r="D11" s="161" t="s">
        <v>328</v>
      </c>
      <c r="E11" s="274">
        <v>71670916167</v>
      </c>
      <c r="F11" s="272"/>
      <c r="G11" s="162"/>
      <c r="H11" s="162"/>
      <c r="I11">
        <f t="shared" ref="I11:I74" si="0">IF(LEN(A11)=5,E11,0)</f>
        <v>0</v>
      </c>
      <c r="J11" s="42" t="str">
        <f t="shared" ref="J11:J74" si="1">IF(LEFT(A11,11)="Tài khoản: ",MID(A11,12,5),J10)</f>
        <v>13311</v>
      </c>
    </row>
    <row r="12" spans="1:12" ht="24" customHeight="1">
      <c r="A12" s="30">
        <v>46210</v>
      </c>
      <c r="B12" s="31" t="s">
        <v>2185</v>
      </c>
      <c r="C12" s="32" t="s">
        <v>2145</v>
      </c>
      <c r="D12" s="19" t="s">
        <v>2211</v>
      </c>
      <c r="E12" s="275">
        <v>70000</v>
      </c>
      <c r="F12" s="272"/>
      <c r="G12" s="32" t="s">
        <v>178</v>
      </c>
      <c r="H12" s="32" t="s">
        <v>330</v>
      </c>
      <c r="I12" s="2">
        <f t="shared" si="0"/>
        <v>70000</v>
      </c>
      <c r="J12" s="42" t="str">
        <f t="shared" si="1"/>
        <v>13311</v>
      </c>
    </row>
    <row r="13" spans="1:12" ht="24" customHeight="1">
      <c r="A13" s="30">
        <v>46216</v>
      </c>
      <c r="B13" s="31" t="s">
        <v>2187</v>
      </c>
      <c r="C13" s="32" t="s">
        <v>2145</v>
      </c>
      <c r="D13" s="19" t="s">
        <v>2212</v>
      </c>
      <c r="E13" s="275">
        <v>5000</v>
      </c>
      <c r="F13" s="272"/>
      <c r="G13" s="32" t="s">
        <v>178</v>
      </c>
      <c r="H13" s="32" t="s">
        <v>330</v>
      </c>
      <c r="I13" s="2">
        <f t="shared" si="0"/>
        <v>5000</v>
      </c>
      <c r="J13" s="42" t="str">
        <f t="shared" si="1"/>
        <v>13311</v>
      </c>
    </row>
    <row r="14" spans="1:12" ht="24" customHeight="1">
      <c r="A14" s="30">
        <v>46217</v>
      </c>
      <c r="B14" s="31" t="s">
        <v>2146</v>
      </c>
      <c r="C14" s="32" t="s">
        <v>2145</v>
      </c>
      <c r="D14" s="19" t="s">
        <v>2213</v>
      </c>
      <c r="E14" s="275">
        <v>88333</v>
      </c>
      <c r="F14" s="272"/>
      <c r="G14" s="32" t="s">
        <v>434</v>
      </c>
      <c r="H14" s="32" t="s">
        <v>330</v>
      </c>
      <c r="I14" s="2">
        <f t="shared" si="0"/>
        <v>88333</v>
      </c>
      <c r="J14" s="42" t="str">
        <f t="shared" si="1"/>
        <v>13311</v>
      </c>
    </row>
    <row r="15" spans="1:12" ht="24" customHeight="1">
      <c r="A15" s="30">
        <v>46218</v>
      </c>
      <c r="B15" s="31" t="s">
        <v>2150</v>
      </c>
      <c r="C15" s="32" t="s">
        <v>2145</v>
      </c>
      <c r="D15" s="19" t="s">
        <v>2214</v>
      </c>
      <c r="E15" s="275">
        <v>312080</v>
      </c>
      <c r="F15" s="272"/>
      <c r="G15" s="32" t="s">
        <v>434</v>
      </c>
      <c r="H15" s="32" t="s">
        <v>330</v>
      </c>
      <c r="I15" s="2">
        <f t="shared" si="0"/>
        <v>312080</v>
      </c>
      <c r="J15" s="42" t="str">
        <f t="shared" si="1"/>
        <v>13311</v>
      </c>
    </row>
    <row r="16" spans="1:12" ht="24" customHeight="1">
      <c r="A16" s="30">
        <v>46219</v>
      </c>
      <c r="B16" s="31" t="s">
        <v>2189</v>
      </c>
      <c r="C16" s="32" t="s">
        <v>2145</v>
      </c>
      <c r="D16" s="19" t="s">
        <v>2215</v>
      </c>
      <c r="E16" s="275">
        <v>70000</v>
      </c>
      <c r="F16" s="272"/>
      <c r="G16" s="32" t="s">
        <v>178</v>
      </c>
      <c r="H16" s="32" t="s">
        <v>330</v>
      </c>
      <c r="I16" s="2">
        <f t="shared" si="0"/>
        <v>70000</v>
      </c>
      <c r="J16" s="42" t="str">
        <f t="shared" si="1"/>
        <v>13311</v>
      </c>
    </row>
    <row r="17" spans="1:10" ht="35.5" customHeight="1">
      <c r="A17" s="30">
        <v>46223</v>
      </c>
      <c r="B17" s="31" t="s">
        <v>2192</v>
      </c>
      <c r="C17" s="32" t="s">
        <v>2145</v>
      </c>
      <c r="D17" s="19" t="s">
        <v>2216</v>
      </c>
      <c r="E17" s="275">
        <v>2000</v>
      </c>
      <c r="F17" s="272"/>
      <c r="G17" s="32" t="s">
        <v>178</v>
      </c>
      <c r="H17" s="32" t="s">
        <v>330</v>
      </c>
      <c r="I17" s="2">
        <f t="shared" si="0"/>
        <v>2000</v>
      </c>
      <c r="J17" s="42" t="str">
        <f t="shared" si="1"/>
        <v>13311</v>
      </c>
    </row>
    <row r="18" spans="1:10">
      <c r="A18" s="30">
        <v>46225</v>
      </c>
      <c r="B18" s="31" t="s">
        <v>1302</v>
      </c>
      <c r="C18" s="32" t="s">
        <v>252</v>
      </c>
      <c r="D18" s="19" t="s">
        <v>2217</v>
      </c>
      <c r="E18" s="275">
        <v>21630980</v>
      </c>
      <c r="F18" s="272"/>
      <c r="G18" s="32" t="s">
        <v>434</v>
      </c>
      <c r="H18" s="32" t="s">
        <v>334</v>
      </c>
      <c r="I18" s="2">
        <f t="shared" si="0"/>
        <v>21630980</v>
      </c>
      <c r="J18" s="42" t="str">
        <f t="shared" si="1"/>
        <v>13311</v>
      </c>
    </row>
    <row r="19" spans="1:10">
      <c r="A19" s="30">
        <v>46225</v>
      </c>
      <c r="B19" s="31" t="s">
        <v>1302</v>
      </c>
      <c r="C19" s="32" t="s">
        <v>252</v>
      </c>
      <c r="D19" s="19" t="s">
        <v>2217</v>
      </c>
      <c r="E19" s="275">
        <v>17378880</v>
      </c>
      <c r="F19" s="272"/>
      <c r="G19" s="32" t="s">
        <v>434</v>
      </c>
      <c r="H19" s="32" t="s">
        <v>334</v>
      </c>
      <c r="I19" s="2">
        <f t="shared" si="0"/>
        <v>17378880</v>
      </c>
      <c r="J19" s="42" t="str">
        <f t="shared" si="1"/>
        <v>13311</v>
      </c>
    </row>
    <row r="20" spans="1:10">
      <c r="A20" s="30">
        <v>46225</v>
      </c>
      <c r="B20" s="31" t="s">
        <v>1302</v>
      </c>
      <c r="C20" s="32" t="s">
        <v>252</v>
      </c>
      <c r="D20" s="19" t="s">
        <v>2217</v>
      </c>
      <c r="E20" s="275">
        <v>6540993</v>
      </c>
      <c r="F20" s="272"/>
      <c r="G20" s="32" t="s">
        <v>434</v>
      </c>
      <c r="H20" s="32" t="s">
        <v>334</v>
      </c>
      <c r="I20" s="2">
        <f t="shared" si="0"/>
        <v>6540993</v>
      </c>
      <c r="J20" s="42" t="str">
        <f t="shared" si="1"/>
        <v>13311</v>
      </c>
    </row>
    <row r="21" spans="1:10">
      <c r="A21" s="30">
        <v>46225</v>
      </c>
      <c r="B21" s="31" t="s">
        <v>1302</v>
      </c>
      <c r="C21" s="32" t="s">
        <v>252</v>
      </c>
      <c r="D21" s="19" t="s">
        <v>2218</v>
      </c>
      <c r="E21" s="275">
        <v>2001434</v>
      </c>
      <c r="F21" s="272"/>
      <c r="G21" s="32" t="s">
        <v>434</v>
      </c>
      <c r="H21" s="32" t="s">
        <v>334</v>
      </c>
      <c r="I21" s="2">
        <f t="shared" si="0"/>
        <v>2001434</v>
      </c>
      <c r="J21" s="42" t="str">
        <f t="shared" si="1"/>
        <v>13311</v>
      </c>
    </row>
    <row r="22" spans="1:10">
      <c r="A22" s="30">
        <v>46225</v>
      </c>
      <c r="B22" s="31" t="s">
        <v>1302</v>
      </c>
      <c r="C22" s="32" t="s">
        <v>252</v>
      </c>
      <c r="D22" s="19" t="s">
        <v>2217</v>
      </c>
      <c r="E22" s="275">
        <v>578791</v>
      </c>
      <c r="F22" s="272"/>
      <c r="G22" s="32" t="s">
        <v>434</v>
      </c>
      <c r="H22" s="32" t="s">
        <v>334</v>
      </c>
      <c r="I22" s="2">
        <f t="shared" si="0"/>
        <v>578791</v>
      </c>
      <c r="J22" s="42" t="str">
        <f t="shared" si="1"/>
        <v>13311</v>
      </c>
    </row>
    <row r="23" spans="1:10">
      <c r="A23" s="30">
        <v>46225</v>
      </c>
      <c r="B23" s="31" t="s">
        <v>1302</v>
      </c>
      <c r="C23" s="32" t="s">
        <v>252</v>
      </c>
      <c r="D23" s="19" t="s">
        <v>2217</v>
      </c>
      <c r="E23" s="275">
        <v>295205</v>
      </c>
      <c r="F23" s="272"/>
      <c r="G23" s="32" t="s">
        <v>434</v>
      </c>
      <c r="H23" s="32" t="s">
        <v>334</v>
      </c>
      <c r="I23" s="2">
        <f t="shared" si="0"/>
        <v>295205</v>
      </c>
      <c r="J23" s="42" t="str">
        <f t="shared" si="1"/>
        <v>13311</v>
      </c>
    </row>
    <row r="24" spans="1:10">
      <c r="A24" s="30">
        <v>46225</v>
      </c>
      <c r="B24" s="31" t="s">
        <v>1302</v>
      </c>
      <c r="C24" s="32" t="s">
        <v>252</v>
      </c>
      <c r="D24" s="19" t="s">
        <v>2217</v>
      </c>
      <c r="E24" s="275">
        <v>269945</v>
      </c>
      <c r="F24" s="272"/>
      <c r="G24" s="32" t="s">
        <v>434</v>
      </c>
      <c r="H24" s="32" t="s">
        <v>334</v>
      </c>
      <c r="I24" s="2">
        <f t="shared" si="0"/>
        <v>269945</v>
      </c>
      <c r="J24" s="42" t="str">
        <f t="shared" si="1"/>
        <v>13311</v>
      </c>
    </row>
    <row r="25" spans="1:10">
      <c r="A25" s="30">
        <v>46225</v>
      </c>
      <c r="B25" s="31" t="s">
        <v>1302</v>
      </c>
      <c r="C25" s="32" t="s">
        <v>252</v>
      </c>
      <c r="D25" s="19" t="s">
        <v>2217</v>
      </c>
      <c r="E25" s="275">
        <v>240307</v>
      </c>
      <c r="F25" s="272"/>
      <c r="G25" s="32" t="s">
        <v>434</v>
      </c>
      <c r="H25" s="32" t="s">
        <v>334</v>
      </c>
      <c r="I25" s="2">
        <f t="shared" si="0"/>
        <v>240307</v>
      </c>
      <c r="J25" s="42" t="str">
        <f t="shared" si="1"/>
        <v>13311</v>
      </c>
    </row>
    <row r="26" spans="1:10">
      <c r="A26" s="30">
        <v>46225</v>
      </c>
      <c r="B26" s="31" t="s">
        <v>1302</v>
      </c>
      <c r="C26" s="32" t="s">
        <v>252</v>
      </c>
      <c r="D26" s="19" t="s">
        <v>2217</v>
      </c>
      <c r="E26" s="275">
        <v>1008716</v>
      </c>
      <c r="F26" s="272"/>
      <c r="G26" s="32" t="s">
        <v>434</v>
      </c>
      <c r="H26" s="32" t="s">
        <v>334</v>
      </c>
      <c r="I26" s="2">
        <f t="shared" si="0"/>
        <v>1008716</v>
      </c>
      <c r="J26" s="42" t="str">
        <f t="shared" si="1"/>
        <v>13311</v>
      </c>
    </row>
    <row r="27" spans="1:10">
      <c r="A27" s="30">
        <v>46225</v>
      </c>
      <c r="B27" s="31" t="s">
        <v>1302</v>
      </c>
      <c r="C27" s="32" t="s">
        <v>252</v>
      </c>
      <c r="D27" s="19" t="s">
        <v>2219</v>
      </c>
      <c r="E27" s="275">
        <v>6399</v>
      </c>
      <c r="F27" s="272"/>
      <c r="G27" s="32" t="s">
        <v>434</v>
      </c>
      <c r="H27" s="32" t="s">
        <v>334</v>
      </c>
      <c r="I27" s="2">
        <f t="shared" si="0"/>
        <v>6399</v>
      </c>
      <c r="J27" s="42" t="str">
        <f t="shared" si="1"/>
        <v>13311</v>
      </c>
    </row>
    <row r="28" spans="1:10" ht="28.75" customHeight="1">
      <c r="A28" s="30">
        <v>46225</v>
      </c>
      <c r="B28" s="31" t="s">
        <v>1302</v>
      </c>
      <c r="C28" s="32" t="s">
        <v>252</v>
      </c>
      <c r="D28" s="19" t="s">
        <v>2218</v>
      </c>
      <c r="E28" s="275">
        <v>9767</v>
      </c>
      <c r="F28" s="272"/>
      <c r="G28" s="32" t="s">
        <v>434</v>
      </c>
      <c r="H28" s="32" t="s">
        <v>334</v>
      </c>
      <c r="I28" s="2">
        <f t="shared" si="0"/>
        <v>9767</v>
      </c>
      <c r="J28" s="42" t="str">
        <f t="shared" si="1"/>
        <v>13311</v>
      </c>
    </row>
    <row r="29" spans="1:10">
      <c r="A29" s="30">
        <v>46225</v>
      </c>
      <c r="B29" s="31" t="s">
        <v>1302</v>
      </c>
      <c r="C29" s="32" t="s">
        <v>252</v>
      </c>
      <c r="D29" s="19" t="s">
        <v>2217</v>
      </c>
      <c r="E29" s="275">
        <v>11114</v>
      </c>
      <c r="F29" s="272"/>
      <c r="G29" s="32" t="s">
        <v>434</v>
      </c>
      <c r="H29" s="32" t="s">
        <v>334</v>
      </c>
      <c r="I29" s="2">
        <f t="shared" si="0"/>
        <v>11114</v>
      </c>
      <c r="J29" s="42" t="str">
        <f t="shared" si="1"/>
        <v>13311</v>
      </c>
    </row>
    <row r="30" spans="1:10">
      <c r="A30" s="30">
        <v>46225</v>
      </c>
      <c r="B30" s="31" t="s">
        <v>1302</v>
      </c>
      <c r="C30" s="32" t="s">
        <v>252</v>
      </c>
      <c r="D30" s="19" t="s">
        <v>2217</v>
      </c>
      <c r="E30" s="275">
        <v>106505</v>
      </c>
      <c r="F30" s="272"/>
      <c r="G30" s="32" t="s">
        <v>434</v>
      </c>
      <c r="H30" s="32" t="s">
        <v>334</v>
      </c>
      <c r="I30" s="2">
        <f t="shared" si="0"/>
        <v>106505</v>
      </c>
      <c r="J30" s="42" t="str">
        <f t="shared" si="1"/>
        <v>13311</v>
      </c>
    </row>
    <row r="31" spans="1:10">
      <c r="A31" s="30">
        <v>46225</v>
      </c>
      <c r="B31" s="31" t="s">
        <v>1302</v>
      </c>
      <c r="C31" s="32" t="s">
        <v>252</v>
      </c>
      <c r="D31" s="19" t="s">
        <v>2217</v>
      </c>
      <c r="E31" s="275">
        <v>152570</v>
      </c>
      <c r="F31" s="272"/>
      <c r="G31" s="32" t="s">
        <v>434</v>
      </c>
      <c r="H31" s="32" t="s">
        <v>334</v>
      </c>
      <c r="I31" s="2">
        <f t="shared" si="0"/>
        <v>152570</v>
      </c>
      <c r="J31" s="42" t="str">
        <f t="shared" si="1"/>
        <v>13311</v>
      </c>
    </row>
    <row r="32" spans="1:10">
      <c r="A32" s="30">
        <v>46225</v>
      </c>
      <c r="B32" s="31" t="s">
        <v>1302</v>
      </c>
      <c r="C32" s="32" t="s">
        <v>252</v>
      </c>
      <c r="D32" s="19" t="s">
        <v>2218</v>
      </c>
      <c r="E32" s="275">
        <v>20480571</v>
      </c>
      <c r="F32" s="272"/>
      <c r="G32" s="32" t="s">
        <v>434</v>
      </c>
      <c r="H32" s="32" t="s">
        <v>334</v>
      </c>
      <c r="I32" s="2">
        <f t="shared" si="0"/>
        <v>20480571</v>
      </c>
      <c r="J32" s="42" t="str">
        <f t="shared" si="1"/>
        <v>13311</v>
      </c>
    </row>
    <row r="33" spans="1:11">
      <c r="A33" s="30">
        <v>46225</v>
      </c>
      <c r="B33" s="31" t="s">
        <v>1302</v>
      </c>
      <c r="C33" s="32" t="s">
        <v>252</v>
      </c>
      <c r="D33" s="19" t="s">
        <v>2217</v>
      </c>
      <c r="E33" s="275">
        <v>18479887</v>
      </c>
      <c r="F33" s="272"/>
      <c r="G33" s="32" t="s">
        <v>434</v>
      </c>
      <c r="H33" s="32" t="s">
        <v>334</v>
      </c>
      <c r="I33" s="2">
        <f t="shared" si="0"/>
        <v>18479887</v>
      </c>
      <c r="J33" s="42" t="str">
        <f t="shared" si="1"/>
        <v>13311</v>
      </c>
    </row>
    <row r="34" spans="1:11">
      <c r="A34" s="30">
        <v>46225</v>
      </c>
      <c r="B34" s="31" t="s">
        <v>1302</v>
      </c>
      <c r="C34" s="32" t="s">
        <v>252</v>
      </c>
      <c r="D34" s="19" t="s">
        <v>2217</v>
      </c>
      <c r="E34" s="275">
        <v>1913361</v>
      </c>
      <c r="F34" s="272"/>
      <c r="G34" s="32" t="s">
        <v>434</v>
      </c>
      <c r="H34" s="32" t="s">
        <v>334</v>
      </c>
      <c r="I34" s="2">
        <f t="shared" si="0"/>
        <v>1913361</v>
      </c>
      <c r="J34" s="42" t="str">
        <f t="shared" si="1"/>
        <v>13311</v>
      </c>
    </row>
    <row r="35" spans="1:11">
      <c r="A35" s="30">
        <v>46225</v>
      </c>
      <c r="B35" s="31" t="s">
        <v>1302</v>
      </c>
      <c r="C35" s="32" t="s">
        <v>252</v>
      </c>
      <c r="D35" s="19" t="s">
        <v>2217</v>
      </c>
      <c r="E35" s="275">
        <v>19499036</v>
      </c>
      <c r="F35" s="272"/>
      <c r="G35" s="32" t="s">
        <v>434</v>
      </c>
      <c r="H35" s="32" t="s">
        <v>334</v>
      </c>
      <c r="I35" s="2">
        <f t="shared" si="0"/>
        <v>19499036</v>
      </c>
      <c r="J35" s="42" t="str">
        <f t="shared" si="1"/>
        <v>13311</v>
      </c>
    </row>
    <row r="36" spans="1:11">
      <c r="A36" s="30">
        <v>46225</v>
      </c>
      <c r="B36" s="31" t="s">
        <v>1302</v>
      </c>
      <c r="C36" s="32" t="s">
        <v>252</v>
      </c>
      <c r="D36" s="19" t="s">
        <v>2217</v>
      </c>
      <c r="E36" s="275">
        <v>4953149</v>
      </c>
      <c r="F36" s="272"/>
      <c r="G36" s="32" t="s">
        <v>434</v>
      </c>
      <c r="H36" s="32" t="s">
        <v>334</v>
      </c>
      <c r="I36" s="2">
        <f t="shared" si="0"/>
        <v>4953149</v>
      </c>
      <c r="J36" s="42" t="str">
        <f t="shared" si="1"/>
        <v>13311</v>
      </c>
    </row>
    <row r="37" spans="1:11">
      <c r="A37" s="30">
        <v>46225</v>
      </c>
      <c r="B37" s="31" t="s">
        <v>1302</v>
      </c>
      <c r="C37" s="32" t="s">
        <v>252</v>
      </c>
      <c r="D37" s="19" t="s">
        <v>2217</v>
      </c>
      <c r="E37" s="275">
        <v>20385494</v>
      </c>
      <c r="F37" s="272"/>
      <c r="G37" s="32" t="s">
        <v>434</v>
      </c>
      <c r="H37" s="32" t="s">
        <v>334</v>
      </c>
      <c r="I37" s="2">
        <f t="shared" si="0"/>
        <v>20385494</v>
      </c>
      <c r="J37" s="42" t="str">
        <f t="shared" si="1"/>
        <v>13311</v>
      </c>
    </row>
    <row r="38" spans="1:11">
      <c r="A38" s="30">
        <v>46225</v>
      </c>
      <c r="B38" s="31" t="s">
        <v>1302</v>
      </c>
      <c r="C38" s="32" t="s">
        <v>252</v>
      </c>
      <c r="D38" s="19" t="s">
        <v>2217</v>
      </c>
      <c r="E38" s="275">
        <v>22392148</v>
      </c>
      <c r="F38" s="272"/>
      <c r="G38" s="32" t="s">
        <v>434</v>
      </c>
      <c r="H38" s="32" t="s">
        <v>334</v>
      </c>
      <c r="I38" s="2">
        <f t="shared" si="0"/>
        <v>22392148</v>
      </c>
      <c r="J38" s="42" t="str">
        <f t="shared" si="1"/>
        <v>13311</v>
      </c>
    </row>
    <row r="39" spans="1:11">
      <c r="A39" s="30">
        <v>46225</v>
      </c>
      <c r="B39" s="31" t="s">
        <v>1302</v>
      </c>
      <c r="C39" s="32" t="s">
        <v>252</v>
      </c>
      <c r="D39" s="19" t="s">
        <v>2217</v>
      </c>
      <c r="E39" s="275">
        <v>18807586</v>
      </c>
      <c r="F39" s="272"/>
      <c r="G39" s="32" t="s">
        <v>434</v>
      </c>
      <c r="H39" s="32" t="s">
        <v>334</v>
      </c>
      <c r="I39" s="2">
        <f t="shared" si="0"/>
        <v>18807586</v>
      </c>
      <c r="J39" s="42" t="str">
        <f t="shared" si="1"/>
        <v>13311</v>
      </c>
    </row>
    <row r="40" spans="1:11">
      <c r="A40" s="30">
        <v>46225</v>
      </c>
      <c r="B40" s="31" t="s">
        <v>1302</v>
      </c>
      <c r="C40" s="32" t="s">
        <v>252</v>
      </c>
      <c r="D40" s="19" t="s">
        <v>2217</v>
      </c>
      <c r="E40" s="275">
        <v>18834866</v>
      </c>
      <c r="F40" s="272"/>
      <c r="G40" s="32" t="s">
        <v>434</v>
      </c>
      <c r="H40" s="32" t="s">
        <v>334</v>
      </c>
      <c r="I40" s="2">
        <f t="shared" si="0"/>
        <v>18834866</v>
      </c>
      <c r="J40" s="42" t="str">
        <f t="shared" si="1"/>
        <v>13311</v>
      </c>
    </row>
    <row r="41" spans="1:11">
      <c r="A41" s="30">
        <v>46225</v>
      </c>
      <c r="B41" s="31" t="s">
        <v>1302</v>
      </c>
      <c r="C41" s="32" t="s">
        <v>252</v>
      </c>
      <c r="D41" s="19" t="s">
        <v>2217</v>
      </c>
      <c r="E41" s="275">
        <v>18097780</v>
      </c>
      <c r="F41" s="272"/>
      <c r="G41" s="32" t="s">
        <v>434</v>
      </c>
      <c r="H41" s="32" t="s">
        <v>334</v>
      </c>
      <c r="I41" s="2">
        <f t="shared" si="0"/>
        <v>18097780</v>
      </c>
      <c r="J41" s="42" t="str">
        <f t="shared" si="1"/>
        <v>13311</v>
      </c>
    </row>
    <row r="42" spans="1:11">
      <c r="A42" s="30">
        <v>46225</v>
      </c>
      <c r="B42" s="31" t="s">
        <v>1302</v>
      </c>
      <c r="C42" s="32" t="s">
        <v>252</v>
      </c>
      <c r="D42" s="19" t="s">
        <v>2217</v>
      </c>
      <c r="E42" s="275">
        <v>18809606</v>
      </c>
      <c r="F42" s="272"/>
      <c r="G42" s="32" t="s">
        <v>434</v>
      </c>
      <c r="H42" s="32" t="s">
        <v>334</v>
      </c>
      <c r="I42" s="2">
        <f t="shared" si="0"/>
        <v>18809606</v>
      </c>
      <c r="J42" s="42" t="str">
        <f t="shared" si="1"/>
        <v>13311</v>
      </c>
    </row>
    <row r="43" spans="1:11">
      <c r="A43" s="30">
        <v>46225</v>
      </c>
      <c r="B43" s="31" t="s">
        <v>1302</v>
      </c>
      <c r="C43" s="32" t="s">
        <v>252</v>
      </c>
      <c r="D43" s="19" t="s">
        <v>2217</v>
      </c>
      <c r="E43" s="275">
        <v>19633756</v>
      </c>
      <c r="F43" s="272"/>
      <c r="G43" s="32" t="s">
        <v>434</v>
      </c>
      <c r="H43" s="32" t="s">
        <v>334</v>
      </c>
      <c r="I43" s="2">
        <f t="shared" si="0"/>
        <v>19633756</v>
      </c>
      <c r="J43" s="42" t="str">
        <f t="shared" si="1"/>
        <v>13311</v>
      </c>
    </row>
    <row r="44" spans="1:11">
      <c r="A44" s="30">
        <v>46225</v>
      </c>
      <c r="B44" s="31" t="s">
        <v>1302</v>
      </c>
      <c r="C44" s="32" t="s">
        <v>252</v>
      </c>
      <c r="D44" s="19" t="s">
        <v>2217</v>
      </c>
      <c r="E44" s="275">
        <v>18936917</v>
      </c>
      <c r="F44" s="272"/>
      <c r="G44" s="32" t="s">
        <v>434</v>
      </c>
      <c r="H44" s="32" t="s">
        <v>334</v>
      </c>
      <c r="I44" s="2">
        <f t="shared" si="0"/>
        <v>18936917</v>
      </c>
      <c r="J44" s="42" t="str">
        <f t="shared" si="1"/>
        <v>13311</v>
      </c>
    </row>
    <row r="45" spans="1:11">
      <c r="A45" s="30">
        <v>46225</v>
      </c>
      <c r="B45" s="31" t="s">
        <v>1302</v>
      </c>
      <c r="C45" s="32" t="s">
        <v>252</v>
      </c>
      <c r="D45" s="19" t="s">
        <v>2217</v>
      </c>
      <c r="E45" s="275">
        <v>18996867</v>
      </c>
      <c r="F45" s="272"/>
      <c r="G45" s="32" t="s">
        <v>434</v>
      </c>
      <c r="H45" s="32" t="s">
        <v>334</v>
      </c>
      <c r="I45" s="2">
        <f t="shared" si="0"/>
        <v>18996867</v>
      </c>
      <c r="J45" s="42" t="str">
        <f t="shared" si="1"/>
        <v>13311</v>
      </c>
    </row>
    <row r="46" spans="1:11">
      <c r="A46" s="30">
        <v>46225</v>
      </c>
      <c r="B46" s="31" t="s">
        <v>1302</v>
      </c>
      <c r="C46" s="32" t="s">
        <v>252</v>
      </c>
      <c r="D46" s="19" t="s">
        <v>2217</v>
      </c>
      <c r="E46" s="275">
        <v>18040692</v>
      </c>
      <c r="F46" s="272"/>
      <c r="G46" s="32" t="s">
        <v>434</v>
      </c>
      <c r="H46" s="32" t="s">
        <v>334</v>
      </c>
      <c r="I46" s="2">
        <f t="shared" si="0"/>
        <v>18040692</v>
      </c>
      <c r="J46" s="42" t="str">
        <f t="shared" si="1"/>
        <v>13311</v>
      </c>
    </row>
    <row r="47" spans="1:11">
      <c r="A47" s="30">
        <v>46225</v>
      </c>
      <c r="B47" s="31" t="s">
        <v>1302</v>
      </c>
      <c r="C47" s="32" t="s">
        <v>252</v>
      </c>
      <c r="D47" s="19" t="s">
        <v>2217</v>
      </c>
      <c r="E47" s="275">
        <v>17056394</v>
      </c>
      <c r="F47" s="272"/>
      <c r="G47" s="32" t="s">
        <v>434</v>
      </c>
      <c r="H47" s="32" t="s">
        <v>334</v>
      </c>
      <c r="I47" s="2">
        <f t="shared" si="0"/>
        <v>17056394</v>
      </c>
      <c r="J47" s="42" t="str">
        <f t="shared" si="1"/>
        <v>13311</v>
      </c>
    </row>
    <row r="48" spans="1:11">
      <c r="A48" s="30">
        <v>46225</v>
      </c>
      <c r="B48" s="31" t="s">
        <v>1302</v>
      </c>
      <c r="C48" s="32" t="s">
        <v>252</v>
      </c>
      <c r="D48" s="19" t="s">
        <v>2217</v>
      </c>
      <c r="E48" s="275">
        <v>21920796</v>
      </c>
      <c r="F48" s="272"/>
      <c r="G48" s="32" t="s">
        <v>434</v>
      </c>
      <c r="H48" s="32" t="s">
        <v>334</v>
      </c>
      <c r="I48" s="2">
        <f t="shared" si="0"/>
        <v>21920796</v>
      </c>
      <c r="J48" s="42" t="str">
        <f t="shared" si="1"/>
        <v>13311</v>
      </c>
      <c r="K48" s="47"/>
    </row>
    <row r="49" spans="1:12">
      <c r="A49" s="30">
        <v>46225</v>
      </c>
      <c r="B49" s="31" t="s">
        <v>1302</v>
      </c>
      <c r="C49" s="32" t="s">
        <v>252</v>
      </c>
      <c r="D49" s="19" t="s">
        <v>2217</v>
      </c>
      <c r="E49" s="275">
        <v>13192793</v>
      </c>
      <c r="F49" s="272"/>
      <c r="G49" s="32" t="s">
        <v>434</v>
      </c>
      <c r="H49" s="32" t="s">
        <v>334</v>
      </c>
      <c r="I49" s="2">
        <f t="shared" si="0"/>
        <v>13192793</v>
      </c>
      <c r="J49" s="42" t="str">
        <f t="shared" si="1"/>
        <v>13311</v>
      </c>
      <c r="K49" s="48"/>
    </row>
    <row r="50" spans="1:12">
      <c r="A50" s="30">
        <v>46225</v>
      </c>
      <c r="B50" s="31" t="s">
        <v>1302</v>
      </c>
      <c r="C50" s="32" t="s">
        <v>252</v>
      </c>
      <c r="D50" s="19" t="s">
        <v>2217</v>
      </c>
      <c r="E50" s="275">
        <v>5017646</v>
      </c>
      <c r="F50" s="272"/>
      <c r="G50" s="32" t="s">
        <v>434</v>
      </c>
      <c r="H50" s="32" t="s">
        <v>334</v>
      </c>
      <c r="I50" s="2">
        <f t="shared" si="0"/>
        <v>5017646</v>
      </c>
      <c r="J50" s="42" t="str">
        <f t="shared" si="1"/>
        <v>13311</v>
      </c>
      <c r="K50" s="47"/>
    </row>
    <row r="51" spans="1:12">
      <c r="A51" s="30">
        <v>46225</v>
      </c>
      <c r="B51" s="31" t="s">
        <v>1302</v>
      </c>
      <c r="C51" s="32" t="s">
        <v>252</v>
      </c>
      <c r="D51" s="19" t="s">
        <v>2217</v>
      </c>
      <c r="E51" s="275">
        <v>1545070</v>
      </c>
      <c r="F51" s="272"/>
      <c r="G51" s="32" t="s">
        <v>434</v>
      </c>
      <c r="H51" s="32" t="s">
        <v>334</v>
      </c>
      <c r="I51" s="2">
        <f t="shared" si="0"/>
        <v>1545070</v>
      </c>
      <c r="J51" s="42" t="str">
        <f t="shared" si="1"/>
        <v>13311</v>
      </c>
      <c r="K51" s="49"/>
    </row>
    <row r="52" spans="1:12">
      <c r="A52" s="30">
        <v>46225</v>
      </c>
      <c r="B52" s="31" t="s">
        <v>1302</v>
      </c>
      <c r="C52" s="32" t="s">
        <v>252</v>
      </c>
      <c r="D52" s="19" t="s">
        <v>2217</v>
      </c>
      <c r="E52" s="275">
        <v>11354370</v>
      </c>
      <c r="F52" s="272"/>
      <c r="G52" s="32" t="s">
        <v>434</v>
      </c>
      <c r="H52" s="32" t="s">
        <v>334</v>
      </c>
      <c r="I52" s="2">
        <f t="shared" si="0"/>
        <v>11354370</v>
      </c>
      <c r="J52" s="42" t="str">
        <f t="shared" si="1"/>
        <v>13311</v>
      </c>
    </row>
    <row r="53" spans="1:12">
      <c r="A53" s="30">
        <v>46225</v>
      </c>
      <c r="B53" s="31" t="s">
        <v>1302</v>
      </c>
      <c r="C53" s="32" t="s">
        <v>252</v>
      </c>
      <c r="D53" s="19" t="s">
        <v>2217</v>
      </c>
      <c r="E53" s="275">
        <v>7363795</v>
      </c>
      <c r="F53" s="272"/>
      <c r="G53" s="32" t="s">
        <v>434</v>
      </c>
      <c r="H53" s="32" t="s">
        <v>334</v>
      </c>
      <c r="I53" s="2">
        <f t="shared" si="0"/>
        <v>7363795</v>
      </c>
      <c r="J53" s="42" t="str">
        <f t="shared" si="1"/>
        <v>13311</v>
      </c>
    </row>
    <row r="54" spans="1:12" s="36" customFormat="1">
      <c r="A54" s="30">
        <v>46225</v>
      </c>
      <c r="B54" s="31" t="s">
        <v>1302</v>
      </c>
      <c r="C54" s="32" t="s">
        <v>252</v>
      </c>
      <c r="D54" s="19" t="s">
        <v>2217</v>
      </c>
      <c r="E54" s="275">
        <v>14973960</v>
      </c>
      <c r="F54" s="272"/>
      <c r="G54" s="32" t="s">
        <v>434</v>
      </c>
      <c r="H54" s="32" t="s">
        <v>334</v>
      </c>
      <c r="I54" s="2">
        <f t="shared" si="0"/>
        <v>14973960</v>
      </c>
      <c r="J54" s="42" t="str">
        <f t="shared" si="1"/>
        <v>13311</v>
      </c>
      <c r="L54" s="50"/>
    </row>
    <row r="55" spans="1:12">
      <c r="A55" s="30">
        <v>46225</v>
      </c>
      <c r="B55" s="31" t="s">
        <v>1302</v>
      </c>
      <c r="C55" s="32" t="s">
        <v>252</v>
      </c>
      <c r="D55" s="19" t="s">
        <v>2217</v>
      </c>
      <c r="E55" s="275">
        <v>17107419</v>
      </c>
      <c r="F55" s="272"/>
      <c r="G55" s="32" t="s">
        <v>434</v>
      </c>
      <c r="H55" s="32" t="s">
        <v>334</v>
      </c>
      <c r="I55" s="2">
        <f t="shared" si="0"/>
        <v>17107419</v>
      </c>
      <c r="J55" s="42" t="str">
        <f t="shared" si="1"/>
        <v>13311</v>
      </c>
    </row>
    <row r="56" spans="1:12">
      <c r="A56" s="30">
        <v>46225</v>
      </c>
      <c r="B56" s="31" t="s">
        <v>1302</v>
      </c>
      <c r="C56" s="32" t="s">
        <v>252</v>
      </c>
      <c r="D56" s="19" t="s">
        <v>2217</v>
      </c>
      <c r="E56" s="275">
        <v>17538692</v>
      </c>
      <c r="F56" s="272"/>
      <c r="G56" s="32" t="s">
        <v>434</v>
      </c>
      <c r="H56" s="32" t="s">
        <v>334</v>
      </c>
      <c r="I56" s="2">
        <f t="shared" si="0"/>
        <v>17538692</v>
      </c>
      <c r="J56" s="42" t="str">
        <f t="shared" si="1"/>
        <v>13311</v>
      </c>
    </row>
    <row r="57" spans="1:12">
      <c r="A57" s="30">
        <v>46225</v>
      </c>
      <c r="B57" s="31" t="s">
        <v>1302</v>
      </c>
      <c r="C57" s="32" t="s">
        <v>252</v>
      </c>
      <c r="D57" s="19" t="s">
        <v>2217</v>
      </c>
      <c r="E57" s="275">
        <v>12140461</v>
      </c>
      <c r="F57" s="272"/>
      <c r="G57" s="32" t="s">
        <v>434</v>
      </c>
      <c r="H57" s="32" t="s">
        <v>334</v>
      </c>
      <c r="I57" s="2">
        <f t="shared" si="0"/>
        <v>12140461</v>
      </c>
      <c r="J57" s="42" t="str">
        <f t="shared" si="1"/>
        <v>13311</v>
      </c>
    </row>
    <row r="58" spans="1:12">
      <c r="A58" s="30">
        <v>46225</v>
      </c>
      <c r="B58" s="31" t="s">
        <v>1302</v>
      </c>
      <c r="C58" s="32" t="s">
        <v>252</v>
      </c>
      <c r="D58" s="19" t="s">
        <v>2217</v>
      </c>
      <c r="E58" s="275">
        <v>9661782</v>
      </c>
      <c r="F58" s="272"/>
      <c r="G58" s="32" t="s">
        <v>434</v>
      </c>
      <c r="H58" s="32" t="s">
        <v>334</v>
      </c>
      <c r="I58" s="2">
        <f t="shared" si="0"/>
        <v>9661782</v>
      </c>
      <c r="J58" s="42" t="str">
        <f t="shared" si="1"/>
        <v>13311</v>
      </c>
    </row>
    <row r="59" spans="1:12">
      <c r="A59" s="30">
        <v>46225</v>
      </c>
      <c r="B59" s="31" t="s">
        <v>1302</v>
      </c>
      <c r="C59" s="32" t="s">
        <v>252</v>
      </c>
      <c r="D59" s="19" t="s">
        <v>2217</v>
      </c>
      <c r="E59" s="275">
        <v>9140415</v>
      </c>
      <c r="F59" s="272"/>
      <c r="G59" s="32" t="s">
        <v>434</v>
      </c>
      <c r="H59" s="32" t="s">
        <v>334</v>
      </c>
      <c r="I59" s="2">
        <f t="shared" si="0"/>
        <v>9140415</v>
      </c>
      <c r="J59" s="42" t="str">
        <f t="shared" si="1"/>
        <v>13311</v>
      </c>
    </row>
    <row r="60" spans="1:12">
      <c r="A60" s="30">
        <v>46225</v>
      </c>
      <c r="B60" s="31" t="s">
        <v>1302</v>
      </c>
      <c r="C60" s="32" t="s">
        <v>252</v>
      </c>
      <c r="D60" s="19" t="s">
        <v>2217</v>
      </c>
      <c r="E60" s="275">
        <v>15571274</v>
      </c>
      <c r="F60" s="272"/>
      <c r="G60" s="32" t="s">
        <v>434</v>
      </c>
      <c r="H60" s="32" t="s">
        <v>334</v>
      </c>
      <c r="I60" s="2">
        <f t="shared" si="0"/>
        <v>15571274</v>
      </c>
      <c r="J60" s="42" t="str">
        <f t="shared" si="1"/>
        <v>13311</v>
      </c>
    </row>
    <row r="61" spans="1:12">
      <c r="A61" s="30">
        <v>46225</v>
      </c>
      <c r="B61" s="31" t="s">
        <v>1302</v>
      </c>
      <c r="C61" s="32" t="s">
        <v>252</v>
      </c>
      <c r="D61" s="19" t="s">
        <v>2217</v>
      </c>
      <c r="E61" s="275">
        <v>14817348</v>
      </c>
      <c r="F61" s="272"/>
      <c r="G61" s="32" t="s">
        <v>434</v>
      </c>
      <c r="H61" s="32" t="s">
        <v>334</v>
      </c>
      <c r="I61" s="2">
        <f t="shared" si="0"/>
        <v>14817348</v>
      </c>
      <c r="J61" s="42" t="str">
        <f t="shared" si="1"/>
        <v>13311</v>
      </c>
    </row>
    <row r="62" spans="1:12">
      <c r="A62" s="30">
        <v>46225</v>
      </c>
      <c r="B62" s="31" t="s">
        <v>1302</v>
      </c>
      <c r="C62" s="32" t="s">
        <v>252</v>
      </c>
      <c r="D62" s="19" t="s">
        <v>2217</v>
      </c>
      <c r="E62" s="275">
        <v>14895654</v>
      </c>
      <c r="F62" s="272"/>
      <c r="G62" s="32" t="s">
        <v>434</v>
      </c>
      <c r="H62" s="32" t="s">
        <v>334</v>
      </c>
      <c r="I62" s="2">
        <f t="shared" si="0"/>
        <v>14895654</v>
      </c>
      <c r="J62" s="42" t="str">
        <f t="shared" si="1"/>
        <v>13311</v>
      </c>
    </row>
    <row r="63" spans="1:12">
      <c r="A63" s="30">
        <v>46225</v>
      </c>
      <c r="B63" s="31" t="s">
        <v>1302</v>
      </c>
      <c r="C63" s="32" t="s">
        <v>252</v>
      </c>
      <c r="D63" s="19" t="s">
        <v>2217</v>
      </c>
      <c r="E63" s="275">
        <v>756116</v>
      </c>
      <c r="F63" s="272"/>
      <c r="G63" s="32" t="s">
        <v>434</v>
      </c>
      <c r="H63" s="32" t="s">
        <v>334</v>
      </c>
      <c r="I63" s="2">
        <f t="shared" si="0"/>
        <v>756116</v>
      </c>
      <c r="J63" s="42" t="str">
        <f t="shared" si="1"/>
        <v>13311</v>
      </c>
      <c r="K63" s="13"/>
    </row>
    <row r="64" spans="1:12">
      <c r="A64" s="30">
        <v>46225</v>
      </c>
      <c r="B64" s="31" t="s">
        <v>1302</v>
      </c>
      <c r="C64" s="32" t="s">
        <v>252</v>
      </c>
      <c r="D64" s="19" t="s">
        <v>2217</v>
      </c>
      <c r="E64" s="275">
        <v>18627061</v>
      </c>
      <c r="F64" s="272"/>
      <c r="G64" s="32" t="s">
        <v>434</v>
      </c>
      <c r="H64" s="32" t="s">
        <v>334</v>
      </c>
      <c r="I64" s="2">
        <f t="shared" si="0"/>
        <v>18627061</v>
      </c>
      <c r="J64" s="42" t="str">
        <f t="shared" si="1"/>
        <v>13311</v>
      </c>
      <c r="K64" s="13"/>
    </row>
    <row r="65" spans="1:11">
      <c r="A65" s="30">
        <v>46225</v>
      </c>
      <c r="B65" s="31" t="s">
        <v>1302</v>
      </c>
      <c r="C65" s="32" t="s">
        <v>252</v>
      </c>
      <c r="D65" s="19" t="s">
        <v>2217</v>
      </c>
      <c r="E65" s="275">
        <v>17645289</v>
      </c>
      <c r="F65" s="272"/>
      <c r="G65" s="32" t="s">
        <v>434</v>
      </c>
      <c r="H65" s="32" t="s">
        <v>334</v>
      </c>
      <c r="I65" s="2">
        <f t="shared" si="0"/>
        <v>17645289</v>
      </c>
      <c r="J65" s="42" t="str">
        <f t="shared" si="1"/>
        <v>13311</v>
      </c>
      <c r="K65" s="13"/>
    </row>
    <row r="66" spans="1:11">
      <c r="A66" s="30">
        <v>46225</v>
      </c>
      <c r="B66" s="31" t="s">
        <v>1302</v>
      </c>
      <c r="C66" s="32" t="s">
        <v>252</v>
      </c>
      <c r="D66" s="19" t="s">
        <v>2217</v>
      </c>
      <c r="E66" s="275">
        <v>15221676</v>
      </c>
      <c r="F66" s="272"/>
      <c r="G66" s="32" t="s">
        <v>434</v>
      </c>
      <c r="H66" s="32" t="s">
        <v>334</v>
      </c>
      <c r="I66" s="2">
        <f t="shared" si="0"/>
        <v>15221676</v>
      </c>
      <c r="J66" s="42" t="str">
        <f t="shared" si="1"/>
        <v>13311</v>
      </c>
    </row>
    <row r="67" spans="1:11">
      <c r="A67" s="30">
        <v>46225</v>
      </c>
      <c r="B67" s="31" t="s">
        <v>1302</v>
      </c>
      <c r="C67" s="32" t="s">
        <v>252</v>
      </c>
      <c r="D67" s="19" t="s">
        <v>2217</v>
      </c>
      <c r="E67" s="275">
        <v>10347338</v>
      </c>
      <c r="F67" s="272"/>
      <c r="G67" s="32" t="s">
        <v>434</v>
      </c>
      <c r="H67" s="32" t="s">
        <v>334</v>
      </c>
      <c r="I67" s="2">
        <f t="shared" si="0"/>
        <v>10347338</v>
      </c>
      <c r="J67" s="42" t="str">
        <f t="shared" si="1"/>
        <v>13311</v>
      </c>
    </row>
    <row r="68" spans="1:11">
      <c r="A68" s="30">
        <v>46225</v>
      </c>
      <c r="B68" s="31" t="s">
        <v>1302</v>
      </c>
      <c r="C68" s="32" t="s">
        <v>252</v>
      </c>
      <c r="D68" s="19" t="s">
        <v>2217</v>
      </c>
      <c r="E68" s="275">
        <v>21616329</v>
      </c>
      <c r="F68" s="272"/>
      <c r="G68" s="32" t="s">
        <v>434</v>
      </c>
      <c r="H68" s="32" t="s">
        <v>334</v>
      </c>
      <c r="I68" s="2">
        <f t="shared" si="0"/>
        <v>21616329</v>
      </c>
      <c r="J68" s="42" t="str">
        <f t="shared" si="1"/>
        <v>13311</v>
      </c>
    </row>
    <row r="69" spans="1:11">
      <c r="A69" s="30">
        <v>46225</v>
      </c>
      <c r="B69" s="31" t="s">
        <v>1302</v>
      </c>
      <c r="C69" s="32" t="s">
        <v>252</v>
      </c>
      <c r="D69" s="19" t="s">
        <v>2217</v>
      </c>
      <c r="E69" s="275">
        <v>17016315</v>
      </c>
      <c r="F69" s="272"/>
      <c r="G69" s="32" t="s">
        <v>434</v>
      </c>
      <c r="H69" s="32" t="s">
        <v>334</v>
      </c>
      <c r="I69" s="2">
        <f t="shared" si="0"/>
        <v>17016315</v>
      </c>
      <c r="J69" s="42" t="str">
        <f t="shared" si="1"/>
        <v>13311</v>
      </c>
    </row>
    <row r="70" spans="1:11">
      <c r="A70" s="30">
        <v>46225</v>
      </c>
      <c r="B70" s="31" t="s">
        <v>1302</v>
      </c>
      <c r="C70" s="32" t="s">
        <v>252</v>
      </c>
      <c r="D70" s="19" t="s">
        <v>2217</v>
      </c>
      <c r="E70" s="275">
        <v>20534864</v>
      </c>
      <c r="F70" s="272"/>
      <c r="G70" s="32" t="s">
        <v>434</v>
      </c>
      <c r="H70" s="32" t="s">
        <v>334</v>
      </c>
      <c r="I70" s="2">
        <f t="shared" si="0"/>
        <v>20534864</v>
      </c>
      <c r="J70" s="42" t="str">
        <f t="shared" si="1"/>
        <v>13311</v>
      </c>
    </row>
    <row r="71" spans="1:11">
      <c r="A71" s="30">
        <v>46225</v>
      </c>
      <c r="B71" s="31" t="s">
        <v>1302</v>
      </c>
      <c r="C71" s="32" t="s">
        <v>252</v>
      </c>
      <c r="D71" s="19" t="s">
        <v>2217</v>
      </c>
      <c r="E71" s="275">
        <v>11536747</v>
      </c>
      <c r="F71" s="272"/>
      <c r="G71" s="32" t="s">
        <v>434</v>
      </c>
      <c r="H71" s="32" t="s">
        <v>334</v>
      </c>
      <c r="I71" s="2">
        <f t="shared" si="0"/>
        <v>11536747</v>
      </c>
      <c r="J71" s="42" t="str">
        <f t="shared" si="1"/>
        <v>13311</v>
      </c>
    </row>
    <row r="72" spans="1:11">
      <c r="A72" s="30">
        <v>46225</v>
      </c>
      <c r="B72" s="31" t="s">
        <v>1302</v>
      </c>
      <c r="C72" s="32" t="s">
        <v>252</v>
      </c>
      <c r="D72" s="19" t="s">
        <v>2217</v>
      </c>
      <c r="E72" s="275">
        <v>20836132</v>
      </c>
      <c r="F72" s="272"/>
      <c r="G72" s="32" t="s">
        <v>434</v>
      </c>
      <c r="H72" s="32" t="s">
        <v>334</v>
      </c>
      <c r="I72" s="2">
        <f t="shared" si="0"/>
        <v>20836132</v>
      </c>
      <c r="J72" s="42" t="str">
        <f t="shared" si="1"/>
        <v>13311</v>
      </c>
    </row>
    <row r="73" spans="1:11">
      <c r="A73" s="30">
        <v>46225</v>
      </c>
      <c r="B73" s="31" t="s">
        <v>1302</v>
      </c>
      <c r="C73" s="32" t="s">
        <v>252</v>
      </c>
      <c r="D73" s="19" t="s">
        <v>2217</v>
      </c>
      <c r="E73" s="275">
        <v>15651096</v>
      </c>
      <c r="F73" s="272"/>
      <c r="G73" s="32" t="s">
        <v>434</v>
      </c>
      <c r="H73" s="32" t="s">
        <v>334</v>
      </c>
      <c r="I73" s="2">
        <f t="shared" si="0"/>
        <v>15651096</v>
      </c>
      <c r="J73" s="42" t="str">
        <f t="shared" si="1"/>
        <v>13311</v>
      </c>
    </row>
    <row r="74" spans="1:11">
      <c r="A74" s="30">
        <v>46225</v>
      </c>
      <c r="B74" s="31" t="s">
        <v>1302</v>
      </c>
      <c r="C74" s="32" t="s">
        <v>252</v>
      </c>
      <c r="D74" s="19" t="s">
        <v>2217</v>
      </c>
      <c r="E74" s="275">
        <v>15891908</v>
      </c>
      <c r="F74" s="272"/>
      <c r="G74" s="32" t="s">
        <v>434</v>
      </c>
      <c r="H74" s="32" t="s">
        <v>334</v>
      </c>
      <c r="I74" s="2">
        <f t="shared" si="0"/>
        <v>15891908</v>
      </c>
      <c r="J74" s="42" t="str">
        <f t="shared" si="1"/>
        <v>13311</v>
      </c>
    </row>
    <row r="75" spans="1:11">
      <c r="A75" s="30">
        <v>46225</v>
      </c>
      <c r="B75" s="31" t="s">
        <v>1302</v>
      </c>
      <c r="C75" s="32" t="s">
        <v>252</v>
      </c>
      <c r="D75" s="19" t="s">
        <v>2217</v>
      </c>
      <c r="E75" s="275">
        <v>16836127</v>
      </c>
      <c r="F75" s="272"/>
      <c r="G75" s="32" t="s">
        <v>434</v>
      </c>
      <c r="H75" s="32" t="s">
        <v>334</v>
      </c>
      <c r="I75" s="2">
        <f t="shared" ref="I75:I138" si="2">IF(LEN(A75)=5,E75,0)</f>
        <v>16836127</v>
      </c>
      <c r="J75" s="42" t="str">
        <f t="shared" ref="J75:J138" si="3">IF(LEFT(A75,11)="Tài khoản: ",MID(A75,12,5),J74)</f>
        <v>13311</v>
      </c>
    </row>
    <row r="76" spans="1:11">
      <c r="A76" s="30">
        <v>46225</v>
      </c>
      <c r="B76" s="31" t="s">
        <v>1302</v>
      </c>
      <c r="C76" s="32" t="s">
        <v>252</v>
      </c>
      <c r="D76" s="19" t="s">
        <v>2217</v>
      </c>
      <c r="E76" s="275">
        <v>15338714</v>
      </c>
      <c r="F76" s="272"/>
      <c r="G76" s="32" t="s">
        <v>434</v>
      </c>
      <c r="H76" s="32" t="s">
        <v>334</v>
      </c>
      <c r="I76" s="2">
        <f t="shared" si="2"/>
        <v>15338714</v>
      </c>
      <c r="J76" s="42" t="str">
        <f t="shared" si="3"/>
        <v>13311</v>
      </c>
    </row>
    <row r="77" spans="1:11">
      <c r="A77" s="30">
        <v>46225</v>
      </c>
      <c r="B77" s="31" t="s">
        <v>1302</v>
      </c>
      <c r="C77" s="32" t="s">
        <v>252</v>
      </c>
      <c r="D77" s="19" t="s">
        <v>2217</v>
      </c>
      <c r="E77" s="275">
        <v>16761862</v>
      </c>
      <c r="F77" s="272"/>
      <c r="G77" s="32" t="s">
        <v>434</v>
      </c>
      <c r="H77" s="32" t="s">
        <v>334</v>
      </c>
      <c r="I77" s="2">
        <f t="shared" si="2"/>
        <v>16761862</v>
      </c>
      <c r="J77" s="42" t="str">
        <f t="shared" si="3"/>
        <v>13311</v>
      </c>
    </row>
    <row r="78" spans="1:11">
      <c r="A78" s="30">
        <v>46225</v>
      </c>
      <c r="B78" s="31" t="s">
        <v>1302</v>
      </c>
      <c r="C78" s="32" t="s">
        <v>252</v>
      </c>
      <c r="D78" s="19" t="s">
        <v>2217</v>
      </c>
      <c r="E78" s="275">
        <v>13997408</v>
      </c>
      <c r="F78" s="272"/>
      <c r="G78" s="32" t="s">
        <v>434</v>
      </c>
      <c r="H78" s="32" t="s">
        <v>334</v>
      </c>
      <c r="I78" s="2">
        <f t="shared" si="2"/>
        <v>13997408</v>
      </c>
      <c r="J78" s="42" t="str">
        <f t="shared" si="3"/>
        <v>13311</v>
      </c>
    </row>
    <row r="79" spans="1:11">
      <c r="A79" s="30">
        <v>46225</v>
      </c>
      <c r="B79" s="31" t="s">
        <v>1302</v>
      </c>
      <c r="C79" s="32" t="s">
        <v>252</v>
      </c>
      <c r="D79" s="19" t="s">
        <v>2217</v>
      </c>
      <c r="E79" s="275">
        <v>21525730</v>
      </c>
      <c r="F79" s="272"/>
      <c r="G79" s="32" t="s">
        <v>434</v>
      </c>
      <c r="H79" s="32" t="s">
        <v>334</v>
      </c>
      <c r="I79" s="2">
        <f t="shared" si="2"/>
        <v>21525730</v>
      </c>
      <c r="J79" s="42" t="str">
        <f t="shared" si="3"/>
        <v>13311</v>
      </c>
    </row>
    <row r="80" spans="1:11">
      <c r="A80" s="30">
        <v>46225</v>
      </c>
      <c r="B80" s="31" t="s">
        <v>1302</v>
      </c>
      <c r="C80" s="32" t="s">
        <v>252</v>
      </c>
      <c r="D80" s="19" t="s">
        <v>2217</v>
      </c>
      <c r="E80" s="275">
        <v>22326809</v>
      </c>
      <c r="F80" s="272"/>
      <c r="G80" s="32" t="s">
        <v>434</v>
      </c>
      <c r="H80" s="32" t="s">
        <v>334</v>
      </c>
      <c r="I80" s="2">
        <f t="shared" si="2"/>
        <v>22326809</v>
      </c>
      <c r="J80" s="42" t="str">
        <f t="shared" si="3"/>
        <v>13311</v>
      </c>
    </row>
    <row r="81" spans="1:11">
      <c r="A81" s="30">
        <v>46225</v>
      </c>
      <c r="B81" s="31" t="s">
        <v>1302</v>
      </c>
      <c r="C81" s="32" t="s">
        <v>252</v>
      </c>
      <c r="D81" s="19" t="s">
        <v>2217</v>
      </c>
      <c r="E81" s="275">
        <v>22079934</v>
      </c>
      <c r="F81" s="272"/>
      <c r="G81" s="32" t="s">
        <v>434</v>
      </c>
      <c r="H81" s="32" t="s">
        <v>334</v>
      </c>
      <c r="I81" s="2">
        <f t="shared" si="2"/>
        <v>22079934</v>
      </c>
      <c r="J81" s="42" t="str">
        <f t="shared" si="3"/>
        <v>13311</v>
      </c>
    </row>
    <row r="82" spans="1:11">
      <c r="A82" s="30">
        <v>46225</v>
      </c>
      <c r="B82" s="31" t="s">
        <v>1302</v>
      </c>
      <c r="C82" s="32" t="s">
        <v>252</v>
      </c>
      <c r="D82" s="19" t="s">
        <v>2217</v>
      </c>
      <c r="E82" s="275">
        <v>21905135</v>
      </c>
      <c r="F82" s="272"/>
      <c r="G82" s="32" t="s">
        <v>434</v>
      </c>
      <c r="H82" s="32" t="s">
        <v>334</v>
      </c>
      <c r="I82" s="2">
        <f t="shared" si="2"/>
        <v>21905135</v>
      </c>
      <c r="J82" s="42" t="str">
        <f t="shared" si="3"/>
        <v>13311</v>
      </c>
    </row>
    <row r="83" spans="1:11">
      <c r="A83" s="30">
        <v>46225</v>
      </c>
      <c r="B83" s="31" t="s">
        <v>1302</v>
      </c>
      <c r="C83" s="32" t="s">
        <v>252</v>
      </c>
      <c r="D83" s="19" t="s">
        <v>2217</v>
      </c>
      <c r="E83" s="275">
        <v>16013830</v>
      </c>
      <c r="F83" s="272"/>
      <c r="G83" s="32" t="s">
        <v>434</v>
      </c>
      <c r="H83" s="32" t="s">
        <v>334</v>
      </c>
      <c r="I83" s="2">
        <f t="shared" si="2"/>
        <v>16013830</v>
      </c>
      <c r="J83" s="42" t="str">
        <f t="shared" si="3"/>
        <v>13311</v>
      </c>
    </row>
    <row r="84" spans="1:11">
      <c r="A84" s="30">
        <v>46225</v>
      </c>
      <c r="B84" s="31" t="s">
        <v>1302</v>
      </c>
      <c r="C84" s="32" t="s">
        <v>252</v>
      </c>
      <c r="D84" s="19" t="s">
        <v>2217</v>
      </c>
      <c r="E84" s="275">
        <v>16850946</v>
      </c>
      <c r="F84" s="272"/>
      <c r="G84" s="32" t="s">
        <v>434</v>
      </c>
      <c r="H84" s="32" t="s">
        <v>334</v>
      </c>
      <c r="I84" s="2">
        <f t="shared" si="2"/>
        <v>16850946</v>
      </c>
      <c r="J84" s="42" t="str">
        <f t="shared" si="3"/>
        <v>13311</v>
      </c>
    </row>
    <row r="85" spans="1:11">
      <c r="A85" s="30">
        <v>46225</v>
      </c>
      <c r="B85" s="31" t="s">
        <v>1302</v>
      </c>
      <c r="C85" s="32" t="s">
        <v>252</v>
      </c>
      <c r="D85" s="19" t="s">
        <v>2217</v>
      </c>
      <c r="E85" s="275">
        <v>15556624</v>
      </c>
      <c r="F85" s="272"/>
      <c r="G85" s="32" t="s">
        <v>434</v>
      </c>
      <c r="H85" s="32" t="s">
        <v>334</v>
      </c>
      <c r="I85" s="2">
        <f t="shared" si="2"/>
        <v>15556624</v>
      </c>
      <c r="J85" s="42" t="str">
        <f t="shared" si="3"/>
        <v>13311</v>
      </c>
    </row>
    <row r="86" spans="1:11">
      <c r="A86" s="30">
        <v>46225</v>
      </c>
      <c r="B86" s="31" t="s">
        <v>1302</v>
      </c>
      <c r="C86" s="32" t="s">
        <v>252</v>
      </c>
      <c r="D86" s="19" t="s">
        <v>2217</v>
      </c>
      <c r="E86" s="275">
        <v>16092472</v>
      </c>
      <c r="F86" s="272"/>
      <c r="G86" s="32" t="s">
        <v>434</v>
      </c>
      <c r="H86" s="32" t="s">
        <v>334</v>
      </c>
      <c r="I86" s="2">
        <f t="shared" si="2"/>
        <v>16092472</v>
      </c>
      <c r="J86" s="42" t="str">
        <f t="shared" si="3"/>
        <v>13311</v>
      </c>
    </row>
    <row r="87" spans="1:11">
      <c r="A87" s="30">
        <v>46225</v>
      </c>
      <c r="B87" s="31" t="s">
        <v>1302</v>
      </c>
      <c r="C87" s="32" t="s">
        <v>252</v>
      </c>
      <c r="D87" s="19" t="s">
        <v>2217</v>
      </c>
      <c r="E87" s="275">
        <v>9795828</v>
      </c>
      <c r="F87" s="272"/>
      <c r="G87" s="32" t="s">
        <v>434</v>
      </c>
      <c r="H87" s="32" t="s">
        <v>334</v>
      </c>
      <c r="I87" s="2">
        <f t="shared" si="2"/>
        <v>9795828</v>
      </c>
      <c r="J87" s="42" t="str">
        <f t="shared" si="3"/>
        <v>13311</v>
      </c>
    </row>
    <row r="88" spans="1:11">
      <c r="A88" s="30">
        <v>46225</v>
      </c>
      <c r="B88" s="31" t="s">
        <v>1302</v>
      </c>
      <c r="C88" s="32" t="s">
        <v>252</v>
      </c>
      <c r="D88" s="19" t="s">
        <v>2217</v>
      </c>
      <c r="E88" s="275">
        <v>9697988</v>
      </c>
      <c r="F88" s="272"/>
      <c r="G88" s="32" t="s">
        <v>434</v>
      </c>
      <c r="H88" s="32" t="s">
        <v>334</v>
      </c>
      <c r="I88" s="2">
        <f t="shared" si="2"/>
        <v>9697988</v>
      </c>
      <c r="J88" s="42" t="str">
        <f t="shared" si="3"/>
        <v>13311</v>
      </c>
    </row>
    <row r="89" spans="1:11">
      <c r="A89" s="30">
        <v>46225</v>
      </c>
      <c r="B89" s="31" t="s">
        <v>1302</v>
      </c>
      <c r="C89" s="32" t="s">
        <v>252</v>
      </c>
      <c r="D89" s="19" t="s">
        <v>2217</v>
      </c>
      <c r="E89" s="275">
        <v>14781647</v>
      </c>
      <c r="F89" s="272"/>
      <c r="G89" s="32" t="s">
        <v>434</v>
      </c>
      <c r="H89" s="32" t="s">
        <v>334</v>
      </c>
      <c r="I89" s="2">
        <f t="shared" si="2"/>
        <v>14781647</v>
      </c>
      <c r="J89" s="42" t="str">
        <f t="shared" si="3"/>
        <v>13311</v>
      </c>
    </row>
    <row r="90" spans="1:11">
      <c r="A90" s="30">
        <v>46225</v>
      </c>
      <c r="B90" s="31" t="s">
        <v>1302</v>
      </c>
      <c r="C90" s="32" t="s">
        <v>252</v>
      </c>
      <c r="D90" s="19" t="s">
        <v>2217</v>
      </c>
      <c r="E90" s="275">
        <v>15923736</v>
      </c>
      <c r="F90" s="272"/>
      <c r="G90" s="32" t="s">
        <v>434</v>
      </c>
      <c r="H90" s="32" t="s">
        <v>334</v>
      </c>
      <c r="I90" s="2">
        <f t="shared" si="2"/>
        <v>15923736</v>
      </c>
      <c r="J90" s="42" t="str">
        <f t="shared" si="3"/>
        <v>13311</v>
      </c>
    </row>
    <row r="91" spans="1:11">
      <c r="A91" s="30">
        <v>46225</v>
      </c>
      <c r="B91" s="31" t="s">
        <v>1302</v>
      </c>
      <c r="C91" s="32" t="s">
        <v>252</v>
      </c>
      <c r="D91" s="19" t="s">
        <v>2217</v>
      </c>
      <c r="E91" s="275">
        <v>20059303</v>
      </c>
      <c r="F91" s="272"/>
      <c r="G91" s="32" t="s">
        <v>434</v>
      </c>
      <c r="H91" s="32" t="s">
        <v>334</v>
      </c>
      <c r="I91" s="2">
        <f t="shared" si="2"/>
        <v>20059303</v>
      </c>
      <c r="J91" s="42" t="str">
        <f t="shared" si="3"/>
        <v>13311</v>
      </c>
      <c r="K91" s="48"/>
    </row>
    <row r="92" spans="1:11">
      <c r="A92" s="30">
        <v>46225</v>
      </c>
      <c r="B92" s="31" t="s">
        <v>1302</v>
      </c>
      <c r="C92" s="32" t="s">
        <v>252</v>
      </c>
      <c r="D92" s="19" t="s">
        <v>2217</v>
      </c>
      <c r="E92" s="275">
        <v>12203611</v>
      </c>
      <c r="F92" s="272"/>
      <c r="G92" s="32" t="s">
        <v>434</v>
      </c>
      <c r="H92" s="32" t="s">
        <v>334</v>
      </c>
      <c r="I92" s="2">
        <f t="shared" si="2"/>
        <v>12203611</v>
      </c>
      <c r="J92" s="42" t="str">
        <f t="shared" si="3"/>
        <v>13311</v>
      </c>
    </row>
    <row r="93" spans="1:11">
      <c r="A93" s="30">
        <v>46225</v>
      </c>
      <c r="B93" s="31" t="s">
        <v>1302</v>
      </c>
      <c r="C93" s="32" t="s">
        <v>252</v>
      </c>
      <c r="D93" s="19" t="s">
        <v>2217</v>
      </c>
      <c r="E93" s="275">
        <v>18792598</v>
      </c>
      <c r="F93" s="272"/>
      <c r="G93" s="32" t="s">
        <v>434</v>
      </c>
      <c r="H93" s="32" t="s">
        <v>334</v>
      </c>
      <c r="I93" s="2">
        <f t="shared" si="2"/>
        <v>18792598</v>
      </c>
      <c r="J93" s="42" t="str">
        <f t="shared" si="3"/>
        <v>13311</v>
      </c>
    </row>
    <row r="94" spans="1:11">
      <c r="A94" s="30">
        <v>46225</v>
      </c>
      <c r="B94" s="31" t="s">
        <v>1302</v>
      </c>
      <c r="C94" s="32" t="s">
        <v>252</v>
      </c>
      <c r="D94" s="19" t="s">
        <v>2217</v>
      </c>
      <c r="E94" s="275">
        <v>11437054</v>
      </c>
      <c r="F94" s="272"/>
      <c r="G94" s="32" t="s">
        <v>434</v>
      </c>
      <c r="H94" s="32" t="s">
        <v>334</v>
      </c>
      <c r="I94" s="2">
        <f t="shared" si="2"/>
        <v>11437054</v>
      </c>
      <c r="J94" s="42" t="str">
        <f t="shared" si="3"/>
        <v>13311</v>
      </c>
    </row>
    <row r="95" spans="1:11">
      <c r="A95" s="30">
        <v>46225</v>
      </c>
      <c r="B95" s="31" t="s">
        <v>1302</v>
      </c>
      <c r="C95" s="32" t="s">
        <v>252</v>
      </c>
      <c r="D95" s="19" t="s">
        <v>2217</v>
      </c>
      <c r="E95" s="275">
        <v>5909156</v>
      </c>
      <c r="F95" s="272"/>
      <c r="G95" s="32" t="s">
        <v>434</v>
      </c>
      <c r="H95" s="32" t="s">
        <v>334</v>
      </c>
      <c r="I95" s="2">
        <f t="shared" si="2"/>
        <v>5909156</v>
      </c>
      <c r="J95" s="42" t="str">
        <f t="shared" si="3"/>
        <v>13311</v>
      </c>
    </row>
    <row r="96" spans="1:11">
      <c r="A96" s="30">
        <v>46225</v>
      </c>
      <c r="B96" s="31" t="s">
        <v>1302</v>
      </c>
      <c r="C96" s="32" t="s">
        <v>252</v>
      </c>
      <c r="D96" s="19" t="s">
        <v>2217</v>
      </c>
      <c r="E96" s="275">
        <v>18426665</v>
      </c>
      <c r="F96" s="272"/>
      <c r="G96" s="32" t="s">
        <v>434</v>
      </c>
      <c r="H96" s="32" t="s">
        <v>334</v>
      </c>
      <c r="I96" s="2">
        <f t="shared" si="2"/>
        <v>18426665</v>
      </c>
      <c r="J96" s="42" t="str">
        <f t="shared" si="3"/>
        <v>13311</v>
      </c>
    </row>
    <row r="97" spans="1:10">
      <c r="A97" s="30">
        <v>46225</v>
      </c>
      <c r="B97" s="31" t="s">
        <v>1302</v>
      </c>
      <c r="C97" s="32" t="s">
        <v>252</v>
      </c>
      <c r="D97" s="19" t="s">
        <v>2217</v>
      </c>
      <c r="E97" s="275">
        <v>21605720</v>
      </c>
      <c r="F97" s="272"/>
      <c r="G97" s="32" t="s">
        <v>434</v>
      </c>
      <c r="H97" s="32" t="s">
        <v>334</v>
      </c>
      <c r="I97" s="2">
        <f t="shared" si="2"/>
        <v>21605720</v>
      </c>
      <c r="J97" s="42" t="str">
        <f t="shared" si="3"/>
        <v>13311</v>
      </c>
    </row>
    <row r="98" spans="1:10">
      <c r="A98" s="30">
        <v>46225</v>
      </c>
      <c r="B98" s="31" t="s">
        <v>1302</v>
      </c>
      <c r="C98" s="32" t="s">
        <v>252</v>
      </c>
      <c r="D98" s="19" t="s">
        <v>2217</v>
      </c>
      <c r="E98" s="275">
        <v>159138</v>
      </c>
      <c r="F98" s="272"/>
      <c r="G98" s="32" t="s">
        <v>434</v>
      </c>
      <c r="H98" s="32" t="s">
        <v>334</v>
      </c>
      <c r="I98" s="2">
        <f t="shared" si="2"/>
        <v>159138</v>
      </c>
      <c r="J98" s="42" t="str">
        <f t="shared" si="3"/>
        <v>13311</v>
      </c>
    </row>
    <row r="99" spans="1:10">
      <c r="A99" s="30">
        <v>46225</v>
      </c>
      <c r="B99" s="31" t="s">
        <v>1302</v>
      </c>
      <c r="C99" s="32" t="s">
        <v>252</v>
      </c>
      <c r="D99" s="19" t="s">
        <v>2217</v>
      </c>
      <c r="E99" s="275">
        <v>1027577</v>
      </c>
      <c r="F99" s="272"/>
      <c r="G99" s="32" t="s">
        <v>434</v>
      </c>
      <c r="H99" s="32" t="s">
        <v>334</v>
      </c>
      <c r="I99" s="2">
        <f t="shared" si="2"/>
        <v>1027577</v>
      </c>
      <c r="J99" s="42" t="str">
        <f t="shared" si="3"/>
        <v>13311</v>
      </c>
    </row>
    <row r="100" spans="1:10">
      <c r="A100" s="30">
        <v>46225</v>
      </c>
      <c r="B100" s="31" t="s">
        <v>1302</v>
      </c>
      <c r="C100" s="32" t="s">
        <v>252</v>
      </c>
      <c r="D100" s="19" t="s">
        <v>2217</v>
      </c>
      <c r="E100" s="275">
        <v>1261821</v>
      </c>
      <c r="F100" s="272"/>
      <c r="G100" s="32" t="s">
        <v>434</v>
      </c>
      <c r="H100" s="32" t="s">
        <v>334</v>
      </c>
      <c r="I100" s="2">
        <f t="shared" si="2"/>
        <v>1261821</v>
      </c>
      <c r="J100" s="42" t="str">
        <f t="shared" si="3"/>
        <v>13311</v>
      </c>
    </row>
    <row r="101" spans="1:10">
      <c r="A101" s="30">
        <v>46225</v>
      </c>
      <c r="B101" s="31" t="s">
        <v>1302</v>
      </c>
      <c r="C101" s="32" t="s">
        <v>252</v>
      </c>
      <c r="D101" s="19" t="s">
        <v>2217</v>
      </c>
      <c r="E101" s="275">
        <v>1460196</v>
      </c>
      <c r="F101" s="272"/>
      <c r="G101" s="32" t="s">
        <v>434</v>
      </c>
      <c r="H101" s="32" t="s">
        <v>334</v>
      </c>
      <c r="I101" s="2">
        <f t="shared" si="2"/>
        <v>1460196</v>
      </c>
      <c r="J101" s="42" t="str">
        <f t="shared" si="3"/>
        <v>13311</v>
      </c>
    </row>
    <row r="102" spans="1:10">
      <c r="A102" s="30">
        <v>46225</v>
      </c>
      <c r="B102" s="31" t="s">
        <v>1302</v>
      </c>
      <c r="C102" s="32" t="s">
        <v>252</v>
      </c>
      <c r="D102" s="19" t="s">
        <v>2217</v>
      </c>
      <c r="E102" s="275">
        <v>1287755</v>
      </c>
      <c r="F102" s="272"/>
      <c r="G102" s="32" t="s">
        <v>434</v>
      </c>
      <c r="H102" s="32" t="s">
        <v>334</v>
      </c>
      <c r="I102" s="2">
        <f t="shared" si="2"/>
        <v>1287755</v>
      </c>
      <c r="J102" s="42" t="str">
        <f t="shared" si="3"/>
        <v>13311</v>
      </c>
    </row>
    <row r="103" spans="1:10">
      <c r="A103" s="30">
        <v>46225</v>
      </c>
      <c r="B103" s="31" t="s">
        <v>1302</v>
      </c>
      <c r="C103" s="32" t="s">
        <v>252</v>
      </c>
      <c r="D103" s="19" t="s">
        <v>2217</v>
      </c>
      <c r="E103" s="275">
        <v>1178295</v>
      </c>
      <c r="F103" s="272"/>
      <c r="G103" s="32" t="s">
        <v>434</v>
      </c>
      <c r="H103" s="32" t="s">
        <v>334</v>
      </c>
      <c r="I103" s="2">
        <f t="shared" si="2"/>
        <v>1178295</v>
      </c>
      <c r="J103" s="42" t="str">
        <f t="shared" si="3"/>
        <v>13311</v>
      </c>
    </row>
    <row r="104" spans="1:10">
      <c r="A104" s="30">
        <v>46225</v>
      </c>
      <c r="B104" s="31" t="s">
        <v>1302</v>
      </c>
      <c r="C104" s="32" t="s">
        <v>252</v>
      </c>
      <c r="D104" s="19" t="s">
        <v>2217</v>
      </c>
      <c r="E104" s="275">
        <v>1229657</v>
      </c>
      <c r="F104" s="272"/>
      <c r="G104" s="32" t="s">
        <v>434</v>
      </c>
      <c r="H104" s="32" t="s">
        <v>334</v>
      </c>
      <c r="I104" s="2">
        <f t="shared" si="2"/>
        <v>1229657</v>
      </c>
      <c r="J104" s="42" t="str">
        <f t="shared" si="3"/>
        <v>13311</v>
      </c>
    </row>
    <row r="105" spans="1:10">
      <c r="A105" s="30">
        <v>46225</v>
      </c>
      <c r="B105" s="31" t="s">
        <v>1302</v>
      </c>
      <c r="C105" s="32" t="s">
        <v>252</v>
      </c>
      <c r="D105" s="19" t="s">
        <v>2217</v>
      </c>
      <c r="E105" s="275">
        <v>557741</v>
      </c>
      <c r="F105" s="272"/>
      <c r="G105" s="32" t="s">
        <v>434</v>
      </c>
      <c r="H105" s="32" t="s">
        <v>334</v>
      </c>
      <c r="I105" s="2">
        <f t="shared" si="2"/>
        <v>557741</v>
      </c>
      <c r="J105" s="42" t="str">
        <f t="shared" si="3"/>
        <v>13311</v>
      </c>
    </row>
    <row r="106" spans="1:10">
      <c r="A106" s="30">
        <v>46225</v>
      </c>
      <c r="B106" s="31" t="s">
        <v>1302</v>
      </c>
      <c r="C106" s="32" t="s">
        <v>252</v>
      </c>
      <c r="D106" s="19" t="s">
        <v>2217</v>
      </c>
      <c r="E106" s="275">
        <v>67865</v>
      </c>
      <c r="F106" s="272"/>
      <c r="G106" s="32" t="s">
        <v>434</v>
      </c>
      <c r="H106" s="32" t="s">
        <v>334</v>
      </c>
      <c r="I106" s="2">
        <f t="shared" si="2"/>
        <v>67865</v>
      </c>
      <c r="J106" s="42" t="str">
        <f t="shared" si="3"/>
        <v>13311</v>
      </c>
    </row>
    <row r="107" spans="1:10">
      <c r="A107" s="30">
        <v>46225</v>
      </c>
      <c r="B107" s="31" t="s">
        <v>1302</v>
      </c>
      <c r="C107" s="32" t="s">
        <v>252</v>
      </c>
      <c r="D107" s="19" t="s">
        <v>2217</v>
      </c>
      <c r="E107" s="275">
        <v>938998</v>
      </c>
      <c r="F107" s="272"/>
      <c r="G107" s="32" t="s">
        <v>434</v>
      </c>
      <c r="H107" s="32" t="s">
        <v>334</v>
      </c>
      <c r="I107" s="2">
        <f t="shared" si="2"/>
        <v>938998</v>
      </c>
      <c r="J107" s="42" t="str">
        <f t="shared" si="3"/>
        <v>13311</v>
      </c>
    </row>
    <row r="108" spans="1:10">
      <c r="A108" s="30">
        <v>46225</v>
      </c>
      <c r="B108" s="31" t="s">
        <v>1302</v>
      </c>
      <c r="C108" s="32" t="s">
        <v>252</v>
      </c>
      <c r="D108" s="19" t="s">
        <v>2217</v>
      </c>
      <c r="E108" s="275">
        <v>554373</v>
      </c>
      <c r="F108" s="272"/>
      <c r="G108" s="32" t="s">
        <v>434</v>
      </c>
      <c r="H108" s="32" t="s">
        <v>334</v>
      </c>
      <c r="I108" s="2">
        <f t="shared" si="2"/>
        <v>554373</v>
      </c>
      <c r="J108" s="42" t="str">
        <f t="shared" si="3"/>
        <v>13311</v>
      </c>
    </row>
    <row r="109" spans="1:10">
      <c r="A109" s="30">
        <v>46225</v>
      </c>
      <c r="B109" s="31" t="s">
        <v>1302</v>
      </c>
      <c r="C109" s="32" t="s">
        <v>252</v>
      </c>
      <c r="D109" s="19" t="s">
        <v>2217</v>
      </c>
      <c r="E109" s="275">
        <v>57291</v>
      </c>
      <c r="F109" s="272"/>
      <c r="G109" s="32" t="s">
        <v>434</v>
      </c>
      <c r="H109" s="32" t="s">
        <v>334</v>
      </c>
      <c r="I109" s="2">
        <f t="shared" si="2"/>
        <v>57291</v>
      </c>
      <c r="J109" s="42" t="str">
        <f t="shared" si="3"/>
        <v>13311</v>
      </c>
    </row>
    <row r="110" spans="1:10">
      <c r="A110" s="30">
        <v>46225</v>
      </c>
      <c r="B110" s="31" t="s">
        <v>1302</v>
      </c>
      <c r="C110" s="32" t="s">
        <v>252</v>
      </c>
      <c r="D110" s="19" t="s">
        <v>2217</v>
      </c>
      <c r="E110" s="275">
        <v>395066</v>
      </c>
      <c r="F110" s="272"/>
      <c r="G110" s="32" t="s">
        <v>434</v>
      </c>
      <c r="H110" s="32" t="s">
        <v>334</v>
      </c>
      <c r="I110" s="2">
        <f t="shared" si="2"/>
        <v>395066</v>
      </c>
      <c r="J110" s="42" t="str">
        <f t="shared" si="3"/>
        <v>13311</v>
      </c>
    </row>
    <row r="111" spans="1:10">
      <c r="A111" s="30">
        <v>46225</v>
      </c>
      <c r="B111" s="31" t="s">
        <v>1302</v>
      </c>
      <c r="C111" s="32" t="s">
        <v>252</v>
      </c>
      <c r="D111" s="19" t="s">
        <v>2217</v>
      </c>
      <c r="E111" s="275">
        <v>9914550</v>
      </c>
      <c r="F111" s="272"/>
      <c r="G111" s="32" t="s">
        <v>434</v>
      </c>
      <c r="H111" s="32" t="s">
        <v>334</v>
      </c>
      <c r="I111" s="2">
        <f t="shared" si="2"/>
        <v>9914550</v>
      </c>
      <c r="J111" s="42" t="str">
        <f t="shared" si="3"/>
        <v>13311</v>
      </c>
    </row>
    <row r="112" spans="1:10">
      <c r="A112" s="30">
        <v>46225</v>
      </c>
      <c r="B112" s="31" t="s">
        <v>1302</v>
      </c>
      <c r="C112" s="32" t="s">
        <v>252</v>
      </c>
      <c r="D112" s="19" t="s">
        <v>2217</v>
      </c>
      <c r="E112" s="275">
        <v>14988</v>
      </c>
      <c r="F112" s="272"/>
      <c r="G112" s="32" t="s">
        <v>434</v>
      </c>
      <c r="H112" s="32" t="s">
        <v>334</v>
      </c>
      <c r="I112" s="2">
        <f t="shared" si="2"/>
        <v>14988</v>
      </c>
      <c r="J112" s="42" t="str">
        <f t="shared" si="3"/>
        <v>13311</v>
      </c>
    </row>
    <row r="113" spans="1:10">
      <c r="A113" s="30">
        <v>46225</v>
      </c>
      <c r="B113" s="31" t="s">
        <v>1302</v>
      </c>
      <c r="C113" s="32" t="s">
        <v>252</v>
      </c>
      <c r="D113" s="19" t="s">
        <v>2217</v>
      </c>
      <c r="E113" s="275">
        <v>197365</v>
      </c>
      <c r="F113" s="272"/>
      <c r="G113" s="32" t="s">
        <v>434</v>
      </c>
      <c r="H113" s="32" t="s">
        <v>334</v>
      </c>
      <c r="I113" s="2">
        <f t="shared" si="2"/>
        <v>197365</v>
      </c>
      <c r="J113" s="42" t="str">
        <f t="shared" si="3"/>
        <v>13311</v>
      </c>
    </row>
    <row r="114" spans="1:10">
      <c r="A114" s="30">
        <v>46225</v>
      </c>
      <c r="B114" s="31" t="s">
        <v>1302</v>
      </c>
      <c r="C114" s="32" t="s">
        <v>252</v>
      </c>
      <c r="D114" s="19" t="s">
        <v>2217</v>
      </c>
      <c r="E114" s="275">
        <v>904308</v>
      </c>
      <c r="F114" s="272"/>
      <c r="G114" s="32" t="s">
        <v>434</v>
      </c>
      <c r="H114" s="32" t="s">
        <v>334</v>
      </c>
      <c r="I114" s="2">
        <f t="shared" si="2"/>
        <v>904308</v>
      </c>
      <c r="J114" s="42" t="str">
        <f t="shared" si="3"/>
        <v>13311</v>
      </c>
    </row>
    <row r="115" spans="1:10">
      <c r="A115" s="30">
        <v>46225</v>
      </c>
      <c r="B115" s="31" t="s">
        <v>1302</v>
      </c>
      <c r="C115" s="32" t="s">
        <v>252</v>
      </c>
      <c r="D115" s="19" t="s">
        <v>2217</v>
      </c>
      <c r="E115" s="275">
        <v>1022862</v>
      </c>
      <c r="F115" s="272"/>
      <c r="G115" s="32" t="s">
        <v>434</v>
      </c>
      <c r="H115" s="32" t="s">
        <v>334</v>
      </c>
      <c r="I115" s="2">
        <f t="shared" si="2"/>
        <v>1022862</v>
      </c>
      <c r="J115" s="42" t="str">
        <f t="shared" si="3"/>
        <v>13311</v>
      </c>
    </row>
    <row r="116" spans="1:10">
      <c r="A116" s="30">
        <v>46225</v>
      </c>
      <c r="B116" s="31" t="s">
        <v>1302</v>
      </c>
      <c r="C116" s="32" t="s">
        <v>252</v>
      </c>
      <c r="D116" s="19" t="s">
        <v>2217</v>
      </c>
      <c r="E116" s="275">
        <v>2687664</v>
      </c>
      <c r="F116" s="272"/>
      <c r="G116" s="32" t="s">
        <v>434</v>
      </c>
      <c r="H116" s="32" t="s">
        <v>334</v>
      </c>
      <c r="I116" s="2">
        <f t="shared" si="2"/>
        <v>2687664</v>
      </c>
      <c r="J116" s="42" t="str">
        <f t="shared" si="3"/>
        <v>13311</v>
      </c>
    </row>
    <row r="117" spans="1:10">
      <c r="A117" s="30">
        <v>46225</v>
      </c>
      <c r="B117" s="31" t="s">
        <v>1302</v>
      </c>
      <c r="C117" s="32" t="s">
        <v>252</v>
      </c>
      <c r="D117" s="19" t="s">
        <v>2217</v>
      </c>
      <c r="E117" s="275">
        <v>142803</v>
      </c>
      <c r="F117" s="272"/>
      <c r="G117" s="32" t="s">
        <v>434</v>
      </c>
      <c r="H117" s="32" t="s">
        <v>334</v>
      </c>
      <c r="I117" s="2">
        <f t="shared" si="2"/>
        <v>142803</v>
      </c>
      <c r="J117" s="42" t="str">
        <f t="shared" si="3"/>
        <v>13311</v>
      </c>
    </row>
    <row r="118" spans="1:10">
      <c r="A118" s="30">
        <v>46225</v>
      </c>
      <c r="B118" s="31" t="s">
        <v>1302</v>
      </c>
      <c r="C118" s="32" t="s">
        <v>252</v>
      </c>
      <c r="D118" s="19" t="s">
        <v>2217</v>
      </c>
      <c r="E118" s="275">
        <v>146676</v>
      </c>
      <c r="F118" s="272"/>
      <c r="G118" s="32" t="s">
        <v>434</v>
      </c>
      <c r="H118" s="32" t="s">
        <v>334</v>
      </c>
      <c r="I118" s="2">
        <f t="shared" si="2"/>
        <v>146676</v>
      </c>
      <c r="J118" s="42" t="str">
        <f t="shared" si="3"/>
        <v>13311</v>
      </c>
    </row>
    <row r="119" spans="1:10">
      <c r="A119" s="30">
        <v>46225</v>
      </c>
      <c r="B119" s="31" t="s">
        <v>1302</v>
      </c>
      <c r="C119" s="32" t="s">
        <v>252</v>
      </c>
      <c r="D119" s="19" t="s">
        <v>2217</v>
      </c>
      <c r="E119" s="275">
        <v>17318256</v>
      </c>
      <c r="F119" s="272"/>
      <c r="G119" s="32" t="s">
        <v>434</v>
      </c>
      <c r="H119" s="32" t="s">
        <v>334</v>
      </c>
      <c r="I119" s="2">
        <f t="shared" si="2"/>
        <v>17318256</v>
      </c>
      <c r="J119" s="42" t="str">
        <f t="shared" si="3"/>
        <v>13311</v>
      </c>
    </row>
    <row r="120" spans="1:10">
      <c r="A120" s="30">
        <v>46225</v>
      </c>
      <c r="B120" s="31" t="s">
        <v>1302</v>
      </c>
      <c r="C120" s="32" t="s">
        <v>252</v>
      </c>
      <c r="D120" s="19" t="s">
        <v>2217</v>
      </c>
      <c r="E120" s="275">
        <v>1449756</v>
      </c>
      <c r="F120" s="272"/>
      <c r="G120" s="32" t="s">
        <v>434</v>
      </c>
      <c r="H120" s="32" t="s">
        <v>334</v>
      </c>
      <c r="I120" s="2">
        <f t="shared" si="2"/>
        <v>1449756</v>
      </c>
      <c r="J120" s="42" t="str">
        <f t="shared" si="3"/>
        <v>13311</v>
      </c>
    </row>
    <row r="121" spans="1:10">
      <c r="A121" s="30">
        <v>46225</v>
      </c>
      <c r="B121" s="31" t="s">
        <v>1302</v>
      </c>
      <c r="C121" s="32" t="s">
        <v>252</v>
      </c>
      <c r="D121" s="19" t="s">
        <v>2217</v>
      </c>
      <c r="E121" s="275">
        <v>17065828</v>
      </c>
      <c r="F121" s="272"/>
      <c r="G121" s="32" t="s">
        <v>434</v>
      </c>
      <c r="H121" s="32" t="s">
        <v>334</v>
      </c>
      <c r="I121" s="2">
        <f t="shared" si="2"/>
        <v>17065828</v>
      </c>
      <c r="J121" s="42" t="str">
        <f t="shared" si="3"/>
        <v>13311</v>
      </c>
    </row>
    <row r="122" spans="1:10">
      <c r="A122" s="30">
        <v>46225</v>
      </c>
      <c r="B122" s="31" t="s">
        <v>1302</v>
      </c>
      <c r="C122" s="32" t="s">
        <v>252</v>
      </c>
      <c r="D122" s="19" t="s">
        <v>2217</v>
      </c>
      <c r="E122" s="275">
        <v>5405135</v>
      </c>
      <c r="F122" s="272"/>
      <c r="G122" s="32" t="s">
        <v>434</v>
      </c>
      <c r="H122" s="32" t="s">
        <v>334</v>
      </c>
      <c r="I122" s="2">
        <f t="shared" si="2"/>
        <v>5405135</v>
      </c>
      <c r="J122" s="42" t="str">
        <f t="shared" si="3"/>
        <v>13311</v>
      </c>
    </row>
    <row r="123" spans="1:10">
      <c r="A123" s="30">
        <v>46225</v>
      </c>
      <c r="B123" s="31" t="s">
        <v>1302</v>
      </c>
      <c r="C123" s="32" t="s">
        <v>252</v>
      </c>
      <c r="D123" s="19" t="s">
        <v>2217</v>
      </c>
      <c r="E123" s="275">
        <v>4356171</v>
      </c>
      <c r="F123" s="272"/>
      <c r="G123" s="32" t="s">
        <v>434</v>
      </c>
      <c r="H123" s="32" t="s">
        <v>334</v>
      </c>
      <c r="I123" s="2">
        <f t="shared" si="2"/>
        <v>4356171</v>
      </c>
      <c r="J123" s="42" t="str">
        <f t="shared" si="3"/>
        <v>13311</v>
      </c>
    </row>
    <row r="124" spans="1:10">
      <c r="A124" s="30">
        <v>46225</v>
      </c>
      <c r="B124" s="31" t="s">
        <v>1302</v>
      </c>
      <c r="C124" s="32" t="s">
        <v>252</v>
      </c>
      <c r="D124" s="19" t="s">
        <v>2217</v>
      </c>
      <c r="E124" s="275">
        <v>38732</v>
      </c>
      <c r="F124" s="272"/>
      <c r="G124" s="32" t="s">
        <v>434</v>
      </c>
      <c r="H124" s="32" t="s">
        <v>334</v>
      </c>
      <c r="I124" s="2">
        <f t="shared" si="2"/>
        <v>38732</v>
      </c>
      <c r="J124" s="42" t="str">
        <f t="shared" si="3"/>
        <v>13311</v>
      </c>
    </row>
    <row r="125" spans="1:10">
      <c r="A125" s="30">
        <v>46225</v>
      </c>
      <c r="B125" s="31" t="s">
        <v>1302</v>
      </c>
      <c r="C125" s="32" t="s">
        <v>252</v>
      </c>
      <c r="D125" s="19" t="s">
        <v>2217</v>
      </c>
      <c r="E125" s="275">
        <v>83526</v>
      </c>
      <c r="F125" s="272"/>
      <c r="G125" s="32" t="s">
        <v>434</v>
      </c>
      <c r="H125" s="32" t="s">
        <v>334</v>
      </c>
      <c r="I125" s="2">
        <f t="shared" si="2"/>
        <v>83526</v>
      </c>
      <c r="J125" s="42" t="str">
        <f t="shared" si="3"/>
        <v>13311</v>
      </c>
    </row>
    <row r="126" spans="1:10">
      <c r="A126" s="30">
        <v>46225</v>
      </c>
      <c r="B126" s="31" t="s">
        <v>1302</v>
      </c>
      <c r="C126" s="32" t="s">
        <v>252</v>
      </c>
      <c r="D126" s="19" t="s">
        <v>2220</v>
      </c>
      <c r="E126" s="275">
        <v>119564</v>
      </c>
      <c r="F126" s="272"/>
      <c r="G126" s="32" t="s">
        <v>434</v>
      </c>
      <c r="H126" s="32" t="s">
        <v>334</v>
      </c>
      <c r="I126" s="2">
        <f t="shared" si="2"/>
        <v>119564</v>
      </c>
      <c r="J126" s="42" t="str">
        <f t="shared" si="3"/>
        <v>13311</v>
      </c>
    </row>
    <row r="127" spans="1:10">
      <c r="A127" s="30">
        <v>46225</v>
      </c>
      <c r="B127" s="31" t="s">
        <v>1302</v>
      </c>
      <c r="C127" s="32" t="s">
        <v>252</v>
      </c>
      <c r="D127" s="19" t="s">
        <v>2220</v>
      </c>
      <c r="E127" s="275">
        <v>126468</v>
      </c>
      <c r="F127" s="272"/>
      <c r="G127" s="32" t="s">
        <v>434</v>
      </c>
      <c r="H127" s="32" t="s">
        <v>334</v>
      </c>
      <c r="I127" s="2">
        <f t="shared" si="2"/>
        <v>126468</v>
      </c>
      <c r="J127" s="42" t="str">
        <f t="shared" si="3"/>
        <v>13311</v>
      </c>
    </row>
    <row r="128" spans="1:10">
      <c r="A128" s="30">
        <v>46225</v>
      </c>
      <c r="B128" s="31" t="s">
        <v>1302</v>
      </c>
      <c r="C128" s="32" t="s">
        <v>252</v>
      </c>
      <c r="D128" s="19" t="s">
        <v>2220</v>
      </c>
      <c r="E128" s="275">
        <v>191808</v>
      </c>
      <c r="F128" s="272"/>
      <c r="G128" s="32" t="s">
        <v>434</v>
      </c>
      <c r="H128" s="32" t="s">
        <v>334</v>
      </c>
      <c r="I128" s="2">
        <f t="shared" si="2"/>
        <v>191808</v>
      </c>
      <c r="J128" s="42" t="str">
        <f t="shared" si="3"/>
        <v>13311</v>
      </c>
    </row>
    <row r="129" spans="1:10">
      <c r="A129" s="30">
        <v>46225</v>
      </c>
      <c r="B129" s="31" t="s">
        <v>1302</v>
      </c>
      <c r="C129" s="32" t="s">
        <v>252</v>
      </c>
      <c r="D129" s="19" t="s">
        <v>2218</v>
      </c>
      <c r="E129" s="275">
        <v>184735</v>
      </c>
      <c r="F129" s="272"/>
      <c r="G129" s="32" t="s">
        <v>434</v>
      </c>
      <c r="H129" s="32" t="s">
        <v>334</v>
      </c>
      <c r="I129" s="2">
        <f t="shared" si="2"/>
        <v>184735</v>
      </c>
      <c r="J129" s="42" t="str">
        <f t="shared" si="3"/>
        <v>13311</v>
      </c>
    </row>
    <row r="130" spans="1:10">
      <c r="A130" s="30">
        <v>46225</v>
      </c>
      <c r="B130" s="31" t="s">
        <v>1302</v>
      </c>
      <c r="C130" s="32" t="s">
        <v>252</v>
      </c>
      <c r="D130" s="19" t="s">
        <v>2218</v>
      </c>
      <c r="E130" s="275">
        <v>19957084</v>
      </c>
      <c r="F130" s="272"/>
      <c r="G130" s="32" t="s">
        <v>434</v>
      </c>
      <c r="H130" s="32" t="s">
        <v>334</v>
      </c>
      <c r="I130" s="2">
        <f t="shared" si="2"/>
        <v>19957084</v>
      </c>
      <c r="J130" s="42" t="str">
        <f t="shared" si="3"/>
        <v>13311</v>
      </c>
    </row>
    <row r="131" spans="1:10">
      <c r="A131" s="30">
        <v>46225</v>
      </c>
      <c r="B131" s="31" t="s">
        <v>1302</v>
      </c>
      <c r="C131" s="32" t="s">
        <v>252</v>
      </c>
      <c r="D131" s="19" t="s">
        <v>2217</v>
      </c>
      <c r="E131" s="275">
        <v>44626</v>
      </c>
      <c r="F131" s="272"/>
      <c r="G131" s="32" t="s">
        <v>434</v>
      </c>
      <c r="H131" s="32" t="s">
        <v>334</v>
      </c>
      <c r="I131" s="2">
        <f t="shared" si="2"/>
        <v>44626</v>
      </c>
      <c r="J131" s="42" t="str">
        <f t="shared" si="3"/>
        <v>13311</v>
      </c>
    </row>
    <row r="132" spans="1:10">
      <c r="A132" s="30">
        <v>46225</v>
      </c>
      <c r="B132" s="31" t="s">
        <v>1302</v>
      </c>
      <c r="C132" s="32" t="s">
        <v>252</v>
      </c>
      <c r="D132" s="19" t="s">
        <v>2217</v>
      </c>
      <c r="E132" s="275">
        <v>19871</v>
      </c>
      <c r="F132" s="272"/>
      <c r="G132" s="32" t="s">
        <v>434</v>
      </c>
      <c r="H132" s="32" t="s">
        <v>334</v>
      </c>
      <c r="I132" s="2">
        <f t="shared" si="2"/>
        <v>19871</v>
      </c>
      <c r="J132" s="42" t="str">
        <f t="shared" si="3"/>
        <v>13311</v>
      </c>
    </row>
    <row r="133" spans="1:10">
      <c r="A133" s="30">
        <v>46225</v>
      </c>
      <c r="B133" s="31" t="s">
        <v>1302</v>
      </c>
      <c r="C133" s="32" t="s">
        <v>252</v>
      </c>
      <c r="D133" s="19" t="s">
        <v>2217</v>
      </c>
      <c r="E133" s="275">
        <v>1436284</v>
      </c>
      <c r="F133" s="272"/>
      <c r="G133" s="32" t="s">
        <v>434</v>
      </c>
      <c r="H133" s="32" t="s">
        <v>334</v>
      </c>
      <c r="I133" s="2">
        <f t="shared" si="2"/>
        <v>1436284</v>
      </c>
      <c r="J133" s="42" t="str">
        <f t="shared" si="3"/>
        <v>13311</v>
      </c>
    </row>
    <row r="134" spans="1:10">
      <c r="A134" s="30">
        <v>46225</v>
      </c>
      <c r="B134" s="31" t="s">
        <v>1302</v>
      </c>
      <c r="C134" s="32" t="s">
        <v>252</v>
      </c>
      <c r="D134" s="19" t="s">
        <v>2218</v>
      </c>
      <c r="E134" s="275">
        <v>177325</v>
      </c>
      <c r="F134" s="272"/>
      <c r="G134" s="32" t="s">
        <v>434</v>
      </c>
      <c r="H134" s="32" t="s">
        <v>334</v>
      </c>
      <c r="I134" s="2">
        <f t="shared" si="2"/>
        <v>177325</v>
      </c>
      <c r="J134" s="42" t="str">
        <f t="shared" si="3"/>
        <v>13311</v>
      </c>
    </row>
    <row r="135" spans="1:10">
      <c r="A135" s="30">
        <v>46225</v>
      </c>
      <c r="B135" s="31" t="s">
        <v>1302</v>
      </c>
      <c r="C135" s="32" t="s">
        <v>252</v>
      </c>
      <c r="D135" s="19" t="s">
        <v>2217</v>
      </c>
      <c r="E135" s="275">
        <v>48838</v>
      </c>
      <c r="F135" s="272"/>
      <c r="G135" s="32" t="s">
        <v>434</v>
      </c>
      <c r="H135" s="32" t="s">
        <v>334</v>
      </c>
      <c r="I135" s="2">
        <f t="shared" si="2"/>
        <v>48838</v>
      </c>
      <c r="J135" s="42" t="str">
        <f t="shared" si="3"/>
        <v>13311</v>
      </c>
    </row>
    <row r="136" spans="1:10">
      <c r="A136" s="30">
        <v>46225</v>
      </c>
      <c r="B136" s="31" t="s">
        <v>1302</v>
      </c>
      <c r="C136" s="32" t="s">
        <v>252</v>
      </c>
      <c r="D136" s="19" t="s">
        <v>2217</v>
      </c>
      <c r="E136" s="275">
        <v>425042</v>
      </c>
      <c r="F136" s="272"/>
      <c r="G136" s="32" t="s">
        <v>434</v>
      </c>
      <c r="H136" s="32" t="s">
        <v>334</v>
      </c>
      <c r="I136" s="2">
        <f t="shared" si="2"/>
        <v>425042</v>
      </c>
      <c r="J136" s="42" t="str">
        <f t="shared" si="3"/>
        <v>13311</v>
      </c>
    </row>
    <row r="137" spans="1:10">
      <c r="A137" s="30">
        <v>46225</v>
      </c>
      <c r="B137" s="31" t="s">
        <v>1302</v>
      </c>
      <c r="C137" s="32" t="s">
        <v>252</v>
      </c>
      <c r="D137" s="19" t="s">
        <v>2217</v>
      </c>
      <c r="E137" s="275">
        <v>3258372</v>
      </c>
      <c r="F137" s="272"/>
      <c r="G137" s="32" t="s">
        <v>434</v>
      </c>
      <c r="H137" s="32" t="s">
        <v>334</v>
      </c>
      <c r="I137" s="2">
        <f t="shared" si="2"/>
        <v>3258372</v>
      </c>
      <c r="J137" s="42" t="str">
        <f t="shared" si="3"/>
        <v>13311</v>
      </c>
    </row>
    <row r="138" spans="1:10">
      <c r="A138" s="30">
        <v>46225</v>
      </c>
      <c r="B138" s="31" t="s">
        <v>1302</v>
      </c>
      <c r="C138" s="32" t="s">
        <v>252</v>
      </c>
      <c r="D138" s="19" t="s">
        <v>2217</v>
      </c>
      <c r="E138" s="275">
        <v>23492305</v>
      </c>
      <c r="F138" s="272"/>
      <c r="G138" s="32" t="s">
        <v>434</v>
      </c>
      <c r="H138" s="32" t="s">
        <v>334</v>
      </c>
      <c r="I138" s="2">
        <f t="shared" si="2"/>
        <v>23492305</v>
      </c>
      <c r="J138" s="42" t="str">
        <f t="shared" si="3"/>
        <v>13311</v>
      </c>
    </row>
    <row r="139" spans="1:10">
      <c r="A139" s="30">
        <v>46225</v>
      </c>
      <c r="B139" s="31" t="s">
        <v>1302</v>
      </c>
      <c r="C139" s="32" t="s">
        <v>252</v>
      </c>
      <c r="D139" s="19" t="s">
        <v>2217</v>
      </c>
      <c r="E139" s="275">
        <v>18425654</v>
      </c>
      <c r="F139" s="272"/>
      <c r="G139" s="32" t="s">
        <v>434</v>
      </c>
      <c r="H139" s="32" t="s">
        <v>334</v>
      </c>
      <c r="I139" s="2">
        <f t="shared" ref="I139:I202" si="4">IF(LEN(A139)=5,E139,0)</f>
        <v>18425654</v>
      </c>
      <c r="J139" s="42" t="str">
        <f t="shared" ref="J139:J202" si="5">IF(LEFT(A139,11)="Tài khoản: ",MID(A139,12,5),J138)</f>
        <v>13311</v>
      </c>
    </row>
    <row r="140" spans="1:10">
      <c r="A140" s="30">
        <v>46225</v>
      </c>
      <c r="B140" s="31" t="s">
        <v>1302</v>
      </c>
      <c r="C140" s="32" t="s">
        <v>252</v>
      </c>
      <c r="D140" s="19" t="s">
        <v>2217</v>
      </c>
      <c r="E140" s="275">
        <v>15107669</v>
      </c>
      <c r="F140" s="272"/>
      <c r="G140" s="32" t="s">
        <v>434</v>
      </c>
      <c r="H140" s="32" t="s">
        <v>334</v>
      </c>
      <c r="I140" s="2">
        <f t="shared" si="4"/>
        <v>15107669</v>
      </c>
      <c r="J140" s="42" t="str">
        <f t="shared" si="5"/>
        <v>13311</v>
      </c>
    </row>
    <row r="141" spans="1:10">
      <c r="A141" s="30">
        <v>46225</v>
      </c>
      <c r="B141" s="31" t="s">
        <v>1302</v>
      </c>
      <c r="C141" s="32" t="s">
        <v>252</v>
      </c>
      <c r="D141" s="19" t="s">
        <v>2217</v>
      </c>
      <c r="E141" s="275">
        <v>17279861</v>
      </c>
      <c r="F141" s="272"/>
      <c r="G141" s="32" t="s">
        <v>434</v>
      </c>
      <c r="H141" s="32" t="s">
        <v>334</v>
      </c>
      <c r="I141" s="2">
        <f t="shared" si="4"/>
        <v>17279861</v>
      </c>
      <c r="J141" s="42" t="str">
        <f t="shared" si="5"/>
        <v>13311</v>
      </c>
    </row>
    <row r="142" spans="1:10">
      <c r="A142" s="30">
        <v>46225</v>
      </c>
      <c r="B142" s="31" t="s">
        <v>1302</v>
      </c>
      <c r="C142" s="32" t="s">
        <v>252</v>
      </c>
      <c r="D142" s="19" t="s">
        <v>2217</v>
      </c>
      <c r="E142" s="275">
        <v>16885468</v>
      </c>
      <c r="F142" s="272"/>
      <c r="G142" s="32" t="s">
        <v>434</v>
      </c>
      <c r="H142" s="32" t="s">
        <v>334</v>
      </c>
      <c r="I142" s="2">
        <f t="shared" si="4"/>
        <v>16885468</v>
      </c>
      <c r="J142" s="42" t="str">
        <f t="shared" si="5"/>
        <v>13311</v>
      </c>
    </row>
    <row r="143" spans="1:10">
      <c r="A143" s="30">
        <v>46225</v>
      </c>
      <c r="B143" s="31" t="s">
        <v>1302</v>
      </c>
      <c r="C143" s="32" t="s">
        <v>252</v>
      </c>
      <c r="D143" s="19" t="s">
        <v>2217</v>
      </c>
      <c r="E143" s="275">
        <v>17859662</v>
      </c>
      <c r="F143" s="272"/>
      <c r="G143" s="32" t="s">
        <v>434</v>
      </c>
      <c r="H143" s="32" t="s">
        <v>334</v>
      </c>
      <c r="I143" s="2">
        <f t="shared" si="4"/>
        <v>17859662</v>
      </c>
      <c r="J143" s="42" t="str">
        <f t="shared" si="5"/>
        <v>13311</v>
      </c>
    </row>
    <row r="144" spans="1:10">
      <c r="A144" s="30">
        <v>46225</v>
      </c>
      <c r="B144" s="31" t="s">
        <v>1302</v>
      </c>
      <c r="C144" s="32" t="s">
        <v>252</v>
      </c>
      <c r="D144" s="19" t="s">
        <v>2217</v>
      </c>
      <c r="E144" s="275">
        <v>19027179</v>
      </c>
      <c r="F144" s="272"/>
      <c r="G144" s="32" t="s">
        <v>434</v>
      </c>
      <c r="H144" s="32" t="s">
        <v>334</v>
      </c>
      <c r="I144" s="2">
        <f t="shared" si="4"/>
        <v>19027179</v>
      </c>
      <c r="J144" s="42" t="str">
        <f t="shared" si="5"/>
        <v>13311</v>
      </c>
    </row>
    <row r="145" spans="1:10">
      <c r="A145" s="30">
        <v>46225</v>
      </c>
      <c r="B145" s="31" t="s">
        <v>1302</v>
      </c>
      <c r="C145" s="32" t="s">
        <v>252</v>
      </c>
      <c r="D145" s="19" t="s">
        <v>2217</v>
      </c>
      <c r="E145" s="275">
        <v>18369577</v>
      </c>
      <c r="F145" s="272"/>
      <c r="G145" s="32" t="s">
        <v>434</v>
      </c>
      <c r="H145" s="32" t="s">
        <v>334</v>
      </c>
      <c r="I145" s="2">
        <f t="shared" si="4"/>
        <v>18369577</v>
      </c>
      <c r="J145" s="42" t="str">
        <f t="shared" si="5"/>
        <v>13311</v>
      </c>
    </row>
    <row r="146" spans="1:10">
      <c r="A146" s="30">
        <v>46225</v>
      </c>
      <c r="B146" s="31" t="s">
        <v>1302</v>
      </c>
      <c r="C146" s="32" t="s">
        <v>252</v>
      </c>
      <c r="D146" s="19" t="s">
        <v>2217</v>
      </c>
      <c r="E146" s="275">
        <v>1433926</v>
      </c>
      <c r="F146" s="272"/>
      <c r="G146" s="32" t="s">
        <v>434</v>
      </c>
      <c r="H146" s="32" t="s">
        <v>334</v>
      </c>
      <c r="I146" s="2">
        <f t="shared" si="4"/>
        <v>1433926</v>
      </c>
      <c r="J146" s="42" t="str">
        <f t="shared" si="5"/>
        <v>13311</v>
      </c>
    </row>
    <row r="147" spans="1:10">
      <c r="A147" s="30">
        <v>46225</v>
      </c>
      <c r="B147" s="31" t="s">
        <v>1302</v>
      </c>
      <c r="C147" s="32" t="s">
        <v>252</v>
      </c>
      <c r="D147" s="19" t="s">
        <v>2217</v>
      </c>
      <c r="E147" s="275">
        <v>96830</v>
      </c>
      <c r="F147" s="272"/>
      <c r="G147" s="32" t="s">
        <v>434</v>
      </c>
      <c r="H147" s="32" t="s">
        <v>334</v>
      </c>
      <c r="I147" s="2">
        <f t="shared" si="4"/>
        <v>96830</v>
      </c>
      <c r="J147" s="42" t="str">
        <f t="shared" si="5"/>
        <v>13311</v>
      </c>
    </row>
    <row r="148" spans="1:10">
      <c r="A148" s="30">
        <v>46225</v>
      </c>
      <c r="B148" s="31" t="s">
        <v>1302</v>
      </c>
      <c r="C148" s="32" t="s">
        <v>252</v>
      </c>
      <c r="D148" s="19" t="s">
        <v>2217</v>
      </c>
      <c r="E148" s="275">
        <v>19549724</v>
      </c>
      <c r="F148" s="272"/>
      <c r="G148" s="32" t="s">
        <v>434</v>
      </c>
      <c r="H148" s="32" t="s">
        <v>334</v>
      </c>
      <c r="I148" s="2">
        <f t="shared" si="4"/>
        <v>19549724</v>
      </c>
      <c r="J148" s="42" t="str">
        <f t="shared" si="5"/>
        <v>13311</v>
      </c>
    </row>
    <row r="149" spans="1:10">
      <c r="A149" s="30">
        <v>46225</v>
      </c>
      <c r="B149" s="31" t="s">
        <v>1302</v>
      </c>
      <c r="C149" s="32" t="s">
        <v>252</v>
      </c>
      <c r="D149" s="19" t="s">
        <v>2217</v>
      </c>
      <c r="E149" s="275">
        <v>8989024</v>
      </c>
      <c r="F149" s="272"/>
      <c r="G149" s="32" t="s">
        <v>434</v>
      </c>
      <c r="H149" s="32" t="s">
        <v>334</v>
      </c>
      <c r="I149" s="2">
        <f t="shared" si="4"/>
        <v>8989024</v>
      </c>
      <c r="J149" s="42" t="str">
        <f t="shared" si="5"/>
        <v>13311</v>
      </c>
    </row>
    <row r="150" spans="1:10">
      <c r="A150" s="30">
        <v>46225</v>
      </c>
      <c r="B150" s="31" t="s">
        <v>1302</v>
      </c>
      <c r="C150" s="32" t="s">
        <v>252</v>
      </c>
      <c r="D150" s="19" t="s">
        <v>2217</v>
      </c>
      <c r="E150" s="275">
        <v>115859</v>
      </c>
      <c r="F150" s="272"/>
      <c r="G150" s="32" t="s">
        <v>434</v>
      </c>
      <c r="H150" s="32" t="s">
        <v>334</v>
      </c>
      <c r="I150" s="2">
        <f t="shared" si="4"/>
        <v>115859</v>
      </c>
      <c r="J150" s="42" t="str">
        <f t="shared" si="5"/>
        <v>13311</v>
      </c>
    </row>
    <row r="151" spans="1:10">
      <c r="A151" s="30">
        <v>46225</v>
      </c>
      <c r="B151" s="31" t="s">
        <v>1302</v>
      </c>
      <c r="C151" s="32" t="s">
        <v>252</v>
      </c>
      <c r="D151" s="19" t="s">
        <v>2217</v>
      </c>
      <c r="E151" s="275">
        <v>2632597</v>
      </c>
      <c r="F151" s="272"/>
      <c r="G151" s="32" t="s">
        <v>434</v>
      </c>
      <c r="H151" s="32" t="s">
        <v>334</v>
      </c>
      <c r="I151" s="2">
        <f t="shared" si="4"/>
        <v>2632597</v>
      </c>
      <c r="J151" s="42" t="str">
        <f t="shared" si="5"/>
        <v>13311</v>
      </c>
    </row>
    <row r="152" spans="1:10">
      <c r="A152" s="30">
        <v>46225</v>
      </c>
      <c r="B152" s="31" t="s">
        <v>1302</v>
      </c>
      <c r="C152" s="32" t="s">
        <v>252</v>
      </c>
      <c r="D152" s="19" t="s">
        <v>2217</v>
      </c>
      <c r="E152" s="275">
        <v>8423705</v>
      </c>
      <c r="F152" s="272"/>
      <c r="G152" s="32" t="s">
        <v>434</v>
      </c>
      <c r="H152" s="32" t="s">
        <v>334</v>
      </c>
      <c r="I152" s="2">
        <f t="shared" si="4"/>
        <v>8423705</v>
      </c>
      <c r="J152" s="42" t="str">
        <f t="shared" si="5"/>
        <v>13311</v>
      </c>
    </row>
    <row r="153" spans="1:10">
      <c r="A153" s="30">
        <v>46225</v>
      </c>
      <c r="B153" s="31" t="s">
        <v>1302</v>
      </c>
      <c r="C153" s="32" t="s">
        <v>252</v>
      </c>
      <c r="D153" s="19" t="s">
        <v>2217</v>
      </c>
      <c r="E153" s="275">
        <v>7641318</v>
      </c>
      <c r="F153" s="272"/>
      <c r="G153" s="32" t="s">
        <v>434</v>
      </c>
      <c r="H153" s="32" t="s">
        <v>334</v>
      </c>
      <c r="I153" s="2">
        <f t="shared" si="4"/>
        <v>7641318</v>
      </c>
      <c r="J153" s="42" t="str">
        <f t="shared" si="5"/>
        <v>13311</v>
      </c>
    </row>
    <row r="154" spans="1:10">
      <c r="A154" s="30">
        <v>46225</v>
      </c>
      <c r="B154" s="31" t="s">
        <v>1302</v>
      </c>
      <c r="C154" s="32" t="s">
        <v>252</v>
      </c>
      <c r="D154" s="19" t="s">
        <v>2217</v>
      </c>
      <c r="E154" s="275">
        <v>518335</v>
      </c>
      <c r="F154" s="272"/>
      <c r="G154" s="32" t="s">
        <v>434</v>
      </c>
      <c r="H154" s="32" t="s">
        <v>334</v>
      </c>
      <c r="I154" s="2">
        <f t="shared" si="4"/>
        <v>518335</v>
      </c>
      <c r="J154" s="42" t="str">
        <f t="shared" si="5"/>
        <v>13311</v>
      </c>
    </row>
    <row r="155" spans="1:10">
      <c r="A155" s="30">
        <v>46225</v>
      </c>
      <c r="B155" s="31" t="s">
        <v>1302</v>
      </c>
      <c r="C155" s="32" t="s">
        <v>252</v>
      </c>
      <c r="D155" s="19" t="s">
        <v>2217</v>
      </c>
      <c r="E155" s="275">
        <v>19035518</v>
      </c>
      <c r="F155" s="272"/>
      <c r="G155" s="32" t="s">
        <v>434</v>
      </c>
      <c r="H155" s="32" t="s">
        <v>334</v>
      </c>
      <c r="I155" s="2">
        <f t="shared" si="4"/>
        <v>19035518</v>
      </c>
      <c r="J155" s="42" t="str">
        <f t="shared" si="5"/>
        <v>13311</v>
      </c>
    </row>
    <row r="156" spans="1:10">
      <c r="A156" s="30">
        <v>46225</v>
      </c>
      <c r="B156" s="31" t="s">
        <v>1302</v>
      </c>
      <c r="C156" s="32" t="s">
        <v>252</v>
      </c>
      <c r="D156" s="19" t="s">
        <v>2217</v>
      </c>
      <c r="E156" s="275">
        <v>19534233</v>
      </c>
      <c r="F156" s="272"/>
      <c r="G156" s="32" t="s">
        <v>434</v>
      </c>
      <c r="H156" s="32" t="s">
        <v>334</v>
      </c>
      <c r="I156" s="2">
        <f t="shared" si="4"/>
        <v>19534233</v>
      </c>
      <c r="J156" s="42" t="str">
        <f t="shared" si="5"/>
        <v>13311</v>
      </c>
    </row>
    <row r="157" spans="1:10">
      <c r="A157" s="30">
        <v>46225</v>
      </c>
      <c r="B157" s="31" t="s">
        <v>1302</v>
      </c>
      <c r="C157" s="32" t="s">
        <v>252</v>
      </c>
      <c r="D157" s="19" t="s">
        <v>2217</v>
      </c>
      <c r="E157" s="275">
        <v>166548</v>
      </c>
      <c r="F157" s="272"/>
      <c r="G157" s="32" t="s">
        <v>434</v>
      </c>
      <c r="H157" s="32" t="s">
        <v>334</v>
      </c>
      <c r="I157" s="2">
        <f t="shared" si="4"/>
        <v>166548</v>
      </c>
      <c r="J157" s="42" t="str">
        <f t="shared" si="5"/>
        <v>13311</v>
      </c>
    </row>
    <row r="158" spans="1:10">
      <c r="A158" s="30">
        <v>46225</v>
      </c>
      <c r="B158" s="31" t="s">
        <v>1302</v>
      </c>
      <c r="C158" s="32" t="s">
        <v>252</v>
      </c>
      <c r="D158" s="19" t="s">
        <v>2217</v>
      </c>
      <c r="E158" s="275">
        <v>3699243</v>
      </c>
      <c r="F158" s="272"/>
      <c r="G158" s="32" t="s">
        <v>434</v>
      </c>
      <c r="H158" s="32" t="s">
        <v>334</v>
      </c>
      <c r="I158" s="2">
        <f t="shared" si="4"/>
        <v>3699243</v>
      </c>
      <c r="J158" s="42" t="str">
        <f t="shared" si="5"/>
        <v>13311</v>
      </c>
    </row>
    <row r="159" spans="1:10">
      <c r="A159" s="30">
        <v>46225</v>
      </c>
      <c r="B159" s="31" t="s">
        <v>1302</v>
      </c>
      <c r="C159" s="32" t="s">
        <v>252</v>
      </c>
      <c r="D159" s="19" t="s">
        <v>2217</v>
      </c>
      <c r="E159" s="275">
        <v>979920</v>
      </c>
      <c r="F159" s="272"/>
      <c r="G159" s="32" t="s">
        <v>434</v>
      </c>
      <c r="H159" s="32" t="s">
        <v>334</v>
      </c>
      <c r="I159" s="2">
        <f t="shared" si="4"/>
        <v>979920</v>
      </c>
      <c r="J159" s="42" t="str">
        <f t="shared" si="5"/>
        <v>13311</v>
      </c>
    </row>
    <row r="160" spans="1:10">
      <c r="A160" s="30">
        <v>46225</v>
      </c>
      <c r="B160" s="31" t="s">
        <v>1302</v>
      </c>
      <c r="C160" s="32" t="s">
        <v>252</v>
      </c>
      <c r="D160" s="19" t="s">
        <v>2217</v>
      </c>
      <c r="E160" s="275">
        <v>730688</v>
      </c>
      <c r="F160" s="272"/>
      <c r="G160" s="32" t="s">
        <v>434</v>
      </c>
      <c r="H160" s="32" t="s">
        <v>334</v>
      </c>
      <c r="I160" s="2">
        <f t="shared" si="4"/>
        <v>730688</v>
      </c>
      <c r="J160" s="42" t="str">
        <f t="shared" si="5"/>
        <v>13311</v>
      </c>
    </row>
    <row r="161" spans="1:10">
      <c r="A161" s="30">
        <v>46225</v>
      </c>
      <c r="B161" s="31" t="s">
        <v>1302</v>
      </c>
      <c r="C161" s="32" t="s">
        <v>252</v>
      </c>
      <c r="D161" s="19" t="s">
        <v>2217</v>
      </c>
      <c r="E161" s="275">
        <v>12692813</v>
      </c>
      <c r="F161" s="272"/>
      <c r="G161" s="32" t="s">
        <v>434</v>
      </c>
      <c r="H161" s="32" t="s">
        <v>334</v>
      </c>
      <c r="I161" s="2">
        <f t="shared" si="4"/>
        <v>12692813</v>
      </c>
      <c r="J161" s="42" t="str">
        <f t="shared" si="5"/>
        <v>13311</v>
      </c>
    </row>
    <row r="162" spans="1:10">
      <c r="A162" s="30">
        <v>46225</v>
      </c>
      <c r="B162" s="31" t="s">
        <v>1302</v>
      </c>
      <c r="C162" s="32" t="s">
        <v>252</v>
      </c>
      <c r="D162" s="19" t="s">
        <v>2217</v>
      </c>
      <c r="E162" s="275">
        <v>19875242</v>
      </c>
      <c r="F162" s="272"/>
      <c r="G162" s="32" t="s">
        <v>434</v>
      </c>
      <c r="H162" s="32" t="s">
        <v>334</v>
      </c>
      <c r="I162" s="2">
        <f t="shared" si="4"/>
        <v>19875242</v>
      </c>
      <c r="J162" s="42" t="str">
        <f t="shared" si="5"/>
        <v>13311</v>
      </c>
    </row>
    <row r="163" spans="1:10">
      <c r="A163" s="30">
        <v>46225</v>
      </c>
      <c r="B163" s="31" t="s">
        <v>1302</v>
      </c>
      <c r="C163" s="32" t="s">
        <v>252</v>
      </c>
      <c r="D163" s="19" t="s">
        <v>2217</v>
      </c>
      <c r="E163" s="275">
        <v>10242425</v>
      </c>
      <c r="F163" s="272"/>
      <c r="G163" s="32" t="s">
        <v>434</v>
      </c>
      <c r="H163" s="32" t="s">
        <v>334</v>
      </c>
      <c r="I163" s="2">
        <f t="shared" si="4"/>
        <v>10242425</v>
      </c>
      <c r="J163" s="42" t="str">
        <f t="shared" si="5"/>
        <v>13311</v>
      </c>
    </row>
    <row r="164" spans="1:10">
      <c r="A164" s="30">
        <v>46225</v>
      </c>
      <c r="B164" s="31" t="s">
        <v>1302</v>
      </c>
      <c r="C164" s="32" t="s">
        <v>252</v>
      </c>
      <c r="D164" s="19" t="s">
        <v>2217</v>
      </c>
      <c r="E164" s="275">
        <v>26776</v>
      </c>
      <c r="F164" s="272"/>
      <c r="G164" s="32" t="s">
        <v>434</v>
      </c>
      <c r="H164" s="32" t="s">
        <v>334</v>
      </c>
      <c r="I164" s="2">
        <f t="shared" si="4"/>
        <v>26776</v>
      </c>
      <c r="J164" s="42" t="str">
        <f t="shared" si="5"/>
        <v>13311</v>
      </c>
    </row>
    <row r="165" spans="1:10">
      <c r="A165" s="30">
        <v>46225</v>
      </c>
      <c r="B165" s="31" t="s">
        <v>1302</v>
      </c>
      <c r="C165" s="32" t="s">
        <v>252</v>
      </c>
      <c r="D165" s="19" t="s">
        <v>2217</v>
      </c>
      <c r="E165" s="275">
        <v>104408</v>
      </c>
      <c r="F165" s="272"/>
      <c r="G165" s="32" t="s">
        <v>434</v>
      </c>
      <c r="H165" s="32" t="s">
        <v>334</v>
      </c>
      <c r="I165" s="2">
        <f t="shared" si="4"/>
        <v>104408</v>
      </c>
      <c r="J165" s="42" t="str">
        <f t="shared" si="5"/>
        <v>13311</v>
      </c>
    </row>
    <row r="166" spans="1:10">
      <c r="A166" s="30">
        <v>46225</v>
      </c>
      <c r="B166" s="31" t="s">
        <v>1302</v>
      </c>
      <c r="C166" s="32" t="s">
        <v>252</v>
      </c>
      <c r="D166" s="19" t="s">
        <v>2217</v>
      </c>
      <c r="E166" s="275">
        <v>21555</v>
      </c>
      <c r="F166" s="272"/>
      <c r="G166" s="32" t="s">
        <v>434</v>
      </c>
      <c r="H166" s="32" t="s">
        <v>334</v>
      </c>
      <c r="I166" s="2">
        <f t="shared" si="4"/>
        <v>21555</v>
      </c>
      <c r="J166" s="42" t="str">
        <f t="shared" si="5"/>
        <v>13311</v>
      </c>
    </row>
    <row r="167" spans="1:10">
      <c r="A167" s="30">
        <v>46225</v>
      </c>
      <c r="B167" s="31" t="s">
        <v>1302</v>
      </c>
      <c r="C167" s="32" t="s">
        <v>252</v>
      </c>
      <c r="D167" s="19" t="s">
        <v>2217</v>
      </c>
      <c r="E167" s="275">
        <v>2232310</v>
      </c>
      <c r="F167" s="272"/>
      <c r="G167" s="32" t="s">
        <v>434</v>
      </c>
      <c r="H167" s="32" t="s">
        <v>334</v>
      </c>
      <c r="I167" s="2">
        <f t="shared" si="4"/>
        <v>2232310</v>
      </c>
      <c r="J167" s="42" t="str">
        <f t="shared" si="5"/>
        <v>13311</v>
      </c>
    </row>
    <row r="168" spans="1:10">
      <c r="A168" s="30">
        <v>46225</v>
      </c>
      <c r="B168" s="31" t="s">
        <v>1302</v>
      </c>
      <c r="C168" s="32" t="s">
        <v>252</v>
      </c>
      <c r="D168" s="19" t="s">
        <v>2217</v>
      </c>
      <c r="E168" s="275">
        <v>5199350</v>
      </c>
      <c r="F168" s="272"/>
      <c r="G168" s="32" t="s">
        <v>434</v>
      </c>
      <c r="H168" s="32" t="s">
        <v>334</v>
      </c>
      <c r="I168" s="2">
        <f t="shared" si="4"/>
        <v>5199350</v>
      </c>
      <c r="J168" s="42" t="str">
        <f t="shared" si="5"/>
        <v>13311</v>
      </c>
    </row>
    <row r="169" spans="1:10">
      <c r="A169" s="30">
        <v>46225</v>
      </c>
      <c r="B169" s="31" t="s">
        <v>1302</v>
      </c>
      <c r="C169" s="32" t="s">
        <v>252</v>
      </c>
      <c r="D169" s="19" t="s">
        <v>2217</v>
      </c>
      <c r="E169" s="275">
        <v>304467</v>
      </c>
      <c r="F169" s="272"/>
      <c r="G169" s="32" t="s">
        <v>434</v>
      </c>
      <c r="H169" s="32" t="s">
        <v>334</v>
      </c>
      <c r="I169" s="2">
        <f t="shared" si="4"/>
        <v>304467</v>
      </c>
      <c r="J169" s="42" t="str">
        <f t="shared" si="5"/>
        <v>13311</v>
      </c>
    </row>
    <row r="170" spans="1:10">
      <c r="A170" s="30">
        <v>46225</v>
      </c>
      <c r="B170" s="31" t="s">
        <v>1302</v>
      </c>
      <c r="C170" s="32" t="s">
        <v>252</v>
      </c>
      <c r="D170" s="19" t="s">
        <v>2217</v>
      </c>
      <c r="E170" s="275">
        <v>15156</v>
      </c>
      <c r="F170" s="272"/>
      <c r="G170" s="32" t="s">
        <v>434</v>
      </c>
      <c r="H170" s="32" t="s">
        <v>334</v>
      </c>
      <c r="I170" s="2">
        <f t="shared" si="4"/>
        <v>15156</v>
      </c>
      <c r="J170" s="42" t="str">
        <f t="shared" si="5"/>
        <v>13311</v>
      </c>
    </row>
    <row r="171" spans="1:10">
      <c r="A171" s="30">
        <v>46225</v>
      </c>
      <c r="B171" s="31" t="s">
        <v>1302</v>
      </c>
      <c r="C171" s="32" t="s">
        <v>252</v>
      </c>
      <c r="D171" s="19" t="s">
        <v>2217</v>
      </c>
      <c r="E171" s="275">
        <v>368122</v>
      </c>
      <c r="F171" s="272"/>
      <c r="G171" s="32" t="s">
        <v>434</v>
      </c>
      <c r="H171" s="32" t="s">
        <v>334</v>
      </c>
      <c r="I171" s="2">
        <f t="shared" si="4"/>
        <v>368122</v>
      </c>
      <c r="J171" s="42" t="str">
        <f t="shared" si="5"/>
        <v>13311</v>
      </c>
    </row>
    <row r="172" spans="1:10">
      <c r="A172" s="30">
        <v>46225</v>
      </c>
      <c r="B172" s="31" t="s">
        <v>1302</v>
      </c>
      <c r="C172" s="32" t="s">
        <v>252</v>
      </c>
      <c r="D172" s="19" t="s">
        <v>2217</v>
      </c>
      <c r="E172" s="275">
        <v>304636</v>
      </c>
      <c r="F172" s="272"/>
      <c r="G172" s="32" t="s">
        <v>434</v>
      </c>
      <c r="H172" s="32" t="s">
        <v>334</v>
      </c>
      <c r="I172" s="2">
        <f t="shared" si="4"/>
        <v>304636</v>
      </c>
      <c r="J172" s="42" t="str">
        <f t="shared" si="5"/>
        <v>13311</v>
      </c>
    </row>
    <row r="173" spans="1:10">
      <c r="A173" s="30">
        <v>46225</v>
      </c>
      <c r="B173" s="31" t="s">
        <v>1302</v>
      </c>
      <c r="C173" s="32" t="s">
        <v>252</v>
      </c>
      <c r="D173" s="19" t="s">
        <v>2217</v>
      </c>
      <c r="E173" s="275">
        <v>62645</v>
      </c>
      <c r="F173" s="272"/>
      <c r="G173" s="32" t="s">
        <v>434</v>
      </c>
      <c r="H173" s="32" t="s">
        <v>334</v>
      </c>
      <c r="I173" s="2">
        <f t="shared" si="4"/>
        <v>62645</v>
      </c>
      <c r="J173" s="42" t="str">
        <f t="shared" si="5"/>
        <v>13311</v>
      </c>
    </row>
    <row r="174" spans="1:10">
      <c r="A174" s="30">
        <v>46225</v>
      </c>
      <c r="B174" s="31" t="s">
        <v>1302</v>
      </c>
      <c r="C174" s="32" t="s">
        <v>252</v>
      </c>
      <c r="D174" s="19" t="s">
        <v>2217</v>
      </c>
      <c r="E174" s="275">
        <v>6655505</v>
      </c>
      <c r="F174" s="272"/>
      <c r="G174" s="32" t="s">
        <v>434</v>
      </c>
      <c r="H174" s="32" t="s">
        <v>334</v>
      </c>
      <c r="I174" s="2">
        <f t="shared" si="4"/>
        <v>6655505</v>
      </c>
      <c r="J174" s="42" t="str">
        <f t="shared" si="5"/>
        <v>13311</v>
      </c>
    </row>
    <row r="175" spans="1:10">
      <c r="A175" s="30">
        <v>46225</v>
      </c>
      <c r="B175" s="31" t="s">
        <v>1302</v>
      </c>
      <c r="C175" s="32" t="s">
        <v>252</v>
      </c>
      <c r="D175" s="19" t="s">
        <v>2217</v>
      </c>
      <c r="E175" s="275">
        <v>234076</v>
      </c>
      <c r="F175" s="272"/>
      <c r="G175" s="32" t="s">
        <v>434</v>
      </c>
      <c r="H175" s="32" t="s">
        <v>334</v>
      </c>
      <c r="I175" s="2">
        <f t="shared" si="4"/>
        <v>234076</v>
      </c>
      <c r="J175" s="42" t="str">
        <f t="shared" si="5"/>
        <v>13311</v>
      </c>
    </row>
    <row r="176" spans="1:10">
      <c r="A176" s="30">
        <v>46225</v>
      </c>
      <c r="B176" s="31" t="s">
        <v>1302</v>
      </c>
      <c r="C176" s="32" t="s">
        <v>252</v>
      </c>
      <c r="D176" s="19" t="s">
        <v>2217</v>
      </c>
      <c r="E176" s="275">
        <v>45636</v>
      </c>
      <c r="F176" s="272"/>
      <c r="G176" s="32" t="s">
        <v>434</v>
      </c>
      <c r="H176" s="32" t="s">
        <v>334</v>
      </c>
      <c r="I176" s="2">
        <f t="shared" si="4"/>
        <v>45636</v>
      </c>
      <c r="J176" s="42" t="str">
        <f t="shared" si="5"/>
        <v>13311</v>
      </c>
    </row>
    <row r="177" spans="1:10">
      <c r="A177" s="30">
        <v>46225</v>
      </c>
      <c r="B177" s="31" t="s">
        <v>1302</v>
      </c>
      <c r="C177" s="32" t="s">
        <v>252</v>
      </c>
      <c r="D177" s="19" t="s">
        <v>2217</v>
      </c>
      <c r="E177" s="275">
        <v>1115482</v>
      </c>
      <c r="F177" s="272"/>
      <c r="G177" s="32" t="s">
        <v>434</v>
      </c>
      <c r="H177" s="32" t="s">
        <v>334</v>
      </c>
      <c r="I177" s="2">
        <f t="shared" si="4"/>
        <v>1115482</v>
      </c>
      <c r="J177" s="42" t="str">
        <f t="shared" si="5"/>
        <v>13311</v>
      </c>
    </row>
    <row r="178" spans="1:10">
      <c r="A178" s="30">
        <v>46225</v>
      </c>
      <c r="B178" s="31" t="s">
        <v>1302</v>
      </c>
      <c r="C178" s="32" t="s">
        <v>252</v>
      </c>
      <c r="D178" s="19" t="s">
        <v>2217</v>
      </c>
      <c r="E178" s="275">
        <v>80495</v>
      </c>
      <c r="F178" s="272"/>
      <c r="G178" s="32" t="s">
        <v>434</v>
      </c>
      <c r="H178" s="32" t="s">
        <v>334</v>
      </c>
      <c r="I178" s="2">
        <f t="shared" si="4"/>
        <v>80495</v>
      </c>
      <c r="J178" s="42" t="str">
        <f t="shared" si="5"/>
        <v>13311</v>
      </c>
    </row>
    <row r="179" spans="1:10">
      <c r="A179" s="30">
        <v>46225</v>
      </c>
      <c r="B179" s="31" t="s">
        <v>1302</v>
      </c>
      <c r="C179" s="32" t="s">
        <v>252</v>
      </c>
      <c r="D179" s="19" t="s">
        <v>2217</v>
      </c>
      <c r="E179" s="275">
        <v>13640</v>
      </c>
      <c r="F179" s="272"/>
      <c r="G179" s="32" t="s">
        <v>434</v>
      </c>
      <c r="H179" s="32" t="s">
        <v>334</v>
      </c>
      <c r="I179" s="2">
        <f t="shared" si="4"/>
        <v>13640</v>
      </c>
      <c r="J179" s="42" t="str">
        <f t="shared" si="5"/>
        <v>13311</v>
      </c>
    </row>
    <row r="180" spans="1:10">
      <c r="A180" s="30">
        <v>46225</v>
      </c>
      <c r="B180" s="31" t="s">
        <v>1302</v>
      </c>
      <c r="C180" s="32" t="s">
        <v>252</v>
      </c>
      <c r="D180" s="19" t="s">
        <v>2217</v>
      </c>
      <c r="E180" s="275">
        <v>3628010</v>
      </c>
      <c r="F180" s="272"/>
      <c r="G180" s="32" t="s">
        <v>434</v>
      </c>
      <c r="H180" s="32" t="s">
        <v>334</v>
      </c>
      <c r="I180" s="2">
        <f t="shared" si="4"/>
        <v>3628010</v>
      </c>
      <c r="J180" s="42" t="str">
        <f t="shared" si="5"/>
        <v>13311</v>
      </c>
    </row>
    <row r="181" spans="1:10">
      <c r="A181" s="30">
        <v>46225</v>
      </c>
      <c r="B181" s="31" t="s">
        <v>1302</v>
      </c>
      <c r="C181" s="32" t="s">
        <v>252</v>
      </c>
      <c r="D181" s="19" t="s">
        <v>2217</v>
      </c>
      <c r="E181" s="275">
        <v>1516779</v>
      </c>
      <c r="F181" s="272"/>
      <c r="G181" s="32" t="s">
        <v>434</v>
      </c>
      <c r="H181" s="32" t="s">
        <v>334</v>
      </c>
      <c r="I181" s="2">
        <f t="shared" si="4"/>
        <v>1516779</v>
      </c>
      <c r="J181" s="42" t="str">
        <f t="shared" si="5"/>
        <v>13311</v>
      </c>
    </row>
    <row r="182" spans="1:10">
      <c r="A182" s="30">
        <v>46225</v>
      </c>
      <c r="B182" s="31" t="s">
        <v>1302</v>
      </c>
      <c r="C182" s="32" t="s">
        <v>252</v>
      </c>
      <c r="D182" s="19" t="s">
        <v>2217</v>
      </c>
      <c r="E182" s="275">
        <v>899593</v>
      </c>
      <c r="F182" s="272"/>
      <c r="G182" s="32" t="s">
        <v>434</v>
      </c>
      <c r="H182" s="32" t="s">
        <v>334</v>
      </c>
      <c r="I182" s="2">
        <f t="shared" si="4"/>
        <v>899593</v>
      </c>
      <c r="J182" s="42" t="str">
        <f t="shared" si="5"/>
        <v>13311</v>
      </c>
    </row>
    <row r="183" spans="1:10">
      <c r="A183" s="30">
        <v>46225</v>
      </c>
      <c r="B183" s="31" t="s">
        <v>1302</v>
      </c>
      <c r="C183" s="32" t="s">
        <v>252</v>
      </c>
      <c r="D183" s="19" t="s">
        <v>2217</v>
      </c>
      <c r="E183" s="275">
        <v>2139185</v>
      </c>
      <c r="F183" s="272"/>
      <c r="G183" s="32" t="s">
        <v>434</v>
      </c>
      <c r="H183" s="32" t="s">
        <v>334</v>
      </c>
      <c r="I183" s="2">
        <f t="shared" si="4"/>
        <v>2139185</v>
      </c>
      <c r="J183" s="42" t="str">
        <f t="shared" si="5"/>
        <v>13311</v>
      </c>
    </row>
    <row r="184" spans="1:10">
      <c r="A184" s="30">
        <v>46225</v>
      </c>
      <c r="B184" s="31" t="s">
        <v>1302</v>
      </c>
      <c r="C184" s="32" t="s">
        <v>252</v>
      </c>
      <c r="D184" s="19" t="s">
        <v>2217</v>
      </c>
      <c r="E184" s="275">
        <v>112323</v>
      </c>
      <c r="F184" s="272"/>
      <c r="G184" s="32" t="s">
        <v>434</v>
      </c>
      <c r="H184" s="32" t="s">
        <v>334</v>
      </c>
      <c r="I184" s="2">
        <f t="shared" si="4"/>
        <v>112323</v>
      </c>
      <c r="J184" s="42" t="str">
        <f t="shared" si="5"/>
        <v>13311</v>
      </c>
    </row>
    <row r="185" spans="1:10">
      <c r="A185" s="30">
        <v>46225</v>
      </c>
      <c r="B185" s="31" t="s">
        <v>1302</v>
      </c>
      <c r="C185" s="32" t="s">
        <v>252</v>
      </c>
      <c r="D185" s="19" t="s">
        <v>2217</v>
      </c>
      <c r="E185" s="275">
        <v>4060124</v>
      </c>
      <c r="F185" s="272"/>
      <c r="G185" s="32" t="s">
        <v>434</v>
      </c>
      <c r="H185" s="32" t="s">
        <v>334</v>
      </c>
      <c r="I185" s="2">
        <f t="shared" si="4"/>
        <v>4060124</v>
      </c>
      <c r="J185" s="42" t="str">
        <f t="shared" si="5"/>
        <v>13311</v>
      </c>
    </row>
    <row r="186" spans="1:10">
      <c r="A186" s="30">
        <v>46225</v>
      </c>
      <c r="B186" s="31" t="s">
        <v>1302</v>
      </c>
      <c r="C186" s="32" t="s">
        <v>252</v>
      </c>
      <c r="D186" s="19" t="s">
        <v>2217</v>
      </c>
      <c r="E186" s="275">
        <v>1426348</v>
      </c>
      <c r="F186" s="272"/>
      <c r="G186" s="32" t="s">
        <v>434</v>
      </c>
      <c r="H186" s="32" t="s">
        <v>334</v>
      </c>
      <c r="I186" s="2">
        <f t="shared" si="4"/>
        <v>1426348</v>
      </c>
      <c r="J186" s="42" t="str">
        <f t="shared" si="5"/>
        <v>13311</v>
      </c>
    </row>
    <row r="187" spans="1:10">
      <c r="A187" s="30">
        <v>46225</v>
      </c>
      <c r="B187" s="31" t="s">
        <v>1302</v>
      </c>
      <c r="C187" s="32" t="s">
        <v>252</v>
      </c>
      <c r="D187" s="19" t="s">
        <v>2217</v>
      </c>
      <c r="E187" s="275">
        <v>22093912</v>
      </c>
      <c r="F187" s="272"/>
      <c r="G187" s="32" t="s">
        <v>434</v>
      </c>
      <c r="H187" s="32" t="s">
        <v>334</v>
      </c>
      <c r="I187" s="2">
        <f t="shared" si="4"/>
        <v>22093912</v>
      </c>
      <c r="J187" s="42" t="str">
        <f t="shared" si="5"/>
        <v>13311</v>
      </c>
    </row>
    <row r="188" spans="1:10">
      <c r="A188" s="30">
        <v>46225</v>
      </c>
      <c r="B188" s="31" t="s">
        <v>1302</v>
      </c>
      <c r="C188" s="32" t="s">
        <v>252</v>
      </c>
      <c r="D188" s="19" t="s">
        <v>2217</v>
      </c>
      <c r="E188" s="275">
        <v>21914229</v>
      </c>
      <c r="F188" s="272"/>
      <c r="G188" s="32" t="s">
        <v>434</v>
      </c>
      <c r="H188" s="32" t="s">
        <v>334</v>
      </c>
      <c r="I188" s="2">
        <f t="shared" si="4"/>
        <v>21914229</v>
      </c>
      <c r="J188" s="42" t="str">
        <f t="shared" si="5"/>
        <v>13311</v>
      </c>
    </row>
    <row r="189" spans="1:10">
      <c r="A189" s="30">
        <v>46225</v>
      </c>
      <c r="B189" s="31" t="s">
        <v>1302</v>
      </c>
      <c r="C189" s="32" t="s">
        <v>252</v>
      </c>
      <c r="D189" s="19" t="s">
        <v>2217</v>
      </c>
      <c r="E189" s="275">
        <v>16499832</v>
      </c>
      <c r="F189" s="272"/>
      <c r="G189" s="32" t="s">
        <v>434</v>
      </c>
      <c r="H189" s="32" t="s">
        <v>334</v>
      </c>
      <c r="I189" s="2">
        <f t="shared" si="4"/>
        <v>16499832</v>
      </c>
      <c r="J189" s="42" t="str">
        <f t="shared" si="5"/>
        <v>13311</v>
      </c>
    </row>
    <row r="190" spans="1:10">
      <c r="A190" s="30">
        <v>46225</v>
      </c>
      <c r="B190" s="31" t="s">
        <v>1302</v>
      </c>
      <c r="C190" s="32" t="s">
        <v>252</v>
      </c>
      <c r="D190" s="19" t="s">
        <v>2217</v>
      </c>
      <c r="E190" s="275">
        <v>1812994</v>
      </c>
      <c r="F190" s="272"/>
      <c r="G190" s="32" t="s">
        <v>434</v>
      </c>
      <c r="H190" s="32" t="s">
        <v>334</v>
      </c>
      <c r="I190" s="2">
        <f t="shared" si="4"/>
        <v>1812994</v>
      </c>
      <c r="J190" s="42" t="str">
        <f t="shared" si="5"/>
        <v>13311</v>
      </c>
    </row>
    <row r="191" spans="1:10">
      <c r="A191" s="30">
        <v>46225</v>
      </c>
      <c r="B191" s="31" t="s">
        <v>1302</v>
      </c>
      <c r="C191" s="32" t="s">
        <v>252</v>
      </c>
      <c r="D191" s="19" t="s">
        <v>2217</v>
      </c>
      <c r="E191" s="275">
        <v>50905</v>
      </c>
      <c r="F191" s="272"/>
      <c r="G191" s="32" t="s">
        <v>434</v>
      </c>
      <c r="H191" s="32" t="s">
        <v>334</v>
      </c>
      <c r="I191" s="2">
        <f t="shared" si="4"/>
        <v>50905</v>
      </c>
      <c r="J191" s="42" t="str">
        <f t="shared" si="5"/>
        <v>13311</v>
      </c>
    </row>
    <row r="192" spans="1:10">
      <c r="A192" s="30">
        <v>46225</v>
      </c>
      <c r="B192" s="31" t="s">
        <v>1302</v>
      </c>
      <c r="C192" s="32" t="s">
        <v>252</v>
      </c>
      <c r="D192" s="19" t="s">
        <v>2217</v>
      </c>
      <c r="E192" s="275">
        <v>56246</v>
      </c>
      <c r="F192" s="272"/>
      <c r="G192" s="32" t="s">
        <v>434</v>
      </c>
      <c r="H192" s="32" t="s">
        <v>334</v>
      </c>
      <c r="I192" s="2">
        <f t="shared" si="4"/>
        <v>56246</v>
      </c>
      <c r="J192" s="42" t="str">
        <f t="shared" si="5"/>
        <v>13311</v>
      </c>
    </row>
    <row r="193" spans="1:10">
      <c r="A193" s="30">
        <v>46225</v>
      </c>
      <c r="B193" s="31" t="s">
        <v>1302</v>
      </c>
      <c r="C193" s="32" t="s">
        <v>252</v>
      </c>
      <c r="D193" s="19" t="s">
        <v>2218</v>
      </c>
      <c r="E193" s="275">
        <v>56246</v>
      </c>
      <c r="F193" s="272"/>
      <c r="G193" s="32" t="s">
        <v>434</v>
      </c>
      <c r="H193" s="32" t="s">
        <v>334</v>
      </c>
      <c r="I193" s="2">
        <f t="shared" si="4"/>
        <v>56246</v>
      </c>
      <c r="J193" s="42" t="str">
        <f t="shared" si="5"/>
        <v>13311</v>
      </c>
    </row>
    <row r="194" spans="1:10">
      <c r="A194" s="30">
        <v>46225</v>
      </c>
      <c r="B194" s="31" t="s">
        <v>1302</v>
      </c>
      <c r="C194" s="32" t="s">
        <v>252</v>
      </c>
      <c r="D194" s="19" t="s">
        <v>2217</v>
      </c>
      <c r="E194" s="275">
        <v>1684</v>
      </c>
      <c r="F194" s="272"/>
      <c r="G194" s="32" t="s">
        <v>434</v>
      </c>
      <c r="H194" s="32" t="s">
        <v>334</v>
      </c>
      <c r="I194" s="2">
        <f t="shared" si="4"/>
        <v>1684</v>
      </c>
      <c r="J194" s="42" t="str">
        <f t="shared" si="5"/>
        <v>13311</v>
      </c>
    </row>
    <row r="195" spans="1:10">
      <c r="A195" s="30">
        <v>46225</v>
      </c>
      <c r="B195" s="31" t="s">
        <v>1302</v>
      </c>
      <c r="C195" s="32" t="s">
        <v>252</v>
      </c>
      <c r="D195" s="19" t="s">
        <v>2217</v>
      </c>
      <c r="E195" s="275">
        <v>674</v>
      </c>
      <c r="F195" s="272"/>
      <c r="G195" s="32" t="s">
        <v>434</v>
      </c>
      <c r="H195" s="32" t="s">
        <v>334</v>
      </c>
      <c r="I195" s="2">
        <f t="shared" si="4"/>
        <v>674</v>
      </c>
      <c r="J195" s="42" t="str">
        <f t="shared" si="5"/>
        <v>13311</v>
      </c>
    </row>
    <row r="196" spans="1:10">
      <c r="A196" s="30">
        <v>46225</v>
      </c>
      <c r="B196" s="31" t="s">
        <v>1302</v>
      </c>
      <c r="C196" s="32" t="s">
        <v>252</v>
      </c>
      <c r="D196" s="19" t="s">
        <v>2217</v>
      </c>
      <c r="E196" s="275">
        <v>3031</v>
      </c>
      <c r="F196" s="272"/>
      <c r="G196" s="32" t="s">
        <v>434</v>
      </c>
      <c r="H196" s="32" t="s">
        <v>334</v>
      </c>
      <c r="I196" s="2">
        <f t="shared" si="4"/>
        <v>3031</v>
      </c>
      <c r="J196" s="42" t="str">
        <f t="shared" si="5"/>
        <v>13311</v>
      </c>
    </row>
    <row r="197" spans="1:10">
      <c r="A197" s="30">
        <v>46225</v>
      </c>
      <c r="B197" s="31" t="s">
        <v>1302</v>
      </c>
      <c r="C197" s="32" t="s">
        <v>252</v>
      </c>
      <c r="D197" s="19" t="s">
        <v>2221</v>
      </c>
      <c r="E197" s="275">
        <v>126300</v>
      </c>
      <c r="F197" s="272"/>
      <c r="G197" s="32" t="s">
        <v>434</v>
      </c>
      <c r="H197" s="32" t="s">
        <v>334</v>
      </c>
      <c r="I197" s="2">
        <f t="shared" si="4"/>
        <v>126300</v>
      </c>
      <c r="J197" s="42" t="str">
        <f t="shared" si="5"/>
        <v>13311</v>
      </c>
    </row>
    <row r="198" spans="1:10">
      <c r="A198" s="30">
        <v>46225</v>
      </c>
      <c r="B198" s="31" t="s">
        <v>1302</v>
      </c>
      <c r="C198" s="32" t="s">
        <v>252</v>
      </c>
      <c r="D198" s="19" t="s">
        <v>2217</v>
      </c>
      <c r="E198" s="275">
        <v>39911</v>
      </c>
      <c r="F198" s="272"/>
      <c r="G198" s="32" t="s">
        <v>434</v>
      </c>
      <c r="H198" s="32" t="s">
        <v>334</v>
      </c>
      <c r="I198" s="2">
        <f t="shared" si="4"/>
        <v>39911</v>
      </c>
      <c r="J198" s="42" t="str">
        <f t="shared" si="5"/>
        <v>13311</v>
      </c>
    </row>
    <row r="199" spans="1:10">
      <c r="A199" s="30">
        <v>46225</v>
      </c>
      <c r="B199" s="31" t="s">
        <v>1302</v>
      </c>
      <c r="C199" s="32" t="s">
        <v>252</v>
      </c>
      <c r="D199" s="19" t="s">
        <v>2218</v>
      </c>
      <c r="E199" s="275">
        <v>794006</v>
      </c>
      <c r="F199" s="272"/>
      <c r="G199" s="32" t="s">
        <v>434</v>
      </c>
      <c r="H199" s="32" t="s">
        <v>334</v>
      </c>
      <c r="I199" s="2">
        <f t="shared" si="4"/>
        <v>794006</v>
      </c>
      <c r="J199" s="42" t="str">
        <f t="shared" si="5"/>
        <v>13311</v>
      </c>
    </row>
    <row r="200" spans="1:10">
      <c r="A200" s="30">
        <v>46225</v>
      </c>
      <c r="B200" s="31" t="s">
        <v>1302</v>
      </c>
      <c r="C200" s="32" t="s">
        <v>252</v>
      </c>
      <c r="D200" s="19" t="s">
        <v>2217</v>
      </c>
      <c r="E200" s="275">
        <v>709638</v>
      </c>
      <c r="F200" s="272"/>
      <c r="G200" s="32" t="s">
        <v>434</v>
      </c>
      <c r="H200" s="32" t="s">
        <v>334</v>
      </c>
      <c r="I200" s="2">
        <f t="shared" si="4"/>
        <v>709638</v>
      </c>
      <c r="J200" s="42" t="str">
        <f t="shared" si="5"/>
        <v>13311</v>
      </c>
    </row>
    <row r="201" spans="1:10">
      <c r="A201" s="30">
        <v>46225</v>
      </c>
      <c r="B201" s="31" t="s">
        <v>1302</v>
      </c>
      <c r="C201" s="32" t="s">
        <v>252</v>
      </c>
      <c r="D201" s="19" t="s">
        <v>2222</v>
      </c>
      <c r="E201" s="275">
        <v>153581</v>
      </c>
      <c r="F201" s="272"/>
      <c r="G201" s="32" t="s">
        <v>434</v>
      </c>
      <c r="H201" s="32" t="s">
        <v>334</v>
      </c>
      <c r="I201" s="2">
        <f t="shared" si="4"/>
        <v>153581</v>
      </c>
      <c r="J201" s="42" t="str">
        <f t="shared" si="5"/>
        <v>13311</v>
      </c>
    </row>
    <row r="202" spans="1:10">
      <c r="A202" s="30">
        <v>46225</v>
      </c>
      <c r="B202" s="31" t="s">
        <v>1302</v>
      </c>
      <c r="C202" s="32" t="s">
        <v>252</v>
      </c>
      <c r="D202" s="19" t="s">
        <v>2217</v>
      </c>
      <c r="E202" s="275">
        <v>158296</v>
      </c>
      <c r="F202" s="272"/>
      <c r="G202" s="32" t="s">
        <v>434</v>
      </c>
      <c r="H202" s="32" t="s">
        <v>334</v>
      </c>
      <c r="I202" s="2">
        <f t="shared" si="4"/>
        <v>158296</v>
      </c>
      <c r="J202" s="42" t="str">
        <f t="shared" si="5"/>
        <v>13311</v>
      </c>
    </row>
    <row r="203" spans="1:10">
      <c r="A203" s="30">
        <v>46225</v>
      </c>
      <c r="B203" s="31" t="s">
        <v>1302</v>
      </c>
      <c r="C203" s="32" t="s">
        <v>252</v>
      </c>
      <c r="D203" s="19" t="s">
        <v>2217</v>
      </c>
      <c r="E203" s="275">
        <v>244012</v>
      </c>
      <c r="F203" s="272"/>
      <c r="G203" s="32" t="s">
        <v>434</v>
      </c>
      <c r="H203" s="32" t="s">
        <v>334</v>
      </c>
      <c r="I203" s="2">
        <f t="shared" ref="I203:I266" si="6">IF(LEN(A203)=5,E203,0)</f>
        <v>244012</v>
      </c>
      <c r="J203" s="42" t="str">
        <f t="shared" ref="J203:J266" si="7">IF(LEFT(A203,11)="Tài khoản: ",MID(A203,12,5),J202)</f>
        <v>13311</v>
      </c>
    </row>
    <row r="204" spans="1:10">
      <c r="A204" s="30">
        <v>46225</v>
      </c>
      <c r="B204" s="31" t="s">
        <v>1302</v>
      </c>
      <c r="C204" s="32" t="s">
        <v>252</v>
      </c>
      <c r="D204" s="19" t="s">
        <v>2217</v>
      </c>
      <c r="E204" s="275">
        <v>229361</v>
      </c>
      <c r="F204" s="272"/>
      <c r="G204" s="32" t="s">
        <v>434</v>
      </c>
      <c r="H204" s="32" t="s">
        <v>334</v>
      </c>
      <c r="I204" s="2">
        <f t="shared" si="6"/>
        <v>229361</v>
      </c>
      <c r="J204" s="42" t="str">
        <f t="shared" si="7"/>
        <v>13311</v>
      </c>
    </row>
    <row r="205" spans="1:10">
      <c r="A205" s="30">
        <v>46225</v>
      </c>
      <c r="B205" s="31" t="s">
        <v>1302</v>
      </c>
      <c r="C205" s="32" t="s">
        <v>252</v>
      </c>
      <c r="D205" s="19" t="s">
        <v>2217</v>
      </c>
      <c r="E205" s="275">
        <v>161496</v>
      </c>
      <c r="F205" s="272"/>
      <c r="G205" s="32" t="s">
        <v>434</v>
      </c>
      <c r="H205" s="32" t="s">
        <v>334</v>
      </c>
      <c r="I205" s="2">
        <f t="shared" si="6"/>
        <v>161496</v>
      </c>
      <c r="J205" s="42" t="str">
        <f t="shared" si="7"/>
        <v>13311</v>
      </c>
    </row>
    <row r="206" spans="1:10">
      <c r="A206" s="30">
        <v>46225</v>
      </c>
      <c r="B206" s="31" t="s">
        <v>1302</v>
      </c>
      <c r="C206" s="32" t="s">
        <v>252</v>
      </c>
      <c r="D206" s="19" t="s">
        <v>2217</v>
      </c>
      <c r="E206" s="275">
        <v>162674</v>
      </c>
      <c r="F206" s="272"/>
      <c r="G206" s="32" t="s">
        <v>434</v>
      </c>
      <c r="H206" s="32" t="s">
        <v>334</v>
      </c>
      <c r="I206" s="2">
        <f t="shared" si="6"/>
        <v>162674</v>
      </c>
      <c r="J206" s="42" t="str">
        <f t="shared" si="7"/>
        <v>13311</v>
      </c>
    </row>
    <row r="207" spans="1:10">
      <c r="A207" s="30">
        <v>46225</v>
      </c>
      <c r="B207" s="31" t="s">
        <v>1302</v>
      </c>
      <c r="C207" s="32" t="s">
        <v>252</v>
      </c>
      <c r="D207" s="19" t="s">
        <v>2218</v>
      </c>
      <c r="E207" s="275">
        <v>314908</v>
      </c>
      <c r="F207" s="272"/>
      <c r="G207" s="32" t="s">
        <v>434</v>
      </c>
      <c r="H207" s="32" t="s">
        <v>334</v>
      </c>
      <c r="I207" s="2">
        <f t="shared" si="6"/>
        <v>314908</v>
      </c>
      <c r="J207" s="42" t="str">
        <f t="shared" si="7"/>
        <v>13311</v>
      </c>
    </row>
    <row r="208" spans="1:10">
      <c r="A208" s="30">
        <v>46225</v>
      </c>
      <c r="B208" s="31" t="s">
        <v>1302</v>
      </c>
      <c r="C208" s="32" t="s">
        <v>252</v>
      </c>
      <c r="D208" s="19" t="s">
        <v>2218</v>
      </c>
      <c r="E208" s="275">
        <v>68370</v>
      </c>
      <c r="F208" s="272"/>
      <c r="G208" s="32" t="s">
        <v>434</v>
      </c>
      <c r="H208" s="32" t="s">
        <v>334</v>
      </c>
      <c r="I208" s="2">
        <f t="shared" si="6"/>
        <v>68370</v>
      </c>
      <c r="J208" s="42" t="str">
        <f t="shared" si="7"/>
        <v>13311</v>
      </c>
    </row>
    <row r="209" spans="1:10">
      <c r="A209" s="30">
        <v>46225</v>
      </c>
      <c r="B209" s="31" t="s">
        <v>1302</v>
      </c>
      <c r="C209" s="32" t="s">
        <v>252</v>
      </c>
      <c r="D209" s="19" t="s">
        <v>2217</v>
      </c>
      <c r="E209" s="275">
        <v>173620</v>
      </c>
      <c r="F209" s="272"/>
      <c r="G209" s="32" t="s">
        <v>434</v>
      </c>
      <c r="H209" s="32" t="s">
        <v>334</v>
      </c>
      <c r="I209" s="2">
        <f t="shared" si="6"/>
        <v>173620</v>
      </c>
      <c r="J209" s="42" t="str">
        <f t="shared" si="7"/>
        <v>13311</v>
      </c>
    </row>
    <row r="210" spans="1:10">
      <c r="A210" s="30">
        <v>46225</v>
      </c>
      <c r="B210" s="31" t="s">
        <v>1302</v>
      </c>
      <c r="C210" s="32" t="s">
        <v>252</v>
      </c>
      <c r="D210" s="19" t="s">
        <v>2218</v>
      </c>
      <c r="E210" s="275">
        <v>972342</v>
      </c>
      <c r="F210" s="272"/>
      <c r="G210" s="32" t="s">
        <v>434</v>
      </c>
      <c r="H210" s="32" t="s">
        <v>334</v>
      </c>
      <c r="I210" s="2">
        <f t="shared" si="6"/>
        <v>972342</v>
      </c>
      <c r="J210" s="42" t="str">
        <f t="shared" si="7"/>
        <v>13311</v>
      </c>
    </row>
    <row r="211" spans="1:10">
      <c r="A211" s="30">
        <v>46225</v>
      </c>
      <c r="B211" s="31" t="s">
        <v>1302</v>
      </c>
      <c r="C211" s="32" t="s">
        <v>252</v>
      </c>
      <c r="D211" s="19" t="s">
        <v>2217</v>
      </c>
      <c r="E211" s="275">
        <v>754264</v>
      </c>
      <c r="F211" s="272"/>
      <c r="G211" s="32" t="s">
        <v>434</v>
      </c>
      <c r="H211" s="32" t="s">
        <v>334</v>
      </c>
      <c r="I211" s="2">
        <f t="shared" si="6"/>
        <v>754264</v>
      </c>
      <c r="J211" s="42" t="str">
        <f t="shared" si="7"/>
        <v>13311</v>
      </c>
    </row>
    <row r="212" spans="1:10">
      <c r="A212" s="30">
        <v>46225</v>
      </c>
      <c r="B212" s="31" t="s">
        <v>1302</v>
      </c>
      <c r="C212" s="32" t="s">
        <v>252</v>
      </c>
      <c r="D212" s="19" t="s">
        <v>2218</v>
      </c>
      <c r="E212" s="275">
        <v>69886</v>
      </c>
      <c r="F212" s="272"/>
      <c r="G212" s="32" t="s">
        <v>434</v>
      </c>
      <c r="H212" s="32" t="s">
        <v>334</v>
      </c>
      <c r="I212" s="2">
        <f t="shared" si="6"/>
        <v>69886</v>
      </c>
      <c r="J212" s="42" t="str">
        <f t="shared" si="7"/>
        <v>13311</v>
      </c>
    </row>
    <row r="213" spans="1:10">
      <c r="A213" s="30">
        <v>46225</v>
      </c>
      <c r="B213" s="31" t="s">
        <v>1302</v>
      </c>
      <c r="C213" s="32" t="s">
        <v>252</v>
      </c>
      <c r="D213" s="19" t="s">
        <v>2218</v>
      </c>
      <c r="E213" s="275">
        <v>50688</v>
      </c>
      <c r="F213" s="272"/>
      <c r="G213" s="32" t="s">
        <v>434</v>
      </c>
      <c r="H213" s="32" t="s">
        <v>334</v>
      </c>
      <c r="I213" s="2">
        <f t="shared" si="6"/>
        <v>50688</v>
      </c>
      <c r="J213" s="42" t="str">
        <f t="shared" si="7"/>
        <v>13311</v>
      </c>
    </row>
    <row r="214" spans="1:10">
      <c r="A214" s="30">
        <v>46225</v>
      </c>
      <c r="B214" s="31" t="s">
        <v>1302</v>
      </c>
      <c r="C214" s="32" t="s">
        <v>252</v>
      </c>
      <c r="D214" s="19" t="s">
        <v>2218</v>
      </c>
      <c r="E214" s="275">
        <v>264893</v>
      </c>
      <c r="F214" s="272"/>
      <c r="G214" s="32" t="s">
        <v>434</v>
      </c>
      <c r="H214" s="32" t="s">
        <v>334</v>
      </c>
      <c r="I214" s="2">
        <f t="shared" si="6"/>
        <v>264893</v>
      </c>
      <c r="J214" s="42" t="str">
        <f t="shared" si="7"/>
        <v>13311</v>
      </c>
    </row>
    <row r="215" spans="1:10">
      <c r="A215" s="30">
        <v>46225</v>
      </c>
      <c r="B215" s="31" t="s">
        <v>1302</v>
      </c>
      <c r="C215" s="32" t="s">
        <v>252</v>
      </c>
      <c r="D215" s="19" t="s">
        <v>2217</v>
      </c>
      <c r="E215" s="275">
        <v>427231</v>
      </c>
      <c r="F215" s="272"/>
      <c r="G215" s="32" t="s">
        <v>434</v>
      </c>
      <c r="H215" s="32" t="s">
        <v>334</v>
      </c>
      <c r="I215" s="2">
        <f t="shared" si="6"/>
        <v>427231</v>
      </c>
      <c r="J215" s="42" t="str">
        <f t="shared" si="7"/>
        <v>13311</v>
      </c>
    </row>
    <row r="216" spans="1:10">
      <c r="A216" s="30">
        <v>46225</v>
      </c>
      <c r="B216" s="31" t="s">
        <v>1302</v>
      </c>
      <c r="C216" s="32" t="s">
        <v>252</v>
      </c>
      <c r="D216" s="19" t="s">
        <v>2218</v>
      </c>
      <c r="E216" s="275">
        <v>22353</v>
      </c>
      <c r="F216" s="272"/>
      <c r="G216" s="32" t="s">
        <v>434</v>
      </c>
      <c r="H216" s="32" t="s">
        <v>334</v>
      </c>
      <c r="I216" s="2">
        <f t="shared" si="6"/>
        <v>22353</v>
      </c>
      <c r="J216" s="42" t="str">
        <f t="shared" si="7"/>
        <v>13311</v>
      </c>
    </row>
    <row r="217" spans="1:10">
      <c r="A217" s="30">
        <v>46225</v>
      </c>
      <c r="B217" s="31" t="s">
        <v>1302</v>
      </c>
      <c r="C217" s="32" t="s">
        <v>252</v>
      </c>
      <c r="D217" s="19" t="s">
        <v>2217</v>
      </c>
      <c r="E217" s="275">
        <v>27237</v>
      </c>
      <c r="F217" s="272"/>
      <c r="G217" s="32" t="s">
        <v>434</v>
      </c>
      <c r="H217" s="32" t="s">
        <v>334</v>
      </c>
      <c r="I217" s="2">
        <f t="shared" si="6"/>
        <v>27237</v>
      </c>
      <c r="J217" s="42" t="str">
        <f t="shared" si="7"/>
        <v>13311</v>
      </c>
    </row>
    <row r="218" spans="1:10">
      <c r="A218" s="30">
        <v>46225</v>
      </c>
      <c r="B218" s="31" t="s">
        <v>1302</v>
      </c>
      <c r="C218" s="32" t="s">
        <v>252</v>
      </c>
      <c r="D218" s="19" t="s">
        <v>2218</v>
      </c>
      <c r="E218" s="275">
        <v>599672</v>
      </c>
      <c r="F218" s="272"/>
      <c r="G218" s="32" t="s">
        <v>434</v>
      </c>
      <c r="H218" s="32" t="s">
        <v>334</v>
      </c>
      <c r="I218" s="2">
        <f t="shared" si="6"/>
        <v>599672</v>
      </c>
      <c r="J218" s="42" t="str">
        <f t="shared" si="7"/>
        <v>13311</v>
      </c>
    </row>
    <row r="219" spans="1:10">
      <c r="A219" s="30">
        <v>46225</v>
      </c>
      <c r="B219" s="31" t="s">
        <v>1302</v>
      </c>
      <c r="C219" s="32" t="s">
        <v>252</v>
      </c>
      <c r="D219" s="19" t="s">
        <v>2217</v>
      </c>
      <c r="E219" s="275">
        <v>513452</v>
      </c>
      <c r="F219" s="272"/>
      <c r="G219" s="32" t="s">
        <v>434</v>
      </c>
      <c r="H219" s="32" t="s">
        <v>334</v>
      </c>
      <c r="I219" s="2">
        <f t="shared" si="6"/>
        <v>513452</v>
      </c>
      <c r="J219" s="42" t="str">
        <f t="shared" si="7"/>
        <v>13311</v>
      </c>
    </row>
    <row r="220" spans="1:10">
      <c r="A220" s="30">
        <v>46225</v>
      </c>
      <c r="B220" s="31" t="s">
        <v>1302</v>
      </c>
      <c r="C220" s="32" t="s">
        <v>252</v>
      </c>
      <c r="D220" s="19" t="s">
        <v>2218</v>
      </c>
      <c r="E220" s="275">
        <v>357647</v>
      </c>
      <c r="F220" s="272"/>
      <c r="G220" s="32" t="s">
        <v>434</v>
      </c>
      <c r="H220" s="32" t="s">
        <v>334</v>
      </c>
      <c r="I220" s="2">
        <f t="shared" si="6"/>
        <v>357647</v>
      </c>
      <c r="J220" s="42" t="str">
        <f t="shared" si="7"/>
        <v>13311</v>
      </c>
    </row>
    <row r="221" spans="1:10">
      <c r="A221" s="30">
        <v>46225</v>
      </c>
      <c r="B221" s="31" t="s">
        <v>1302</v>
      </c>
      <c r="C221" s="32" t="s">
        <v>252</v>
      </c>
      <c r="D221" s="19" t="s">
        <v>2217</v>
      </c>
      <c r="E221" s="275">
        <v>335294</v>
      </c>
      <c r="F221" s="272"/>
      <c r="G221" s="32" t="s">
        <v>434</v>
      </c>
      <c r="H221" s="32" t="s">
        <v>334</v>
      </c>
      <c r="I221" s="2">
        <f t="shared" si="6"/>
        <v>335294</v>
      </c>
      <c r="J221" s="42" t="str">
        <f t="shared" si="7"/>
        <v>13311</v>
      </c>
    </row>
    <row r="222" spans="1:10">
      <c r="A222" s="30">
        <v>46225</v>
      </c>
      <c r="B222" s="31" t="s">
        <v>1302</v>
      </c>
      <c r="C222" s="32" t="s">
        <v>252</v>
      </c>
      <c r="D222" s="19" t="s">
        <v>2218</v>
      </c>
      <c r="E222" s="275">
        <v>216226</v>
      </c>
      <c r="F222" s="272"/>
      <c r="G222" s="32" t="s">
        <v>434</v>
      </c>
      <c r="H222" s="32" t="s">
        <v>334</v>
      </c>
      <c r="I222" s="2">
        <f t="shared" si="6"/>
        <v>216226</v>
      </c>
      <c r="J222" s="42" t="str">
        <f t="shared" si="7"/>
        <v>13311</v>
      </c>
    </row>
    <row r="223" spans="1:10">
      <c r="A223" s="30">
        <v>46225</v>
      </c>
      <c r="B223" s="31" t="s">
        <v>1302</v>
      </c>
      <c r="C223" s="32" t="s">
        <v>252</v>
      </c>
      <c r="D223" s="19" t="s">
        <v>2217</v>
      </c>
      <c r="E223" s="275">
        <v>198880</v>
      </c>
      <c r="F223" s="272"/>
      <c r="G223" s="32" t="s">
        <v>434</v>
      </c>
      <c r="H223" s="32" t="s">
        <v>334</v>
      </c>
      <c r="I223" s="2">
        <f t="shared" si="6"/>
        <v>198880</v>
      </c>
      <c r="J223" s="42" t="str">
        <f t="shared" si="7"/>
        <v>13311</v>
      </c>
    </row>
    <row r="224" spans="1:10">
      <c r="A224" s="30">
        <v>46225</v>
      </c>
      <c r="B224" s="31" t="s">
        <v>1302</v>
      </c>
      <c r="C224" s="32" t="s">
        <v>252</v>
      </c>
      <c r="D224" s="19" t="s">
        <v>2218</v>
      </c>
      <c r="E224" s="275">
        <v>1024882</v>
      </c>
      <c r="F224" s="272"/>
      <c r="G224" s="32" t="s">
        <v>434</v>
      </c>
      <c r="H224" s="32" t="s">
        <v>334</v>
      </c>
      <c r="I224" s="2">
        <f t="shared" si="6"/>
        <v>1024882</v>
      </c>
      <c r="J224" s="42" t="str">
        <f t="shared" si="7"/>
        <v>13311</v>
      </c>
    </row>
    <row r="225" spans="1:10">
      <c r="A225" s="30">
        <v>46225</v>
      </c>
      <c r="B225" s="31" t="s">
        <v>1302</v>
      </c>
      <c r="C225" s="32" t="s">
        <v>252</v>
      </c>
      <c r="D225" s="19" t="s">
        <v>2217</v>
      </c>
      <c r="E225" s="275">
        <v>19172340</v>
      </c>
      <c r="F225" s="272"/>
      <c r="G225" s="32" t="s">
        <v>434</v>
      </c>
      <c r="H225" s="32" t="s">
        <v>334</v>
      </c>
      <c r="I225" s="2">
        <f t="shared" si="6"/>
        <v>19172340</v>
      </c>
      <c r="J225" s="42" t="str">
        <f t="shared" si="7"/>
        <v>13311</v>
      </c>
    </row>
    <row r="226" spans="1:10" ht="24" customHeight="1">
      <c r="A226" s="30">
        <v>46226</v>
      </c>
      <c r="B226" s="31" t="s">
        <v>2156</v>
      </c>
      <c r="C226" s="32" t="s">
        <v>2145</v>
      </c>
      <c r="D226" s="19" t="s">
        <v>2223</v>
      </c>
      <c r="E226" s="275">
        <v>1500</v>
      </c>
      <c r="F226" s="272"/>
      <c r="G226" s="32" t="s">
        <v>434</v>
      </c>
      <c r="H226" s="32" t="s">
        <v>330</v>
      </c>
      <c r="I226" s="2">
        <f t="shared" si="6"/>
        <v>1500</v>
      </c>
      <c r="J226" s="42" t="str">
        <f t="shared" si="7"/>
        <v>13311</v>
      </c>
    </row>
    <row r="227" spans="1:10" ht="24" customHeight="1">
      <c r="A227" s="30">
        <v>46226</v>
      </c>
      <c r="B227" s="31" t="s">
        <v>2162</v>
      </c>
      <c r="C227" s="32" t="s">
        <v>2145</v>
      </c>
      <c r="D227" s="19" t="s">
        <v>2224</v>
      </c>
      <c r="E227" s="275">
        <v>1500</v>
      </c>
      <c r="F227" s="272"/>
      <c r="G227" s="32" t="s">
        <v>178</v>
      </c>
      <c r="H227" s="32" t="s">
        <v>330</v>
      </c>
      <c r="I227" s="2">
        <f t="shared" si="6"/>
        <v>1500</v>
      </c>
      <c r="J227" s="42" t="str">
        <f t="shared" si="7"/>
        <v>13311</v>
      </c>
    </row>
    <row r="228" spans="1:10" ht="24" customHeight="1">
      <c r="A228" s="30">
        <v>46227</v>
      </c>
      <c r="B228" s="31" t="s">
        <v>2159</v>
      </c>
      <c r="C228" s="32" t="s">
        <v>2145</v>
      </c>
      <c r="D228" s="19" t="s">
        <v>2225</v>
      </c>
      <c r="E228" s="275">
        <v>136000</v>
      </c>
      <c r="F228" s="272"/>
      <c r="G228" s="32" t="s">
        <v>434</v>
      </c>
      <c r="H228" s="32" t="s">
        <v>330</v>
      </c>
      <c r="I228" s="2">
        <f t="shared" si="6"/>
        <v>136000</v>
      </c>
      <c r="J228" s="42" t="str">
        <f t="shared" si="7"/>
        <v>13311</v>
      </c>
    </row>
    <row r="229" spans="1:10" ht="47" customHeight="1">
      <c r="A229" s="30">
        <v>46227</v>
      </c>
      <c r="B229" s="31" t="s">
        <v>2167</v>
      </c>
      <c r="C229" s="32" t="s">
        <v>2145</v>
      </c>
      <c r="D229" s="19" t="s">
        <v>2226</v>
      </c>
      <c r="E229" s="275">
        <v>2912000</v>
      </c>
      <c r="F229" s="272"/>
      <c r="G229" s="32" t="s">
        <v>433</v>
      </c>
      <c r="H229" s="32" t="s">
        <v>330</v>
      </c>
      <c r="I229" s="2">
        <f t="shared" si="6"/>
        <v>2912000</v>
      </c>
      <c r="J229" s="42" t="str">
        <f t="shared" si="7"/>
        <v>13311</v>
      </c>
    </row>
    <row r="230" spans="1:10" ht="35.5" customHeight="1">
      <c r="A230" s="30">
        <v>46227</v>
      </c>
      <c r="B230" s="31" t="s">
        <v>2195</v>
      </c>
      <c r="C230" s="32" t="s">
        <v>2145</v>
      </c>
      <c r="D230" s="19" t="s">
        <v>2227</v>
      </c>
      <c r="E230" s="275">
        <v>75000</v>
      </c>
      <c r="F230" s="272"/>
      <c r="G230" s="32" t="s">
        <v>178</v>
      </c>
      <c r="H230" s="32" t="s">
        <v>330</v>
      </c>
      <c r="I230" s="2">
        <f t="shared" si="6"/>
        <v>75000</v>
      </c>
      <c r="J230" s="42" t="str">
        <f t="shared" si="7"/>
        <v>13311</v>
      </c>
    </row>
    <row r="231" spans="1:10">
      <c r="A231" s="30">
        <v>46229</v>
      </c>
      <c r="B231" s="31" t="s">
        <v>471</v>
      </c>
      <c r="C231" s="32" t="s">
        <v>252</v>
      </c>
      <c r="D231" s="19" t="s">
        <v>2228</v>
      </c>
      <c r="E231" s="275">
        <v>146815</v>
      </c>
      <c r="F231" s="272"/>
      <c r="G231" s="32" t="s">
        <v>434</v>
      </c>
      <c r="H231" s="32" t="s">
        <v>334</v>
      </c>
      <c r="I231" s="2">
        <f t="shared" si="6"/>
        <v>146815</v>
      </c>
      <c r="J231" s="42" t="str">
        <f t="shared" si="7"/>
        <v>13311</v>
      </c>
    </row>
    <row r="232" spans="1:10">
      <c r="A232" s="30">
        <v>46229</v>
      </c>
      <c r="B232" s="31" t="s">
        <v>471</v>
      </c>
      <c r="C232" s="32" t="s">
        <v>252</v>
      </c>
      <c r="D232" s="19" t="s">
        <v>2228</v>
      </c>
      <c r="E232" s="275">
        <v>83556</v>
      </c>
      <c r="F232" s="272"/>
      <c r="G232" s="32" t="s">
        <v>434</v>
      </c>
      <c r="H232" s="32" t="s">
        <v>334</v>
      </c>
      <c r="I232" s="2">
        <f t="shared" si="6"/>
        <v>83556</v>
      </c>
      <c r="J232" s="42" t="str">
        <f t="shared" si="7"/>
        <v>13311</v>
      </c>
    </row>
    <row r="233" spans="1:10">
      <c r="A233" s="30">
        <v>46229</v>
      </c>
      <c r="B233" s="31" t="s">
        <v>471</v>
      </c>
      <c r="C233" s="32" t="s">
        <v>252</v>
      </c>
      <c r="D233" s="19" t="s">
        <v>2228</v>
      </c>
      <c r="E233" s="275">
        <v>29630</v>
      </c>
      <c r="F233" s="272"/>
      <c r="G233" s="32" t="s">
        <v>434</v>
      </c>
      <c r="H233" s="32" t="s">
        <v>334</v>
      </c>
      <c r="I233" s="2">
        <f t="shared" si="6"/>
        <v>29630</v>
      </c>
      <c r="J233" s="42" t="str">
        <f t="shared" si="7"/>
        <v>13311</v>
      </c>
    </row>
    <row r="234" spans="1:10">
      <c r="A234" s="30">
        <v>46229</v>
      </c>
      <c r="B234" s="31" t="s">
        <v>471</v>
      </c>
      <c r="C234" s="32" t="s">
        <v>252</v>
      </c>
      <c r="D234" s="19" t="s">
        <v>2228</v>
      </c>
      <c r="E234" s="275">
        <v>83556</v>
      </c>
      <c r="F234" s="272"/>
      <c r="G234" s="32" t="s">
        <v>434</v>
      </c>
      <c r="H234" s="32" t="s">
        <v>334</v>
      </c>
      <c r="I234" s="2">
        <f t="shared" si="6"/>
        <v>83556</v>
      </c>
      <c r="J234" s="42" t="str">
        <f t="shared" si="7"/>
        <v>13311</v>
      </c>
    </row>
    <row r="235" spans="1:10">
      <c r="A235" s="30">
        <v>46229</v>
      </c>
      <c r="B235" s="31" t="s">
        <v>471</v>
      </c>
      <c r="C235" s="32" t="s">
        <v>252</v>
      </c>
      <c r="D235" s="19" t="s">
        <v>2228</v>
      </c>
      <c r="E235" s="275">
        <v>167111</v>
      </c>
      <c r="F235" s="272"/>
      <c r="G235" s="32" t="s">
        <v>434</v>
      </c>
      <c r="H235" s="32" t="s">
        <v>334</v>
      </c>
      <c r="I235" s="2">
        <f t="shared" si="6"/>
        <v>167111</v>
      </c>
      <c r="J235" s="42" t="str">
        <f t="shared" si="7"/>
        <v>13311</v>
      </c>
    </row>
    <row r="236" spans="1:10">
      <c r="A236" s="30">
        <v>46229</v>
      </c>
      <c r="B236" s="31" t="s">
        <v>471</v>
      </c>
      <c r="C236" s="32" t="s">
        <v>252</v>
      </c>
      <c r="D236" s="19" t="s">
        <v>2228</v>
      </c>
      <c r="E236" s="275">
        <v>389926</v>
      </c>
      <c r="F236" s="272"/>
      <c r="G236" s="32" t="s">
        <v>434</v>
      </c>
      <c r="H236" s="32" t="s">
        <v>334</v>
      </c>
      <c r="I236" s="2">
        <f t="shared" si="6"/>
        <v>389926</v>
      </c>
      <c r="J236" s="42" t="str">
        <f t="shared" si="7"/>
        <v>13311</v>
      </c>
    </row>
    <row r="237" spans="1:10">
      <c r="A237" s="30">
        <v>46229</v>
      </c>
      <c r="B237" s="31" t="s">
        <v>471</v>
      </c>
      <c r="C237" s="32" t="s">
        <v>252</v>
      </c>
      <c r="D237" s="19" t="s">
        <v>2228</v>
      </c>
      <c r="E237" s="275">
        <v>29630</v>
      </c>
      <c r="F237" s="272"/>
      <c r="G237" s="32" t="s">
        <v>434</v>
      </c>
      <c r="H237" s="32" t="s">
        <v>334</v>
      </c>
      <c r="I237" s="2">
        <f t="shared" si="6"/>
        <v>29630</v>
      </c>
      <c r="J237" s="42" t="str">
        <f t="shared" si="7"/>
        <v>13311</v>
      </c>
    </row>
    <row r="238" spans="1:10">
      <c r="A238" s="30">
        <v>46229</v>
      </c>
      <c r="B238" s="31" t="s">
        <v>471</v>
      </c>
      <c r="C238" s="32" t="s">
        <v>252</v>
      </c>
      <c r="D238" s="19" t="s">
        <v>2228</v>
      </c>
      <c r="E238" s="275">
        <v>55704</v>
      </c>
      <c r="F238" s="272"/>
      <c r="G238" s="32" t="s">
        <v>434</v>
      </c>
      <c r="H238" s="32" t="s">
        <v>334</v>
      </c>
      <c r="I238" s="2">
        <f t="shared" si="6"/>
        <v>55704</v>
      </c>
      <c r="J238" s="42" t="str">
        <f t="shared" si="7"/>
        <v>13311</v>
      </c>
    </row>
    <row r="239" spans="1:10">
      <c r="A239" s="30">
        <v>46229</v>
      </c>
      <c r="B239" s="31" t="s">
        <v>471</v>
      </c>
      <c r="C239" s="32" t="s">
        <v>252</v>
      </c>
      <c r="D239" s="19" t="s">
        <v>2228</v>
      </c>
      <c r="E239" s="275">
        <v>403852</v>
      </c>
      <c r="F239" s="272"/>
      <c r="G239" s="32" t="s">
        <v>434</v>
      </c>
      <c r="H239" s="32" t="s">
        <v>334</v>
      </c>
      <c r="I239" s="2">
        <f t="shared" si="6"/>
        <v>403852</v>
      </c>
      <c r="J239" s="42" t="str">
        <f t="shared" si="7"/>
        <v>13311</v>
      </c>
    </row>
    <row r="240" spans="1:10">
      <c r="A240" s="30">
        <v>46229</v>
      </c>
      <c r="B240" s="31" t="s">
        <v>471</v>
      </c>
      <c r="C240" s="32" t="s">
        <v>252</v>
      </c>
      <c r="D240" s="19" t="s">
        <v>2228</v>
      </c>
      <c r="E240" s="275">
        <v>163378</v>
      </c>
      <c r="F240" s="272"/>
      <c r="G240" s="32" t="s">
        <v>434</v>
      </c>
      <c r="H240" s="32" t="s">
        <v>334</v>
      </c>
      <c r="I240" s="2">
        <f t="shared" si="6"/>
        <v>163378</v>
      </c>
      <c r="J240" s="42" t="str">
        <f t="shared" si="7"/>
        <v>13311</v>
      </c>
    </row>
    <row r="241" spans="1:10">
      <c r="A241" s="30">
        <v>46229</v>
      </c>
      <c r="B241" s="31" t="s">
        <v>471</v>
      </c>
      <c r="C241" s="32" t="s">
        <v>252</v>
      </c>
      <c r="D241" s="19" t="s">
        <v>2228</v>
      </c>
      <c r="E241" s="275">
        <v>29630</v>
      </c>
      <c r="F241" s="272"/>
      <c r="G241" s="32" t="s">
        <v>434</v>
      </c>
      <c r="H241" s="32" t="s">
        <v>334</v>
      </c>
      <c r="I241" s="2">
        <f t="shared" si="6"/>
        <v>29630</v>
      </c>
      <c r="J241" s="42" t="str">
        <f t="shared" si="7"/>
        <v>13311</v>
      </c>
    </row>
    <row r="242" spans="1:10">
      <c r="A242" s="30">
        <v>46229</v>
      </c>
      <c r="B242" s="31" t="s">
        <v>471</v>
      </c>
      <c r="C242" s="32" t="s">
        <v>252</v>
      </c>
      <c r="D242" s="19" t="s">
        <v>2228</v>
      </c>
      <c r="E242" s="275">
        <v>375769</v>
      </c>
      <c r="F242" s="272"/>
      <c r="G242" s="32" t="s">
        <v>434</v>
      </c>
      <c r="H242" s="32" t="s">
        <v>334</v>
      </c>
      <c r="I242" s="2">
        <f t="shared" si="6"/>
        <v>375769</v>
      </c>
      <c r="J242" s="42" t="str">
        <f t="shared" si="7"/>
        <v>13311</v>
      </c>
    </row>
    <row r="243" spans="1:10">
      <c r="A243" s="30">
        <v>46229</v>
      </c>
      <c r="B243" s="31" t="s">
        <v>471</v>
      </c>
      <c r="C243" s="32" t="s">
        <v>252</v>
      </c>
      <c r="D243" s="19" t="s">
        <v>2228</v>
      </c>
      <c r="E243" s="275">
        <v>272296</v>
      </c>
      <c r="F243" s="272"/>
      <c r="G243" s="32" t="s">
        <v>434</v>
      </c>
      <c r="H243" s="32" t="s">
        <v>334</v>
      </c>
      <c r="I243" s="2">
        <f t="shared" si="6"/>
        <v>272296</v>
      </c>
      <c r="J243" s="42" t="str">
        <f t="shared" si="7"/>
        <v>13311</v>
      </c>
    </row>
    <row r="244" spans="1:10">
      <c r="A244" s="30">
        <v>46229</v>
      </c>
      <c r="B244" s="31" t="s">
        <v>471</v>
      </c>
      <c r="C244" s="32" t="s">
        <v>252</v>
      </c>
      <c r="D244" s="19" t="s">
        <v>2228</v>
      </c>
      <c r="E244" s="275">
        <v>170185</v>
      </c>
      <c r="F244" s="272"/>
      <c r="G244" s="32" t="s">
        <v>434</v>
      </c>
      <c r="H244" s="32" t="s">
        <v>334</v>
      </c>
      <c r="I244" s="2">
        <f t="shared" si="6"/>
        <v>170185</v>
      </c>
      <c r="J244" s="42" t="str">
        <f t="shared" si="7"/>
        <v>13311</v>
      </c>
    </row>
    <row r="245" spans="1:10">
      <c r="A245" s="30">
        <v>46229</v>
      </c>
      <c r="B245" s="31" t="s">
        <v>471</v>
      </c>
      <c r="C245" s="32" t="s">
        <v>252</v>
      </c>
      <c r="D245" s="19" t="s">
        <v>2228</v>
      </c>
      <c r="E245" s="275">
        <v>15156</v>
      </c>
      <c r="F245" s="272"/>
      <c r="G245" s="32" t="s">
        <v>434</v>
      </c>
      <c r="H245" s="32" t="s">
        <v>334</v>
      </c>
      <c r="I245" s="2">
        <f t="shared" si="6"/>
        <v>15156</v>
      </c>
      <c r="J245" s="42" t="str">
        <f t="shared" si="7"/>
        <v>13311</v>
      </c>
    </row>
    <row r="246" spans="1:10">
      <c r="A246" s="30">
        <v>46229</v>
      </c>
      <c r="B246" s="31" t="s">
        <v>471</v>
      </c>
      <c r="C246" s="32" t="s">
        <v>252</v>
      </c>
      <c r="D246" s="19" t="s">
        <v>2228</v>
      </c>
      <c r="E246" s="275">
        <v>161333</v>
      </c>
      <c r="F246" s="272"/>
      <c r="G246" s="32" t="s">
        <v>434</v>
      </c>
      <c r="H246" s="32" t="s">
        <v>334</v>
      </c>
      <c r="I246" s="2">
        <f t="shared" si="6"/>
        <v>161333</v>
      </c>
      <c r="J246" s="42" t="str">
        <f t="shared" si="7"/>
        <v>13311</v>
      </c>
    </row>
    <row r="247" spans="1:10">
      <c r="A247" s="30">
        <v>46229</v>
      </c>
      <c r="B247" s="31" t="s">
        <v>471</v>
      </c>
      <c r="C247" s="32" t="s">
        <v>252</v>
      </c>
      <c r="D247" s="19" t="s">
        <v>2228</v>
      </c>
      <c r="E247" s="275">
        <v>30311</v>
      </c>
      <c r="F247" s="272"/>
      <c r="G247" s="32" t="s">
        <v>434</v>
      </c>
      <c r="H247" s="32" t="s">
        <v>334</v>
      </c>
      <c r="I247" s="2">
        <f t="shared" si="6"/>
        <v>30311</v>
      </c>
      <c r="J247" s="42" t="str">
        <f t="shared" si="7"/>
        <v>13311</v>
      </c>
    </row>
    <row r="248" spans="1:10">
      <c r="A248" s="30">
        <v>46229</v>
      </c>
      <c r="B248" s="31" t="s">
        <v>471</v>
      </c>
      <c r="C248" s="32" t="s">
        <v>252</v>
      </c>
      <c r="D248" s="19" t="s">
        <v>2228</v>
      </c>
      <c r="E248" s="275">
        <v>30311</v>
      </c>
      <c r="F248" s="272"/>
      <c r="G248" s="32" t="s">
        <v>434</v>
      </c>
      <c r="H248" s="32" t="s">
        <v>334</v>
      </c>
      <c r="I248" s="2">
        <f t="shared" si="6"/>
        <v>30311</v>
      </c>
      <c r="J248" s="42" t="str">
        <f t="shared" si="7"/>
        <v>13311</v>
      </c>
    </row>
    <row r="249" spans="1:10">
      <c r="A249" s="30">
        <v>46229</v>
      </c>
      <c r="B249" s="31" t="s">
        <v>471</v>
      </c>
      <c r="C249" s="32" t="s">
        <v>252</v>
      </c>
      <c r="D249" s="19" t="s">
        <v>2228</v>
      </c>
      <c r="E249" s="275">
        <v>268889</v>
      </c>
      <c r="F249" s="272"/>
      <c r="G249" s="32" t="s">
        <v>434</v>
      </c>
      <c r="H249" s="32" t="s">
        <v>334</v>
      </c>
      <c r="I249" s="2">
        <f t="shared" si="6"/>
        <v>268889</v>
      </c>
      <c r="J249" s="42" t="str">
        <f t="shared" si="7"/>
        <v>13311</v>
      </c>
    </row>
    <row r="250" spans="1:10">
      <c r="A250" s="30">
        <v>46229</v>
      </c>
      <c r="B250" s="31" t="s">
        <v>471</v>
      </c>
      <c r="C250" s="32" t="s">
        <v>252</v>
      </c>
      <c r="D250" s="19" t="s">
        <v>2228</v>
      </c>
      <c r="E250" s="275">
        <v>29748</v>
      </c>
      <c r="F250" s="272"/>
      <c r="G250" s="32" t="s">
        <v>434</v>
      </c>
      <c r="H250" s="32" t="s">
        <v>334</v>
      </c>
      <c r="I250" s="2">
        <f t="shared" si="6"/>
        <v>29748</v>
      </c>
      <c r="J250" s="42" t="str">
        <f t="shared" si="7"/>
        <v>13311</v>
      </c>
    </row>
    <row r="251" spans="1:10">
      <c r="A251" s="30">
        <v>46229</v>
      </c>
      <c r="B251" s="31" t="s">
        <v>471</v>
      </c>
      <c r="C251" s="32" t="s">
        <v>252</v>
      </c>
      <c r="D251" s="19" t="s">
        <v>2228</v>
      </c>
      <c r="E251" s="275">
        <v>29748</v>
      </c>
      <c r="F251" s="272"/>
      <c r="G251" s="32" t="s">
        <v>434</v>
      </c>
      <c r="H251" s="32" t="s">
        <v>334</v>
      </c>
      <c r="I251" s="2">
        <f t="shared" si="6"/>
        <v>29748</v>
      </c>
      <c r="J251" s="42" t="str">
        <f t="shared" si="7"/>
        <v>13311</v>
      </c>
    </row>
    <row r="252" spans="1:10">
      <c r="A252" s="30">
        <v>46229</v>
      </c>
      <c r="B252" s="31" t="s">
        <v>471</v>
      </c>
      <c r="C252" s="32" t="s">
        <v>252</v>
      </c>
      <c r="D252" s="19" t="s">
        <v>2228</v>
      </c>
      <c r="E252" s="275">
        <v>268889</v>
      </c>
      <c r="F252" s="272"/>
      <c r="G252" s="32" t="s">
        <v>434</v>
      </c>
      <c r="H252" s="32" t="s">
        <v>334</v>
      </c>
      <c r="I252" s="2">
        <f t="shared" si="6"/>
        <v>268889</v>
      </c>
      <c r="J252" s="42" t="str">
        <f t="shared" si="7"/>
        <v>13311</v>
      </c>
    </row>
    <row r="253" spans="1:10">
      <c r="A253" s="30">
        <v>46229</v>
      </c>
      <c r="B253" s="31" t="s">
        <v>471</v>
      </c>
      <c r="C253" s="32" t="s">
        <v>252</v>
      </c>
      <c r="D253" s="19" t="s">
        <v>2228</v>
      </c>
      <c r="E253" s="275">
        <v>53778</v>
      </c>
      <c r="F253" s="272"/>
      <c r="G253" s="32" t="s">
        <v>434</v>
      </c>
      <c r="H253" s="32" t="s">
        <v>334</v>
      </c>
      <c r="I253" s="2">
        <f t="shared" si="6"/>
        <v>53778</v>
      </c>
      <c r="J253" s="42" t="str">
        <f t="shared" si="7"/>
        <v>13311</v>
      </c>
    </row>
    <row r="254" spans="1:10">
      <c r="A254" s="30">
        <v>46229</v>
      </c>
      <c r="B254" s="31" t="s">
        <v>471</v>
      </c>
      <c r="C254" s="32" t="s">
        <v>252</v>
      </c>
      <c r="D254" s="19" t="s">
        <v>2228</v>
      </c>
      <c r="E254" s="275">
        <v>29748</v>
      </c>
      <c r="F254" s="272"/>
      <c r="G254" s="32" t="s">
        <v>434</v>
      </c>
      <c r="H254" s="32" t="s">
        <v>334</v>
      </c>
      <c r="I254" s="2">
        <f t="shared" si="6"/>
        <v>29748</v>
      </c>
      <c r="J254" s="42" t="str">
        <f t="shared" si="7"/>
        <v>13311</v>
      </c>
    </row>
    <row r="255" spans="1:10">
      <c r="A255" s="30">
        <v>46229</v>
      </c>
      <c r="B255" s="31" t="s">
        <v>471</v>
      </c>
      <c r="C255" s="32" t="s">
        <v>252</v>
      </c>
      <c r="D255" s="19" t="s">
        <v>2228</v>
      </c>
      <c r="E255" s="275">
        <v>161333</v>
      </c>
      <c r="F255" s="272"/>
      <c r="G255" s="32" t="s">
        <v>434</v>
      </c>
      <c r="H255" s="32" t="s">
        <v>334</v>
      </c>
      <c r="I255" s="2">
        <f t="shared" si="6"/>
        <v>161333</v>
      </c>
      <c r="J255" s="42" t="str">
        <f t="shared" si="7"/>
        <v>13311</v>
      </c>
    </row>
    <row r="256" spans="1:10">
      <c r="A256" s="30">
        <v>46229</v>
      </c>
      <c r="B256" s="31" t="s">
        <v>471</v>
      </c>
      <c r="C256" s="32" t="s">
        <v>252</v>
      </c>
      <c r="D256" s="19" t="s">
        <v>2228</v>
      </c>
      <c r="E256" s="275">
        <v>268889</v>
      </c>
      <c r="F256" s="272"/>
      <c r="G256" s="32" t="s">
        <v>434</v>
      </c>
      <c r="H256" s="32" t="s">
        <v>334</v>
      </c>
      <c r="I256" s="2">
        <f t="shared" si="6"/>
        <v>268889</v>
      </c>
      <c r="J256" s="42" t="str">
        <f t="shared" si="7"/>
        <v>13311</v>
      </c>
    </row>
    <row r="257" spans="1:10">
      <c r="A257" s="30">
        <v>46229</v>
      </c>
      <c r="B257" s="31" t="s">
        <v>471</v>
      </c>
      <c r="C257" s="32" t="s">
        <v>252</v>
      </c>
      <c r="D257" s="19" t="s">
        <v>2228</v>
      </c>
      <c r="E257" s="275">
        <v>29067</v>
      </c>
      <c r="F257" s="272"/>
      <c r="G257" s="32" t="s">
        <v>434</v>
      </c>
      <c r="H257" s="32" t="s">
        <v>334</v>
      </c>
      <c r="I257" s="2">
        <f t="shared" si="6"/>
        <v>29067</v>
      </c>
      <c r="J257" s="42" t="str">
        <f t="shared" si="7"/>
        <v>13311</v>
      </c>
    </row>
    <row r="258" spans="1:10">
      <c r="A258" s="30">
        <v>46229</v>
      </c>
      <c r="B258" s="31" t="s">
        <v>471</v>
      </c>
      <c r="C258" s="32" t="s">
        <v>252</v>
      </c>
      <c r="D258" s="19" t="s">
        <v>2228</v>
      </c>
      <c r="E258" s="275">
        <v>29067</v>
      </c>
      <c r="F258" s="272"/>
      <c r="G258" s="32" t="s">
        <v>434</v>
      </c>
      <c r="H258" s="32" t="s">
        <v>334</v>
      </c>
      <c r="I258" s="2">
        <f t="shared" si="6"/>
        <v>29067</v>
      </c>
      <c r="J258" s="42" t="str">
        <f t="shared" si="7"/>
        <v>13311</v>
      </c>
    </row>
    <row r="259" spans="1:10">
      <c r="A259" s="30">
        <v>46229</v>
      </c>
      <c r="B259" s="31" t="s">
        <v>471</v>
      </c>
      <c r="C259" s="32" t="s">
        <v>252</v>
      </c>
      <c r="D259" s="19" t="s">
        <v>2228</v>
      </c>
      <c r="E259" s="275">
        <v>323519</v>
      </c>
      <c r="F259" s="272"/>
      <c r="G259" s="32" t="s">
        <v>434</v>
      </c>
      <c r="H259" s="32" t="s">
        <v>334</v>
      </c>
      <c r="I259" s="2">
        <f t="shared" si="6"/>
        <v>323519</v>
      </c>
      <c r="J259" s="42" t="str">
        <f t="shared" si="7"/>
        <v>13311</v>
      </c>
    </row>
    <row r="260" spans="1:10">
      <c r="A260" s="30">
        <v>46229</v>
      </c>
      <c r="B260" s="31" t="s">
        <v>471</v>
      </c>
      <c r="C260" s="32" t="s">
        <v>252</v>
      </c>
      <c r="D260" s="19" t="s">
        <v>2228</v>
      </c>
      <c r="E260" s="275">
        <v>142347</v>
      </c>
      <c r="F260" s="272"/>
      <c r="G260" s="32" t="s">
        <v>434</v>
      </c>
      <c r="H260" s="32" t="s">
        <v>334</v>
      </c>
      <c r="I260" s="2">
        <f t="shared" si="6"/>
        <v>142347</v>
      </c>
      <c r="J260" s="42" t="str">
        <f t="shared" si="7"/>
        <v>13311</v>
      </c>
    </row>
    <row r="261" spans="1:10">
      <c r="A261" s="30">
        <v>46229</v>
      </c>
      <c r="B261" s="31" t="s">
        <v>471</v>
      </c>
      <c r="C261" s="32" t="s">
        <v>252</v>
      </c>
      <c r="D261" s="19" t="s">
        <v>2228</v>
      </c>
      <c r="E261" s="275">
        <v>64704</v>
      </c>
      <c r="F261" s="272"/>
      <c r="G261" s="32" t="s">
        <v>434</v>
      </c>
      <c r="H261" s="32" t="s">
        <v>334</v>
      </c>
      <c r="I261" s="2">
        <f t="shared" si="6"/>
        <v>64704</v>
      </c>
      <c r="J261" s="42" t="str">
        <f t="shared" si="7"/>
        <v>13311</v>
      </c>
    </row>
    <row r="262" spans="1:10">
      <c r="A262" s="30">
        <v>46229</v>
      </c>
      <c r="B262" s="31" t="s">
        <v>471</v>
      </c>
      <c r="C262" s="32" t="s">
        <v>252</v>
      </c>
      <c r="D262" s="19" t="s">
        <v>2228</v>
      </c>
      <c r="E262" s="275">
        <v>29067</v>
      </c>
      <c r="F262" s="272"/>
      <c r="G262" s="32" t="s">
        <v>434</v>
      </c>
      <c r="H262" s="32" t="s">
        <v>334</v>
      </c>
      <c r="I262" s="2">
        <f t="shared" si="6"/>
        <v>29067</v>
      </c>
      <c r="J262" s="42" t="str">
        <f t="shared" si="7"/>
        <v>13311</v>
      </c>
    </row>
    <row r="263" spans="1:10">
      <c r="A263" s="30">
        <v>46229</v>
      </c>
      <c r="B263" s="31" t="s">
        <v>471</v>
      </c>
      <c r="C263" s="32" t="s">
        <v>252</v>
      </c>
      <c r="D263" s="19" t="s">
        <v>2228</v>
      </c>
      <c r="E263" s="275">
        <v>65998</v>
      </c>
      <c r="F263" s="272"/>
      <c r="G263" s="32" t="s">
        <v>434</v>
      </c>
      <c r="H263" s="32" t="s">
        <v>334</v>
      </c>
      <c r="I263" s="2">
        <f t="shared" si="6"/>
        <v>65998</v>
      </c>
      <c r="J263" s="42" t="str">
        <f t="shared" si="7"/>
        <v>13311</v>
      </c>
    </row>
    <row r="264" spans="1:10">
      <c r="A264" s="30">
        <v>46229</v>
      </c>
      <c r="B264" s="31" t="s">
        <v>471</v>
      </c>
      <c r="C264" s="32" t="s">
        <v>252</v>
      </c>
      <c r="D264" s="19" t="s">
        <v>2228</v>
      </c>
      <c r="E264" s="275">
        <v>133290</v>
      </c>
      <c r="F264" s="272"/>
      <c r="G264" s="32" t="s">
        <v>434</v>
      </c>
      <c r="H264" s="32" t="s">
        <v>334</v>
      </c>
      <c r="I264" s="2">
        <f t="shared" si="6"/>
        <v>133290</v>
      </c>
      <c r="J264" s="42" t="str">
        <f t="shared" si="7"/>
        <v>13311</v>
      </c>
    </row>
    <row r="265" spans="1:10">
      <c r="A265" s="30">
        <v>46229</v>
      </c>
      <c r="B265" s="31" t="s">
        <v>471</v>
      </c>
      <c r="C265" s="32" t="s">
        <v>252</v>
      </c>
      <c r="D265" s="19" t="s">
        <v>2228</v>
      </c>
      <c r="E265" s="275">
        <v>134584</v>
      </c>
      <c r="F265" s="272"/>
      <c r="G265" s="32" t="s">
        <v>434</v>
      </c>
      <c r="H265" s="32" t="s">
        <v>334</v>
      </c>
      <c r="I265" s="2">
        <f t="shared" si="6"/>
        <v>134584</v>
      </c>
      <c r="J265" s="42" t="str">
        <f t="shared" si="7"/>
        <v>13311</v>
      </c>
    </row>
    <row r="266" spans="1:10">
      <c r="A266" s="30">
        <v>46229</v>
      </c>
      <c r="B266" s="31" t="s">
        <v>471</v>
      </c>
      <c r="C266" s="32" t="s">
        <v>252</v>
      </c>
      <c r="D266" s="19" t="s">
        <v>2228</v>
      </c>
      <c r="E266" s="275">
        <v>85409</v>
      </c>
      <c r="F266" s="272"/>
      <c r="G266" s="32" t="s">
        <v>434</v>
      </c>
      <c r="H266" s="32" t="s">
        <v>334</v>
      </c>
      <c r="I266" s="2">
        <f t="shared" si="6"/>
        <v>85409</v>
      </c>
      <c r="J266" s="42" t="str">
        <f t="shared" si="7"/>
        <v>13311</v>
      </c>
    </row>
    <row r="267" spans="1:10">
      <c r="A267" s="30">
        <v>46229</v>
      </c>
      <c r="B267" s="31" t="s">
        <v>471</v>
      </c>
      <c r="C267" s="32" t="s">
        <v>252</v>
      </c>
      <c r="D267" s="19" t="s">
        <v>2228</v>
      </c>
      <c r="E267" s="275">
        <v>29067</v>
      </c>
      <c r="F267" s="272"/>
      <c r="G267" s="32" t="s">
        <v>434</v>
      </c>
      <c r="H267" s="32" t="s">
        <v>334</v>
      </c>
      <c r="I267" s="2">
        <f t="shared" ref="I267:I330" si="8">IF(LEN(A267)=5,E267,0)</f>
        <v>29067</v>
      </c>
      <c r="J267" s="42" t="str">
        <f t="shared" ref="J267:J330" si="9">IF(LEFT(A267,11)="Tài khoản: ",MID(A267,12,5),J266)</f>
        <v>13311</v>
      </c>
    </row>
    <row r="268" spans="1:10">
      <c r="A268" s="30">
        <v>46229</v>
      </c>
      <c r="B268" s="31" t="s">
        <v>471</v>
      </c>
      <c r="C268" s="32" t="s">
        <v>252</v>
      </c>
      <c r="D268" s="19" t="s">
        <v>2228</v>
      </c>
      <c r="E268" s="275">
        <v>110453</v>
      </c>
      <c r="F268" s="272"/>
      <c r="G268" s="32" t="s">
        <v>434</v>
      </c>
      <c r="H268" s="32" t="s">
        <v>334</v>
      </c>
      <c r="I268" s="2">
        <f t="shared" si="8"/>
        <v>110453</v>
      </c>
      <c r="J268" s="42" t="str">
        <f t="shared" si="9"/>
        <v>13311</v>
      </c>
    </row>
    <row r="269" spans="1:10">
      <c r="A269" s="30">
        <v>46229</v>
      </c>
      <c r="B269" s="31" t="s">
        <v>471</v>
      </c>
      <c r="C269" s="32" t="s">
        <v>252</v>
      </c>
      <c r="D269" s="19" t="s">
        <v>2228</v>
      </c>
      <c r="E269" s="275">
        <v>14533</v>
      </c>
      <c r="F269" s="272"/>
      <c r="G269" s="32" t="s">
        <v>434</v>
      </c>
      <c r="H269" s="32" t="s">
        <v>334</v>
      </c>
      <c r="I269" s="2">
        <f t="shared" si="8"/>
        <v>14533</v>
      </c>
      <c r="J269" s="42" t="str">
        <f t="shared" si="9"/>
        <v>13311</v>
      </c>
    </row>
    <row r="270" spans="1:10">
      <c r="A270" s="30">
        <v>46229</v>
      </c>
      <c r="B270" s="31" t="s">
        <v>471</v>
      </c>
      <c r="C270" s="32" t="s">
        <v>252</v>
      </c>
      <c r="D270" s="19" t="s">
        <v>2228</v>
      </c>
      <c r="E270" s="275">
        <v>145333</v>
      </c>
      <c r="F270" s="272"/>
      <c r="G270" s="32" t="s">
        <v>434</v>
      </c>
      <c r="H270" s="32" t="s">
        <v>334</v>
      </c>
      <c r="I270" s="2">
        <f t="shared" si="8"/>
        <v>145333</v>
      </c>
      <c r="J270" s="42" t="str">
        <f t="shared" si="9"/>
        <v>13311</v>
      </c>
    </row>
    <row r="271" spans="1:10">
      <c r="A271" s="30">
        <v>46229</v>
      </c>
      <c r="B271" s="31" t="s">
        <v>471</v>
      </c>
      <c r="C271" s="32" t="s">
        <v>252</v>
      </c>
      <c r="D271" s="19" t="s">
        <v>2228</v>
      </c>
      <c r="E271" s="275">
        <v>81481</v>
      </c>
      <c r="F271" s="272"/>
      <c r="G271" s="32" t="s">
        <v>434</v>
      </c>
      <c r="H271" s="32" t="s">
        <v>334</v>
      </c>
      <c r="I271" s="2">
        <f t="shared" si="8"/>
        <v>81481</v>
      </c>
      <c r="J271" s="42" t="str">
        <f t="shared" si="9"/>
        <v>13311</v>
      </c>
    </row>
    <row r="272" spans="1:10">
      <c r="A272" s="30">
        <v>46229</v>
      </c>
      <c r="B272" s="31" t="s">
        <v>471</v>
      </c>
      <c r="C272" s="32" t="s">
        <v>252</v>
      </c>
      <c r="D272" s="19" t="s">
        <v>2228</v>
      </c>
      <c r="E272" s="275">
        <v>81688</v>
      </c>
      <c r="F272" s="272"/>
      <c r="G272" s="32" t="s">
        <v>434</v>
      </c>
      <c r="H272" s="32" t="s">
        <v>334</v>
      </c>
      <c r="I272" s="2">
        <f t="shared" si="8"/>
        <v>81688</v>
      </c>
      <c r="J272" s="42" t="str">
        <f t="shared" si="9"/>
        <v>13311</v>
      </c>
    </row>
    <row r="273" spans="1:10">
      <c r="A273" s="30">
        <v>46229</v>
      </c>
      <c r="B273" s="31" t="s">
        <v>471</v>
      </c>
      <c r="C273" s="32" t="s">
        <v>252</v>
      </c>
      <c r="D273" s="19" t="s">
        <v>2228</v>
      </c>
      <c r="E273" s="275">
        <v>188222</v>
      </c>
      <c r="F273" s="272"/>
      <c r="G273" s="32" t="s">
        <v>434</v>
      </c>
      <c r="H273" s="32" t="s">
        <v>334</v>
      </c>
      <c r="I273" s="2">
        <f t="shared" si="8"/>
        <v>188222</v>
      </c>
      <c r="J273" s="42" t="str">
        <f t="shared" si="9"/>
        <v>13311</v>
      </c>
    </row>
    <row r="274" spans="1:10">
      <c r="A274" s="30">
        <v>46229</v>
      </c>
      <c r="B274" s="31" t="s">
        <v>471</v>
      </c>
      <c r="C274" s="32" t="s">
        <v>252</v>
      </c>
      <c r="D274" s="19" t="s">
        <v>2228</v>
      </c>
      <c r="E274" s="275">
        <v>53777</v>
      </c>
      <c r="F274" s="272"/>
      <c r="G274" s="32" t="s">
        <v>434</v>
      </c>
      <c r="H274" s="32" t="s">
        <v>334</v>
      </c>
      <c r="I274" s="2">
        <f t="shared" si="8"/>
        <v>53777</v>
      </c>
      <c r="J274" s="42" t="str">
        <f t="shared" si="9"/>
        <v>13311</v>
      </c>
    </row>
    <row r="275" spans="1:10">
      <c r="A275" s="30">
        <v>46229</v>
      </c>
      <c r="B275" s="31" t="s">
        <v>471</v>
      </c>
      <c r="C275" s="32" t="s">
        <v>252</v>
      </c>
      <c r="D275" s="19" t="s">
        <v>2228</v>
      </c>
      <c r="E275" s="275">
        <v>108702</v>
      </c>
      <c r="F275" s="272"/>
      <c r="G275" s="32" t="s">
        <v>434</v>
      </c>
      <c r="H275" s="32" t="s">
        <v>334</v>
      </c>
      <c r="I275" s="2">
        <f t="shared" si="8"/>
        <v>108702</v>
      </c>
      <c r="J275" s="42" t="str">
        <f t="shared" si="9"/>
        <v>13311</v>
      </c>
    </row>
    <row r="276" spans="1:10">
      <c r="A276" s="30">
        <v>46229</v>
      </c>
      <c r="B276" s="31" t="s">
        <v>471</v>
      </c>
      <c r="C276" s="32" t="s">
        <v>252</v>
      </c>
      <c r="D276" s="19" t="s">
        <v>2228</v>
      </c>
      <c r="E276" s="275">
        <v>32511</v>
      </c>
      <c r="F276" s="272"/>
      <c r="G276" s="32" t="s">
        <v>434</v>
      </c>
      <c r="H276" s="32" t="s">
        <v>334</v>
      </c>
      <c r="I276" s="2">
        <f t="shared" si="8"/>
        <v>32511</v>
      </c>
      <c r="J276" s="42" t="str">
        <f t="shared" si="9"/>
        <v>13311</v>
      </c>
    </row>
    <row r="277" spans="1:10">
      <c r="A277" s="30">
        <v>46229</v>
      </c>
      <c r="B277" s="31" t="s">
        <v>471</v>
      </c>
      <c r="C277" s="32" t="s">
        <v>252</v>
      </c>
      <c r="D277" s="19" t="s">
        <v>2228</v>
      </c>
      <c r="E277" s="275">
        <v>65022</v>
      </c>
      <c r="F277" s="272"/>
      <c r="G277" s="32" t="s">
        <v>434</v>
      </c>
      <c r="H277" s="32" t="s">
        <v>334</v>
      </c>
      <c r="I277" s="2">
        <f t="shared" si="8"/>
        <v>65022</v>
      </c>
      <c r="J277" s="42" t="str">
        <f t="shared" si="9"/>
        <v>13311</v>
      </c>
    </row>
    <row r="278" spans="1:10">
      <c r="A278" s="30">
        <v>46229</v>
      </c>
      <c r="B278" s="31" t="s">
        <v>471</v>
      </c>
      <c r="C278" s="32" t="s">
        <v>252</v>
      </c>
      <c r="D278" s="19" t="s">
        <v>2228</v>
      </c>
      <c r="E278" s="275">
        <v>114074</v>
      </c>
      <c r="F278" s="272"/>
      <c r="G278" s="32" t="s">
        <v>434</v>
      </c>
      <c r="H278" s="32" t="s">
        <v>334</v>
      </c>
      <c r="I278" s="2">
        <f t="shared" si="8"/>
        <v>114074</v>
      </c>
      <c r="J278" s="42" t="str">
        <f t="shared" si="9"/>
        <v>13311</v>
      </c>
    </row>
    <row r="279" spans="1:10">
      <c r="A279" s="30">
        <v>46229</v>
      </c>
      <c r="B279" s="31" t="s">
        <v>471</v>
      </c>
      <c r="C279" s="32" t="s">
        <v>252</v>
      </c>
      <c r="D279" s="19" t="s">
        <v>2228</v>
      </c>
      <c r="E279" s="275">
        <v>47407</v>
      </c>
      <c r="F279" s="272"/>
      <c r="G279" s="32" t="s">
        <v>434</v>
      </c>
      <c r="H279" s="32" t="s">
        <v>334</v>
      </c>
      <c r="I279" s="2">
        <f t="shared" si="8"/>
        <v>47407</v>
      </c>
      <c r="J279" s="42" t="str">
        <f t="shared" si="9"/>
        <v>13311</v>
      </c>
    </row>
    <row r="280" spans="1:10">
      <c r="A280" s="30">
        <v>46229</v>
      </c>
      <c r="B280" s="31" t="s">
        <v>471</v>
      </c>
      <c r="C280" s="32" t="s">
        <v>252</v>
      </c>
      <c r="D280" s="19" t="s">
        <v>2228</v>
      </c>
      <c r="E280" s="275">
        <v>128119</v>
      </c>
      <c r="F280" s="272"/>
      <c r="G280" s="32" t="s">
        <v>434</v>
      </c>
      <c r="H280" s="32" t="s">
        <v>334</v>
      </c>
      <c r="I280" s="2">
        <f t="shared" si="8"/>
        <v>128119</v>
      </c>
      <c r="J280" s="42" t="str">
        <f t="shared" si="9"/>
        <v>13311</v>
      </c>
    </row>
    <row r="281" spans="1:10">
      <c r="A281" s="30">
        <v>46229</v>
      </c>
      <c r="B281" s="31" t="s">
        <v>471</v>
      </c>
      <c r="C281" s="32" t="s">
        <v>252</v>
      </c>
      <c r="D281" s="19" t="s">
        <v>2229</v>
      </c>
      <c r="E281" s="275">
        <v>41455</v>
      </c>
      <c r="F281" s="272"/>
      <c r="G281" s="32" t="s">
        <v>434</v>
      </c>
      <c r="H281" s="32" t="s">
        <v>334</v>
      </c>
      <c r="I281" s="2">
        <f t="shared" si="8"/>
        <v>41455</v>
      </c>
      <c r="J281" s="42" t="str">
        <f t="shared" si="9"/>
        <v>13311</v>
      </c>
    </row>
    <row r="282" spans="1:10">
      <c r="A282" s="30">
        <v>46229</v>
      </c>
      <c r="B282" s="31" t="s">
        <v>471</v>
      </c>
      <c r="C282" s="32" t="s">
        <v>252</v>
      </c>
      <c r="D282" s="19" t="s">
        <v>2229</v>
      </c>
      <c r="E282" s="275">
        <v>24000</v>
      </c>
      <c r="F282" s="272"/>
      <c r="G282" s="32" t="s">
        <v>434</v>
      </c>
      <c r="H282" s="32" t="s">
        <v>334</v>
      </c>
      <c r="I282" s="2">
        <f t="shared" si="8"/>
        <v>24000</v>
      </c>
      <c r="J282" s="42" t="str">
        <f t="shared" si="9"/>
        <v>13311</v>
      </c>
    </row>
    <row r="283" spans="1:10">
      <c r="A283" s="30">
        <v>46229</v>
      </c>
      <c r="B283" s="31" t="s">
        <v>471</v>
      </c>
      <c r="C283" s="32" t="s">
        <v>252</v>
      </c>
      <c r="D283" s="19" t="s">
        <v>2229</v>
      </c>
      <c r="E283" s="275">
        <v>21091</v>
      </c>
      <c r="F283" s="272"/>
      <c r="G283" s="32" t="s">
        <v>434</v>
      </c>
      <c r="H283" s="32" t="s">
        <v>334</v>
      </c>
      <c r="I283" s="2">
        <f t="shared" si="8"/>
        <v>21091</v>
      </c>
      <c r="J283" s="42" t="str">
        <f t="shared" si="9"/>
        <v>13311</v>
      </c>
    </row>
    <row r="284" spans="1:10">
      <c r="A284" s="30">
        <v>46229</v>
      </c>
      <c r="B284" s="31" t="s">
        <v>471</v>
      </c>
      <c r="C284" s="32" t="s">
        <v>252</v>
      </c>
      <c r="D284" s="19" t="s">
        <v>2229</v>
      </c>
      <c r="E284" s="275">
        <v>24000</v>
      </c>
      <c r="F284" s="272"/>
      <c r="G284" s="32" t="s">
        <v>434</v>
      </c>
      <c r="H284" s="32" t="s">
        <v>334</v>
      </c>
      <c r="I284" s="2">
        <f t="shared" si="8"/>
        <v>24000</v>
      </c>
      <c r="J284" s="42" t="str">
        <f t="shared" si="9"/>
        <v>13311</v>
      </c>
    </row>
    <row r="285" spans="1:10">
      <c r="A285" s="30">
        <v>46229</v>
      </c>
      <c r="B285" s="31" t="s">
        <v>471</v>
      </c>
      <c r="C285" s="32" t="s">
        <v>252</v>
      </c>
      <c r="D285" s="19" t="s">
        <v>2228</v>
      </c>
      <c r="E285" s="275">
        <v>29630</v>
      </c>
      <c r="F285" s="272"/>
      <c r="G285" s="32" t="s">
        <v>434</v>
      </c>
      <c r="H285" s="32" t="s">
        <v>334</v>
      </c>
      <c r="I285" s="2">
        <f t="shared" si="8"/>
        <v>29630</v>
      </c>
      <c r="J285" s="42" t="str">
        <f t="shared" si="9"/>
        <v>13311</v>
      </c>
    </row>
    <row r="286" spans="1:10">
      <c r="A286" s="30">
        <v>46229</v>
      </c>
      <c r="B286" s="31" t="s">
        <v>471</v>
      </c>
      <c r="C286" s="32" t="s">
        <v>252</v>
      </c>
      <c r="D286" s="19" t="s">
        <v>2228</v>
      </c>
      <c r="E286" s="275">
        <v>30311</v>
      </c>
      <c r="F286" s="272"/>
      <c r="G286" s="32" t="s">
        <v>434</v>
      </c>
      <c r="H286" s="32" t="s">
        <v>334</v>
      </c>
      <c r="I286" s="2">
        <f t="shared" si="8"/>
        <v>30311</v>
      </c>
      <c r="J286" s="42" t="str">
        <f t="shared" si="9"/>
        <v>13311</v>
      </c>
    </row>
    <row r="287" spans="1:10">
      <c r="A287" s="30">
        <v>46229</v>
      </c>
      <c r="B287" s="31" t="s">
        <v>471</v>
      </c>
      <c r="C287" s="32" t="s">
        <v>252</v>
      </c>
      <c r="D287" s="19" t="s">
        <v>2228</v>
      </c>
      <c r="E287" s="275">
        <v>30311</v>
      </c>
      <c r="F287" s="272"/>
      <c r="G287" s="32" t="s">
        <v>434</v>
      </c>
      <c r="H287" s="32" t="s">
        <v>334</v>
      </c>
      <c r="I287" s="2">
        <f t="shared" si="8"/>
        <v>30311</v>
      </c>
      <c r="J287" s="42" t="str">
        <f t="shared" si="9"/>
        <v>13311</v>
      </c>
    </row>
    <row r="288" spans="1:10">
      <c r="A288" s="30">
        <v>46229</v>
      </c>
      <c r="B288" s="31" t="s">
        <v>471</v>
      </c>
      <c r="C288" s="32" t="s">
        <v>252</v>
      </c>
      <c r="D288" s="19" t="s">
        <v>2228</v>
      </c>
      <c r="E288" s="275">
        <v>29748</v>
      </c>
      <c r="F288" s="272"/>
      <c r="G288" s="32" t="s">
        <v>434</v>
      </c>
      <c r="H288" s="32" t="s">
        <v>334</v>
      </c>
      <c r="I288" s="2">
        <f t="shared" si="8"/>
        <v>29748</v>
      </c>
      <c r="J288" s="42" t="str">
        <f t="shared" si="9"/>
        <v>13311</v>
      </c>
    </row>
    <row r="289" spans="1:10">
      <c r="A289" s="30">
        <v>46229</v>
      </c>
      <c r="B289" s="31" t="s">
        <v>471</v>
      </c>
      <c r="C289" s="32" t="s">
        <v>252</v>
      </c>
      <c r="D289" s="19" t="s">
        <v>2228</v>
      </c>
      <c r="E289" s="275">
        <v>29748</v>
      </c>
      <c r="F289" s="272"/>
      <c r="G289" s="32" t="s">
        <v>434</v>
      </c>
      <c r="H289" s="32" t="s">
        <v>334</v>
      </c>
      <c r="I289" s="2">
        <f t="shared" si="8"/>
        <v>29748</v>
      </c>
      <c r="J289" s="42" t="str">
        <f t="shared" si="9"/>
        <v>13311</v>
      </c>
    </row>
    <row r="290" spans="1:10">
      <c r="A290" s="30">
        <v>46229</v>
      </c>
      <c r="B290" s="31" t="s">
        <v>471</v>
      </c>
      <c r="C290" s="32" t="s">
        <v>252</v>
      </c>
      <c r="D290" s="19" t="s">
        <v>2228</v>
      </c>
      <c r="E290" s="275">
        <v>29748</v>
      </c>
      <c r="F290" s="272"/>
      <c r="G290" s="32" t="s">
        <v>434</v>
      </c>
      <c r="H290" s="32" t="s">
        <v>334</v>
      </c>
      <c r="I290" s="2">
        <f t="shared" si="8"/>
        <v>29748</v>
      </c>
      <c r="J290" s="42" t="str">
        <f t="shared" si="9"/>
        <v>13311</v>
      </c>
    </row>
    <row r="291" spans="1:10">
      <c r="A291" s="30">
        <v>46229</v>
      </c>
      <c r="B291" s="31" t="s">
        <v>471</v>
      </c>
      <c r="C291" s="32" t="s">
        <v>252</v>
      </c>
      <c r="D291" s="19" t="s">
        <v>2228</v>
      </c>
      <c r="E291" s="275">
        <v>14533</v>
      </c>
      <c r="F291" s="272"/>
      <c r="G291" s="32" t="s">
        <v>434</v>
      </c>
      <c r="H291" s="32" t="s">
        <v>334</v>
      </c>
      <c r="I291" s="2">
        <f t="shared" si="8"/>
        <v>14533</v>
      </c>
      <c r="J291" s="42" t="str">
        <f t="shared" si="9"/>
        <v>13311</v>
      </c>
    </row>
    <row r="292" spans="1:10">
      <c r="A292" s="30">
        <v>46229</v>
      </c>
      <c r="B292" s="31" t="s">
        <v>471</v>
      </c>
      <c r="C292" s="32" t="s">
        <v>252</v>
      </c>
      <c r="D292" s="19" t="s">
        <v>2228</v>
      </c>
      <c r="E292" s="275">
        <v>29067</v>
      </c>
      <c r="F292" s="272"/>
      <c r="G292" s="32" t="s">
        <v>434</v>
      </c>
      <c r="H292" s="32" t="s">
        <v>334</v>
      </c>
      <c r="I292" s="2">
        <f t="shared" si="8"/>
        <v>29067</v>
      </c>
      <c r="J292" s="42" t="str">
        <f t="shared" si="9"/>
        <v>13311</v>
      </c>
    </row>
    <row r="293" spans="1:10">
      <c r="A293" s="30">
        <v>46229</v>
      </c>
      <c r="B293" s="31" t="s">
        <v>471</v>
      </c>
      <c r="C293" s="32" t="s">
        <v>252</v>
      </c>
      <c r="D293" s="19" t="s">
        <v>2228</v>
      </c>
      <c r="E293" s="275">
        <v>17440</v>
      </c>
      <c r="F293" s="272"/>
      <c r="G293" s="32" t="s">
        <v>434</v>
      </c>
      <c r="H293" s="32" t="s">
        <v>334</v>
      </c>
      <c r="I293" s="2">
        <f t="shared" si="8"/>
        <v>17440</v>
      </c>
      <c r="J293" s="42" t="str">
        <f t="shared" si="9"/>
        <v>13311</v>
      </c>
    </row>
    <row r="294" spans="1:10">
      <c r="A294" s="30">
        <v>46229</v>
      </c>
      <c r="B294" s="31" t="s">
        <v>471</v>
      </c>
      <c r="C294" s="32" t="s">
        <v>252</v>
      </c>
      <c r="D294" s="19" t="s">
        <v>2228</v>
      </c>
      <c r="E294" s="275">
        <v>30311</v>
      </c>
      <c r="F294" s="272"/>
      <c r="G294" s="32" t="s">
        <v>434</v>
      </c>
      <c r="H294" s="32" t="s">
        <v>334</v>
      </c>
      <c r="I294" s="2">
        <f t="shared" si="8"/>
        <v>30311</v>
      </c>
      <c r="J294" s="42" t="str">
        <f t="shared" si="9"/>
        <v>13311</v>
      </c>
    </row>
    <row r="295" spans="1:10">
      <c r="A295" s="30">
        <v>46229</v>
      </c>
      <c r="B295" s="31" t="s">
        <v>471</v>
      </c>
      <c r="C295" s="32" t="s">
        <v>252</v>
      </c>
      <c r="D295" s="19" t="s">
        <v>2228</v>
      </c>
      <c r="E295" s="275">
        <v>29748</v>
      </c>
      <c r="F295" s="272"/>
      <c r="G295" s="32" t="s">
        <v>434</v>
      </c>
      <c r="H295" s="32" t="s">
        <v>334</v>
      </c>
      <c r="I295" s="2">
        <f t="shared" si="8"/>
        <v>29748</v>
      </c>
      <c r="J295" s="42" t="str">
        <f t="shared" si="9"/>
        <v>13311</v>
      </c>
    </row>
    <row r="296" spans="1:10">
      <c r="A296" s="30">
        <v>46229</v>
      </c>
      <c r="B296" s="31" t="s">
        <v>471</v>
      </c>
      <c r="C296" s="32" t="s">
        <v>252</v>
      </c>
      <c r="D296" s="19" t="s">
        <v>2228</v>
      </c>
      <c r="E296" s="275">
        <v>29067</v>
      </c>
      <c r="F296" s="272"/>
      <c r="G296" s="32" t="s">
        <v>434</v>
      </c>
      <c r="H296" s="32" t="s">
        <v>334</v>
      </c>
      <c r="I296" s="2">
        <f t="shared" si="8"/>
        <v>29067</v>
      </c>
      <c r="J296" s="42" t="str">
        <f t="shared" si="9"/>
        <v>13311</v>
      </c>
    </row>
    <row r="297" spans="1:10">
      <c r="A297" s="30">
        <v>46229</v>
      </c>
      <c r="B297" s="31" t="s">
        <v>471</v>
      </c>
      <c r="C297" s="32" t="s">
        <v>252</v>
      </c>
      <c r="D297" s="19" t="s">
        <v>2228</v>
      </c>
      <c r="E297" s="275">
        <v>23253</v>
      </c>
      <c r="F297" s="272"/>
      <c r="G297" s="32" t="s">
        <v>434</v>
      </c>
      <c r="H297" s="32" t="s">
        <v>334</v>
      </c>
      <c r="I297" s="2">
        <f t="shared" si="8"/>
        <v>23253</v>
      </c>
      <c r="J297" s="42" t="str">
        <f t="shared" si="9"/>
        <v>13311</v>
      </c>
    </row>
    <row r="298" spans="1:10">
      <c r="A298" s="30">
        <v>46229</v>
      </c>
      <c r="B298" s="31" t="s">
        <v>471</v>
      </c>
      <c r="C298" s="32" t="s">
        <v>252</v>
      </c>
      <c r="D298" s="19" t="s">
        <v>2228</v>
      </c>
      <c r="E298" s="275">
        <v>67222</v>
      </c>
      <c r="F298" s="272"/>
      <c r="G298" s="32" t="s">
        <v>434</v>
      </c>
      <c r="H298" s="32" t="s">
        <v>334</v>
      </c>
      <c r="I298" s="2">
        <f t="shared" si="8"/>
        <v>67222</v>
      </c>
      <c r="J298" s="42" t="str">
        <f t="shared" si="9"/>
        <v>13311</v>
      </c>
    </row>
    <row r="299" spans="1:10">
      <c r="A299" s="30">
        <v>46229</v>
      </c>
      <c r="B299" s="31" t="s">
        <v>471</v>
      </c>
      <c r="C299" s="32" t="s">
        <v>252</v>
      </c>
      <c r="D299" s="19" t="s">
        <v>2228</v>
      </c>
      <c r="E299" s="275">
        <v>43999</v>
      </c>
      <c r="F299" s="272"/>
      <c r="G299" s="32" t="s">
        <v>434</v>
      </c>
      <c r="H299" s="32" t="s">
        <v>334</v>
      </c>
      <c r="I299" s="2">
        <f t="shared" si="8"/>
        <v>43999</v>
      </c>
      <c r="J299" s="42" t="str">
        <f t="shared" si="9"/>
        <v>13311</v>
      </c>
    </row>
    <row r="300" spans="1:10">
      <c r="A300" s="30">
        <v>46229</v>
      </c>
      <c r="B300" s="31" t="s">
        <v>471</v>
      </c>
      <c r="C300" s="32" t="s">
        <v>252</v>
      </c>
      <c r="D300" s="19" t="s">
        <v>2228</v>
      </c>
      <c r="E300" s="275">
        <v>69630</v>
      </c>
      <c r="F300" s="272"/>
      <c r="G300" s="32" t="s">
        <v>434</v>
      </c>
      <c r="H300" s="32" t="s">
        <v>334</v>
      </c>
      <c r="I300" s="2">
        <f t="shared" si="8"/>
        <v>69630</v>
      </c>
      <c r="J300" s="42" t="str">
        <f t="shared" si="9"/>
        <v>13311</v>
      </c>
    </row>
    <row r="301" spans="1:10">
      <c r="A301" s="30">
        <v>46229</v>
      </c>
      <c r="B301" s="31" t="s">
        <v>471</v>
      </c>
      <c r="C301" s="32" t="s">
        <v>252</v>
      </c>
      <c r="D301" s="19" t="s">
        <v>2228</v>
      </c>
      <c r="E301" s="275">
        <v>38822</v>
      </c>
      <c r="F301" s="272"/>
      <c r="G301" s="32" t="s">
        <v>434</v>
      </c>
      <c r="H301" s="32" t="s">
        <v>334</v>
      </c>
      <c r="I301" s="2">
        <f t="shared" si="8"/>
        <v>38822</v>
      </c>
      <c r="J301" s="42" t="str">
        <f t="shared" si="9"/>
        <v>13311</v>
      </c>
    </row>
    <row r="302" spans="1:10">
      <c r="A302" s="30">
        <v>46229</v>
      </c>
      <c r="B302" s="31" t="s">
        <v>471</v>
      </c>
      <c r="C302" s="32" t="s">
        <v>252</v>
      </c>
      <c r="D302" s="19" t="s">
        <v>2228</v>
      </c>
      <c r="E302" s="275">
        <v>68586</v>
      </c>
      <c r="F302" s="272"/>
      <c r="G302" s="32" t="s">
        <v>434</v>
      </c>
      <c r="H302" s="32" t="s">
        <v>334</v>
      </c>
      <c r="I302" s="2">
        <f t="shared" si="8"/>
        <v>68586</v>
      </c>
      <c r="J302" s="42" t="str">
        <f t="shared" si="9"/>
        <v>13311</v>
      </c>
    </row>
    <row r="303" spans="1:10">
      <c r="A303" s="30">
        <v>46229</v>
      </c>
      <c r="B303" s="31" t="s">
        <v>471</v>
      </c>
      <c r="C303" s="32" t="s">
        <v>252</v>
      </c>
      <c r="D303" s="19" t="s">
        <v>2228</v>
      </c>
      <c r="E303" s="275">
        <v>40385</v>
      </c>
      <c r="F303" s="272"/>
      <c r="G303" s="32" t="s">
        <v>434</v>
      </c>
      <c r="H303" s="32" t="s">
        <v>334</v>
      </c>
      <c r="I303" s="2">
        <f t="shared" si="8"/>
        <v>40385</v>
      </c>
      <c r="J303" s="42" t="str">
        <f t="shared" si="9"/>
        <v>13311</v>
      </c>
    </row>
    <row r="304" spans="1:10">
      <c r="A304" s="30">
        <v>46229</v>
      </c>
      <c r="B304" s="31" t="s">
        <v>471</v>
      </c>
      <c r="C304" s="32" t="s">
        <v>252</v>
      </c>
      <c r="D304" s="19" t="s">
        <v>2228</v>
      </c>
      <c r="E304" s="275">
        <v>91918</v>
      </c>
      <c r="F304" s="272"/>
      <c r="G304" s="32" t="s">
        <v>434</v>
      </c>
      <c r="H304" s="32" t="s">
        <v>334</v>
      </c>
      <c r="I304" s="2">
        <f t="shared" si="8"/>
        <v>91918</v>
      </c>
      <c r="J304" s="42" t="str">
        <f t="shared" si="9"/>
        <v>13311</v>
      </c>
    </row>
    <row r="305" spans="1:10">
      <c r="A305" s="30">
        <v>46229</v>
      </c>
      <c r="B305" s="31" t="s">
        <v>471</v>
      </c>
      <c r="C305" s="32" t="s">
        <v>252</v>
      </c>
      <c r="D305" s="19" t="s">
        <v>2228</v>
      </c>
      <c r="E305" s="275">
        <v>80327</v>
      </c>
      <c r="F305" s="272"/>
      <c r="G305" s="32" t="s">
        <v>434</v>
      </c>
      <c r="H305" s="32" t="s">
        <v>334</v>
      </c>
      <c r="I305" s="2">
        <f t="shared" si="8"/>
        <v>80327</v>
      </c>
      <c r="J305" s="42" t="str">
        <f t="shared" si="9"/>
        <v>13311</v>
      </c>
    </row>
    <row r="306" spans="1:10">
      <c r="A306" s="30">
        <v>46229</v>
      </c>
      <c r="B306" s="31" t="s">
        <v>471</v>
      </c>
      <c r="C306" s="32" t="s">
        <v>252</v>
      </c>
      <c r="D306" s="19" t="s">
        <v>2228</v>
      </c>
      <c r="E306" s="275">
        <v>89858</v>
      </c>
      <c r="F306" s="272"/>
      <c r="G306" s="32" t="s">
        <v>434</v>
      </c>
      <c r="H306" s="32" t="s">
        <v>334</v>
      </c>
      <c r="I306" s="2">
        <f t="shared" si="8"/>
        <v>89858</v>
      </c>
      <c r="J306" s="42" t="str">
        <f t="shared" si="9"/>
        <v>13311</v>
      </c>
    </row>
    <row r="307" spans="1:10">
      <c r="A307" s="30">
        <v>46229</v>
      </c>
      <c r="B307" s="31" t="s">
        <v>471</v>
      </c>
      <c r="C307" s="32" t="s">
        <v>252</v>
      </c>
      <c r="D307" s="19" t="s">
        <v>2228</v>
      </c>
      <c r="E307" s="275">
        <v>39483</v>
      </c>
      <c r="F307" s="272"/>
      <c r="G307" s="32" t="s">
        <v>434</v>
      </c>
      <c r="H307" s="32" t="s">
        <v>334</v>
      </c>
      <c r="I307" s="2">
        <f t="shared" si="8"/>
        <v>39483</v>
      </c>
      <c r="J307" s="42" t="str">
        <f t="shared" si="9"/>
        <v>13311</v>
      </c>
    </row>
    <row r="308" spans="1:10">
      <c r="A308" s="30">
        <v>46229</v>
      </c>
      <c r="B308" s="31" t="s">
        <v>471</v>
      </c>
      <c r="C308" s="32" t="s">
        <v>252</v>
      </c>
      <c r="D308" s="19" t="s">
        <v>2228</v>
      </c>
      <c r="E308" s="275">
        <v>61267</v>
      </c>
      <c r="F308" s="272"/>
      <c r="G308" s="32" t="s">
        <v>434</v>
      </c>
      <c r="H308" s="32" t="s">
        <v>334</v>
      </c>
      <c r="I308" s="2">
        <f t="shared" si="8"/>
        <v>61267</v>
      </c>
      <c r="J308" s="42" t="str">
        <f t="shared" si="9"/>
        <v>13311</v>
      </c>
    </row>
    <row r="309" spans="1:10">
      <c r="A309" s="30">
        <v>46229</v>
      </c>
      <c r="B309" s="31" t="s">
        <v>471</v>
      </c>
      <c r="C309" s="32" t="s">
        <v>252</v>
      </c>
      <c r="D309" s="19" t="s">
        <v>2228</v>
      </c>
      <c r="E309" s="275">
        <v>44445</v>
      </c>
      <c r="F309" s="272"/>
      <c r="G309" s="32" t="s">
        <v>434</v>
      </c>
      <c r="H309" s="32" t="s">
        <v>334</v>
      </c>
      <c r="I309" s="2">
        <f t="shared" si="8"/>
        <v>44445</v>
      </c>
      <c r="J309" s="42" t="str">
        <f t="shared" si="9"/>
        <v>13311</v>
      </c>
    </row>
    <row r="310" spans="1:10">
      <c r="A310" s="30">
        <v>46229</v>
      </c>
      <c r="B310" s="31" t="s">
        <v>471</v>
      </c>
      <c r="C310" s="32" t="s">
        <v>252</v>
      </c>
      <c r="D310" s="19" t="s">
        <v>2228</v>
      </c>
      <c r="E310" s="275">
        <v>80233</v>
      </c>
      <c r="F310" s="272"/>
      <c r="G310" s="32" t="s">
        <v>434</v>
      </c>
      <c r="H310" s="32" t="s">
        <v>334</v>
      </c>
      <c r="I310" s="2">
        <f t="shared" si="8"/>
        <v>80233</v>
      </c>
      <c r="J310" s="42" t="str">
        <f t="shared" si="9"/>
        <v>13311</v>
      </c>
    </row>
    <row r="311" spans="1:10">
      <c r="A311" s="30">
        <v>46229</v>
      </c>
      <c r="B311" s="31" t="s">
        <v>471</v>
      </c>
      <c r="C311" s="32" t="s">
        <v>252</v>
      </c>
      <c r="D311" s="19" t="s">
        <v>2228</v>
      </c>
      <c r="E311" s="275">
        <v>147524</v>
      </c>
      <c r="F311" s="272"/>
      <c r="G311" s="32" t="s">
        <v>434</v>
      </c>
      <c r="H311" s="32" t="s">
        <v>334</v>
      </c>
      <c r="I311" s="2">
        <f t="shared" si="8"/>
        <v>147524</v>
      </c>
      <c r="J311" s="42" t="str">
        <f t="shared" si="9"/>
        <v>13311</v>
      </c>
    </row>
    <row r="312" spans="1:10">
      <c r="A312" s="30">
        <v>46229</v>
      </c>
      <c r="B312" s="31" t="s">
        <v>471</v>
      </c>
      <c r="C312" s="32" t="s">
        <v>252</v>
      </c>
      <c r="D312" s="19" t="s">
        <v>2228</v>
      </c>
      <c r="E312" s="275">
        <v>88089</v>
      </c>
      <c r="F312" s="272"/>
      <c r="G312" s="32" t="s">
        <v>434</v>
      </c>
      <c r="H312" s="32" t="s">
        <v>334</v>
      </c>
      <c r="I312" s="2">
        <f t="shared" si="8"/>
        <v>88089</v>
      </c>
      <c r="J312" s="42" t="str">
        <f t="shared" si="9"/>
        <v>13311</v>
      </c>
    </row>
    <row r="313" spans="1:10">
      <c r="A313" s="30">
        <v>46229</v>
      </c>
      <c r="B313" s="31" t="s">
        <v>471</v>
      </c>
      <c r="C313" s="32" t="s">
        <v>252</v>
      </c>
      <c r="D313" s="19" t="s">
        <v>2228</v>
      </c>
      <c r="E313" s="275">
        <v>68237</v>
      </c>
      <c r="F313" s="272"/>
      <c r="G313" s="32" t="s">
        <v>434</v>
      </c>
      <c r="H313" s="32" t="s">
        <v>334</v>
      </c>
      <c r="I313" s="2">
        <f t="shared" si="8"/>
        <v>68237</v>
      </c>
      <c r="J313" s="42" t="str">
        <f t="shared" si="9"/>
        <v>13311</v>
      </c>
    </row>
    <row r="314" spans="1:10">
      <c r="A314" s="30">
        <v>46229</v>
      </c>
      <c r="B314" s="31" t="s">
        <v>471</v>
      </c>
      <c r="C314" s="32" t="s">
        <v>252</v>
      </c>
      <c r="D314" s="19" t="s">
        <v>2228</v>
      </c>
      <c r="E314" s="275">
        <v>125333</v>
      </c>
      <c r="F314" s="272"/>
      <c r="G314" s="32" t="s">
        <v>434</v>
      </c>
      <c r="H314" s="32" t="s">
        <v>334</v>
      </c>
      <c r="I314" s="2">
        <f t="shared" si="8"/>
        <v>125333</v>
      </c>
      <c r="J314" s="42" t="str">
        <f t="shared" si="9"/>
        <v>13311</v>
      </c>
    </row>
    <row r="315" spans="1:10">
      <c r="A315" s="30">
        <v>46229</v>
      </c>
      <c r="B315" s="31" t="s">
        <v>471</v>
      </c>
      <c r="C315" s="32" t="s">
        <v>252</v>
      </c>
      <c r="D315" s="19" t="s">
        <v>2228</v>
      </c>
      <c r="E315" s="275">
        <v>69637</v>
      </c>
      <c r="F315" s="272"/>
      <c r="G315" s="32" t="s">
        <v>434</v>
      </c>
      <c r="H315" s="32" t="s">
        <v>334</v>
      </c>
      <c r="I315" s="2">
        <f t="shared" si="8"/>
        <v>69637</v>
      </c>
      <c r="J315" s="42" t="str">
        <f t="shared" si="9"/>
        <v>13311</v>
      </c>
    </row>
    <row r="316" spans="1:10">
      <c r="A316" s="30">
        <v>46229</v>
      </c>
      <c r="B316" s="31" t="s">
        <v>471</v>
      </c>
      <c r="C316" s="32" t="s">
        <v>252</v>
      </c>
      <c r="D316" s="19" t="s">
        <v>2228</v>
      </c>
      <c r="E316" s="275">
        <v>163378</v>
      </c>
      <c r="F316" s="272"/>
      <c r="G316" s="32" t="s">
        <v>434</v>
      </c>
      <c r="H316" s="32" t="s">
        <v>334</v>
      </c>
      <c r="I316" s="2">
        <f t="shared" si="8"/>
        <v>163378</v>
      </c>
      <c r="J316" s="42" t="str">
        <f t="shared" si="9"/>
        <v>13311</v>
      </c>
    </row>
    <row r="317" spans="1:10">
      <c r="A317" s="30">
        <v>46229</v>
      </c>
      <c r="B317" s="31" t="s">
        <v>471</v>
      </c>
      <c r="C317" s="32" t="s">
        <v>252</v>
      </c>
      <c r="D317" s="19" t="s">
        <v>2228</v>
      </c>
      <c r="E317" s="275">
        <v>76296</v>
      </c>
      <c r="F317" s="272"/>
      <c r="G317" s="32" t="s">
        <v>434</v>
      </c>
      <c r="H317" s="32" t="s">
        <v>334</v>
      </c>
      <c r="I317" s="2">
        <f t="shared" si="8"/>
        <v>76296</v>
      </c>
      <c r="J317" s="42" t="str">
        <f t="shared" si="9"/>
        <v>13311</v>
      </c>
    </row>
    <row r="318" spans="1:10">
      <c r="A318" s="30">
        <v>46229</v>
      </c>
      <c r="B318" s="31" t="s">
        <v>471</v>
      </c>
      <c r="C318" s="32" t="s">
        <v>252</v>
      </c>
      <c r="D318" s="19" t="s">
        <v>2228</v>
      </c>
      <c r="E318" s="275">
        <v>40844</v>
      </c>
      <c r="F318" s="272"/>
      <c r="G318" s="32" t="s">
        <v>434</v>
      </c>
      <c r="H318" s="32" t="s">
        <v>334</v>
      </c>
      <c r="I318" s="2">
        <f t="shared" si="8"/>
        <v>40844</v>
      </c>
      <c r="J318" s="42" t="str">
        <f t="shared" si="9"/>
        <v>13311</v>
      </c>
    </row>
    <row r="319" spans="1:10">
      <c r="A319" s="30">
        <v>46229</v>
      </c>
      <c r="B319" s="31" t="s">
        <v>471</v>
      </c>
      <c r="C319" s="32" t="s">
        <v>252</v>
      </c>
      <c r="D319" s="19" t="s">
        <v>2228</v>
      </c>
      <c r="E319" s="275">
        <v>136148</v>
      </c>
      <c r="F319" s="272"/>
      <c r="G319" s="32" t="s">
        <v>434</v>
      </c>
      <c r="H319" s="32" t="s">
        <v>334</v>
      </c>
      <c r="I319" s="2">
        <f t="shared" si="8"/>
        <v>136148</v>
      </c>
      <c r="J319" s="42" t="str">
        <f t="shared" si="9"/>
        <v>13311</v>
      </c>
    </row>
    <row r="320" spans="1:10">
      <c r="A320" s="30">
        <v>46229</v>
      </c>
      <c r="B320" s="31" t="s">
        <v>471</v>
      </c>
      <c r="C320" s="32" t="s">
        <v>252</v>
      </c>
      <c r="D320" s="19" t="s">
        <v>2228</v>
      </c>
      <c r="E320" s="275">
        <v>68074</v>
      </c>
      <c r="F320" s="272"/>
      <c r="G320" s="32" t="s">
        <v>434</v>
      </c>
      <c r="H320" s="32" t="s">
        <v>334</v>
      </c>
      <c r="I320" s="2">
        <f t="shared" si="8"/>
        <v>68074</v>
      </c>
      <c r="J320" s="42" t="str">
        <f t="shared" si="9"/>
        <v>13311</v>
      </c>
    </row>
    <row r="321" spans="1:10">
      <c r="A321" s="30">
        <v>46229</v>
      </c>
      <c r="B321" s="31" t="s">
        <v>471</v>
      </c>
      <c r="C321" s="32" t="s">
        <v>252</v>
      </c>
      <c r="D321" s="19" t="s">
        <v>2228</v>
      </c>
      <c r="E321" s="275">
        <v>163378</v>
      </c>
      <c r="F321" s="272"/>
      <c r="G321" s="32" t="s">
        <v>434</v>
      </c>
      <c r="H321" s="32" t="s">
        <v>334</v>
      </c>
      <c r="I321" s="2">
        <f t="shared" si="8"/>
        <v>163378</v>
      </c>
      <c r="J321" s="42" t="str">
        <f t="shared" si="9"/>
        <v>13311</v>
      </c>
    </row>
    <row r="322" spans="1:10">
      <c r="A322" s="30">
        <v>46229</v>
      </c>
      <c r="B322" s="31" t="s">
        <v>471</v>
      </c>
      <c r="C322" s="32" t="s">
        <v>252</v>
      </c>
      <c r="D322" s="19" t="s">
        <v>2228</v>
      </c>
      <c r="E322" s="275">
        <v>136148</v>
      </c>
      <c r="F322" s="272"/>
      <c r="G322" s="32" t="s">
        <v>434</v>
      </c>
      <c r="H322" s="32" t="s">
        <v>334</v>
      </c>
      <c r="I322" s="2">
        <f t="shared" si="8"/>
        <v>136148</v>
      </c>
      <c r="J322" s="42" t="str">
        <f t="shared" si="9"/>
        <v>13311</v>
      </c>
    </row>
    <row r="323" spans="1:10">
      <c r="A323" s="30">
        <v>46229</v>
      </c>
      <c r="B323" s="31" t="s">
        <v>471</v>
      </c>
      <c r="C323" s="32" t="s">
        <v>252</v>
      </c>
      <c r="D323" s="19" t="s">
        <v>2228</v>
      </c>
      <c r="E323" s="275">
        <v>77978</v>
      </c>
      <c r="F323" s="272"/>
      <c r="G323" s="32" t="s">
        <v>434</v>
      </c>
      <c r="H323" s="32" t="s">
        <v>334</v>
      </c>
      <c r="I323" s="2">
        <f t="shared" si="8"/>
        <v>77978</v>
      </c>
      <c r="J323" s="42" t="str">
        <f t="shared" si="9"/>
        <v>13311</v>
      </c>
    </row>
    <row r="324" spans="1:10">
      <c r="A324" s="30">
        <v>46229</v>
      </c>
      <c r="B324" s="31" t="s">
        <v>471</v>
      </c>
      <c r="C324" s="32" t="s">
        <v>252</v>
      </c>
      <c r="D324" s="19" t="s">
        <v>2228</v>
      </c>
      <c r="E324" s="275">
        <v>59270</v>
      </c>
      <c r="F324" s="272"/>
      <c r="G324" s="32" t="s">
        <v>434</v>
      </c>
      <c r="H324" s="32" t="s">
        <v>334</v>
      </c>
      <c r="I324" s="2">
        <f t="shared" si="8"/>
        <v>59270</v>
      </c>
      <c r="J324" s="42" t="str">
        <f t="shared" si="9"/>
        <v>13311</v>
      </c>
    </row>
    <row r="325" spans="1:10">
      <c r="A325" s="30">
        <v>46229</v>
      </c>
      <c r="B325" s="31" t="s">
        <v>471</v>
      </c>
      <c r="C325" s="32" t="s">
        <v>252</v>
      </c>
      <c r="D325" s="19" t="s">
        <v>2228</v>
      </c>
      <c r="E325" s="275">
        <v>161333</v>
      </c>
      <c r="F325" s="272"/>
      <c r="G325" s="32" t="s">
        <v>434</v>
      </c>
      <c r="H325" s="32" t="s">
        <v>334</v>
      </c>
      <c r="I325" s="2">
        <f t="shared" si="8"/>
        <v>161333</v>
      </c>
      <c r="J325" s="42" t="str">
        <f t="shared" si="9"/>
        <v>13311</v>
      </c>
    </row>
    <row r="326" spans="1:10">
      <c r="A326" s="30">
        <v>46229</v>
      </c>
      <c r="B326" s="31" t="s">
        <v>471</v>
      </c>
      <c r="C326" s="32" t="s">
        <v>252</v>
      </c>
      <c r="D326" s="19" t="s">
        <v>2228</v>
      </c>
      <c r="E326" s="275">
        <v>94467</v>
      </c>
      <c r="F326" s="272"/>
      <c r="G326" s="32" t="s">
        <v>434</v>
      </c>
      <c r="H326" s="32" t="s">
        <v>334</v>
      </c>
      <c r="I326" s="2">
        <f t="shared" si="8"/>
        <v>94467</v>
      </c>
      <c r="J326" s="42" t="str">
        <f t="shared" si="9"/>
        <v>13311</v>
      </c>
    </row>
    <row r="327" spans="1:10">
      <c r="A327" s="30">
        <v>46229</v>
      </c>
      <c r="B327" s="31" t="s">
        <v>471</v>
      </c>
      <c r="C327" s="32" t="s">
        <v>252</v>
      </c>
      <c r="D327" s="19" t="s">
        <v>2228</v>
      </c>
      <c r="E327" s="275">
        <v>139760</v>
      </c>
      <c r="F327" s="272"/>
      <c r="G327" s="32" t="s">
        <v>434</v>
      </c>
      <c r="H327" s="32" t="s">
        <v>334</v>
      </c>
      <c r="I327" s="2">
        <f t="shared" si="8"/>
        <v>139760</v>
      </c>
      <c r="J327" s="42" t="str">
        <f t="shared" si="9"/>
        <v>13311</v>
      </c>
    </row>
    <row r="328" spans="1:10">
      <c r="A328" s="30">
        <v>46229</v>
      </c>
      <c r="B328" s="31" t="s">
        <v>471</v>
      </c>
      <c r="C328" s="32" t="s">
        <v>252</v>
      </c>
      <c r="D328" s="19" t="s">
        <v>2228</v>
      </c>
      <c r="E328" s="275">
        <v>22822</v>
      </c>
      <c r="F328" s="272"/>
      <c r="G328" s="32" t="s">
        <v>434</v>
      </c>
      <c r="H328" s="32" t="s">
        <v>334</v>
      </c>
      <c r="I328" s="2">
        <f t="shared" si="8"/>
        <v>22822</v>
      </c>
      <c r="J328" s="42" t="str">
        <f t="shared" si="9"/>
        <v>13311</v>
      </c>
    </row>
    <row r="329" spans="1:10">
      <c r="A329" s="30">
        <v>46229</v>
      </c>
      <c r="B329" s="31" t="s">
        <v>471</v>
      </c>
      <c r="C329" s="32" t="s">
        <v>252</v>
      </c>
      <c r="D329" s="19" t="s">
        <v>2228</v>
      </c>
      <c r="E329" s="275">
        <v>29630</v>
      </c>
      <c r="F329" s="272"/>
      <c r="G329" s="32" t="s">
        <v>434</v>
      </c>
      <c r="H329" s="32" t="s">
        <v>334</v>
      </c>
      <c r="I329" s="2">
        <f t="shared" si="8"/>
        <v>29630</v>
      </c>
      <c r="J329" s="42" t="str">
        <f t="shared" si="9"/>
        <v>13311</v>
      </c>
    </row>
    <row r="330" spans="1:10">
      <c r="A330" s="30">
        <v>46229</v>
      </c>
      <c r="B330" s="31" t="s">
        <v>471</v>
      </c>
      <c r="C330" s="32" t="s">
        <v>252</v>
      </c>
      <c r="D330" s="19" t="s">
        <v>2228</v>
      </c>
      <c r="E330" s="275">
        <v>22311</v>
      </c>
      <c r="F330" s="272"/>
      <c r="G330" s="32" t="s">
        <v>434</v>
      </c>
      <c r="H330" s="32" t="s">
        <v>334</v>
      </c>
      <c r="I330" s="2">
        <f t="shared" si="8"/>
        <v>22311</v>
      </c>
      <c r="J330" s="42" t="str">
        <f t="shared" si="9"/>
        <v>13311</v>
      </c>
    </row>
    <row r="331" spans="1:10">
      <c r="A331" s="30">
        <v>46229</v>
      </c>
      <c r="B331" s="31" t="s">
        <v>471</v>
      </c>
      <c r="C331" s="32" t="s">
        <v>252</v>
      </c>
      <c r="D331" s="19" t="s">
        <v>2228</v>
      </c>
      <c r="E331" s="275">
        <v>29067</v>
      </c>
      <c r="F331" s="272"/>
      <c r="G331" s="32" t="s">
        <v>434</v>
      </c>
      <c r="H331" s="32" t="s">
        <v>334</v>
      </c>
      <c r="I331" s="2">
        <f t="shared" ref="I331:I394" si="10">IF(LEN(A331)=5,E331,0)</f>
        <v>29067</v>
      </c>
      <c r="J331" s="42" t="str">
        <f t="shared" ref="J331:J394" si="11">IF(LEFT(A331,11)="Tài khoản: ",MID(A331,12,5),J330)</f>
        <v>13311</v>
      </c>
    </row>
    <row r="332" spans="1:10">
      <c r="A332" s="30">
        <v>46229</v>
      </c>
      <c r="B332" s="31" t="s">
        <v>471</v>
      </c>
      <c r="C332" s="32" t="s">
        <v>252</v>
      </c>
      <c r="D332" s="19" t="s">
        <v>2228</v>
      </c>
      <c r="E332" s="275">
        <v>14815</v>
      </c>
      <c r="F332" s="272"/>
      <c r="G332" s="32" t="s">
        <v>434</v>
      </c>
      <c r="H332" s="32" t="s">
        <v>334</v>
      </c>
      <c r="I332" s="2">
        <f t="shared" si="10"/>
        <v>14815</v>
      </c>
      <c r="J332" s="42" t="str">
        <f t="shared" si="11"/>
        <v>13311</v>
      </c>
    </row>
    <row r="333" spans="1:10">
      <c r="A333" s="30">
        <v>46229</v>
      </c>
      <c r="B333" s="31" t="s">
        <v>471</v>
      </c>
      <c r="C333" s="32" t="s">
        <v>252</v>
      </c>
      <c r="D333" s="19" t="s">
        <v>2228</v>
      </c>
      <c r="E333" s="275">
        <v>38989</v>
      </c>
      <c r="F333" s="272"/>
      <c r="G333" s="32" t="s">
        <v>434</v>
      </c>
      <c r="H333" s="32" t="s">
        <v>334</v>
      </c>
      <c r="I333" s="2">
        <f t="shared" si="10"/>
        <v>38989</v>
      </c>
      <c r="J333" s="42" t="str">
        <f t="shared" si="11"/>
        <v>13311</v>
      </c>
    </row>
    <row r="334" spans="1:10">
      <c r="A334" s="30">
        <v>46229</v>
      </c>
      <c r="B334" s="31" t="s">
        <v>471</v>
      </c>
      <c r="C334" s="32" t="s">
        <v>252</v>
      </c>
      <c r="D334" s="19" t="s">
        <v>2228</v>
      </c>
      <c r="E334" s="275">
        <v>55645</v>
      </c>
      <c r="F334" s="272"/>
      <c r="G334" s="32" t="s">
        <v>434</v>
      </c>
      <c r="H334" s="32" t="s">
        <v>334</v>
      </c>
      <c r="I334" s="2">
        <f t="shared" si="10"/>
        <v>55645</v>
      </c>
      <c r="J334" s="42" t="str">
        <f t="shared" si="11"/>
        <v>13311</v>
      </c>
    </row>
    <row r="335" spans="1:10">
      <c r="A335" s="30">
        <v>46229</v>
      </c>
      <c r="B335" s="31" t="s">
        <v>471</v>
      </c>
      <c r="C335" s="32" t="s">
        <v>252</v>
      </c>
      <c r="D335" s="19" t="s">
        <v>2228</v>
      </c>
      <c r="E335" s="275">
        <v>59164</v>
      </c>
      <c r="F335" s="272"/>
      <c r="G335" s="32" t="s">
        <v>434</v>
      </c>
      <c r="H335" s="32" t="s">
        <v>334</v>
      </c>
      <c r="I335" s="2">
        <f t="shared" si="10"/>
        <v>59164</v>
      </c>
      <c r="J335" s="42" t="str">
        <f t="shared" si="11"/>
        <v>13311</v>
      </c>
    </row>
    <row r="336" spans="1:10">
      <c r="A336" s="30">
        <v>46229</v>
      </c>
      <c r="B336" s="31" t="s">
        <v>471</v>
      </c>
      <c r="C336" s="32" t="s">
        <v>252</v>
      </c>
      <c r="D336" s="19" t="s">
        <v>2228</v>
      </c>
      <c r="E336" s="275">
        <v>69664</v>
      </c>
      <c r="F336" s="272"/>
      <c r="G336" s="32" t="s">
        <v>434</v>
      </c>
      <c r="H336" s="32" t="s">
        <v>334</v>
      </c>
      <c r="I336" s="2">
        <f t="shared" si="10"/>
        <v>69664</v>
      </c>
      <c r="J336" s="42" t="str">
        <f t="shared" si="11"/>
        <v>13311</v>
      </c>
    </row>
    <row r="337" spans="1:10">
      <c r="A337" s="30">
        <v>46229</v>
      </c>
      <c r="B337" s="31" t="s">
        <v>471</v>
      </c>
      <c r="C337" s="32" t="s">
        <v>252</v>
      </c>
      <c r="D337" s="19" t="s">
        <v>2228</v>
      </c>
      <c r="E337" s="275">
        <v>93236</v>
      </c>
      <c r="F337" s="272"/>
      <c r="G337" s="32" t="s">
        <v>434</v>
      </c>
      <c r="H337" s="32" t="s">
        <v>334</v>
      </c>
      <c r="I337" s="2">
        <f t="shared" si="10"/>
        <v>93236</v>
      </c>
      <c r="J337" s="42" t="str">
        <f t="shared" si="11"/>
        <v>13311</v>
      </c>
    </row>
    <row r="338" spans="1:10">
      <c r="A338" s="30">
        <v>46229</v>
      </c>
      <c r="B338" s="31" t="s">
        <v>471</v>
      </c>
      <c r="C338" s="32" t="s">
        <v>252</v>
      </c>
      <c r="D338" s="19" t="s">
        <v>2228</v>
      </c>
      <c r="E338" s="275">
        <v>93667</v>
      </c>
      <c r="F338" s="272"/>
      <c r="G338" s="32" t="s">
        <v>434</v>
      </c>
      <c r="H338" s="32" t="s">
        <v>334</v>
      </c>
      <c r="I338" s="2">
        <f t="shared" si="10"/>
        <v>93667</v>
      </c>
      <c r="J338" s="42" t="str">
        <f t="shared" si="11"/>
        <v>13311</v>
      </c>
    </row>
    <row r="339" spans="1:10">
      <c r="A339" s="30">
        <v>46229</v>
      </c>
      <c r="B339" s="31" t="s">
        <v>471</v>
      </c>
      <c r="C339" s="32" t="s">
        <v>252</v>
      </c>
      <c r="D339" s="19" t="s">
        <v>2228</v>
      </c>
      <c r="E339" s="275">
        <v>75198</v>
      </c>
      <c r="F339" s="272"/>
      <c r="G339" s="32" t="s">
        <v>434</v>
      </c>
      <c r="H339" s="32" t="s">
        <v>334</v>
      </c>
      <c r="I339" s="2">
        <f t="shared" si="10"/>
        <v>75198</v>
      </c>
      <c r="J339" s="42" t="str">
        <f t="shared" si="11"/>
        <v>13311</v>
      </c>
    </row>
    <row r="340" spans="1:10">
      <c r="A340" s="30">
        <v>46229</v>
      </c>
      <c r="B340" s="31" t="s">
        <v>471</v>
      </c>
      <c r="C340" s="32" t="s">
        <v>252</v>
      </c>
      <c r="D340" s="19" t="s">
        <v>2228</v>
      </c>
      <c r="E340" s="275">
        <v>86380</v>
      </c>
      <c r="F340" s="272"/>
      <c r="G340" s="32" t="s">
        <v>434</v>
      </c>
      <c r="H340" s="32" t="s">
        <v>334</v>
      </c>
      <c r="I340" s="2">
        <f t="shared" si="10"/>
        <v>86380</v>
      </c>
      <c r="J340" s="42" t="str">
        <f t="shared" si="11"/>
        <v>13311</v>
      </c>
    </row>
    <row r="341" spans="1:10">
      <c r="A341" s="30">
        <v>46229</v>
      </c>
      <c r="B341" s="31" t="s">
        <v>471</v>
      </c>
      <c r="C341" s="32" t="s">
        <v>252</v>
      </c>
      <c r="D341" s="19" t="s">
        <v>2228</v>
      </c>
      <c r="E341" s="275">
        <v>158312</v>
      </c>
      <c r="F341" s="272"/>
      <c r="G341" s="32" t="s">
        <v>434</v>
      </c>
      <c r="H341" s="32" t="s">
        <v>334</v>
      </c>
      <c r="I341" s="2">
        <f t="shared" si="10"/>
        <v>158312</v>
      </c>
      <c r="J341" s="42" t="str">
        <f t="shared" si="11"/>
        <v>13311</v>
      </c>
    </row>
    <row r="342" spans="1:10">
      <c r="A342" s="30">
        <v>46229</v>
      </c>
      <c r="B342" s="31" t="s">
        <v>471</v>
      </c>
      <c r="C342" s="32" t="s">
        <v>252</v>
      </c>
      <c r="D342" s="19" t="s">
        <v>2228</v>
      </c>
      <c r="E342" s="275">
        <v>29024</v>
      </c>
      <c r="F342" s="272"/>
      <c r="G342" s="32" t="s">
        <v>434</v>
      </c>
      <c r="H342" s="32" t="s">
        <v>334</v>
      </c>
      <c r="I342" s="2">
        <f t="shared" si="10"/>
        <v>29024</v>
      </c>
      <c r="J342" s="42" t="str">
        <f t="shared" si="11"/>
        <v>13311</v>
      </c>
    </row>
    <row r="343" spans="1:10">
      <c r="A343" s="30">
        <v>46229</v>
      </c>
      <c r="B343" s="31" t="s">
        <v>471</v>
      </c>
      <c r="C343" s="32" t="s">
        <v>252</v>
      </c>
      <c r="D343" s="19" t="s">
        <v>2228</v>
      </c>
      <c r="E343" s="275">
        <v>37796</v>
      </c>
      <c r="F343" s="272"/>
      <c r="G343" s="32" t="s">
        <v>434</v>
      </c>
      <c r="H343" s="32" t="s">
        <v>334</v>
      </c>
      <c r="I343" s="2">
        <f t="shared" si="10"/>
        <v>37796</v>
      </c>
      <c r="J343" s="42" t="str">
        <f t="shared" si="11"/>
        <v>13311</v>
      </c>
    </row>
    <row r="344" spans="1:10">
      <c r="A344" s="30">
        <v>46229</v>
      </c>
      <c r="B344" s="31" t="s">
        <v>471</v>
      </c>
      <c r="C344" s="32" t="s">
        <v>252</v>
      </c>
      <c r="D344" s="19" t="s">
        <v>2228</v>
      </c>
      <c r="E344" s="275">
        <v>433978</v>
      </c>
      <c r="F344" s="272"/>
      <c r="G344" s="32" t="s">
        <v>434</v>
      </c>
      <c r="H344" s="32" t="s">
        <v>334</v>
      </c>
      <c r="I344" s="2">
        <f t="shared" si="10"/>
        <v>433978</v>
      </c>
      <c r="J344" s="42" t="str">
        <f t="shared" si="11"/>
        <v>13311</v>
      </c>
    </row>
    <row r="345" spans="1:10">
      <c r="A345" s="30">
        <v>46229</v>
      </c>
      <c r="B345" s="31" t="s">
        <v>471</v>
      </c>
      <c r="C345" s="32" t="s">
        <v>252</v>
      </c>
      <c r="D345" s="19" t="s">
        <v>2228</v>
      </c>
      <c r="E345" s="275">
        <v>116267</v>
      </c>
      <c r="F345" s="272"/>
      <c r="G345" s="32" t="s">
        <v>434</v>
      </c>
      <c r="H345" s="32" t="s">
        <v>334</v>
      </c>
      <c r="I345" s="2">
        <f t="shared" si="10"/>
        <v>116267</v>
      </c>
      <c r="J345" s="42" t="str">
        <f t="shared" si="11"/>
        <v>13311</v>
      </c>
    </row>
    <row r="346" spans="1:10">
      <c r="A346" s="30">
        <v>46229</v>
      </c>
      <c r="B346" s="31" t="s">
        <v>471</v>
      </c>
      <c r="C346" s="32" t="s">
        <v>252</v>
      </c>
      <c r="D346" s="19" t="s">
        <v>2228</v>
      </c>
      <c r="E346" s="275">
        <v>52320</v>
      </c>
      <c r="F346" s="272"/>
      <c r="G346" s="32" t="s">
        <v>434</v>
      </c>
      <c r="H346" s="32" t="s">
        <v>334</v>
      </c>
      <c r="I346" s="2">
        <f t="shared" si="10"/>
        <v>52320</v>
      </c>
      <c r="J346" s="42" t="str">
        <f t="shared" si="11"/>
        <v>13311</v>
      </c>
    </row>
    <row r="347" spans="1:10">
      <c r="A347" s="30">
        <v>46229</v>
      </c>
      <c r="B347" s="31" t="s">
        <v>471</v>
      </c>
      <c r="C347" s="32" t="s">
        <v>252</v>
      </c>
      <c r="D347" s="19" t="s">
        <v>2228</v>
      </c>
      <c r="E347" s="275">
        <v>50867</v>
      </c>
      <c r="F347" s="272"/>
      <c r="G347" s="32" t="s">
        <v>434</v>
      </c>
      <c r="H347" s="32" t="s">
        <v>334</v>
      </c>
      <c r="I347" s="2">
        <f t="shared" si="10"/>
        <v>50867</v>
      </c>
      <c r="J347" s="42" t="str">
        <f t="shared" si="11"/>
        <v>13311</v>
      </c>
    </row>
    <row r="348" spans="1:10">
      <c r="A348" s="30">
        <v>46229</v>
      </c>
      <c r="B348" s="31" t="s">
        <v>471</v>
      </c>
      <c r="C348" s="32" t="s">
        <v>252</v>
      </c>
      <c r="D348" s="19" t="s">
        <v>2228</v>
      </c>
      <c r="E348" s="275">
        <v>43600</v>
      </c>
      <c r="F348" s="272"/>
      <c r="G348" s="32" t="s">
        <v>434</v>
      </c>
      <c r="H348" s="32" t="s">
        <v>334</v>
      </c>
      <c r="I348" s="2">
        <f t="shared" si="10"/>
        <v>43600</v>
      </c>
      <c r="J348" s="42" t="str">
        <f t="shared" si="11"/>
        <v>13311</v>
      </c>
    </row>
    <row r="349" spans="1:10">
      <c r="A349" s="30">
        <v>46229</v>
      </c>
      <c r="B349" s="31" t="s">
        <v>471</v>
      </c>
      <c r="C349" s="32" t="s">
        <v>252</v>
      </c>
      <c r="D349" s="19" t="s">
        <v>2228</v>
      </c>
      <c r="E349" s="275">
        <v>62116</v>
      </c>
      <c r="F349" s="272"/>
      <c r="G349" s="32" t="s">
        <v>434</v>
      </c>
      <c r="H349" s="32" t="s">
        <v>334</v>
      </c>
      <c r="I349" s="2">
        <f t="shared" si="10"/>
        <v>62116</v>
      </c>
      <c r="J349" s="42" t="str">
        <f t="shared" si="11"/>
        <v>13311</v>
      </c>
    </row>
    <row r="350" spans="1:10">
      <c r="A350" s="30">
        <v>46229</v>
      </c>
      <c r="B350" s="31" t="s">
        <v>471</v>
      </c>
      <c r="C350" s="32" t="s">
        <v>252</v>
      </c>
      <c r="D350" s="19" t="s">
        <v>2228</v>
      </c>
      <c r="E350" s="275">
        <v>94467</v>
      </c>
      <c r="F350" s="272"/>
      <c r="G350" s="32" t="s">
        <v>434</v>
      </c>
      <c r="H350" s="32" t="s">
        <v>334</v>
      </c>
      <c r="I350" s="2">
        <f t="shared" si="10"/>
        <v>94467</v>
      </c>
      <c r="J350" s="42" t="str">
        <f t="shared" si="11"/>
        <v>13311</v>
      </c>
    </row>
    <row r="351" spans="1:10">
      <c r="A351" s="30">
        <v>46229</v>
      </c>
      <c r="B351" s="31" t="s">
        <v>471</v>
      </c>
      <c r="C351" s="32" t="s">
        <v>252</v>
      </c>
      <c r="D351" s="19" t="s">
        <v>2228</v>
      </c>
      <c r="E351" s="275">
        <v>142348</v>
      </c>
      <c r="F351" s="272"/>
      <c r="G351" s="32" t="s">
        <v>434</v>
      </c>
      <c r="H351" s="32" t="s">
        <v>334</v>
      </c>
      <c r="I351" s="2">
        <f t="shared" si="10"/>
        <v>142348</v>
      </c>
      <c r="J351" s="42" t="str">
        <f t="shared" si="11"/>
        <v>13311</v>
      </c>
    </row>
    <row r="352" spans="1:10">
      <c r="A352" s="30">
        <v>46229</v>
      </c>
      <c r="B352" s="31" t="s">
        <v>471</v>
      </c>
      <c r="C352" s="32" t="s">
        <v>252</v>
      </c>
      <c r="D352" s="19" t="s">
        <v>2228</v>
      </c>
      <c r="E352" s="275">
        <v>115173</v>
      </c>
      <c r="F352" s="272"/>
      <c r="G352" s="32" t="s">
        <v>434</v>
      </c>
      <c r="H352" s="32" t="s">
        <v>334</v>
      </c>
      <c r="I352" s="2">
        <f t="shared" si="10"/>
        <v>115173</v>
      </c>
      <c r="J352" s="42" t="str">
        <f t="shared" si="11"/>
        <v>13311</v>
      </c>
    </row>
    <row r="353" spans="1:10">
      <c r="A353" s="30">
        <v>46229</v>
      </c>
      <c r="B353" s="31" t="s">
        <v>471</v>
      </c>
      <c r="C353" s="32" t="s">
        <v>252</v>
      </c>
      <c r="D353" s="19" t="s">
        <v>2228</v>
      </c>
      <c r="E353" s="275">
        <v>42147</v>
      </c>
      <c r="F353" s="272"/>
      <c r="G353" s="32" t="s">
        <v>434</v>
      </c>
      <c r="H353" s="32" t="s">
        <v>334</v>
      </c>
      <c r="I353" s="2">
        <f t="shared" si="10"/>
        <v>42147</v>
      </c>
      <c r="J353" s="42" t="str">
        <f t="shared" si="11"/>
        <v>13311</v>
      </c>
    </row>
    <row r="354" spans="1:10">
      <c r="A354" s="30">
        <v>46229</v>
      </c>
      <c r="B354" s="31" t="s">
        <v>471</v>
      </c>
      <c r="C354" s="32" t="s">
        <v>252</v>
      </c>
      <c r="D354" s="19" t="s">
        <v>2228</v>
      </c>
      <c r="E354" s="275">
        <v>106093</v>
      </c>
      <c r="F354" s="272"/>
      <c r="G354" s="32" t="s">
        <v>434</v>
      </c>
      <c r="H354" s="32" t="s">
        <v>334</v>
      </c>
      <c r="I354" s="2">
        <f t="shared" si="10"/>
        <v>106093</v>
      </c>
      <c r="J354" s="42" t="str">
        <f t="shared" si="11"/>
        <v>13311</v>
      </c>
    </row>
    <row r="355" spans="1:10">
      <c r="A355" s="30">
        <v>46229</v>
      </c>
      <c r="B355" s="31" t="s">
        <v>471</v>
      </c>
      <c r="C355" s="32" t="s">
        <v>252</v>
      </c>
      <c r="D355" s="19" t="s">
        <v>2228</v>
      </c>
      <c r="E355" s="275">
        <v>90107</v>
      </c>
      <c r="F355" s="272"/>
      <c r="G355" s="32" t="s">
        <v>434</v>
      </c>
      <c r="H355" s="32" t="s">
        <v>334</v>
      </c>
      <c r="I355" s="2">
        <f t="shared" si="10"/>
        <v>90107</v>
      </c>
      <c r="J355" s="42" t="str">
        <f t="shared" si="11"/>
        <v>13311</v>
      </c>
    </row>
    <row r="356" spans="1:10">
      <c r="A356" s="30">
        <v>46229</v>
      </c>
      <c r="B356" s="31" t="s">
        <v>471</v>
      </c>
      <c r="C356" s="32" t="s">
        <v>252</v>
      </c>
      <c r="D356" s="19" t="s">
        <v>2228</v>
      </c>
      <c r="E356" s="275">
        <v>53773</v>
      </c>
      <c r="F356" s="272"/>
      <c r="G356" s="32" t="s">
        <v>434</v>
      </c>
      <c r="H356" s="32" t="s">
        <v>334</v>
      </c>
      <c r="I356" s="2">
        <f t="shared" si="10"/>
        <v>53773</v>
      </c>
      <c r="J356" s="42" t="str">
        <f t="shared" si="11"/>
        <v>13311</v>
      </c>
    </row>
    <row r="357" spans="1:10">
      <c r="A357" s="30">
        <v>46229</v>
      </c>
      <c r="B357" s="31" t="s">
        <v>471</v>
      </c>
      <c r="C357" s="32" t="s">
        <v>252</v>
      </c>
      <c r="D357" s="19" t="s">
        <v>2228</v>
      </c>
      <c r="E357" s="275">
        <v>90107</v>
      </c>
      <c r="F357" s="272"/>
      <c r="G357" s="32" t="s">
        <v>434</v>
      </c>
      <c r="H357" s="32" t="s">
        <v>334</v>
      </c>
      <c r="I357" s="2">
        <f t="shared" si="10"/>
        <v>90107</v>
      </c>
      <c r="J357" s="42" t="str">
        <f t="shared" si="11"/>
        <v>13311</v>
      </c>
    </row>
    <row r="358" spans="1:10">
      <c r="A358" s="30">
        <v>46229</v>
      </c>
      <c r="B358" s="31" t="s">
        <v>471</v>
      </c>
      <c r="C358" s="32" t="s">
        <v>252</v>
      </c>
      <c r="D358" s="19" t="s">
        <v>2228</v>
      </c>
      <c r="E358" s="275">
        <v>78939</v>
      </c>
      <c r="F358" s="272"/>
      <c r="G358" s="32" t="s">
        <v>434</v>
      </c>
      <c r="H358" s="32" t="s">
        <v>334</v>
      </c>
      <c r="I358" s="2">
        <f t="shared" si="10"/>
        <v>78939</v>
      </c>
      <c r="J358" s="42" t="str">
        <f t="shared" si="11"/>
        <v>13311</v>
      </c>
    </row>
    <row r="359" spans="1:10">
      <c r="A359" s="30">
        <v>46229</v>
      </c>
      <c r="B359" s="31" t="s">
        <v>471</v>
      </c>
      <c r="C359" s="32" t="s">
        <v>252</v>
      </c>
      <c r="D359" s="19" t="s">
        <v>2228</v>
      </c>
      <c r="E359" s="275">
        <v>126440</v>
      </c>
      <c r="F359" s="272"/>
      <c r="G359" s="32" t="s">
        <v>434</v>
      </c>
      <c r="H359" s="32" t="s">
        <v>334</v>
      </c>
      <c r="I359" s="2">
        <f t="shared" si="10"/>
        <v>126440</v>
      </c>
      <c r="J359" s="42" t="str">
        <f t="shared" si="11"/>
        <v>13311</v>
      </c>
    </row>
    <row r="360" spans="1:10">
      <c r="A360" s="30">
        <v>46229</v>
      </c>
      <c r="B360" s="31" t="s">
        <v>471</v>
      </c>
      <c r="C360" s="32" t="s">
        <v>252</v>
      </c>
      <c r="D360" s="19" t="s">
        <v>2228</v>
      </c>
      <c r="E360" s="275">
        <v>65022</v>
      </c>
      <c r="F360" s="272"/>
      <c r="G360" s="32" t="s">
        <v>434</v>
      </c>
      <c r="H360" s="32" t="s">
        <v>334</v>
      </c>
      <c r="I360" s="2">
        <f t="shared" si="10"/>
        <v>65022</v>
      </c>
      <c r="J360" s="42" t="str">
        <f t="shared" si="11"/>
        <v>13311</v>
      </c>
    </row>
    <row r="361" spans="1:10">
      <c r="A361" s="30">
        <v>46229</v>
      </c>
      <c r="B361" s="31" t="s">
        <v>471</v>
      </c>
      <c r="C361" s="32" t="s">
        <v>252</v>
      </c>
      <c r="D361" s="19" t="s">
        <v>2228</v>
      </c>
      <c r="E361" s="275">
        <v>32511</v>
      </c>
      <c r="F361" s="272"/>
      <c r="G361" s="32" t="s">
        <v>434</v>
      </c>
      <c r="H361" s="32" t="s">
        <v>334</v>
      </c>
      <c r="I361" s="2">
        <f t="shared" si="10"/>
        <v>32511</v>
      </c>
      <c r="J361" s="42" t="str">
        <f t="shared" si="11"/>
        <v>13311</v>
      </c>
    </row>
    <row r="362" spans="1:10">
      <c r="A362" s="30">
        <v>46229</v>
      </c>
      <c r="B362" s="31" t="s">
        <v>471</v>
      </c>
      <c r="C362" s="32" t="s">
        <v>252</v>
      </c>
      <c r="D362" s="19" t="s">
        <v>2228</v>
      </c>
      <c r="E362" s="275">
        <v>85747</v>
      </c>
      <c r="F362" s="272"/>
      <c r="G362" s="32" t="s">
        <v>434</v>
      </c>
      <c r="H362" s="32" t="s">
        <v>334</v>
      </c>
      <c r="I362" s="2">
        <f t="shared" si="10"/>
        <v>85747</v>
      </c>
      <c r="J362" s="42" t="str">
        <f t="shared" si="11"/>
        <v>13311</v>
      </c>
    </row>
    <row r="363" spans="1:10">
      <c r="A363" s="30">
        <v>46229</v>
      </c>
      <c r="B363" s="31" t="s">
        <v>471</v>
      </c>
      <c r="C363" s="32" t="s">
        <v>252</v>
      </c>
      <c r="D363" s="19" t="s">
        <v>2228</v>
      </c>
      <c r="E363" s="275">
        <v>32511</v>
      </c>
      <c r="F363" s="272"/>
      <c r="G363" s="32" t="s">
        <v>434</v>
      </c>
      <c r="H363" s="32" t="s">
        <v>334</v>
      </c>
      <c r="I363" s="2">
        <f t="shared" si="10"/>
        <v>32511</v>
      </c>
      <c r="J363" s="42" t="str">
        <f t="shared" si="11"/>
        <v>13311</v>
      </c>
    </row>
    <row r="364" spans="1:10">
      <c r="A364" s="30">
        <v>46229</v>
      </c>
      <c r="B364" s="31" t="s">
        <v>471</v>
      </c>
      <c r="C364" s="32" t="s">
        <v>252</v>
      </c>
      <c r="D364" s="19" t="s">
        <v>2228</v>
      </c>
      <c r="E364" s="275">
        <v>32511</v>
      </c>
      <c r="F364" s="272"/>
      <c r="G364" s="32" t="s">
        <v>434</v>
      </c>
      <c r="H364" s="32" t="s">
        <v>334</v>
      </c>
      <c r="I364" s="2">
        <f t="shared" si="10"/>
        <v>32511</v>
      </c>
      <c r="J364" s="42" t="str">
        <f t="shared" si="11"/>
        <v>13311</v>
      </c>
    </row>
    <row r="365" spans="1:10">
      <c r="A365" s="30">
        <v>46229</v>
      </c>
      <c r="B365" s="31" t="s">
        <v>471</v>
      </c>
      <c r="C365" s="32" t="s">
        <v>252</v>
      </c>
      <c r="D365" s="19" t="s">
        <v>2228</v>
      </c>
      <c r="E365" s="275">
        <v>81387</v>
      </c>
      <c r="F365" s="272"/>
      <c r="G365" s="32" t="s">
        <v>434</v>
      </c>
      <c r="H365" s="32" t="s">
        <v>334</v>
      </c>
      <c r="I365" s="2">
        <f t="shared" si="10"/>
        <v>81387</v>
      </c>
      <c r="J365" s="42" t="str">
        <f t="shared" si="11"/>
        <v>13311</v>
      </c>
    </row>
    <row r="366" spans="1:10">
      <c r="A366" s="30">
        <v>46229</v>
      </c>
      <c r="B366" s="31" t="s">
        <v>471</v>
      </c>
      <c r="C366" s="32" t="s">
        <v>252</v>
      </c>
      <c r="D366" s="19" t="s">
        <v>2228</v>
      </c>
      <c r="E366" s="275">
        <v>87200</v>
      </c>
      <c r="F366" s="272"/>
      <c r="G366" s="32" t="s">
        <v>434</v>
      </c>
      <c r="H366" s="32" t="s">
        <v>334</v>
      </c>
      <c r="I366" s="2">
        <f t="shared" si="10"/>
        <v>87200</v>
      </c>
      <c r="J366" s="42" t="str">
        <f t="shared" si="11"/>
        <v>13311</v>
      </c>
    </row>
    <row r="367" spans="1:10">
      <c r="A367" s="30">
        <v>46229</v>
      </c>
      <c r="B367" s="31" t="s">
        <v>471</v>
      </c>
      <c r="C367" s="32" t="s">
        <v>252</v>
      </c>
      <c r="D367" s="19" t="s">
        <v>2228</v>
      </c>
      <c r="E367" s="275">
        <v>65022</v>
      </c>
      <c r="F367" s="272"/>
      <c r="G367" s="32" t="s">
        <v>434</v>
      </c>
      <c r="H367" s="32" t="s">
        <v>334</v>
      </c>
      <c r="I367" s="2">
        <f t="shared" si="10"/>
        <v>65022</v>
      </c>
      <c r="J367" s="42" t="str">
        <f t="shared" si="11"/>
        <v>13311</v>
      </c>
    </row>
    <row r="368" spans="1:10">
      <c r="A368" s="30">
        <v>46229</v>
      </c>
      <c r="B368" s="31" t="s">
        <v>471</v>
      </c>
      <c r="C368" s="32" t="s">
        <v>252</v>
      </c>
      <c r="D368" s="19" t="s">
        <v>2228</v>
      </c>
      <c r="E368" s="275">
        <v>65022</v>
      </c>
      <c r="F368" s="272"/>
      <c r="G368" s="32" t="s">
        <v>434</v>
      </c>
      <c r="H368" s="32" t="s">
        <v>334</v>
      </c>
      <c r="I368" s="2">
        <f t="shared" si="10"/>
        <v>65022</v>
      </c>
      <c r="J368" s="42" t="str">
        <f t="shared" si="11"/>
        <v>13311</v>
      </c>
    </row>
    <row r="369" spans="1:10">
      <c r="A369" s="30">
        <v>46229</v>
      </c>
      <c r="B369" s="31" t="s">
        <v>471</v>
      </c>
      <c r="C369" s="32" t="s">
        <v>252</v>
      </c>
      <c r="D369" s="19" t="s">
        <v>2228</v>
      </c>
      <c r="E369" s="275">
        <v>69880</v>
      </c>
      <c r="F369" s="272"/>
      <c r="G369" s="32" t="s">
        <v>434</v>
      </c>
      <c r="H369" s="32" t="s">
        <v>334</v>
      </c>
      <c r="I369" s="2">
        <f t="shared" si="10"/>
        <v>69880</v>
      </c>
      <c r="J369" s="42" t="str">
        <f t="shared" si="11"/>
        <v>13311</v>
      </c>
    </row>
    <row r="370" spans="1:10">
      <c r="A370" s="30">
        <v>46229</v>
      </c>
      <c r="B370" s="31" t="s">
        <v>471</v>
      </c>
      <c r="C370" s="32" t="s">
        <v>252</v>
      </c>
      <c r="D370" s="19" t="s">
        <v>2228</v>
      </c>
      <c r="E370" s="275">
        <v>58233</v>
      </c>
      <c r="F370" s="272"/>
      <c r="G370" s="32" t="s">
        <v>434</v>
      </c>
      <c r="H370" s="32" t="s">
        <v>334</v>
      </c>
      <c r="I370" s="2">
        <f t="shared" si="10"/>
        <v>58233</v>
      </c>
      <c r="J370" s="42" t="str">
        <f t="shared" si="11"/>
        <v>13311</v>
      </c>
    </row>
    <row r="371" spans="1:10">
      <c r="A371" s="30">
        <v>46229</v>
      </c>
      <c r="B371" s="31" t="s">
        <v>471</v>
      </c>
      <c r="C371" s="32" t="s">
        <v>252</v>
      </c>
      <c r="D371" s="19" t="s">
        <v>2228</v>
      </c>
      <c r="E371" s="275">
        <v>97056</v>
      </c>
      <c r="F371" s="272"/>
      <c r="G371" s="32" t="s">
        <v>434</v>
      </c>
      <c r="H371" s="32" t="s">
        <v>334</v>
      </c>
      <c r="I371" s="2">
        <f t="shared" si="10"/>
        <v>97056</v>
      </c>
      <c r="J371" s="42" t="str">
        <f t="shared" si="11"/>
        <v>13311</v>
      </c>
    </row>
    <row r="372" spans="1:10">
      <c r="A372" s="30">
        <v>46229</v>
      </c>
      <c r="B372" s="31" t="s">
        <v>471</v>
      </c>
      <c r="C372" s="32" t="s">
        <v>252</v>
      </c>
      <c r="D372" s="19" t="s">
        <v>2228</v>
      </c>
      <c r="E372" s="275">
        <v>100267</v>
      </c>
      <c r="F372" s="272"/>
      <c r="G372" s="32" t="s">
        <v>434</v>
      </c>
      <c r="H372" s="32" t="s">
        <v>334</v>
      </c>
      <c r="I372" s="2">
        <f t="shared" si="10"/>
        <v>100267</v>
      </c>
      <c r="J372" s="42" t="str">
        <f t="shared" si="11"/>
        <v>13311</v>
      </c>
    </row>
    <row r="373" spans="1:10">
      <c r="A373" s="30">
        <v>46229</v>
      </c>
      <c r="B373" s="31" t="s">
        <v>471</v>
      </c>
      <c r="C373" s="32" t="s">
        <v>252</v>
      </c>
      <c r="D373" s="19" t="s">
        <v>2228</v>
      </c>
      <c r="E373" s="275">
        <v>108622</v>
      </c>
      <c r="F373" s="272"/>
      <c r="G373" s="32" t="s">
        <v>434</v>
      </c>
      <c r="H373" s="32" t="s">
        <v>334</v>
      </c>
      <c r="I373" s="2">
        <f t="shared" si="10"/>
        <v>108622</v>
      </c>
      <c r="J373" s="42" t="str">
        <f t="shared" si="11"/>
        <v>13311</v>
      </c>
    </row>
    <row r="374" spans="1:10">
      <c r="A374" s="30">
        <v>46229</v>
      </c>
      <c r="B374" s="31" t="s">
        <v>471</v>
      </c>
      <c r="C374" s="32" t="s">
        <v>252</v>
      </c>
      <c r="D374" s="19" t="s">
        <v>2230</v>
      </c>
      <c r="E374" s="275" t="s">
        <v>2231</v>
      </c>
      <c r="F374" s="272"/>
      <c r="G374" s="32" t="s">
        <v>434</v>
      </c>
      <c r="H374" s="32" t="s">
        <v>334</v>
      </c>
      <c r="I374" s="2" t="str">
        <f t="shared" si="10"/>
        <v>(489 120)</v>
      </c>
      <c r="J374" s="42" t="str">
        <f t="shared" si="11"/>
        <v>13311</v>
      </c>
    </row>
    <row r="375" spans="1:10">
      <c r="A375" s="30">
        <v>46229</v>
      </c>
      <c r="B375" s="31" t="s">
        <v>471</v>
      </c>
      <c r="C375" s="32" t="s">
        <v>252</v>
      </c>
      <c r="D375" s="19" t="s">
        <v>658</v>
      </c>
      <c r="E375" s="275">
        <v>19200000</v>
      </c>
      <c r="F375" s="272"/>
      <c r="G375" s="32" t="s">
        <v>434</v>
      </c>
      <c r="H375" s="32" t="s">
        <v>334</v>
      </c>
      <c r="I375" s="2">
        <f t="shared" si="10"/>
        <v>19200000</v>
      </c>
      <c r="J375" s="42" t="str">
        <f t="shared" si="11"/>
        <v>13311</v>
      </c>
    </row>
    <row r="376" spans="1:10">
      <c r="A376" s="30">
        <v>46229</v>
      </c>
      <c r="B376" s="31" t="s">
        <v>471</v>
      </c>
      <c r="C376" s="32" t="s">
        <v>252</v>
      </c>
      <c r="D376" s="19" t="s">
        <v>2232</v>
      </c>
      <c r="E376" s="275">
        <v>555556</v>
      </c>
      <c r="F376" s="272"/>
      <c r="G376" s="32" t="s">
        <v>434</v>
      </c>
      <c r="H376" s="32" t="s">
        <v>334</v>
      </c>
      <c r="I376" s="2">
        <f t="shared" si="10"/>
        <v>555556</v>
      </c>
      <c r="J376" s="42" t="str">
        <f t="shared" si="11"/>
        <v>13311</v>
      </c>
    </row>
    <row r="377" spans="1:10">
      <c r="A377" s="30">
        <v>46229</v>
      </c>
      <c r="B377" s="31" t="s">
        <v>471</v>
      </c>
      <c r="C377" s="32" t="s">
        <v>252</v>
      </c>
      <c r="D377" s="19" t="s">
        <v>2233</v>
      </c>
      <c r="E377" s="275">
        <v>1000000</v>
      </c>
      <c r="F377" s="272"/>
      <c r="G377" s="32" t="s">
        <v>434</v>
      </c>
      <c r="H377" s="32" t="s">
        <v>334</v>
      </c>
      <c r="I377" s="2">
        <f t="shared" si="10"/>
        <v>1000000</v>
      </c>
      <c r="J377" s="42" t="str">
        <f t="shared" si="11"/>
        <v>13311</v>
      </c>
    </row>
    <row r="378" spans="1:10">
      <c r="A378" s="30">
        <v>46229</v>
      </c>
      <c r="B378" s="31" t="s">
        <v>471</v>
      </c>
      <c r="C378" s="32" t="s">
        <v>252</v>
      </c>
      <c r="D378" s="19" t="s">
        <v>785</v>
      </c>
      <c r="E378" s="275">
        <v>1777778</v>
      </c>
      <c r="F378" s="272"/>
      <c r="G378" s="32" t="s">
        <v>434</v>
      </c>
      <c r="H378" s="32" t="s">
        <v>334</v>
      </c>
      <c r="I378" s="2">
        <f t="shared" si="10"/>
        <v>1777778</v>
      </c>
      <c r="J378" s="42" t="str">
        <f t="shared" si="11"/>
        <v>13311</v>
      </c>
    </row>
    <row r="379" spans="1:10">
      <c r="A379" s="30">
        <v>46229</v>
      </c>
      <c r="B379" s="31" t="s">
        <v>471</v>
      </c>
      <c r="C379" s="32" t="s">
        <v>252</v>
      </c>
      <c r="D379" s="19" t="s">
        <v>769</v>
      </c>
      <c r="E379" s="275">
        <v>87613</v>
      </c>
      <c r="F379" s="272"/>
      <c r="G379" s="32" t="s">
        <v>434</v>
      </c>
      <c r="H379" s="32" t="s">
        <v>334</v>
      </c>
      <c r="I379" s="2">
        <f t="shared" si="10"/>
        <v>87613</v>
      </c>
      <c r="J379" s="42" t="str">
        <f t="shared" si="11"/>
        <v>13311</v>
      </c>
    </row>
    <row r="380" spans="1:10">
      <c r="A380" s="30">
        <v>46229</v>
      </c>
      <c r="B380" s="31" t="s">
        <v>471</v>
      </c>
      <c r="C380" s="32" t="s">
        <v>252</v>
      </c>
      <c r="D380" s="19" t="s">
        <v>769</v>
      </c>
      <c r="E380" s="275">
        <v>204018</v>
      </c>
      <c r="F380" s="272"/>
      <c r="G380" s="32" t="s">
        <v>434</v>
      </c>
      <c r="H380" s="32" t="s">
        <v>334</v>
      </c>
      <c r="I380" s="2">
        <f t="shared" si="10"/>
        <v>204018</v>
      </c>
      <c r="J380" s="42" t="str">
        <f t="shared" si="11"/>
        <v>13311</v>
      </c>
    </row>
    <row r="381" spans="1:10">
      <c r="A381" s="30">
        <v>46229</v>
      </c>
      <c r="B381" s="31" t="s">
        <v>471</v>
      </c>
      <c r="C381" s="32" t="s">
        <v>252</v>
      </c>
      <c r="D381" s="19" t="s">
        <v>2234</v>
      </c>
      <c r="E381" s="275">
        <v>3333326</v>
      </c>
      <c r="F381" s="272"/>
      <c r="G381" s="32" t="s">
        <v>434</v>
      </c>
      <c r="H381" s="32" t="s">
        <v>334</v>
      </c>
      <c r="I381" s="2">
        <f t="shared" si="10"/>
        <v>3333326</v>
      </c>
      <c r="J381" s="42" t="str">
        <f t="shared" si="11"/>
        <v>13311</v>
      </c>
    </row>
    <row r="382" spans="1:10">
      <c r="A382" s="30">
        <v>46229</v>
      </c>
      <c r="B382" s="31" t="s">
        <v>471</v>
      </c>
      <c r="C382" s="32" t="s">
        <v>252</v>
      </c>
      <c r="D382" s="19" t="s">
        <v>2234</v>
      </c>
      <c r="E382" s="275">
        <v>3333326</v>
      </c>
      <c r="F382" s="272"/>
      <c r="G382" s="32" t="s">
        <v>434</v>
      </c>
      <c r="H382" s="32" t="s">
        <v>334</v>
      </c>
      <c r="I382" s="2">
        <f t="shared" si="10"/>
        <v>3333326</v>
      </c>
      <c r="J382" s="42" t="str">
        <f t="shared" si="11"/>
        <v>13311</v>
      </c>
    </row>
    <row r="383" spans="1:10">
      <c r="A383" s="30">
        <v>46229</v>
      </c>
      <c r="B383" s="31" t="s">
        <v>471</v>
      </c>
      <c r="C383" s="32" t="s">
        <v>252</v>
      </c>
      <c r="D383" s="19" t="s">
        <v>2234</v>
      </c>
      <c r="E383" s="275">
        <v>2555550</v>
      </c>
      <c r="F383" s="272"/>
      <c r="G383" s="32" t="s">
        <v>434</v>
      </c>
      <c r="H383" s="32" t="s">
        <v>334</v>
      </c>
      <c r="I383" s="2">
        <f t="shared" si="10"/>
        <v>2555550</v>
      </c>
      <c r="J383" s="42" t="str">
        <f t="shared" si="11"/>
        <v>13311</v>
      </c>
    </row>
    <row r="384" spans="1:10">
      <c r="A384" s="30">
        <v>46229</v>
      </c>
      <c r="B384" s="31" t="s">
        <v>471</v>
      </c>
      <c r="C384" s="32" t="s">
        <v>252</v>
      </c>
      <c r="D384" s="19" t="s">
        <v>2234</v>
      </c>
      <c r="E384" s="275">
        <v>2555550</v>
      </c>
      <c r="F384" s="272"/>
      <c r="G384" s="32" t="s">
        <v>434</v>
      </c>
      <c r="H384" s="32" t="s">
        <v>334</v>
      </c>
      <c r="I384" s="2">
        <f t="shared" si="10"/>
        <v>2555550</v>
      </c>
      <c r="J384" s="42" t="str">
        <f t="shared" si="11"/>
        <v>13311</v>
      </c>
    </row>
    <row r="385" spans="1:10">
      <c r="A385" s="30">
        <v>46229</v>
      </c>
      <c r="B385" s="31" t="s">
        <v>471</v>
      </c>
      <c r="C385" s="32" t="s">
        <v>252</v>
      </c>
      <c r="D385" s="19" t="s">
        <v>2234</v>
      </c>
      <c r="E385" s="275">
        <v>3185179</v>
      </c>
      <c r="F385" s="272"/>
      <c r="G385" s="32" t="s">
        <v>434</v>
      </c>
      <c r="H385" s="32" t="s">
        <v>334</v>
      </c>
      <c r="I385" s="2">
        <f t="shared" si="10"/>
        <v>3185179</v>
      </c>
      <c r="J385" s="42" t="str">
        <f t="shared" si="11"/>
        <v>13311</v>
      </c>
    </row>
    <row r="386" spans="1:10">
      <c r="A386" s="30">
        <v>46229</v>
      </c>
      <c r="B386" s="31" t="s">
        <v>471</v>
      </c>
      <c r="C386" s="32" t="s">
        <v>252</v>
      </c>
      <c r="D386" s="19" t="s">
        <v>2234</v>
      </c>
      <c r="E386" s="275">
        <v>3185179</v>
      </c>
      <c r="F386" s="272"/>
      <c r="G386" s="32" t="s">
        <v>434</v>
      </c>
      <c r="H386" s="32" t="s">
        <v>334</v>
      </c>
      <c r="I386" s="2">
        <f t="shared" si="10"/>
        <v>3185179</v>
      </c>
      <c r="J386" s="42" t="str">
        <f t="shared" si="11"/>
        <v>13311</v>
      </c>
    </row>
    <row r="387" spans="1:10">
      <c r="A387" s="30">
        <v>46229</v>
      </c>
      <c r="B387" s="31" t="s">
        <v>471</v>
      </c>
      <c r="C387" s="32" t="s">
        <v>252</v>
      </c>
      <c r="D387" s="19" t="s">
        <v>2235</v>
      </c>
      <c r="E387" s="275">
        <v>129407</v>
      </c>
      <c r="F387" s="272"/>
      <c r="G387" s="32" t="s">
        <v>434</v>
      </c>
      <c r="H387" s="32" t="s">
        <v>334</v>
      </c>
      <c r="I387" s="2">
        <f t="shared" si="10"/>
        <v>129407</v>
      </c>
      <c r="J387" s="42" t="str">
        <f t="shared" si="11"/>
        <v>13311</v>
      </c>
    </row>
    <row r="388" spans="1:10">
      <c r="A388" s="30">
        <v>46229</v>
      </c>
      <c r="B388" s="31" t="s">
        <v>471</v>
      </c>
      <c r="C388" s="32" t="s">
        <v>252</v>
      </c>
      <c r="D388" s="19" t="s">
        <v>2236</v>
      </c>
      <c r="E388" s="275">
        <v>366667</v>
      </c>
      <c r="F388" s="272"/>
      <c r="G388" s="32" t="s">
        <v>434</v>
      </c>
      <c r="H388" s="32" t="s">
        <v>334</v>
      </c>
      <c r="I388" s="2">
        <f t="shared" si="10"/>
        <v>366667</v>
      </c>
      <c r="J388" s="42" t="str">
        <f t="shared" si="11"/>
        <v>13311</v>
      </c>
    </row>
    <row r="389" spans="1:10">
      <c r="A389" s="30">
        <v>46229</v>
      </c>
      <c r="B389" s="31" t="s">
        <v>471</v>
      </c>
      <c r="C389" s="32" t="s">
        <v>252</v>
      </c>
      <c r="D389" s="19" t="s">
        <v>2237</v>
      </c>
      <c r="E389" s="275">
        <v>240000</v>
      </c>
      <c r="F389" s="272"/>
      <c r="G389" s="32" t="s">
        <v>434</v>
      </c>
      <c r="H389" s="32" t="s">
        <v>334</v>
      </c>
      <c r="I389" s="2">
        <f t="shared" si="10"/>
        <v>240000</v>
      </c>
      <c r="J389" s="42" t="str">
        <f t="shared" si="11"/>
        <v>13311</v>
      </c>
    </row>
    <row r="390" spans="1:10">
      <c r="A390" s="30">
        <v>46229</v>
      </c>
      <c r="B390" s="31" t="s">
        <v>471</v>
      </c>
      <c r="C390" s="32" t="s">
        <v>252</v>
      </c>
      <c r="D390" s="19" t="s">
        <v>2238</v>
      </c>
      <c r="E390" s="275">
        <v>141680</v>
      </c>
      <c r="F390" s="272"/>
      <c r="G390" s="32" t="s">
        <v>434</v>
      </c>
      <c r="H390" s="32" t="s">
        <v>334</v>
      </c>
      <c r="I390" s="2">
        <f t="shared" si="10"/>
        <v>141680</v>
      </c>
      <c r="J390" s="42" t="str">
        <f t="shared" si="11"/>
        <v>13311</v>
      </c>
    </row>
    <row r="391" spans="1:10">
      <c r="A391" s="30">
        <v>46229</v>
      </c>
      <c r="B391" s="31" t="s">
        <v>471</v>
      </c>
      <c r="C391" s="32" t="s">
        <v>252</v>
      </c>
      <c r="D391" s="19" t="s">
        <v>2239</v>
      </c>
      <c r="E391" s="275">
        <v>44444</v>
      </c>
      <c r="F391" s="272"/>
      <c r="G391" s="32" t="s">
        <v>434</v>
      </c>
      <c r="H391" s="32" t="s">
        <v>334</v>
      </c>
      <c r="I391" s="2">
        <f t="shared" si="10"/>
        <v>44444</v>
      </c>
      <c r="J391" s="42" t="str">
        <f t="shared" si="11"/>
        <v>13311</v>
      </c>
    </row>
    <row r="392" spans="1:10">
      <c r="A392" s="30">
        <v>46229</v>
      </c>
      <c r="B392" s="31" t="s">
        <v>471</v>
      </c>
      <c r="C392" s="32" t="s">
        <v>252</v>
      </c>
      <c r="D392" s="19" t="s">
        <v>2239</v>
      </c>
      <c r="E392" s="275">
        <v>28800</v>
      </c>
      <c r="F392" s="272"/>
      <c r="G392" s="32" t="s">
        <v>434</v>
      </c>
      <c r="H392" s="32" t="s">
        <v>334</v>
      </c>
      <c r="I392" s="2">
        <f t="shared" si="10"/>
        <v>28800</v>
      </c>
      <c r="J392" s="42" t="str">
        <f t="shared" si="11"/>
        <v>13311</v>
      </c>
    </row>
    <row r="393" spans="1:10">
      <c r="A393" s="30">
        <v>46229</v>
      </c>
      <c r="B393" s="31" t="s">
        <v>471</v>
      </c>
      <c r="C393" s="32" t="s">
        <v>252</v>
      </c>
      <c r="D393" s="19" t="s">
        <v>2240</v>
      </c>
      <c r="E393" s="275">
        <v>400000</v>
      </c>
      <c r="F393" s="272"/>
      <c r="G393" s="32" t="s">
        <v>434</v>
      </c>
      <c r="H393" s="32" t="s">
        <v>334</v>
      </c>
      <c r="I393" s="2">
        <f t="shared" si="10"/>
        <v>400000</v>
      </c>
      <c r="J393" s="42" t="str">
        <f t="shared" si="11"/>
        <v>13311</v>
      </c>
    </row>
    <row r="394" spans="1:10">
      <c r="A394" s="30">
        <v>46229</v>
      </c>
      <c r="B394" s="31" t="s">
        <v>471</v>
      </c>
      <c r="C394" s="32" t="s">
        <v>252</v>
      </c>
      <c r="D394" s="19" t="s">
        <v>2241</v>
      </c>
      <c r="E394" s="275">
        <v>59259</v>
      </c>
      <c r="F394" s="272"/>
      <c r="G394" s="32" t="s">
        <v>434</v>
      </c>
      <c r="H394" s="32" t="s">
        <v>334</v>
      </c>
      <c r="I394" s="2">
        <f t="shared" si="10"/>
        <v>59259</v>
      </c>
      <c r="J394" s="42" t="str">
        <f t="shared" si="11"/>
        <v>13311</v>
      </c>
    </row>
    <row r="395" spans="1:10">
      <c r="A395" s="30">
        <v>46229</v>
      </c>
      <c r="B395" s="31" t="s">
        <v>471</v>
      </c>
      <c r="C395" s="32" t="s">
        <v>252</v>
      </c>
      <c r="D395" s="19" t="s">
        <v>2242</v>
      </c>
      <c r="E395" s="275">
        <v>109407</v>
      </c>
      <c r="F395" s="272"/>
      <c r="G395" s="32" t="s">
        <v>434</v>
      </c>
      <c r="H395" s="32" t="s">
        <v>334</v>
      </c>
      <c r="I395" s="2">
        <f t="shared" ref="I395:I458" si="12">IF(LEN(A395)=5,E395,0)</f>
        <v>109407</v>
      </c>
      <c r="J395" s="42" t="str">
        <f t="shared" ref="J395:J458" si="13">IF(LEFT(A395,11)="Tài khoản: ",MID(A395,12,5),J394)</f>
        <v>13311</v>
      </c>
    </row>
    <row r="396" spans="1:10">
      <c r="A396" s="30">
        <v>46229</v>
      </c>
      <c r="B396" s="31" t="s">
        <v>471</v>
      </c>
      <c r="C396" s="32" t="s">
        <v>252</v>
      </c>
      <c r="D396" s="19" t="s">
        <v>2242</v>
      </c>
      <c r="E396" s="275">
        <v>162963</v>
      </c>
      <c r="F396" s="272"/>
      <c r="G396" s="32" t="s">
        <v>434</v>
      </c>
      <c r="H396" s="32" t="s">
        <v>334</v>
      </c>
      <c r="I396" s="2">
        <f t="shared" si="12"/>
        <v>162963</v>
      </c>
      <c r="J396" s="42" t="str">
        <f t="shared" si="13"/>
        <v>13311</v>
      </c>
    </row>
    <row r="397" spans="1:10">
      <c r="A397" s="30">
        <v>46229</v>
      </c>
      <c r="B397" s="31" t="s">
        <v>471</v>
      </c>
      <c r="C397" s="32" t="s">
        <v>252</v>
      </c>
      <c r="D397" s="19" t="s">
        <v>2242</v>
      </c>
      <c r="E397" s="275">
        <v>54704</v>
      </c>
      <c r="F397" s="272"/>
      <c r="G397" s="32" t="s">
        <v>434</v>
      </c>
      <c r="H397" s="32" t="s">
        <v>334</v>
      </c>
      <c r="I397" s="2">
        <f t="shared" si="12"/>
        <v>54704</v>
      </c>
      <c r="J397" s="42" t="str">
        <f t="shared" si="13"/>
        <v>13311</v>
      </c>
    </row>
    <row r="398" spans="1:10">
      <c r="A398" s="30">
        <v>46229</v>
      </c>
      <c r="B398" s="31" t="s">
        <v>471</v>
      </c>
      <c r="C398" s="32" t="s">
        <v>252</v>
      </c>
      <c r="D398" s="19" t="s">
        <v>2243</v>
      </c>
      <c r="E398" s="275">
        <v>14815</v>
      </c>
      <c r="F398" s="272"/>
      <c r="G398" s="32" t="s">
        <v>434</v>
      </c>
      <c r="H398" s="32" t="s">
        <v>334</v>
      </c>
      <c r="I398" s="2">
        <f t="shared" si="12"/>
        <v>14815</v>
      </c>
      <c r="J398" s="42" t="str">
        <f t="shared" si="13"/>
        <v>13311</v>
      </c>
    </row>
    <row r="399" spans="1:10">
      <c r="A399" s="30">
        <v>46229</v>
      </c>
      <c r="B399" s="31" t="s">
        <v>471</v>
      </c>
      <c r="C399" s="32" t="s">
        <v>252</v>
      </c>
      <c r="D399" s="19" t="s">
        <v>2243</v>
      </c>
      <c r="E399" s="275">
        <v>14815</v>
      </c>
      <c r="F399" s="272"/>
      <c r="G399" s="32" t="s">
        <v>434</v>
      </c>
      <c r="H399" s="32" t="s">
        <v>334</v>
      </c>
      <c r="I399" s="2">
        <f t="shared" si="12"/>
        <v>14815</v>
      </c>
      <c r="J399" s="42" t="str">
        <f t="shared" si="13"/>
        <v>13311</v>
      </c>
    </row>
    <row r="400" spans="1:10">
      <c r="A400" s="30">
        <v>46229</v>
      </c>
      <c r="B400" s="31" t="s">
        <v>471</v>
      </c>
      <c r="C400" s="32" t="s">
        <v>252</v>
      </c>
      <c r="D400" s="19" t="s">
        <v>2241</v>
      </c>
      <c r="E400" s="275">
        <v>59259</v>
      </c>
      <c r="F400" s="272"/>
      <c r="G400" s="32" t="s">
        <v>434</v>
      </c>
      <c r="H400" s="32" t="s">
        <v>334</v>
      </c>
      <c r="I400" s="2">
        <f t="shared" si="12"/>
        <v>59259</v>
      </c>
      <c r="J400" s="42" t="str">
        <f t="shared" si="13"/>
        <v>13311</v>
      </c>
    </row>
    <row r="401" spans="1:10">
      <c r="A401" s="30">
        <v>46229</v>
      </c>
      <c r="B401" s="31" t="s">
        <v>471</v>
      </c>
      <c r="C401" s="32" t="s">
        <v>252</v>
      </c>
      <c r="D401" s="19" t="s">
        <v>2242</v>
      </c>
      <c r="E401" s="275">
        <v>109407</v>
      </c>
      <c r="F401" s="272"/>
      <c r="G401" s="32" t="s">
        <v>434</v>
      </c>
      <c r="H401" s="32" t="s">
        <v>334</v>
      </c>
      <c r="I401" s="2">
        <f t="shared" si="12"/>
        <v>109407</v>
      </c>
      <c r="J401" s="42" t="str">
        <f t="shared" si="13"/>
        <v>13311</v>
      </c>
    </row>
    <row r="402" spans="1:10">
      <c r="A402" s="30">
        <v>46229</v>
      </c>
      <c r="B402" s="31" t="s">
        <v>471</v>
      </c>
      <c r="C402" s="32" t="s">
        <v>252</v>
      </c>
      <c r="D402" s="19" t="s">
        <v>2243</v>
      </c>
      <c r="E402" s="275">
        <v>14815</v>
      </c>
      <c r="F402" s="272"/>
      <c r="G402" s="32" t="s">
        <v>434</v>
      </c>
      <c r="H402" s="32" t="s">
        <v>334</v>
      </c>
      <c r="I402" s="2">
        <f t="shared" si="12"/>
        <v>14815</v>
      </c>
      <c r="J402" s="42" t="str">
        <f t="shared" si="13"/>
        <v>13311</v>
      </c>
    </row>
    <row r="403" spans="1:10">
      <c r="A403" s="30">
        <v>46229</v>
      </c>
      <c r="B403" s="31" t="s">
        <v>471</v>
      </c>
      <c r="C403" s="32" t="s">
        <v>252</v>
      </c>
      <c r="D403" s="19" t="s">
        <v>2243</v>
      </c>
      <c r="E403" s="275">
        <v>14815</v>
      </c>
      <c r="F403" s="272"/>
      <c r="G403" s="32" t="s">
        <v>434</v>
      </c>
      <c r="H403" s="32" t="s">
        <v>334</v>
      </c>
      <c r="I403" s="2">
        <f t="shared" si="12"/>
        <v>14815</v>
      </c>
      <c r="J403" s="42" t="str">
        <f t="shared" si="13"/>
        <v>13311</v>
      </c>
    </row>
    <row r="404" spans="1:10">
      <c r="A404" s="30">
        <v>46229</v>
      </c>
      <c r="B404" s="31" t="s">
        <v>471</v>
      </c>
      <c r="C404" s="32" t="s">
        <v>252</v>
      </c>
      <c r="D404" s="19" t="s">
        <v>2241</v>
      </c>
      <c r="E404" s="275">
        <v>59259</v>
      </c>
      <c r="F404" s="272"/>
      <c r="G404" s="32" t="s">
        <v>434</v>
      </c>
      <c r="H404" s="32" t="s">
        <v>334</v>
      </c>
      <c r="I404" s="2">
        <f t="shared" si="12"/>
        <v>59259</v>
      </c>
      <c r="J404" s="42" t="str">
        <f t="shared" si="13"/>
        <v>13311</v>
      </c>
    </row>
    <row r="405" spans="1:10">
      <c r="A405" s="30">
        <v>46229</v>
      </c>
      <c r="B405" s="31" t="s">
        <v>471</v>
      </c>
      <c r="C405" s="32" t="s">
        <v>252</v>
      </c>
      <c r="D405" s="19" t="s">
        <v>2242</v>
      </c>
      <c r="E405" s="275">
        <v>109407</v>
      </c>
      <c r="F405" s="272"/>
      <c r="G405" s="32" t="s">
        <v>434</v>
      </c>
      <c r="H405" s="32" t="s">
        <v>334</v>
      </c>
      <c r="I405" s="2">
        <f t="shared" si="12"/>
        <v>109407</v>
      </c>
      <c r="J405" s="42" t="str">
        <f t="shared" si="13"/>
        <v>13311</v>
      </c>
    </row>
    <row r="406" spans="1:10">
      <c r="A406" s="30">
        <v>46229</v>
      </c>
      <c r="B406" s="31" t="s">
        <v>471</v>
      </c>
      <c r="C406" s="32" t="s">
        <v>252</v>
      </c>
      <c r="D406" s="19" t="s">
        <v>2244</v>
      </c>
      <c r="E406" s="275">
        <v>555589</v>
      </c>
      <c r="F406" s="272"/>
      <c r="G406" s="32" t="s">
        <v>434</v>
      </c>
      <c r="H406" s="32" t="s">
        <v>334</v>
      </c>
      <c r="I406" s="2">
        <f t="shared" si="12"/>
        <v>555589</v>
      </c>
      <c r="J406" s="42" t="str">
        <f t="shared" si="13"/>
        <v>13311</v>
      </c>
    </row>
    <row r="407" spans="1:10">
      <c r="A407" s="30">
        <v>46229</v>
      </c>
      <c r="B407" s="31" t="s">
        <v>471</v>
      </c>
      <c r="C407" s="32" t="s">
        <v>252</v>
      </c>
      <c r="D407" s="19" t="s">
        <v>2245</v>
      </c>
      <c r="E407" s="275">
        <v>3488000</v>
      </c>
      <c r="F407" s="272"/>
      <c r="G407" s="32" t="s">
        <v>434</v>
      </c>
      <c r="H407" s="32" t="s">
        <v>334</v>
      </c>
      <c r="I407" s="2">
        <f t="shared" si="12"/>
        <v>3488000</v>
      </c>
      <c r="J407" s="42" t="str">
        <f t="shared" si="13"/>
        <v>13311</v>
      </c>
    </row>
    <row r="408" spans="1:10">
      <c r="A408" s="30">
        <v>46229</v>
      </c>
      <c r="B408" s="31" t="s">
        <v>471</v>
      </c>
      <c r="C408" s="32" t="s">
        <v>252</v>
      </c>
      <c r="D408" s="19" t="s">
        <v>2229</v>
      </c>
      <c r="E408" s="275">
        <v>24000</v>
      </c>
      <c r="F408" s="272"/>
      <c r="G408" s="32" t="s">
        <v>434</v>
      </c>
      <c r="H408" s="32" t="s">
        <v>334</v>
      </c>
      <c r="I408" s="2">
        <f t="shared" si="12"/>
        <v>24000</v>
      </c>
      <c r="J408" s="42" t="str">
        <f t="shared" si="13"/>
        <v>13311</v>
      </c>
    </row>
    <row r="409" spans="1:10">
      <c r="A409" s="30">
        <v>46229</v>
      </c>
      <c r="B409" s="31" t="s">
        <v>471</v>
      </c>
      <c r="C409" s="32" t="s">
        <v>252</v>
      </c>
      <c r="D409" s="19" t="s">
        <v>2228</v>
      </c>
      <c r="E409" s="275">
        <v>66667</v>
      </c>
      <c r="F409" s="272"/>
      <c r="G409" s="32" t="s">
        <v>434</v>
      </c>
      <c r="H409" s="32" t="s">
        <v>334</v>
      </c>
      <c r="I409" s="2">
        <f t="shared" si="12"/>
        <v>66667</v>
      </c>
      <c r="J409" s="42" t="str">
        <f t="shared" si="13"/>
        <v>13311</v>
      </c>
    </row>
    <row r="410" spans="1:10">
      <c r="A410" s="30">
        <v>46229</v>
      </c>
      <c r="B410" s="31" t="s">
        <v>471</v>
      </c>
      <c r="C410" s="32" t="s">
        <v>252</v>
      </c>
      <c r="D410" s="19" t="s">
        <v>2228</v>
      </c>
      <c r="E410" s="275">
        <v>90519</v>
      </c>
      <c r="F410" s="272"/>
      <c r="G410" s="32" t="s">
        <v>434</v>
      </c>
      <c r="H410" s="32" t="s">
        <v>334</v>
      </c>
      <c r="I410" s="2">
        <f t="shared" si="12"/>
        <v>90519</v>
      </c>
      <c r="J410" s="42" t="str">
        <f t="shared" si="13"/>
        <v>13311</v>
      </c>
    </row>
    <row r="411" spans="1:10">
      <c r="A411" s="30">
        <v>46229</v>
      </c>
      <c r="B411" s="31" t="s">
        <v>471</v>
      </c>
      <c r="C411" s="32" t="s">
        <v>252</v>
      </c>
      <c r="D411" s="19" t="s">
        <v>2228</v>
      </c>
      <c r="E411" s="275">
        <v>94696</v>
      </c>
      <c r="F411" s="272"/>
      <c r="G411" s="32" t="s">
        <v>434</v>
      </c>
      <c r="H411" s="32" t="s">
        <v>334</v>
      </c>
      <c r="I411" s="2">
        <f t="shared" si="12"/>
        <v>94696</v>
      </c>
      <c r="J411" s="42" t="str">
        <f t="shared" si="13"/>
        <v>13311</v>
      </c>
    </row>
    <row r="412" spans="1:10">
      <c r="A412" s="30">
        <v>46229</v>
      </c>
      <c r="B412" s="31" t="s">
        <v>471</v>
      </c>
      <c r="C412" s="32" t="s">
        <v>252</v>
      </c>
      <c r="D412" s="19" t="s">
        <v>2228</v>
      </c>
      <c r="E412" s="275">
        <v>77037</v>
      </c>
      <c r="F412" s="272"/>
      <c r="G412" s="32" t="s">
        <v>434</v>
      </c>
      <c r="H412" s="32" t="s">
        <v>334</v>
      </c>
      <c r="I412" s="2">
        <f t="shared" si="12"/>
        <v>77037</v>
      </c>
      <c r="J412" s="42" t="str">
        <f t="shared" si="13"/>
        <v>13311</v>
      </c>
    </row>
    <row r="413" spans="1:10">
      <c r="A413" s="30">
        <v>46229</v>
      </c>
      <c r="B413" s="31" t="s">
        <v>471</v>
      </c>
      <c r="C413" s="32" t="s">
        <v>252</v>
      </c>
      <c r="D413" s="19" t="s">
        <v>2228</v>
      </c>
      <c r="E413" s="275">
        <v>54459</v>
      </c>
      <c r="F413" s="272"/>
      <c r="G413" s="32" t="s">
        <v>434</v>
      </c>
      <c r="H413" s="32" t="s">
        <v>334</v>
      </c>
      <c r="I413" s="2">
        <f t="shared" si="12"/>
        <v>54459</v>
      </c>
      <c r="J413" s="42" t="str">
        <f t="shared" si="13"/>
        <v>13311</v>
      </c>
    </row>
    <row r="414" spans="1:10">
      <c r="A414" s="30">
        <v>46229</v>
      </c>
      <c r="B414" s="31" t="s">
        <v>471</v>
      </c>
      <c r="C414" s="32" t="s">
        <v>252</v>
      </c>
      <c r="D414" s="19" t="s">
        <v>2228</v>
      </c>
      <c r="E414" s="275">
        <v>121244</v>
      </c>
      <c r="F414" s="272"/>
      <c r="G414" s="32" t="s">
        <v>434</v>
      </c>
      <c r="H414" s="32" t="s">
        <v>334</v>
      </c>
      <c r="I414" s="2">
        <f t="shared" si="12"/>
        <v>121244</v>
      </c>
      <c r="J414" s="42" t="str">
        <f t="shared" si="13"/>
        <v>13311</v>
      </c>
    </row>
    <row r="415" spans="1:10">
      <c r="A415" s="30">
        <v>46229</v>
      </c>
      <c r="B415" s="31" t="s">
        <v>471</v>
      </c>
      <c r="C415" s="32" t="s">
        <v>252</v>
      </c>
      <c r="D415" s="19" t="s">
        <v>2228</v>
      </c>
      <c r="E415" s="275">
        <v>68200</v>
      </c>
      <c r="F415" s="272"/>
      <c r="G415" s="32" t="s">
        <v>434</v>
      </c>
      <c r="H415" s="32" t="s">
        <v>334</v>
      </c>
      <c r="I415" s="2">
        <f t="shared" si="12"/>
        <v>68200</v>
      </c>
      <c r="J415" s="42" t="str">
        <f t="shared" si="13"/>
        <v>13311</v>
      </c>
    </row>
    <row r="416" spans="1:10">
      <c r="A416" s="30">
        <v>46229</v>
      </c>
      <c r="B416" s="31" t="s">
        <v>471</v>
      </c>
      <c r="C416" s="32" t="s">
        <v>252</v>
      </c>
      <c r="D416" s="19" t="s">
        <v>2228</v>
      </c>
      <c r="E416" s="275">
        <v>45467</v>
      </c>
      <c r="F416" s="272"/>
      <c r="G416" s="32" t="s">
        <v>434</v>
      </c>
      <c r="H416" s="32" t="s">
        <v>334</v>
      </c>
      <c r="I416" s="2">
        <f t="shared" si="12"/>
        <v>45467</v>
      </c>
      <c r="J416" s="42" t="str">
        <f t="shared" si="13"/>
        <v>13311</v>
      </c>
    </row>
    <row r="417" spans="1:10">
      <c r="A417" s="30">
        <v>46229</v>
      </c>
      <c r="B417" s="31" t="s">
        <v>471</v>
      </c>
      <c r="C417" s="32" t="s">
        <v>252</v>
      </c>
      <c r="D417" s="19" t="s">
        <v>2228</v>
      </c>
      <c r="E417" s="275">
        <v>61267</v>
      </c>
      <c r="F417" s="272"/>
      <c r="G417" s="32" t="s">
        <v>434</v>
      </c>
      <c r="H417" s="32" t="s">
        <v>334</v>
      </c>
      <c r="I417" s="2">
        <f t="shared" si="12"/>
        <v>61267</v>
      </c>
      <c r="J417" s="42" t="str">
        <f t="shared" si="13"/>
        <v>13311</v>
      </c>
    </row>
    <row r="418" spans="1:10">
      <c r="A418" s="30">
        <v>46229</v>
      </c>
      <c r="B418" s="31" t="s">
        <v>471</v>
      </c>
      <c r="C418" s="32" t="s">
        <v>252</v>
      </c>
      <c r="D418" s="19" t="s">
        <v>2228</v>
      </c>
      <c r="E418" s="275">
        <v>85773</v>
      </c>
      <c r="F418" s="272"/>
      <c r="G418" s="32" t="s">
        <v>434</v>
      </c>
      <c r="H418" s="32" t="s">
        <v>334</v>
      </c>
      <c r="I418" s="2">
        <f t="shared" si="12"/>
        <v>85773</v>
      </c>
      <c r="J418" s="42" t="str">
        <f t="shared" si="13"/>
        <v>13311</v>
      </c>
    </row>
    <row r="419" spans="1:10">
      <c r="A419" s="30">
        <v>46229</v>
      </c>
      <c r="B419" s="31" t="s">
        <v>471</v>
      </c>
      <c r="C419" s="32" t="s">
        <v>252</v>
      </c>
      <c r="D419" s="19" t="s">
        <v>2228</v>
      </c>
      <c r="E419" s="275">
        <v>102111</v>
      </c>
      <c r="F419" s="272"/>
      <c r="G419" s="32" t="s">
        <v>434</v>
      </c>
      <c r="H419" s="32" t="s">
        <v>334</v>
      </c>
      <c r="I419" s="2">
        <f t="shared" si="12"/>
        <v>102111</v>
      </c>
      <c r="J419" s="42" t="str">
        <f t="shared" si="13"/>
        <v>13311</v>
      </c>
    </row>
    <row r="420" spans="1:10">
      <c r="A420" s="30">
        <v>46229</v>
      </c>
      <c r="B420" s="31" t="s">
        <v>471</v>
      </c>
      <c r="C420" s="32" t="s">
        <v>252</v>
      </c>
      <c r="D420" s="19" t="s">
        <v>2228</v>
      </c>
      <c r="E420" s="275">
        <v>53044</v>
      </c>
      <c r="F420" s="272"/>
      <c r="G420" s="32" t="s">
        <v>434</v>
      </c>
      <c r="H420" s="32" t="s">
        <v>334</v>
      </c>
      <c r="I420" s="2">
        <f t="shared" si="12"/>
        <v>53044</v>
      </c>
      <c r="J420" s="42" t="str">
        <f t="shared" si="13"/>
        <v>13311</v>
      </c>
    </row>
    <row r="421" spans="1:10">
      <c r="A421" s="30">
        <v>46229</v>
      </c>
      <c r="B421" s="31" t="s">
        <v>471</v>
      </c>
      <c r="C421" s="32" t="s">
        <v>252</v>
      </c>
      <c r="D421" s="19" t="s">
        <v>2228</v>
      </c>
      <c r="E421" s="275">
        <v>142956</v>
      </c>
      <c r="F421" s="272"/>
      <c r="G421" s="32" t="s">
        <v>434</v>
      </c>
      <c r="H421" s="32" t="s">
        <v>334</v>
      </c>
      <c r="I421" s="2">
        <f t="shared" si="12"/>
        <v>142956</v>
      </c>
      <c r="J421" s="42" t="str">
        <f t="shared" si="13"/>
        <v>13311</v>
      </c>
    </row>
    <row r="422" spans="1:10">
      <c r="A422" s="30">
        <v>46229</v>
      </c>
      <c r="B422" s="31" t="s">
        <v>471</v>
      </c>
      <c r="C422" s="32" t="s">
        <v>252</v>
      </c>
      <c r="D422" s="19" t="s">
        <v>2228</v>
      </c>
      <c r="E422" s="275">
        <v>54560</v>
      </c>
      <c r="F422" s="272"/>
      <c r="G422" s="32" t="s">
        <v>434</v>
      </c>
      <c r="H422" s="32" t="s">
        <v>334</v>
      </c>
      <c r="I422" s="2">
        <f t="shared" si="12"/>
        <v>54560</v>
      </c>
      <c r="J422" s="42" t="str">
        <f t="shared" si="13"/>
        <v>13311</v>
      </c>
    </row>
    <row r="423" spans="1:10">
      <c r="A423" s="30">
        <v>46229</v>
      </c>
      <c r="B423" s="31" t="s">
        <v>471</v>
      </c>
      <c r="C423" s="32" t="s">
        <v>252</v>
      </c>
      <c r="D423" s="19" t="s">
        <v>2228</v>
      </c>
      <c r="E423" s="275">
        <v>91219</v>
      </c>
      <c r="F423" s="272"/>
      <c r="G423" s="32" t="s">
        <v>434</v>
      </c>
      <c r="H423" s="32" t="s">
        <v>334</v>
      </c>
      <c r="I423" s="2">
        <f t="shared" si="12"/>
        <v>91219</v>
      </c>
      <c r="J423" s="42" t="str">
        <f t="shared" si="13"/>
        <v>13311</v>
      </c>
    </row>
    <row r="424" spans="1:10">
      <c r="A424" s="30">
        <v>46229</v>
      </c>
      <c r="B424" s="31" t="s">
        <v>471</v>
      </c>
      <c r="C424" s="32" t="s">
        <v>252</v>
      </c>
      <c r="D424" s="19" t="s">
        <v>2228</v>
      </c>
      <c r="E424" s="275">
        <v>113003</v>
      </c>
      <c r="F424" s="272"/>
      <c r="G424" s="32" t="s">
        <v>434</v>
      </c>
      <c r="H424" s="32" t="s">
        <v>334</v>
      </c>
      <c r="I424" s="2">
        <f t="shared" si="12"/>
        <v>113003</v>
      </c>
      <c r="J424" s="42" t="str">
        <f t="shared" si="13"/>
        <v>13311</v>
      </c>
    </row>
    <row r="425" spans="1:10">
      <c r="A425" s="30">
        <v>46229</v>
      </c>
      <c r="B425" s="31" t="s">
        <v>471</v>
      </c>
      <c r="C425" s="32" t="s">
        <v>252</v>
      </c>
      <c r="D425" s="19" t="s">
        <v>2228</v>
      </c>
      <c r="E425" s="275">
        <v>34858</v>
      </c>
      <c r="F425" s="272"/>
      <c r="G425" s="32" t="s">
        <v>434</v>
      </c>
      <c r="H425" s="32" t="s">
        <v>334</v>
      </c>
      <c r="I425" s="2">
        <f t="shared" si="12"/>
        <v>34858</v>
      </c>
      <c r="J425" s="42" t="str">
        <f t="shared" si="13"/>
        <v>13311</v>
      </c>
    </row>
    <row r="426" spans="1:10">
      <c r="A426" s="30">
        <v>46229</v>
      </c>
      <c r="B426" s="31" t="s">
        <v>471</v>
      </c>
      <c r="C426" s="32" t="s">
        <v>252</v>
      </c>
      <c r="D426" s="19" t="s">
        <v>2228</v>
      </c>
      <c r="E426" s="275">
        <v>130338</v>
      </c>
      <c r="F426" s="272"/>
      <c r="G426" s="32" t="s">
        <v>434</v>
      </c>
      <c r="H426" s="32" t="s">
        <v>334</v>
      </c>
      <c r="I426" s="2">
        <f t="shared" si="12"/>
        <v>130338</v>
      </c>
      <c r="J426" s="42" t="str">
        <f t="shared" si="13"/>
        <v>13311</v>
      </c>
    </row>
    <row r="427" spans="1:10">
      <c r="A427" s="30">
        <v>46229</v>
      </c>
      <c r="B427" s="31" t="s">
        <v>471</v>
      </c>
      <c r="C427" s="32" t="s">
        <v>252</v>
      </c>
      <c r="D427" s="19" t="s">
        <v>2228</v>
      </c>
      <c r="E427" s="275">
        <v>57591</v>
      </c>
      <c r="F427" s="272"/>
      <c r="G427" s="32" t="s">
        <v>434</v>
      </c>
      <c r="H427" s="32" t="s">
        <v>334</v>
      </c>
      <c r="I427" s="2">
        <f t="shared" si="12"/>
        <v>57591</v>
      </c>
      <c r="J427" s="42" t="str">
        <f t="shared" si="13"/>
        <v>13311</v>
      </c>
    </row>
    <row r="428" spans="1:10">
      <c r="A428" s="30">
        <v>46229</v>
      </c>
      <c r="B428" s="31" t="s">
        <v>471</v>
      </c>
      <c r="C428" s="32" t="s">
        <v>252</v>
      </c>
      <c r="D428" s="19" t="s">
        <v>2228</v>
      </c>
      <c r="E428" s="275">
        <v>159133</v>
      </c>
      <c r="F428" s="272"/>
      <c r="G428" s="32" t="s">
        <v>434</v>
      </c>
      <c r="H428" s="32" t="s">
        <v>334</v>
      </c>
      <c r="I428" s="2">
        <f t="shared" si="12"/>
        <v>159133</v>
      </c>
      <c r="J428" s="42" t="str">
        <f t="shared" si="13"/>
        <v>13311</v>
      </c>
    </row>
    <row r="429" spans="1:10">
      <c r="A429" s="30">
        <v>46229</v>
      </c>
      <c r="B429" s="31" t="s">
        <v>471</v>
      </c>
      <c r="C429" s="32" t="s">
        <v>252</v>
      </c>
      <c r="D429" s="19" t="s">
        <v>2228</v>
      </c>
      <c r="E429" s="275">
        <v>144279</v>
      </c>
      <c r="F429" s="272"/>
      <c r="G429" s="32" t="s">
        <v>434</v>
      </c>
      <c r="H429" s="32" t="s">
        <v>334</v>
      </c>
      <c r="I429" s="2">
        <f t="shared" si="12"/>
        <v>144279</v>
      </c>
      <c r="J429" s="42" t="str">
        <f t="shared" si="13"/>
        <v>13311</v>
      </c>
    </row>
    <row r="430" spans="1:10">
      <c r="A430" s="30">
        <v>46229</v>
      </c>
      <c r="B430" s="31" t="s">
        <v>471</v>
      </c>
      <c r="C430" s="32" t="s">
        <v>252</v>
      </c>
      <c r="D430" s="19" t="s">
        <v>2228</v>
      </c>
      <c r="E430" s="275">
        <v>51529</v>
      </c>
      <c r="F430" s="272"/>
      <c r="G430" s="32" t="s">
        <v>434</v>
      </c>
      <c r="H430" s="32" t="s">
        <v>334</v>
      </c>
      <c r="I430" s="2">
        <f t="shared" si="12"/>
        <v>51529</v>
      </c>
      <c r="J430" s="42" t="str">
        <f t="shared" si="13"/>
        <v>13311</v>
      </c>
    </row>
    <row r="431" spans="1:10">
      <c r="A431" s="30">
        <v>46229</v>
      </c>
      <c r="B431" s="31" t="s">
        <v>471</v>
      </c>
      <c r="C431" s="32" t="s">
        <v>252</v>
      </c>
      <c r="D431" s="19" t="s">
        <v>2228</v>
      </c>
      <c r="E431" s="275">
        <v>69716</v>
      </c>
      <c r="F431" s="272"/>
      <c r="G431" s="32" t="s">
        <v>434</v>
      </c>
      <c r="H431" s="32" t="s">
        <v>334</v>
      </c>
      <c r="I431" s="2">
        <f t="shared" si="12"/>
        <v>69716</v>
      </c>
      <c r="J431" s="42" t="str">
        <f t="shared" si="13"/>
        <v>13311</v>
      </c>
    </row>
    <row r="432" spans="1:10">
      <c r="A432" s="30">
        <v>46229</v>
      </c>
      <c r="B432" s="31" t="s">
        <v>471</v>
      </c>
      <c r="C432" s="32" t="s">
        <v>252</v>
      </c>
      <c r="D432" s="19" t="s">
        <v>2228</v>
      </c>
      <c r="E432" s="275">
        <v>63653</v>
      </c>
      <c r="F432" s="272"/>
      <c r="G432" s="32" t="s">
        <v>434</v>
      </c>
      <c r="H432" s="32" t="s">
        <v>334</v>
      </c>
      <c r="I432" s="2">
        <f t="shared" si="12"/>
        <v>63653</v>
      </c>
      <c r="J432" s="42" t="str">
        <f t="shared" si="13"/>
        <v>13311</v>
      </c>
    </row>
    <row r="433" spans="1:10">
      <c r="A433" s="30">
        <v>46229</v>
      </c>
      <c r="B433" s="31" t="s">
        <v>471</v>
      </c>
      <c r="C433" s="32" t="s">
        <v>252</v>
      </c>
      <c r="D433" s="19" t="s">
        <v>2228</v>
      </c>
      <c r="E433" s="275">
        <v>60622</v>
      </c>
      <c r="F433" s="272"/>
      <c r="G433" s="32" t="s">
        <v>434</v>
      </c>
      <c r="H433" s="32" t="s">
        <v>334</v>
      </c>
      <c r="I433" s="2">
        <f t="shared" si="12"/>
        <v>60622</v>
      </c>
      <c r="J433" s="42" t="str">
        <f t="shared" si="13"/>
        <v>13311</v>
      </c>
    </row>
    <row r="434" spans="1:10">
      <c r="A434" s="30">
        <v>46229</v>
      </c>
      <c r="B434" s="31" t="s">
        <v>471</v>
      </c>
      <c r="C434" s="32" t="s">
        <v>252</v>
      </c>
      <c r="D434" s="19" t="s">
        <v>2228</v>
      </c>
      <c r="E434" s="275">
        <v>83050</v>
      </c>
      <c r="F434" s="272"/>
      <c r="G434" s="32" t="s">
        <v>434</v>
      </c>
      <c r="H434" s="32" t="s">
        <v>334</v>
      </c>
      <c r="I434" s="2">
        <f t="shared" si="12"/>
        <v>83050</v>
      </c>
      <c r="J434" s="42" t="str">
        <f t="shared" si="13"/>
        <v>13311</v>
      </c>
    </row>
    <row r="435" spans="1:10">
      <c r="A435" s="30">
        <v>46229</v>
      </c>
      <c r="B435" s="31" t="s">
        <v>471</v>
      </c>
      <c r="C435" s="32" t="s">
        <v>252</v>
      </c>
      <c r="D435" s="19" t="s">
        <v>2228</v>
      </c>
      <c r="E435" s="275">
        <v>93942</v>
      </c>
      <c r="F435" s="272"/>
      <c r="G435" s="32" t="s">
        <v>434</v>
      </c>
      <c r="H435" s="32" t="s">
        <v>334</v>
      </c>
      <c r="I435" s="2">
        <f t="shared" si="12"/>
        <v>93942</v>
      </c>
      <c r="J435" s="42" t="str">
        <f t="shared" si="13"/>
        <v>13311</v>
      </c>
    </row>
    <row r="436" spans="1:10">
      <c r="A436" s="30">
        <v>46229</v>
      </c>
      <c r="B436" s="31" t="s">
        <v>471</v>
      </c>
      <c r="C436" s="32" t="s">
        <v>252</v>
      </c>
      <c r="D436" s="19" t="s">
        <v>2228</v>
      </c>
      <c r="E436" s="275">
        <v>53044</v>
      </c>
      <c r="F436" s="272"/>
      <c r="G436" s="32" t="s">
        <v>434</v>
      </c>
      <c r="H436" s="32" t="s">
        <v>334</v>
      </c>
      <c r="I436" s="2">
        <f t="shared" si="12"/>
        <v>53044</v>
      </c>
      <c r="J436" s="42" t="str">
        <f t="shared" si="13"/>
        <v>13311</v>
      </c>
    </row>
    <row r="437" spans="1:10">
      <c r="A437" s="30">
        <v>46229</v>
      </c>
      <c r="B437" s="31" t="s">
        <v>471</v>
      </c>
      <c r="C437" s="32" t="s">
        <v>252</v>
      </c>
      <c r="D437" s="19" t="s">
        <v>2228</v>
      </c>
      <c r="E437" s="275">
        <v>40920</v>
      </c>
      <c r="F437" s="272"/>
      <c r="G437" s="32" t="s">
        <v>434</v>
      </c>
      <c r="H437" s="32" t="s">
        <v>334</v>
      </c>
      <c r="I437" s="2">
        <f t="shared" si="12"/>
        <v>40920</v>
      </c>
      <c r="J437" s="42" t="str">
        <f t="shared" si="13"/>
        <v>13311</v>
      </c>
    </row>
    <row r="438" spans="1:10">
      <c r="A438" s="30">
        <v>46229</v>
      </c>
      <c r="B438" s="31" t="s">
        <v>471</v>
      </c>
      <c r="C438" s="32" t="s">
        <v>252</v>
      </c>
      <c r="D438" s="19" t="s">
        <v>2228</v>
      </c>
      <c r="E438" s="275">
        <v>126430</v>
      </c>
      <c r="F438" s="272"/>
      <c r="G438" s="32" t="s">
        <v>434</v>
      </c>
      <c r="H438" s="32" t="s">
        <v>334</v>
      </c>
      <c r="I438" s="2">
        <f t="shared" si="12"/>
        <v>126430</v>
      </c>
      <c r="J438" s="42" t="str">
        <f t="shared" si="13"/>
        <v>13311</v>
      </c>
    </row>
    <row r="439" spans="1:10">
      <c r="A439" s="30">
        <v>46229</v>
      </c>
      <c r="B439" s="31" t="s">
        <v>471</v>
      </c>
      <c r="C439" s="32" t="s">
        <v>252</v>
      </c>
      <c r="D439" s="19" t="s">
        <v>2228</v>
      </c>
      <c r="E439" s="275">
        <v>66933</v>
      </c>
      <c r="F439" s="272"/>
      <c r="G439" s="32" t="s">
        <v>434</v>
      </c>
      <c r="H439" s="32" t="s">
        <v>334</v>
      </c>
      <c r="I439" s="2">
        <f t="shared" si="12"/>
        <v>66933</v>
      </c>
      <c r="J439" s="42" t="str">
        <f t="shared" si="13"/>
        <v>13311</v>
      </c>
    </row>
    <row r="440" spans="1:10">
      <c r="A440" s="30">
        <v>46229</v>
      </c>
      <c r="B440" s="31" t="s">
        <v>471</v>
      </c>
      <c r="C440" s="32" t="s">
        <v>252</v>
      </c>
      <c r="D440" s="19" t="s">
        <v>2228</v>
      </c>
      <c r="E440" s="275">
        <v>49084</v>
      </c>
      <c r="F440" s="272"/>
      <c r="G440" s="32" t="s">
        <v>434</v>
      </c>
      <c r="H440" s="32" t="s">
        <v>334</v>
      </c>
      <c r="I440" s="2">
        <f t="shared" si="12"/>
        <v>49084</v>
      </c>
      <c r="J440" s="42" t="str">
        <f t="shared" si="13"/>
        <v>13311</v>
      </c>
    </row>
    <row r="441" spans="1:10">
      <c r="A441" s="30">
        <v>46229</v>
      </c>
      <c r="B441" s="31" t="s">
        <v>471</v>
      </c>
      <c r="C441" s="32" t="s">
        <v>252</v>
      </c>
      <c r="D441" s="19" t="s">
        <v>2228</v>
      </c>
      <c r="E441" s="275">
        <v>72600</v>
      </c>
      <c r="F441" s="272"/>
      <c r="G441" s="32" t="s">
        <v>434</v>
      </c>
      <c r="H441" s="32" t="s">
        <v>334</v>
      </c>
      <c r="I441" s="2">
        <f t="shared" si="12"/>
        <v>72600</v>
      </c>
      <c r="J441" s="42" t="str">
        <f t="shared" si="13"/>
        <v>13311</v>
      </c>
    </row>
    <row r="442" spans="1:10">
      <c r="A442" s="30">
        <v>46229</v>
      </c>
      <c r="B442" s="31" t="s">
        <v>471</v>
      </c>
      <c r="C442" s="32" t="s">
        <v>252</v>
      </c>
      <c r="D442" s="19" t="s">
        <v>2228</v>
      </c>
      <c r="E442" s="275">
        <v>123455</v>
      </c>
      <c r="F442" s="272"/>
      <c r="G442" s="32" t="s">
        <v>434</v>
      </c>
      <c r="H442" s="32" t="s">
        <v>334</v>
      </c>
      <c r="I442" s="2">
        <f t="shared" si="12"/>
        <v>123455</v>
      </c>
      <c r="J442" s="42" t="str">
        <f t="shared" si="13"/>
        <v>13311</v>
      </c>
    </row>
    <row r="443" spans="1:10">
      <c r="A443" s="30">
        <v>46229</v>
      </c>
      <c r="B443" s="31" t="s">
        <v>471</v>
      </c>
      <c r="C443" s="32" t="s">
        <v>252</v>
      </c>
      <c r="D443" s="19" t="s">
        <v>2228</v>
      </c>
      <c r="E443" s="275">
        <v>147889</v>
      </c>
      <c r="F443" s="272"/>
      <c r="G443" s="32" t="s">
        <v>434</v>
      </c>
      <c r="H443" s="32" t="s">
        <v>334</v>
      </c>
      <c r="I443" s="2">
        <f t="shared" si="12"/>
        <v>147889</v>
      </c>
      <c r="J443" s="42" t="str">
        <f t="shared" si="13"/>
        <v>13311</v>
      </c>
    </row>
    <row r="444" spans="1:10">
      <c r="A444" s="30">
        <v>46229</v>
      </c>
      <c r="B444" s="31" t="s">
        <v>471</v>
      </c>
      <c r="C444" s="32" t="s">
        <v>252</v>
      </c>
      <c r="D444" s="19" t="s">
        <v>2228</v>
      </c>
      <c r="E444" s="275">
        <v>87389</v>
      </c>
      <c r="F444" s="272"/>
      <c r="G444" s="32" t="s">
        <v>434</v>
      </c>
      <c r="H444" s="32" t="s">
        <v>334</v>
      </c>
      <c r="I444" s="2">
        <f t="shared" si="12"/>
        <v>87389</v>
      </c>
      <c r="J444" s="42" t="str">
        <f t="shared" si="13"/>
        <v>13311</v>
      </c>
    </row>
    <row r="445" spans="1:10">
      <c r="A445" s="30">
        <v>46229</v>
      </c>
      <c r="B445" s="31" t="s">
        <v>471</v>
      </c>
      <c r="C445" s="32" t="s">
        <v>252</v>
      </c>
      <c r="D445" s="19" t="s">
        <v>2228</v>
      </c>
      <c r="E445" s="275">
        <v>96800</v>
      </c>
      <c r="F445" s="272"/>
      <c r="G445" s="32" t="s">
        <v>434</v>
      </c>
      <c r="H445" s="32" t="s">
        <v>334</v>
      </c>
      <c r="I445" s="2">
        <f t="shared" si="12"/>
        <v>96800</v>
      </c>
      <c r="J445" s="42" t="str">
        <f t="shared" si="13"/>
        <v>13311</v>
      </c>
    </row>
    <row r="446" spans="1:10">
      <c r="A446" s="30">
        <v>46229</v>
      </c>
      <c r="B446" s="31" t="s">
        <v>471</v>
      </c>
      <c r="C446" s="32" t="s">
        <v>252</v>
      </c>
      <c r="D446" s="19" t="s">
        <v>2228</v>
      </c>
      <c r="E446" s="275">
        <v>72883</v>
      </c>
      <c r="F446" s="272"/>
      <c r="G446" s="32" t="s">
        <v>434</v>
      </c>
      <c r="H446" s="32" t="s">
        <v>334</v>
      </c>
      <c r="I446" s="2">
        <f t="shared" si="12"/>
        <v>72883</v>
      </c>
      <c r="J446" s="42" t="str">
        <f t="shared" si="13"/>
        <v>13311</v>
      </c>
    </row>
    <row r="447" spans="1:10">
      <c r="A447" s="30">
        <v>46229</v>
      </c>
      <c r="B447" s="31" t="s">
        <v>471</v>
      </c>
      <c r="C447" s="32" t="s">
        <v>252</v>
      </c>
      <c r="D447" s="19" t="s">
        <v>2228</v>
      </c>
      <c r="E447" s="275">
        <v>31236</v>
      </c>
      <c r="F447" s="272"/>
      <c r="G447" s="32" t="s">
        <v>434</v>
      </c>
      <c r="H447" s="32" t="s">
        <v>334</v>
      </c>
      <c r="I447" s="2">
        <f t="shared" si="12"/>
        <v>31236</v>
      </c>
      <c r="J447" s="42" t="str">
        <f t="shared" si="13"/>
        <v>13311</v>
      </c>
    </row>
    <row r="448" spans="1:10">
      <c r="A448" s="30">
        <v>46229</v>
      </c>
      <c r="B448" s="31" t="s">
        <v>471</v>
      </c>
      <c r="C448" s="32" t="s">
        <v>252</v>
      </c>
      <c r="D448" s="19" t="s">
        <v>2228</v>
      </c>
      <c r="E448" s="275">
        <v>66933</v>
      </c>
      <c r="F448" s="272"/>
      <c r="G448" s="32" t="s">
        <v>434</v>
      </c>
      <c r="H448" s="32" t="s">
        <v>334</v>
      </c>
      <c r="I448" s="2">
        <f t="shared" si="12"/>
        <v>66933</v>
      </c>
      <c r="J448" s="42" t="str">
        <f t="shared" si="13"/>
        <v>13311</v>
      </c>
    </row>
    <row r="449" spans="1:10">
      <c r="A449" s="30">
        <v>46229</v>
      </c>
      <c r="B449" s="31" t="s">
        <v>471</v>
      </c>
      <c r="C449" s="32" t="s">
        <v>252</v>
      </c>
      <c r="D449" s="19" t="s">
        <v>2228</v>
      </c>
      <c r="E449" s="275">
        <v>59496</v>
      </c>
      <c r="F449" s="272"/>
      <c r="G449" s="32" t="s">
        <v>434</v>
      </c>
      <c r="H449" s="32" t="s">
        <v>334</v>
      </c>
      <c r="I449" s="2">
        <f t="shared" si="12"/>
        <v>59496</v>
      </c>
      <c r="J449" s="42" t="str">
        <f t="shared" si="13"/>
        <v>13311</v>
      </c>
    </row>
    <row r="450" spans="1:10">
      <c r="A450" s="30">
        <v>46229</v>
      </c>
      <c r="B450" s="31" t="s">
        <v>471</v>
      </c>
      <c r="C450" s="32" t="s">
        <v>252</v>
      </c>
      <c r="D450" s="19" t="s">
        <v>2228</v>
      </c>
      <c r="E450" s="275">
        <v>65446</v>
      </c>
      <c r="F450" s="272"/>
      <c r="G450" s="32" t="s">
        <v>434</v>
      </c>
      <c r="H450" s="32" t="s">
        <v>334</v>
      </c>
      <c r="I450" s="2">
        <f t="shared" si="12"/>
        <v>65446</v>
      </c>
      <c r="J450" s="42" t="str">
        <f t="shared" si="13"/>
        <v>13311</v>
      </c>
    </row>
    <row r="451" spans="1:10">
      <c r="A451" s="30">
        <v>46229</v>
      </c>
      <c r="B451" s="31" t="s">
        <v>471</v>
      </c>
      <c r="C451" s="32" t="s">
        <v>252</v>
      </c>
      <c r="D451" s="19" t="s">
        <v>2228</v>
      </c>
      <c r="E451" s="275">
        <v>81807</v>
      </c>
      <c r="F451" s="272"/>
      <c r="G451" s="32" t="s">
        <v>434</v>
      </c>
      <c r="H451" s="32" t="s">
        <v>334</v>
      </c>
      <c r="I451" s="2">
        <f t="shared" si="12"/>
        <v>81807</v>
      </c>
      <c r="J451" s="42" t="str">
        <f t="shared" si="13"/>
        <v>13311</v>
      </c>
    </row>
    <row r="452" spans="1:10">
      <c r="A452" s="30">
        <v>46229</v>
      </c>
      <c r="B452" s="31" t="s">
        <v>471</v>
      </c>
      <c r="C452" s="32" t="s">
        <v>252</v>
      </c>
      <c r="D452" s="19" t="s">
        <v>2228</v>
      </c>
      <c r="E452" s="275">
        <v>59496</v>
      </c>
      <c r="F452" s="272"/>
      <c r="G452" s="32" t="s">
        <v>434</v>
      </c>
      <c r="H452" s="32" t="s">
        <v>334</v>
      </c>
      <c r="I452" s="2">
        <f t="shared" si="12"/>
        <v>59496</v>
      </c>
      <c r="J452" s="42" t="str">
        <f t="shared" si="13"/>
        <v>13311</v>
      </c>
    </row>
    <row r="453" spans="1:10">
      <c r="A453" s="30">
        <v>46229</v>
      </c>
      <c r="B453" s="31" t="s">
        <v>471</v>
      </c>
      <c r="C453" s="32" t="s">
        <v>252</v>
      </c>
      <c r="D453" s="19" t="s">
        <v>2228</v>
      </c>
      <c r="E453" s="275">
        <v>121000</v>
      </c>
      <c r="F453" s="272"/>
      <c r="G453" s="32" t="s">
        <v>434</v>
      </c>
      <c r="H453" s="32" t="s">
        <v>334</v>
      </c>
      <c r="I453" s="2">
        <f t="shared" si="12"/>
        <v>121000</v>
      </c>
      <c r="J453" s="42" t="str">
        <f t="shared" si="13"/>
        <v>13311</v>
      </c>
    </row>
    <row r="454" spans="1:10">
      <c r="A454" s="30">
        <v>46229</v>
      </c>
      <c r="B454" s="31" t="s">
        <v>471</v>
      </c>
      <c r="C454" s="32" t="s">
        <v>252</v>
      </c>
      <c r="D454" s="19" t="s">
        <v>2228</v>
      </c>
      <c r="E454" s="275">
        <v>109000</v>
      </c>
      <c r="F454" s="272"/>
      <c r="G454" s="32" t="s">
        <v>434</v>
      </c>
      <c r="H454" s="32" t="s">
        <v>334</v>
      </c>
      <c r="I454" s="2">
        <f t="shared" si="12"/>
        <v>109000</v>
      </c>
      <c r="J454" s="42" t="str">
        <f t="shared" si="13"/>
        <v>13311</v>
      </c>
    </row>
    <row r="455" spans="1:10">
      <c r="A455" s="30">
        <v>46229</v>
      </c>
      <c r="B455" s="31" t="s">
        <v>471</v>
      </c>
      <c r="C455" s="32" t="s">
        <v>252</v>
      </c>
      <c r="D455" s="19" t="s">
        <v>2228</v>
      </c>
      <c r="E455" s="275">
        <v>65400</v>
      </c>
      <c r="F455" s="272"/>
      <c r="G455" s="32" t="s">
        <v>434</v>
      </c>
      <c r="H455" s="32" t="s">
        <v>334</v>
      </c>
      <c r="I455" s="2">
        <f t="shared" si="12"/>
        <v>65400</v>
      </c>
      <c r="J455" s="42" t="str">
        <f t="shared" si="13"/>
        <v>13311</v>
      </c>
    </row>
    <row r="456" spans="1:10">
      <c r="A456" s="30">
        <v>46229</v>
      </c>
      <c r="B456" s="31" t="s">
        <v>471</v>
      </c>
      <c r="C456" s="32" t="s">
        <v>252</v>
      </c>
      <c r="D456" s="19" t="s">
        <v>2228</v>
      </c>
      <c r="E456" s="275">
        <v>43600</v>
      </c>
      <c r="F456" s="272"/>
      <c r="G456" s="32" t="s">
        <v>434</v>
      </c>
      <c r="H456" s="32" t="s">
        <v>334</v>
      </c>
      <c r="I456" s="2">
        <f t="shared" si="12"/>
        <v>43600</v>
      </c>
      <c r="J456" s="42" t="str">
        <f t="shared" si="13"/>
        <v>13311</v>
      </c>
    </row>
    <row r="457" spans="1:10">
      <c r="A457" s="30">
        <v>46229</v>
      </c>
      <c r="B457" s="31" t="s">
        <v>471</v>
      </c>
      <c r="C457" s="32" t="s">
        <v>252</v>
      </c>
      <c r="D457" s="19" t="s">
        <v>2228</v>
      </c>
      <c r="E457" s="275">
        <v>58133</v>
      </c>
      <c r="F457" s="272"/>
      <c r="G457" s="32" t="s">
        <v>434</v>
      </c>
      <c r="H457" s="32" t="s">
        <v>334</v>
      </c>
      <c r="I457" s="2">
        <f t="shared" si="12"/>
        <v>58133</v>
      </c>
      <c r="J457" s="42" t="str">
        <f t="shared" si="13"/>
        <v>13311</v>
      </c>
    </row>
    <row r="458" spans="1:10">
      <c r="A458" s="30">
        <v>46229</v>
      </c>
      <c r="B458" s="31" t="s">
        <v>471</v>
      </c>
      <c r="C458" s="32" t="s">
        <v>252</v>
      </c>
      <c r="D458" s="19" t="s">
        <v>2228</v>
      </c>
      <c r="E458" s="275">
        <v>65998</v>
      </c>
      <c r="F458" s="272"/>
      <c r="G458" s="32" t="s">
        <v>434</v>
      </c>
      <c r="H458" s="32" t="s">
        <v>334</v>
      </c>
      <c r="I458" s="2">
        <f t="shared" si="12"/>
        <v>65998</v>
      </c>
      <c r="J458" s="42" t="str">
        <f t="shared" si="13"/>
        <v>13311</v>
      </c>
    </row>
    <row r="459" spans="1:10">
      <c r="A459" s="30">
        <v>46229</v>
      </c>
      <c r="B459" s="31" t="s">
        <v>471</v>
      </c>
      <c r="C459" s="32" t="s">
        <v>252</v>
      </c>
      <c r="D459" s="19" t="s">
        <v>2228</v>
      </c>
      <c r="E459" s="275">
        <v>86044</v>
      </c>
      <c r="F459" s="272"/>
      <c r="G459" s="32" t="s">
        <v>434</v>
      </c>
      <c r="H459" s="32" t="s">
        <v>334</v>
      </c>
      <c r="I459" s="2">
        <f t="shared" ref="I459:I522" si="14">IF(LEN(A459)=5,E459,0)</f>
        <v>86044</v>
      </c>
      <c r="J459" s="42" t="str">
        <f t="shared" ref="J459:J522" si="15">IF(LEFT(A459,11)="Tài khoản: ",MID(A459,12,5),J458)</f>
        <v>13311</v>
      </c>
    </row>
    <row r="460" spans="1:10">
      <c r="A460" s="30">
        <v>46229</v>
      </c>
      <c r="B460" s="31" t="s">
        <v>471</v>
      </c>
      <c r="C460" s="32" t="s">
        <v>252</v>
      </c>
      <c r="D460" s="19" t="s">
        <v>2228</v>
      </c>
      <c r="E460" s="275">
        <v>106211</v>
      </c>
      <c r="F460" s="272"/>
      <c r="G460" s="32" t="s">
        <v>434</v>
      </c>
      <c r="H460" s="32" t="s">
        <v>334</v>
      </c>
      <c r="I460" s="2">
        <f t="shared" si="14"/>
        <v>106211</v>
      </c>
      <c r="J460" s="42" t="str">
        <f t="shared" si="15"/>
        <v>13311</v>
      </c>
    </row>
    <row r="461" spans="1:10">
      <c r="A461" s="30">
        <v>46229</v>
      </c>
      <c r="B461" s="31" t="s">
        <v>471</v>
      </c>
      <c r="C461" s="32" t="s">
        <v>252</v>
      </c>
      <c r="D461" s="19" t="s">
        <v>2228</v>
      </c>
      <c r="E461" s="275">
        <v>43135</v>
      </c>
      <c r="F461" s="272"/>
      <c r="G461" s="32" t="s">
        <v>434</v>
      </c>
      <c r="H461" s="32" t="s">
        <v>334</v>
      </c>
      <c r="I461" s="2">
        <f t="shared" si="14"/>
        <v>43135</v>
      </c>
      <c r="J461" s="42" t="str">
        <f t="shared" si="15"/>
        <v>13311</v>
      </c>
    </row>
    <row r="462" spans="1:10">
      <c r="A462" s="30">
        <v>46229</v>
      </c>
      <c r="B462" s="31" t="s">
        <v>471</v>
      </c>
      <c r="C462" s="32" t="s">
        <v>252</v>
      </c>
      <c r="D462" s="19" t="s">
        <v>2228</v>
      </c>
      <c r="E462" s="275">
        <v>40160</v>
      </c>
      <c r="F462" s="272"/>
      <c r="G462" s="32" t="s">
        <v>434</v>
      </c>
      <c r="H462" s="32" t="s">
        <v>334</v>
      </c>
      <c r="I462" s="2">
        <f t="shared" si="14"/>
        <v>40160</v>
      </c>
      <c r="J462" s="42" t="str">
        <f t="shared" si="15"/>
        <v>13311</v>
      </c>
    </row>
    <row r="463" spans="1:10">
      <c r="A463" s="30">
        <v>46229</v>
      </c>
      <c r="B463" s="31" t="s">
        <v>471</v>
      </c>
      <c r="C463" s="32" t="s">
        <v>252</v>
      </c>
      <c r="D463" s="19" t="s">
        <v>2228</v>
      </c>
      <c r="E463" s="275">
        <v>116267</v>
      </c>
      <c r="F463" s="272"/>
      <c r="G463" s="32" t="s">
        <v>434</v>
      </c>
      <c r="H463" s="32" t="s">
        <v>334</v>
      </c>
      <c r="I463" s="2">
        <f t="shared" si="14"/>
        <v>116267</v>
      </c>
      <c r="J463" s="42" t="str">
        <f t="shared" si="15"/>
        <v>13311</v>
      </c>
    </row>
    <row r="464" spans="1:10">
      <c r="A464" s="30">
        <v>46229</v>
      </c>
      <c r="B464" s="31" t="s">
        <v>471</v>
      </c>
      <c r="C464" s="32" t="s">
        <v>252</v>
      </c>
      <c r="D464" s="19" t="s">
        <v>2228</v>
      </c>
      <c r="E464" s="275">
        <v>72667</v>
      </c>
      <c r="F464" s="272"/>
      <c r="G464" s="32" t="s">
        <v>434</v>
      </c>
      <c r="H464" s="32" t="s">
        <v>334</v>
      </c>
      <c r="I464" s="2">
        <f t="shared" si="14"/>
        <v>72667</v>
      </c>
      <c r="J464" s="42" t="str">
        <f t="shared" si="15"/>
        <v>13311</v>
      </c>
    </row>
    <row r="465" spans="1:10">
      <c r="A465" s="30">
        <v>46229</v>
      </c>
      <c r="B465" s="31" t="s">
        <v>471</v>
      </c>
      <c r="C465" s="32" t="s">
        <v>252</v>
      </c>
      <c r="D465" s="19" t="s">
        <v>2228</v>
      </c>
      <c r="E465" s="275">
        <v>58133</v>
      </c>
      <c r="F465" s="272"/>
      <c r="G465" s="32" t="s">
        <v>434</v>
      </c>
      <c r="H465" s="32" t="s">
        <v>334</v>
      </c>
      <c r="I465" s="2">
        <f t="shared" si="14"/>
        <v>58133</v>
      </c>
      <c r="J465" s="42" t="str">
        <f t="shared" si="15"/>
        <v>13311</v>
      </c>
    </row>
    <row r="466" spans="1:10">
      <c r="A466" s="30">
        <v>46229</v>
      </c>
      <c r="B466" s="31" t="s">
        <v>471</v>
      </c>
      <c r="C466" s="32" t="s">
        <v>252</v>
      </c>
      <c r="D466" s="19" t="s">
        <v>2228</v>
      </c>
      <c r="E466" s="275">
        <v>65400</v>
      </c>
      <c r="F466" s="272"/>
      <c r="G466" s="32" t="s">
        <v>434</v>
      </c>
      <c r="H466" s="32" t="s">
        <v>334</v>
      </c>
      <c r="I466" s="2">
        <f t="shared" si="14"/>
        <v>65400</v>
      </c>
      <c r="J466" s="42" t="str">
        <f t="shared" si="15"/>
        <v>13311</v>
      </c>
    </row>
    <row r="467" spans="1:10">
      <c r="A467" s="30">
        <v>46229</v>
      </c>
      <c r="B467" s="31" t="s">
        <v>471</v>
      </c>
      <c r="C467" s="32" t="s">
        <v>252</v>
      </c>
      <c r="D467" s="19" t="s">
        <v>2228</v>
      </c>
      <c r="E467" s="275">
        <v>77027</v>
      </c>
      <c r="F467" s="272"/>
      <c r="G467" s="32" t="s">
        <v>434</v>
      </c>
      <c r="H467" s="32" t="s">
        <v>334</v>
      </c>
      <c r="I467" s="2">
        <f t="shared" si="14"/>
        <v>77027</v>
      </c>
      <c r="J467" s="42" t="str">
        <f t="shared" si="15"/>
        <v>13311</v>
      </c>
    </row>
    <row r="468" spans="1:10">
      <c r="A468" s="30">
        <v>46229</v>
      </c>
      <c r="B468" s="31" t="s">
        <v>471</v>
      </c>
      <c r="C468" s="32" t="s">
        <v>252</v>
      </c>
      <c r="D468" s="19" t="s">
        <v>2228</v>
      </c>
      <c r="E468" s="275">
        <v>111907</v>
      </c>
      <c r="F468" s="272"/>
      <c r="G468" s="32" t="s">
        <v>434</v>
      </c>
      <c r="H468" s="32" t="s">
        <v>334</v>
      </c>
      <c r="I468" s="2">
        <f t="shared" si="14"/>
        <v>111907</v>
      </c>
      <c r="J468" s="42" t="str">
        <f t="shared" si="15"/>
        <v>13311</v>
      </c>
    </row>
    <row r="469" spans="1:10">
      <c r="A469" s="30">
        <v>46229</v>
      </c>
      <c r="B469" s="31" t="s">
        <v>471</v>
      </c>
      <c r="C469" s="32" t="s">
        <v>252</v>
      </c>
      <c r="D469" s="19" t="s">
        <v>2228</v>
      </c>
      <c r="E469" s="275">
        <v>68307</v>
      </c>
      <c r="F469" s="272"/>
      <c r="G469" s="32" t="s">
        <v>434</v>
      </c>
      <c r="H469" s="32" t="s">
        <v>334</v>
      </c>
      <c r="I469" s="2">
        <f t="shared" si="14"/>
        <v>68307</v>
      </c>
      <c r="J469" s="42" t="str">
        <f t="shared" si="15"/>
        <v>13311</v>
      </c>
    </row>
    <row r="470" spans="1:10" ht="26.4" customHeight="1">
      <c r="A470" s="30">
        <v>46229</v>
      </c>
      <c r="B470" s="31" t="s">
        <v>471</v>
      </c>
      <c r="C470" s="32" t="s">
        <v>252</v>
      </c>
      <c r="D470" s="19" t="s">
        <v>2228</v>
      </c>
      <c r="E470" s="275">
        <v>55227</v>
      </c>
      <c r="F470" s="272"/>
      <c r="G470" s="32" t="s">
        <v>434</v>
      </c>
      <c r="H470" s="32" t="s">
        <v>334</v>
      </c>
      <c r="I470" s="2">
        <f t="shared" si="14"/>
        <v>55227</v>
      </c>
      <c r="J470" s="42" t="str">
        <f t="shared" si="15"/>
        <v>13311</v>
      </c>
    </row>
    <row r="471" spans="1:10">
      <c r="A471" s="30">
        <v>46229</v>
      </c>
      <c r="B471" s="31" t="s">
        <v>471</v>
      </c>
      <c r="C471" s="32" t="s">
        <v>252</v>
      </c>
      <c r="D471" s="19" t="s">
        <v>2228</v>
      </c>
      <c r="E471" s="275">
        <v>78480</v>
      </c>
      <c r="F471" s="272"/>
      <c r="G471" s="32" t="s">
        <v>434</v>
      </c>
      <c r="H471" s="32" t="s">
        <v>334</v>
      </c>
      <c r="I471" s="2">
        <f t="shared" si="14"/>
        <v>78480</v>
      </c>
      <c r="J471" s="42" t="str">
        <f t="shared" si="15"/>
        <v>13311</v>
      </c>
    </row>
    <row r="472" spans="1:10">
      <c r="A472" s="30">
        <v>46229</v>
      </c>
      <c r="B472" s="31" t="s">
        <v>471</v>
      </c>
      <c r="C472" s="32" t="s">
        <v>252</v>
      </c>
      <c r="D472" s="19" t="s">
        <v>2228</v>
      </c>
      <c r="E472" s="275">
        <v>56680</v>
      </c>
      <c r="F472" s="272"/>
      <c r="G472" s="32" t="s">
        <v>434</v>
      </c>
      <c r="H472" s="32" t="s">
        <v>334</v>
      </c>
      <c r="I472" s="2">
        <f t="shared" si="14"/>
        <v>56680</v>
      </c>
      <c r="J472" s="42" t="str">
        <f t="shared" si="15"/>
        <v>13311</v>
      </c>
    </row>
    <row r="473" spans="1:10">
      <c r="A473" s="30">
        <v>46230</v>
      </c>
      <c r="B473" s="31" t="s">
        <v>816</v>
      </c>
      <c r="C473" s="32" t="s">
        <v>252</v>
      </c>
      <c r="D473" s="19" t="s">
        <v>2246</v>
      </c>
      <c r="E473" s="275">
        <v>7555</v>
      </c>
      <c r="F473" s="272"/>
      <c r="G473" s="32" t="s">
        <v>434</v>
      </c>
      <c r="H473" s="32" t="s">
        <v>334</v>
      </c>
      <c r="I473" s="2">
        <f t="shared" si="14"/>
        <v>7555</v>
      </c>
      <c r="J473" s="42" t="str">
        <f t="shared" si="15"/>
        <v>13311</v>
      </c>
    </row>
    <row r="474" spans="1:10">
      <c r="A474" s="30">
        <v>46230</v>
      </c>
      <c r="B474" s="31" t="s">
        <v>816</v>
      </c>
      <c r="C474" s="32" t="s">
        <v>252</v>
      </c>
      <c r="D474" s="19" t="s">
        <v>2246</v>
      </c>
      <c r="E474" s="275">
        <v>2000</v>
      </c>
      <c r="F474" s="272"/>
      <c r="G474" s="32" t="s">
        <v>434</v>
      </c>
      <c r="H474" s="32" t="s">
        <v>334</v>
      </c>
      <c r="I474" s="2">
        <f t="shared" si="14"/>
        <v>2000</v>
      </c>
      <c r="J474" s="42" t="str">
        <f t="shared" si="15"/>
        <v>13311</v>
      </c>
    </row>
    <row r="475" spans="1:10">
      <c r="A475" s="30">
        <v>46230</v>
      </c>
      <c r="B475" s="31" t="s">
        <v>816</v>
      </c>
      <c r="C475" s="32" t="s">
        <v>252</v>
      </c>
      <c r="D475" s="19" t="s">
        <v>2246</v>
      </c>
      <c r="E475" s="275">
        <v>28455</v>
      </c>
      <c r="F475" s="272"/>
      <c r="G475" s="32" t="s">
        <v>434</v>
      </c>
      <c r="H475" s="32" t="s">
        <v>334</v>
      </c>
      <c r="I475" s="2">
        <f t="shared" si="14"/>
        <v>28455</v>
      </c>
      <c r="J475" s="42" t="str">
        <f t="shared" si="15"/>
        <v>13311</v>
      </c>
    </row>
    <row r="476" spans="1:10">
      <c r="A476" s="30">
        <v>46230</v>
      </c>
      <c r="B476" s="31" t="s">
        <v>816</v>
      </c>
      <c r="C476" s="32" t="s">
        <v>252</v>
      </c>
      <c r="D476" s="19" t="s">
        <v>2246</v>
      </c>
      <c r="E476" s="275">
        <v>3856</v>
      </c>
      <c r="F476" s="272"/>
      <c r="G476" s="32" t="s">
        <v>434</v>
      </c>
      <c r="H476" s="32" t="s">
        <v>334</v>
      </c>
      <c r="I476" s="2">
        <f t="shared" si="14"/>
        <v>3856</v>
      </c>
      <c r="J476" s="42" t="str">
        <f t="shared" si="15"/>
        <v>13311</v>
      </c>
    </row>
    <row r="477" spans="1:10">
      <c r="A477" s="30">
        <v>46230</v>
      </c>
      <c r="B477" s="31" t="s">
        <v>816</v>
      </c>
      <c r="C477" s="32" t="s">
        <v>252</v>
      </c>
      <c r="D477" s="19" t="s">
        <v>2246</v>
      </c>
      <c r="E477" s="275">
        <v>2000</v>
      </c>
      <c r="F477" s="272"/>
      <c r="G477" s="32" t="s">
        <v>434</v>
      </c>
      <c r="H477" s="32" t="s">
        <v>334</v>
      </c>
      <c r="I477" s="2">
        <f t="shared" si="14"/>
        <v>2000</v>
      </c>
      <c r="J477" s="42" t="str">
        <f t="shared" si="15"/>
        <v>13311</v>
      </c>
    </row>
    <row r="478" spans="1:10">
      <c r="A478" s="30">
        <v>46230</v>
      </c>
      <c r="B478" s="31" t="s">
        <v>816</v>
      </c>
      <c r="C478" s="32" t="s">
        <v>252</v>
      </c>
      <c r="D478" s="19" t="s">
        <v>2246</v>
      </c>
      <c r="E478" s="275">
        <v>2000</v>
      </c>
      <c r="F478" s="272"/>
      <c r="G478" s="32" t="s">
        <v>434</v>
      </c>
      <c r="H478" s="32" t="s">
        <v>334</v>
      </c>
      <c r="I478" s="2">
        <f t="shared" si="14"/>
        <v>2000</v>
      </c>
      <c r="J478" s="42" t="str">
        <f t="shared" si="15"/>
        <v>13311</v>
      </c>
    </row>
    <row r="479" spans="1:10">
      <c r="A479" s="30">
        <v>46230</v>
      </c>
      <c r="B479" s="31" t="s">
        <v>816</v>
      </c>
      <c r="C479" s="32" t="s">
        <v>252</v>
      </c>
      <c r="D479" s="19" t="s">
        <v>2246</v>
      </c>
      <c r="E479" s="275">
        <v>2000</v>
      </c>
      <c r="F479" s="272"/>
      <c r="G479" s="32" t="s">
        <v>434</v>
      </c>
      <c r="H479" s="32" t="s">
        <v>334</v>
      </c>
      <c r="I479" s="2">
        <f t="shared" si="14"/>
        <v>2000</v>
      </c>
      <c r="J479" s="42" t="str">
        <f t="shared" si="15"/>
        <v>13311</v>
      </c>
    </row>
    <row r="480" spans="1:10">
      <c r="A480" s="30">
        <v>46230</v>
      </c>
      <c r="B480" s="31" t="s">
        <v>816</v>
      </c>
      <c r="C480" s="32" t="s">
        <v>252</v>
      </c>
      <c r="D480" s="19" t="s">
        <v>2246</v>
      </c>
      <c r="E480" s="275">
        <v>27300</v>
      </c>
      <c r="F480" s="272"/>
      <c r="G480" s="32" t="s">
        <v>434</v>
      </c>
      <c r="H480" s="32" t="s">
        <v>334</v>
      </c>
      <c r="I480" s="2">
        <f t="shared" si="14"/>
        <v>27300</v>
      </c>
      <c r="J480" s="42" t="str">
        <f t="shared" si="15"/>
        <v>13311</v>
      </c>
    </row>
    <row r="481" spans="1:10">
      <c r="A481" s="30">
        <v>46230</v>
      </c>
      <c r="B481" s="31" t="s">
        <v>816</v>
      </c>
      <c r="C481" s="32" t="s">
        <v>252</v>
      </c>
      <c r="D481" s="19" t="s">
        <v>2246</v>
      </c>
      <c r="E481" s="275">
        <v>2000</v>
      </c>
      <c r="F481" s="272"/>
      <c r="G481" s="32" t="s">
        <v>434</v>
      </c>
      <c r="H481" s="32" t="s">
        <v>334</v>
      </c>
      <c r="I481" s="2">
        <f t="shared" si="14"/>
        <v>2000</v>
      </c>
      <c r="J481" s="42" t="str">
        <f t="shared" si="15"/>
        <v>13311</v>
      </c>
    </row>
    <row r="482" spans="1:10">
      <c r="A482" s="30">
        <v>46230</v>
      </c>
      <c r="B482" s="31" t="s">
        <v>816</v>
      </c>
      <c r="C482" s="32" t="s">
        <v>252</v>
      </c>
      <c r="D482" s="19" t="s">
        <v>2246</v>
      </c>
      <c r="E482" s="275">
        <v>42056</v>
      </c>
      <c r="F482" s="272"/>
      <c r="G482" s="32" t="s">
        <v>434</v>
      </c>
      <c r="H482" s="32" t="s">
        <v>334</v>
      </c>
      <c r="I482" s="2">
        <f t="shared" si="14"/>
        <v>42056</v>
      </c>
      <c r="J482" s="42" t="str">
        <f t="shared" si="15"/>
        <v>13311</v>
      </c>
    </row>
    <row r="483" spans="1:10">
      <c r="A483" s="30">
        <v>46230</v>
      </c>
      <c r="B483" s="31" t="s">
        <v>816</v>
      </c>
      <c r="C483" s="32" t="s">
        <v>252</v>
      </c>
      <c r="D483" s="19" t="s">
        <v>2246</v>
      </c>
      <c r="E483" s="275">
        <v>2000</v>
      </c>
      <c r="F483" s="272"/>
      <c r="G483" s="32" t="s">
        <v>434</v>
      </c>
      <c r="H483" s="32" t="s">
        <v>334</v>
      </c>
      <c r="I483" s="2">
        <f t="shared" si="14"/>
        <v>2000</v>
      </c>
      <c r="J483" s="42" t="str">
        <f t="shared" si="15"/>
        <v>13311</v>
      </c>
    </row>
    <row r="484" spans="1:10">
      <c r="A484" s="30">
        <v>46230</v>
      </c>
      <c r="B484" s="31" t="s">
        <v>816</v>
      </c>
      <c r="C484" s="32" t="s">
        <v>252</v>
      </c>
      <c r="D484" s="19" t="s">
        <v>2246</v>
      </c>
      <c r="E484" s="275">
        <v>37432</v>
      </c>
      <c r="F484" s="272"/>
      <c r="G484" s="32" t="s">
        <v>434</v>
      </c>
      <c r="H484" s="32" t="s">
        <v>334</v>
      </c>
      <c r="I484" s="2">
        <f t="shared" si="14"/>
        <v>37432</v>
      </c>
      <c r="J484" s="42" t="str">
        <f t="shared" si="15"/>
        <v>13311</v>
      </c>
    </row>
    <row r="485" spans="1:10">
      <c r="A485" s="30">
        <v>46230</v>
      </c>
      <c r="B485" s="31" t="s">
        <v>816</v>
      </c>
      <c r="C485" s="32" t="s">
        <v>252</v>
      </c>
      <c r="D485" s="19" t="s">
        <v>2246</v>
      </c>
      <c r="E485" s="275">
        <v>29727</v>
      </c>
      <c r="F485" s="272"/>
      <c r="G485" s="32" t="s">
        <v>434</v>
      </c>
      <c r="H485" s="32" t="s">
        <v>334</v>
      </c>
      <c r="I485" s="2">
        <f t="shared" si="14"/>
        <v>29727</v>
      </c>
      <c r="J485" s="42" t="str">
        <f t="shared" si="15"/>
        <v>13311</v>
      </c>
    </row>
    <row r="486" spans="1:10">
      <c r="A486" s="30">
        <v>46230</v>
      </c>
      <c r="B486" s="31" t="s">
        <v>816</v>
      </c>
      <c r="C486" s="32" t="s">
        <v>252</v>
      </c>
      <c r="D486" s="19" t="s">
        <v>2246</v>
      </c>
      <c r="E486" s="275">
        <v>2000</v>
      </c>
      <c r="F486" s="272"/>
      <c r="G486" s="32" t="s">
        <v>434</v>
      </c>
      <c r="H486" s="32" t="s">
        <v>334</v>
      </c>
      <c r="I486" s="2">
        <f t="shared" si="14"/>
        <v>2000</v>
      </c>
      <c r="J486" s="42" t="str">
        <f t="shared" si="15"/>
        <v>13311</v>
      </c>
    </row>
    <row r="487" spans="1:10">
      <c r="A487" s="30">
        <v>46230</v>
      </c>
      <c r="B487" s="31" t="s">
        <v>816</v>
      </c>
      <c r="C487" s="32" t="s">
        <v>252</v>
      </c>
      <c r="D487" s="19" t="s">
        <v>2246</v>
      </c>
      <c r="E487" s="275">
        <v>2000</v>
      </c>
      <c r="F487" s="272"/>
      <c r="G487" s="32" t="s">
        <v>434</v>
      </c>
      <c r="H487" s="32" t="s">
        <v>334</v>
      </c>
      <c r="I487" s="2">
        <f t="shared" si="14"/>
        <v>2000</v>
      </c>
      <c r="J487" s="42" t="str">
        <f t="shared" si="15"/>
        <v>13311</v>
      </c>
    </row>
    <row r="488" spans="1:10">
      <c r="A488" s="30">
        <v>46230</v>
      </c>
      <c r="B488" s="31" t="s">
        <v>816</v>
      </c>
      <c r="C488" s="32" t="s">
        <v>252</v>
      </c>
      <c r="D488" s="19" t="s">
        <v>2246</v>
      </c>
      <c r="E488" s="275">
        <v>2000</v>
      </c>
      <c r="F488" s="272"/>
      <c r="G488" s="32" t="s">
        <v>434</v>
      </c>
      <c r="H488" s="32" t="s">
        <v>334</v>
      </c>
      <c r="I488" s="2">
        <f t="shared" si="14"/>
        <v>2000</v>
      </c>
      <c r="J488" s="42" t="str">
        <f t="shared" si="15"/>
        <v>13311</v>
      </c>
    </row>
    <row r="489" spans="1:10">
      <c r="A489" s="30">
        <v>46230</v>
      </c>
      <c r="B489" s="31" t="s">
        <v>816</v>
      </c>
      <c r="C489" s="32" t="s">
        <v>252</v>
      </c>
      <c r="D489" s="19" t="s">
        <v>2246</v>
      </c>
      <c r="E489" s="275">
        <v>2000</v>
      </c>
      <c r="F489" s="272"/>
      <c r="G489" s="32" t="s">
        <v>434</v>
      </c>
      <c r="H489" s="32" t="s">
        <v>334</v>
      </c>
      <c r="I489" s="2">
        <f t="shared" si="14"/>
        <v>2000</v>
      </c>
      <c r="J489" s="42" t="str">
        <f t="shared" si="15"/>
        <v>13311</v>
      </c>
    </row>
    <row r="490" spans="1:10">
      <c r="A490" s="30">
        <v>46230</v>
      </c>
      <c r="B490" s="31" t="s">
        <v>816</v>
      </c>
      <c r="C490" s="32" t="s">
        <v>252</v>
      </c>
      <c r="D490" s="19" t="s">
        <v>2246</v>
      </c>
      <c r="E490" s="275">
        <v>32496</v>
      </c>
      <c r="F490" s="272"/>
      <c r="G490" s="32" t="s">
        <v>434</v>
      </c>
      <c r="H490" s="32" t="s">
        <v>334</v>
      </c>
      <c r="I490" s="2">
        <f t="shared" si="14"/>
        <v>32496</v>
      </c>
      <c r="J490" s="42" t="str">
        <f t="shared" si="15"/>
        <v>13311</v>
      </c>
    </row>
    <row r="491" spans="1:10">
      <c r="A491" s="30">
        <v>46230</v>
      </c>
      <c r="B491" s="31" t="s">
        <v>816</v>
      </c>
      <c r="C491" s="32" t="s">
        <v>252</v>
      </c>
      <c r="D491" s="19" t="s">
        <v>2246</v>
      </c>
      <c r="E491" s="275">
        <v>20272</v>
      </c>
      <c r="F491" s="272"/>
      <c r="G491" s="32" t="s">
        <v>434</v>
      </c>
      <c r="H491" s="32" t="s">
        <v>334</v>
      </c>
      <c r="I491" s="2">
        <f t="shared" si="14"/>
        <v>20272</v>
      </c>
      <c r="J491" s="42" t="str">
        <f t="shared" si="15"/>
        <v>13311</v>
      </c>
    </row>
    <row r="492" spans="1:10">
      <c r="A492" s="30">
        <v>46230</v>
      </c>
      <c r="B492" s="31" t="s">
        <v>816</v>
      </c>
      <c r="C492" s="32" t="s">
        <v>252</v>
      </c>
      <c r="D492" s="19" t="s">
        <v>2246</v>
      </c>
      <c r="E492" s="275">
        <v>4545</v>
      </c>
      <c r="F492" s="272"/>
      <c r="G492" s="32" t="s">
        <v>434</v>
      </c>
      <c r="H492" s="32" t="s">
        <v>334</v>
      </c>
      <c r="I492" s="2">
        <f t="shared" si="14"/>
        <v>4545</v>
      </c>
      <c r="J492" s="42" t="str">
        <f t="shared" si="15"/>
        <v>13311</v>
      </c>
    </row>
    <row r="493" spans="1:10">
      <c r="A493" s="30">
        <v>46230</v>
      </c>
      <c r="B493" s="31" t="s">
        <v>816</v>
      </c>
      <c r="C493" s="32" t="s">
        <v>252</v>
      </c>
      <c r="D493" s="19" t="s">
        <v>2246</v>
      </c>
      <c r="E493" s="275">
        <v>2000</v>
      </c>
      <c r="F493" s="272"/>
      <c r="G493" s="32" t="s">
        <v>434</v>
      </c>
      <c r="H493" s="32" t="s">
        <v>334</v>
      </c>
      <c r="I493" s="2">
        <f t="shared" si="14"/>
        <v>2000</v>
      </c>
      <c r="J493" s="42" t="str">
        <f t="shared" si="15"/>
        <v>13311</v>
      </c>
    </row>
    <row r="494" spans="1:10">
      <c r="A494" s="30">
        <v>46230</v>
      </c>
      <c r="B494" s="31" t="s">
        <v>816</v>
      </c>
      <c r="C494" s="32" t="s">
        <v>252</v>
      </c>
      <c r="D494" s="19" t="s">
        <v>2246</v>
      </c>
      <c r="E494" s="275">
        <v>2000</v>
      </c>
      <c r="F494" s="272"/>
      <c r="G494" s="32" t="s">
        <v>434</v>
      </c>
      <c r="H494" s="32" t="s">
        <v>334</v>
      </c>
      <c r="I494" s="2">
        <f t="shared" si="14"/>
        <v>2000</v>
      </c>
      <c r="J494" s="42" t="str">
        <f t="shared" si="15"/>
        <v>13311</v>
      </c>
    </row>
    <row r="495" spans="1:10">
      <c r="A495" s="30">
        <v>46230</v>
      </c>
      <c r="B495" s="31" t="s">
        <v>816</v>
      </c>
      <c r="C495" s="32" t="s">
        <v>252</v>
      </c>
      <c r="D495" s="19" t="s">
        <v>2246</v>
      </c>
      <c r="E495" s="275">
        <v>2000</v>
      </c>
      <c r="F495" s="272"/>
      <c r="G495" s="32" t="s">
        <v>434</v>
      </c>
      <c r="H495" s="32" t="s">
        <v>334</v>
      </c>
      <c r="I495" s="2">
        <f t="shared" si="14"/>
        <v>2000</v>
      </c>
      <c r="J495" s="42" t="str">
        <f t="shared" si="15"/>
        <v>13311</v>
      </c>
    </row>
    <row r="496" spans="1:10">
      <c r="A496" s="30">
        <v>46230</v>
      </c>
      <c r="B496" s="31" t="s">
        <v>816</v>
      </c>
      <c r="C496" s="32" t="s">
        <v>252</v>
      </c>
      <c r="D496" s="19" t="s">
        <v>2246</v>
      </c>
      <c r="E496" s="275">
        <v>18190</v>
      </c>
      <c r="F496" s="272"/>
      <c r="G496" s="32" t="s">
        <v>434</v>
      </c>
      <c r="H496" s="32" t="s">
        <v>334</v>
      </c>
      <c r="I496" s="2">
        <f t="shared" si="14"/>
        <v>18190</v>
      </c>
      <c r="J496" s="42" t="str">
        <f t="shared" si="15"/>
        <v>13311</v>
      </c>
    </row>
    <row r="497" spans="1:10">
      <c r="A497" s="30">
        <v>46230</v>
      </c>
      <c r="B497" s="31" t="s">
        <v>816</v>
      </c>
      <c r="C497" s="32" t="s">
        <v>252</v>
      </c>
      <c r="D497" s="19" t="s">
        <v>2246</v>
      </c>
      <c r="E497" s="275">
        <v>2000</v>
      </c>
      <c r="F497" s="272"/>
      <c r="G497" s="32" t="s">
        <v>434</v>
      </c>
      <c r="H497" s="32" t="s">
        <v>334</v>
      </c>
      <c r="I497" s="2">
        <f t="shared" si="14"/>
        <v>2000</v>
      </c>
      <c r="J497" s="42" t="str">
        <f t="shared" si="15"/>
        <v>13311</v>
      </c>
    </row>
    <row r="498" spans="1:10">
      <c r="A498" s="30">
        <v>46230</v>
      </c>
      <c r="B498" s="31" t="s">
        <v>816</v>
      </c>
      <c r="C498" s="32" t="s">
        <v>252</v>
      </c>
      <c r="D498" s="19" t="s">
        <v>2246</v>
      </c>
      <c r="E498" s="275">
        <v>2000</v>
      </c>
      <c r="F498" s="272"/>
      <c r="G498" s="32" t="s">
        <v>434</v>
      </c>
      <c r="H498" s="32" t="s">
        <v>334</v>
      </c>
      <c r="I498" s="2">
        <f t="shared" si="14"/>
        <v>2000</v>
      </c>
      <c r="J498" s="42" t="str">
        <f t="shared" si="15"/>
        <v>13311</v>
      </c>
    </row>
    <row r="499" spans="1:10">
      <c r="A499" s="30">
        <v>46230</v>
      </c>
      <c r="B499" s="31" t="s">
        <v>816</v>
      </c>
      <c r="C499" s="32" t="s">
        <v>252</v>
      </c>
      <c r="D499" s="19" t="s">
        <v>2246</v>
      </c>
      <c r="E499" s="275">
        <v>2000</v>
      </c>
      <c r="F499" s="272"/>
      <c r="G499" s="32" t="s">
        <v>434</v>
      </c>
      <c r="H499" s="32" t="s">
        <v>334</v>
      </c>
      <c r="I499" s="2">
        <f t="shared" si="14"/>
        <v>2000</v>
      </c>
      <c r="J499" s="42" t="str">
        <f t="shared" si="15"/>
        <v>13311</v>
      </c>
    </row>
    <row r="500" spans="1:10">
      <c r="A500" s="30">
        <v>46230</v>
      </c>
      <c r="B500" s="31" t="s">
        <v>816</v>
      </c>
      <c r="C500" s="32" t="s">
        <v>252</v>
      </c>
      <c r="D500" s="19" t="s">
        <v>2246</v>
      </c>
      <c r="E500" s="275">
        <v>2000</v>
      </c>
      <c r="F500" s="272"/>
      <c r="G500" s="32" t="s">
        <v>434</v>
      </c>
      <c r="H500" s="32" t="s">
        <v>334</v>
      </c>
      <c r="I500" s="2">
        <f t="shared" si="14"/>
        <v>2000</v>
      </c>
      <c r="J500" s="42" t="str">
        <f t="shared" si="15"/>
        <v>13311</v>
      </c>
    </row>
    <row r="501" spans="1:10">
      <c r="A501" s="30">
        <v>46230</v>
      </c>
      <c r="B501" s="31" t="s">
        <v>816</v>
      </c>
      <c r="C501" s="32" t="s">
        <v>252</v>
      </c>
      <c r="D501" s="19" t="s">
        <v>2246</v>
      </c>
      <c r="E501" s="275">
        <v>2000</v>
      </c>
      <c r="F501" s="272"/>
      <c r="G501" s="32" t="s">
        <v>434</v>
      </c>
      <c r="H501" s="32" t="s">
        <v>334</v>
      </c>
      <c r="I501" s="2">
        <f t="shared" si="14"/>
        <v>2000</v>
      </c>
      <c r="J501" s="42" t="str">
        <f t="shared" si="15"/>
        <v>13311</v>
      </c>
    </row>
    <row r="502" spans="1:10">
      <c r="A502" s="30">
        <v>46230</v>
      </c>
      <c r="B502" s="31" t="s">
        <v>816</v>
      </c>
      <c r="C502" s="32" t="s">
        <v>252</v>
      </c>
      <c r="D502" s="19" t="s">
        <v>2246</v>
      </c>
      <c r="E502" s="275">
        <v>47864</v>
      </c>
      <c r="F502" s="272"/>
      <c r="G502" s="32" t="s">
        <v>434</v>
      </c>
      <c r="H502" s="32" t="s">
        <v>334</v>
      </c>
      <c r="I502" s="2">
        <f t="shared" si="14"/>
        <v>47864</v>
      </c>
      <c r="J502" s="42" t="str">
        <f t="shared" si="15"/>
        <v>13311</v>
      </c>
    </row>
    <row r="503" spans="1:10">
      <c r="A503" s="30">
        <v>46230</v>
      </c>
      <c r="B503" s="31" t="s">
        <v>816</v>
      </c>
      <c r="C503" s="32" t="s">
        <v>252</v>
      </c>
      <c r="D503" s="19" t="s">
        <v>2246</v>
      </c>
      <c r="E503" s="275">
        <v>2000</v>
      </c>
      <c r="F503" s="272"/>
      <c r="G503" s="32" t="s">
        <v>434</v>
      </c>
      <c r="H503" s="32" t="s">
        <v>334</v>
      </c>
      <c r="I503" s="2">
        <f t="shared" si="14"/>
        <v>2000</v>
      </c>
      <c r="J503" s="42" t="str">
        <f t="shared" si="15"/>
        <v>13311</v>
      </c>
    </row>
    <row r="504" spans="1:10">
      <c r="A504" s="30">
        <v>46230</v>
      </c>
      <c r="B504" s="31" t="s">
        <v>816</v>
      </c>
      <c r="C504" s="32" t="s">
        <v>252</v>
      </c>
      <c r="D504" s="19" t="s">
        <v>2246</v>
      </c>
      <c r="E504" s="275">
        <v>37055</v>
      </c>
      <c r="F504" s="272"/>
      <c r="G504" s="32" t="s">
        <v>434</v>
      </c>
      <c r="H504" s="32" t="s">
        <v>334</v>
      </c>
      <c r="I504" s="2">
        <f t="shared" si="14"/>
        <v>37055</v>
      </c>
      <c r="J504" s="42" t="str">
        <f t="shared" si="15"/>
        <v>13311</v>
      </c>
    </row>
    <row r="505" spans="1:10">
      <c r="A505" s="30">
        <v>46230</v>
      </c>
      <c r="B505" s="31" t="s">
        <v>816</v>
      </c>
      <c r="C505" s="32" t="s">
        <v>252</v>
      </c>
      <c r="D505" s="19" t="s">
        <v>2246</v>
      </c>
      <c r="E505" s="275">
        <v>2000</v>
      </c>
      <c r="F505" s="272"/>
      <c r="G505" s="32" t="s">
        <v>434</v>
      </c>
      <c r="H505" s="32" t="s">
        <v>334</v>
      </c>
      <c r="I505" s="2">
        <f t="shared" si="14"/>
        <v>2000</v>
      </c>
      <c r="J505" s="42" t="str">
        <f t="shared" si="15"/>
        <v>13311</v>
      </c>
    </row>
    <row r="506" spans="1:10">
      <c r="A506" s="30">
        <v>46230</v>
      </c>
      <c r="B506" s="31" t="s">
        <v>816</v>
      </c>
      <c r="C506" s="32" t="s">
        <v>252</v>
      </c>
      <c r="D506" s="19" t="s">
        <v>2246</v>
      </c>
      <c r="E506" s="275">
        <v>2000</v>
      </c>
      <c r="F506" s="272"/>
      <c r="G506" s="32" t="s">
        <v>434</v>
      </c>
      <c r="H506" s="32" t="s">
        <v>334</v>
      </c>
      <c r="I506" s="2">
        <f t="shared" si="14"/>
        <v>2000</v>
      </c>
      <c r="J506" s="42" t="str">
        <f t="shared" si="15"/>
        <v>13311</v>
      </c>
    </row>
    <row r="507" spans="1:10">
      <c r="A507" s="30">
        <v>46230</v>
      </c>
      <c r="B507" s="31" t="s">
        <v>816</v>
      </c>
      <c r="C507" s="32" t="s">
        <v>252</v>
      </c>
      <c r="D507" s="19" t="s">
        <v>2246</v>
      </c>
      <c r="E507" s="275">
        <v>2000</v>
      </c>
      <c r="F507" s="272"/>
      <c r="G507" s="32" t="s">
        <v>434</v>
      </c>
      <c r="H507" s="32" t="s">
        <v>334</v>
      </c>
      <c r="I507" s="2">
        <f t="shared" si="14"/>
        <v>2000</v>
      </c>
      <c r="J507" s="42" t="str">
        <f t="shared" si="15"/>
        <v>13311</v>
      </c>
    </row>
    <row r="508" spans="1:10">
      <c r="A508" s="30">
        <v>46230</v>
      </c>
      <c r="B508" s="31" t="s">
        <v>816</v>
      </c>
      <c r="C508" s="32" t="s">
        <v>252</v>
      </c>
      <c r="D508" s="19" t="s">
        <v>2246</v>
      </c>
      <c r="E508" s="275">
        <v>64455</v>
      </c>
      <c r="F508" s="272"/>
      <c r="G508" s="32" t="s">
        <v>434</v>
      </c>
      <c r="H508" s="32" t="s">
        <v>334</v>
      </c>
      <c r="I508" s="2">
        <f t="shared" si="14"/>
        <v>64455</v>
      </c>
      <c r="J508" s="42" t="str">
        <f t="shared" si="15"/>
        <v>13311</v>
      </c>
    </row>
    <row r="509" spans="1:10">
      <c r="A509" s="30">
        <v>46230</v>
      </c>
      <c r="B509" s="31" t="s">
        <v>816</v>
      </c>
      <c r="C509" s="32" t="s">
        <v>252</v>
      </c>
      <c r="D509" s="19" t="s">
        <v>2246</v>
      </c>
      <c r="E509" s="275">
        <v>27273</v>
      </c>
      <c r="F509" s="272"/>
      <c r="G509" s="32" t="s">
        <v>434</v>
      </c>
      <c r="H509" s="32" t="s">
        <v>334</v>
      </c>
      <c r="I509" s="2">
        <f t="shared" si="14"/>
        <v>27273</v>
      </c>
      <c r="J509" s="42" t="str">
        <f t="shared" si="15"/>
        <v>13311</v>
      </c>
    </row>
    <row r="510" spans="1:10">
      <c r="A510" s="30">
        <v>46230</v>
      </c>
      <c r="B510" s="31" t="s">
        <v>816</v>
      </c>
      <c r="C510" s="32" t="s">
        <v>252</v>
      </c>
      <c r="D510" s="19" t="s">
        <v>2246</v>
      </c>
      <c r="E510" s="275">
        <v>34227</v>
      </c>
      <c r="F510" s="272"/>
      <c r="G510" s="32" t="s">
        <v>434</v>
      </c>
      <c r="H510" s="32" t="s">
        <v>334</v>
      </c>
      <c r="I510" s="2">
        <f t="shared" si="14"/>
        <v>34227</v>
      </c>
      <c r="J510" s="42" t="str">
        <f t="shared" si="15"/>
        <v>13311</v>
      </c>
    </row>
    <row r="511" spans="1:10">
      <c r="A511" s="30">
        <v>46230</v>
      </c>
      <c r="B511" s="31" t="s">
        <v>816</v>
      </c>
      <c r="C511" s="32" t="s">
        <v>252</v>
      </c>
      <c r="D511" s="19" t="s">
        <v>2246</v>
      </c>
      <c r="E511" s="275">
        <v>2000</v>
      </c>
      <c r="F511" s="272"/>
      <c r="G511" s="32" t="s">
        <v>434</v>
      </c>
      <c r="H511" s="32" t="s">
        <v>334</v>
      </c>
      <c r="I511" s="2">
        <f t="shared" si="14"/>
        <v>2000</v>
      </c>
      <c r="J511" s="42" t="str">
        <f t="shared" si="15"/>
        <v>13311</v>
      </c>
    </row>
    <row r="512" spans="1:10">
      <c r="A512" s="30">
        <v>46230</v>
      </c>
      <c r="B512" s="31" t="s">
        <v>816</v>
      </c>
      <c r="C512" s="32" t="s">
        <v>252</v>
      </c>
      <c r="D512" s="19" t="s">
        <v>2246</v>
      </c>
      <c r="E512" s="275">
        <v>2000</v>
      </c>
      <c r="F512" s="272"/>
      <c r="G512" s="32" t="s">
        <v>434</v>
      </c>
      <c r="H512" s="32" t="s">
        <v>334</v>
      </c>
      <c r="I512" s="2">
        <f t="shared" si="14"/>
        <v>2000</v>
      </c>
      <c r="J512" s="42" t="str">
        <f t="shared" si="15"/>
        <v>13311</v>
      </c>
    </row>
    <row r="513" spans="1:10">
      <c r="A513" s="30">
        <v>46230</v>
      </c>
      <c r="B513" s="31" t="s">
        <v>816</v>
      </c>
      <c r="C513" s="32" t="s">
        <v>252</v>
      </c>
      <c r="D513" s="19" t="s">
        <v>2246</v>
      </c>
      <c r="E513" s="275">
        <v>2000</v>
      </c>
      <c r="F513" s="272"/>
      <c r="G513" s="32" t="s">
        <v>434</v>
      </c>
      <c r="H513" s="32" t="s">
        <v>334</v>
      </c>
      <c r="I513" s="2">
        <f t="shared" si="14"/>
        <v>2000</v>
      </c>
      <c r="J513" s="42" t="str">
        <f t="shared" si="15"/>
        <v>13311</v>
      </c>
    </row>
    <row r="514" spans="1:10">
      <c r="A514" s="30">
        <v>46230</v>
      </c>
      <c r="B514" s="31" t="s">
        <v>816</v>
      </c>
      <c r="C514" s="32" t="s">
        <v>252</v>
      </c>
      <c r="D514" s="19" t="s">
        <v>2246</v>
      </c>
      <c r="E514" s="275">
        <v>2000</v>
      </c>
      <c r="F514" s="272"/>
      <c r="G514" s="32" t="s">
        <v>434</v>
      </c>
      <c r="H514" s="32" t="s">
        <v>334</v>
      </c>
      <c r="I514" s="2">
        <f t="shared" si="14"/>
        <v>2000</v>
      </c>
      <c r="J514" s="42" t="str">
        <f t="shared" si="15"/>
        <v>13311</v>
      </c>
    </row>
    <row r="515" spans="1:10">
      <c r="A515" s="30">
        <v>46230</v>
      </c>
      <c r="B515" s="31" t="s">
        <v>816</v>
      </c>
      <c r="C515" s="32" t="s">
        <v>252</v>
      </c>
      <c r="D515" s="19" t="s">
        <v>2246</v>
      </c>
      <c r="E515" s="275">
        <v>8702</v>
      </c>
      <c r="F515" s="272"/>
      <c r="G515" s="32" t="s">
        <v>434</v>
      </c>
      <c r="H515" s="32" t="s">
        <v>334</v>
      </c>
      <c r="I515" s="2">
        <f t="shared" si="14"/>
        <v>8702</v>
      </c>
      <c r="J515" s="42" t="str">
        <f t="shared" si="15"/>
        <v>13311</v>
      </c>
    </row>
    <row r="516" spans="1:10">
      <c r="A516" s="30">
        <v>46230</v>
      </c>
      <c r="B516" s="31" t="s">
        <v>816</v>
      </c>
      <c r="C516" s="32" t="s">
        <v>252</v>
      </c>
      <c r="D516" s="19" t="s">
        <v>2246</v>
      </c>
      <c r="E516" s="275">
        <v>2000</v>
      </c>
      <c r="F516" s="272"/>
      <c r="G516" s="32" t="s">
        <v>434</v>
      </c>
      <c r="H516" s="32" t="s">
        <v>334</v>
      </c>
      <c r="I516" s="2">
        <f t="shared" si="14"/>
        <v>2000</v>
      </c>
      <c r="J516" s="42" t="str">
        <f t="shared" si="15"/>
        <v>13311</v>
      </c>
    </row>
    <row r="517" spans="1:10">
      <c r="A517" s="30">
        <v>46230</v>
      </c>
      <c r="B517" s="31" t="s">
        <v>816</v>
      </c>
      <c r="C517" s="32" t="s">
        <v>252</v>
      </c>
      <c r="D517" s="19" t="s">
        <v>2246</v>
      </c>
      <c r="E517" s="275">
        <v>2217</v>
      </c>
      <c r="F517" s="272"/>
      <c r="G517" s="32" t="s">
        <v>434</v>
      </c>
      <c r="H517" s="32" t="s">
        <v>334</v>
      </c>
      <c r="I517" s="2">
        <f t="shared" si="14"/>
        <v>2217</v>
      </c>
      <c r="J517" s="42" t="str">
        <f t="shared" si="15"/>
        <v>13311</v>
      </c>
    </row>
    <row r="518" spans="1:10">
      <c r="A518" s="30">
        <v>46230</v>
      </c>
      <c r="B518" s="31" t="s">
        <v>816</v>
      </c>
      <c r="C518" s="32" t="s">
        <v>252</v>
      </c>
      <c r="D518" s="19" t="s">
        <v>2246</v>
      </c>
      <c r="E518" s="275">
        <v>47045</v>
      </c>
      <c r="F518" s="272"/>
      <c r="G518" s="32" t="s">
        <v>434</v>
      </c>
      <c r="H518" s="32" t="s">
        <v>334</v>
      </c>
      <c r="I518" s="2">
        <f t="shared" si="14"/>
        <v>47045</v>
      </c>
      <c r="J518" s="42" t="str">
        <f t="shared" si="15"/>
        <v>13311</v>
      </c>
    </row>
    <row r="519" spans="1:10">
      <c r="A519" s="30">
        <v>46230</v>
      </c>
      <c r="B519" s="31" t="s">
        <v>816</v>
      </c>
      <c r="C519" s="32" t="s">
        <v>252</v>
      </c>
      <c r="D519" s="19" t="s">
        <v>2246</v>
      </c>
      <c r="E519" s="275">
        <v>2000</v>
      </c>
      <c r="F519" s="272"/>
      <c r="G519" s="32" t="s">
        <v>434</v>
      </c>
      <c r="H519" s="32" t="s">
        <v>334</v>
      </c>
      <c r="I519" s="2">
        <f t="shared" si="14"/>
        <v>2000</v>
      </c>
      <c r="J519" s="42" t="str">
        <f t="shared" si="15"/>
        <v>13311</v>
      </c>
    </row>
    <row r="520" spans="1:10">
      <c r="A520" s="30">
        <v>46230</v>
      </c>
      <c r="B520" s="31" t="s">
        <v>816</v>
      </c>
      <c r="C520" s="32" t="s">
        <v>252</v>
      </c>
      <c r="D520" s="19" t="s">
        <v>2246</v>
      </c>
      <c r="E520" s="275">
        <v>2000</v>
      </c>
      <c r="F520" s="272"/>
      <c r="G520" s="32" t="s">
        <v>434</v>
      </c>
      <c r="H520" s="32" t="s">
        <v>334</v>
      </c>
      <c r="I520" s="2">
        <f t="shared" si="14"/>
        <v>2000</v>
      </c>
      <c r="J520" s="42" t="str">
        <f t="shared" si="15"/>
        <v>13311</v>
      </c>
    </row>
    <row r="521" spans="1:10">
      <c r="A521" s="30">
        <v>46230</v>
      </c>
      <c r="B521" s="31" t="s">
        <v>816</v>
      </c>
      <c r="C521" s="32" t="s">
        <v>252</v>
      </c>
      <c r="D521" s="19" t="s">
        <v>2246</v>
      </c>
      <c r="E521" s="275">
        <v>2467</v>
      </c>
      <c r="F521" s="272"/>
      <c r="G521" s="32" t="s">
        <v>434</v>
      </c>
      <c r="H521" s="32" t="s">
        <v>334</v>
      </c>
      <c r="I521" s="2">
        <f t="shared" si="14"/>
        <v>2467</v>
      </c>
      <c r="J521" s="42" t="str">
        <f t="shared" si="15"/>
        <v>13311</v>
      </c>
    </row>
    <row r="522" spans="1:10">
      <c r="A522" s="30">
        <v>46230</v>
      </c>
      <c r="B522" s="31" t="s">
        <v>816</v>
      </c>
      <c r="C522" s="32" t="s">
        <v>252</v>
      </c>
      <c r="D522" s="19" t="s">
        <v>2246</v>
      </c>
      <c r="E522" s="275">
        <v>32318</v>
      </c>
      <c r="F522" s="272"/>
      <c r="G522" s="32" t="s">
        <v>434</v>
      </c>
      <c r="H522" s="32" t="s">
        <v>334</v>
      </c>
      <c r="I522" s="2">
        <f t="shared" si="14"/>
        <v>32318</v>
      </c>
      <c r="J522" s="42" t="str">
        <f t="shared" si="15"/>
        <v>13311</v>
      </c>
    </row>
    <row r="523" spans="1:10">
      <c r="A523" s="30">
        <v>46230</v>
      </c>
      <c r="B523" s="31" t="s">
        <v>816</v>
      </c>
      <c r="C523" s="32" t="s">
        <v>252</v>
      </c>
      <c r="D523" s="19" t="s">
        <v>2246</v>
      </c>
      <c r="E523" s="275">
        <v>28545</v>
      </c>
      <c r="F523" s="272"/>
      <c r="G523" s="32" t="s">
        <v>434</v>
      </c>
      <c r="H523" s="32" t="s">
        <v>334</v>
      </c>
      <c r="I523" s="2">
        <f t="shared" ref="I523:I586" si="16">IF(LEN(A523)=5,E523,0)</f>
        <v>28545</v>
      </c>
      <c r="J523" s="42" t="str">
        <f t="shared" ref="J523:J586" si="17">IF(LEFT(A523,11)="Tài khoản: ",MID(A523,12,5),J522)</f>
        <v>13311</v>
      </c>
    </row>
    <row r="524" spans="1:10">
      <c r="A524" s="30">
        <v>46230</v>
      </c>
      <c r="B524" s="31" t="s">
        <v>816</v>
      </c>
      <c r="C524" s="32" t="s">
        <v>252</v>
      </c>
      <c r="D524" s="19" t="s">
        <v>2246</v>
      </c>
      <c r="E524" s="275">
        <v>2000</v>
      </c>
      <c r="F524" s="272"/>
      <c r="G524" s="32" t="s">
        <v>434</v>
      </c>
      <c r="H524" s="32" t="s">
        <v>334</v>
      </c>
      <c r="I524" s="2">
        <f t="shared" si="16"/>
        <v>2000</v>
      </c>
      <c r="J524" s="42" t="str">
        <f t="shared" si="17"/>
        <v>13311</v>
      </c>
    </row>
    <row r="525" spans="1:10">
      <c r="A525" s="30">
        <v>46230</v>
      </c>
      <c r="B525" s="31" t="s">
        <v>816</v>
      </c>
      <c r="C525" s="32" t="s">
        <v>252</v>
      </c>
      <c r="D525" s="19" t="s">
        <v>2246</v>
      </c>
      <c r="E525" s="275">
        <v>2000</v>
      </c>
      <c r="F525" s="272"/>
      <c r="G525" s="32" t="s">
        <v>434</v>
      </c>
      <c r="H525" s="32" t="s">
        <v>334</v>
      </c>
      <c r="I525" s="2">
        <f t="shared" si="16"/>
        <v>2000</v>
      </c>
      <c r="J525" s="42" t="str">
        <f t="shared" si="17"/>
        <v>13311</v>
      </c>
    </row>
    <row r="526" spans="1:10">
      <c r="A526" s="30">
        <v>46230</v>
      </c>
      <c r="B526" s="31" t="s">
        <v>816</v>
      </c>
      <c r="C526" s="32" t="s">
        <v>252</v>
      </c>
      <c r="D526" s="19" t="s">
        <v>2246</v>
      </c>
      <c r="E526" s="275">
        <v>2000</v>
      </c>
      <c r="F526" s="272"/>
      <c r="G526" s="32" t="s">
        <v>434</v>
      </c>
      <c r="H526" s="32" t="s">
        <v>334</v>
      </c>
      <c r="I526" s="2">
        <f t="shared" si="16"/>
        <v>2000</v>
      </c>
      <c r="J526" s="42" t="str">
        <f t="shared" si="17"/>
        <v>13311</v>
      </c>
    </row>
    <row r="527" spans="1:10">
      <c r="A527" s="30">
        <v>46230</v>
      </c>
      <c r="B527" s="31" t="s">
        <v>816</v>
      </c>
      <c r="C527" s="32" t="s">
        <v>252</v>
      </c>
      <c r="D527" s="19" t="s">
        <v>2246</v>
      </c>
      <c r="E527" s="275">
        <v>2000</v>
      </c>
      <c r="F527" s="272"/>
      <c r="G527" s="32" t="s">
        <v>434</v>
      </c>
      <c r="H527" s="32" t="s">
        <v>334</v>
      </c>
      <c r="I527" s="2">
        <f t="shared" si="16"/>
        <v>2000</v>
      </c>
      <c r="J527" s="42" t="str">
        <f t="shared" si="17"/>
        <v>13311</v>
      </c>
    </row>
    <row r="528" spans="1:10">
      <c r="A528" s="30">
        <v>46230</v>
      </c>
      <c r="B528" s="31" t="s">
        <v>816</v>
      </c>
      <c r="C528" s="32" t="s">
        <v>252</v>
      </c>
      <c r="D528" s="19" t="s">
        <v>2246</v>
      </c>
      <c r="E528" s="275">
        <v>46182</v>
      </c>
      <c r="F528" s="272"/>
      <c r="G528" s="32" t="s">
        <v>434</v>
      </c>
      <c r="H528" s="32" t="s">
        <v>334</v>
      </c>
      <c r="I528" s="2">
        <f t="shared" si="16"/>
        <v>46182</v>
      </c>
      <c r="J528" s="42" t="str">
        <f t="shared" si="17"/>
        <v>13311</v>
      </c>
    </row>
    <row r="529" spans="1:10">
      <c r="A529" s="30">
        <v>46230</v>
      </c>
      <c r="B529" s="31" t="s">
        <v>816</v>
      </c>
      <c r="C529" s="32" t="s">
        <v>252</v>
      </c>
      <c r="D529" s="19" t="s">
        <v>2246</v>
      </c>
      <c r="E529" s="275">
        <v>2609</v>
      </c>
      <c r="F529" s="272"/>
      <c r="G529" s="32" t="s">
        <v>434</v>
      </c>
      <c r="H529" s="32" t="s">
        <v>334</v>
      </c>
      <c r="I529" s="2">
        <f t="shared" si="16"/>
        <v>2609</v>
      </c>
      <c r="J529" s="42" t="str">
        <f t="shared" si="17"/>
        <v>13311</v>
      </c>
    </row>
    <row r="530" spans="1:10">
      <c r="A530" s="30">
        <v>46230</v>
      </c>
      <c r="B530" s="31" t="s">
        <v>816</v>
      </c>
      <c r="C530" s="32" t="s">
        <v>252</v>
      </c>
      <c r="D530" s="19" t="s">
        <v>2246</v>
      </c>
      <c r="E530" s="275">
        <v>15000</v>
      </c>
      <c r="F530" s="272"/>
      <c r="G530" s="32" t="s">
        <v>434</v>
      </c>
      <c r="H530" s="32" t="s">
        <v>334</v>
      </c>
      <c r="I530" s="2">
        <f t="shared" si="16"/>
        <v>15000</v>
      </c>
      <c r="J530" s="42" t="str">
        <f t="shared" si="17"/>
        <v>13311</v>
      </c>
    </row>
    <row r="531" spans="1:10">
      <c r="A531" s="30">
        <v>46230</v>
      </c>
      <c r="B531" s="31" t="s">
        <v>816</v>
      </c>
      <c r="C531" s="32" t="s">
        <v>252</v>
      </c>
      <c r="D531" s="19" t="s">
        <v>2246</v>
      </c>
      <c r="E531" s="275">
        <v>80000</v>
      </c>
      <c r="F531" s="272"/>
      <c r="G531" s="32" t="s">
        <v>434</v>
      </c>
      <c r="H531" s="32" t="s">
        <v>334</v>
      </c>
      <c r="I531" s="2">
        <f t="shared" si="16"/>
        <v>80000</v>
      </c>
      <c r="J531" s="42" t="str">
        <f t="shared" si="17"/>
        <v>13311</v>
      </c>
    </row>
    <row r="532" spans="1:10">
      <c r="A532" s="30">
        <v>46230</v>
      </c>
      <c r="B532" s="31" t="s">
        <v>816</v>
      </c>
      <c r="C532" s="32" t="s">
        <v>252</v>
      </c>
      <c r="D532" s="19" t="s">
        <v>2246</v>
      </c>
      <c r="E532" s="275">
        <v>20818</v>
      </c>
      <c r="F532" s="272"/>
      <c r="G532" s="32" t="s">
        <v>434</v>
      </c>
      <c r="H532" s="32" t="s">
        <v>334</v>
      </c>
      <c r="I532" s="2">
        <f t="shared" si="16"/>
        <v>20818</v>
      </c>
      <c r="J532" s="42" t="str">
        <f t="shared" si="17"/>
        <v>13311</v>
      </c>
    </row>
    <row r="533" spans="1:10">
      <c r="A533" s="30">
        <v>46230</v>
      </c>
      <c r="B533" s="31" t="s">
        <v>816</v>
      </c>
      <c r="C533" s="32" t="s">
        <v>252</v>
      </c>
      <c r="D533" s="19" t="s">
        <v>2246</v>
      </c>
      <c r="E533" s="275">
        <v>13196</v>
      </c>
      <c r="F533" s="272"/>
      <c r="G533" s="32" t="s">
        <v>434</v>
      </c>
      <c r="H533" s="32" t="s">
        <v>334</v>
      </c>
      <c r="I533" s="2">
        <f t="shared" si="16"/>
        <v>13196</v>
      </c>
      <c r="J533" s="42" t="str">
        <f t="shared" si="17"/>
        <v>13311</v>
      </c>
    </row>
    <row r="534" spans="1:10">
      <c r="A534" s="30">
        <v>46230</v>
      </c>
      <c r="B534" s="31" t="s">
        <v>816</v>
      </c>
      <c r="C534" s="32" t="s">
        <v>252</v>
      </c>
      <c r="D534" s="19" t="s">
        <v>2246</v>
      </c>
      <c r="E534" s="275">
        <v>2727</v>
      </c>
      <c r="F534" s="272"/>
      <c r="G534" s="32" t="s">
        <v>434</v>
      </c>
      <c r="H534" s="32" t="s">
        <v>334</v>
      </c>
      <c r="I534" s="2">
        <f t="shared" si="16"/>
        <v>2727</v>
      </c>
      <c r="J534" s="42" t="str">
        <f t="shared" si="17"/>
        <v>13311</v>
      </c>
    </row>
    <row r="535" spans="1:10">
      <c r="A535" s="30">
        <v>46230</v>
      </c>
      <c r="B535" s="31" t="s">
        <v>816</v>
      </c>
      <c r="C535" s="32" t="s">
        <v>252</v>
      </c>
      <c r="D535" s="19" t="s">
        <v>2246</v>
      </c>
      <c r="E535" s="275">
        <v>28727</v>
      </c>
      <c r="F535" s="272"/>
      <c r="G535" s="32" t="s">
        <v>434</v>
      </c>
      <c r="H535" s="32" t="s">
        <v>334</v>
      </c>
      <c r="I535" s="2">
        <f t="shared" si="16"/>
        <v>28727</v>
      </c>
      <c r="J535" s="42" t="str">
        <f t="shared" si="17"/>
        <v>13311</v>
      </c>
    </row>
    <row r="536" spans="1:10">
      <c r="A536" s="30">
        <v>46230</v>
      </c>
      <c r="B536" s="31" t="s">
        <v>816</v>
      </c>
      <c r="C536" s="32" t="s">
        <v>252</v>
      </c>
      <c r="D536" s="19" t="s">
        <v>2246</v>
      </c>
      <c r="E536" s="275">
        <v>2105</v>
      </c>
      <c r="F536" s="272"/>
      <c r="G536" s="32" t="s">
        <v>434</v>
      </c>
      <c r="H536" s="32" t="s">
        <v>334</v>
      </c>
      <c r="I536" s="2">
        <f t="shared" si="16"/>
        <v>2105</v>
      </c>
      <c r="J536" s="42" t="str">
        <f t="shared" si="17"/>
        <v>13311</v>
      </c>
    </row>
    <row r="537" spans="1:10">
      <c r="A537" s="30">
        <v>46230</v>
      </c>
      <c r="B537" s="31" t="s">
        <v>816</v>
      </c>
      <c r="C537" s="32" t="s">
        <v>252</v>
      </c>
      <c r="D537" s="19" t="s">
        <v>2246</v>
      </c>
      <c r="E537" s="275">
        <v>90000</v>
      </c>
      <c r="F537" s="272"/>
      <c r="G537" s="32" t="s">
        <v>434</v>
      </c>
      <c r="H537" s="32" t="s">
        <v>334</v>
      </c>
      <c r="I537" s="2">
        <f t="shared" si="16"/>
        <v>90000</v>
      </c>
      <c r="J537" s="42" t="str">
        <f t="shared" si="17"/>
        <v>13311</v>
      </c>
    </row>
    <row r="538" spans="1:10">
      <c r="A538" s="30">
        <v>46230</v>
      </c>
      <c r="B538" s="31" t="s">
        <v>816</v>
      </c>
      <c r="C538" s="32" t="s">
        <v>252</v>
      </c>
      <c r="D538" s="19" t="s">
        <v>2246</v>
      </c>
      <c r="E538" s="275">
        <v>1009</v>
      </c>
      <c r="F538" s="272"/>
      <c r="G538" s="32" t="s">
        <v>434</v>
      </c>
      <c r="H538" s="32" t="s">
        <v>334</v>
      </c>
      <c r="I538" s="2">
        <f t="shared" si="16"/>
        <v>1009</v>
      </c>
      <c r="J538" s="42" t="str">
        <f t="shared" si="17"/>
        <v>13311</v>
      </c>
    </row>
    <row r="539" spans="1:10">
      <c r="A539" s="30">
        <v>46230</v>
      </c>
      <c r="B539" s="31" t="s">
        <v>816</v>
      </c>
      <c r="C539" s="32" t="s">
        <v>252</v>
      </c>
      <c r="D539" s="19" t="s">
        <v>2246</v>
      </c>
      <c r="E539" s="275">
        <v>43742</v>
      </c>
      <c r="F539" s="272"/>
      <c r="G539" s="32" t="s">
        <v>434</v>
      </c>
      <c r="H539" s="32" t="s">
        <v>334</v>
      </c>
      <c r="I539" s="2">
        <f t="shared" si="16"/>
        <v>43742</v>
      </c>
      <c r="J539" s="42" t="str">
        <f t="shared" si="17"/>
        <v>13311</v>
      </c>
    </row>
    <row r="540" spans="1:10">
      <c r="A540" s="30">
        <v>46230</v>
      </c>
      <c r="B540" s="31" t="s">
        <v>816</v>
      </c>
      <c r="C540" s="32" t="s">
        <v>252</v>
      </c>
      <c r="D540" s="19" t="s">
        <v>2246</v>
      </c>
      <c r="E540" s="275">
        <v>2727</v>
      </c>
      <c r="F540" s="272"/>
      <c r="G540" s="32" t="s">
        <v>434</v>
      </c>
      <c r="H540" s="32" t="s">
        <v>334</v>
      </c>
      <c r="I540" s="2">
        <f t="shared" si="16"/>
        <v>2727</v>
      </c>
      <c r="J540" s="42" t="str">
        <f t="shared" si="17"/>
        <v>13311</v>
      </c>
    </row>
    <row r="541" spans="1:10">
      <c r="A541" s="30">
        <v>46230</v>
      </c>
      <c r="B541" s="31" t="s">
        <v>816</v>
      </c>
      <c r="C541" s="32" t="s">
        <v>252</v>
      </c>
      <c r="D541" s="19" t="s">
        <v>2246</v>
      </c>
      <c r="E541" s="275">
        <v>2727</v>
      </c>
      <c r="F541" s="272"/>
      <c r="G541" s="32" t="s">
        <v>434</v>
      </c>
      <c r="H541" s="32" t="s">
        <v>334</v>
      </c>
      <c r="I541" s="2">
        <f t="shared" si="16"/>
        <v>2727</v>
      </c>
      <c r="J541" s="42" t="str">
        <f t="shared" si="17"/>
        <v>13311</v>
      </c>
    </row>
    <row r="542" spans="1:10">
      <c r="A542" s="30">
        <v>46230</v>
      </c>
      <c r="B542" s="31" t="s">
        <v>816</v>
      </c>
      <c r="C542" s="32" t="s">
        <v>252</v>
      </c>
      <c r="D542" s="19" t="s">
        <v>2246</v>
      </c>
      <c r="E542" s="275">
        <v>2727</v>
      </c>
      <c r="F542" s="272"/>
      <c r="G542" s="32" t="s">
        <v>434</v>
      </c>
      <c r="H542" s="32" t="s">
        <v>334</v>
      </c>
      <c r="I542" s="2">
        <f t="shared" si="16"/>
        <v>2727</v>
      </c>
      <c r="J542" s="42" t="str">
        <f t="shared" si="17"/>
        <v>13311</v>
      </c>
    </row>
    <row r="543" spans="1:10">
      <c r="A543" s="30">
        <v>46230</v>
      </c>
      <c r="B543" s="31" t="s">
        <v>816</v>
      </c>
      <c r="C543" s="32" t="s">
        <v>252</v>
      </c>
      <c r="D543" s="19" t="s">
        <v>2246</v>
      </c>
      <c r="E543" s="275">
        <v>2727</v>
      </c>
      <c r="F543" s="272"/>
      <c r="G543" s="32" t="s">
        <v>434</v>
      </c>
      <c r="H543" s="32" t="s">
        <v>334</v>
      </c>
      <c r="I543" s="2">
        <f t="shared" si="16"/>
        <v>2727</v>
      </c>
      <c r="J543" s="42" t="str">
        <f t="shared" si="17"/>
        <v>13311</v>
      </c>
    </row>
    <row r="544" spans="1:10">
      <c r="A544" s="30">
        <v>46230</v>
      </c>
      <c r="B544" s="31" t="s">
        <v>816</v>
      </c>
      <c r="C544" s="32" t="s">
        <v>252</v>
      </c>
      <c r="D544" s="19" t="s">
        <v>2246</v>
      </c>
      <c r="E544" s="275">
        <v>2727</v>
      </c>
      <c r="F544" s="272"/>
      <c r="G544" s="32" t="s">
        <v>434</v>
      </c>
      <c r="H544" s="32" t="s">
        <v>334</v>
      </c>
      <c r="I544" s="2">
        <f t="shared" si="16"/>
        <v>2727</v>
      </c>
      <c r="J544" s="42" t="str">
        <f t="shared" si="17"/>
        <v>13311</v>
      </c>
    </row>
    <row r="545" spans="1:11">
      <c r="A545" s="30">
        <v>46230</v>
      </c>
      <c r="B545" s="31" t="s">
        <v>816</v>
      </c>
      <c r="C545" s="32" t="s">
        <v>252</v>
      </c>
      <c r="D545" s="19" t="s">
        <v>2246</v>
      </c>
      <c r="E545" s="275">
        <v>2727</v>
      </c>
      <c r="F545" s="272"/>
      <c r="G545" s="32" t="s">
        <v>434</v>
      </c>
      <c r="H545" s="32" t="s">
        <v>334</v>
      </c>
      <c r="I545" s="2">
        <f t="shared" si="16"/>
        <v>2727</v>
      </c>
      <c r="J545" s="42" t="str">
        <f t="shared" si="17"/>
        <v>13311</v>
      </c>
    </row>
    <row r="546" spans="1:11">
      <c r="A546" s="30">
        <v>46230</v>
      </c>
      <c r="B546" s="31" t="s">
        <v>816</v>
      </c>
      <c r="C546" s="32" t="s">
        <v>252</v>
      </c>
      <c r="D546" s="19" t="s">
        <v>2246</v>
      </c>
      <c r="E546" s="275">
        <v>18182</v>
      </c>
      <c r="F546" s="272"/>
      <c r="G546" s="32" t="s">
        <v>434</v>
      </c>
      <c r="H546" s="32" t="s">
        <v>334</v>
      </c>
      <c r="I546" s="2">
        <f t="shared" si="16"/>
        <v>18182</v>
      </c>
      <c r="J546" s="42" t="str">
        <f t="shared" si="17"/>
        <v>13311</v>
      </c>
    </row>
    <row r="547" spans="1:11">
      <c r="A547" s="30">
        <v>46230</v>
      </c>
      <c r="B547" s="31" t="s">
        <v>816</v>
      </c>
      <c r="C547" s="32" t="s">
        <v>252</v>
      </c>
      <c r="D547" s="19" t="s">
        <v>2246</v>
      </c>
      <c r="E547" s="275">
        <v>2727</v>
      </c>
      <c r="F547" s="272"/>
      <c r="G547" s="32" t="s">
        <v>434</v>
      </c>
      <c r="H547" s="32" t="s">
        <v>334</v>
      </c>
      <c r="I547" s="2">
        <f t="shared" si="16"/>
        <v>2727</v>
      </c>
      <c r="J547" s="42" t="str">
        <f t="shared" si="17"/>
        <v>13311</v>
      </c>
    </row>
    <row r="548" spans="1:11">
      <c r="A548" s="30">
        <v>46230</v>
      </c>
      <c r="B548" s="31" t="s">
        <v>816</v>
      </c>
      <c r="C548" s="32" t="s">
        <v>252</v>
      </c>
      <c r="D548" s="19" t="s">
        <v>2246</v>
      </c>
      <c r="E548" s="275">
        <v>2727</v>
      </c>
      <c r="F548" s="272"/>
      <c r="G548" s="32" t="s">
        <v>434</v>
      </c>
      <c r="H548" s="32" t="s">
        <v>334</v>
      </c>
      <c r="I548" s="2">
        <f t="shared" si="16"/>
        <v>2727</v>
      </c>
      <c r="J548" s="42" t="str">
        <f t="shared" si="17"/>
        <v>13311</v>
      </c>
    </row>
    <row r="549" spans="1:11">
      <c r="A549" s="30">
        <v>46230</v>
      </c>
      <c r="B549" s="31" t="s">
        <v>816</v>
      </c>
      <c r="C549" s="32" t="s">
        <v>252</v>
      </c>
      <c r="D549" s="19" t="s">
        <v>2246</v>
      </c>
      <c r="E549" s="275">
        <v>2727</v>
      </c>
      <c r="F549" s="272"/>
      <c r="G549" s="32" t="s">
        <v>434</v>
      </c>
      <c r="H549" s="32" t="s">
        <v>334</v>
      </c>
      <c r="I549" s="2">
        <f t="shared" si="16"/>
        <v>2727</v>
      </c>
      <c r="J549" s="42" t="str">
        <f t="shared" si="17"/>
        <v>13311</v>
      </c>
    </row>
    <row r="550" spans="1:11">
      <c r="A550" s="30">
        <v>46230</v>
      </c>
      <c r="B550" s="31" t="s">
        <v>816</v>
      </c>
      <c r="C550" s="32" t="s">
        <v>252</v>
      </c>
      <c r="D550" s="19" t="s">
        <v>2246</v>
      </c>
      <c r="E550" s="275">
        <v>2727</v>
      </c>
      <c r="F550" s="272"/>
      <c r="G550" s="32" t="s">
        <v>434</v>
      </c>
      <c r="H550" s="32" t="s">
        <v>334</v>
      </c>
      <c r="I550" s="2">
        <f t="shared" si="16"/>
        <v>2727</v>
      </c>
      <c r="J550" s="42" t="str">
        <f t="shared" si="17"/>
        <v>13311</v>
      </c>
    </row>
    <row r="551" spans="1:11">
      <c r="A551" s="30">
        <v>46230</v>
      </c>
      <c r="B551" s="31" t="s">
        <v>816</v>
      </c>
      <c r="C551" s="32" t="s">
        <v>252</v>
      </c>
      <c r="D551" s="19" t="s">
        <v>2246</v>
      </c>
      <c r="E551" s="275">
        <v>2727</v>
      </c>
      <c r="F551" s="272"/>
      <c r="G551" s="32" t="s">
        <v>434</v>
      </c>
      <c r="H551" s="32" t="s">
        <v>334</v>
      </c>
      <c r="I551" s="2">
        <f t="shared" si="16"/>
        <v>2727</v>
      </c>
      <c r="J551" s="42" t="str">
        <f t="shared" si="17"/>
        <v>13311</v>
      </c>
    </row>
    <row r="552" spans="1:11">
      <c r="A552" s="30">
        <v>46230</v>
      </c>
      <c r="B552" s="31" t="s">
        <v>816</v>
      </c>
      <c r="C552" s="32" t="s">
        <v>252</v>
      </c>
      <c r="D552" s="19" t="s">
        <v>2246</v>
      </c>
      <c r="E552" s="275">
        <v>2727</v>
      </c>
      <c r="F552" s="272"/>
      <c r="G552" s="32" t="s">
        <v>434</v>
      </c>
      <c r="H552" s="32" t="s">
        <v>334</v>
      </c>
      <c r="I552" s="2">
        <f t="shared" si="16"/>
        <v>2727</v>
      </c>
      <c r="J552" s="42" t="str">
        <f t="shared" si="17"/>
        <v>13311</v>
      </c>
    </row>
    <row r="553" spans="1:11">
      <c r="A553" s="30">
        <v>46230</v>
      </c>
      <c r="B553" s="31" t="s">
        <v>816</v>
      </c>
      <c r="C553" s="32" t="s">
        <v>252</v>
      </c>
      <c r="D553" s="19" t="s">
        <v>2246</v>
      </c>
      <c r="E553" s="275">
        <v>2727</v>
      </c>
      <c r="F553" s="272"/>
      <c r="G553" s="32" t="s">
        <v>434</v>
      </c>
      <c r="H553" s="32" t="s">
        <v>334</v>
      </c>
      <c r="I553" s="2">
        <f t="shared" si="16"/>
        <v>2727</v>
      </c>
      <c r="J553" s="42" t="str">
        <f t="shared" si="17"/>
        <v>13311</v>
      </c>
    </row>
    <row r="554" spans="1:11">
      <c r="A554" s="30">
        <v>46230</v>
      </c>
      <c r="B554" s="31" t="s">
        <v>816</v>
      </c>
      <c r="C554" s="32" t="s">
        <v>252</v>
      </c>
      <c r="D554" s="19" t="s">
        <v>2246</v>
      </c>
      <c r="E554" s="275">
        <v>10909</v>
      </c>
      <c r="F554" s="272"/>
      <c r="G554" s="32" t="s">
        <v>434</v>
      </c>
      <c r="H554" s="32" t="s">
        <v>334</v>
      </c>
      <c r="I554" s="2">
        <f t="shared" si="16"/>
        <v>10909</v>
      </c>
      <c r="J554" s="42" t="str">
        <f t="shared" si="17"/>
        <v>13311</v>
      </c>
      <c r="K554" s="51" t="s">
        <v>515</v>
      </c>
    </row>
    <row r="555" spans="1:11">
      <c r="A555" s="30">
        <v>46230</v>
      </c>
      <c r="B555" s="31" t="s">
        <v>816</v>
      </c>
      <c r="C555" s="32" t="s">
        <v>252</v>
      </c>
      <c r="D555" s="19" t="s">
        <v>2246</v>
      </c>
      <c r="E555" s="275">
        <v>2727</v>
      </c>
      <c r="F555" s="272"/>
      <c r="G555" s="32" t="s">
        <v>434</v>
      </c>
      <c r="H555" s="32" t="s">
        <v>334</v>
      </c>
      <c r="I555" s="2">
        <f t="shared" si="16"/>
        <v>2727</v>
      </c>
      <c r="J555" s="42" t="str">
        <f t="shared" si="17"/>
        <v>13311</v>
      </c>
    </row>
    <row r="556" spans="1:11">
      <c r="A556" s="30">
        <v>46230</v>
      </c>
      <c r="B556" s="31" t="s">
        <v>816</v>
      </c>
      <c r="C556" s="32" t="s">
        <v>252</v>
      </c>
      <c r="D556" s="19" t="s">
        <v>2246</v>
      </c>
      <c r="E556" s="275">
        <v>2727</v>
      </c>
      <c r="F556" s="272"/>
      <c r="G556" s="32" t="s">
        <v>434</v>
      </c>
      <c r="H556" s="32" t="s">
        <v>334</v>
      </c>
      <c r="I556" s="2">
        <f t="shared" si="16"/>
        <v>2727</v>
      </c>
      <c r="J556" s="42" t="str">
        <f t="shared" si="17"/>
        <v>13311</v>
      </c>
    </row>
    <row r="557" spans="1:11">
      <c r="A557" s="30">
        <v>46230</v>
      </c>
      <c r="B557" s="31" t="s">
        <v>816</v>
      </c>
      <c r="C557" s="32" t="s">
        <v>252</v>
      </c>
      <c r="D557" s="19" t="s">
        <v>2246</v>
      </c>
      <c r="E557" s="275">
        <v>2727</v>
      </c>
      <c r="F557" s="272"/>
      <c r="G557" s="32" t="s">
        <v>434</v>
      </c>
      <c r="H557" s="32" t="s">
        <v>334</v>
      </c>
      <c r="I557" s="2">
        <f t="shared" si="16"/>
        <v>2727</v>
      </c>
      <c r="J557" s="42" t="str">
        <f t="shared" si="17"/>
        <v>13311</v>
      </c>
    </row>
    <row r="558" spans="1:11">
      <c r="A558" s="30">
        <v>46230</v>
      </c>
      <c r="B558" s="31" t="s">
        <v>816</v>
      </c>
      <c r="C558" s="32" t="s">
        <v>252</v>
      </c>
      <c r="D558" s="19" t="s">
        <v>2246</v>
      </c>
      <c r="E558" s="275">
        <v>2727</v>
      </c>
      <c r="F558" s="272"/>
      <c r="G558" s="32" t="s">
        <v>434</v>
      </c>
      <c r="H558" s="32" t="s">
        <v>334</v>
      </c>
      <c r="I558" s="2">
        <f t="shared" si="16"/>
        <v>2727</v>
      </c>
      <c r="J558" s="42" t="str">
        <f t="shared" si="17"/>
        <v>13311</v>
      </c>
    </row>
    <row r="559" spans="1:11">
      <c r="A559" s="30">
        <v>46230</v>
      </c>
      <c r="B559" s="31" t="s">
        <v>816</v>
      </c>
      <c r="C559" s="32" t="s">
        <v>252</v>
      </c>
      <c r="D559" s="19" t="s">
        <v>2246</v>
      </c>
      <c r="E559" s="275">
        <v>2727</v>
      </c>
      <c r="F559" s="272"/>
      <c r="G559" s="32" t="s">
        <v>434</v>
      </c>
      <c r="H559" s="32" t="s">
        <v>334</v>
      </c>
      <c r="I559" s="2">
        <f t="shared" si="16"/>
        <v>2727</v>
      </c>
      <c r="J559" s="42" t="str">
        <f t="shared" si="17"/>
        <v>13311</v>
      </c>
    </row>
    <row r="560" spans="1:11">
      <c r="A560" s="30">
        <v>46230</v>
      </c>
      <c r="B560" s="31" t="s">
        <v>816</v>
      </c>
      <c r="C560" s="32" t="s">
        <v>252</v>
      </c>
      <c r="D560" s="19" t="s">
        <v>2246</v>
      </c>
      <c r="E560" s="275">
        <v>2727</v>
      </c>
      <c r="F560" s="272"/>
      <c r="G560" s="32" t="s">
        <v>434</v>
      </c>
      <c r="H560" s="32" t="s">
        <v>334</v>
      </c>
      <c r="I560" s="2">
        <f t="shared" si="16"/>
        <v>2727</v>
      </c>
      <c r="J560" s="42" t="str">
        <f t="shared" si="17"/>
        <v>13311</v>
      </c>
    </row>
    <row r="561" spans="1:10">
      <c r="A561" s="30">
        <v>46230</v>
      </c>
      <c r="B561" s="31" t="s">
        <v>816</v>
      </c>
      <c r="C561" s="32" t="s">
        <v>252</v>
      </c>
      <c r="D561" s="19" t="s">
        <v>2246</v>
      </c>
      <c r="E561" s="275">
        <v>2727</v>
      </c>
      <c r="F561" s="272"/>
      <c r="G561" s="32" t="s">
        <v>434</v>
      </c>
      <c r="H561" s="32" t="s">
        <v>334</v>
      </c>
      <c r="I561" s="2">
        <f t="shared" si="16"/>
        <v>2727</v>
      </c>
      <c r="J561" s="42" t="str">
        <f t="shared" si="17"/>
        <v>13311</v>
      </c>
    </row>
    <row r="562" spans="1:10">
      <c r="A562" s="30">
        <v>46230</v>
      </c>
      <c r="B562" s="31" t="s">
        <v>816</v>
      </c>
      <c r="C562" s="32" t="s">
        <v>252</v>
      </c>
      <c r="D562" s="19" t="s">
        <v>2246</v>
      </c>
      <c r="E562" s="275">
        <v>2727</v>
      </c>
      <c r="F562" s="272"/>
      <c r="G562" s="32" t="s">
        <v>434</v>
      </c>
      <c r="H562" s="32" t="s">
        <v>334</v>
      </c>
      <c r="I562" s="2">
        <f t="shared" si="16"/>
        <v>2727</v>
      </c>
      <c r="J562" s="42" t="str">
        <f t="shared" si="17"/>
        <v>13311</v>
      </c>
    </row>
    <row r="563" spans="1:10">
      <c r="A563" s="30">
        <v>46230</v>
      </c>
      <c r="B563" s="31" t="s">
        <v>816</v>
      </c>
      <c r="C563" s="32" t="s">
        <v>252</v>
      </c>
      <c r="D563" s="19" t="s">
        <v>2246</v>
      </c>
      <c r="E563" s="275">
        <v>2727</v>
      </c>
      <c r="F563" s="272"/>
      <c r="G563" s="32" t="s">
        <v>434</v>
      </c>
      <c r="H563" s="32" t="s">
        <v>334</v>
      </c>
      <c r="I563" s="2">
        <f t="shared" si="16"/>
        <v>2727</v>
      </c>
      <c r="J563" s="42" t="str">
        <f t="shared" si="17"/>
        <v>13311</v>
      </c>
    </row>
    <row r="564" spans="1:10">
      <c r="A564" s="30">
        <v>46230</v>
      </c>
      <c r="B564" s="31" t="s">
        <v>816</v>
      </c>
      <c r="C564" s="32" t="s">
        <v>252</v>
      </c>
      <c r="D564" s="19" t="s">
        <v>2246</v>
      </c>
      <c r="E564" s="275">
        <v>2727</v>
      </c>
      <c r="F564" s="272"/>
      <c r="G564" s="32" t="s">
        <v>434</v>
      </c>
      <c r="H564" s="32" t="s">
        <v>334</v>
      </c>
      <c r="I564" s="2">
        <f t="shared" si="16"/>
        <v>2727</v>
      </c>
      <c r="J564" s="42" t="str">
        <f t="shared" si="17"/>
        <v>13311</v>
      </c>
    </row>
    <row r="565" spans="1:10">
      <c r="A565" s="30">
        <v>46230</v>
      </c>
      <c r="B565" s="31" t="s">
        <v>816</v>
      </c>
      <c r="C565" s="32" t="s">
        <v>252</v>
      </c>
      <c r="D565" s="19" t="s">
        <v>2246</v>
      </c>
      <c r="E565" s="275">
        <v>2727</v>
      </c>
      <c r="F565" s="272"/>
      <c r="G565" s="32" t="s">
        <v>434</v>
      </c>
      <c r="H565" s="32" t="s">
        <v>334</v>
      </c>
      <c r="I565" s="2">
        <f t="shared" si="16"/>
        <v>2727</v>
      </c>
      <c r="J565" s="42" t="str">
        <f t="shared" si="17"/>
        <v>13311</v>
      </c>
    </row>
    <row r="566" spans="1:10">
      <c r="A566" s="30">
        <v>46230</v>
      </c>
      <c r="B566" s="31" t="s">
        <v>816</v>
      </c>
      <c r="C566" s="32" t="s">
        <v>252</v>
      </c>
      <c r="D566" s="19" t="s">
        <v>2246</v>
      </c>
      <c r="E566" s="275">
        <v>2727</v>
      </c>
      <c r="F566" s="272"/>
      <c r="G566" s="32" t="s">
        <v>434</v>
      </c>
      <c r="H566" s="32" t="s">
        <v>334</v>
      </c>
      <c r="I566" s="2">
        <f t="shared" si="16"/>
        <v>2727</v>
      </c>
      <c r="J566" s="42" t="str">
        <f t="shared" si="17"/>
        <v>13311</v>
      </c>
    </row>
    <row r="567" spans="1:10">
      <c r="A567" s="30">
        <v>46230</v>
      </c>
      <c r="B567" s="31" t="s">
        <v>816</v>
      </c>
      <c r="C567" s="32" t="s">
        <v>252</v>
      </c>
      <c r="D567" s="19" t="s">
        <v>2246</v>
      </c>
      <c r="E567" s="275">
        <v>2727</v>
      </c>
      <c r="F567" s="272"/>
      <c r="G567" s="32" t="s">
        <v>434</v>
      </c>
      <c r="H567" s="32" t="s">
        <v>334</v>
      </c>
      <c r="I567" s="2">
        <f t="shared" si="16"/>
        <v>2727</v>
      </c>
      <c r="J567" s="42" t="str">
        <f t="shared" si="17"/>
        <v>13311</v>
      </c>
    </row>
    <row r="568" spans="1:10">
      <c r="A568" s="30">
        <v>46230</v>
      </c>
      <c r="B568" s="31" t="s">
        <v>816</v>
      </c>
      <c r="C568" s="32" t="s">
        <v>252</v>
      </c>
      <c r="D568" s="19" t="s">
        <v>2246</v>
      </c>
      <c r="E568" s="275">
        <v>2727</v>
      </c>
      <c r="F568" s="272"/>
      <c r="G568" s="32" t="s">
        <v>434</v>
      </c>
      <c r="H568" s="32" t="s">
        <v>334</v>
      </c>
      <c r="I568" s="2">
        <f t="shared" si="16"/>
        <v>2727</v>
      </c>
      <c r="J568" s="42" t="str">
        <f t="shared" si="17"/>
        <v>13311</v>
      </c>
    </row>
    <row r="569" spans="1:10">
      <c r="A569" s="30">
        <v>46230</v>
      </c>
      <c r="B569" s="31" t="s">
        <v>816</v>
      </c>
      <c r="C569" s="32" t="s">
        <v>252</v>
      </c>
      <c r="D569" s="19" t="s">
        <v>2246</v>
      </c>
      <c r="E569" s="275">
        <v>2727</v>
      </c>
      <c r="F569" s="272"/>
      <c r="G569" s="32" t="s">
        <v>434</v>
      </c>
      <c r="H569" s="32" t="s">
        <v>334</v>
      </c>
      <c r="I569" s="2">
        <f t="shared" si="16"/>
        <v>2727</v>
      </c>
      <c r="J569" s="42" t="str">
        <f t="shared" si="17"/>
        <v>13311</v>
      </c>
    </row>
    <row r="570" spans="1:10">
      <c r="A570" s="30">
        <v>46230</v>
      </c>
      <c r="B570" s="31" t="s">
        <v>816</v>
      </c>
      <c r="C570" s="32" t="s">
        <v>252</v>
      </c>
      <c r="D570" s="19" t="s">
        <v>2246</v>
      </c>
      <c r="E570" s="275">
        <v>2727</v>
      </c>
      <c r="F570" s="272"/>
      <c r="G570" s="32" t="s">
        <v>434</v>
      </c>
      <c r="H570" s="32" t="s">
        <v>334</v>
      </c>
      <c r="I570" s="2">
        <f t="shared" si="16"/>
        <v>2727</v>
      </c>
      <c r="J570" s="42" t="str">
        <f t="shared" si="17"/>
        <v>13311</v>
      </c>
    </row>
    <row r="571" spans="1:10">
      <c r="A571" s="30">
        <v>46230</v>
      </c>
      <c r="B571" s="31" t="s">
        <v>816</v>
      </c>
      <c r="C571" s="32" t="s">
        <v>252</v>
      </c>
      <c r="D571" s="19" t="s">
        <v>2246</v>
      </c>
      <c r="E571" s="275">
        <v>2727</v>
      </c>
      <c r="F571" s="272"/>
      <c r="G571" s="32" t="s">
        <v>434</v>
      </c>
      <c r="H571" s="32" t="s">
        <v>334</v>
      </c>
      <c r="I571" s="2">
        <f t="shared" si="16"/>
        <v>2727</v>
      </c>
      <c r="J571" s="42" t="str">
        <f t="shared" si="17"/>
        <v>13311</v>
      </c>
    </row>
    <row r="572" spans="1:10">
      <c r="A572" s="30">
        <v>46230</v>
      </c>
      <c r="B572" s="31" t="s">
        <v>816</v>
      </c>
      <c r="C572" s="32" t="s">
        <v>252</v>
      </c>
      <c r="D572" s="19" t="s">
        <v>2246</v>
      </c>
      <c r="E572" s="275">
        <v>2727</v>
      </c>
      <c r="F572" s="272"/>
      <c r="G572" s="32" t="s">
        <v>434</v>
      </c>
      <c r="H572" s="32" t="s">
        <v>334</v>
      </c>
      <c r="I572" s="2">
        <f t="shared" si="16"/>
        <v>2727</v>
      </c>
      <c r="J572" s="42" t="str">
        <f t="shared" si="17"/>
        <v>13311</v>
      </c>
    </row>
    <row r="573" spans="1:10">
      <c r="A573" s="30">
        <v>46230</v>
      </c>
      <c r="B573" s="31" t="s">
        <v>816</v>
      </c>
      <c r="C573" s="32" t="s">
        <v>252</v>
      </c>
      <c r="D573" s="19" t="s">
        <v>2246</v>
      </c>
      <c r="E573" s="275">
        <v>2727</v>
      </c>
      <c r="F573" s="272"/>
      <c r="G573" s="32" t="s">
        <v>434</v>
      </c>
      <c r="H573" s="32" t="s">
        <v>334</v>
      </c>
      <c r="I573" s="2">
        <f t="shared" si="16"/>
        <v>2727</v>
      </c>
      <c r="J573" s="42" t="str">
        <f t="shared" si="17"/>
        <v>13311</v>
      </c>
    </row>
    <row r="574" spans="1:10">
      <c r="A574" s="30">
        <v>46230</v>
      </c>
      <c r="B574" s="31" t="s">
        <v>816</v>
      </c>
      <c r="C574" s="32" t="s">
        <v>252</v>
      </c>
      <c r="D574" s="19" t="s">
        <v>2246</v>
      </c>
      <c r="E574" s="275">
        <v>2727</v>
      </c>
      <c r="F574" s="272"/>
      <c r="G574" s="32" t="s">
        <v>434</v>
      </c>
      <c r="H574" s="32" t="s">
        <v>334</v>
      </c>
      <c r="I574" s="2">
        <f t="shared" si="16"/>
        <v>2727</v>
      </c>
      <c r="J574" s="42" t="str">
        <f t="shared" si="17"/>
        <v>13311</v>
      </c>
    </row>
    <row r="575" spans="1:10">
      <c r="A575" s="30">
        <v>46230</v>
      </c>
      <c r="B575" s="31" t="s">
        <v>816</v>
      </c>
      <c r="C575" s="32" t="s">
        <v>252</v>
      </c>
      <c r="D575" s="19" t="s">
        <v>2246</v>
      </c>
      <c r="E575" s="275">
        <v>2727</v>
      </c>
      <c r="F575" s="272"/>
      <c r="G575" s="32" t="s">
        <v>434</v>
      </c>
      <c r="H575" s="32" t="s">
        <v>334</v>
      </c>
      <c r="I575" s="2">
        <f t="shared" si="16"/>
        <v>2727</v>
      </c>
      <c r="J575" s="42" t="str">
        <f t="shared" si="17"/>
        <v>13311</v>
      </c>
    </row>
    <row r="576" spans="1:10">
      <c r="A576" s="30">
        <v>46230</v>
      </c>
      <c r="B576" s="31" t="s">
        <v>816</v>
      </c>
      <c r="C576" s="32" t="s">
        <v>252</v>
      </c>
      <c r="D576" s="19" t="s">
        <v>2246</v>
      </c>
      <c r="E576" s="275">
        <v>2727</v>
      </c>
      <c r="F576" s="272"/>
      <c r="G576" s="32" t="s">
        <v>434</v>
      </c>
      <c r="H576" s="32" t="s">
        <v>334</v>
      </c>
      <c r="I576" s="2">
        <f t="shared" si="16"/>
        <v>2727</v>
      </c>
      <c r="J576" s="42" t="str">
        <f t="shared" si="17"/>
        <v>13311</v>
      </c>
    </row>
    <row r="577" spans="1:10">
      <c r="A577" s="30">
        <v>46230</v>
      </c>
      <c r="B577" s="31" t="s">
        <v>816</v>
      </c>
      <c r="C577" s="32" t="s">
        <v>252</v>
      </c>
      <c r="D577" s="19" t="s">
        <v>2246</v>
      </c>
      <c r="E577" s="275">
        <v>2727</v>
      </c>
      <c r="F577" s="272"/>
      <c r="G577" s="32" t="s">
        <v>434</v>
      </c>
      <c r="H577" s="32" t="s">
        <v>334</v>
      </c>
      <c r="I577" s="2">
        <f t="shared" si="16"/>
        <v>2727</v>
      </c>
      <c r="J577" s="42" t="str">
        <f t="shared" si="17"/>
        <v>13311</v>
      </c>
    </row>
    <row r="578" spans="1:10">
      <c r="A578" s="30">
        <v>46230</v>
      </c>
      <c r="B578" s="31" t="s">
        <v>816</v>
      </c>
      <c r="C578" s="32" t="s">
        <v>252</v>
      </c>
      <c r="D578" s="19" t="s">
        <v>2246</v>
      </c>
      <c r="E578" s="275">
        <v>4000</v>
      </c>
      <c r="F578" s="272"/>
      <c r="G578" s="32" t="s">
        <v>434</v>
      </c>
      <c r="H578" s="32" t="s">
        <v>334</v>
      </c>
      <c r="I578" s="2">
        <f t="shared" si="16"/>
        <v>4000</v>
      </c>
      <c r="J578" s="42" t="str">
        <f t="shared" si="17"/>
        <v>13311</v>
      </c>
    </row>
    <row r="579" spans="1:10">
      <c r="A579" s="30">
        <v>46230</v>
      </c>
      <c r="B579" s="31" t="s">
        <v>816</v>
      </c>
      <c r="C579" s="32" t="s">
        <v>252</v>
      </c>
      <c r="D579" s="19" t="s">
        <v>2246</v>
      </c>
      <c r="E579" s="275">
        <v>33157</v>
      </c>
      <c r="F579" s="272"/>
      <c r="G579" s="32" t="s">
        <v>434</v>
      </c>
      <c r="H579" s="32" t="s">
        <v>334</v>
      </c>
      <c r="I579" s="2">
        <f t="shared" si="16"/>
        <v>33157</v>
      </c>
      <c r="J579" s="42" t="str">
        <f t="shared" si="17"/>
        <v>13311</v>
      </c>
    </row>
    <row r="580" spans="1:10">
      <c r="A580" s="30">
        <v>46230</v>
      </c>
      <c r="B580" s="31" t="s">
        <v>816</v>
      </c>
      <c r="C580" s="32" t="s">
        <v>252</v>
      </c>
      <c r="D580" s="19" t="s">
        <v>2246</v>
      </c>
      <c r="E580" s="275">
        <v>4000</v>
      </c>
      <c r="F580" s="272"/>
      <c r="G580" s="32" t="s">
        <v>434</v>
      </c>
      <c r="H580" s="32" t="s">
        <v>334</v>
      </c>
      <c r="I580" s="2">
        <f t="shared" si="16"/>
        <v>4000</v>
      </c>
      <c r="J580" s="42" t="str">
        <f t="shared" si="17"/>
        <v>13311</v>
      </c>
    </row>
    <row r="581" spans="1:10">
      <c r="A581" s="30">
        <v>46230</v>
      </c>
      <c r="B581" s="31" t="s">
        <v>816</v>
      </c>
      <c r="C581" s="32" t="s">
        <v>252</v>
      </c>
      <c r="D581" s="19" t="s">
        <v>2246</v>
      </c>
      <c r="E581" s="275">
        <v>29305</v>
      </c>
      <c r="F581" s="272"/>
      <c r="G581" s="32" t="s">
        <v>434</v>
      </c>
      <c r="H581" s="32" t="s">
        <v>334</v>
      </c>
      <c r="I581" s="2">
        <f t="shared" si="16"/>
        <v>29305</v>
      </c>
      <c r="J581" s="42" t="str">
        <f t="shared" si="17"/>
        <v>13311</v>
      </c>
    </row>
    <row r="582" spans="1:10">
      <c r="A582" s="30">
        <v>46230</v>
      </c>
      <c r="B582" s="31" t="s">
        <v>816</v>
      </c>
      <c r="C582" s="32" t="s">
        <v>252</v>
      </c>
      <c r="D582" s="19" t="s">
        <v>2246</v>
      </c>
      <c r="E582" s="275">
        <v>4812</v>
      </c>
      <c r="F582" s="272"/>
      <c r="G582" s="32" t="s">
        <v>434</v>
      </c>
      <c r="H582" s="32" t="s">
        <v>334</v>
      </c>
      <c r="I582" s="2">
        <f t="shared" si="16"/>
        <v>4812</v>
      </c>
      <c r="J582" s="42" t="str">
        <f t="shared" si="17"/>
        <v>13311</v>
      </c>
    </row>
    <row r="583" spans="1:10">
      <c r="A583" s="30">
        <v>46230</v>
      </c>
      <c r="B583" s="31" t="s">
        <v>816</v>
      </c>
      <c r="C583" s="32" t="s">
        <v>252</v>
      </c>
      <c r="D583" s="19" t="s">
        <v>2246</v>
      </c>
      <c r="E583" s="275">
        <v>16831</v>
      </c>
      <c r="F583" s="272"/>
      <c r="G583" s="32" t="s">
        <v>434</v>
      </c>
      <c r="H583" s="32" t="s">
        <v>334</v>
      </c>
      <c r="I583" s="2">
        <f t="shared" si="16"/>
        <v>16831</v>
      </c>
      <c r="J583" s="42" t="str">
        <f t="shared" si="17"/>
        <v>13311</v>
      </c>
    </row>
    <row r="584" spans="1:10">
      <c r="A584" s="30">
        <v>46230</v>
      </c>
      <c r="B584" s="31" t="s">
        <v>816</v>
      </c>
      <c r="C584" s="32" t="s">
        <v>252</v>
      </c>
      <c r="D584" s="19" t="s">
        <v>2246</v>
      </c>
      <c r="E584" s="275">
        <v>31257</v>
      </c>
      <c r="F584" s="272"/>
      <c r="G584" s="32" t="s">
        <v>434</v>
      </c>
      <c r="H584" s="32" t="s">
        <v>334</v>
      </c>
      <c r="I584" s="2">
        <f t="shared" si="16"/>
        <v>31257</v>
      </c>
      <c r="J584" s="42" t="str">
        <f t="shared" si="17"/>
        <v>13311</v>
      </c>
    </row>
    <row r="585" spans="1:10">
      <c r="A585" s="30">
        <v>46230</v>
      </c>
      <c r="B585" s="31" t="s">
        <v>816</v>
      </c>
      <c r="C585" s="32" t="s">
        <v>252</v>
      </c>
      <c r="D585" s="19" t="s">
        <v>2246</v>
      </c>
      <c r="E585" s="275">
        <v>6011</v>
      </c>
      <c r="F585" s="272"/>
      <c r="G585" s="32" t="s">
        <v>434</v>
      </c>
      <c r="H585" s="32" t="s">
        <v>334</v>
      </c>
      <c r="I585" s="2">
        <f t="shared" si="16"/>
        <v>6011</v>
      </c>
      <c r="J585" s="42" t="str">
        <f t="shared" si="17"/>
        <v>13311</v>
      </c>
    </row>
    <row r="586" spans="1:10">
      <c r="A586" s="30">
        <v>46230</v>
      </c>
      <c r="B586" s="31" t="s">
        <v>816</v>
      </c>
      <c r="C586" s="32" t="s">
        <v>252</v>
      </c>
      <c r="D586" s="19" t="s">
        <v>2246</v>
      </c>
      <c r="E586" s="275">
        <v>64968</v>
      </c>
      <c r="F586" s="272"/>
      <c r="G586" s="32" t="s">
        <v>434</v>
      </c>
      <c r="H586" s="32" t="s">
        <v>334</v>
      </c>
      <c r="I586" s="2">
        <f t="shared" si="16"/>
        <v>64968</v>
      </c>
      <c r="J586" s="42" t="str">
        <f t="shared" si="17"/>
        <v>13311</v>
      </c>
    </row>
    <row r="587" spans="1:10">
      <c r="A587" s="30">
        <v>46230</v>
      </c>
      <c r="B587" s="31" t="s">
        <v>816</v>
      </c>
      <c r="C587" s="32" t="s">
        <v>252</v>
      </c>
      <c r="D587" s="19" t="s">
        <v>2246</v>
      </c>
      <c r="E587" s="275">
        <v>8455</v>
      </c>
      <c r="F587" s="272"/>
      <c r="G587" s="32" t="s">
        <v>434</v>
      </c>
      <c r="H587" s="32" t="s">
        <v>334</v>
      </c>
      <c r="I587" s="2">
        <f t="shared" ref="I587:I650" si="18">IF(LEN(A587)=5,E587,0)</f>
        <v>8455</v>
      </c>
      <c r="J587" s="42" t="str">
        <f t="shared" ref="J587:J650" si="19">IF(LEFT(A587,11)="Tài khoản: ",MID(A587,12,5),J586)</f>
        <v>13311</v>
      </c>
    </row>
    <row r="588" spans="1:10">
      <c r="A588" s="30">
        <v>46230</v>
      </c>
      <c r="B588" s="31" t="s">
        <v>816</v>
      </c>
      <c r="C588" s="32" t="s">
        <v>252</v>
      </c>
      <c r="D588" s="19" t="s">
        <v>2246</v>
      </c>
      <c r="E588" s="275">
        <v>99419</v>
      </c>
      <c r="F588" s="272"/>
      <c r="G588" s="32" t="s">
        <v>434</v>
      </c>
      <c r="H588" s="32" t="s">
        <v>334</v>
      </c>
      <c r="I588" s="2">
        <f t="shared" si="18"/>
        <v>99419</v>
      </c>
      <c r="J588" s="42" t="str">
        <f t="shared" si="19"/>
        <v>13311</v>
      </c>
    </row>
    <row r="589" spans="1:10">
      <c r="A589" s="30">
        <v>46230</v>
      </c>
      <c r="B589" s="31" t="s">
        <v>816</v>
      </c>
      <c r="C589" s="32" t="s">
        <v>252</v>
      </c>
      <c r="D589" s="19" t="s">
        <v>2246</v>
      </c>
      <c r="E589" s="275">
        <v>13445</v>
      </c>
      <c r="F589" s="272"/>
      <c r="G589" s="32" t="s">
        <v>434</v>
      </c>
      <c r="H589" s="32" t="s">
        <v>334</v>
      </c>
      <c r="I589" s="2">
        <f t="shared" si="18"/>
        <v>13445</v>
      </c>
      <c r="J589" s="42" t="str">
        <f t="shared" si="19"/>
        <v>13311</v>
      </c>
    </row>
    <row r="590" spans="1:10">
      <c r="A590" s="30">
        <v>46230</v>
      </c>
      <c r="B590" s="31" t="s">
        <v>816</v>
      </c>
      <c r="C590" s="32" t="s">
        <v>252</v>
      </c>
      <c r="D590" s="19" t="s">
        <v>2246</v>
      </c>
      <c r="E590" s="275">
        <v>9605</v>
      </c>
      <c r="F590" s="272"/>
      <c r="G590" s="32" t="s">
        <v>434</v>
      </c>
      <c r="H590" s="32" t="s">
        <v>334</v>
      </c>
      <c r="I590" s="2">
        <f t="shared" si="18"/>
        <v>9605</v>
      </c>
      <c r="J590" s="42" t="str">
        <f t="shared" si="19"/>
        <v>13311</v>
      </c>
    </row>
    <row r="591" spans="1:10">
      <c r="A591" s="30">
        <v>46230</v>
      </c>
      <c r="B591" s="31" t="s">
        <v>816</v>
      </c>
      <c r="C591" s="32" t="s">
        <v>252</v>
      </c>
      <c r="D591" s="19" t="s">
        <v>2246</v>
      </c>
      <c r="E591" s="275">
        <v>57025</v>
      </c>
      <c r="F591" s="272"/>
      <c r="G591" s="32" t="s">
        <v>434</v>
      </c>
      <c r="H591" s="32" t="s">
        <v>334</v>
      </c>
      <c r="I591" s="2">
        <f t="shared" si="18"/>
        <v>57025</v>
      </c>
      <c r="J591" s="42" t="str">
        <f t="shared" si="19"/>
        <v>13311</v>
      </c>
    </row>
    <row r="592" spans="1:10">
      <c r="A592" s="30">
        <v>46230</v>
      </c>
      <c r="B592" s="31" t="s">
        <v>816</v>
      </c>
      <c r="C592" s="32" t="s">
        <v>252</v>
      </c>
      <c r="D592" s="19" t="s">
        <v>2246</v>
      </c>
      <c r="E592" s="275">
        <v>9486</v>
      </c>
      <c r="F592" s="272"/>
      <c r="G592" s="32" t="s">
        <v>434</v>
      </c>
      <c r="H592" s="32" t="s">
        <v>334</v>
      </c>
      <c r="I592" s="2">
        <f t="shared" si="18"/>
        <v>9486</v>
      </c>
      <c r="J592" s="42" t="str">
        <f t="shared" si="19"/>
        <v>13311</v>
      </c>
    </row>
    <row r="593" spans="1:10">
      <c r="A593" s="30">
        <v>46230</v>
      </c>
      <c r="B593" s="31" t="s">
        <v>816</v>
      </c>
      <c r="C593" s="32" t="s">
        <v>252</v>
      </c>
      <c r="D593" s="19" t="s">
        <v>2246</v>
      </c>
      <c r="E593" s="275">
        <v>52779</v>
      </c>
      <c r="F593" s="272"/>
      <c r="G593" s="32" t="s">
        <v>434</v>
      </c>
      <c r="H593" s="32" t="s">
        <v>334</v>
      </c>
      <c r="I593" s="2">
        <f t="shared" si="18"/>
        <v>52779</v>
      </c>
      <c r="J593" s="42" t="str">
        <f t="shared" si="19"/>
        <v>13311</v>
      </c>
    </row>
    <row r="594" spans="1:10">
      <c r="A594" s="30">
        <v>46230</v>
      </c>
      <c r="B594" s="31" t="s">
        <v>816</v>
      </c>
      <c r="C594" s="32" t="s">
        <v>252</v>
      </c>
      <c r="D594" s="19" t="s">
        <v>2246</v>
      </c>
      <c r="E594" s="275">
        <v>48909</v>
      </c>
      <c r="F594" s="272"/>
      <c r="G594" s="32" t="s">
        <v>434</v>
      </c>
      <c r="H594" s="32" t="s">
        <v>334</v>
      </c>
      <c r="I594" s="2">
        <f t="shared" si="18"/>
        <v>48909</v>
      </c>
      <c r="J594" s="42" t="str">
        <f t="shared" si="19"/>
        <v>13311</v>
      </c>
    </row>
    <row r="595" spans="1:10">
      <c r="A595" s="30">
        <v>46230</v>
      </c>
      <c r="B595" s="31" t="s">
        <v>816</v>
      </c>
      <c r="C595" s="32" t="s">
        <v>252</v>
      </c>
      <c r="D595" s="19" t="s">
        <v>2246</v>
      </c>
      <c r="E595" s="275">
        <v>9109</v>
      </c>
      <c r="F595" s="272"/>
      <c r="G595" s="32" t="s">
        <v>434</v>
      </c>
      <c r="H595" s="32" t="s">
        <v>334</v>
      </c>
      <c r="I595" s="2">
        <f t="shared" si="18"/>
        <v>9109</v>
      </c>
      <c r="J595" s="42" t="str">
        <f t="shared" si="19"/>
        <v>13311</v>
      </c>
    </row>
    <row r="596" spans="1:10">
      <c r="A596" s="30">
        <v>46230</v>
      </c>
      <c r="B596" s="31" t="s">
        <v>816</v>
      </c>
      <c r="C596" s="32" t="s">
        <v>252</v>
      </c>
      <c r="D596" s="19" t="s">
        <v>2246</v>
      </c>
      <c r="E596" s="275">
        <v>36364</v>
      </c>
      <c r="F596" s="272"/>
      <c r="G596" s="32" t="s">
        <v>434</v>
      </c>
      <c r="H596" s="32" t="s">
        <v>334</v>
      </c>
      <c r="I596" s="2">
        <f t="shared" si="18"/>
        <v>36364</v>
      </c>
      <c r="J596" s="42" t="str">
        <f t="shared" si="19"/>
        <v>13311</v>
      </c>
    </row>
    <row r="597" spans="1:10">
      <c r="A597" s="30">
        <v>46230</v>
      </c>
      <c r="B597" s="31" t="s">
        <v>816</v>
      </c>
      <c r="C597" s="32" t="s">
        <v>252</v>
      </c>
      <c r="D597" s="19" t="s">
        <v>2246</v>
      </c>
      <c r="E597" s="275">
        <v>2000</v>
      </c>
      <c r="F597" s="272"/>
      <c r="G597" s="32" t="s">
        <v>434</v>
      </c>
      <c r="H597" s="32" t="s">
        <v>334</v>
      </c>
      <c r="I597" s="2">
        <f t="shared" si="18"/>
        <v>2000</v>
      </c>
      <c r="J597" s="42" t="str">
        <f t="shared" si="19"/>
        <v>13311</v>
      </c>
    </row>
    <row r="598" spans="1:10">
      <c r="A598" s="30">
        <v>46230</v>
      </c>
      <c r="B598" s="31" t="s">
        <v>816</v>
      </c>
      <c r="C598" s="32" t="s">
        <v>252</v>
      </c>
      <c r="D598" s="19" t="s">
        <v>2246</v>
      </c>
      <c r="E598" s="275">
        <v>34945</v>
      </c>
      <c r="F598" s="272"/>
      <c r="G598" s="32" t="s">
        <v>434</v>
      </c>
      <c r="H598" s="32" t="s">
        <v>334</v>
      </c>
      <c r="I598" s="2">
        <f t="shared" si="18"/>
        <v>34945</v>
      </c>
      <c r="J598" s="42" t="str">
        <f t="shared" si="19"/>
        <v>13311</v>
      </c>
    </row>
    <row r="599" spans="1:10">
      <c r="A599" s="30">
        <v>46230</v>
      </c>
      <c r="B599" s="31" t="s">
        <v>816</v>
      </c>
      <c r="C599" s="32" t="s">
        <v>252</v>
      </c>
      <c r="D599" s="19" t="s">
        <v>2246</v>
      </c>
      <c r="E599" s="275">
        <v>6120</v>
      </c>
      <c r="F599" s="272"/>
      <c r="G599" s="32" t="s">
        <v>434</v>
      </c>
      <c r="H599" s="32" t="s">
        <v>334</v>
      </c>
      <c r="I599" s="2">
        <f t="shared" si="18"/>
        <v>6120</v>
      </c>
      <c r="J599" s="42" t="str">
        <f t="shared" si="19"/>
        <v>13311</v>
      </c>
    </row>
    <row r="600" spans="1:10">
      <c r="A600" s="30">
        <v>46230</v>
      </c>
      <c r="B600" s="31" t="s">
        <v>816</v>
      </c>
      <c r="C600" s="32" t="s">
        <v>252</v>
      </c>
      <c r="D600" s="19" t="s">
        <v>2246</v>
      </c>
      <c r="E600" s="275">
        <v>38121</v>
      </c>
      <c r="F600" s="272"/>
      <c r="G600" s="32" t="s">
        <v>434</v>
      </c>
      <c r="H600" s="32" t="s">
        <v>334</v>
      </c>
      <c r="I600" s="2">
        <f t="shared" si="18"/>
        <v>38121</v>
      </c>
      <c r="J600" s="42" t="str">
        <f t="shared" si="19"/>
        <v>13311</v>
      </c>
    </row>
    <row r="601" spans="1:10">
      <c r="A601" s="30">
        <v>46230</v>
      </c>
      <c r="B601" s="31" t="s">
        <v>816</v>
      </c>
      <c r="C601" s="32" t="s">
        <v>252</v>
      </c>
      <c r="D601" s="19" t="s">
        <v>2246</v>
      </c>
      <c r="E601" s="275">
        <v>6000</v>
      </c>
      <c r="F601" s="272"/>
      <c r="G601" s="32" t="s">
        <v>434</v>
      </c>
      <c r="H601" s="32" t="s">
        <v>334</v>
      </c>
      <c r="I601" s="2">
        <f t="shared" si="18"/>
        <v>6000</v>
      </c>
      <c r="J601" s="42" t="str">
        <f t="shared" si="19"/>
        <v>13311</v>
      </c>
    </row>
    <row r="602" spans="1:10">
      <c r="A602" s="30">
        <v>46230</v>
      </c>
      <c r="B602" s="31" t="s">
        <v>816</v>
      </c>
      <c r="C602" s="32" t="s">
        <v>252</v>
      </c>
      <c r="D602" s="19" t="s">
        <v>2246</v>
      </c>
      <c r="E602" s="275">
        <v>6000</v>
      </c>
      <c r="F602" s="272"/>
      <c r="G602" s="32" t="s">
        <v>434</v>
      </c>
      <c r="H602" s="32" t="s">
        <v>334</v>
      </c>
      <c r="I602" s="2">
        <f t="shared" si="18"/>
        <v>6000</v>
      </c>
      <c r="J602" s="42" t="str">
        <f t="shared" si="19"/>
        <v>13311</v>
      </c>
    </row>
    <row r="603" spans="1:10">
      <c r="A603" s="30">
        <v>46230</v>
      </c>
      <c r="B603" s="31" t="s">
        <v>816</v>
      </c>
      <c r="C603" s="32" t="s">
        <v>252</v>
      </c>
      <c r="D603" s="19" t="s">
        <v>2246</v>
      </c>
      <c r="E603" s="275">
        <v>9282</v>
      </c>
      <c r="F603" s="272"/>
      <c r="G603" s="32" t="s">
        <v>434</v>
      </c>
      <c r="H603" s="32" t="s">
        <v>334</v>
      </c>
      <c r="I603" s="2">
        <f t="shared" si="18"/>
        <v>9282</v>
      </c>
      <c r="J603" s="42" t="str">
        <f t="shared" si="19"/>
        <v>13311</v>
      </c>
    </row>
    <row r="604" spans="1:10">
      <c r="A604" s="30">
        <v>46230</v>
      </c>
      <c r="B604" s="31" t="s">
        <v>816</v>
      </c>
      <c r="C604" s="32" t="s">
        <v>252</v>
      </c>
      <c r="D604" s="19" t="s">
        <v>2246</v>
      </c>
      <c r="E604" s="275">
        <v>27738</v>
      </c>
      <c r="F604" s="272"/>
      <c r="G604" s="32" t="s">
        <v>434</v>
      </c>
      <c r="H604" s="32" t="s">
        <v>334</v>
      </c>
      <c r="I604" s="2">
        <f t="shared" si="18"/>
        <v>27738</v>
      </c>
      <c r="J604" s="42" t="str">
        <f t="shared" si="19"/>
        <v>13311</v>
      </c>
    </row>
    <row r="605" spans="1:10">
      <c r="A605" s="30">
        <v>46230</v>
      </c>
      <c r="B605" s="31" t="s">
        <v>816</v>
      </c>
      <c r="C605" s="32" t="s">
        <v>252</v>
      </c>
      <c r="D605" s="19" t="s">
        <v>2246</v>
      </c>
      <c r="E605" s="275">
        <v>6000</v>
      </c>
      <c r="F605" s="272"/>
      <c r="G605" s="32" t="s">
        <v>434</v>
      </c>
      <c r="H605" s="32" t="s">
        <v>334</v>
      </c>
      <c r="I605" s="2">
        <f t="shared" si="18"/>
        <v>6000</v>
      </c>
      <c r="J605" s="42" t="str">
        <f t="shared" si="19"/>
        <v>13311</v>
      </c>
    </row>
    <row r="606" spans="1:10">
      <c r="A606" s="30">
        <v>46230</v>
      </c>
      <c r="B606" s="31" t="s">
        <v>816</v>
      </c>
      <c r="C606" s="32" t="s">
        <v>252</v>
      </c>
      <c r="D606" s="19" t="s">
        <v>2246</v>
      </c>
      <c r="E606" s="275">
        <v>6000</v>
      </c>
      <c r="F606" s="272"/>
      <c r="G606" s="32" t="s">
        <v>434</v>
      </c>
      <c r="H606" s="32" t="s">
        <v>334</v>
      </c>
      <c r="I606" s="2">
        <f t="shared" si="18"/>
        <v>6000</v>
      </c>
      <c r="J606" s="42" t="str">
        <f t="shared" si="19"/>
        <v>13311</v>
      </c>
    </row>
    <row r="607" spans="1:10">
      <c r="A607" s="30">
        <v>46230</v>
      </c>
      <c r="B607" s="31" t="s">
        <v>816</v>
      </c>
      <c r="C607" s="32" t="s">
        <v>252</v>
      </c>
      <c r="D607" s="19" t="s">
        <v>2246</v>
      </c>
      <c r="E607" s="275">
        <v>6000</v>
      </c>
      <c r="F607" s="272"/>
      <c r="G607" s="32" t="s">
        <v>434</v>
      </c>
      <c r="H607" s="32" t="s">
        <v>334</v>
      </c>
      <c r="I607" s="2">
        <f t="shared" si="18"/>
        <v>6000</v>
      </c>
      <c r="J607" s="42" t="str">
        <f t="shared" si="19"/>
        <v>13311</v>
      </c>
    </row>
    <row r="608" spans="1:10">
      <c r="A608" s="30">
        <v>46230</v>
      </c>
      <c r="B608" s="31" t="s">
        <v>816</v>
      </c>
      <c r="C608" s="32" t="s">
        <v>252</v>
      </c>
      <c r="D608" s="19" t="s">
        <v>2246</v>
      </c>
      <c r="E608" s="275">
        <v>34546</v>
      </c>
      <c r="F608" s="272"/>
      <c r="G608" s="32" t="s">
        <v>434</v>
      </c>
      <c r="H608" s="32" t="s">
        <v>334</v>
      </c>
      <c r="I608" s="2">
        <f t="shared" si="18"/>
        <v>34546</v>
      </c>
      <c r="J608" s="42" t="str">
        <f t="shared" si="19"/>
        <v>13311</v>
      </c>
    </row>
    <row r="609" spans="1:10">
      <c r="A609" s="30">
        <v>46230</v>
      </c>
      <c r="B609" s="31" t="s">
        <v>816</v>
      </c>
      <c r="C609" s="32" t="s">
        <v>252</v>
      </c>
      <c r="D609" s="19" t="s">
        <v>2246</v>
      </c>
      <c r="E609" s="275">
        <v>6000</v>
      </c>
      <c r="F609" s="272"/>
      <c r="G609" s="32" t="s">
        <v>434</v>
      </c>
      <c r="H609" s="32" t="s">
        <v>334</v>
      </c>
      <c r="I609" s="2">
        <f t="shared" si="18"/>
        <v>6000</v>
      </c>
      <c r="J609" s="42" t="str">
        <f t="shared" si="19"/>
        <v>13311</v>
      </c>
    </row>
    <row r="610" spans="1:10">
      <c r="A610" s="30">
        <v>46230</v>
      </c>
      <c r="B610" s="31" t="s">
        <v>816</v>
      </c>
      <c r="C610" s="32" t="s">
        <v>252</v>
      </c>
      <c r="D610" s="19" t="s">
        <v>2246</v>
      </c>
      <c r="E610" s="275">
        <v>52895</v>
      </c>
      <c r="F610" s="272"/>
      <c r="G610" s="32" t="s">
        <v>434</v>
      </c>
      <c r="H610" s="32" t="s">
        <v>334</v>
      </c>
      <c r="I610" s="2">
        <f t="shared" si="18"/>
        <v>52895</v>
      </c>
      <c r="J610" s="42" t="str">
        <f t="shared" si="19"/>
        <v>13311</v>
      </c>
    </row>
    <row r="611" spans="1:10">
      <c r="A611" s="30">
        <v>46230</v>
      </c>
      <c r="B611" s="31" t="s">
        <v>816</v>
      </c>
      <c r="C611" s="32" t="s">
        <v>252</v>
      </c>
      <c r="D611" s="19" t="s">
        <v>2246</v>
      </c>
      <c r="E611" s="275">
        <v>6000</v>
      </c>
      <c r="F611" s="272"/>
      <c r="G611" s="32" t="s">
        <v>434</v>
      </c>
      <c r="H611" s="32" t="s">
        <v>334</v>
      </c>
      <c r="I611" s="2">
        <f t="shared" si="18"/>
        <v>6000</v>
      </c>
      <c r="J611" s="42" t="str">
        <f t="shared" si="19"/>
        <v>13311</v>
      </c>
    </row>
    <row r="612" spans="1:10">
      <c r="A612" s="30">
        <v>46230</v>
      </c>
      <c r="B612" s="31" t="s">
        <v>816</v>
      </c>
      <c r="C612" s="32" t="s">
        <v>252</v>
      </c>
      <c r="D612" s="19" t="s">
        <v>2246</v>
      </c>
      <c r="E612" s="275">
        <v>27467</v>
      </c>
      <c r="F612" s="272"/>
      <c r="G612" s="32" t="s">
        <v>434</v>
      </c>
      <c r="H612" s="32" t="s">
        <v>334</v>
      </c>
      <c r="I612" s="2">
        <f t="shared" si="18"/>
        <v>27467</v>
      </c>
      <c r="J612" s="42" t="str">
        <f t="shared" si="19"/>
        <v>13311</v>
      </c>
    </row>
    <row r="613" spans="1:10">
      <c r="A613" s="30">
        <v>46230</v>
      </c>
      <c r="B613" s="31" t="s">
        <v>816</v>
      </c>
      <c r="C613" s="32" t="s">
        <v>252</v>
      </c>
      <c r="D613" s="19" t="s">
        <v>2246</v>
      </c>
      <c r="E613" s="275">
        <v>22674</v>
      </c>
      <c r="F613" s="272"/>
      <c r="G613" s="32" t="s">
        <v>434</v>
      </c>
      <c r="H613" s="32" t="s">
        <v>334</v>
      </c>
      <c r="I613" s="2">
        <f t="shared" si="18"/>
        <v>22674</v>
      </c>
      <c r="J613" s="42" t="str">
        <f t="shared" si="19"/>
        <v>13311</v>
      </c>
    </row>
    <row r="614" spans="1:10">
      <c r="A614" s="30">
        <v>46230</v>
      </c>
      <c r="B614" s="31" t="s">
        <v>816</v>
      </c>
      <c r="C614" s="32" t="s">
        <v>252</v>
      </c>
      <c r="D614" s="19" t="s">
        <v>2246</v>
      </c>
      <c r="E614" s="275">
        <v>6000</v>
      </c>
      <c r="F614" s="272"/>
      <c r="G614" s="32" t="s">
        <v>434</v>
      </c>
      <c r="H614" s="32" t="s">
        <v>334</v>
      </c>
      <c r="I614" s="2">
        <f t="shared" si="18"/>
        <v>6000</v>
      </c>
      <c r="J614" s="42" t="str">
        <f t="shared" si="19"/>
        <v>13311</v>
      </c>
    </row>
    <row r="615" spans="1:10">
      <c r="A615" s="30">
        <v>46230</v>
      </c>
      <c r="B615" s="31" t="s">
        <v>816</v>
      </c>
      <c r="C615" s="32" t="s">
        <v>252</v>
      </c>
      <c r="D615" s="19" t="s">
        <v>2246</v>
      </c>
      <c r="E615" s="275">
        <v>6000</v>
      </c>
      <c r="F615" s="272"/>
      <c r="G615" s="32" t="s">
        <v>434</v>
      </c>
      <c r="H615" s="32" t="s">
        <v>334</v>
      </c>
      <c r="I615" s="2">
        <f t="shared" si="18"/>
        <v>6000</v>
      </c>
      <c r="J615" s="42" t="str">
        <f t="shared" si="19"/>
        <v>13311</v>
      </c>
    </row>
    <row r="616" spans="1:10">
      <c r="A616" s="30">
        <v>46230</v>
      </c>
      <c r="B616" s="31" t="s">
        <v>816</v>
      </c>
      <c r="C616" s="32" t="s">
        <v>252</v>
      </c>
      <c r="D616" s="19" t="s">
        <v>2246</v>
      </c>
      <c r="E616" s="275">
        <v>68832</v>
      </c>
      <c r="F616" s="272"/>
      <c r="G616" s="32" t="s">
        <v>434</v>
      </c>
      <c r="H616" s="32" t="s">
        <v>334</v>
      </c>
      <c r="I616" s="2">
        <f t="shared" si="18"/>
        <v>68832</v>
      </c>
      <c r="J616" s="42" t="str">
        <f t="shared" si="19"/>
        <v>13311</v>
      </c>
    </row>
    <row r="617" spans="1:10">
      <c r="A617" s="30">
        <v>46230</v>
      </c>
      <c r="B617" s="31" t="s">
        <v>816</v>
      </c>
      <c r="C617" s="32" t="s">
        <v>252</v>
      </c>
      <c r="D617" s="19" t="s">
        <v>2246</v>
      </c>
      <c r="E617" s="275">
        <v>54181</v>
      </c>
      <c r="F617" s="272"/>
      <c r="G617" s="32" t="s">
        <v>434</v>
      </c>
      <c r="H617" s="32" t="s">
        <v>334</v>
      </c>
      <c r="I617" s="2">
        <f t="shared" si="18"/>
        <v>54181</v>
      </c>
      <c r="J617" s="42" t="str">
        <f t="shared" si="19"/>
        <v>13311</v>
      </c>
    </row>
    <row r="618" spans="1:10">
      <c r="A618" s="30">
        <v>46230</v>
      </c>
      <c r="B618" s="31" t="s">
        <v>816</v>
      </c>
      <c r="C618" s="32" t="s">
        <v>252</v>
      </c>
      <c r="D618" s="19" t="s">
        <v>2246</v>
      </c>
      <c r="E618" s="275">
        <v>7690</v>
      </c>
      <c r="F618" s="272"/>
      <c r="G618" s="32" t="s">
        <v>434</v>
      </c>
      <c r="H618" s="32" t="s">
        <v>334</v>
      </c>
      <c r="I618" s="2">
        <f t="shared" si="18"/>
        <v>7690</v>
      </c>
      <c r="J618" s="42" t="str">
        <f t="shared" si="19"/>
        <v>13311</v>
      </c>
    </row>
    <row r="619" spans="1:10">
      <c r="A619" s="30">
        <v>46230</v>
      </c>
      <c r="B619" s="31" t="s">
        <v>816</v>
      </c>
      <c r="C619" s="32" t="s">
        <v>252</v>
      </c>
      <c r="D619" s="19" t="s">
        <v>2246</v>
      </c>
      <c r="E619" s="275">
        <v>6000</v>
      </c>
      <c r="F619" s="272"/>
      <c r="G619" s="32" t="s">
        <v>434</v>
      </c>
      <c r="H619" s="32" t="s">
        <v>334</v>
      </c>
      <c r="I619" s="2">
        <f t="shared" si="18"/>
        <v>6000</v>
      </c>
      <c r="J619" s="42" t="str">
        <f t="shared" si="19"/>
        <v>13311</v>
      </c>
    </row>
    <row r="620" spans="1:10">
      <c r="A620" s="30">
        <v>46230</v>
      </c>
      <c r="B620" s="31" t="s">
        <v>816</v>
      </c>
      <c r="C620" s="32" t="s">
        <v>252</v>
      </c>
      <c r="D620" s="19" t="s">
        <v>2246</v>
      </c>
      <c r="E620" s="275">
        <v>6485</v>
      </c>
      <c r="F620" s="272"/>
      <c r="G620" s="32" t="s">
        <v>434</v>
      </c>
      <c r="H620" s="32" t="s">
        <v>334</v>
      </c>
      <c r="I620" s="2">
        <f t="shared" si="18"/>
        <v>6485</v>
      </c>
      <c r="J620" s="42" t="str">
        <f t="shared" si="19"/>
        <v>13311</v>
      </c>
    </row>
    <row r="621" spans="1:10">
      <c r="A621" s="30">
        <v>46230</v>
      </c>
      <c r="B621" s="31" t="s">
        <v>816</v>
      </c>
      <c r="C621" s="32" t="s">
        <v>252</v>
      </c>
      <c r="D621" s="19" t="s">
        <v>2246</v>
      </c>
      <c r="E621" s="275">
        <v>83744</v>
      </c>
      <c r="F621" s="272"/>
      <c r="G621" s="32" t="s">
        <v>434</v>
      </c>
      <c r="H621" s="32" t="s">
        <v>334</v>
      </c>
      <c r="I621" s="2">
        <f t="shared" si="18"/>
        <v>83744</v>
      </c>
      <c r="J621" s="42" t="str">
        <f t="shared" si="19"/>
        <v>13311</v>
      </c>
    </row>
    <row r="622" spans="1:10">
      <c r="A622" s="30">
        <v>46230</v>
      </c>
      <c r="B622" s="31" t="s">
        <v>816</v>
      </c>
      <c r="C622" s="32" t="s">
        <v>252</v>
      </c>
      <c r="D622" s="19" t="s">
        <v>2246</v>
      </c>
      <c r="E622" s="275">
        <v>6000</v>
      </c>
      <c r="F622" s="272"/>
      <c r="G622" s="32" t="s">
        <v>434</v>
      </c>
      <c r="H622" s="32" t="s">
        <v>334</v>
      </c>
      <c r="I622" s="2">
        <f t="shared" si="18"/>
        <v>6000</v>
      </c>
      <c r="J622" s="42" t="str">
        <f t="shared" si="19"/>
        <v>13311</v>
      </c>
    </row>
    <row r="623" spans="1:10">
      <c r="A623" s="30">
        <v>46230</v>
      </c>
      <c r="B623" s="31" t="s">
        <v>816</v>
      </c>
      <c r="C623" s="32" t="s">
        <v>252</v>
      </c>
      <c r="D623" s="19" t="s">
        <v>2246</v>
      </c>
      <c r="E623" s="275">
        <v>97349</v>
      </c>
      <c r="F623" s="272"/>
      <c r="G623" s="32" t="s">
        <v>434</v>
      </c>
      <c r="H623" s="32" t="s">
        <v>334</v>
      </c>
      <c r="I623" s="2">
        <f t="shared" si="18"/>
        <v>97349</v>
      </c>
      <c r="J623" s="42" t="str">
        <f t="shared" si="19"/>
        <v>13311</v>
      </c>
    </row>
    <row r="624" spans="1:10">
      <c r="A624" s="30">
        <v>46230</v>
      </c>
      <c r="B624" s="31" t="s">
        <v>816</v>
      </c>
      <c r="C624" s="32" t="s">
        <v>252</v>
      </c>
      <c r="D624" s="19" t="s">
        <v>2246</v>
      </c>
      <c r="E624" s="275">
        <v>6000</v>
      </c>
      <c r="F624" s="272"/>
      <c r="G624" s="32" t="s">
        <v>434</v>
      </c>
      <c r="H624" s="32" t="s">
        <v>334</v>
      </c>
      <c r="I624" s="2">
        <f t="shared" si="18"/>
        <v>6000</v>
      </c>
      <c r="J624" s="42" t="str">
        <f t="shared" si="19"/>
        <v>13311</v>
      </c>
    </row>
    <row r="625" spans="1:10">
      <c r="A625" s="30">
        <v>46230</v>
      </c>
      <c r="B625" s="31" t="s">
        <v>816</v>
      </c>
      <c r="C625" s="32" t="s">
        <v>252</v>
      </c>
      <c r="D625" s="19" t="s">
        <v>2246</v>
      </c>
      <c r="E625" s="275">
        <v>173009</v>
      </c>
      <c r="F625" s="272"/>
      <c r="G625" s="32" t="s">
        <v>434</v>
      </c>
      <c r="H625" s="32" t="s">
        <v>334</v>
      </c>
      <c r="I625" s="2">
        <f t="shared" si="18"/>
        <v>173009</v>
      </c>
      <c r="J625" s="42" t="str">
        <f t="shared" si="19"/>
        <v>13311</v>
      </c>
    </row>
    <row r="626" spans="1:10">
      <c r="A626" s="30">
        <v>46230</v>
      </c>
      <c r="B626" s="31" t="s">
        <v>816</v>
      </c>
      <c r="C626" s="32" t="s">
        <v>252</v>
      </c>
      <c r="D626" s="19" t="s">
        <v>2246</v>
      </c>
      <c r="E626" s="275">
        <v>86591</v>
      </c>
      <c r="F626" s="272"/>
      <c r="G626" s="32" t="s">
        <v>434</v>
      </c>
      <c r="H626" s="32" t="s">
        <v>334</v>
      </c>
      <c r="I626" s="2">
        <f t="shared" si="18"/>
        <v>86591</v>
      </c>
      <c r="J626" s="42" t="str">
        <f t="shared" si="19"/>
        <v>13311</v>
      </c>
    </row>
    <row r="627" spans="1:10">
      <c r="A627" s="30">
        <v>46230</v>
      </c>
      <c r="B627" s="31" t="s">
        <v>816</v>
      </c>
      <c r="C627" s="32" t="s">
        <v>252</v>
      </c>
      <c r="D627" s="19" t="s">
        <v>2246</v>
      </c>
      <c r="E627" s="275">
        <v>6000</v>
      </c>
      <c r="F627" s="272"/>
      <c r="G627" s="32" t="s">
        <v>434</v>
      </c>
      <c r="H627" s="32" t="s">
        <v>334</v>
      </c>
      <c r="I627" s="2">
        <f t="shared" si="18"/>
        <v>6000</v>
      </c>
      <c r="J627" s="42" t="str">
        <f t="shared" si="19"/>
        <v>13311</v>
      </c>
    </row>
    <row r="628" spans="1:10">
      <c r="A628" s="30">
        <v>46230</v>
      </c>
      <c r="B628" s="31" t="s">
        <v>816</v>
      </c>
      <c r="C628" s="32" t="s">
        <v>252</v>
      </c>
      <c r="D628" s="19" t="s">
        <v>2246</v>
      </c>
      <c r="E628" s="275">
        <v>27445</v>
      </c>
      <c r="F628" s="272"/>
      <c r="G628" s="32" t="s">
        <v>434</v>
      </c>
      <c r="H628" s="32" t="s">
        <v>334</v>
      </c>
      <c r="I628" s="2">
        <f t="shared" si="18"/>
        <v>27445</v>
      </c>
      <c r="J628" s="42" t="str">
        <f t="shared" si="19"/>
        <v>13311</v>
      </c>
    </row>
    <row r="629" spans="1:10">
      <c r="A629" s="30">
        <v>46230</v>
      </c>
      <c r="B629" s="31" t="s">
        <v>816</v>
      </c>
      <c r="C629" s="32" t="s">
        <v>252</v>
      </c>
      <c r="D629" s="19" t="s">
        <v>2246</v>
      </c>
      <c r="E629" s="275">
        <v>6000</v>
      </c>
      <c r="F629" s="272"/>
      <c r="G629" s="32" t="s">
        <v>434</v>
      </c>
      <c r="H629" s="32" t="s">
        <v>334</v>
      </c>
      <c r="I629" s="2">
        <f t="shared" si="18"/>
        <v>6000</v>
      </c>
      <c r="J629" s="42" t="str">
        <f t="shared" si="19"/>
        <v>13311</v>
      </c>
    </row>
    <row r="630" spans="1:10">
      <c r="A630" s="30">
        <v>46230</v>
      </c>
      <c r="B630" s="31" t="s">
        <v>816</v>
      </c>
      <c r="C630" s="32" t="s">
        <v>252</v>
      </c>
      <c r="D630" s="19" t="s">
        <v>2246</v>
      </c>
      <c r="E630" s="275">
        <v>6598</v>
      </c>
      <c r="F630" s="272"/>
      <c r="G630" s="32" t="s">
        <v>434</v>
      </c>
      <c r="H630" s="32" t="s">
        <v>334</v>
      </c>
      <c r="I630" s="2">
        <f t="shared" si="18"/>
        <v>6598</v>
      </c>
      <c r="J630" s="42" t="str">
        <f t="shared" si="19"/>
        <v>13311</v>
      </c>
    </row>
    <row r="631" spans="1:10">
      <c r="A631" s="30">
        <v>46230</v>
      </c>
      <c r="B631" s="31" t="s">
        <v>816</v>
      </c>
      <c r="C631" s="32" t="s">
        <v>252</v>
      </c>
      <c r="D631" s="19" t="s">
        <v>2246</v>
      </c>
      <c r="E631" s="275">
        <v>31569</v>
      </c>
      <c r="F631" s="272"/>
      <c r="G631" s="32" t="s">
        <v>434</v>
      </c>
      <c r="H631" s="32" t="s">
        <v>334</v>
      </c>
      <c r="I631" s="2">
        <f t="shared" si="18"/>
        <v>31569</v>
      </c>
      <c r="J631" s="42" t="str">
        <f t="shared" si="19"/>
        <v>13311</v>
      </c>
    </row>
    <row r="632" spans="1:10">
      <c r="A632" s="30">
        <v>46230</v>
      </c>
      <c r="B632" s="31" t="s">
        <v>816</v>
      </c>
      <c r="C632" s="32" t="s">
        <v>252</v>
      </c>
      <c r="D632" s="19" t="s">
        <v>2246</v>
      </c>
      <c r="E632" s="275">
        <v>4000</v>
      </c>
      <c r="F632" s="272"/>
      <c r="G632" s="32" t="s">
        <v>434</v>
      </c>
      <c r="H632" s="32" t="s">
        <v>334</v>
      </c>
      <c r="I632" s="2">
        <f t="shared" si="18"/>
        <v>4000</v>
      </c>
      <c r="J632" s="42" t="str">
        <f t="shared" si="19"/>
        <v>13311</v>
      </c>
    </row>
    <row r="633" spans="1:10">
      <c r="A633" s="30">
        <v>46230</v>
      </c>
      <c r="B633" s="31" t="s">
        <v>816</v>
      </c>
      <c r="C633" s="32" t="s">
        <v>252</v>
      </c>
      <c r="D633" s="19" t="s">
        <v>2246</v>
      </c>
      <c r="E633" s="275">
        <v>6000</v>
      </c>
      <c r="F633" s="272"/>
      <c r="G633" s="32" t="s">
        <v>434</v>
      </c>
      <c r="H633" s="32" t="s">
        <v>334</v>
      </c>
      <c r="I633" s="2">
        <f t="shared" si="18"/>
        <v>6000</v>
      </c>
      <c r="J633" s="42" t="str">
        <f t="shared" si="19"/>
        <v>13311</v>
      </c>
    </row>
    <row r="634" spans="1:10">
      <c r="A634" s="30">
        <v>46230</v>
      </c>
      <c r="B634" s="31" t="s">
        <v>816</v>
      </c>
      <c r="C634" s="32" t="s">
        <v>252</v>
      </c>
      <c r="D634" s="19" t="s">
        <v>2246</v>
      </c>
      <c r="E634" s="275">
        <v>19166</v>
      </c>
      <c r="F634" s="272"/>
      <c r="G634" s="32" t="s">
        <v>434</v>
      </c>
      <c r="H634" s="32" t="s">
        <v>334</v>
      </c>
      <c r="I634" s="2">
        <f t="shared" si="18"/>
        <v>19166</v>
      </c>
      <c r="J634" s="42" t="str">
        <f t="shared" si="19"/>
        <v>13311</v>
      </c>
    </row>
    <row r="635" spans="1:10">
      <c r="A635" s="30">
        <v>46230</v>
      </c>
      <c r="B635" s="31" t="s">
        <v>816</v>
      </c>
      <c r="C635" s="32" t="s">
        <v>252</v>
      </c>
      <c r="D635" s="19" t="s">
        <v>2246</v>
      </c>
      <c r="E635" s="275">
        <v>4545</v>
      </c>
      <c r="F635" s="272"/>
      <c r="G635" s="32" t="s">
        <v>434</v>
      </c>
      <c r="H635" s="32" t="s">
        <v>334</v>
      </c>
      <c r="I635" s="2">
        <f t="shared" si="18"/>
        <v>4545</v>
      </c>
      <c r="J635" s="42" t="str">
        <f t="shared" si="19"/>
        <v>13311</v>
      </c>
    </row>
    <row r="636" spans="1:10">
      <c r="A636" s="30">
        <v>46230</v>
      </c>
      <c r="B636" s="31" t="s">
        <v>816</v>
      </c>
      <c r="C636" s="32" t="s">
        <v>252</v>
      </c>
      <c r="D636" s="19" t="s">
        <v>2246</v>
      </c>
      <c r="E636" s="275">
        <v>2000</v>
      </c>
      <c r="F636" s="272"/>
      <c r="G636" s="32" t="s">
        <v>434</v>
      </c>
      <c r="H636" s="32" t="s">
        <v>334</v>
      </c>
      <c r="I636" s="2">
        <f t="shared" si="18"/>
        <v>2000</v>
      </c>
      <c r="J636" s="42" t="str">
        <f t="shared" si="19"/>
        <v>13311</v>
      </c>
    </row>
    <row r="637" spans="1:10">
      <c r="A637" s="30">
        <v>46230</v>
      </c>
      <c r="B637" s="31" t="s">
        <v>816</v>
      </c>
      <c r="C637" s="32" t="s">
        <v>252</v>
      </c>
      <c r="D637" s="19" t="s">
        <v>2246</v>
      </c>
      <c r="E637" s="275">
        <v>2000</v>
      </c>
      <c r="F637" s="272"/>
      <c r="G637" s="32" t="s">
        <v>434</v>
      </c>
      <c r="H637" s="32" t="s">
        <v>334</v>
      </c>
      <c r="I637" s="2">
        <f t="shared" si="18"/>
        <v>2000</v>
      </c>
      <c r="J637" s="42" t="str">
        <f t="shared" si="19"/>
        <v>13311</v>
      </c>
    </row>
    <row r="638" spans="1:10">
      <c r="A638" s="30">
        <v>46230</v>
      </c>
      <c r="B638" s="31" t="s">
        <v>816</v>
      </c>
      <c r="C638" s="32" t="s">
        <v>252</v>
      </c>
      <c r="D638" s="19" t="s">
        <v>2246</v>
      </c>
      <c r="E638" s="275">
        <v>2000</v>
      </c>
      <c r="F638" s="272"/>
      <c r="G638" s="32" t="s">
        <v>434</v>
      </c>
      <c r="H638" s="32" t="s">
        <v>334</v>
      </c>
      <c r="I638" s="2">
        <f t="shared" si="18"/>
        <v>2000</v>
      </c>
      <c r="J638" s="42" t="str">
        <f t="shared" si="19"/>
        <v>13311</v>
      </c>
    </row>
    <row r="639" spans="1:10">
      <c r="A639" s="30">
        <v>46230</v>
      </c>
      <c r="B639" s="31" t="s">
        <v>816</v>
      </c>
      <c r="C639" s="32" t="s">
        <v>252</v>
      </c>
      <c r="D639" s="19" t="s">
        <v>2246</v>
      </c>
      <c r="E639" s="275">
        <v>17660</v>
      </c>
      <c r="F639" s="272"/>
      <c r="G639" s="32" t="s">
        <v>434</v>
      </c>
      <c r="H639" s="32" t="s">
        <v>334</v>
      </c>
      <c r="I639" s="2">
        <f t="shared" si="18"/>
        <v>17660</v>
      </c>
      <c r="J639" s="42" t="str">
        <f t="shared" si="19"/>
        <v>13311</v>
      </c>
    </row>
    <row r="640" spans="1:10">
      <c r="A640" s="30">
        <v>46230</v>
      </c>
      <c r="B640" s="31" t="s">
        <v>816</v>
      </c>
      <c r="C640" s="32" t="s">
        <v>252</v>
      </c>
      <c r="D640" s="19" t="s">
        <v>2246</v>
      </c>
      <c r="E640" s="275">
        <v>6733</v>
      </c>
      <c r="F640" s="272"/>
      <c r="G640" s="32" t="s">
        <v>434</v>
      </c>
      <c r="H640" s="32" t="s">
        <v>334</v>
      </c>
      <c r="I640" s="2">
        <f t="shared" si="18"/>
        <v>6733</v>
      </c>
      <c r="J640" s="42" t="str">
        <f t="shared" si="19"/>
        <v>13311</v>
      </c>
    </row>
    <row r="641" spans="1:10">
      <c r="A641" s="30">
        <v>46230</v>
      </c>
      <c r="B641" s="31" t="s">
        <v>816</v>
      </c>
      <c r="C641" s="32" t="s">
        <v>252</v>
      </c>
      <c r="D641" s="19" t="s">
        <v>2246</v>
      </c>
      <c r="E641" s="275">
        <v>6000</v>
      </c>
      <c r="F641" s="272"/>
      <c r="G641" s="32" t="s">
        <v>434</v>
      </c>
      <c r="H641" s="32" t="s">
        <v>334</v>
      </c>
      <c r="I641" s="2">
        <f t="shared" si="18"/>
        <v>6000</v>
      </c>
      <c r="J641" s="42" t="str">
        <f t="shared" si="19"/>
        <v>13311</v>
      </c>
    </row>
    <row r="642" spans="1:10">
      <c r="A642" s="30">
        <v>46230</v>
      </c>
      <c r="B642" s="31" t="s">
        <v>816</v>
      </c>
      <c r="C642" s="32" t="s">
        <v>252</v>
      </c>
      <c r="D642" s="19" t="s">
        <v>2246</v>
      </c>
      <c r="E642" s="275">
        <v>6000</v>
      </c>
      <c r="F642" s="272"/>
      <c r="G642" s="32" t="s">
        <v>434</v>
      </c>
      <c r="H642" s="32" t="s">
        <v>334</v>
      </c>
      <c r="I642" s="2">
        <f t="shared" si="18"/>
        <v>6000</v>
      </c>
      <c r="J642" s="42" t="str">
        <f t="shared" si="19"/>
        <v>13311</v>
      </c>
    </row>
    <row r="643" spans="1:10">
      <c r="A643" s="30">
        <v>46230</v>
      </c>
      <c r="B643" s="31" t="s">
        <v>816</v>
      </c>
      <c r="C643" s="32" t="s">
        <v>252</v>
      </c>
      <c r="D643" s="19" t="s">
        <v>2246</v>
      </c>
      <c r="E643" s="275">
        <v>8877</v>
      </c>
      <c r="F643" s="272"/>
      <c r="G643" s="32" t="s">
        <v>434</v>
      </c>
      <c r="H643" s="32" t="s">
        <v>334</v>
      </c>
      <c r="I643" s="2">
        <f t="shared" si="18"/>
        <v>8877</v>
      </c>
      <c r="J643" s="42" t="str">
        <f t="shared" si="19"/>
        <v>13311</v>
      </c>
    </row>
    <row r="644" spans="1:10">
      <c r="A644" s="30">
        <v>46230</v>
      </c>
      <c r="B644" s="31" t="s">
        <v>816</v>
      </c>
      <c r="C644" s="32" t="s">
        <v>252</v>
      </c>
      <c r="D644" s="19" t="s">
        <v>2246</v>
      </c>
      <c r="E644" s="275">
        <v>6000</v>
      </c>
      <c r="F644" s="272"/>
      <c r="G644" s="32" t="s">
        <v>434</v>
      </c>
      <c r="H644" s="32" t="s">
        <v>334</v>
      </c>
      <c r="I644" s="2">
        <f t="shared" si="18"/>
        <v>6000</v>
      </c>
      <c r="J644" s="42" t="str">
        <f t="shared" si="19"/>
        <v>13311</v>
      </c>
    </row>
    <row r="645" spans="1:10">
      <c r="A645" s="30">
        <v>46230</v>
      </c>
      <c r="B645" s="31" t="s">
        <v>816</v>
      </c>
      <c r="C645" s="32" t="s">
        <v>252</v>
      </c>
      <c r="D645" s="19" t="s">
        <v>2246</v>
      </c>
      <c r="E645" s="275">
        <v>143864</v>
      </c>
      <c r="F645" s="272"/>
      <c r="G645" s="32" t="s">
        <v>434</v>
      </c>
      <c r="H645" s="32" t="s">
        <v>334</v>
      </c>
      <c r="I645" s="2">
        <f t="shared" si="18"/>
        <v>143864</v>
      </c>
      <c r="J645" s="42" t="str">
        <f t="shared" si="19"/>
        <v>13311</v>
      </c>
    </row>
    <row r="646" spans="1:10">
      <c r="A646" s="30">
        <v>46230</v>
      </c>
      <c r="B646" s="31" t="s">
        <v>816</v>
      </c>
      <c r="C646" s="32" t="s">
        <v>252</v>
      </c>
      <c r="D646" s="19" t="s">
        <v>2246</v>
      </c>
      <c r="E646" s="275">
        <v>6000</v>
      </c>
      <c r="F646" s="272"/>
      <c r="G646" s="32" t="s">
        <v>434</v>
      </c>
      <c r="H646" s="32" t="s">
        <v>334</v>
      </c>
      <c r="I646" s="2">
        <f t="shared" si="18"/>
        <v>6000</v>
      </c>
      <c r="J646" s="42" t="str">
        <f t="shared" si="19"/>
        <v>13311</v>
      </c>
    </row>
    <row r="647" spans="1:10">
      <c r="A647" s="30">
        <v>46230</v>
      </c>
      <c r="B647" s="31" t="s">
        <v>816</v>
      </c>
      <c r="C647" s="32" t="s">
        <v>252</v>
      </c>
      <c r="D647" s="19" t="s">
        <v>2246</v>
      </c>
      <c r="E647" s="275">
        <v>37023</v>
      </c>
      <c r="F647" s="272"/>
      <c r="G647" s="32" t="s">
        <v>434</v>
      </c>
      <c r="H647" s="32" t="s">
        <v>334</v>
      </c>
      <c r="I647" s="2">
        <f t="shared" si="18"/>
        <v>37023</v>
      </c>
      <c r="J647" s="42" t="str">
        <f t="shared" si="19"/>
        <v>13311</v>
      </c>
    </row>
    <row r="648" spans="1:10">
      <c r="A648" s="30">
        <v>46230</v>
      </c>
      <c r="B648" s="31" t="s">
        <v>816</v>
      </c>
      <c r="C648" s="32" t="s">
        <v>252</v>
      </c>
      <c r="D648" s="19" t="s">
        <v>2246</v>
      </c>
      <c r="E648" s="275">
        <v>6000</v>
      </c>
      <c r="F648" s="272"/>
      <c r="G648" s="32" t="s">
        <v>434</v>
      </c>
      <c r="H648" s="32" t="s">
        <v>334</v>
      </c>
      <c r="I648" s="2">
        <f t="shared" si="18"/>
        <v>6000</v>
      </c>
      <c r="J648" s="42" t="str">
        <f t="shared" si="19"/>
        <v>13311</v>
      </c>
    </row>
    <row r="649" spans="1:10">
      <c r="A649" s="30">
        <v>46230</v>
      </c>
      <c r="B649" s="31" t="s">
        <v>816</v>
      </c>
      <c r="C649" s="32" t="s">
        <v>252</v>
      </c>
      <c r="D649" s="19" t="s">
        <v>2246</v>
      </c>
      <c r="E649" s="275">
        <v>6187</v>
      </c>
      <c r="F649" s="272"/>
      <c r="G649" s="32" t="s">
        <v>434</v>
      </c>
      <c r="H649" s="32" t="s">
        <v>334</v>
      </c>
      <c r="I649" s="2">
        <f t="shared" si="18"/>
        <v>6187</v>
      </c>
      <c r="J649" s="42" t="str">
        <f t="shared" si="19"/>
        <v>13311</v>
      </c>
    </row>
    <row r="650" spans="1:10">
      <c r="A650" s="30">
        <v>46230</v>
      </c>
      <c r="B650" s="31" t="s">
        <v>816</v>
      </c>
      <c r="C650" s="32" t="s">
        <v>252</v>
      </c>
      <c r="D650" s="19" t="s">
        <v>2246</v>
      </c>
      <c r="E650" s="275">
        <v>2000</v>
      </c>
      <c r="F650" s="272"/>
      <c r="G650" s="32" t="s">
        <v>434</v>
      </c>
      <c r="H650" s="32" t="s">
        <v>334</v>
      </c>
      <c r="I650" s="2">
        <f t="shared" si="18"/>
        <v>2000</v>
      </c>
      <c r="J650" s="42" t="str">
        <f t="shared" si="19"/>
        <v>13311</v>
      </c>
    </row>
    <row r="651" spans="1:10">
      <c r="A651" s="30">
        <v>46230</v>
      </c>
      <c r="B651" s="31" t="s">
        <v>816</v>
      </c>
      <c r="C651" s="32" t="s">
        <v>252</v>
      </c>
      <c r="D651" s="19" t="s">
        <v>2246</v>
      </c>
      <c r="E651" s="275">
        <v>63636</v>
      </c>
      <c r="F651" s="272"/>
      <c r="G651" s="32" t="s">
        <v>434</v>
      </c>
      <c r="H651" s="32" t="s">
        <v>334</v>
      </c>
      <c r="I651" s="2">
        <f t="shared" ref="I651:I714" si="20">IF(LEN(A651)=5,E651,0)</f>
        <v>63636</v>
      </c>
      <c r="J651" s="42" t="str">
        <f t="shared" ref="J651:J714" si="21">IF(LEFT(A651,11)="Tài khoản: ",MID(A651,12,5),J650)</f>
        <v>13311</v>
      </c>
    </row>
    <row r="652" spans="1:10">
      <c r="A652" s="30">
        <v>46230</v>
      </c>
      <c r="B652" s="31" t="s">
        <v>816</v>
      </c>
      <c r="C652" s="32" t="s">
        <v>252</v>
      </c>
      <c r="D652" s="19" t="s">
        <v>2246</v>
      </c>
      <c r="E652" s="275">
        <v>27273</v>
      </c>
      <c r="F652" s="272"/>
      <c r="G652" s="32" t="s">
        <v>434</v>
      </c>
      <c r="H652" s="32" t="s">
        <v>334</v>
      </c>
      <c r="I652" s="2">
        <f t="shared" si="20"/>
        <v>27273</v>
      </c>
      <c r="J652" s="42" t="str">
        <f t="shared" si="21"/>
        <v>13311</v>
      </c>
    </row>
    <row r="653" spans="1:10">
      <c r="A653" s="30">
        <v>46230</v>
      </c>
      <c r="B653" s="31" t="s">
        <v>816</v>
      </c>
      <c r="C653" s="32" t="s">
        <v>252</v>
      </c>
      <c r="D653" s="19" t="s">
        <v>2246</v>
      </c>
      <c r="E653" s="275">
        <v>2000</v>
      </c>
      <c r="F653" s="272"/>
      <c r="G653" s="32" t="s">
        <v>434</v>
      </c>
      <c r="H653" s="32" t="s">
        <v>334</v>
      </c>
      <c r="I653" s="2">
        <f t="shared" si="20"/>
        <v>2000</v>
      </c>
      <c r="J653" s="42" t="str">
        <f t="shared" si="21"/>
        <v>13311</v>
      </c>
    </row>
    <row r="654" spans="1:10">
      <c r="A654" s="30">
        <v>46230</v>
      </c>
      <c r="B654" s="31" t="s">
        <v>816</v>
      </c>
      <c r="C654" s="32" t="s">
        <v>252</v>
      </c>
      <c r="D654" s="19" t="s">
        <v>2246</v>
      </c>
      <c r="E654" s="275">
        <v>22242</v>
      </c>
      <c r="F654" s="272"/>
      <c r="G654" s="32" t="s">
        <v>434</v>
      </c>
      <c r="H654" s="32" t="s">
        <v>334</v>
      </c>
      <c r="I654" s="2">
        <f t="shared" si="20"/>
        <v>22242</v>
      </c>
      <c r="J654" s="42" t="str">
        <f t="shared" si="21"/>
        <v>13311</v>
      </c>
    </row>
    <row r="655" spans="1:10">
      <c r="A655" s="30">
        <v>46230</v>
      </c>
      <c r="B655" s="31" t="s">
        <v>816</v>
      </c>
      <c r="C655" s="32" t="s">
        <v>252</v>
      </c>
      <c r="D655" s="19" t="s">
        <v>2246</v>
      </c>
      <c r="E655" s="275">
        <v>2000</v>
      </c>
      <c r="F655" s="272"/>
      <c r="G655" s="32" t="s">
        <v>434</v>
      </c>
      <c r="H655" s="32" t="s">
        <v>334</v>
      </c>
      <c r="I655" s="2">
        <f t="shared" si="20"/>
        <v>2000</v>
      </c>
      <c r="J655" s="42" t="str">
        <f t="shared" si="21"/>
        <v>13311</v>
      </c>
    </row>
    <row r="656" spans="1:10">
      <c r="A656" s="30">
        <v>46230</v>
      </c>
      <c r="B656" s="31" t="s">
        <v>816</v>
      </c>
      <c r="C656" s="32" t="s">
        <v>252</v>
      </c>
      <c r="D656" s="19" t="s">
        <v>2246</v>
      </c>
      <c r="E656" s="275">
        <v>14636</v>
      </c>
      <c r="F656" s="272"/>
      <c r="G656" s="32" t="s">
        <v>434</v>
      </c>
      <c r="H656" s="32" t="s">
        <v>334</v>
      </c>
      <c r="I656" s="2">
        <f t="shared" si="20"/>
        <v>14636</v>
      </c>
      <c r="J656" s="42" t="str">
        <f t="shared" si="21"/>
        <v>13311</v>
      </c>
    </row>
    <row r="657" spans="1:10">
      <c r="A657" s="30">
        <v>46230</v>
      </c>
      <c r="B657" s="31" t="s">
        <v>816</v>
      </c>
      <c r="C657" s="32" t="s">
        <v>252</v>
      </c>
      <c r="D657" s="19" t="s">
        <v>2246</v>
      </c>
      <c r="E657" s="275">
        <v>5128</v>
      </c>
      <c r="F657" s="272"/>
      <c r="G657" s="32" t="s">
        <v>434</v>
      </c>
      <c r="H657" s="32" t="s">
        <v>334</v>
      </c>
      <c r="I657" s="2">
        <f t="shared" si="20"/>
        <v>5128</v>
      </c>
      <c r="J657" s="42" t="str">
        <f t="shared" si="21"/>
        <v>13311</v>
      </c>
    </row>
    <row r="658" spans="1:10">
      <c r="A658" s="30">
        <v>46230</v>
      </c>
      <c r="B658" s="31" t="s">
        <v>816</v>
      </c>
      <c r="C658" s="32" t="s">
        <v>252</v>
      </c>
      <c r="D658" s="19" t="s">
        <v>2246</v>
      </c>
      <c r="E658" s="275">
        <v>10903</v>
      </c>
      <c r="F658" s="272"/>
      <c r="G658" s="32" t="s">
        <v>434</v>
      </c>
      <c r="H658" s="32" t="s">
        <v>334</v>
      </c>
      <c r="I658" s="2">
        <f t="shared" si="20"/>
        <v>10903</v>
      </c>
      <c r="J658" s="42" t="str">
        <f t="shared" si="21"/>
        <v>13311</v>
      </c>
    </row>
    <row r="659" spans="1:10">
      <c r="A659" s="30">
        <v>46230</v>
      </c>
      <c r="B659" s="31" t="s">
        <v>816</v>
      </c>
      <c r="C659" s="32" t="s">
        <v>252</v>
      </c>
      <c r="D659" s="19" t="s">
        <v>2246</v>
      </c>
      <c r="E659" s="275">
        <v>2000</v>
      </c>
      <c r="F659" s="272"/>
      <c r="G659" s="32" t="s">
        <v>434</v>
      </c>
      <c r="H659" s="32" t="s">
        <v>334</v>
      </c>
      <c r="I659" s="2">
        <f t="shared" si="20"/>
        <v>2000</v>
      </c>
      <c r="J659" s="42" t="str">
        <f t="shared" si="21"/>
        <v>13311</v>
      </c>
    </row>
    <row r="660" spans="1:10">
      <c r="A660" s="30">
        <v>46230</v>
      </c>
      <c r="B660" s="31" t="s">
        <v>816</v>
      </c>
      <c r="C660" s="32" t="s">
        <v>252</v>
      </c>
      <c r="D660" s="19" t="s">
        <v>2246</v>
      </c>
      <c r="E660" s="275">
        <v>19604</v>
      </c>
      <c r="F660" s="272"/>
      <c r="G660" s="32" t="s">
        <v>434</v>
      </c>
      <c r="H660" s="32" t="s">
        <v>334</v>
      </c>
      <c r="I660" s="2">
        <f t="shared" si="20"/>
        <v>19604</v>
      </c>
      <c r="J660" s="42" t="str">
        <f t="shared" si="21"/>
        <v>13311</v>
      </c>
    </row>
    <row r="661" spans="1:10">
      <c r="A661" s="30">
        <v>46230</v>
      </c>
      <c r="B661" s="31" t="s">
        <v>816</v>
      </c>
      <c r="C661" s="32" t="s">
        <v>252</v>
      </c>
      <c r="D661" s="19" t="s">
        <v>2246</v>
      </c>
      <c r="E661" s="275">
        <v>2818</v>
      </c>
      <c r="F661" s="272"/>
      <c r="G661" s="32" t="s">
        <v>434</v>
      </c>
      <c r="H661" s="32" t="s">
        <v>334</v>
      </c>
      <c r="I661" s="2">
        <f t="shared" si="20"/>
        <v>2818</v>
      </c>
      <c r="J661" s="42" t="str">
        <f t="shared" si="21"/>
        <v>13311</v>
      </c>
    </row>
    <row r="662" spans="1:10">
      <c r="A662" s="30">
        <v>46230</v>
      </c>
      <c r="B662" s="31" t="s">
        <v>816</v>
      </c>
      <c r="C662" s="32" t="s">
        <v>252</v>
      </c>
      <c r="D662" s="19" t="s">
        <v>2246</v>
      </c>
      <c r="E662" s="275">
        <v>40293</v>
      </c>
      <c r="F662" s="272"/>
      <c r="G662" s="32" t="s">
        <v>434</v>
      </c>
      <c r="H662" s="32" t="s">
        <v>334</v>
      </c>
      <c r="I662" s="2">
        <f t="shared" si="20"/>
        <v>40293</v>
      </c>
      <c r="J662" s="42" t="str">
        <f t="shared" si="21"/>
        <v>13311</v>
      </c>
    </row>
    <row r="663" spans="1:10">
      <c r="A663" s="30">
        <v>46230</v>
      </c>
      <c r="B663" s="31" t="s">
        <v>816</v>
      </c>
      <c r="C663" s="32" t="s">
        <v>252</v>
      </c>
      <c r="D663" s="19" t="s">
        <v>2246</v>
      </c>
      <c r="E663" s="275">
        <v>2000</v>
      </c>
      <c r="F663" s="272"/>
      <c r="G663" s="32" t="s">
        <v>434</v>
      </c>
      <c r="H663" s="32" t="s">
        <v>334</v>
      </c>
      <c r="I663" s="2">
        <f t="shared" si="20"/>
        <v>2000</v>
      </c>
      <c r="J663" s="42" t="str">
        <f t="shared" si="21"/>
        <v>13311</v>
      </c>
    </row>
    <row r="664" spans="1:10">
      <c r="A664" s="30">
        <v>46230</v>
      </c>
      <c r="B664" s="31" t="s">
        <v>816</v>
      </c>
      <c r="C664" s="32" t="s">
        <v>252</v>
      </c>
      <c r="D664" s="19" t="s">
        <v>2246</v>
      </c>
      <c r="E664" s="275">
        <v>2000</v>
      </c>
      <c r="F664" s="272"/>
      <c r="G664" s="32" t="s">
        <v>434</v>
      </c>
      <c r="H664" s="32" t="s">
        <v>334</v>
      </c>
      <c r="I664" s="2">
        <f t="shared" si="20"/>
        <v>2000</v>
      </c>
      <c r="J664" s="42" t="str">
        <f t="shared" si="21"/>
        <v>13311</v>
      </c>
    </row>
    <row r="665" spans="1:10">
      <c r="A665" s="30">
        <v>46230</v>
      </c>
      <c r="B665" s="31" t="s">
        <v>816</v>
      </c>
      <c r="C665" s="32" t="s">
        <v>252</v>
      </c>
      <c r="D665" s="19" t="s">
        <v>2246</v>
      </c>
      <c r="E665" s="275">
        <v>34924</v>
      </c>
      <c r="F665" s="272"/>
      <c r="G665" s="32" t="s">
        <v>434</v>
      </c>
      <c r="H665" s="32" t="s">
        <v>334</v>
      </c>
      <c r="I665" s="2">
        <f t="shared" si="20"/>
        <v>34924</v>
      </c>
      <c r="J665" s="42" t="str">
        <f t="shared" si="21"/>
        <v>13311</v>
      </c>
    </row>
    <row r="666" spans="1:10">
      <c r="A666" s="30">
        <v>46230</v>
      </c>
      <c r="B666" s="31" t="s">
        <v>816</v>
      </c>
      <c r="C666" s="32" t="s">
        <v>252</v>
      </c>
      <c r="D666" s="19" t="s">
        <v>2246</v>
      </c>
      <c r="E666" s="275">
        <v>2726</v>
      </c>
      <c r="F666" s="272"/>
      <c r="G666" s="32" t="s">
        <v>434</v>
      </c>
      <c r="H666" s="32" t="s">
        <v>334</v>
      </c>
      <c r="I666" s="2">
        <f t="shared" si="20"/>
        <v>2726</v>
      </c>
      <c r="J666" s="42" t="str">
        <f t="shared" si="21"/>
        <v>13311</v>
      </c>
    </row>
    <row r="667" spans="1:10">
      <c r="A667" s="30">
        <v>46230</v>
      </c>
      <c r="B667" s="31" t="s">
        <v>816</v>
      </c>
      <c r="C667" s="32" t="s">
        <v>252</v>
      </c>
      <c r="D667" s="19" t="s">
        <v>2246</v>
      </c>
      <c r="E667" s="275">
        <v>10779</v>
      </c>
      <c r="F667" s="272"/>
      <c r="G667" s="32" t="s">
        <v>434</v>
      </c>
      <c r="H667" s="32" t="s">
        <v>334</v>
      </c>
      <c r="I667" s="2">
        <f t="shared" si="20"/>
        <v>10779</v>
      </c>
      <c r="J667" s="42" t="str">
        <f t="shared" si="21"/>
        <v>13311</v>
      </c>
    </row>
    <row r="668" spans="1:10">
      <c r="A668" s="30">
        <v>46230</v>
      </c>
      <c r="B668" s="31" t="s">
        <v>816</v>
      </c>
      <c r="C668" s="32" t="s">
        <v>252</v>
      </c>
      <c r="D668" s="19" t="s">
        <v>2246</v>
      </c>
      <c r="E668" s="275">
        <v>13398</v>
      </c>
      <c r="F668" s="272"/>
      <c r="G668" s="32" t="s">
        <v>434</v>
      </c>
      <c r="H668" s="32" t="s">
        <v>334</v>
      </c>
      <c r="I668" s="2">
        <f t="shared" si="20"/>
        <v>13398</v>
      </c>
      <c r="J668" s="42" t="str">
        <f t="shared" si="21"/>
        <v>13311</v>
      </c>
    </row>
    <row r="669" spans="1:10">
      <c r="A669" s="30">
        <v>46230</v>
      </c>
      <c r="B669" s="31" t="s">
        <v>816</v>
      </c>
      <c r="C669" s="32" t="s">
        <v>252</v>
      </c>
      <c r="D669" s="19" t="s">
        <v>2246</v>
      </c>
      <c r="E669" s="275">
        <v>2121</v>
      </c>
      <c r="F669" s="272"/>
      <c r="G669" s="32" t="s">
        <v>434</v>
      </c>
      <c r="H669" s="32" t="s">
        <v>334</v>
      </c>
      <c r="I669" s="2">
        <f t="shared" si="20"/>
        <v>2121</v>
      </c>
      <c r="J669" s="42" t="str">
        <f t="shared" si="21"/>
        <v>13311</v>
      </c>
    </row>
    <row r="670" spans="1:10">
      <c r="A670" s="30">
        <v>46230</v>
      </c>
      <c r="B670" s="31" t="s">
        <v>816</v>
      </c>
      <c r="C670" s="32" t="s">
        <v>252</v>
      </c>
      <c r="D670" s="19" t="s">
        <v>2246</v>
      </c>
      <c r="E670" s="275">
        <v>2000</v>
      </c>
      <c r="F670" s="272"/>
      <c r="G670" s="32" t="s">
        <v>434</v>
      </c>
      <c r="H670" s="32" t="s">
        <v>334</v>
      </c>
      <c r="I670" s="2">
        <f t="shared" si="20"/>
        <v>2000</v>
      </c>
      <c r="J670" s="42" t="str">
        <f t="shared" si="21"/>
        <v>13311</v>
      </c>
    </row>
    <row r="671" spans="1:10">
      <c r="A671" s="30">
        <v>46230</v>
      </c>
      <c r="B671" s="31" t="s">
        <v>816</v>
      </c>
      <c r="C671" s="32" t="s">
        <v>252</v>
      </c>
      <c r="D671" s="19" t="s">
        <v>2246</v>
      </c>
      <c r="E671" s="275">
        <v>15052</v>
      </c>
      <c r="F671" s="272"/>
      <c r="G671" s="32" t="s">
        <v>434</v>
      </c>
      <c r="H671" s="32" t="s">
        <v>334</v>
      </c>
      <c r="I671" s="2">
        <f t="shared" si="20"/>
        <v>15052</v>
      </c>
      <c r="J671" s="42" t="str">
        <f t="shared" si="21"/>
        <v>13311</v>
      </c>
    </row>
    <row r="672" spans="1:10">
      <c r="A672" s="30">
        <v>46230</v>
      </c>
      <c r="B672" s="31" t="s">
        <v>816</v>
      </c>
      <c r="C672" s="32" t="s">
        <v>252</v>
      </c>
      <c r="D672" s="19" t="s">
        <v>2246</v>
      </c>
      <c r="E672" s="275">
        <v>34227</v>
      </c>
      <c r="F672" s="272"/>
      <c r="G672" s="32" t="s">
        <v>434</v>
      </c>
      <c r="H672" s="32" t="s">
        <v>334</v>
      </c>
      <c r="I672" s="2">
        <f t="shared" si="20"/>
        <v>34227</v>
      </c>
      <c r="J672" s="42" t="str">
        <f t="shared" si="21"/>
        <v>13311</v>
      </c>
    </row>
    <row r="673" spans="1:10">
      <c r="A673" s="30">
        <v>46230</v>
      </c>
      <c r="B673" s="31" t="s">
        <v>816</v>
      </c>
      <c r="C673" s="32" t="s">
        <v>252</v>
      </c>
      <c r="D673" s="19" t="s">
        <v>2246</v>
      </c>
      <c r="E673" s="275">
        <v>2000</v>
      </c>
      <c r="F673" s="272"/>
      <c r="G673" s="32" t="s">
        <v>434</v>
      </c>
      <c r="H673" s="32" t="s">
        <v>334</v>
      </c>
      <c r="I673" s="2">
        <f t="shared" si="20"/>
        <v>2000</v>
      </c>
      <c r="J673" s="42" t="str">
        <f t="shared" si="21"/>
        <v>13311</v>
      </c>
    </row>
    <row r="674" spans="1:10">
      <c r="A674" s="30">
        <v>46230</v>
      </c>
      <c r="B674" s="31" t="s">
        <v>816</v>
      </c>
      <c r="C674" s="32" t="s">
        <v>252</v>
      </c>
      <c r="D674" s="19" t="s">
        <v>2246</v>
      </c>
      <c r="E674" s="275">
        <v>2000</v>
      </c>
      <c r="F674" s="272"/>
      <c r="G674" s="32" t="s">
        <v>434</v>
      </c>
      <c r="H674" s="32" t="s">
        <v>334</v>
      </c>
      <c r="I674" s="2">
        <f t="shared" si="20"/>
        <v>2000</v>
      </c>
      <c r="J674" s="42" t="str">
        <f t="shared" si="21"/>
        <v>13311</v>
      </c>
    </row>
    <row r="675" spans="1:10">
      <c r="A675" s="30">
        <v>46230</v>
      </c>
      <c r="B675" s="31" t="s">
        <v>816</v>
      </c>
      <c r="C675" s="32" t="s">
        <v>252</v>
      </c>
      <c r="D675" s="19" t="s">
        <v>2246</v>
      </c>
      <c r="E675" s="275">
        <v>2000</v>
      </c>
      <c r="F675" s="272"/>
      <c r="G675" s="32" t="s">
        <v>434</v>
      </c>
      <c r="H675" s="32" t="s">
        <v>334</v>
      </c>
      <c r="I675" s="2">
        <f t="shared" si="20"/>
        <v>2000</v>
      </c>
      <c r="J675" s="42" t="str">
        <f t="shared" si="21"/>
        <v>13311</v>
      </c>
    </row>
    <row r="676" spans="1:10">
      <c r="A676" s="30">
        <v>46230</v>
      </c>
      <c r="B676" s="31" t="s">
        <v>816</v>
      </c>
      <c r="C676" s="32" t="s">
        <v>252</v>
      </c>
      <c r="D676" s="19" t="s">
        <v>2246</v>
      </c>
      <c r="E676" s="275">
        <v>3763</v>
      </c>
      <c r="F676" s="272"/>
      <c r="G676" s="32" t="s">
        <v>434</v>
      </c>
      <c r="H676" s="32" t="s">
        <v>334</v>
      </c>
      <c r="I676" s="2">
        <f t="shared" si="20"/>
        <v>3763</v>
      </c>
      <c r="J676" s="42" t="str">
        <f t="shared" si="21"/>
        <v>13311</v>
      </c>
    </row>
    <row r="677" spans="1:10">
      <c r="A677" s="30">
        <v>46230</v>
      </c>
      <c r="B677" s="31" t="s">
        <v>816</v>
      </c>
      <c r="C677" s="32" t="s">
        <v>252</v>
      </c>
      <c r="D677" s="19" t="s">
        <v>2246</v>
      </c>
      <c r="E677" s="275">
        <v>2000</v>
      </c>
      <c r="F677" s="272"/>
      <c r="G677" s="32" t="s">
        <v>434</v>
      </c>
      <c r="H677" s="32" t="s">
        <v>334</v>
      </c>
      <c r="I677" s="2">
        <f t="shared" si="20"/>
        <v>2000</v>
      </c>
      <c r="J677" s="42" t="str">
        <f t="shared" si="21"/>
        <v>13311</v>
      </c>
    </row>
    <row r="678" spans="1:10">
      <c r="A678" s="30">
        <v>46230</v>
      </c>
      <c r="B678" s="31" t="s">
        <v>816</v>
      </c>
      <c r="C678" s="32" t="s">
        <v>252</v>
      </c>
      <c r="D678" s="19" t="s">
        <v>2246</v>
      </c>
      <c r="E678" s="275">
        <v>2024</v>
      </c>
      <c r="F678" s="272"/>
      <c r="G678" s="32" t="s">
        <v>434</v>
      </c>
      <c r="H678" s="32" t="s">
        <v>334</v>
      </c>
      <c r="I678" s="2">
        <f t="shared" si="20"/>
        <v>2024</v>
      </c>
      <c r="J678" s="42" t="str">
        <f t="shared" si="21"/>
        <v>13311</v>
      </c>
    </row>
    <row r="679" spans="1:10">
      <c r="A679" s="30">
        <v>46230</v>
      </c>
      <c r="B679" s="31" t="s">
        <v>816</v>
      </c>
      <c r="C679" s="32" t="s">
        <v>252</v>
      </c>
      <c r="D679" s="19" t="s">
        <v>2246</v>
      </c>
      <c r="E679" s="275">
        <v>47045</v>
      </c>
      <c r="F679" s="272"/>
      <c r="G679" s="32" t="s">
        <v>434</v>
      </c>
      <c r="H679" s="32" t="s">
        <v>334</v>
      </c>
      <c r="I679" s="2">
        <f t="shared" si="20"/>
        <v>47045</v>
      </c>
      <c r="J679" s="42" t="str">
        <f t="shared" si="21"/>
        <v>13311</v>
      </c>
    </row>
    <row r="680" spans="1:10">
      <c r="A680" s="30">
        <v>46230</v>
      </c>
      <c r="B680" s="31" t="s">
        <v>816</v>
      </c>
      <c r="C680" s="32" t="s">
        <v>252</v>
      </c>
      <c r="D680" s="19" t="s">
        <v>2246</v>
      </c>
      <c r="E680" s="275">
        <v>2000</v>
      </c>
      <c r="F680" s="272"/>
      <c r="G680" s="32" t="s">
        <v>434</v>
      </c>
      <c r="H680" s="32" t="s">
        <v>334</v>
      </c>
      <c r="I680" s="2">
        <f t="shared" si="20"/>
        <v>2000</v>
      </c>
      <c r="J680" s="42" t="str">
        <f t="shared" si="21"/>
        <v>13311</v>
      </c>
    </row>
    <row r="681" spans="1:10">
      <c r="A681" s="30">
        <v>46230</v>
      </c>
      <c r="B681" s="31" t="s">
        <v>816</v>
      </c>
      <c r="C681" s="32" t="s">
        <v>252</v>
      </c>
      <c r="D681" s="19" t="s">
        <v>2246</v>
      </c>
      <c r="E681" s="275">
        <v>2000</v>
      </c>
      <c r="F681" s="272"/>
      <c r="G681" s="32" t="s">
        <v>434</v>
      </c>
      <c r="H681" s="32" t="s">
        <v>334</v>
      </c>
      <c r="I681" s="2">
        <f t="shared" si="20"/>
        <v>2000</v>
      </c>
      <c r="J681" s="42" t="str">
        <f t="shared" si="21"/>
        <v>13311</v>
      </c>
    </row>
    <row r="682" spans="1:10">
      <c r="A682" s="30">
        <v>46230</v>
      </c>
      <c r="B682" s="31" t="s">
        <v>816</v>
      </c>
      <c r="C682" s="32" t="s">
        <v>252</v>
      </c>
      <c r="D682" s="19" t="s">
        <v>2246</v>
      </c>
      <c r="E682" s="275">
        <v>2398</v>
      </c>
      <c r="F682" s="272"/>
      <c r="G682" s="32" t="s">
        <v>434</v>
      </c>
      <c r="H682" s="32" t="s">
        <v>334</v>
      </c>
      <c r="I682" s="2">
        <f t="shared" si="20"/>
        <v>2398</v>
      </c>
      <c r="J682" s="42" t="str">
        <f t="shared" si="21"/>
        <v>13311</v>
      </c>
    </row>
    <row r="683" spans="1:10">
      <c r="A683" s="30">
        <v>46230</v>
      </c>
      <c r="B683" s="31" t="s">
        <v>816</v>
      </c>
      <c r="C683" s="32" t="s">
        <v>252</v>
      </c>
      <c r="D683" s="19" t="s">
        <v>2246</v>
      </c>
      <c r="E683" s="275">
        <v>129486</v>
      </c>
      <c r="F683" s="272"/>
      <c r="G683" s="32" t="s">
        <v>434</v>
      </c>
      <c r="H683" s="32" t="s">
        <v>334</v>
      </c>
      <c r="I683" s="2">
        <f t="shared" si="20"/>
        <v>129486</v>
      </c>
      <c r="J683" s="42" t="str">
        <f t="shared" si="21"/>
        <v>13311</v>
      </c>
    </row>
    <row r="684" spans="1:10">
      <c r="A684" s="30">
        <v>46230</v>
      </c>
      <c r="B684" s="31" t="s">
        <v>816</v>
      </c>
      <c r="C684" s="32" t="s">
        <v>252</v>
      </c>
      <c r="D684" s="19" t="s">
        <v>2246</v>
      </c>
      <c r="E684" s="275">
        <v>28636</v>
      </c>
      <c r="F684" s="272"/>
      <c r="G684" s="32" t="s">
        <v>434</v>
      </c>
      <c r="H684" s="32" t="s">
        <v>334</v>
      </c>
      <c r="I684" s="2">
        <f t="shared" si="20"/>
        <v>28636</v>
      </c>
      <c r="J684" s="42" t="str">
        <f t="shared" si="21"/>
        <v>13311</v>
      </c>
    </row>
    <row r="685" spans="1:10">
      <c r="A685" s="30">
        <v>46230</v>
      </c>
      <c r="B685" s="31" t="s">
        <v>816</v>
      </c>
      <c r="C685" s="32" t="s">
        <v>252</v>
      </c>
      <c r="D685" s="19" t="s">
        <v>2246</v>
      </c>
      <c r="E685" s="275">
        <v>6000</v>
      </c>
      <c r="F685" s="272"/>
      <c r="G685" s="32" t="s">
        <v>434</v>
      </c>
      <c r="H685" s="32" t="s">
        <v>334</v>
      </c>
      <c r="I685" s="2">
        <f t="shared" si="20"/>
        <v>6000</v>
      </c>
      <c r="J685" s="42" t="str">
        <f t="shared" si="21"/>
        <v>13311</v>
      </c>
    </row>
    <row r="686" spans="1:10">
      <c r="A686" s="30">
        <v>46230</v>
      </c>
      <c r="B686" s="31" t="s">
        <v>816</v>
      </c>
      <c r="C686" s="32" t="s">
        <v>252</v>
      </c>
      <c r="D686" s="19" t="s">
        <v>2246</v>
      </c>
      <c r="E686" s="275">
        <v>6000</v>
      </c>
      <c r="F686" s="272"/>
      <c r="G686" s="32" t="s">
        <v>434</v>
      </c>
      <c r="H686" s="32" t="s">
        <v>334</v>
      </c>
      <c r="I686" s="2">
        <f t="shared" si="20"/>
        <v>6000</v>
      </c>
      <c r="J686" s="42" t="str">
        <f t="shared" si="21"/>
        <v>13311</v>
      </c>
    </row>
    <row r="687" spans="1:10">
      <c r="A687" s="30">
        <v>46230</v>
      </c>
      <c r="B687" s="31" t="s">
        <v>816</v>
      </c>
      <c r="C687" s="32" t="s">
        <v>252</v>
      </c>
      <c r="D687" s="19" t="s">
        <v>2246</v>
      </c>
      <c r="E687" s="275">
        <v>6000</v>
      </c>
      <c r="F687" s="272"/>
      <c r="G687" s="32" t="s">
        <v>434</v>
      </c>
      <c r="H687" s="32" t="s">
        <v>334</v>
      </c>
      <c r="I687" s="2">
        <f t="shared" si="20"/>
        <v>6000</v>
      </c>
      <c r="J687" s="42" t="str">
        <f t="shared" si="21"/>
        <v>13311</v>
      </c>
    </row>
    <row r="688" spans="1:10">
      <c r="A688" s="30">
        <v>46230</v>
      </c>
      <c r="B688" s="31" t="s">
        <v>816</v>
      </c>
      <c r="C688" s="32" t="s">
        <v>252</v>
      </c>
      <c r="D688" s="19" t="s">
        <v>2246</v>
      </c>
      <c r="E688" s="275">
        <v>6000</v>
      </c>
      <c r="F688" s="272"/>
      <c r="G688" s="32" t="s">
        <v>434</v>
      </c>
      <c r="H688" s="32" t="s">
        <v>334</v>
      </c>
      <c r="I688" s="2">
        <f t="shared" si="20"/>
        <v>6000</v>
      </c>
      <c r="J688" s="42" t="str">
        <f t="shared" si="21"/>
        <v>13311</v>
      </c>
    </row>
    <row r="689" spans="1:10">
      <c r="A689" s="30">
        <v>46230</v>
      </c>
      <c r="B689" s="31" t="s">
        <v>816</v>
      </c>
      <c r="C689" s="32" t="s">
        <v>252</v>
      </c>
      <c r="D689" s="19" t="s">
        <v>2246</v>
      </c>
      <c r="E689" s="275">
        <v>143146</v>
      </c>
      <c r="F689" s="272"/>
      <c r="G689" s="32" t="s">
        <v>434</v>
      </c>
      <c r="H689" s="32" t="s">
        <v>334</v>
      </c>
      <c r="I689" s="2">
        <f t="shared" si="20"/>
        <v>143146</v>
      </c>
      <c r="J689" s="42" t="str">
        <f t="shared" si="21"/>
        <v>13311</v>
      </c>
    </row>
    <row r="690" spans="1:10">
      <c r="A690" s="30">
        <v>46230</v>
      </c>
      <c r="B690" s="31" t="s">
        <v>816</v>
      </c>
      <c r="C690" s="32" t="s">
        <v>252</v>
      </c>
      <c r="D690" s="19" t="s">
        <v>2246</v>
      </c>
      <c r="E690" s="275">
        <v>29282</v>
      </c>
      <c r="F690" s="272"/>
      <c r="G690" s="32" t="s">
        <v>434</v>
      </c>
      <c r="H690" s="32" t="s">
        <v>334</v>
      </c>
      <c r="I690" s="2">
        <f t="shared" si="20"/>
        <v>29282</v>
      </c>
      <c r="J690" s="42" t="str">
        <f t="shared" si="21"/>
        <v>13311</v>
      </c>
    </row>
    <row r="691" spans="1:10">
      <c r="A691" s="30">
        <v>46230</v>
      </c>
      <c r="B691" s="31" t="s">
        <v>816</v>
      </c>
      <c r="C691" s="32" t="s">
        <v>252</v>
      </c>
      <c r="D691" s="19" t="s">
        <v>2246</v>
      </c>
      <c r="E691" s="275">
        <v>15000</v>
      </c>
      <c r="F691" s="272"/>
      <c r="G691" s="32" t="s">
        <v>434</v>
      </c>
      <c r="H691" s="32" t="s">
        <v>334</v>
      </c>
      <c r="I691" s="2">
        <f t="shared" si="20"/>
        <v>15000</v>
      </c>
      <c r="J691" s="42" t="str">
        <f t="shared" si="21"/>
        <v>13311</v>
      </c>
    </row>
    <row r="692" spans="1:10">
      <c r="A692" s="30">
        <v>46230</v>
      </c>
      <c r="B692" s="31" t="s">
        <v>816</v>
      </c>
      <c r="C692" s="32" t="s">
        <v>252</v>
      </c>
      <c r="D692" s="19" t="s">
        <v>2246</v>
      </c>
      <c r="E692" s="275">
        <v>2000</v>
      </c>
      <c r="F692" s="272"/>
      <c r="G692" s="32" t="s">
        <v>434</v>
      </c>
      <c r="H692" s="32" t="s">
        <v>334</v>
      </c>
      <c r="I692" s="2">
        <f t="shared" si="20"/>
        <v>2000</v>
      </c>
      <c r="J692" s="42" t="str">
        <f t="shared" si="21"/>
        <v>13311</v>
      </c>
    </row>
    <row r="693" spans="1:10">
      <c r="A693" s="30">
        <v>46230</v>
      </c>
      <c r="B693" s="31" t="s">
        <v>816</v>
      </c>
      <c r="C693" s="32" t="s">
        <v>252</v>
      </c>
      <c r="D693" s="19" t="s">
        <v>2246</v>
      </c>
      <c r="E693" s="275">
        <v>2000</v>
      </c>
      <c r="F693" s="272"/>
      <c r="G693" s="32" t="s">
        <v>434</v>
      </c>
      <c r="H693" s="32" t="s">
        <v>334</v>
      </c>
      <c r="I693" s="2">
        <f t="shared" si="20"/>
        <v>2000</v>
      </c>
      <c r="J693" s="42" t="str">
        <f t="shared" si="21"/>
        <v>13311</v>
      </c>
    </row>
    <row r="694" spans="1:10">
      <c r="A694" s="30">
        <v>46230</v>
      </c>
      <c r="B694" s="31" t="s">
        <v>816</v>
      </c>
      <c r="C694" s="32" t="s">
        <v>252</v>
      </c>
      <c r="D694" s="19" t="s">
        <v>2246</v>
      </c>
      <c r="E694" s="275">
        <v>2000</v>
      </c>
      <c r="F694" s="272"/>
      <c r="G694" s="32" t="s">
        <v>434</v>
      </c>
      <c r="H694" s="32" t="s">
        <v>334</v>
      </c>
      <c r="I694" s="2">
        <f t="shared" si="20"/>
        <v>2000</v>
      </c>
      <c r="J694" s="42" t="str">
        <f t="shared" si="21"/>
        <v>13311</v>
      </c>
    </row>
    <row r="695" spans="1:10">
      <c r="A695" s="30">
        <v>46230</v>
      </c>
      <c r="B695" s="31" t="s">
        <v>816</v>
      </c>
      <c r="C695" s="32" t="s">
        <v>252</v>
      </c>
      <c r="D695" s="19" t="s">
        <v>2246</v>
      </c>
      <c r="E695" s="275">
        <v>2000</v>
      </c>
      <c r="F695" s="272"/>
      <c r="G695" s="32" t="s">
        <v>434</v>
      </c>
      <c r="H695" s="32" t="s">
        <v>334</v>
      </c>
      <c r="I695" s="2">
        <f t="shared" si="20"/>
        <v>2000</v>
      </c>
      <c r="J695" s="42" t="str">
        <f t="shared" si="21"/>
        <v>13311</v>
      </c>
    </row>
    <row r="696" spans="1:10">
      <c r="A696" s="30">
        <v>46230</v>
      </c>
      <c r="B696" s="31" t="s">
        <v>816</v>
      </c>
      <c r="C696" s="32" t="s">
        <v>252</v>
      </c>
      <c r="D696" s="19" t="s">
        <v>2246</v>
      </c>
      <c r="E696" s="275">
        <v>2000</v>
      </c>
      <c r="F696" s="272"/>
      <c r="G696" s="32" t="s">
        <v>434</v>
      </c>
      <c r="H696" s="32" t="s">
        <v>334</v>
      </c>
      <c r="I696" s="2">
        <f t="shared" si="20"/>
        <v>2000</v>
      </c>
      <c r="J696" s="42" t="str">
        <f t="shared" si="21"/>
        <v>13311</v>
      </c>
    </row>
    <row r="697" spans="1:10">
      <c r="A697" s="30">
        <v>46230</v>
      </c>
      <c r="B697" s="31" t="s">
        <v>816</v>
      </c>
      <c r="C697" s="32" t="s">
        <v>252</v>
      </c>
      <c r="D697" s="19" t="s">
        <v>2246</v>
      </c>
      <c r="E697" s="275">
        <v>2000</v>
      </c>
      <c r="F697" s="272"/>
      <c r="G697" s="32" t="s">
        <v>434</v>
      </c>
      <c r="H697" s="32" t="s">
        <v>334</v>
      </c>
      <c r="I697" s="2">
        <f t="shared" si="20"/>
        <v>2000</v>
      </c>
      <c r="J697" s="42" t="str">
        <f t="shared" si="21"/>
        <v>13311</v>
      </c>
    </row>
    <row r="698" spans="1:10">
      <c r="A698" s="30">
        <v>46230</v>
      </c>
      <c r="B698" s="31" t="s">
        <v>816</v>
      </c>
      <c r="C698" s="32" t="s">
        <v>252</v>
      </c>
      <c r="D698" s="19" t="s">
        <v>2246</v>
      </c>
      <c r="E698" s="275">
        <v>8431</v>
      </c>
      <c r="F698" s="272"/>
      <c r="G698" s="32" t="s">
        <v>434</v>
      </c>
      <c r="H698" s="32" t="s">
        <v>334</v>
      </c>
      <c r="I698" s="2">
        <f t="shared" si="20"/>
        <v>8431</v>
      </c>
      <c r="J698" s="42" t="str">
        <f t="shared" si="21"/>
        <v>13311</v>
      </c>
    </row>
    <row r="699" spans="1:10">
      <c r="A699" s="30">
        <v>46230</v>
      </c>
      <c r="B699" s="31" t="s">
        <v>816</v>
      </c>
      <c r="C699" s="32" t="s">
        <v>252</v>
      </c>
      <c r="D699" s="19" t="s">
        <v>2246</v>
      </c>
      <c r="E699" s="275">
        <v>2000</v>
      </c>
      <c r="F699" s="272"/>
      <c r="G699" s="32" t="s">
        <v>434</v>
      </c>
      <c r="H699" s="32" t="s">
        <v>334</v>
      </c>
      <c r="I699" s="2">
        <f t="shared" si="20"/>
        <v>2000</v>
      </c>
      <c r="J699" s="42" t="str">
        <f t="shared" si="21"/>
        <v>13311</v>
      </c>
    </row>
    <row r="700" spans="1:10">
      <c r="A700" s="30">
        <v>46230</v>
      </c>
      <c r="B700" s="31" t="s">
        <v>816</v>
      </c>
      <c r="C700" s="32" t="s">
        <v>252</v>
      </c>
      <c r="D700" s="19" t="s">
        <v>2246</v>
      </c>
      <c r="E700" s="275">
        <v>6553</v>
      </c>
      <c r="F700" s="272"/>
      <c r="G700" s="32" t="s">
        <v>434</v>
      </c>
      <c r="H700" s="32" t="s">
        <v>334</v>
      </c>
      <c r="I700" s="2">
        <f t="shared" si="20"/>
        <v>6553</v>
      </c>
      <c r="J700" s="42" t="str">
        <f t="shared" si="21"/>
        <v>13311</v>
      </c>
    </row>
    <row r="701" spans="1:10">
      <c r="A701" s="30">
        <v>46230</v>
      </c>
      <c r="B701" s="31" t="s">
        <v>816</v>
      </c>
      <c r="C701" s="32" t="s">
        <v>252</v>
      </c>
      <c r="D701" s="19" t="s">
        <v>2246</v>
      </c>
      <c r="E701" s="275">
        <v>2000</v>
      </c>
      <c r="F701" s="272"/>
      <c r="G701" s="32" t="s">
        <v>434</v>
      </c>
      <c r="H701" s="32" t="s">
        <v>334</v>
      </c>
      <c r="I701" s="2">
        <f t="shared" si="20"/>
        <v>2000</v>
      </c>
      <c r="J701" s="42" t="str">
        <f t="shared" si="21"/>
        <v>13311</v>
      </c>
    </row>
    <row r="702" spans="1:10">
      <c r="A702" s="30">
        <v>46230</v>
      </c>
      <c r="B702" s="31" t="s">
        <v>816</v>
      </c>
      <c r="C702" s="32" t="s">
        <v>252</v>
      </c>
      <c r="D702" s="19" t="s">
        <v>2246</v>
      </c>
      <c r="E702" s="275">
        <v>13575</v>
      </c>
      <c r="F702" s="272"/>
      <c r="G702" s="32" t="s">
        <v>434</v>
      </c>
      <c r="H702" s="32" t="s">
        <v>334</v>
      </c>
      <c r="I702" s="2">
        <f t="shared" si="20"/>
        <v>13575</v>
      </c>
      <c r="J702" s="42" t="str">
        <f t="shared" si="21"/>
        <v>13311</v>
      </c>
    </row>
    <row r="703" spans="1:10">
      <c r="A703" s="30">
        <v>46230</v>
      </c>
      <c r="B703" s="31" t="s">
        <v>816</v>
      </c>
      <c r="C703" s="32" t="s">
        <v>252</v>
      </c>
      <c r="D703" s="19" t="s">
        <v>2246</v>
      </c>
      <c r="E703" s="275">
        <v>14292</v>
      </c>
      <c r="F703" s="272"/>
      <c r="G703" s="32" t="s">
        <v>434</v>
      </c>
      <c r="H703" s="32" t="s">
        <v>334</v>
      </c>
      <c r="I703" s="2">
        <f t="shared" si="20"/>
        <v>14292</v>
      </c>
      <c r="J703" s="42" t="str">
        <f t="shared" si="21"/>
        <v>13311</v>
      </c>
    </row>
    <row r="704" spans="1:10">
      <c r="A704" s="30">
        <v>46230</v>
      </c>
      <c r="B704" s="31" t="s">
        <v>816</v>
      </c>
      <c r="C704" s="32" t="s">
        <v>252</v>
      </c>
      <c r="D704" s="19" t="s">
        <v>2246</v>
      </c>
      <c r="E704" s="275">
        <v>2000</v>
      </c>
      <c r="F704" s="272"/>
      <c r="G704" s="32" t="s">
        <v>434</v>
      </c>
      <c r="H704" s="32" t="s">
        <v>334</v>
      </c>
      <c r="I704" s="2">
        <f t="shared" si="20"/>
        <v>2000</v>
      </c>
      <c r="J704" s="42" t="str">
        <f t="shared" si="21"/>
        <v>13311</v>
      </c>
    </row>
    <row r="705" spans="1:10">
      <c r="A705" s="30">
        <v>46230</v>
      </c>
      <c r="B705" s="31" t="s">
        <v>816</v>
      </c>
      <c r="C705" s="32" t="s">
        <v>252</v>
      </c>
      <c r="D705" s="19" t="s">
        <v>2246</v>
      </c>
      <c r="E705" s="275">
        <v>28545</v>
      </c>
      <c r="F705" s="272"/>
      <c r="G705" s="32" t="s">
        <v>434</v>
      </c>
      <c r="H705" s="32" t="s">
        <v>334</v>
      </c>
      <c r="I705" s="2">
        <f t="shared" si="20"/>
        <v>28545</v>
      </c>
      <c r="J705" s="42" t="str">
        <f t="shared" si="21"/>
        <v>13311</v>
      </c>
    </row>
    <row r="706" spans="1:10">
      <c r="A706" s="30">
        <v>46230</v>
      </c>
      <c r="B706" s="31" t="s">
        <v>816</v>
      </c>
      <c r="C706" s="32" t="s">
        <v>252</v>
      </c>
      <c r="D706" s="19" t="s">
        <v>2246</v>
      </c>
      <c r="E706" s="275">
        <v>8772</v>
      </c>
      <c r="F706" s="272"/>
      <c r="G706" s="32" t="s">
        <v>434</v>
      </c>
      <c r="H706" s="32" t="s">
        <v>334</v>
      </c>
      <c r="I706" s="2">
        <f t="shared" si="20"/>
        <v>8772</v>
      </c>
      <c r="J706" s="42" t="str">
        <f t="shared" si="21"/>
        <v>13311</v>
      </c>
    </row>
    <row r="707" spans="1:10">
      <c r="A707" s="30">
        <v>46230</v>
      </c>
      <c r="B707" s="31" t="s">
        <v>816</v>
      </c>
      <c r="C707" s="32" t="s">
        <v>252</v>
      </c>
      <c r="D707" s="19" t="s">
        <v>2246</v>
      </c>
      <c r="E707" s="275">
        <v>2000</v>
      </c>
      <c r="F707" s="272"/>
      <c r="G707" s="32" t="s">
        <v>434</v>
      </c>
      <c r="H707" s="32" t="s">
        <v>334</v>
      </c>
      <c r="I707" s="2">
        <f t="shared" si="20"/>
        <v>2000</v>
      </c>
      <c r="J707" s="42" t="str">
        <f t="shared" si="21"/>
        <v>13311</v>
      </c>
    </row>
    <row r="708" spans="1:10">
      <c r="A708" s="30">
        <v>46230</v>
      </c>
      <c r="B708" s="31" t="s">
        <v>816</v>
      </c>
      <c r="C708" s="32" t="s">
        <v>252</v>
      </c>
      <c r="D708" s="19" t="s">
        <v>2246</v>
      </c>
      <c r="E708" s="275">
        <v>2000</v>
      </c>
      <c r="F708" s="272"/>
      <c r="G708" s="32" t="s">
        <v>434</v>
      </c>
      <c r="H708" s="32" t="s">
        <v>334</v>
      </c>
      <c r="I708" s="2">
        <f t="shared" si="20"/>
        <v>2000</v>
      </c>
      <c r="J708" s="42" t="str">
        <f t="shared" si="21"/>
        <v>13311</v>
      </c>
    </row>
    <row r="709" spans="1:10">
      <c r="A709" s="30">
        <v>46230</v>
      </c>
      <c r="B709" s="31" t="s">
        <v>816</v>
      </c>
      <c r="C709" s="32" t="s">
        <v>252</v>
      </c>
      <c r="D709" s="19" t="s">
        <v>2246</v>
      </c>
      <c r="E709" s="275">
        <v>2000</v>
      </c>
      <c r="F709" s="272"/>
      <c r="G709" s="32" t="s">
        <v>434</v>
      </c>
      <c r="H709" s="32" t="s">
        <v>334</v>
      </c>
      <c r="I709" s="2">
        <f t="shared" si="20"/>
        <v>2000</v>
      </c>
      <c r="J709" s="42" t="str">
        <f t="shared" si="21"/>
        <v>13311</v>
      </c>
    </row>
    <row r="710" spans="1:10">
      <c r="A710" s="30">
        <v>46230</v>
      </c>
      <c r="B710" s="31" t="s">
        <v>816</v>
      </c>
      <c r="C710" s="32" t="s">
        <v>252</v>
      </c>
      <c r="D710" s="19" t="s">
        <v>2246</v>
      </c>
      <c r="E710" s="275">
        <v>28091</v>
      </c>
      <c r="F710" s="272"/>
      <c r="G710" s="32" t="s">
        <v>434</v>
      </c>
      <c r="H710" s="32" t="s">
        <v>334</v>
      </c>
      <c r="I710" s="2">
        <f t="shared" si="20"/>
        <v>28091</v>
      </c>
      <c r="J710" s="42" t="str">
        <f t="shared" si="21"/>
        <v>13311</v>
      </c>
    </row>
    <row r="711" spans="1:10">
      <c r="A711" s="30">
        <v>46230</v>
      </c>
      <c r="B711" s="31" t="s">
        <v>816</v>
      </c>
      <c r="C711" s="32" t="s">
        <v>252</v>
      </c>
      <c r="D711" s="19" t="s">
        <v>2246</v>
      </c>
      <c r="E711" s="275">
        <v>2000</v>
      </c>
      <c r="F711" s="272"/>
      <c r="G711" s="32" t="s">
        <v>434</v>
      </c>
      <c r="H711" s="32" t="s">
        <v>334</v>
      </c>
      <c r="I711" s="2">
        <f t="shared" si="20"/>
        <v>2000</v>
      </c>
      <c r="J711" s="42" t="str">
        <f t="shared" si="21"/>
        <v>13311</v>
      </c>
    </row>
    <row r="712" spans="1:10">
      <c r="A712" s="30">
        <v>46230</v>
      </c>
      <c r="B712" s="31" t="s">
        <v>816</v>
      </c>
      <c r="C712" s="32" t="s">
        <v>252</v>
      </c>
      <c r="D712" s="19" t="s">
        <v>2246</v>
      </c>
      <c r="E712" s="275">
        <v>22578</v>
      </c>
      <c r="F712" s="272"/>
      <c r="G712" s="32" t="s">
        <v>434</v>
      </c>
      <c r="H712" s="32" t="s">
        <v>334</v>
      </c>
      <c r="I712" s="2">
        <f t="shared" si="20"/>
        <v>22578</v>
      </c>
      <c r="J712" s="42" t="str">
        <f t="shared" si="21"/>
        <v>13311</v>
      </c>
    </row>
    <row r="713" spans="1:10">
      <c r="A713" s="30">
        <v>46230</v>
      </c>
      <c r="B713" s="31" t="s">
        <v>816</v>
      </c>
      <c r="C713" s="32" t="s">
        <v>252</v>
      </c>
      <c r="D713" s="19" t="s">
        <v>2246</v>
      </c>
      <c r="E713" s="275">
        <v>2000</v>
      </c>
      <c r="F713" s="272"/>
      <c r="G713" s="32" t="s">
        <v>434</v>
      </c>
      <c r="H713" s="32" t="s">
        <v>334</v>
      </c>
      <c r="I713" s="2">
        <f t="shared" si="20"/>
        <v>2000</v>
      </c>
      <c r="J713" s="42" t="str">
        <f t="shared" si="21"/>
        <v>13311</v>
      </c>
    </row>
    <row r="714" spans="1:10">
      <c r="A714" s="30">
        <v>46230</v>
      </c>
      <c r="B714" s="31" t="s">
        <v>816</v>
      </c>
      <c r="C714" s="32" t="s">
        <v>252</v>
      </c>
      <c r="D714" s="19" t="s">
        <v>2246</v>
      </c>
      <c r="E714" s="275">
        <v>37259</v>
      </c>
      <c r="F714" s="272"/>
      <c r="G714" s="32" t="s">
        <v>434</v>
      </c>
      <c r="H714" s="32" t="s">
        <v>334</v>
      </c>
      <c r="I714" s="2">
        <f t="shared" si="20"/>
        <v>37259</v>
      </c>
      <c r="J714" s="42" t="str">
        <f t="shared" si="21"/>
        <v>13311</v>
      </c>
    </row>
    <row r="715" spans="1:10">
      <c r="A715" s="30">
        <v>46230</v>
      </c>
      <c r="B715" s="31" t="s">
        <v>816</v>
      </c>
      <c r="C715" s="32" t="s">
        <v>252</v>
      </c>
      <c r="D715" s="19" t="s">
        <v>2246</v>
      </c>
      <c r="E715" s="275">
        <v>28864</v>
      </c>
      <c r="F715" s="272"/>
      <c r="G715" s="32" t="s">
        <v>434</v>
      </c>
      <c r="H715" s="32" t="s">
        <v>334</v>
      </c>
      <c r="I715" s="2">
        <f t="shared" ref="I715:I778" si="22">IF(LEN(A715)=5,E715,0)</f>
        <v>28864</v>
      </c>
      <c r="J715" s="42" t="str">
        <f t="shared" ref="J715:J778" si="23">IF(LEFT(A715,11)="Tài khoản: ",MID(A715,12,5),J714)</f>
        <v>13311</v>
      </c>
    </row>
    <row r="716" spans="1:10">
      <c r="A716" s="30">
        <v>46230</v>
      </c>
      <c r="B716" s="31" t="s">
        <v>816</v>
      </c>
      <c r="C716" s="32" t="s">
        <v>252</v>
      </c>
      <c r="D716" s="19" t="s">
        <v>2246</v>
      </c>
      <c r="E716" s="275">
        <v>2000</v>
      </c>
      <c r="F716" s="272"/>
      <c r="G716" s="32" t="s">
        <v>434</v>
      </c>
      <c r="H716" s="32" t="s">
        <v>334</v>
      </c>
      <c r="I716" s="2">
        <f t="shared" si="22"/>
        <v>2000</v>
      </c>
      <c r="J716" s="42" t="str">
        <f t="shared" si="23"/>
        <v>13311</v>
      </c>
    </row>
    <row r="717" spans="1:10">
      <c r="A717" s="30">
        <v>46230</v>
      </c>
      <c r="B717" s="31" t="s">
        <v>816</v>
      </c>
      <c r="C717" s="32" t="s">
        <v>252</v>
      </c>
      <c r="D717" s="19" t="s">
        <v>2246</v>
      </c>
      <c r="E717" s="275">
        <v>2000</v>
      </c>
      <c r="F717" s="272"/>
      <c r="G717" s="32" t="s">
        <v>434</v>
      </c>
      <c r="H717" s="32" t="s">
        <v>334</v>
      </c>
      <c r="I717" s="2">
        <f t="shared" si="22"/>
        <v>2000</v>
      </c>
      <c r="J717" s="42" t="str">
        <f t="shared" si="23"/>
        <v>13311</v>
      </c>
    </row>
    <row r="718" spans="1:10">
      <c r="A718" s="30">
        <v>46230</v>
      </c>
      <c r="B718" s="31" t="s">
        <v>816</v>
      </c>
      <c r="C718" s="32" t="s">
        <v>252</v>
      </c>
      <c r="D718" s="19" t="s">
        <v>2246</v>
      </c>
      <c r="E718" s="275">
        <v>2000</v>
      </c>
      <c r="F718" s="272"/>
      <c r="G718" s="32" t="s">
        <v>434</v>
      </c>
      <c r="H718" s="32" t="s">
        <v>334</v>
      </c>
      <c r="I718" s="2">
        <f t="shared" si="22"/>
        <v>2000</v>
      </c>
      <c r="J718" s="42" t="str">
        <f t="shared" si="23"/>
        <v>13311</v>
      </c>
    </row>
    <row r="719" spans="1:10">
      <c r="A719" s="30">
        <v>46230</v>
      </c>
      <c r="B719" s="31" t="s">
        <v>816</v>
      </c>
      <c r="C719" s="32" t="s">
        <v>252</v>
      </c>
      <c r="D719" s="19" t="s">
        <v>2246</v>
      </c>
      <c r="E719" s="275">
        <v>2018</v>
      </c>
      <c r="F719" s="272"/>
      <c r="G719" s="32" t="s">
        <v>434</v>
      </c>
      <c r="H719" s="32" t="s">
        <v>334</v>
      </c>
      <c r="I719" s="2">
        <f t="shared" si="22"/>
        <v>2018</v>
      </c>
      <c r="J719" s="42" t="str">
        <f t="shared" si="23"/>
        <v>13311</v>
      </c>
    </row>
    <row r="720" spans="1:10">
      <c r="A720" s="30">
        <v>46230</v>
      </c>
      <c r="B720" s="31" t="s">
        <v>816</v>
      </c>
      <c r="C720" s="32" t="s">
        <v>252</v>
      </c>
      <c r="D720" s="19" t="s">
        <v>2246</v>
      </c>
      <c r="E720" s="275">
        <v>17667</v>
      </c>
      <c r="F720" s="272"/>
      <c r="G720" s="32" t="s">
        <v>434</v>
      </c>
      <c r="H720" s="32" t="s">
        <v>334</v>
      </c>
      <c r="I720" s="2">
        <f t="shared" si="22"/>
        <v>17667</v>
      </c>
      <c r="J720" s="42" t="str">
        <f t="shared" si="23"/>
        <v>13311</v>
      </c>
    </row>
    <row r="721" spans="1:12">
      <c r="A721" s="30">
        <v>46230</v>
      </c>
      <c r="B721" s="31" t="s">
        <v>816</v>
      </c>
      <c r="C721" s="32" t="s">
        <v>252</v>
      </c>
      <c r="D721" s="19" t="s">
        <v>2246</v>
      </c>
      <c r="E721" s="275">
        <v>1267</v>
      </c>
      <c r="F721" s="272"/>
      <c r="G721" s="32" t="s">
        <v>434</v>
      </c>
      <c r="H721" s="32" t="s">
        <v>334</v>
      </c>
      <c r="I721" s="2">
        <f t="shared" si="22"/>
        <v>1267</v>
      </c>
      <c r="J721" s="42" t="str">
        <f t="shared" si="23"/>
        <v>13311</v>
      </c>
    </row>
    <row r="722" spans="1:12">
      <c r="A722" s="30">
        <v>46230</v>
      </c>
      <c r="B722" s="31" t="s">
        <v>816</v>
      </c>
      <c r="C722" s="32" t="s">
        <v>252</v>
      </c>
      <c r="D722" s="19" t="s">
        <v>2246</v>
      </c>
      <c r="E722" s="275">
        <v>2000</v>
      </c>
      <c r="F722" s="272"/>
      <c r="G722" s="32" t="s">
        <v>434</v>
      </c>
      <c r="H722" s="32" t="s">
        <v>334</v>
      </c>
      <c r="I722" s="2">
        <f t="shared" si="22"/>
        <v>2000</v>
      </c>
      <c r="J722" s="42" t="str">
        <f t="shared" si="23"/>
        <v>13311</v>
      </c>
    </row>
    <row r="723" spans="1:12">
      <c r="A723" s="30">
        <v>46230</v>
      </c>
      <c r="B723" s="31" t="s">
        <v>816</v>
      </c>
      <c r="C723" s="32" t="s">
        <v>252</v>
      </c>
      <c r="D723" s="19" t="s">
        <v>2246</v>
      </c>
      <c r="E723" s="275">
        <v>2000</v>
      </c>
      <c r="F723" s="272"/>
      <c r="G723" s="32" t="s">
        <v>434</v>
      </c>
      <c r="H723" s="32" t="s">
        <v>334</v>
      </c>
      <c r="I723" s="2">
        <f t="shared" si="22"/>
        <v>2000</v>
      </c>
      <c r="J723" s="42" t="str">
        <f t="shared" si="23"/>
        <v>13311</v>
      </c>
    </row>
    <row r="724" spans="1:12">
      <c r="A724" s="30">
        <v>46230</v>
      </c>
      <c r="B724" s="31" t="s">
        <v>816</v>
      </c>
      <c r="C724" s="32" t="s">
        <v>252</v>
      </c>
      <c r="D724" s="19" t="s">
        <v>2246</v>
      </c>
      <c r="E724" s="275">
        <v>2624</v>
      </c>
      <c r="F724" s="272"/>
      <c r="G724" s="32" t="s">
        <v>434</v>
      </c>
      <c r="H724" s="32" t="s">
        <v>334</v>
      </c>
      <c r="I724" s="2">
        <f t="shared" si="22"/>
        <v>2624</v>
      </c>
      <c r="J724" s="42" t="str">
        <f t="shared" si="23"/>
        <v>13311</v>
      </c>
    </row>
    <row r="725" spans="1:12">
      <c r="A725" s="30">
        <v>46230</v>
      </c>
      <c r="B725" s="31" t="s">
        <v>816</v>
      </c>
      <c r="C725" s="32" t="s">
        <v>252</v>
      </c>
      <c r="D725" s="19" t="s">
        <v>2246</v>
      </c>
      <c r="E725" s="275">
        <v>2000</v>
      </c>
      <c r="F725" s="272"/>
      <c r="G725" s="32" t="s">
        <v>434</v>
      </c>
      <c r="H725" s="32" t="s">
        <v>334</v>
      </c>
      <c r="I725" s="2">
        <f t="shared" si="22"/>
        <v>2000</v>
      </c>
      <c r="J725" s="42" t="str">
        <f t="shared" si="23"/>
        <v>13311</v>
      </c>
    </row>
    <row r="726" spans="1:12">
      <c r="A726" s="30">
        <v>46230</v>
      </c>
      <c r="B726" s="31" t="s">
        <v>816</v>
      </c>
      <c r="C726" s="32" t="s">
        <v>252</v>
      </c>
      <c r="D726" s="19" t="s">
        <v>2246</v>
      </c>
      <c r="E726" s="275">
        <v>48136</v>
      </c>
      <c r="F726" s="272"/>
      <c r="G726" s="32" t="s">
        <v>434</v>
      </c>
      <c r="H726" s="32" t="s">
        <v>334</v>
      </c>
      <c r="I726" s="2">
        <f t="shared" si="22"/>
        <v>48136</v>
      </c>
      <c r="J726" s="42" t="str">
        <f t="shared" si="23"/>
        <v>13311</v>
      </c>
    </row>
    <row r="727" spans="1:12">
      <c r="A727" s="30">
        <v>46230</v>
      </c>
      <c r="B727" s="31" t="s">
        <v>816</v>
      </c>
      <c r="C727" s="32" t="s">
        <v>252</v>
      </c>
      <c r="D727" s="19" t="s">
        <v>2246</v>
      </c>
      <c r="E727" s="275">
        <v>2000</v>
      </c>
      <c r="F727" s="272"/>
      <c r="G727" s="32" t="s">
        <v>434</v>
      </c>
      <c r="H727" s="32" t="s">
        <v>334</v>
      </c>
      <c r="I727" s="2">
        <f t="shared" si="22"/>
        <v>2000</v>
      </c>
      <c r="J727" s="42" t="str">
        <f t="shared" si="23"/>
        <v>13311</v>
      </c>
    </row>
    <row r="728" spans="1:12">
      <c r="A728" s="30">
        <v>46230</v>
      </c>
      <c r="B728" s="31" t="s">
        <v>816</v>
      </c>
      <c r="C728" s="32" t="s">
        <v>252</v>
      </c>
      <c r="D728" s="19" t="s">
        <v>2246</v>
      </c>
      <c r="E728" s="275">
        <v>2000</v>
      </c>
      <c r="F728" s="272"/>
      <c r="G728" s="32" t="s">
        <v>434</v>
      </c>
      <c r="H728" s="32" t="s">
        <v>334</v>
      </c>
      <c r="I728" s="2">
        <f t="shared" si="22"/>
        <v>2000</v>
      </c>
      <c r="J728" s="42" t="str">
        <f t="shared" si="23"/>
        <v>13311</v>
      </c>
    </row>
    <row r="729" spans="1:12">
      <c r="A729" s="30">
        <v>46230</v>
      </c>
      <c r="B729" s="31" t="s">
        <v>816</v>
      </c>
      <c r="C729" s="32" t="s">
        <v>252</v>
      </c>
      <c r="D729" s="19" t="s">
        <v>2246</v>
      </c>
      <c r="E729" s="275">
        <v>2000</v>
      </c>
      <c r="F729" s="272"/>
      <c r="G729" s="32" t="s">
        <v>434</v>
      </c>
      <c r="H729" s="32" t="s">
        <v>334</v>
      </c>
      <c r="I729" s="2">
        <f t="shared" si="22"/>
        <v>2000</v>
      </c>
      <c r="J729" s="42" t="str">
        <f t="shared" si="23"/>
        <v>13311</v>
      </c>
    </row>
    <row r="730" spans="1:12">
      <c r="A730" s="30">
        <v>46230</v>
      </c>
      <c r="B730" s="31" t="s">
        <v>816</v>
      </c>
      <c r="C730" s="32" t="s">
        <v>252</v>
      </c>
      <c r="D730" s="19" t="s">
        <v>2246</v>
      </c>
      <c r="E730" s="275">
        <v>3732</v>
      </c>
      <c r="F730" s="272"/>
      <c r="G730" s="32" t="s">
        <v>434</v>
      </c>
      <c r="H730" s="32" t="s">
        <v>334</v>
      </c>
      <c r="I730" s="2">
        <f t="shared" si="22"/>
        <v>3732</v>
      </c>
      <c r="J730" s="42" t="str">
        <f t="shared" si="23"/>
        <v>13311</v>
      </c>
    </row>
    <row r="731" spans="1:12">
      <c r="A731" s="30">
        <v>46230</v>
      </c>
      <c r="B731" s="31" t="s">
        <v>816</v>
      </c>
      <c r="C731" s="32" t="s">
        <v>252</v>
      </c>
      <c r="D731" s="19" t="s">
        <v>2246</v>
      </c>
      <c r="E731" s="275">
        <v>2000</v>
      </c>
      <c r="F731" s="272"/>
      <c r="G731" s="32" t="s">
        <v>434</v>
      </c>
      <c r="H731" s="32" t="s">
        <v>334</v>
      </c>
      <c r="I731" s="2">
        <f t="shared" si="22"/>
        <v>2000</v>
      </c>
      <c r="J731" s="42" t="str">
        <f t="shared" si="23"/>
        <v>13311</v>
      </c>
    </row>
    <row r="732" spans="1:12">
      <c r="A732" s="30">
        <v>46230</v>
      </c>
      <c r="B732" s="31" t="s">
        <v>816</v>
      </c>
      <c r="C732" s="32" t="s">
        <v>252</v>
      </c>
      <c r="D732" s="19" t="s">
        <v>2246</v>
      </c>
      <c r="E732" s="275">
        <v>240000</v>
      </c>
      <c r="F732" s="272"/>
      <c r="G732" s="32" t="s">
        <v>434</v>
      </c>
      <c r="H732" s="32" t="s">
        <v>334</v>
      </c>
      <c r="I732" s="2">
        <f t="shared" si="22"/>
        <v>240000</v>
      </c>
      <c r="J732" s="42" t="str">
        <f t="shared" si="23"/>
        <v>13311</v>
      </c>
    </row>
    <row r="733" spans="1:12" s="36" customFormat="1">
      <c r="A733" s="30">
        <v>46230</v>
      </c>
      <c r="B733" s="31" t="s">
        <v>816</v>
      </c>
      <c r="C733" s="32" t="s">
        <v>252</v>
      </c>
      <c r="D733" s="19" t="s">
        <v>2246</v>
      </c>
      <c r="E733" s="275">
        <v>20818</v>
      </c>
      <c r="F733" s="272"/>
      <c r="G733" s="32" t="s">
        <v>434</v>
      </c>
      <c r="H733" s="32" t="s">
        <v>334</v>
      </c>
      <c r="I733" s="2">
        <f t="shared" si="22"/>
        <v>20818</v>
      </c>
      <c r="J733" s="42" t="str">
        <f t="shared" si="23"/>
        <v>13311</v>
      </c>
      <c r="L733" s="50"/>
    </row>
    <row r="734" spans="1:12">
      <c r="A734" s="30">
        <v>46230</v>
      </c>
      <c r="B734" s="31" t="s">
        <v>816</v>
      </c>
      <c r="C734" s="32" t="s">
        <v>252</v>
      </c>
      <c r="D734" s="19" t="s">
        <v>2246</v>
      </c>
      <c r="E734" s="275">
        <v>49091</v>
      </c>
      <c r="F734" s="272"/>
      <c r="G734" s="32" t="s">
        <v>434</v>
      </c>
      <c r="H734" s="32" t="s">
        <v>334</v>
      </c>
      <c r="I734" s="2">
        <f t="shared" si="22"/>
        <v>49091</v>
      </c>
      <c r="J734" s="42" t="str">
        <f t="shared" si="23"/>
        <v>13311</v>
      </c>
    </row>
    <row r="735" spans="1:12">
      <c r="A735" s="30">
        <v>46230</v>
      </c>
      <c r="B735" s="31" t="s">
        <v>816</v>
      </c>
      <c r="C735" s="32" t="s">
        <v>252</v>
      </c>
      <c r="D735" s="19" t="s">
        <v>2246</v>
      </c>
      <c r="E735" s="275">
        <v>2727</v>
      </c>
      <c r="F735" s="272"/>
      <c r="G735" s="32" t="s">
        <v>434</v>
      </c>
      <c r="H735" s="32" t="s">
        <v>334</v>
      </c>
      <c r="I735" s="2">
        <f t="shared" si="22"/>
        <v>2727</v>
      </c>
      <c r="J735" s="42" t="str">
        <f t="shared" si="23"/>
        <v>13311</v>
      </c>
    </row>
    <row r="736" spans="1:12">
      <c r="A736" s="30">
        <v>46230</v>
      </c>
      <c r="B736" s="31" t="s">
        <v>816</v>
      </c>
      <c r="C736" s="32" t="s">
        <v>252</v>
      </c>
      <c r="D736" s="19" t="s">
        <v>2246</v>
      </c>
      <c r="E736" s="275">
        <v>27273</v>
      </c>
      <c r="F736" s="272"/>
      <c r="G736" s="32" t="s">
        <v>434</v>
      </c>
      <c r="H736" s="32" t="s">
        <v>334</v>
      </c>
      <c r="I736" s="2">
        <f t="shared" si="22"/>
        <v>27273</v>
      </c>
      <c r="J736" s="42" t="str">
        <f t="shared" si="23"/>
        <v>13311</v>
      </c>
    </row>
    <row r="737" spans="1:10">
      <c r="A737" s="30">
        <v>46230</v>
      </c>
      <c r="B737" s="31" t="s">
        <v>816</v>
      </c>
      <c r="C737" s="32" t="s">
        <v>252</v>
      </c>
      <c r="D737" s="19" t="s">
        <v>2246</v>
      </c>
      <c r="E737" s="275">
        <v>13636</v>
      </c>
      <c r="F737" s="272"/>
      <c r="G737" s="32" t="s">
        <v>434</v>
      </c>
      <c r="H737" s="32" t="s">
        <v>334</v>
      </c>
      <c r="I737" s="2">
        <f t="shared" si="22"/>
        <v>13636</v>
      </c>
      <c r="J737" s="42" t="str">
        <f t="shared" si="23"/>
        <v>13311</v>
      </c>
    </row>
    <row r="738" spans="1:10">
      <c r="A738" s="30">
        <v>46230</v>
      </c>
      <c r="B738" s="31" t="s">
        <v>816</v>
      </c>
      <c r="C738" s="32" t="s">
        <v>252</v>
      </c>
      <c r="D738" s="19" t="s">
        <v>2246</v>
      </c>
      <c r="E738" s="275">
        <v>2598</v>
      </c>
      <c r="F738" s="272"/>
      <c r="G738" s="32" t="s">
        <v>434</v>
      </c>
      <c r="H738" s="32" t="s">
        <v>334</v>
      </c>
      <c r="I738" s="2">
        <f t="shared" si="22"/>
        <v>2598</v>
      </c>
      <c r="J738" s="42" t="str">
        <f t="shared" si="23"/>
        <v>13311</v>
      </c>
    </row>
    <row r="739" spans="1:10">
      <c r="A739" s="30">
        <v>46230</v>
      </c>
      <c r="B739" s="31" t="s">
        <v>816</v>
      </c>
      <c r="C739" s="32" t="s">
        <v>252</v>
      </c>
      <c r="D739" s="19" t="s">
        <v>2246</v>
      </c>
      <c r="E739" s="275">
        <v>90000</v>
      </c>
      <c r="F739" s="272"/>
      <c r="G739" s="32" t="s">
        <v>434</v>
      </c>
      <c r="H739" s="32" t="s">
        <v>334</v>
      </c>
      <c r="I739" s="2">
        <f t="shared" si="22"/>
        <v>90000</v>
      </c>
      <c r="J739" s="42" t="str">
        <f t="shared" si="23"/>
        <v>13311</v>
      </c>
    </row>
    <row r="740" spans="1:10">
      <c r="A740" s="30">
        <v>46230</v>
      </c>
      <c r="B740" s="31" t="s">
        <v>816</v>
      </c>
      <c r="C740" s="32" t="s">
        <v>252</v>
      </c>
      <c r="D740" s="19" t="s">
        <v>2246</v>
      </c>
      <c r="E740" s="275">
        <v>2000</v>
      </c>
      <c r="F740" s="272"/>
      <c r="G740" s="32" t="s">
        <v>434</v>
      </c>
      <c r="H740" s="32" t="s">
        <v>334</v>
      </c>
      <c r="I740" s="2">
        <f t="shared" si="22"/>
        <v>2000</v>
      </c>
      <c r="J740" s="42" t="str">
        <f t="shared" si="23"/>
        <v>13311</v>
      </c>
    </row>
    <row r="741" spans="1:10">
      <c r="A741" s="30">
        <v>46230</v>
      </c>
      <c r="B741" s="31" t="s">
        <v>816</v>
      </c>
      <c r="C741" s="32" t="s">
        <v>252</v>
      </c>
      <c r="D741" s="19" t="s">
        <v>2246</v>
      </c>
      <c r="E741" s="275">
        <v>2000</v>
      </c>
      <c r="F741" s="272"/>
      <c r="G741" s="32" t="s">
        <v>434</v>
      </c>
      <c r="H741" s="32" t="s">
        <v>334</v>
      </c>
      <c r="I741" s="2">
        <f t="shared" si="22"/>
        <v>2000</v>
      </c>
      <c r="J741" s="42" t="str">
        <f t="shared" si="23"/>
        <v>13311</v>
      </c>
    </row>
    <row r="742" spans="1:10">
      <c r="A742" s="30">
        <v>46230</v>
      </c>
      <c r="B742" s="31" t="s">
        <v>816</v>
      </c>
      <c r="C742" s="32" t="s">
        <v>252</v>
      </c>
      <c r="D742" s="19" t="s">
        <v>2246</v>
      </c>
      <c r="E742" s="275">
        <v>2000</v>
      </c>
      <c r="F742" s="272"/>
      <c r="G742" s="32" t="s">
        <v>434</v>
      </c>
      <c r="H742" s="32" t="s">
        <v>334</v>
      </c>
      <c r="I742" s="2">
        <f t="shared" si="22"/>
        <v>2000</v>
      </c>
      <c r="J742" s="42" t="str">
        <f t="shared" si="23"/>
        <v>13311</v>
      </c>
    </row>
    <row r="743" spans="1:10">
      <c r="A743" s="30">
        <v>46230</v>
      </c>
      <c r="B743" s="31" t="s">
        <v>816</v>
      </c>
      <c r="C743" s="32" t="s">
        <v>252</v>
      </c>
      <c r="D743" s="19" t="s">
        <v>2246</v>
      </c>
      <c r="E743" s="275">
        <v>45982</v>
      </c>
      <c r="F743" s="272"/>
      <c r="G743" s="32" t="s">
        <v>434</v>
      </c>
      <c r="H743" s="32" t="s">
        <v>334</v>
      </c>
      <c r="I743" s="2">
        <f t="shared" si="22"/>
        <v>45982</v>
      </c>
      <c r="J743" s="42" t="str">
        <f t="shared" si="23"/>
        <v>13311</v>
      </c>
    </row>
    <row r="744" spans="1:10">
      <c r="A744" s="30">
        <v>46230</v>
      </c>
      <c r="B744" s="31" t="s">
        <v>816</v>
      </c>
      <c r="C744" s="32" t="s">
        <v>252</v>
      </c>
      <c r="D744" s="19" t="s">
        <v>2246</v>
      </c>
      <c r="E744" s="275">
        <v>2883</v>
      </c>
      <c r="F744" s="272"/>
      <c r="G744" s="32" t="s">
        <v>434</v>
      </c>
      <c r="H744" s="32" t="s">
        <v>334</v>
      </c>
      <c r="I744" s="2">
        <f t="shared" si="22"/>
        <v>2883</v>
      </c>
      <c r="J744" s="42" t="str">
        <f t="shared" si="23"/>
        <v>13311</v>
      </c>
    </row>
    <row r="745" spans="1:10">
      <c r="A745" s="30">
        <v>46230</v>
      </c>
      <c r="B745" s="31" t="s">
        <v>816</v>
      </c>
      <c r="C745" s="32" t="s">
        <v>252</v>
      </c>
      <c r="D745" s="19" t="s">
        <v>2246</v>
      </c>
      <c r="E745" s="275">
        <v>2000</v>
      </c>
      <c r="F745" s="272"/>
      <c r="G745" s="32" t="s">
        <v>434</v>
      </c>
      <c r="H745" s="32" t="s">
        <v>334</v>
      </c>
      <c r="I745" s="2">
        <f t="shared" si="22"/>
        <v>2000</v>
      </c>
      <c r="J745" s="42" t="str">
        <f t="shared" si="23"/>
        <v>13311</v>
      </c>
    </row>
    <row r="746" spans="1:10">
      <c r="A746" s="30">
        <v>46230</v>
      </c>
      <c r="B746" s="31" t="s">
        <v>816</v>
      </c>
      <c r="C746" s="32" t="s">
        <v>252</v>
      </c>
      <c r="D746" s="19" t="s">
        <v>2246</v>
      </c>
      <c r="E746" s="275">
        <v>29045</v>
      </c>
      <c r="F746" s="272"/>
      <c r="G746" s="32" t="s">
        <v>434</v>
      </c>
      <c r="H746" s="32" t="s">
        <v>334</v>
      </c>
      <c r="I746" s="2">
        <f t="shared" si="22"/>
        <v>29045</v>
      </c>
      <c r="J746" s="42" t="str">
        <f t="shared" si="23"/>
        <v>13311</v>
      </c>
    </row>
    <row r="747" spans="1:10">
      <c r="A747" s="30">
        <v>46230</v>
      </c>
      <c r="B747" s="31" t="s">
        <v>816</v>
      </c>
      <c r="C747" s="32" t="s">
        <v>252</v>
      </c>
      <c r="D747" s="19" t="s">
        <v>2246</v>
      </c>
      <c r="E747" s="275">
        <v>80000</v>
      </c>
      <c r="F747" s="272"/>
      <c r="G747" s="32" t="s">
        <v>434</v>
      </c>
      <c r="H747" s="32" t="s">
        <v>334</v>
      </c>
      <c r="I747" s="2">
        <f t="shared" si="22"/>
        <v>80000</v>
      </c>
      <c r="J747" s="42" t="str">
        <f t="shared" si="23"/>
        <v>13311</v>
      </c>
    </row>
    <row r="748" spans="1:10">
      <c r="A748" s="30">
        <v>46230</v>
      </c>
      <c r="B748" s="31" t="s">
        <v>816</v>
      </c>
      <c r="C748" s="32" t="s">
        <v>252</v>
      </c>
      <c r="D748" s="19" t="s">
        <v>2246</v>
      </c>
      <c r="E748" s="275">
        <v>90000</v>
      </c>
      <c r="F748" s="272"/>
      <c r="G748" s="32" t="s">
        <v>434</v>
      </c>
      <c r="H748" s="32" t="s">
        <v>334</v>
      </c>
      <c r="I748" s="2">
        <f t="shared" si="22"/>
        <v>90000</v>
      </c>
      <c r="J748" s="42" t="str">
        <f t="shared" si="23"/>
        <v>13311</v>
      </c>
    </row>
    <row r="749" spans="1:10">
      <c r="A749" s="30">
        <v>46230</v>
      </c>
      <c r="B749" s="31" t="s">
        <v>816</v>
      </c>
      <c r="C749" s="32" t="s">
        <v>252</v>
      </c>
      <c r="D749" s="19" t="s">
        <v>2246</v>
      </c>
      <c r="E749" s="275">
        <v>2727</v>
      </c>
      <c r="F749" s="272"/>
      <c r="G749" s="32" t="s">
        <v>434</v>
      </c>
      <c r="H749" s="32" t="s">
        <v>334</v>
      </c>
      <c r="I749" s="2">
        <f t="shared" si="22"/>
        <v>2727</v>
      </c>
      <c r="J749" s="42" t="str">
        <f t="shared" si="23"/>
        <v>13311</v>
      </c>
    </row>
    <row r="750" spans="1:10">
      <c r="A750" s="30">
        <v>46230</v>
      </c>
      <c r="B750" s="31" t="s">
        <v>816</v>
      </c>
      <c r="C750" s="32" t="s">
        <v>252</v>
      </c>
      <c r="D750" s="19" t="s">
        <v>2246</v>
      </c>
      <c r="E750" s="275">
        <v>2727</v>
      </c>
      <c r="F750" s="272"/>
      <c r="G750" s="32" t="s">
        <v>434</v>
      </c>
      <c r="H750" s="32" t="s">
        <v>334</v>
      </c>
      <c r="I750" s="2">
        <f t="shared" si="22"/>
        <v>2727</v>
      </c>
      <c r="J750" s="42" t="str">
        <f t="shared" si="23"/>
        <v>13311</v>
      </c>
    </row>
    <row r="751" spans="1:10">
      <c r="A751" s="30">
        <v>46230</v>
      </c>
      <c r="B751" s="31" t="s">
        <v>816</v>
      </c>
      <c r="C751" s="32" t="s">
        <v>252</v>
      </c>
      <c r="D751" s="19" t="s">
        <v>2246</v>
      </c>
      <c r="E751" s="275">
        <v>2727</v>
      </c>
      <c r="F751" s="272"/>
      <c r="G751" s="32" t="s">
        <v>434</v>
      </c>
      <c r="H751" s="32" t="s">
        <v>334</v>
      </c>
      <c r="I751" s="2">
        <f t="shared" si="22"/>
        <v>2727</v>
      </c>
      <c r="J751" s="42" t="str">
        <f t="shared" si="23"/>
        <v>13311</v>
      </c>
    </row>
    <row r="752" spans="1:10">
      <c r="A752" s="30">
        <v>46230</v>
      </c>
      <c r="B752" s="31" t="s">
        <v>816</v>
      </c>
      <c r="C752" s="32" t="s">
        <v>252</v>
      </c>
      <c r="D752" s="19" t="s">
        <v>2246</v>
      </c>
      <c r="E752" s="275">
        <v>2727</v>
      </c>
      <c r="F752" s="272"/>
      <c r="G752" s="32" t="s">
        <v>434</v>
      </c>
      <c r="H752" s="32" t="s">
        <v>334</v>
      </c>
      <c r="I752" s="2">
        <f t="shared" si="22"/>
        <v>2727</v>
      </c>
      <c r="J752" s="42" t="str">
        <f t="shared" si="23"/>
        <v>13311</v>
      </c>
    </row>
    <row r="753" spans="1:10">
      <c r="A753" s="30">
        <v>46230</v>
      </c>
      <c r="B753" s="31" t="s">
        <v>816</v>
      </c>
      <c r="C753" s="32" t="s">
        <v>252</v>
      </c>
      <c r="D753" s="19" t="s">
        <v>2246</v>
      </c>
      <c r="E753" s="275">
        <v>2727</v>
      </c>
      <c r="F753" s="272"/>
      <c r="G753" s="32" t="s">
        <v>434</v>
      </c>
      <c r="H753" s="32" t="s">
        <v>334</v>
      </c>
      <c r="I753" s="2">
        <f t="shared" si="22"/>
        <v>2727</v>
      </c>
      <c r="J753" s="42" t="str">
        <f t="shared" si="23"/>
        <v>13311</v>
      </c>
    </row>
    <row r="754" spans="1:10">
      <c r="A754" s="30">
        <v>46230</v>
      </c>
      <c r="B754" s="31" t="s">
        <v>816</v>
      </c>
      <c r="C754" s="32" t="s">
        <v>252</v>
      </c>
      <c r="D754" s="19" t="s">
        <v>2246</v>
      </c>
      <c r="E754" s="275">
        <v>2727</v>
      </c>
      <c r="F754" s="272"/>
      <c r="G754" s="32" t="s">
        <v>434</v>
      </c>
      <c r="H754" s="32" t="s">
        <v>334</v>
      </c>
      <c r="I754" s="2">
        <f t="shared" si="22"/>
        <v>2727</v>
      </c>
      <c r="J754" s="42" t="str">
        <f t="shared" si="23"/>
        <v>13311</v>
      </c>
    </row>
    <row r="755" spans="1:10">
      <c r="A755" s="30">
        <v>46230</v>
      </c>
      <c r="B755" s="31" t="s">
        <v>816</v>
      </c>
      <c r="C755" s="32" t="s">
        <v>252</v>
      </c>
      <c r="D755" s="19" t="s">
        <v>2246</v>
      </c>
      <c r="E755" s="275">
        <v>18182</v>
      </c>
      <c r="F755" s="272"/>
      <c r="G755" s="32" t="s">
        <v>434</v>
      </c>
      <c r="H755" s="32" t="s">
        <v>334</v>
      </c>
      <c r="I755" s="2">
        <f t="shared" si="22"/>
        <v>18182</v>
      </c>
      <c r="J755" s="42" t="str">
        <f t="shared" si="23"/>
        <v>13311</v>
      </c>
    </row>
    <row r="756" spans="1:10">
      <c r="A756" s="30">
        <v>46230</v>
      </c>
      <c r="B756" s="31" t="s">
        <v>816</v>
      </c>
      <c r="C756" s="32" t="s">
        <v>252</v>
      </c>
      <c r="D756" s="19" t="s">
        <v>2246</v>
      </c>
      <c r="E756" s="275">
        <v>2727</v>
      </c>
      <c r="F756" s="272"/>
      <c r="G756" s="32" t="s">
        <v>434</v>
      </c>
      <c r="H756" s="32" t="s">
        <v>334</v>
      </c>
      <c r="I756" s="2">
        <f t="shared" si="22"/>
        <v>2727</v>
      </c>
      <c r="J756" s="42" t="str">
        <f t="shared" si="23"/>
        <v>13311</v>
      </c>
    </row>
    <row r="757" spans="1:10">
      <c r="A757" s="30">
        <v>46230</v>
      </c>
      <c r="B757" s="31" t="s">
        <v>816</v>
      </c>
      <c r="C757" s="32" t="s">
        <v>252</v>
      </c>
      <c r="D757" s="19" t="s">
        <v>2246</v>
      </c>
      <c r="E757" s="275">
        <v>2727</v>
      </c>
      <c r="F757" s="272"/>
      <c r="G757" s="32" t="s">
        <v>434</v>
      </c>
      <c r="H757" s="32" t="s">
        <v>334</v>
      </c>
      <c r="I757" s="2">
        <f t="shared" si="22"/>
        <v>2727</v>
      </c>
      <c r="J757" s="42" t="str">
        <f t="shared" si="23"/>
        <v>13311</v>
      </c>
    </row>
    <row r="758" spans="1:10">
      <c r="A758" s="30">
        <v>46230</v>
      </c>
      <c r="B758" s="31" t="s">
        <v>816</v>
      </c>
      <c r="C758" s="32" t="s">
        <v>252</v>
      </c>
      <c r="D758" s="19" t="s">
        <v>2246</v>
      </c>
      <c r="E758" s="275">
        <v>2727</v>
      </c>
      <c r="F758" s="272"/>
      <c r="G758" s="32" t="s">
        <v>434</v>
      </c>
      <c r="H758" s="32" t="s">
        <v>334</v>
      </c>
      <c r="I758" s="2">
        <f t="shared" si="22"/>
        <v>2727</v>
      </c>
      <c r="J758" s="42" t="str">
        <f t="shared" si="23"/>
        <v>13311</v>
      </c>
    </row>
    <row r="759" spans="1:10">
      <c r="A759" s="30">
        <v>46230</v>
      </c>
      <c r="B759" s="31" t="s">
        <v>816</v>
      </c>
      <c r="C759" s="32" t="s">
        <v>252</v>
      </c>
      <c r="D759" s="19" t="s">
        <v>2246</v>
      </c>
      <c r="E759" s="275">
        <v>2727</v>
      </c>
      <c r="F759" s="272"/>
      <c r="G759" s="32" t="s">
        <v>434</v>
      </c>
      <c r="H759" s="32" t="s">
        <v>334</v>
      </c>
      <c r="I759" s="2">
        <f t="shared" si="22"/>
        <v>2727</v>
      </c>
      <c r="J759" s="42" t="str">
        <f t="shared" si="23"/>
        <v>13311</v>
      </c>
    </row>
    <row r="760" spans="1:10">
      <c r="A760" s="30">
        <v>46230</v>
      </c>
      <c r="B760" s="31" t="s">
        <v>816</v>
      </c>
      <c r="C760" s="32" t="s">
        <v>252</v>
      </c>
      <c r="D760" s="19" t="s">
        <v>2246</v>
      </c>
      <c r="E760" s="275">
        <v>6000</v>
      </c>
      <c r="F760" s="272"/>
      <c r="G760" s="32" t="s">
        <v>434</v>
      </c>
      <c r="H760" s="32" t="s">
        <v>334</v>
      </c>
      <c r="I760" s="2">
        <f t="shared" si="22"/>
        <v>6000</v>
      </c>
      <c r="J760" s="42" t="str">
        <f t="shared" si="23"/>
        <v>13311</v>
      </c>
    </row>
    <row r="761" spans="1:10">
      <c r="A761" s="30">
        <v>46230</v>
      </c>
      <c r="B761" s="31" t="s">
        <v>816</v>
      </c>
      <c r="C761" s="32" t="s">
        <v>252</v>
      </c>
      <c r="D761" s="19" t="s">
        <v>2246</v>
      </c>
      <c r="E761" s="275">
        <v>23845</v>
      </c>
      <c r="F761" s="272"/>
      <c r="G761" s="32" t="s">
        <v>434</v>
      </c>
      <c r="H761" s="32" t="s">
        <v>334</v>
      </c>
      <c r="I761" s="2">
        <f t="shared" si="22"/>
        <v>23845</v>
      </c>
      <c r="J761" s="42" t="str">
        <f t="shared" si="23"/>
        <v>13311</v>
      </c>
    </row>
    <row r="762" spans="1:10">
      <c r="A762" s="30">
        <v>46230</v>
      </c>
      <c r="B762" s="31" t="s">
        <v>816</v>
      </c>
      <c r="C762" s="32" t="s">
        <v>252</v>
      </c>
      <c r="D762" s="19" t="s">
        <v>2246</v>
      </c>
      <c r="E762" s="275">
        <v>8182</v>
      </c>
      <c r="F762" s="272"/>
      <c r="G762" s="32" t="s">
        <v>434</v>
      </c>
      <c r="H762" s="32" t="s">
        <v>334</v>
      </c>
      <c r="I762" s="2">
        <f t="shared" si="22"/>
        <v>8182</v>
      </c>
      <c r="J762" s="42" t="str">
        <f t="shared" si="23"/>
        <v>13311</v>
      </c>
    </row>
    <row r="763" spans="1:10">
      <c r="A763" s="30">
        <v>46230</v>
      </c>
      <c r="B763" s="31" t="s">
        <v>816</v>
      </c>
      <c r="C763" s="32" t="s">
        <v>252</v>
      </c>
      <c r="D763" s="19" t="s">
        <v>2246</v>
      </c>
      <c r="E763" s="275">
        <v>8182</v>
      </c>
      <c r="F763" s="272"/>
      <c r="G763" s="32" t="s">
        <v>434</v>
      </c>
      <c r="H763" s="32" t="s">
        <v>334</v>
      </c>
      <c r="I763" s="2">
        <f t="shared" si="22"/>
        <v>8182</v>
      </c>
      <c r="J763" s="42" t="str">
        <f t="shared" si="23"/>
        <v>13311</v>
      </c>
    </row>
    <row r="764" spans="1:10">
      <c r="A764" s="30">
        <v>46230</v>
      </c>
      <c r="B764" s="31" t="s">
        <v>816</v>
      </c>
      <c r="C764" s="32" t="s">
        <v>252</v>
      </c>
      <c r="D764" s="19" t="s">
        <v>2246</v>
      </c>
      <c r="E764" s="275">
        <v>8182</v>
      </c>
      <c r="F764" s="272"/>
      <c r="G764" s="32" t="s">
        <v>434</v>
      </c>
      <c r="H764" s="32" t="s">
        <v>334</v>
      </c>
      <c r="I764" s="2">
        <f t="shared" si="22"/>
        <v>8182</v>
      </c>
      <c r="J764" s="42" t="str">
        <f t="shared" si="23"/>
        <v>13311</v>
      </c>
    </row>
    <row r="765" spans="1:10">
      <c r="A765" s="30">
        <v>46230</v>
      </c>
      <c r="B765" s="31" t="s">
        <v>816</v>
      </c>
      <c r="C765" s="32" t="s">
        <v>252</v>
      </c>
      <c r="D765" s="19" t="s">
        <v>2246</v>
      </c>
      <c r="E765" s="275">
        <v>8182</v>
      </c>
      <c r="F765" s="272"/>
      <c r="G765" s="32" t="s">
        <v>434</v>
      </c>
      <c r="H765" s="32" t="s">
        <v>334</v>
      </c>
      <c r="I765" s="2">
        <f t="shared" si="22"/>
        <v>8182</v>
      </c>
      <c r="J765" s="42" t="str">
        <f t="shared" si="23"/>
        <v>13311</v>
      </c>
    </row>
    <row r="766" spans="1:10">
      <c r="A766" s="30">
        <v>46230</v>
      </c>
      <c r="B766" s="31" t="s">
        <v>816</v>
      </c>
      <c r="C766" s="32" t="s">
        <v>252</v>
      </c>
      <c r="D766" s="19" t="s">
        <v>2246</v>
      </c>
      <c r="E766" s="275">
        <v>8182</v>
      </c>
      <c r="F766" s="272"/>
      <c r="G766" s="32" t="s">
        <v>434</v>
      </c>
      <c r="H766" s="32" t="s">
        <v>334</v>
      </c>
      <c r="I766" s="2">
        <f t="shared" si="22"/>
        <v>8182</v>
      </c>
      <c r="J766" s="42" t="str">
        <f t="shared" si="23"/>
        <v>13311</v>
      </c>
    </row>
    <row r="767" spans="1:10">
      <c r="A767" s="30">
        <v>46230</v>
      </c>
      <c r="B767" s="31" t="s">
        <v>816</v>
      </c>
      <c r="C767" s="32" t="s">
        <v>252</v>
      </c>
      <c r="D767" s="19" t="s">
        <v>2246</v>
      </c>
      <c r="E767" s="275">
        <v>8182</v>
      </c>
      <c r="F767" s="272"/>
      <c r="G767" s="32" t="s">
        <v>434</v>
      </c>
      <c r="H767" s="32" t="s">
        <v>334</v>
      </c>
      <c r="I767" s="2">
        <f t="shared" si="22"/>
        <v>8182</v>
      </c>
      <c r="J767" s="42" t="str">
        <f t="shared" si="23"/>
        <v>13311</v>
      </c>
    </row>
    <row r="768" spans="1:10">
      <c r="A768" s="30">
        <v>46230</v>
      </c>
      <c r="B768" s="31" t="s">
        <v>816</v>
      </c>
      <c r="C768" s="32" t="s">
        <v>252</v>
      </c>
      <c r="D768" s="19" t="s">
        <v>2246</v>
      </c>
      <c r="E768" s="275">
        <v>18182</v>
      </c>
      <c r="F768" s="272"/>
      <c r="G768" s="32" t="s">
        <v>434</v>
      </c>
      <c r="H768" s="32" t="s">
        <v>334</v>
      </c>
      <c r="I768" s="2">
        <f t="shared" si="22"/>
        <v>18182</v>
      </c>
      <c r="J768" s="42" t="str">
        <f t="shared" si="23"/>
        <v>13311</v>
      </c>
    </row>
    <row r="769" spans="1:10">
      <c r="A769" s="30">
        <v>46230</v>
      </c>
      <c r="B769" s="31" t="s">
        <v>816</v>
      </c>
      <c r="C769" s="32" t="s">
        <v>252</v>
      </c>
      <c r="D769" s="19" t="s">
        <v>2246</v>
      </c>
      <c r="E769" s="275">
        <v>8182</v>
      </c>
      <c r="F769" s="272"/>
      <c r="G769" s="32" t="s">
        <v>434</v>
      </c>
      <c r="H769" s="32" t="s">
        <v>334</v>
      </c>
      <c r="I769" s="2">
        <f t="shared" si="22"/>
        <v>8182</v>
      </c>
      <c r="J769" s="42" t="str">
        <f t="shared" si="23"/>
        <v>13311</v>
      </c>
    </row>
    <row r="770" spans="1:10">
      <c r="A770" s="30">
        <v>46230</v>
      </c>
      <c r="B770" s="31" t="s">
        <v>816</v>
      </c>
      <c r="C770" s="32" t="s">
        <v>252</v>
      </c>
      <c r="D770" s="19" t="s">
        <v>2246</v>
      </c>
      <c r="E770" s="275">
        <v>8182</v>
      </c>
      <c r="F770" s="272"/>
      <c r="G770" s="32" t="s">
        <v>434</v>
      </c>
      <c r="H770" s="32" t="s">
        <v>334</v>
      </c>
      <c r="I770" s="2">
        <f t="shared" si="22"/>
        <v>8182</v>
      </c>
      <c r="J770" s="42" t="str">
        <f t="shared" si="23"/>
        <v>13311</v>
      </c>
    </row>
    <row r="771" spans="1:10">
      <c r="A771" s="30">
        <v>46230</v>
      </c>
      <c r="B771" s="31" t="s">
        <v>816</v>
      </c>
      <c r="C771" s="32" t="s">
        <v>252</v>
      </c>
      <c r="D771" s="19" t="s">
        <v>2246</v>
      </c>
      <c r="E771" s="275">
        <v>8182</v>
      </c>
      <c r="F771" s="272"/>
      <c r="G771" s="32" t="s">
        <v>434</v>
      </c>
      <c r="H771" s="32" t="s">
        <v>334</v>
      </c>
      <c r="I771" s="2">
        <f t="shared" si="22"/>
        <v>8182</v>
      </c>
      <c r="J771" s="42" t="str">
        <f t="shared" si="23"/>
        <v>13311</v>
      </c>
    </row>
    <row r="772" spans="1:10">
      <c r="A772" s="30">
        <v>46230</v>
      </c>
      <c r="B772" s="31" t="s">
        <v>816</v>
      </c>
      <c r="C772" s="32" t="s">
        <v>252</v>
      </c>
      <c r="D772" s="19" t="s">
        <v>2246</v>
      </c>
      <c r="E772" s="275">
        <v>8182</v>
      </c>
      <c r="F772" s="272"/>
      <c r="G772" s="32" t="s">
        <v>434</v>
      </c>
      <c r="H772" s="32" t="s">
        <v>334</v>
      </c>
      <c r="I772" s="2">
        <f t="shared" si="22"/>
        <v>8182</v>
      </c>
      <c r="J772" s="42" t="str">
        <f t="shared" si="23"/>
        <v>13311</v>
      </c>
    </row>
    <row r="773" spans="1:10">
      <c r="A773" s="30">
        <v>46230</v>
      </c>
      <c r="B773" s="31" t="s">
        <v>816</v>
      </c>
      <c r="C773" s="32" t="s">
        <v>252</v>
      </c>
      <c r="D773" s="19" t="s">
        <v>2246</v>
      </c>
      <c r="E773" s="275">
        <v>8182</v>
      </c>
      <c r="F773" s="272"/>
      <c r="G773" s="32" t="s">
        <v>434</v>
      </c>
      <c r="H773" s="32" t="s">
        <v>334</v>
      </c>
      <c r="I773" s="2">
        <f t="shared" si="22"/>
        <v>8182</v>
      </c>
      <c r="J773" s="42" t="str">
        <f t="shared" si="23"/>
        <v>13311</v>
      </c>
    </row>
    <row r="774" spans="1:10">
      <c r="A774" s="30">
        <v>46230</v>
      </c>
      <c r="B774" s="31" t="s">
        <v>816</v>
      </c>
      <c r="C774" s="32" t="s">
        <v>252</v>
      </c>
      <c r="D774" s="19" t="s">
        <v>2246</v>
      </c>
      <c r="E774" s="275">
        <v>8182</v>
      </c>
      <c r="F774" s="272"/>
      <c r="G774" s="32" t="s">
        <v>434</v>
      </c>
      <c r="H774" s="32" t="s">
        <v>334</v>
      </c>
      <c r="I774" s="2">
        <f t="shared" si="22"/>
        <v>8182</v>
      </c>
      <c r="J774" s="42" t="str">
        <f t="shared" si="23"/>
        <v>13311</v>
      </c>
    </row>
    <row r="775" spans="1:10">
      <c r="A775" s="30">
        <v>46230</v>
      </c>
      <c r="B775" s="31" t="s">
        <v>816</v>
      </c>
      <c r="C775" s="32" t="s">
        <v>252</v>
      </c>
      <c r="D775" s="19" t="s">
        <v>2246</v>
      </c>
      <c r="E775" s="275">
        <v>8182</v>
      </c>
      <c r="F775" s="272"/>
      <c r="G775" s="32" t="s">
        <v>434</v>
      </c>
      <c r="H775" s="32" t="s">
        <v>334</v>
      </c>
      <c r="I775" s="2">
        <f t="shared" si="22"/>
        <v>8182</v>
      </c>
      <c r="J775" s="42" t="str">
        <f t="shared" si="23"/>
        <v>13311</v>
      </c>
    </row>
    <row r="776" spans="1:10">
      <c r="A776" s="30">
        <v>46230</v>
      </c>
      <c r="B776" s="31" t="s">
        <v>816</v>
      </c>
      <c r="C776" s="32" t="s">
        <v>252</v>
      </c>
      <c r="D776" s="19" t="s">
        <v>2246</v>
      </c>
      <c r="E776" s="275">
        <v>32727</v>
      </c>
      <c r="F776" s="272"/>
      <c r="G776" s="32" t="s">
        <v>434</v>
      </c>
      <c r="H776" s="32" t="s">
        <v>334</v>
      </c>
      <c r="I776" s="2">
        <f t="shared" si="22"/>
        <v>32727</v>
      </c>
      <c r="J776" s="42" t="str">
        <f t="shared" si="23"/>
        <v>13311</v>
      </c>
    </row>
    <row r="777" spans="1:10">
      <c r="A777" s="30">
        <v>46230</v>
      </c>
      <c r="B777" s="31" t="s">
        <v>816</v>
      </c>
      <c r="C777" s="32" t="s">
        <v>252</v>
      </c>
      <c r="D777" s="19" t="s">
        <v>2246</v>
      </c>
      <c r="E777" s="275">
        <v>8182</v>
      </c>
      <c r="F777" s="272"/>
      <c r="G777" s="32" t="s">
        <v>434</v>
      </c>
      <c r="H777" s="32" t="s">
        <v>334</v>
      </c>
      <c r="I777" s="2">
        <f t="shared" si="22"/>
        <v>8182</v>
      </c>
      <c r="J777" s="42" t="str">
        <f t="shared" si="23"/>
        <v>13311</v>
      </c>
    </row>
    <row r="778" spans="1:10">
      <c r="A778" s="30">
        <v>46230</v>
      </c>
      <c r="B778" s="31" t="s">
        <v>816</v>
      </c>
      <c r="C778" s="32" t="s">
        <v>252</v>
      </c>
      <c r="D778" s="19" t="s">
        <v>2246</v>
      </c>
      <c r="E778" s="275">
        <v>8182</v>
      </c>
      <c r="F778" s="272"/>
      <c r="G778" s="32" t="s">
        <v>434</v>
      </c>
      <c r="H778" s="32" t="s">
        <v>334</v>
      </c>
      <c r="I778" s="2">
        <f t="shared" si="22"/>
        <v>8182</v>
      </c>
      <c r="J778" s="42" t="str">
        <f t="shared" si="23"/>
        <v>13311</v>
      </c>
    </row>
    <row r="779" spans="1:10">
      <c r="A779" s="30">
        <v>46230</v>
      </c>
      <c r="B779" s="31" t="s">
        <v>816</v>
      </c>
      <c r="C779" s="32" t="s">
        <v>252</v>
      </c>
      <c r="D779" s="19" t="s">
        <v>2246</v>
      </c>
      <c r="E779" s="275">
        <v>8182</v>
      </c>
      <c r="F779" s="272"/>
      <c r="G779" s="32" t="s">
        <v>434</v>
      </c>
      <c r="H779" s="32" t="s">
        <v>334</v>
      </c>
      <c r="I779" s="2">
        <f t="shared" ref="I779:I842" si="24">IF(LEN(A779)=5,E779,0)</f>
        <v>8182</v>
      </c>
      <c r="J779" s="42" t="str">
        <f t="shared" ref="J779:J842" si="25">IF(LEFT(A779,11)="Tài khoản: ",MID(A779,12,5),J778)</f>
        <v>13311</v>
      </c>
    </row>
    <row r="780" spans="1:10">
      <c r="A780" s="30">
        <v>46230</v>
      </c>
      <c r="B780" s="31" t="s">
        <v>816</v>
      </c>
      <c r="C780" s="32" t="s">
        <v>252</v>
      </c>
      <c r="D780" s="19" t="s">
        <v>2246</v>
      </c>
      <c r="E780" s="275">
        <v>2727</v>
      </c>
      <c r="F780" s="272"/>
      <c r="G780" s="32" t="s">
        <v>434</v>
      </c>
      <c r="H780" s="32" t="s">
        <v>334</v>
      </c>
      <c r="I780" s="2">
        <f t="shared" si="24"/>
        <v>2727</v>
      </c>
      <c r="J780" s="42" t="str">
        <f t="shared" si="25"/>
        <v>13311</v>
      </c>
    </row>
    <row r="781" spans="1:10">
      <c r="A781" s="30">
        <v>46230</v>
      </c>
      <c r="B781" s="31" t="s">
        <v>816</v>
      </c>
      <c r="C781" s="32" t="s">
        <v>252</v>
      </c>
      <c r="D781" s="19" t="s">
        <v>2246</v>
      </c>
      <c r="E781" s="275">
        <v>2727</v>
      </c>
      <c r="F781" s="272"/>
      <c r="G781" s="32" t="s">
        <v>434</v>
      </c>
      <c r="H781" s="32" t="s">
        <v>334</v>
      </c>
      <c r="I781" s="2">
        <f t="shared" si="24"/>
        <v>2727</v>
      </c>
      <c r="J781" s="42" t="str">
        <f t="shared" si="25"/>
        <v>13311</v>
      </c>
    </row>
    <row r="782" spans="1:10">
      <c r="A782" s="30">
        <v>46230</v>
      </c>
      <c r="B782" s="31" t="s">
        <v>816</v>
      </c>
      <c r="C782" s="32" t="s">
        <v>252</v>
      </c>
      <c r="D782" s="19" t="s">
        <v>2246</v>
      </c>
      <c r="E782" s="275">
        <v>10909</v>
      </c>
      <c r="F782" s="272"/>
      <c r="G782" s="32" t="s">
        <v>434</v>
      </c>
      <c r="H782" s="32" t="s">
        <v>334</v>
      </c>
      <c r="I782" s="2">
        <f t="shared" si="24"/>
        <v>10909</v>
      </c>
      <c r="J782" s="42" t="str">
        <f t="shared" si="25"/>
        <v>13311</v>
      </c>
    </row>
    <row r="783" spans="1:10">
      <c r="A783" s="30">
        <v>46230</v>
      </c>
      <c r="B783" s="31" t="s">
        <v>816</v>
      </c>
      <c r="C783" s="32" t="s">
        <v>252</v>
      </c>
      <c r="D783" s="19" t="s">
        <v>2246</v>
      </c>
      <c r="E783" s="275">
        <v>2727</v>
      </c>
      <c r="F783" s="272"/>
      <c r="G783" s="32" t="s">
        <v>434</v>
      </c>
      <c r="H783" s="32" t="s">
        <v>334</v>
      </c>
      <c r="I783" s="2">
        <f t="shared" si="24"/>
        <v>2727</v>
      </c>
      <c r="J783" s="42" t="str">
        <f t="shared" si="25"/>
        <v>13311</v>
      </c>
    </row>
    <row r="784" spans="1:10">
      <c r="A784" s="30">
        <v>46230</v>
      </c>
      <c r="B784" s="31" t="s">
        <v>816</v>
      </c>
      <c r="C784" s="32" t="s">
        <v>252</v>
      </c>
      <c r="D784" s="19" t="s">
        <v>2246</v>
      </c>
      <c r="E784" s="275">
        <v>2727</v>
      </c>
      <c r="F784" s="272"/>
      <c r="G784" s="32" t="s">
        <v>434</v>
      </c>
      <c r="H784" s="32" t="s">
        <v>334</v>
      </c>
      <c r="I784" s="2">
        <f t="shared" si="24"/>
        <v>2727</v>
      </c>
      <c r="J784" s="42" t="str">
        <f t="shared" si="25"/>
        <v>13311</v>
      </c>
    </row>
    <row r="785" spans="1:10">
      <c r="A785" s="30">
        <v>46230</v>
      </c>
      <c r="B785" s="31" t="s">
        <v>816</v>
      </c>
      <c r="C785" s="32" t="s">
        <v>252</v>
      </c>
      <c r="D785" s="19" t="s">
        <v>2246</v>
      </c>
      <c r="E785" s="275">
        <v>2727</v>
      </c>
      <c r="F785" s="272"/>
      <c r="G785" s="32" t="s">
        <v>434</v>
      </c>
      <c r="H785" s="32" t="s">
        <v>334</v>
      </c>
      <c r="I785" s="2">
        <f t="shared" si="24"/>
        <v>2727</v>
      </c>
      <c r="J785" s="42" t="str">
        <f t="shared" si="25"/>
        <v>13311</v>
      </c>
    </row>
    <row r="786" spans="1:10">
      <c r="A786" s="30">
        <v>46230</v>
      </c>
      <c r="B786" s="31" t="s">
        <v>816</v>
      </c>
      <c r="C786" s="32" t="s">
        <v>252</v>
      </c>
      <c r="D786" s="19" t="s">
        <v>2246</v>
      </c>
      <c r="E786" s="275">
        <v>2727</v>
      </c>
      <c r="F786" s="272"/>
      <c r="G786" s="32" t="s">
        <v>434</v>
      </c>
      <c r="H786" s="32" t="s">
        <v>334</v>
      </c>
      <c r="I786" s="2">
        <f t="shared" si="24"/>
        <v>2727</v>
      </c>
      <c r="J786" s="42" t="str">
        <f t="shared" si="25"/>
        <v>13311</v>
      </c>
    </row>
    <row r="787" spans="1:10">
      <c r="A787" s="30">
        <v>46230</v>
      </c>
      <c r="B787" s="31" t="s">
        <v>816</v>
      </c>
      <c r="C787" s="32" t="s">
        <v>252</v>
      </c>
      <c r="D787" s="19" t="s">
        <v>2246</v>
      </c>
      <c r="E787" s="275">
        <v>2727</v>
      </c>
      <c r="F787" s="272"/>
      <c r="G787" s="32" t="s">
        <v>434</v>
      </c>
      <c r="H787" s="32" t="s">
        <v>334</v>
      </c>
      <c r="I787" s="2">
        <f t="shared" si="24"/>
        <v>2727</v>
      </c>
      <c r="J787" s="42" t="str">
        <f t="shared" si="25"/>
        <v>13311</v>
      </c>
    </row>
    <row r="788" spans="1:10">
      <c r="A788" s="30">
        <v>46230</v>
      </c>
      <c r="B788" s="31" t="s">
        <v>816</v>
      </c>
      <c r="C788" s="32" t="s">
        <v>252</v>
      </c>
      <c r="D788" s="19" t="s">
        <v>2246</v>
      </c>
      <c r="E788" s="275">
        <v>2727</v>
      </c>
      <c r="F788" s="272"/>
      <c r="G788" s="32" t="s">
        <v>434</v>
      </c>
      <c r="H788" s="32" t="s">
        <v>334</v>
      </c>
      <c r="I788" s="2">
        <f t="shared" si="24"/>
        <v>2727</v>
      </c>
      <c r="J788" s="42" t="str">
        <f t="shared" si="25"/>
        <v>13311</v>
      </c>
    </row>
    <row r="789" spans="1:10">
      <c r="A789" s="30">
        <v>46230</v>
      </c>
      <c r="B789" s="31" t="s">
        <v>816</v>
      </c>
      <c r="C789" s="32" t="s">
        <v>252</v>
      </c>
      <c r="D789" s="19" t="s">
        <v>2246</v>
      </c>
      <c r="E789" s="275">
        <v>2727</v>
      </c>
      <c r="F789" s="272"/>
      <c r="G789" s="32" t="s">
        <v>434</v>
      </c>
      <c r="H789" s="32" t="s">
        <v>334</v>
      </c>
      <c r="I789" s="2">
        <f t="shared" si="24"/>
        <v>2727</v>
      </c>
      <c r="J789" s="42" t="str">
        <f t="shared" si="25"/>
        <v>13311</v>
      </c>
    </row>
    <row r="790" spans="1:10">
      <c r="A790" s="30">
        <v>46230</v>
      </c>
      <c r="B790" s="31" t="s">
        <v>816</v>
      </c>
      <c r="C790" s="32" t="s">
        <v>252</v>
      </c>
      <c r="D790" s="19" t="s">
        <v>2246</v>
      </c>
      <c r="E790" s="275">
        <v>2727</v>
      </c>
      <c r="F790" s="272"/>
      <c r="G790" s="32" t="s">
        <v>434</v>
      </c>
      <c r="H790" s="32" t="s">
        <v>334</v>
      </c>
      <c r="I790" s="2">
        <f t="shared" si="24"/>
        <v>2727</v>
      </c>
      <c r="J790" s="42" t="str">
        <f t="shared" si="25"/>
        <v>13311</v>
      </c>
    </row>
    <row r="791" spans="1:10">
      <c r="A791" s="30">
        <v>46230</v>
      </c>
      <c r="B791" s="31" t="s">
        <v>816</v>
      </c>
      <c r="C791" s="32" t="s">
        <v>252</v>
      </c>
      <c r="D791" s="19" t="s">
        <v>2246</v>
      </c>
      <c r="E791" s="275">
        <v>2727</v>
      </c>
      <c r="F791" s="272"/>
      <c r="G791" s="32" t="s">
        <v>434</v>
      </c>
      <c r="H791" s="32" t="s">
        <v>334</v>
      </c>
      <c r="I791" s="2">
        <f t="shared" si="24"/>
        <v>2727</v>
      </c>
      <c r="J791" s="42" t="str">
        <f t="shared" si="25"/>
        <v>13311</v>
      </c>
    </row>
    <row r="792" spans="1:10">
      <c r="A792" s="30">
        <v>46230</v>
      </c>
      <c r="B792" s="31" t="s">
        <v>816</v>
      </c>
      <c r="C792" s="32" t="s">
        <v>252</v>
      </c>
      <c r="D792" s="19" t="s">
        <v>2246</v>
      </c>
      <c r="E792" s="275">
        <v>2727</v>
      </c>
      <c r="F792" s="272"/>
      <c r="G792" s="32" t="s">
        <v>434</v>
      </c>
      <c r="H792" s="32" t="s">
        <v>334</v>
      </c>
      <c r="I792" s="2">
        <f t="shared" si="24"/>
        <v>2727</v>
      </c>
      <c r="J792" s="42" t="str">
        <f t="shared" si="25"/>
        <v>13311</v>
      </c>
    </row>
    <row r="793" spans="1:10">
      <c r="A793" s="30">
        <v>46230</v>
      </c>
      <c r="B793" s="31" t="s">
        <v>816</v>
      </c>
      <c r="C793" s="32" t="s">
        <v>252</v>
      </c>
      <c r="D793" s="19" t="s">
        <v>2246</v>
      </c>
      <c r="E793" s="275">
        <v>2727</v>
      </c>
      <c r="F793" s="272"/>
      <c r="G793" s="32" t="s">
        <v>434</v>
      </c>
      <c r="H793" s="32" t="s">
        <v>334</v>
      </c>
      <c r="I793" s="2">
        <f t="shared" si="24"/>
        <v>2727</v>
      </c>
      <c r="J793" s="42" t="str">
        <f t="shared" si="25"/>
        <v>13311</v>
      </c>
    </row>
    <row r="794" spans="1:10">
      <c r="A794" s="30">
        <v>46230</v>
      </c>
      <c r="B794" s="31" t="s">
        <v>816</v>
      </c>
      <c r="C794" s="32" t="s">
        <v>252</v>
      </c>
      <c r="D794" s="19" t="s">
        <v>2246</v>
      </c>
      <c r="E794" s="275">
        <v>2727</v>
      </c>
      <c r="F794" s="272"/>
      <c r="G794" s="32" t="s">
        <v>434</v>
      </c>
      <c r="H794" s="32" t="s">
        <v>334</v>
      </c>
      <c r="I794" s="2">
        <f t="shared" si="24"/>
        <v>2727</v>
      </c>
      <c r="J794" s="42" t="str">
        <f t="shared" si="25"/>
        <v>13311</v>
      </c>
    </row>
    <row r="795" spans="1:10">
      <c r="A795" s="30">
        <v>46230</v>
      </c>
      <c r="B795" s="31" t="s">
        <v>816</v>
      </c>
      <c r="C795" s="32" t="s">
        <v>252</v>
      </c>
      <c r="D795" s="19" t="s">
        <v>2246</v>
      </c>
      <c r="E795" s="275">
        <v>2727</v>
      </c>
      <c r="F795" s="272"/>
      <c r="G795" s="32" t="s">
        <v>434</v>
      </c>
      <c r="H795" s="32" t="s">
        <v>334</v>
      </c>
      <c r="I795" s="2">
        <f t="shared" si="24"/>
        <v>2727</v>
      </c>
      <c r="J795" s="42" t="str">
        <f t="shared" si="25"/>
        <v>13311</v>
      </c>
    </row>
    <row r="796" spans="1:10">
      <c r="A796" s="30">
        <v>46230</v>
      </c>
      <c r="B796" s="31" t="s">
        <v>816</v>
      </c>
      <c r="C796" s="32" t="s">
        <v>252</v>
      </c>
      <c r="D796" s="19" t="s">
        <v>2246</v>
      </c>
      <c r="E796" s="275">
        <v>2727</v>
      </c>
      <c r="F796" s="272"/>
      <c r="G796" s="32" t="s">
        <v>434</v>
      </c>
      <c r="H796" s="32" t="s">
        <v>334</v>
      </c>
      <c r="I796" s="2">
        <f t="shared" si="24"/>
        <v>2727</v>
      </c>
      <c r="J796" s="42" t="str">
        <f t="shared" si="25"/>
        <v>13311</v>
      </c>
    </row>
    <row r="797" spans="1:10">
      <c r="A797" s="30">
        <v>46230</v>
      </c>
      <c r="B797" s="31" t="s">
        <v>816</v>
      </c>
      <c r="C797" s="32" t="s">
        <v>252</v>
      </c>
      <c r="D797" s="19" t="s">
        <v>2246</v>
      </c>
      <c r="E797" s="275">
        <v>2727</v>
      </c>
      <c r="F797" s="272"/>
      <c r="G797" s="32" t="s">
        <v>434</v>
      </c>
      <c r="H797" s="32" t="s">
        <v>334</v>
      </c>
      <c r="I797" s="2">
        <f t="shared" si="24"/>
        <v>2727</v>
      </c>
      <c r="J797" s="42" t="str">
        <f t="shared" si="25"/>
        <v>13311</v>
      </c>
    </row>
    <row r="798" spans="1:10">
      <c r="A798" s="30">
        <v>46230</v>
      </c>
      <c r="B798" s="31" t="s">
        <v>816</v>
      </c>
      <c r="C798" s="32" t="s">
        <v>252</v>
      </c>
      <c r="D798" s="19" t="s">
        <v>2246</v>
      </c>
      <c r="E798" s="275">
        <v>2727</v>
      </c>
      <c r="F798" s="272"/>
      <c r="G798" s="32" t="s">
        <v>434</v>
      </c>
      <c r="H798" s="32" t="s">
        <v>334</v>
      </c>
      <c r="I798" s="2">
        <f t="shared" si="24"/>
        <v>2727</v>
      </c>
      <c r="J798" s="42" t="str">
        <f t="shared" si="25"/>
        <v>13311</v>
      </c>
    </row>
    <row r="799" spans="1:10">
      <c r="A799" s="30">
        <v>46230</v>
      </c>
      <c r="B799" s="31" t="s">
        <v>816</v>
      </c>
      <c r="C799" s="32" t="s">
        <v>252</v>
      </c>
      <c r="D799" s="19" t="s">
        <v>2246</v>
      </c>
      <c r="E799" s="275">
        <v>2727</v>
      </c>
      <c r="F799" s="272"/>
      <c r="G799" s="32" t="s">
        <v>434</v>
      </c>
      <c r="H799" s="32" t="s">
        <v>334</v>
      </c>
      <c r="I799" s="2">
        <f t="shared" si="24"/>
        <v>2727</v>
      </c>
      <c r="J799" s="42" t="str">
        <f t="shared" si="25"/>
        <v>13311</v>
      </c>
    </row>
    <row r="800" spans="1:10">
      <c r="A800" s="30">
        <v>46230</v>
      </c>
      <c r="B800" s="31" t="s">
        <v>816</v>
      </c>
      <c r="C800" s="32" t="s">
        <v>252</v>
      </c>
      <c r="D800" s="19" t="s">
        <v>2246</v>
      </c>
      <c r="E800" s="275">
        <v>8182</v>
      </c>
      <c r="F800" s="272"/>
      <c r="G800" s="32" t="s">
        <v>434</v>
      </c>
      <c r="H800" s="32" t="s">
        <v>334</v>
      </c>
      <c r="I800" s="2">
        <f t="shared" si="24"/>
        <v>8182</v>
      </c>
      <c r="J800" s="42" t="str">
        <f t="shared" si="25"/>
        <v>13311</v>
      </c>
    </row>
    <row r="801" spans="1:10">
      <c r="A801" s="30">
        <v>46230</v>
      </c>
      <c r="B801" s="31" t="s">
        <v>816</v>
      </c>
      <c r="C801" s="32" t="s">
        <v>252</v>
      </c>
      <c r="D801" s="19" t="s">
        <v>2246</v>
      </c>
      <c r="E801" s="275">
        <v>8182</v>
      </c>
      <c r="F801" s="272"/>
      <c r="G801" s="32" t="s">
        <v>434</v>
      </c>
      <c r="H801" s="32" t="s">
        <v>334</v>
      </c>
      <c r="I801" s="2">
        <f t="shared" si="24"/>
        <v>8182</v>
      </c>
      <c r="J801" s="42" t="str">
        <f t="shared" si="25"/>
        <v>13311</v>
      </c>
    </row>
    <row r="802" spans="1:10">
      <c r="A802" s="30">
        <v>46230</v>
      </c>
      <c r="B802" s="31" t="s">
        <v>816</v>
      </c>
      <c r="C802" s="32" t="s">
        <v>252</v>
      </c>
      <c r="D802" s="19" t="s">
        <v>2246</v>
      </c>
      <c r="E802" s="275">
        <v>8182</v>
      </c>
      <c r="F802" s="272"/>
      <c r="G802" s="32" t="s">
        <v>434</v>
      </c>
      <c r="H802" s="32" t="s">
        <v>334</v>
      </c>
      <c r="I802" s="2">
        <f t="shared" si="24"/>
        <v>8182</v>
      </c>
      <c r="J802" s="42" t="str">
        <f t="shared" si="25"/>
        <v>13311</v>
      </c>
    </row>
    <row r="803" spans="1:10">
      <c r="A803" s="30">
        <v>46230</v>
      </c>
      <c r="B803" s="31" t="s">
        <v>816</v>
      </c>
      <c r="C803" s="32" t="s">
        <v>252</v>
      </c>
      <c r="D803" s="19" t="s">
        <v>2246</v>
      </c>
      <c r="E803" s="275">
        <v>8182</v>
      </c>
      <c r="F803" s="272"/>
      <c r="G803" s="32" t="s">
        <v>434</v>
      </c>
      <c r="H803" s="32" t="s">
        <v>334</v>
      </c>
      <c r="I803" s="2">
        <f t="shared" si="24"/>
        <v>8182</v>
      </c>
      <c r="J803" s="42" t="str">
        <f t="shared" si="25"/>
        <v>13311</v>
      </c>
    </row>
    <row r="804" spans="1:10">
      <c r="A804" s="30">
        <v>46230</v>
      </c>
      <c r="B804" s="31" t="s">
        <v>816</v>
      </c>
      <c r="C804" s="32" t="s">
        <v>252</v>
      </c>
      <c r="D804" s="19" t="s">
        <v>2246</v>
      </c>
      <c r="E804" s="275">
        <v>8182</v>
      </c>
      <c r="F804" s="272"/>
      <c r="G804" s="32" t="s">
        <v>434</v>
      </c>
      <c r="H804" s="32" t="s">
        <v>334</v>
      </c>
      <c r="I804" s="2">
        <f t="shared" si="24"/>
        <v>8182</v>
      </c>
      <c r="J804" s="42" t="str">
        <f t="shared" si="25"/>
        <v>13311</v>
      </c>
    </row>
    <row r="805" spans="1:10">
      <c r="A805" s="30">
        <v>46230</v>
      </c>
      <c r="B805" s="31" t="s">
        <v>816</v>
      </c>
      <c r="C805" s="32" t="s">
        <v>252</v>
      </c>
      <c r="D805" s="19" t="s">
        <v>2246</v>
      </c>
      <c r="E805" s="275">
        <v>2727</v>
      </c>
      <c r="F805" s="272"/>
      <c r="G805" s="32" t="s">
        <v>434</v>
      </c>
      <c r="H805" s="32" t="s">
        <v>334</v>
      </c>
      <c r="I805" s="2">
        <f t="shared" si="24"/>
        <v>2727</v>
      </c>
      <c r="J805" s="42" t="str">
        <f t="shared" si="25"/>
        <v>13311</v>
      </c>
    </row>
    <row r="806" spans="1:10">
      <c r="A806" s="30">
        <v>46230</v>
      </c>
      <c r="B806" s="31" t="s">
        <v>816</v>
      </c>
      <c r="C806" s="32" t="s">
        <v>252</v>
      </c>
      <c r="D806" s="19" t="s">
        <v>2246</v>
      </c>
      <c r="E806" s="275">
        <v>8182</v>
      </c>
      <c r="F806" s="272"/>
      <c r="G806" s="32" t="s">
        <v>434</v>
      </c>
      <c r="H806" s="32" t="s">
        <v>334</v>
      </c>
      <c r="I806" s="2">
        <f t="shared" si="24"/>
        <v>8182</v>
      </c>
      <c r="J806" s="42" t="str">
        <f t="shared" si="25"/>
        <v>13311</v>
      </c>
    </row>
    <row r="807" spans="1:10">
      <c r="A807" s="30">
        <v>46230</v>
      </c>
      <c r="B807" s="31" t="s">
        <v>816</v>
      </c>
      <c r="C807" s="32" t="s">
        <v>252</v>
      </c>
      <c r="D807" s="19" t="s">
        <v>2246</v>
      </c>
      <c r="E807" s="275">
        <v>8182</v>
      </c>
      <c r="F807" s="272"/>
      <c r="G807" s="32" t="s">
        <v>434</v>
      </c>
      <c r="H807" s="32" t="s">
        <v>334</v>
      </c>
      <c r="I807" s="2">
        <f t="shared" si="24"/>
        <v>8182</v>
      </c>
      <c r="J807" s="42" t="str">
        <f t="shared" si="25"/>
        <v>13311</v>
      </c>
    </row>
    <row r="808" spans="1:10">
      <c r="A808" s="30">
        <v>46230</v>
      </c>
      <c r="B808" s="31" t="s">
        <v>816</v>
      </c>
      <c r="C808" s="32" t="s">
        <v>252</v>
      </c>
      <c r="D808" s="19" t="s">
        <v>2246</v>
      </c>
      <c r="E808" s="275">
        <v>8182</v>
      </c>
      <c r="F808" s="272"/>
      <c r="G808" s="32" t="s">
        <v>434</v>
      </c>
      <c r="H808" s="32" t="s">
        <v>334</v>
      </c>
      <c r="I808" s="2">
        <f t="shared" si="24"/>
        <v>8182</v>
      </c>
      <c r="J808" s="42" t="str">
        <f t="shared" si="25"/>
        <v>13311</v>
      </c>
    </row>
    <row r="809" spans="1:10">
      <c r="A809" s="30">
        <v>46230</v>
      </c>
      <c r="B809" s="31" t="s">
        <v>816</v>
      </c>
      <c r="C809" s="32" t="s">
        <v>252</v>
      </c>
      <c r="D809" s="19" t="s">
        <v>2246</v>
      </c>
      <c r="E809" s="275">
        <v>8182</v>
      </c>
      <c r="F809" s="272"/>
      <c r="G809" s="32" t="s">
        <v>434</v>
      </c>
      <c r="H809" s="32" t="s">
        <v>334</v>
      </c>
      <c r="I809" s="2">
        <f t="shared" si="24"/>
        <v>8182</v>
      </c>
      <c r="J809" s="42" t="str">
        <f t="shared" si="25"/>
        <v>13311</v>
      </c>
    </row>
    <row r="810" spans="1:10">
      <c r="A810" s="30">
        <v>46230</v>
      </c>
      <c r="B810" s="31" t="s">
        <v>816</v>
      </c>
      <c r="C810" s="32" t="s">
        <v>252</v>
      </c>
      <c r="D810" s="19" t="s">
        <v>2246</v>
      </c>
      <c r="E810" s="275">
        <v>8182</v>
      </c>
      <c r="F810" s="272"/>
      <c r="G810" s="32" t="s">
        <v>434</v>
      </c>
      <c r="H810" s="32" t="s">
        <v>334</v>
      </c>
      <c r="I810" s="2">
        <f t="shared" si="24"/>
        <v>8182</v>
      </c>
      <c r="J810" s="42" t="str">
        <f t="shared" si="25"/>
        <v>13311</v>
      </c>
    </row>
    <row r="811" spans="1:10">
      <c r="A811" s="30">
        <v>46230</v>
      </c>
      <c r="B811" s="31" t="s">
        <v>816</v>
      </c>
      <c r="C811" s="32" t="s">
        <v>252</v>
      </c>
      <c r="D811" s="19" t="s">
        <v>2246</v>
      </c>
      <c r="E811" s="275">
        <v>10909</v>
      </c>
      <c r="F811" s="272"/>
      <c r="G811" s="32" t="s">
        <v>434</v>
      </c>
      <c r="H811" s="32" t="s">
        <v>334</v>
      </c>
      <c r="I811" s="2">
        <f t="shared" si="24"/>
        <v>10909</v>
      </c>
      <c r="J811" s="42" t="str">
        <f t="shared" si="25"/>
        <v>13311</v>
      </c>
    </row>
    <row r="812" spans="1:10">
      <c r="A812" s="30">
        <v>46230</v>
      </c>
      <c r="B812" s="31" t="s">
        <v>816</v>
      </c>
      <c r="C812" s="32" t="s">
        <v>252</v>
      </c>
      <c r="D812" s="19" t="s">
        <v>2246</v>
      </c>
      <c r="E812" s="275">
        <v>8182</v>
      </c>
      <c r="F812" s="272"/>
      <c r="G812" s="32" t="s">
        <v>434</v>
      </c>
      <c r="H812" s="32" t="s">
        <v>334</v>
      </c>
      <c r="I812" s="2">
        <f t="shared" si="24"/>
        <v>8182</v>
      </c>
      <c r="J812" s="42" t="str">
        <f t="shared" si="25"/>
        <v>13311</v>
      </c>
    </row>
    <row r="813" spans="1:10">
      <c r="A813" s="30">
        <v>46230</v>
      </c>
      <c r="B813" s="31" t="s">
        <v>816</v>
      </c>
      <c r="C813" s="32" t="s">
        <v>252</v>
      </c>
      <c r="D813" s="19" t="s">
        <v>2246</v>
      </c>
      <c r="E813" s="275">
        <v>8182</v>
      </c>
      <c r="F813" s="272"/>
      <c r="G813" s="32" t="s">
        <v>434</v>
      </c>
      <c r="H813" s="32" t="s">
        <v>334</v>
      </c>
      <c r="I813" s="2">
        <f t="shared" si="24"/>
        <v>8182</v>
      </c>
      <c r="J813" s="42" t="str">
        <f t="shared" si="25"/>
        <v>13311</v>
      </c>
    </row>
    <row r="814" spans="1:10">
      <c r="A814" s="30">
        <v>46230</v>
      </c>
      <c r="B814" s="31" t="s">
        <v>816</v>
      </c>
      <c r="C814" s="32" t="s">
        <v>252</v>
      </c>
      <c r="D814" s="19" t="s">
        <v>2246</v>
      </c>
      <c r="E814" s="275">
        <v>2727</v>
      </c>
      <c r="F814" s="272"/>
      <c r="G814" s="32" t="s">
        <v>434</v>
      </c>
      <c r="H814" s="32" t="s">
        <v>334</v>
      </c>
      <c r="I814" s="2">
        <f t="shared" si="24"/>
        <v>2727</v>
      </c>
      <c r="J814" s="42" t="str">
        <f t="shared" si="25"/>
        <v>13311</v>
      </c>
    </row>
    <row r="815" spans="1:10">
      <c r="A815" s="30">
        <v>46230</v>
      </c>
      <c r="B815" s="31" t="s">
        <v>816</v>
      </c>
      <c r="C815" s="32" t="s">
        <v>252</v>
      </c>
      <c r="D815" s="19" t="s">
        <v>2246</v>
      </c>
      <c r="E815" s="275">
        <v>8182</v>
      </c>
      <c r="F815" s="272"/>
      <c r="G815" s="32" t="s">
        <v>434</v>
      </c>
      <c r="H815" s="32" t="s">
        <v>334</v>
      </c>
      <c r="I815" s="2">
        <f t="shared" si="24"/>
        <v>8182</v>
      </c>
      <c r="J815" s="42" t="str">
        <f t="shared" si="25"/>
        <v>13311</v>
      </c>
    </row>
    <row r="816" spans="1:10">
      <c r="A816" s="30">
        <v>46230</v>
      </c>
      <c r="B816" s="31" t="s">
        <v>816</v>
      </c>
      <c r="C816" s="32" t="s">
        <v>252</v>
      </c>
      <c r="D816" s="19" t="s">
        <v>2246</v>
      </c>
      <c r="E816" s="275">
        <v>8182</v>
      </c>
      <c r="F816" s="272"/>
      <c r="G816" s="32" t="s">
        <v>434</v>
      </c>
      <c r="H816" s="32" t="s">
        <v>334</v>
      </c>
      <c r="I816" s="2">
        <f t="shared" si="24"/>
        <v>8182</v>
      </c>
      <c r="J816" s="42" t="str">
        <f t="shared" si="25"/>
        <v>13311</v>
      </c>
    </row>
    <row r="817" spans="1:10">
      <c r="A817" s="30">
        <v>46230</v>
      </c>
      <c r="B817" s="31" t="s">
        <v>816</v>
      </c>
      <c r="C817" s="32" t="s">
        <v>252</v>
      </c>
      <c r="D817" s="19" t="s">
        <v>2246</v>
      </c>
      <c r="E817" s="275">
        <v>8182</v>
      </c>
      <c r="F817" s="272"/>
      <c r="G817" s="32" t="s">
        <v>434</v>
      </c>
      <c r="H817" s="32" t="s">
        <v>334</v>
      </c>
      <c r="I817" s="2">
        <f t="shared" si="24"/>
        <v>8182</v>
      </c>
      <c r="J817" s="42" t="str">
        <f t="shared" si="25"/>
        <v>13311</v>
      </c>
    </row>
    <row r="818" spans="1:10">
      <c r="A818" s="30">
        <v>46230</v>
      </c>
      <c r="B818" s="31" t="s">
        <v>816</v>
      </c>
      <c r="C818" s="32" t="s">
        <v>252</v>
      </c>
      <c r="D818" s="19" t="s">
        <v>2246</v>
      </c>
      <c r="E818" s="275">
        <v>8182</v>
      </c>
      <c r="F818" s="272"/>
      <c r="G818" s="32" t="s">
        <v>434</v>
      </c>
      <c r="H818" s="32" t="s">
        <v>334</v>
      </c>
      <c r="I818" s="2">
        <f t="shared" si="24"/>
        <v>8182</v>
      </c>
      <c r="J818" s="42" t="str">
        <f t="shared" si="25"/>
        <v>13311</v>
      </c>
    </row>
    <row r="819" spans="1:10">
      <c r="A819" s="30">
        <v>46230</v>
      </c>
      <c r="B819" s="31" t="s">
        <v>816</v>
      </c>
      <c r="C819" s="32" t="s">
        <v>252</v>
      </c>
      <c r="D819" s="19" t="s">
        <v>2246</v>
      </c>
      <c r="E819" s="275">
        <v>1200000</v>
      </c>
      <c r="F819" s="272"/>
      <c r="G819" s="32" t="s">
        <v>434</v>
      </c>
      <c r="H819" s="32" t="s">
        <v>334</v>
      </c>
      <c r="I819" s="2">
        <f t="shared" si="24"/>
        <v>1200000</v>
      </c>
      <c r="J819" s="42" t="str">
        <f t="shared" si="25"/>
        <v>13311</v>
      </c>
    </row>
    <row r="820" spans="1:10">
      <c r="A820" s="30">
        <v>46230</v>
      </c>
      <c r="B820" s="31" t="s">
        <v>816</v>
      </c>
      <c r="C820" s="32" t="s">
        <v>252</v>
      </c>
      <c r="D820" s="19" t="s">
        <v>2246</v>
      </c>
      <c r="E820" s="275">
        <v>2727</v>
      </c>
      <c r="F820" s="272"/>
      <c r="G820" s="32" t="s">
        <v>434</v>
      </c>
      <c r="H820" s="32" t="s">
        <v>334</v>
      </c>
      <c r="I820" s="2">
        <f t="shared" si="24"/>
        <v>2727</v>
      </c>
      <c r="J820" s="42" t="str">
        <f t="shared" si="25"/>
        <v>13311</v>
      </c>
    </row>
    <row r="821" spans="1:10">
      <c r="A821" s="30">
        <v>46230</v>
      </c>
      <c r="B821" s="31" t="s">
        <v>816</v>
      </c>
      <c r="C821" s="32" t="s">
        <v>252</v>
      </c>
      <c r="D821" s="19" t="s">
        <v>2246</v>
      </c>
      <c r="E821" s="275">
        <v>2727</v>
      </c>
      <c r="F821" s="272"/>
      <c r="G821" s="32" t="s">
        <v>434</v>
      </c>
      <c r="H821" s="32" t="s">
        <v>334</v>
      </c>
      <c r="I821" s="2">
        <f t="shared" si="24"/>
        <v>2727</v>
      </c>
      <c r="J821" s="42" t="str">
        <f t="shared" si="25"/>
        <v>13311</v>
      </c>
    </row>
    <row r="822" spans="1:10">
      <c r="A822" s="30">
        <v>46230</v>
      </c>
      <c r="B822" s="31" t="s">
        <v>816</v>
      </c>
      <c r="C822" s="32" t="s">
        <v>252</v>
      </c>
      <c r="D822" s="19" t="s">
        <v>2246</v>
      </c>
      <c r="E822" s="275">
        <v>2727</v>
      </c>
      <c r="F822" s="272"/>
      <c r="G822" s="32" t="s">
        <v>434</v>
      </c>
      <c r="H822" s="32" t="s">
        <v>334</v>
      </c>
      <c r="I822" s="2">
        <f t="shared" si="24"/>
        <v>2727</v>
      </c>
      <c r="J822" s="42" t="str">
        <f t="shared" si="25"/>
        <v>13311</v>
      </c>
    </row>
    <row r="823" spans="1:10">
      <c r="A823" s="30">
        <v>46230</v>
      </c>
      <c r="B823" s="31" t="s">
        <v>816</v>
      </c>
      <c r="C823" s="32" t="s">
        <v>252</v>
      </c>
      <c r="D823" s="19" t="s">
        <v>2246</v>
      </c>
      <c r="E823" s="275">
        <v>2727</v>
      </c>
      <c r="F823" s="272"/>
      <c r="G823" s="32" t="s">
        <v>434</v>
      </c>
      <c r="H823" s="32" t="s">
        <v>334</v>
      </c>
      <c r="I823" s="2">
        <f t="shared" si="24"/>
        <v>2727</v>
      </c>
      <c r="J823" s="42" t="str">
        <f t="shared" si="25"/>
        <v>13311</v>
      </c>
    </row>
    <row r="824" spans="1:10">
      <c r="A824" s="30">
        <v>46230</v>
      </c>
      <c r="B824" s="31" t="s">
        <v>816</v>
      </c>
      <c r="C824" s="32" t="s">
        <v>252</v>
      </c>
      <c r="D824" s="19" t="s">
        <v>2246</v>
      </c>
      <c r="E824" s="275">
        <v>2727</v>
      </c>
      <c r="F824" s="272"/>
      <c r="G824" s="32" t="s">
        <v>434</v>
      </c>
      <c r="H824" s="32" t="s">
        <v>334</v>
      </c>
      <c r="I824" s="2">
        <f t="shared" si="24"/>
        <v>2727</v>
      </c>
      <c r="J824" s="42" t="str">
        <f t="shared" si="25"/>
        <v>13311</v>
      </c>
    </row>
    <row r="825" spans="1:10">
      <c r="A825" s="30">
        <v>46230</v>
      </c>
      <c r="B825" s="31" t="s">
        <v>816</v>
      </c>
      <c r="C825" s="32" t="s">
        <v>252</v>
      </c>
      <c r="D825" s="19" t="s">
        <v>2246</v>
      </c>
      <c r="E825" s="275">
        <v>2000</v>
      </c>
      <c r="F825" s="272"/>
      <c r="G825" s="32" t="s">
        <v>434</v>
      </c>
      <c r="H825" s="32" t="s">
        <v>334</v>
      </c>
      <c r="I825" s="2">
        <f t="shared" si="24"/>
        <v>2000</v>
      </c>
      <c r="J825" s="42" t="str">
        <f t="shared" si="25"/>
        <v>13311</v>
      </c>
    </row>
    <row r="826" spans="1:10">
      <c r="A826" s="30">
        <v>46230</v>
      </c>
      <c r="B826" s="31" t="s">
        <v>816</v>
      </c>
      <c r="C826" s="32" t="s">
        <v>252</v>
      </c>
      <c r="D826" s="19" t="s">
        <v>2246</v>
      </c>
      <c r="E826" s="275">
        <v>21852</v>
      </c>
      <c r="F826" s="272"/>
      <c r="G826" s="32" t="s">
        <v>434</v>
      </c>
      <c r="H826" s="32" t="s">
        <v>334</v>
      </c>
      <c r="I826" s="2">
        <f t="shared" si="24"/>
        <v>21852</v>
      </c>
      <c r="J826" s="42" t="str">
        <f t="shared" si="25"/>
        <v>13311</v>
      </c>
    </row>
    <row r="827" spans="1:10">
      <c r="A827" s="30">
        <v>46230</v>
      </c>
      <c r="B827" s="31" t="s">
        <v>816</v>
      </c>
      <c r="C827" s="32" t="s">
        <v>252</v>
      </c>
      <c r="D827" s="19" t="s">
        <v>2246</v>
      </c>
      <c r="E827" s="275">
        <v>2000</v>
      </c>
      <c r="F827" s="272"/>
      <c r="G827" s="32" t="s">
        <v>434</v>
      </c>
      <c r="H827" s="32" t="s">
        <v>334</v>
      </c>
      <c r="I827" s="2">
        <f t="shared" si="24"/>
        <v>2000</v>
      </c>
      <c r="J827" s="42" t="str">
        <f t="shared" si="25"/>
        <v>13311</v>
      </c>
    </row>
    <row r="828" spans="1:10">
      <c r="A828" s="30">
        <v>46230</v>
      </c>
      <c r="B828" s="31" t="s">
        <v>816</v>
      </c>
      <c r="C828" s="32" t="s">
        <v>252</v>
      </c>
      <c r="D828" s="19" t="s">
        <v>2246</v>
      </c>
      <c r="E828" s="275">
        <v>14545</v>
      </c>
      <c r="F828" s="272"/>
      <c r="G828" s="32" t="s">
        <v>434</v>
      </c>
      <c r="H828" s="32" t="s">
        <v>334</v>
      </c>
      <c r="I828" s="2">
        <f t="shared" si="24"/>
        <v>14545</v>
      </c>
      <c r="J828" s="42" t="str">
        <f t="shared" si="25"/>
        <v>13311</v>
      </c>
    </row>
    <row r="829" spans="1:10">
      <c r="A829" s="30">
        <v>46230</v>
      </c>
      <c r="B829" s="31" t="s">
        <v>816</v>
      </c>
      <c r="C829" s="32" t="s">
        <v>252</v>
      </c>
      <c r="D829" s="19" t="s">
        <v>2246</v>
      </c>
      <c r="E829" s="275">
        <v>2007</v>
      </c>
      <c r="F829" s="272"/>
      <c r="G829" s="32" t="s">
        <v>434</v>
      </c>
      <c r="H829" s="32" t="s">
        <v>334</v>
      </c>
      <c r="I829" s="2">
        <f t="shared" si="24"/>
        <v>2007</v>
      </c>
      <c r="J829" s="42" t="str">
        <f t="shared" si="25"/>
        <v>13311</v>
      </c>
    </row>
    <row r="830" spans="1:10">
      <c r="A830" s="30">
        <v>46230</v>
      </c>
      <c r="B830" s="31" t="s">
        <v>816</v>
      </c>
      <c r="C830" s="32" t="s">
        <v>252</v>
      </c>
      <c r="D830" s="19" t="s">
        <v>2246</v>
      </c>
      <c r="E830" s="275">
        <v>2842</v>
      </c>
      <c r="F830" s="272"/>
      <c r="G830" s="32" t="s">
        <v>434</v>
      </c>
      <c r="H830" s="32" t="s">
        <v>334</v>
      </c>
      <c r="I830" s="2">
        <f t="shared" si="24"/>
        <v>2842</v>
      </c>
      <c r="J830" s="42" t="str">
        <f t="shared" si="25"/>
        <v>13311</v>
      </c>
    </row>
    <row r="831" spans="1:10">
      <c r="A831" s="30">
        <v>46230</v>
      </c>
      <c r="B831" s="31" t="s">
        <v>816</v>
      </c>
      <c r="C831" s="32" t="s">
        <v>252</v>
      </c>
      <c r="D831" s="19" t="s">
        <v>2246</v>
      </c>
      <c r="E831" s="275">
        <v>17632</v>
      </c>
      <c r="F831" s="272"/>
      <c r="G831" s="32" t="s">
        <v>434</v>
      </c>
      <c r="H831" s="32" t="s">
        <v>334</v>
      </c>
      <c r="I831" s="2">
        <f t="shared" si="24"/>
        <v>17632</v>
      </c>
      <c r="J831" s="42" t="str">
        <f t="shared" si="25"/>
        <v>13311</v>
      </c>
    </row>
    <row r="832" spans="1:10">
      <c r="A832" s="30">
        <v>46230</v>
      </c>
      <c r="B832" s="31" t="s">
        <v>816</v>
      </c>
      <c r="C832" s="32" t="s">
        <v>252</v>
      </c>
      <c r="D832" s="19" t="s">
        <v>2246</v>
      </c>
      <c r="E832" s="275">
        <v>2106</v>
      </c>
      <c r="F832" s="272"/>
      <c r="G832" s="32" t="s">
        <v>434</v>
      </c>
      <c r="H832" s="32" t="s">
        <v>334</v>
      </c>
      <c r="I832" s="2">
        <f t="shared" si="24"/>
        <v>2106</v>
      </c>
      <c r="J832" s="42" t="str">
        <f t="shared" si="25"/>
        <v>13311</v>
      </c>
    </row>
    <row r="833" spans="1:10">
      <c r="A833" s="30">
        <v>46230</v>
      </c>
      <c r="B833" s="31" t="s">
        <v>816</v>
      </c>
      <c r="C833" s="32" t="s">
        <v>252</v>
      </c>
      <c r="D833" s="19" t="s">
        <v>2246</v>
      </c>
      <c r="E833" s="275">
        <v>19916</v>
      </c>
      <c r="F833" s="272"/>
      <c r="G833" s="32" t="s">
        <v>434</v>
      </c>
      <c r="H833" s="32" t="s">
        <v>334</v>
      </c>
      <c r="I833" s="2">
        <f t="shared" si="24"/>
        <v>19916</v>
      </c>
      <c r="J833" s="42" t="str">
        <f t="shared" si="25"/>
        <v>13311</v>
      </c>
    </row>
    <row r="834" spans="1:10">
      <c r="A834" s="30">
        <v>46230</v>
      </c>
      <c r="B834" s="31" t="s">
        <v>816</v>
      </c>
      <c r="C834" s="32" t="s">
        <v>252</v>
      </c>
      <c r="D834" s="19" t="s">
        <v>2246</v>
      </c>
      <c r="E834" s="275">
        <v>2818</v>
      </c>
      <c r="F834" s="272"/>
      <c r="G834" s="32" t="s">
        <v>434</v>
      </c>
      <c r="H834" s="32" t="s">
        <v>334</v>
      </c>
      <c r="I834" s="2">
        <f t="shared" si="24"/>
        <v>2818</v>
      </c>
      <c r="J834" s="42" t="str">
        <f t="shared" si="25"/>
        <v>13311</v>
      </c>
    </row>
    <row r="835" spans="1:10">
      <c r="A835" s="30">
        <v>46230</v>
      </c>
      <c r="B835" s="31" t="s">
        <v>816</v>
      </c>
      <c r="C835" s="32" t="s">
        <v>252</v>
      </c>
      <c r="D835" s="19" t="s">
        <v>2246</v>
      </c>
      <c r="E835" s="275">
        <v>37650</v>
      </c>
      <c r="F835" s="272"/>
      <c r="G835" s="32" t="s">
        <v>434</v>
      </c>
      <c r="H835" s="32" t="s">
        <v>334</v>
      </c>
      <c r="I835" s="2">
        <f t="shared" si="24"/>
        <v>37650</v>
      </c>
      <c r="J835" s="42" t="str">
        <f t="shared" si="25"/>
        <v>13311</v>
      </c>
    </row>
    <row r="836" spans="1:10">
      <c r="A836" s="30">
        <v>46230</v>
      </c>
      <c r="B836" s="31" t="s">
        <v>816</v>
      </c>
      <c r="C836" s="32" t="s">
        <v>252</v>
      </c>
      <c r="D836" s="19" t="s">
        <v>2246</v>
      </c>
      <c r="E836" s="275">
        <v>2791</v>
      </c>
      <c r="F836" s="272"/>
      <c r="G836" s="32" t="s">
        <v>434</v>
      </c>
      <c r="H836" s="32" t="s">
        <v>334</v>
      </c>
      <c r="I836" s="2">
        <f t="shared" si="24"/>
        <v>2791</v>
      </c>
      <c r="J836" s="42" t="str">
        <f t="shared" si="25"/>
        <v>13311</v>
      </c>
    </row>
    <row r="837" spans="1:10">
      <c r="A837" s="30">
        <v>46230</v>
      </c>
      <c r="B837" s="31" t="s">
        <v>816</v>
      </c>
      <c r="C837" s="32" t="s">
        <v>252</v>
      </c>
      <c r="D837" s="19" t="s">
        <v>2246</v>
      </c>
      <c r="E837" s="275">
        <v>2000</v>
      </c>
      <c r="F837" s="272"/>
      <c r="G837" s="32" t="s">
        <v>434</v>
      </c>
      <c r="H837" s="32" t="s">
        <v>334</v>
      </c>
      <c r="I837" s="2">
        <f t="shared" si="24"/>
        <v>2000</v>
      </c>
      <c r="J837" s="42" t="str">
        <f t="shared" si="25"/>
        <v>13311</v>
      </c>
    </row>
    <row r="838" spans="1:10">
      <c r="A838" s="30">
        <v>46230</v>
      </c>
      <c r="B838" s="31" t="s">
        <v>816</v>
      </c>
      <c r="C838" s="32" t="s">
        <v>252</v>
      </c>
      <c r="D838" s="19" t="s">
        <v>2246</v>
      </c>
      <c r="E838" s="275">
        <v>21323</v>
      </c>
      <c r="F838" s="272"/>
      <c r="G838" s="32" t="s">
        <v>434</v>
      </c>
      <c r="H838" s="32" t="s">
        <v>334</v>
      </c>
      <c r="I838" s="2">
        <f t="shared" si="24"/>
        <v>21323</v>
      </c>
      <c r="J838" s="42" t="str">
        <f t="shared" si="25"/>
        <v>13311</v>
      </c>
    </row>
    <row r="839" spans="1:10">
      <c r="A839" s="30">
        <v>46230</v>
      </c>
      <c r="B839" s="31" t="s">
        <v>816</v>
      </c>
      <c r="C839" s="32" t="s">
        <v>252</v>
      </c>
      <c r="D839" s="19" t="s">
        <v>2246</v>
      </c>
      <c r="E839" s="275">
        <v>2482</v>
      </c>
      <c r="F839" s="272"/>
      <c r="G839" s="32" t="s">
        <v>434</v>
      </c>
      <c r="H839" s="32" t="s">
        <v>334</v>
      </c>
      <c r="I839" s="2">
        <f t="shared" si="24"/>
        <v>2482</v>
      </c>
      <c r="J839" s="42" t="str">
        <f t="shared" si="25"/>
        <v>13311</v>
      </c>
    </row>
    <row r="840" spans="1:10">
      <c r="A840" s="30">
        <v>46230</v>
      </c>
      <c r="B840" s="31" t="s">
        <v>816</v>
      </c>
      <c r="C840" s="32" t="s">
        <v>252</v>
      </c>
      <c r="D840" s="19" t="s">
        <v>2246</v>
      </c>
      <c r="E840" s="275">
        <v>8182</v>
      </c>
      <c r="F840" s="272"/>
      <c r="G840" s="32" t="s">
        <v>434</v>
      </c>
      <c r="H840" s="32" t="s">
        <v>334</v>
      </c>
      <c r="I840" s="2">
        <f t="shared" si="24"/>
        <v>8182</v>
      </c>
      <c r="J840" s="42" t="str">
        <f t="shared" si="25"/>
        <v>13311</v>
      </c>
    </row>
    <row r="841" spans="1:10">
      <c r="A841" s="30">
        <v>46230</v>
      </c>
      <c r="B841" s="31" t="s">
        <v>816</v>
      </c>
      <c r="C841" s="32" t="s">
        <v>252</v>
      </c>
      <c r="D841" s="19" t="s">
        <v>2246</v>
      </c>
      <c r="E841" s="275">
        <v>8182</v>
      </c>
      <c r="F841" s="272"/>
      <c r="G841" s="32" t="s">
        <v>434</v>
      </c>
      <c r="H841" s="32" t="s">
        <v>334</v>
      </c>
      <c r="I841" s="2">
        <f t="shared" si="24"/>
        <v>8182</v>
      </c>
      <c r="J841" s="42" t="str">
        <f t="shared" si="25"/>
        <v>13311</v>
      </c>
    </row>
    <row r="842" spans="1:10">
      <c r="A842" s="30">
        <v>46230</v>
      </c>
      <c r="B842" s="31" t="s">
        <v>816</v>
      </c>
      <c r="C842" s="32" t="s">
        <v>252</v>
      </c>
      <c r="D842" s="19" t="s">
        <v>2246</v>
      </c>
      <c r="E842" s="275">
        <v>9403</v>
      </c>
      <c r="F842" s="272"/>
      <c r="G842" s="32" t="s">
        <v>434</v>
      </c>
      <c r="H842" s="32" t="s">
        <v>334</v>
      </c>
      <c r="I842" s="2">
        <f t="shared" si="24"/>
        <v>9403</v>
      </c>
      <c r="J842" s="42" t="str">
        <f t="shared" si="25"/>
        <v>13311</v>
      </c>
    </row>
    <row r="843" spans="1:10">
      <c r="A843" s="30">
        <v>46230</v>
      </c>
      <c r="B843" s="31" t="s">
        <v>816</v>
      </c>
      <c r="C843" s="32" t="s">
        <v>252</v>
      </c>
      <c r="D843" s="19" t="s">
        <v>2246</v>
      </c>
      <c r="E843" s="275">
        <v>11347</v>
      </c>
      <c r="F843" s="272"/>
      <c r="G843" s="32" t="s">
        <v>434</v>
      </c>
      <c r="H843" s="32" t="s">
        <v>334</v>
      </c>
      <c r="I843" s="2">
        <f t="shared" ref="I843:I906" si="26">IF(LEN(A843)=5,E843,0)</f>
        <v>11347</v>
      </c>
      <c r="J843" s="42" t="str">
        <f t="shared" ref="J843:J906" si="27">IF(LEFT(A843,11)="Tài khoản: ",MID(A843,12,5),J842)</f>
        <v>13311</v>
      </c>
    </row>
    <row r="844" spans="1:10">
      <c r="A844" s="30">
        <v>46230</v>
      </c>
      <c r="B844" s="31" t="s">
        <v>816</v>
      </c>
      <c r="C844" s="32" t="s">
        <v>252</v>
      </c>
      <c r="D844" s="19" t="s">
        <v>2246</v>
      </c>
      <c r="E844" s="275">
        <v>2828</v>
      </c>
      <c r="F844" s="272"/>
      <c r="G844" s="32" t="s">
        <v>434</v>
      </c>
      <c r="H844" s="32" t="s">
        <v>334</v>
      </c>
      <c r="I844" s="2">
        <f t="shared" si="26"/>
        <v>2828</v>
      </c>
      <c r="J844" s="42" t="str">
        <f t="shared" si="27"/>
        <v>13311</v>
      </c>
    </row>
    <row r="845" spans="1:10">
      <c r="A845" s="30">
        <v>46230</v>
      </c>
      <c r="B845" s="31" t="s">
        <v>816</v>
      </c>
      <c r="C845" s="32" t="s">
        <v>252</v>
      </c>
      <c r="D845" s="19" t="s">
        <v>2246</v>
      </c>
      <c r="E845" s="275">
        <v>36364</v>
      </c>
      <c r="F845" s="272"/>
      <c r="G845" s="32" t="s">
        <v>434</v>
      </c>
      <c r="H845" s="32" t="s">
        <v>334</v>
      </c>
      <c r="I845" s="2">
        <f t="shared" si="26"/>
        <v>36364</v>
      </c>
      <c r="J845" s="42" t="str">
        <f t="shared" si="27"/>
        <v>13311</v>
      </c>
    </row>
    <row r="846" spans="1:10">
      <c r="A846" s="30">
        <v>46230</v>
      </c>
      <c r="B846" s="31" t="s">
        <v>816</v>
      </c>
      <c r="C846" s="32" t="s">
        <v>252</v>
      </c>
      <c r="D846" s="19" t="s">
        <v>2246</v>
      </c>
      <c r="E846" s="275">
        <v>2000</v>
      </c>
      <c r="F846" s="272"/>
      <c r="G846" s="32" t="s">
        <v>434</v>
      </c>
      <c r="H846" s="32" t="s">
        <v>334</v>
      </c>
      <c r="I846" s="2">
        <f t="shared" si="26"/>
        <v>2000</v>
      </c>
      <c r="J846" s="42" t="str">
        <f t="shared" si="27"/>
        <v>13311</v>
      </c>
    </row>
    <row r="847" spans="1:10">
      <c r="A847" s="30">
        <v>46230</v>
      </c>
      <c r="B847" s="31" t="s">
        <v>816</v>
      </c>
      <c r="C847" s="32" t="s">
        <v>252</v>
      </c>
      <c r="D847" s="19" t="s">
        <v>2246</v>
      </c>
      <c r="E847" s="275">
        <v>2000</v>
      </c>
      <c r="F847" s="272"/>
      <c r="G847" s="32" t="s">
        <v>434</v>
      </c>
      <c r="H847" s="32" t="s">
        <v>334</v>
      </c>
      <c r="I847" s="2">
        <f t="shared" si="26"/>
        <v>2000</v>
      </c>
      <c r="J847" s="42" t="str">
        <f t="shared" si="27"/>
        <v>13311</v>
      </c>
    </row>
    <row r="848" spans="1:10">
      <c r="A848" s="30">
        <v>46230</v>
      </c>
      <c r="B848" s="31" t="s">
        <v>816</v>
      </c>
      <c r="C848" s="32" t="s">
        <v>252</v>
      </c>
      <c r="D848" s="19" t="s">
        <v>2246</v>
      </c>
      <c r="E848" s="275">
        <v>2000</v>
      </c>
      <c r="F848" s="272"/>
      <c r="G848" s="32" t="s">
        <v>434</v>
      </c>
      <c r="H848" s="32" t="s">
        <v>334</v>
      </c>
      <c r="I848" s="2">
        <f t="shared" si="26"/>
        <v>2000</v>
      </c>
      <c r="J848" s="42" t="str">
        <f t="shared" si="27"/>
        <v>13311</v>
      </c>
    </row>
    <row r="849" spans="1:10">
      <c r="A849" s="30">
        <v>46230</v>
      </c>
      <c r="B849" s="31" t="s">
        <v>816</v>
      </c>
      <c r="C849" s="32" t="s">
        <v>252</v>
      </c>
      <c r="D849" s="19" t="s">
        <v>2246</v>
      </c>
      <c r="E849" s="275">
        <v>33751</v>
      </c>
      <c r="F849" s="272"/>
      <c r="G849" s="32" t="s">
        <v>434</v>
      </c>
      <c r="H849" s="32" t="s">
        <v>334</v>
      </c>
      <c r="I849" s="2">
        <f t="shared" si="26"/>
        <v>33751</v>
      </c>
      <c r="J849" s="42" t="str">
        <f t="shared" si="27"/>
        <v>13311</v>
      </c>
    </row>
    <row r="850" spans="1:10">
      <c r="A850" s="30">
        <v>46230</v>
      </c>
      <c r="B850" s="31" t="s">
        <v>816</v>
      </c>
      <c r="C850" s="32" t="s">
        <v>252</v>
      </c>
      <c r="D850" s="19" t="s">
        <v>2246</v>
      </c>
      <c r="E850" s="275">
        <v>2000</v>
      </c>
      <c r="F850" s="272"/>
      <c r="G850" s="32" t="s">
        <v>434</v>
      </c>
      <c r="H850" s="32" t="s">
        <v>334</v>
      </c>
      <c r="I850" s="2">
        <f t="shared" si="26"/>
        <v>2000</v>
      </c>
      <c r="J850" s="42" t="str">
        <f t="shared" si="27"/>
        <v>13311</v>
      </c>
    </row>
    <row r="851" spans="1:10">
      <c r="A851" s="30">
        <v>46230</v>
      </c>
      <c r="B851" s="31" t="s">
        <v>816</v>
      </c>
      <c r="C851" s="32" t="s">
        <v>252</v>
      </c>
      <c r="D851" s="19" t="s">
        <v>2246</v>
      </c>
      <c r="E851" s="275">
        <v>2000</v>
      </c>
      <c r="F851" s="272"/>
      <c r="G851" s="32" t="s">
        <v>434</v>
      </c>
      <c r="H851" s="32" t="s">
        <v>334</v>
      </c>
      <c r="I851" s="2">
        <f t="shared" si="26"/>
        <v>2000</v>
      </c>
      <c r="J851" s="42" t="str">
        <f t="shared" si="27"/>
        <v>13311</v>
      </c>
    </row>
    <row r="852" spans="1:10">
      <c r="A852" s="30">
        <v>46230</v>
      </c>
      <c r="B852" s="31" t="s">
        <v>816</v>
      </c>
      <c r="C852" s="32" t="s">
        <v>252</v>
      </c>
      <c r="D852" s="19" t="s">
        <v>2246</v>
      </c>
      <c r="E852" s="275">
        <v>9091</v>
      </c>
      <c r="F852" s="272"/>
      <c r="G852" s="32" t="s">
        <v>434</v>
      </c>
      <c r="H852" s="32" t="s">
        <v>334</v>
      </c>
      <c r="I852" s="2">
        <f t="shared" si="26"/>
        <v>9091</v>
      </c>
      <c r="J852" s="42" t="str">
        <f t="shared" si="27"/>
        <v>13311</v>
      </c>
    </row>
    <row r="853" spans="1:10">
      <c r="A853" s="30">
        <v>46230</v>
      </c>
      <c r="B853" s="31" t="s">
        <v>816</v>
      </c>
      <c r="C853" s="32" t="s">
        <v>252</v>
      </c>
      <c r="D853" s="19" t="s">
        <v>2246</v>
      </c>
      <c r="E853" s="275">
        <v>2000</v>
      </c>
      <c r="F853" s="272"/>
      <c r="G853" s="32" t="s">
        <v>434</v>
      </c>
      <c r="H853" s="32" t="s">
        <v>334</v>
      </c>
      <c r="I853" s="2">
        <f t="shared" si="26"/>
        <v>2000</v>
      </c>
      <c r="J853" s="42" t="str">
        <f t="shared" si="27"/>
        <v>13311</v>
      </c>
    </row>
    <row r="854" spans="1:10">
      <c r="A854" s="30">
        <v>46230</v>
      </c>
      <c r="B854" s="31" t="s">
        <v>816</v>
      </c>
      <c r="C854" s="32" t="s">
        <v>252</v>
      </c>
      <c r="D854" s="19" t="s">
        <v>2246</v>
      </c>
      <c r="E854" s="275">
        <v>2000</v>
      </c>
      <c r="F854" s="272"/>
      <c r="G854" s="32" t="s">
        <v>434</v>
      </c>
      <c r="H854" s="32" t="s">
        <v>334</v>
      </c>
      <c r="I854" s="2">
        <f t="shared" si="26"/>
        <v>2000</v>
      </c>
      <c r="J854" s="42" t="str">
        <f t="shared" si="27"/>
        <v>13311</v>
      </c>
    </row>
    <row r="855" spans="1:10">
      <c r="A855" s="30">
        <v>46230</v>
      </c>
      <c r="B855" s="31" t="s">
        <v>816</v>
      </c>
      <c r="C855" s="32" t="s">
        <v>252</v>
      </c>
      <c r="D855" s="19" t="s">
        <v>2246</v>
      </c>
      <c r="E855" s="275">
        <v>2000</v>
      </c>
      <c r="F855" s="272"/>
      <c r="G855" s="32" t="s">
        <v>434</v>
      </c>
      <c r="H855" s="32" t="s">
        <v>334</v>
      </c>
      <c r="I855" s="2">
        <f t="shared" si="26"/>
        <v>2000</v>
      </c>
      <c r="J855" s="42" t="str">
        <f t="shared" si="27"/>
        <v>13311</v>
      </c>
    </row>
    <row r="856" spans="1:10">
      <c r="A856" s="30">
        <v>46230</v>
      </c>
      <c r="B856" s="31" t="s">
        <v>816</v>
      </c>
      <c r="C856" s="32" t="s">
        <v>252</v>
      </c>
      <c r="D856" s="19" t="s">
        <v>2246</v>
      </c>
      <c r="E856" s="275">
        <v>2000</v>
      </c>
      <c r="F856" s="272"/>
      <c r="G856" s="32" t="s">
        <v>434</v>
      </c>
      <c r="H856" s="32" t="s">
        <v>334</v>
      </c>
      <c r="I856" s="2">
        <f t="shared" si="26"/>
        <v>2000</v>
      </c>
      <c r="J856" s="42" t="str">
        <f t="shared" si="27"/>
        <v>13311</v>
      </c>
    </row>
    <row r="857" spans="1:10">
      <c r="A857" s="30">
        <v>46230</v>
      </c>
      <c r="B857" s="31" t="s">
        <v>816</v>
      </c>
      <c r="C857" s="32" t="s">
        <v>252</v>
      </c>
      <c r="D857" s="19" t="s">
        <v>2246</v>
      </c>
      <c r="E857" s="275">
        <v>6576</v>
      </c>
      <c r="F857" s="272"/>
      <c r="G857" s="32" t="s">
        <v>434</v>
      </c>
      <c r="H857" s="32" t="s">
        <v>334</v>
      </c>
      <c r="I857" s="2">
        <f t="shared" si="26"/>
        <v>6576</v>
      </c>
      <c r="J857" s="42" t="str">
        <f t="shared" si="27"/>
        <v>13311</v>
      </c>
    </row>
    <row r="858" spans="1:10">
      <c r="A858" s="30">
        <v>46230</v>
      </c>
      <c r="B858" s="31" t="s">
        <v>816</v>
      </c>
      <c r="C858" s="32" t="s">
        <v>252</v>
      </c>
      <c r="D858" s="19" t="s">
        <v>2246</v>
      </c>
      <c r="E858" s="275">
        <v>2000</v>
      </c>
      <c r="F858" s="272"/>
      <c r="G858" s="32" t="s">
        <v>434</v>
      </c>
      <c r="H858" s="32" t="s">
        <v>334</v>
      </c>
      <c r="I858" s="2">
        <f t="shared" si="26"/>
        <v>2000</v>
      </c>
      <c r="J858" s="42" t="str">
        <f t="shared" si="27"/>
        <v>13311</v>
      </c>
    </row>
    <row r="859" spans="1:10">
      <c r="A859" s="30">
        <v>46230</v>
      </c>
      <c r="B859" s="31" t="s">
        <v>816</v>
      </c>
      <c r="C859" s="32" t="s">
        <v>252</v>
      </c>
      <c r="D859" s="19" t="s">
        <v>2246</v>
      </c>
      <c r="E859" s="275">
        <v>8282</v>
      </c>
      <c r="F859" s="272"/>
      <c r="G859" s="32" t="s">
        <v>434</v>
      </c>
      <c r="H859" s="32" t="s">
        <v>334</v>
      </c>
      <c r="I859" s="2">
        <f t="shared" si="26"/>
        <v>8282</v>
      </c>
      <c r="J859" s="42" t="str">
        <f t="shared" si="27"/>
        <v>13311</v>
      </c>
    </row>
    <row r="860" spans="1:10">
      <c r="A860" s="30">
        <v>46230</v>
      </c>
      <c r="B860" s="31" t="s">
        <v>816</v>
      </c>
      <c r="C860" s="32" t="s">
        <v>252</v>
      </c>
      <c r="D860" s="19" t="s">
        <v>2246</v>
      </c>
      <c r="E860" s="275">
        <v>2000</v>
      </c>
      <c r="F860" s="272"/>
      <c r="G860" s="32" t="s">
        <v>434</v>
      </c>
      <c r="H860" s="32" t="s">
        <v>334</v>
      </c>
      <c r="I860" s="2">
        <f t="shared" si="26"/>
        <v>2000</v>
      </c>
      <c r="J860" s="42" t="str">
        <f t="shared" si="27"/>
        <v>13311</v>
      </c>
    </row>
    <row r="861" spans="1:10">
      <c r="A861" s="30">
        <v>46230</v>
      </c>
      <c r="B861" s="31" t="s">
        <v>816</v>
      </c>
      <c r="C861" s="32" t="s">
        <v>252</v>
      </c>
      <c r="D861" s="19" t="s">
        <v>2246</v>
      </c>
      <c r="E861" s="275">
        <v>8351</v>
      </c>
      <c r="F861" s="272"/>
      <c r="G861" s="32" t="s">
        <v>434</v>
      </c>
      <c r="H861" s="32" t="s">
        <v>334</v>
      </c>
      <c r="I861" s="2">
        <f t="shared" si="26"/>
        <v>8351</v>
      </c>
      <c r="J861" s="42" t="str">
        <f t="shared" si="27"/>
        <v>13311</v>
      </c>
    </row>
    <row r="862" spans="1:10" ht="58.5" customHeight="1">
      <c r="A862" s="30">
        <v>46230</v>
      </c>
      <c r="B862" s="31" t="s">
        <v>2197</v>
      </c>
      <c r="C862" s="32" t="s">
        <v>2145</v>
      </c>
      <c r="D862" s="19" t="s">
        <v>2247</v>
      </c>
      <c r="E862" s="275">
        <v>22513</v>
      </c>
      <c r="F862" s="272"/>
      <c r="G862" s="32" t="s">
        <v>178</v>
      </c>
      <c r="H862" s="32" t="s">
        <v>330</v>
      </c>
      <c r="I862" s="2">
        <f t="shared" si="26"/>
        <v>22513</v>
      </c>
      <c r="J862" s="42" t="str">
        <f t="shared" si="27"/>
        <v>13311</v>
      </c>
    </row>
    <row r="863" spans="1:10">
      <c r="A863" s="30">
        <v>46231</v>
      </c>
      <c r="B863" s="31" t="s">
        <v>2173</v>
      </c>
      <c r="C863" s="32" t="s">
        <v>2145</v>
      </c>
      <c r="D863" s="19" t="s">
        <v>2248</v>
      </c>
      <c r="E863" s="275">
        <v>20000</v>
      </c>
      <c r="F863" s="272"/>
      <c r="G863" s="32" t="s">
        <v>433</v>
      </c>
      <c r="H863" s="32" t="s">
        <v>330</v>
      </c>
      <c r="I863" s="2">
        <f t="shared" si="26"/>
        <v>20000</v>
      </c>
      <c r="J863" s="42" t="str">
        <f t="shared" si="27"/>
        <v>13311</v>
      </c>
    </row>
    <row r="864" spans="1:10" ht="24" customHeight="1">
      <c r="A864" s="30">
        <v>46231</v>
      </c>
      <c r="B864" s="31" t="s">
        <v>2177</v>
      </c>
      <c r="C864" s="32" t="s">
        <v>2145</v>
      </c>
      <c r="D864" s="19" t="s">
        <v>2249</v>
      </c>
      <c r="E864" s="275">
        <v>5000</v>
      </c>
      <c r="F864" s="272"/>
      <c r="G864" s="32" t="s">
        <v>185</v>
      </c>
      <c r="H864" s="32" t="s">
        <v>330</v>
      </c>
      <c r="I864" s="2">
        <f t="shared" si="26"/>
        <v>5000</v>
      </c>
      <c r="J864" s="42" t="str">
        <f t="shared" si="27"/>
        <v>13311</v>
      </c>
    </row>
    <row r="865" spans="1:12">
      <c r="A865" s="30">
        <v>46231</v>
      </c>
      <c r="B865" s="31" t="s">
        <v>2179</v>
      </c>
      <c r="C865" s="32" t="s">
        <v>2145</v>
      </c>
      <c r="D865" s="19" t="s">
        <v>2250</v>
      </c>
      <c r="E865" s="275">
        <v>5000</v>
      </c>
      <c r="F865" s="272"/>
      <c r="G865" s="32" t="s">
        <v>433</v>
      </c>
      <c r="H865" s="32" t="s">
        <v>330</v>
      </c>
      <c r="I865" s="2">
        <f t="shared" si="26"/>
        <v>5000</v>
      </c>
      <c r="J865" s="42" t="str">
        <f t="shared" si="27"/>
        <v>13311</v>
      </c>
    </row>
    <row r="866" spans="1:12">
      <c r="A866" s="30">
        <v>46231</v>
      </c>
      <c r="B866" s="31" t="s">
        <v>2183</v>
      </c>
      <c r="C866" s="32" t="s">
        <v>2145</v>
      </c>
      <c r="D866" s="19" t="s">
        <v>2251</v>
      </c>
      <c r="E866" s="275">
        <v>5000</v>
      </c>
      <c r="F866" s="272"/>
      <c r="G866" s="32" t="s">
        <v>185</v>
      </c>
      <c r="H866" s="32" t="s">
        <v>330</v>
      </c>
      <c r="I866" s="2">
        <f t="shared" si="26"/>
        <v>5000</v>
      </c>
      <c r="J866" s="42" t="str">
        <f t="shared" si="27"/>
        <v>13311</v>
      </c>
    </row>
    <row r="867" spans="1:12" ht="35.5" customHeight="1">
      <c r="A867" s="30">
        <v>46233</v>
      </c>
      <c r="B867" s="31" t="s">
        <v>1211</v>
      </c>
      <c r="C867" s="32" t="s">
        <v>252</v>
      </c>
      <c r="D867" s="19" t="s">
        <v>2252</v>
      </c>
      <c r="E867" s="275">
        <v>86064000</v>
      </c>
      <c r="F867" s="272"/>
      <c r="G867" s="32" t="s">
        <v>431</v>
      </c>
      <c r="H867" s="32" t="s">
        <v>334</v>
      </c>
      <c r="I867" s="2">
        <f t="shared" si="26"/>
        <v>86064000</v>
      </c>
      <c r="J867" s="42" t="str">
        <f t="shared" si="27"/>
        <v>13311</v>
      </c>
    </row>
    <row r="868" spans="1:12" ht="24" customHeight="1">
      <c r="A868" s="30">
        <v>46234</v>
      </c>
      <c r="B868" s="31" t="s">
        <v>1241</v>
      </c>
      <c r="C868" s="32" t="s">
        <v>252</v>
      </c>
      <c r="D868" s="19" t="s">
        <v>2253</v>
      </c>
      <c r="E868" s="275">
        <v>635442</v>
      </c>
      <c r="F868" s="272"/>
      <c r="G868" s="32" t="s">
        <v>178</v>
      </c>
      <c r="H868" s="32" t="s">
        <v>334</v>
      </c>
      <c r="I868" s="2">
        <f t="shared" si="26"/>
        <v>635442</v>
      </c>
      <c r="J868" s="42" t="str">
        <f t="shared" si="27"/>
        <v>13311</v>
      </c>
    </row>
    <row r="869" spans="1:12" ht="24" customHeight="1">
      <c r="A869" s="30">
        <v>46234</v>
      </c>
      <c r="B869" s="31" t="s">
        <v>1241</v>
      </c>
      <c r="C869" s="32" t="s">
        <v>252</v>
      </c>
      <c r="D869" s="19" t="s">
        <v>2254</v>
      </c>
      <c r="E869" s="275">
        <v>529421</v>
      </c>
      <c r="F869" s="272"/>
      <c r="G869" s="32" t="s">
        <v>178</v>
      </c>
      <c r="H869" s="32" t="s">
        <v>334</v>
      </c>
      <c r="I869" s="2">
        <f t="shared" si="26"/>
        <v>529421</v>
      </c>
      <c r="J869" s="42" t="str">
        <f t="shared" si="27"/>
        <v>13311</v>
      </c>
    </row>
    <row r="870" spans="1:12" ht="24" customHeight="1">
      <c r="A870" s="30">
        <v>46234</v>
      </c>
      <c r="B870" s="31" t="s">
        <v>1241</v>
      </c>
      <c r="C870" s="32" t="s">
        <v>252</v>
      </c>
      <c r="D870" s="19" t="s">
        <v>2255</v>
      </c>
      <c r="E870" s="275">
        <v>300400</v>
      </c>
      <c r="F870" s="272"/>
      <c r="G870" s="32" t="s">
        <v>178</v>
      </c>
      <c r="H870" s="32" t="s">
        <v>334</v>
      </c>
      <c r="I870" s="2">
        <f t="shared" si="26"/>
        <v>300400</v>
      </c>
      <c r="J870" s="42" t="str">
        <f t="shared" si="27"/>
        <v>13311</v>
      </c>
    </row>
    <row r="871" spans="1:12">
      <c r="A871" s="30">
        <v>46234</v>
      </c>
      <c r="B871" s="31" t="s">
        <v>1784</v>
      </c>
      <c r="C871" s="32" t="s">
        <v>252</v>
      </c>
      <c r="D871" s="19" t="s">
        <v>2256</v>
      </c>
      <c r="E871" s="275">
        <v>2727</v>
      </c>
      <c r="F871" s="272"/>
      <c r="G871" s="32" t="s">
        <v>434</v>
      </c>
      <c r="H871" s="32" t="s">
        <v>334</v>
      </c>
      <c r="I871" s="2">
        <f t="shared" si="26"/>
        <v>2727</v>
      </c>
      <c r="J871" s="42" t="str">
        <f t="shared" si="27"/>
        <v>13311</v>
      </c>
    </row>
    <row r="872" spans="1:12">
      <c r="A872" s="30">
        <v>46234</v>
      </c>
      <c r="B872" s="31" t="s">
        <v>1784</v>
      </c>
      <c r="C872" s="32" t="s">
        <v>252</v>
      </c>
      <c r="D872" s="19" t="s">
        <v>2256</v>
      </c>
      <c r="E872" s="275">
        <v>2727</v>
      </c>
      <c r="F872" s="272"/>
      <c r="G872" s="32" t="s">
        <v>434</v>
      </c>
      <c r="H872" s="32" t="s">
        <v>334</v>
      </c>
      <c r="I872" s="2">
        <f t="shared" si="26"/>
        <v>2727</v>
      </c>
      <c r="J872" s="42" t="str">
        <f t="shared" si="27"/>
        <v>13311</v>
      </c>
    </row>
    <row r="873" spans="1:12">
      <c r="A873" s="30">
        <v>46234</v>
      </c>
      <c r="B873" s="31" t="s">
        <v>1784</v>
      </c>
      <c r="C873" s="32" t="s">
        <v>252</v>
      </c>
      <c r="D873" s="19" t="s">
        <v>2256</v>
      </c>
      <c r="E873" s="275">
        <v>2727</v>
      </c>
      <c r="F873" s="272"/>
      <c r="G873" s="32" t="s">
        <v>434</v>
      </c>
      <c r="H873" s="32" t="s">
        <v>334</v>
      </c>
      <c r="I873" s="2">
        <f t="shared" si="26"/>
        <v>2727</v>
      </c>
      <c r="J873" s="42" t="str">
        <f t="shared" si="27"/>
        <v>13311</v>
      </c>
    </row>
    <row r="874" spans="1:12">
      <c r="A874" s="30">
        <v>46234</v>
      </c>
      <c r="B874" s="31" t="s">
        <v>1784</v>
      </c>
      <c r="C874" s="32" t="s">
        <v>252</v>
      </c>
      <c r="D874" s="19" t="s">
        <v>2256</v>
      </c>
      <c r="E874" s="275">
        <v>2727</v>
      </c>
      <c r="F874" s="272"/>
      <c r="G874" s="32" t="s">
        <v>434</v>
      </c>
      <c r="H874" s="32" t="s">
        <v>334</v>
      </c>
      <c r="I874" s="2">
        <f t="shared" si="26"/>
        <v>2727</v>
      </c>
      <c r="J874" s="42" t="str">
        <f t="shared" si="27"/>
        <v>13311</v>
      </c>
    </row>
    <row r="875" spans="1:12">
      <c r="A875" s="30">
        <v>46234</v>
      </c>
      <c r="B875" s="31" t="s">
        <v>1784</v>
      </c>
      <c r="C875" s="32" t="s">
        <v>252</v>
      </c>
      <c r="D875" s="19" t="s">
        <v>2256</v>
      </c>
      <c r="E875" s="275">
        <v>2727</v>
      </c>
      <c r="F875" s="272"/>
      <c r="G875" s="32" t="s">
        <v>434</v>
      </c>
      <c r="H875" s="32" t="s">
        <v>334</v>
      </c>
      <c r="I875" s="2">
        <f t="shared" si="26"/>
        <v>2727</v>
      </c>
      <c r="J875" s="42" t="str">
        <f t="shared" si="27"/>
        <v>13311</v>
      </c>
    </row>
    <row r="876" spans="1:12">
      <c r="A876" s="30">
        <v>46234</v>
      </c>
      <c r="B876" s="31" t="s">
        <v>1784</v>
      </c>
      <c r="C876" s="32" t="s">
        <v>252</v>
      </c>
      <c r="D876" s="19" t="s">
        <v>2256</v>
      </c>
      <c r="E876" s="275">
        <v>2727</v>
      </c>
      <c r="F876" s="272"/>
      <c r="G876" s="32" t="s">
        <v>434</v>
      </c>
      <c r="H876" s="32" t="s">
        <v>334</v>
      </c>
      <c r="I876" s="2">
        <f t="shared" si="26"/>
        <v>2727</v>
      </c>
      <c r="J876" s="42" t="str">
        <f t="shared" si="27"/>
        <v>13311</v>
      </c>
    </row>
    <row r="877" spans="1:12">
      <c r="A877" s="30">
        <v>46234</v>
      </c>
      <c r="B877" s="31" t="s">
        <v>1784</v>
      </c>
      <c r="C877" s="32" t="s">
        <v>252</v>
      </c>
      <c r="D877" s="19" t="s">
        <v>2256</v>
      </c>
      <c r="E877" s="275">
        <v>2727</v>
      </c>
      <c r="F877" s="272"/>
      <c r="G877" s="32" t="s">
        <v>434</v>
      </c>
      <c r="H877" s="32" t="s">
        <v>334</v>
      </c>
      <c r="I877" s="2">
        <f t="shared" si="26"/>
        <v>2727</v>
      </c>
      <c r="J877" s="42" t="str">
        <f t="shared" si="27"/>
        <v>13311</v>
      </c>
    </row>
    <row r="878" spans="1:12">
      <c r="A878" s="30">
        <v>46234</v>
      </c>
      <c r="B878" s="31" t="s">
        <v>1784</v>
      </c>
      <c r="C878" s="32" t="s">
        <v>252</v>
      </c>
      <c r="D878" s="19" t="s">
        <v>2256</v>
      </c>
      <c r="E878" s="275">
        <v>2727</v>
      </c>
      <c r="F878" s="272"/>
      <c r="G878" s="32" t="s">
        <v>434</v>
      </c>
      <c r="H878" s="32" t="s">
        <v>334</v>
      </c>
      <c r="I878" s="2">
        <f t="shared" si="26"/>
        <v>2727</v>
      </c>
      <c r="J878" s="42" t="str">
        <f t="shared" si="27"/>
        <v>13311</v>
      </c>
    </row>
    <row r="879" spans="1:12">
      <c r="A879" s="30">
        <v>46234</v>
      </c>
      <c r="B879" s="31" t="s">
        <v>1784</v>
      </c>
      <c r="C879" s="32" t="s">
        <v>252</v>
      </c>
      <c r="D879" s="19" t="s">
        <v>2256</v>
      </c>
      <c r="E879" s="275">
        <v>2727</v>
      </c>
      <c r="F879" s="272"/>
      <c r="G879" s="32" t="s">
        <v>434</v>
      </c>
      <c r="H879" s="32" t="s">
        <v>334</v>
      </c>
      <c r="I879" s="2">
        <f t="shared" si="26"/>
        <v>2727</v>
      </c>
      <c r="J879" s="42" t="str">
        <f t="shared" si="27"/>
        <v>13311</v>
      </c>
      <c r="L879" s="15">
        <f>F882-E882</f>
        <v>-468226</v>
      </c>
    </row>
    <row r="880" spans="1:12">
      <c r="A880" s="30">
        <v>46234</v>
      </c>
      <c r="B880" s="31" t="s">
        <v>1784</v>
      </c>
      <c r="C880" s="32" t="s">
        <v>252</v>
      </c>
      <c r="D880" s="19" t="s">
        <v>2257</v>
      </c>
      <c r="E880" s="275">
        <v>155556</v>
      </c>
      <c r="F880" s="272"/>
      <c r="G880" s="32" t="s">
        <v>434</v>
      </c>
      <c r="H880" s="32" t="s">
        <v>334</v>
      </c>
      <c r="I880" s="2">
        <f t="shared" si="26"/>
        <v>155556</v>
      </c>
      <c r="J880" s="42" t="str">
        <f t="shared" si="27"/>
        <v>13311</v>
      </c>
    </row>
    <row r="881" spans="1:12">
      <c r="A881" s="30">
        <v>46234</v>
      </c>
      <c r="B881" s="31" t="s">
        <v>1784</v>
      </c>
      <c r="C881" s="32" t="s">
        <v>252</v>
      </c>
      <c r="D881" s="19" t="s">
        <v>2258</v>
      </c>
      <c r="E881" s="275">
        <v>292592</v>
      </c>
      <c r="F881" s="272"/>
      <c r="G881" s="32" t="s">
        <v>434</v>
      </c>
      <c r="H881" s="32" t="s">
        <v>334</v>
      </c>
      <c r="I881" s="2">
        <f t="shared" si="26"/>
        <v>292592</v>
      </c>
      <c r="J881" s="42" t="str">
        <f t="shared" si="27"/>
        <v>13311</v>
      </c>
    </row>
    <row r="882" spans="1:12">
      <c r="A882" s="30">
        <v>46234</v>
      </c>
      <c r="B882" s="31" t="s">
        <v>1784</v>
      </c>
      <c r="C882" s="32" t="s">
        <v>252</v>
      </c>
      <c r="D882" s="19" t="s">
        <v>2259</v>
      </c>
      <c r="E882" s="275">
        <v>468226</v>
      </c>
      <c r="F882" s="272"/>
      <c r="G882" s="32" t="s">
        <v>434</v>
      </c>
      <c r="H882" s="32" t="s">
        <v>334</v>
      </c>
      <c r="I882" s="2">
        <f t="shared" si="26"/>
        <v>468226</v>
      </c>
      <c r="J882" s="42" t="str">
        <f t="shared" si="27"/>
        <v>13311</v>
      </c>
    </row>
    <row r="883" spans="1:12">
      <c r="A883" s="30">
        <v>46234</v>
      </c>
      <c r="B883" s="31" t="s">
        <v>1784</v>
      </c>
      <c r="C883" s="32" t="s">
        <v>252</v>
      </c>
      <c r="D883" s="19" t="s">
        <v>2259</v>
      </c>
      <c r="E883" s="275">
        <v>457961</v>
      </c>
      <c r="F883" s="272"/>
      <c r="G883" s="32" t="s">
        <v>434</v>
      </c>
      <c r="H883" s="32" t="s">
        <v>334</v>
      </c>
      <c r="I883" s="2">
        <f t="shared" si="26"/>
        <v>457961</v>
      </c>
      <c r="J883" s="42" t="str">
        <f t="shared" si="27"/>
        <v>13311</v>
      </c>
      <c r="K883" s="184" t="s">
        <v>2260</v>
      </c>
      <c r="L883" s="15">
        <v>60549888887</v>
      </c>
    </row>
    <row r="884" spans="1:12">
      <c r="A884" s="30">
        <v>46234</v>
      </c>
      <c r="B884" s="31" t="s">
        <v>1784</v>
      </c>
      <c r="C884" s="32" t="s">
        <v>252</v>
      </c>
      <c r="D884" s="19" t="s">
        <v>2259</v>
      </c>
      <c r="E884" s="275">
        <v>384118</v>
      </c>
      <c r="F884" s="272"/>
      <c r="G884" s="32" t="s">
        <v>434</v>
      </c>
      <c r="H884" s="32" t="s">
        <v>334</v>
      </c>
      <c r="I884" s="2">
        <f t="shared" si="26"/>
        <v>384118</v>
      </c>
      <c r="J884" s="42" t="str">
        <f t="shared" si="27"/>
        <v>13311</v>
      </c>
      <c r="K884" s="184" t="s">
        <v>2261</v>
      </c>
      <c r="L884" s="15">
        <f>E883-L883</f>
        <v>-60549430926</v>
      </c>
    </row>
    <row r="885" spans="1:12">
      <c r="A885" s="30">
        <v>46234</v>
      </c>
      <c r="B885" s="31" t="s">
        <v>1784</v>
      </c>
      <c r="C885" s="32" t="s">
        <v>252</v>
      </c>
      <c r="D885" s="19" t="s">
        <v>2259</v>
      </c>
      <c r="E885" s="275">
        <v>370370</v>
      </c>
      <c r="F885" s="272"/>
      <c r="G885" s="32" t="s">
        <v>434</v>
      </c>
      <c r="H885" s="32" t="s">
        <v>334</v>
      </c>
      <c r="I885" s="2">
        <f t="shared" si="26"/>
        <v>370370</v>
      </c>
      <c r="J885" s="42" t="str">
        <f t="shared" si="27"/>
        <v>13311</v>
      </c>
    </row>
    <row r="886" spans="1:12">
      <c r="A886" s="30">
        <v>46234</v>
      </c>
      <c r="B886" s="31" t="s">
        <v>1784</v>
      </c>
      <c r="C886" s="32" t="s">
        <v>252</v>
      </c>
      <c r="D886" s="19" t="s">
        <v>2259</v>
      </c>
      <c r="E886" s="275">
        <v>371465</v>
      </c>
      <c r="F886" s="272"/>
      <c r="G886" s="32" t="s">
        <v>434</v>
      </c>
      <c r="H886" s="32" t="s">
        <v>334</v>
      </c>
      <c r="I886" s="2">
        <f t="shared" si="26"/>
        <v>371465</v>
      </c>
      <c r="J886" s="42" t="str">
        <f t="shared" si="27"/>
        <v>13311</v>
      </c>
    </row>
    <row r="887" spans="1:12">
      <c r="A887" s="30">
        <v>46234</v>
      </c>
      <c r="B887" s="31" t="s">
        <v>1784</v>
      </c>
      <c r="C887" s="32" t="s">
        <v>252</v>
      </c>
      <c r="D887" s="19" t="s">
        <v>2259</v>
      </c>
      <c r="E887" s="275">
        <v>148000</v>
      </c>
      <c r="F887" s="272"/>
      <c r="G887" s="32" t="s">
        <v>434</v>
      </c>
      <c r="H887" s="32" t="s">
        <v>334</v>
      </c>
      <c r="I887" s="2">
        <f t="shared" si="26"/>
        <v>148000</v>
      </c>
      <c r="J887" s="42" t="str">
        <f t="shared" si="27"/>
        <v>13311</v>
      </c>
    </row>
    <row r="888" spans="1:12">
      <c r="A888" s="30">
        <v>46234</v>
      </c>
      <c r="B888" s="31" t="s">
        <v>1784</v>
      </c>
      <c r="C888" s="32" t="s">
        <v>252</v>
      </c>
      <c r="D888" s="19" t="s">
        <v>2259</v>
      </c>
      <c r="E888" s="275">
        <v>148000</v>
      </c>
      <c r="F888" s="272"/>
      <c r="G888" s="32" t="s">
        <v>434</v>
      </c>
      <c r="H888" s="32" t="s">
        <v>334</v>
      </c>
      <c r="I888" s="2">
        <f t="shared" si="26"/>
        <v>148000</v>
      </c>
      <c r="J888" s="42" t="str">
        <f t="shared" si="27"/>
        <v>13311</v>
      </c>
    </row>
    <row r="889" spans="1:12">
      <c r="A889" s="30">
        <v>46234</v>
      </c>
      <c r="B889" s="31" t="s">
        <v>1784</v>
      </c>
      <c r="C889" s="32" t="s">
        <v>252</v>
      </c>
      <c r="D889" s="19" t="s">
        <v>2259</v>
      </c>
      <c r="E889" s="275">
        <v>148000</v>
      </c>
      <c r="F889" s="272"/>
      <c r="G889" s="32" t="s">
        <v>434</v>
      </c>
      <c r="H889" s="32" t="s">
        <v>334</v>
      </c>
      <c r="I889" s="2">
        <f t="shared" si="26"/>
        <v>148000</v>
      </c>
      <c r="J889" s="42" t="str">
        <f t="shared" si="27"/>
        <v>13311</v>
      </c>
    </row>
    <row r="890" spans="1:12">
      <c r="A890" s="30">
        <v>46234</v>
      </c>
      <c r="B890" s="31" t="s">
        <v>1784</v>
      </c>
      <c r="C890" s="32" t="s">
        <v>252</v>
      </c>
      <c r="D890" s="19" t="s">
        <v>2259</v>
      </c>
      <c r="E890" s="275">
        <v>148000</v>
      </c>
      <c r="F890" s="272"/>
      <c r="G890" s="32" t="s">
        <v>434</v>
      </c>
      <c r="H890" s="32" t="s">
        <v>334</v>
      </c>
      <c r="I890" s="2">
        <f t="shared" si="26"/>
        <v>148000</v>
      </c>
      <c r="J890" s="42" t="str">
        <f t="shared" si="27"/>
        <v>13311</v>
      </c>
    </row>
    <row r="891" spans="1:12">
      <c r="A891" s="30">
        <v>46234</v>
      </c>
      <c r="B891" s="31" t="s">
        <v>1784</v>
      </c>
      <c r="C891" s="32" t="s">
        <v>252</v>
      </c>
      <c r="D891" s="19" t="s">
        <v>2259</v>
      </c>
      <c r="E891" s="275">
        <v>148000</v>
      </c>
      <c r="F891" s="272"/>
      <c r="G891" s="32" t="s">
        <v>434</v>
      </c>
      <c r="H891" s="32" t="s">
        <v>334</v>
      </c>
      <c r="I891" s="2">
        <f t="shared" si="26"/>
        <v>148000</v>
      </c>
      <c r="J891" s="42" t="str">
        <f t="shared" si="27"/>
        <v>13311</v>
      </c>
    </row>
    <row r="892" spans="1:12">
      <c r="A892" s="30">
        <v>46234</v>
      </c>
      <c r="B892" s="31" t="s">
        <v>1784</v>
      </c>
      <c r="C892" s="32" t="s">
        <v>252</v>
      </c>
      <c r="D892" s="19" t="s">
        <v>2259</v>
      </c>
      <c r="E892" s="275">
        <v>148000</v>
      </c>
      <c r="F892" s="272"/>
      <c r="G892" s="32" t="s">
        <v>434</v>
      </c>
      <c r="H892" s="32" t="s">
        <v>334</v>
      </c>
      <c r="I892" s="2">
        <f t="shared" si="26"/>
        <v>148000</v>
      </c>
      <c r="J892" s="42" t="str">
        <f t="shared" si="27"/>
        <v>13311</v>
      </c>
    </row>
    <row r="893" spans="1:12">
      <c r="A893" s="30">
        <v>46234</v>
      </c>
      <c r="B893" s="31" t="s">
        <v>1784</v>
      </c>
      <c r="C893" s="32" t="s">
        <v>252</v>
      </c>
      <c r="D893" s="19" t="s">
        <v>2259</v>
      </c>
      <c r="E893" s="275">
        <v>148000</v>
      </c>
      <c r="F893" s="272"/>
      <c r="G893" s="32" t="s">
        <v>434</v>
      </c>
      <c r="H893" s="32" t="s">
        <v>334</v>
      </c>
      <c r="I893" s="2">
        <f t="shared" si="26"/>
        <v>148000</v>
      </c>
      <c r="J893" s="42" t="str">
        <f t="shared" si="27"/>
        <v>13311</v>
      </c>
    </row>
    <row r="894" spans="1:12">
      <c r="A894" s="30">
        <v>46234</v>
      </c>
      <c r="B894" s="31" t="s">
        <v>1784</v>
      </c>
      <c r="C894" s="32" t="s">
        <v>252</v>
      </c>
      <c r="D894" s="19" t="s">
        <v>2259</v>
      </c>
      <c r="E894" s="275">
        <v>148000</v>
      </c>
      <c r="F894" s="272"/>
      <c r="G894" s="32" t="s">
        <v>434</v>
      </c>
      <c r="H894" s="32" t="s">
        <v>334</v>
      </c>
      <c r="I894" s="2">
        <f t="shared" si="26"/>
        <v>148000</v>
      </c>
      <c r="J894" s="42" t="str">
        <f t="shared" si="27"/>
        <v>13311</v>
      </c>
    </row>
    <row r="895" spans="1:12">
      <c r="A895" s="30">
        <v>46234</v>
      </c>
      <c r="B895" s="31" t="s">
        <v>1784</v>
      </c>
      <c r="C895" s="32" t="s">
        <v>252</v>
      </c>
      <c r="D895" s="19" t="s">
        <v>2262</v>
      </c>
      <c r="E895" s="275">
        <v>27273</v>
      </c>
      <c r="F895" s="272"/>
      <c r="G895" s="32" t="s">
        <v>434</v>
      </c>
      <c r="H895" s="32" t="s">
        <v>334</v>
      </c>
      <c r="I895" s="2">
        <f t="shared" si="26"/>
        <v>27273</v>
      </c>
      <c r="J895" s="42" t="str">
        <f t="shared" si="27"/>
        <v>13311</v>
      </c>
    </row>
    <row r="896" spans="1:12">
      <c r="A896" s="30">
        <v>46234</v>
      </c>
      <c r="B896" s="31" t="s">
        <v>1784</v>
      </c>
      <c r="C896" s="32" t="s">
        <v>252</v>
      </c>
      <c r="D896" s="19" t="s">
        <v>2262</v>
      </c>
      <c r="E896" s="275">
        <v>27273</v>
      </c>
      <c r="F896" s="272"/>
      <c r="G896" s="32" t="s">
        <v>434</v>
      </c>
      <c r="H896" s="32" t="s">
        <v>334</v>
      </c>
      <c r="I896" s="2">
        <f t="shared" si="26"/>
        <v>27273</v>
      </c>
      <c r="J896" s="42" t="str">
        <f t="shared" si="27"/>
        <v>13311</v>
      </c>
    </row>
    <row r="897" spans="1:10">
      <c r="A897" s="30">
        <v>46234</v>
      </c>
      <c r="B897" s="31" t="s">
        <v>1784</v>
      </c>
      <c r="C897" s="32" t="s">
        <v>252</v>
      </c>
      <c r="D897" s="19" t="s">
        <v>2262</v>
      </c>
      <c r="E897" s="275">
        <v>27273</v>
      </c>
      <c r="F897" s="272"/>
      <c r="G897" s="32" t="s">
        <v>434</v>
      </c>
      <c r="H897" s="32" t="s">
        <v>334</v>
      </c>
      <c r="I897" s="2">
        <f t="shared" si="26"/>
        <v>27273</v>
      </c>
      <c r="J897" s="42" t="str">
        <f t="shared" si="27"/>
        <v>13311</v>
      </c>
    </row>
    <row r="898" spans="1:10">
      <c r="A898" s="30">
        <v>46234</v>
      </c>
      <c r="B898" s="31" t="s">
        <v>1784</v>
      </c>
      <c r="C898" s="32" t="s">
        <v>252</v>
      </c>
      <c r="D898" s="19" t="s">
        <v>2262</v>
      </c>
      <c r="E898" s="275">
        <v>27273</v>
      </c>
      <c r="F898" s="272"/>
      <c r="G898" s="32" t="s">
        <v>434</v>
      </c>
      <c r="H898" s="32" t="s">
        <v>334</v>
      </c>
      <c r="I898" s="2">
        <f t="shared" si="26"/>
        <v>27273</v>
      </c>
      <c r="J898" s="42" t="str">
        <f t="shared" si="27"/>
        <v>13311</v>
      </c>
    </row>
    <row r="899" spans="1:10">
      <c r="A899" s="30">
        <v>46234</v>
      </c>
      <c r="B899" s="31" t="s">
        <v>1784</v>
      </c>
      <c r="C899" s="32" t="s">
        <v>252</v>
      </c>
      <c r="D899" s="19" t="s">
        <v>2263</v>
      </c>
      <c r="E899" s="275">
        <v>9000</v>
      </c>
      <c r="F899" s="272"/>
      <c r="G899" s="32" t="s">
        <v>434</v>
      </c>
      <c r="H899" s="32" t="s">
        <v>334</v>
      </c>
      <c r="I899" s="2">
        <f t="shared" si="26"/>
        <v>9000</v>
      </c>
      <c r="J899" s="42" t="str">
        <f t="shared" si="27"/>
        <v>13311</v>
      </c>
    </row>
    <row r="900" spans="1:10">
      <c r="A900" s="30">
        <v>46234</v>
      </c>
      <c r="B900" s="31" t="s">
        <v>1784</v>
      </c>
      <c r="C900" s="32" t="s">
        <v>252</v>
      </c>
      <c r="D900" s="19" t="s">
        <v>2263</v>
      </c>
      <c r="E900" s="275">
        <v>5743</v>
      </c>
      <c r="F900" s="272"/>
      <c r="G900" s="32" t="s">
        <v>434</v>
      </c>
      <c r="H900" s="32" t="s">
        <v>334</v>
      </c>
      <c r="I900" s="2">
        <f t="shared" si="26"/>
        <v>5743</v>
      </c>
      <c r="J900" s="42" t="str">
        <f t="shared" si="27"/>
        <v>13311</v>
      </c>
    </row>
    <row r="901" spans="1:10">
      <c r="A901" s="30">
        <v>46234</v>
      </c>
      <c r="B901" s="31" t="s">
        <v>1784</v>
      </c>
      <c r="C901" s="32" t="s">
        <v>252</v>
      </c>
      <c r="D901" s="19" t="s">
        <v>2263</v>
      </c>
      <c r="E901" s="275">
        <v>9227</v>
      </c>
      <c r="F901" s="272"/>
      <c r="G901" s="32" t="s">
        <v>434</v>
      </c>
      <c r="H901" s="32" t="s">
        <v>334</v>
      </c>
      <c r="I901" s="2">
        <f t="shared" si="26"/>
        <v>9227</v>
      </c>
      <c r="J901" s="42" t="str">
        <f t="shared" si="27"/>
        <v>13311</v>
      </c>
    </row>
    <row r="902" spans="1:10">
      <c r="A902" s="30">
        <v>46234</v>
      </c>
      <c r="B902" s="31" t="s">
        <v>1784</v>
      </c>
      <c r="C902" s="32" t="s">
        <v>252</v>
      </c>
      <c r="D902" s="19" t="s">
        <v>2263</v>
      </c>
      <c r="E902" s="275">
        <v>2000</v>
      </c>
      <c r="F902" s="272"/>
      <c r="G902" s="32" t="s">
        <v>434</v>
      </c>
      <c r="H902" s="32" t="s">
        <v>334</v>
      </c>
      <c r="I902" s="2">
        <f t="shared" si="26"/>
        <v>2000</v>
      </c>
      <c r="J902" s="42" t="str">
        <f t="shared" si="27"/>
        <v>13311</v>
      </c>
    </row>
    <row r="903" spans="1:10">
      <c r="A903" s="30">
        <v>46234</v>
      </c>
      <c r="B903" s="31" t="s">
        <v>1784</v>
      </c>
      <c r="C903" s="32" t="s">
        <v>252</v>
      </c>
      <c r="D903" s="19" t="s">
        <v>2263</v>
      </c>
      <c r="E903" s="275">
        <v>90000</v>
      </c>
      <c r="F903" s="272"/>
      <c r="G903" s="32" t="s">
        <v>434</v>
      </c>
      <c r="H903" s="32" t="s">
        <v>334</v>
      </c>
      <c r="I903" s="2">
        <f t="shared" si="26"/>
        <v>90000</v>
      </c>
      <c r="J903" s="42" t="str">
        <f t="shared" si="27"/>
        <v>13311</v>
      </c>
    </row>
    <row r="904" spans="1:10">
      <c r="A904" s="30">
        <v>46234</v>
      </c>
      <c r="B904" s="31" t="s">
        <v>1784</v>
      </c>
      <c r="C904" s="32" t="s">
        <v>252</v>
      </c>
      <c r="D904" s="19" t="s">
        <v>2263</v>
      </c>
      <c r="E904" s="275">
        <v>23000</v>
      </c>
      <c r="F904" s="272"/>
      <c r="G904" s="32" t="s">
        <v>434</v>
      </c>
      <c r="H904" s="32" t="s">
        <v>334</v>
      </c>
      <c r="I904" s="2">
        <f t="shared" si="26"/>
        <v>23000</v>
      </c>
      <c r="J904" s="42" t="str">
        <f t="shared" si="27"/>
        <v>13311</v>
      </c>
    </row>
    <row r="905" spans="1:10">
      <c r="A905" s="30">
        <v>46234</v>
      </c>
      <c r="B905" s="31" t="s">
        <v>1784</v>
      </c>
      <c r="C905" s="32" t="s">
        <v>252</v>
      </c>
      <c r="D905" s="19" t="s">
        <v>2263</v>
      </c>
      <c r="E905" s="275">
        <v>79091</v>
      </c>
      <c r="F905" s="272"/>
      <c r="G905" s="32" t="s">
        <v>434</v>
      </c>
      <c r="H905" s="32" t="s">
        <v>334</v>
      </c>
      <c r="I905" s="2">
        <f t="shared" si="26"/>
        <v>79091</v>
      </c>
      <c r="J905" s="42" t="str">
        <f t="shared" si="27"/>
        <v>13311</v>
      </c>
    </row>
    <row r="906" spans="1:10">
      <c r="A906" s="30">
        <v>46234</v>
      </c>
      <c r="B906" s="31" t="s">
        <v>1784</v>
      </c>
      <c r="C906" s="32" t="s">
        <v>252</v>
      </c>
      <c r="D906" s="19" t="s">
        <v>2263</v>
      </c>
      <c r="E906" s="275">
        <v>58280</v>
      </c>
      <c r="F906" s="272"/>
      <c r="G906" s="32" t="s">
        <v>434</v>
      </c>
      <c r="H906" s="32" t="s">
        <v>334</v>
      </c>
      <c r="I906" s="2">
        <f t="shared" si="26"/>
        <v>58280</v>
      </c>
      <c r="J906" s="42" t="str">
        <f t="shared" si="27"/>
        <v>13311</v>
      </c>
    </row>
    <row r="907" spans="1:10">
      <c r="A907" s="30">
        <v>46234</v>
      </c>
      <c r="B907" s="31" t="s">
        <v>1784</v>
      </c>
      <c r="C907" s="32" t="s">
        <v>252</v>
      </c>
      <c r="D907" s="19" t="s">
        <v>2263</v>
      </c>
      <c r="E907" s="275">
        <v>2000</v>
      </c>
      <c r="F907" s="272"/>
      <c r="G907" s="32" t="s">
        <v>434</v>
      </c>
      <c r="H907" s="32" t="s">
        <v>334</v>
      </c>
      <c r="I907" s="2">
        <f t="shared" ref="I907:I970" si="28">IF(LEN(A907)=5,E907,0)</f>
        <v>2000</v>
      </c>
      <c r="J907" s="42" t="str">
        <f t="shared" ref="J907:J970" si="29">IF(LEFT(A907,11)="Tài khoản: ",MID(A907,12,5),J906)</f>
        <v>13311</v>
      </c>
    </row>
    <row r="908" spans="1:10">
      <c r="A908" s="30">
        <v>46234</v>
      </c>
      <c r="B908" s="31" t="s">
        <v>1784</v>
      </c>
      <c r="C908" s="32" t="s">
        <v>252</v>
      </c>
      <c r="D908" s="19" t="s">
        <v>2263</v>
      </c>
      <c r="E908" s="275">
        <v>325455</v>
      </c>
      <c r="F908" s="272"/>
      <c r="G908" s="32" t="s">
        <v>434</v>
      </c>
      <c r="H908" s="32" t="s">
        <v>334</v>
      </c>
      <c r="I908" s="2">
        <f t="shared" si="28"/>
        <v>325455</v>
      </c>
      <c r="J908" s="42" t="str">
        <f t="shared" si="29"/>
        <v>13311</v>
      </c>
    </row>
    <row r="909" spans="1:10">
      <c r="A909" s="30">
        <v>46234</v>
      </c>
      <c r="B909" s="31" t="s">
        <v>1784</v>
      </c>
      <c r="C909" s="32" t="s">
        <v>252</v>
      </c>
      <c r="D909" s="19" t="s">
        <v>2263</v>
      </c>
      <c r="E909" s="275">
        <v>111818</v>
      </c>
      <c r="F909" s="272"/>
      <c r="G909" s="32" t="s">
        <v>434</v>
      </c>
      <c r="H909" s="32" t="s">
        <v>334</v>
      </c>
      <c r="I909" s="2">
        <f t="shared" si="28"/>
        <v>111818</v>
      </c>
      <c r="J909" s="42" t="str">
        <f t="shared" si="29"/>
        <v>13311</v>
      </c>
    </row>
    <row r="910" spans="1:10">
      <c r="A910" s="30">
        <v>46234</v>
      </c>
      <c r="B910" s="31" t="s">
        <v>1784</v>
      </c>
      <c r="C910" s="32" t="s">
        <v>252</v>
      </c>
      <c r="D910" s="19" t="s">
        <v>2263</v>
      </c>
      <c r="E910" s="275">
        <v>145000</v>
      </c>
      <c r="F910" s="272"/>
      <c r="G910" s="32" t="s">
        <v>434</v>
      </c>
      <c r="H910" s="32" t="s">
        <v>334</v>
      </c>
      <c r="I910" s="2">
        <f t="shared" si="28"/>
        <v>145000</v>
      </c>
      <c r="J910" s="42" t="str">
        <f t="shared" si="29"/>
        <v>13311</v>
      </c>
    </row>
    <row r="911" spans="1:10">
      <c r="A911" s="30">
        <v>46234</v>
      </c>
      <c r="B911" s="31" t="s">
        <v>1784</v>
      </c>
      <c r="C911" s="32" t="s">
        <v>252</v>
      </c>
      <c r="D911" s="19" t="s">
        <v>2263</v>
      </c>
      <c r="E911" s="275">
        <v>21818</v>
      </c>
      <c r="F911" s="272"/>
      <c r="G911" s="32" t="s">
        <v>434</v>
      </c>
      <c r="H911" s="32" t="s">
        <v>334</v>
      </c>
      <c r="I911" s="2">
        <f t="shared" si="28"/>
        <v>21818</v>
      </c>
      <c r="J911" s="42" t="str">
        <f t="shared" si="29"/>
        <v>13311</v>
      </c>
    </row>
    <row r="912" spans="1:10">
      <c r="A912" s="30">
        <v>46234</v>
      </c>
      <c r="B912" s="31" t="s">
        <v>1784</v>
      </c>
      <c r="C912" s="32" t="s">
        <v>252</v>
      </c>
      <c r="D912" s="19" t="s">
        <v>2263</v>
      </c>
      <c r="E912" s="275">
        <v>14455</v>
      </c>
      <c r="F912" s="272"/>
      <c r="G912" s="32" t="s">
        <v>434</v>
      </c>
      <c r="H912" s="32" t="s">
        <v>334</v>
      </c>
      <c r="I912" s="2">
        <f t="shared" si="28"/>
        <v>14455</v>
      </c>
      <c r="J912" s="42" t="str">
        <f t="shared" si="29"/>
        <v>13311</v>
      </c>
    </row>
    <row r="913" spans="1:11">
      <c r="A913" s="30">
        <v>46234</v>
      </c>
      <c r="B913" s="31" t="s">
        <v>1784</v>
      </c>
      <c r="C913" s="32" t="s">
        <v>252</v>
      </c>
      <c r="D913" s="19" t="s">
        <v>2263</v>
      </c>
      <c r="E913" s="275">
        <v>53100</v>
      </c>
      <c r="F913" s="272"/>
      <c r="G913" s="32" t="s">
        <v>434</v>
      </c>
      <c r="H913" s="32" t="s">
        <v>334</v>
      </c>
      <c r="I913" s="2">
        <f t="shared" si="28"/>
        <v>53100</v>
      </c>
      <c r="J913" s="42" t="str">
        <f t="shared" si="29"/>
        <v>13311</v>
      </c>
    </row>
    <row r="914" spans="1:11">
      <c r="A914" s="30">
        <v>46234</v>
      </c>
      <c r="B914" s="31" t="s">
        <v>1784</v>
      </c>
      <c r="C914" s="32" t="s">
        <v>252</v>
      </c>
      <c r="D914" s="19" t="s">
        <v>2263</v>
      </c>
      <c r="E914" s="275">
        <v>35400</v>
      </c>
      <c r="F914" s="272"/>
      <c r="G914" s="32" t="s">
        <v>434</v>
      </c>
      <c r="H914" s="32" t="s">
        <v>334</v>
      </c>
      <c r="I914" s="2">
        <f t="shared" si="28"/>
        <v>35400</v>
      </c>
      <c r="J914" s="42" t="str">
        <f t="shared" si="29"/>
        <v>13311</v>
      </c>
    </row>
    <row r="915" spans="1:11">
      <c r="A915" s="30">
        <v>46234</v>
      </c>
      <c r="B915" s="31" t="s">
        <v>1784</v>
      </c>
      <c r="C915" s="32" t="s">
        <v>252</v>
      </c>
      <c r="D915" s="19" t="s">
        <v>2263</v>
      </c>
      <c r="E915" s="275">
        <v>24726</v>
      </c>
      <c r="F915" s="272"/>
      <c r="G915" s="32" t="s">
        <v>434</v>
      </c>
      <c r="H915" s="32" t="s">
        <v>334</v>
      </c>
      <c r="I915" s="2">
        <f t="shared" si="28"/>
        <v>24726</v>
      </c>
      <c r="J915" s="42" t="str">
        <f t="shared" si="29"/>
        <v>13311</v>
      </c>
    </row>
    <row r="916" spans="1:11">
      <c r="A916" s="30">
        <v>46234</v>
      </c>
      <c r="B916" s="31" t="s">
        <v>1784</v>
      </c>
      <c r="C916" s="32" t="s">
        <v>252</v>
      </c>
      <c r="D916" s="19" t="s">
        <v>2263</v>
      </c>
      <c r="E916" s="275">
        <v>16364</v>
      </c>
      <c r="F916" s="272"/>
      <c r="G916" s="32" t="s">
        <v>434</v>
      </c>
      <c r="H916" s="32" t="s">
        <v>334</v>
      </c>
      <c r="I916" s="2">
        <f t="shared" si="28"/>
        <v>16364</v>
      </c>
      <c r="J916" s="42" t="str">
        <f t="shared" si="29"/>
        <v>13311</v>
      </c>
    </row>
    <row r="917" spans="1:11">
      <c r="A917" s="30">
        <v>46234</v>
      </c>
      <c r="B917" s="31" t="s">
        <v>1784</v>
      </c>
      <c r="C917" s="32" t="s">
        <v>252</v>
      </c>
      <c r="D917" s="19" t="s">
        <v>2263</v>
      </c>
      <c r="E917" s="275">
        <v>6909</v>
      </c>
      <c r="F917" s="272"/>
      <c r="G917" s="32" t="s">
        <v>434</v>
      </c>
      <c r="H917" s="32" t="s">
        <v>334</v>
      </c>
      <c r="I917" s="2">
        <f t="shared" si="28"/>
        <v>6909</v>
      </c>
      <c r="J917" s="42" t="str">
        <f t="shared" si="29"/>
        <v>13311</v>
      </c>
    </row>
    <row r="918" spans="1:11">
      <c r="A918" s="30">
        <v>46234</v>
      </c>
      <c r="B918" s="31" t="s">
        <v>1784</v>
      </c>
      <c r="C918" s="32" t="s">
        <v>252</v>
      </c>
      <c r="D918" s="19" t="s">
        <v>2263</v>
      </c>
      <c r="E918" s="275">
        <v>2172</v>
      </c>
      <c r="F918" s="272"/>
      <c r="G918" s="32" t="s">
        <v>434</v>
      </c>
      <c r="H918" s="32" t="s">
        <v>334</v>
      </c>
      <c r="I918" s="2">
        <f t="shared" si="28"/>
        <v>2172</v>
      </c>
      <c r="J918" s="42" t="str">
        <f t="shared" si="29"/>
        <v>13311</v>
      </c>
      <c r="K918" s="51" t="s">
        <v>515</v>
      </c>
    </row>
    <row r="919" spans="1:11">
      <c r="A919" s="30">
        <v>46234</v>
      </c>
      <c r="B919" s="31" t="s">
        <v>1784</v>
      </c>
      <c r="C919" s="32" t="s">
        <v>252</v>
      </c>
      <c r="D919" s="19" t="s">
        <v>2263</v>
      </c>
      <c r="E919" s="275">
        <v>3438</v>
      </c>
      <c r="F919" s="272"/>
      <c r="G919" s="32" t="s">
        <v>434</v>
      </c>
      <c r="H919" s="32" t="s">
        <v>334</v>
      </c>
      <c r="I919" s="2">
        <f t="shared" si="28"/>
        <v>3438</v>
      </c>
      <c r="J919" s="42" t="str">
        <f t="shared" si="29"/>
        <v>13311</v>
      </c>
    </row>
    <row r="920" spans="1:11">
      <c r="A920" s="30">
        <v>46234</v>
      </c>
      <c r="B920" s="31" t="s">
        <v>1784</v>
      </c>
      <c r="C920" s="32" t="s">
        <v>252</v>
      </c>
      <c r="D920" s="19" t="s">
        <v>2263</v>
      </c>
      <c r="E920" s="275">
        <v>2000</v>
      </c>
      <c r="F920" s="272"/>
      <c r="G920" s="32" t="s">
        <v>434</v>
      </c>
      <c r="H920" s="32" t="s">
        <v>334</v>
      </c>
      <c r="I920" s="2">
        <f t="shared" si="28"/>
        <v>2000</v>
      </c>
      <c r="J920" s="42" t="str">
        <f t="shared" si="29"/>
        <v>13311</v>
      </c>
    </row>
    <row r="921" spans="1:11">
      <c r="A921" s="30">
        <v>46234</v>
      </c>
      <c r="B921" s="31" t="s">
        <v>1784</v>
      </c>
      <c r="C921" s="32" t="s">
        <v>252</v>
      </c>
      <c r="D921" s="19" t="s">
        <v>2256</v>
      </c>
      <c r="E921" s="275">
        <v>15878</v>
      </c>
      <c r="F921" s="272"/>
      <c r="G921" s="32" t="s">
        <v>434</v>
      </c>
      <c r="H921" s="32" t="s">
        <v>334</v>
      </c>
      <c r="I921" s="2">
        <f t="shared" si="28"/>
        <v>15878</v>
      </c>
      <c r="J921" s="42" t="str">
        <f t="shared" si="29"/>
        <v>13311</v>
      </c>
    </row>
    <row r="922" spans="1:11">
      <c r="A922" s="30">
        <v>46234</v>
      </c>
      <c r="B922" s="31" t="s">
        <v>1784</v>
      </c>
      <c r="C922" s="32" t="s">
        <v>252</v>
      </c>
      <c r="D922" s="19" t="s">
        <v>2256</v>
      </c>
      <c r="E922" s="275">
        <v>2830</v>
      </c>
      <c r="F922" s="272"/>
      <c r="G922" s="32" t="s">
        <v>434</v>
      </c>
      <c r="H922" s="32" t="s">
        <v>334</v>
      </c>
      <c r="I922" s="2">
        <f t="shared" si="28"/>
        <v>2830</v>
      </c>
      <c r="J922" s="42" t="str">
        <f t="shared" si="29"/>
        <v>13311</v>
      </c>
    </row>
    <row r="923" spans="1:11">
      <c r="A923" s="30">
        <v>46234</v>
      </c>
      <c r="B923" s="31" t="s">
        <v>1784</v>
      </c>
      <c r="C923" s="32" t="s">
        <v>252</v>
      </c>
      <c r="D923" s="19" t="s">
        <v>2256</v>
      </c>
      <c r="E923" s="275">
        <v>41897</v>
      </c>
      <c r="F923" s="272"/>
      <c r="G923" s="32" t="s">
        <v>434</v>
      </c>
      <c r="H923" s="32" t="s">
        <v>334</v>
      </c>
      <c r="I923" s="2">
        <f t="shared" si="28"/>
        <v>41897</v>
      </c>
      <c r="J923" s="42" t="str">
        <f t="shared" si="29"/>
        <v>13311</v>
      </c>
    </row>
    <row r="924" spans="1:11" ht="22.25" customHeight="1">
      <c r="A924" s="30">
        <v>46234</v>
      </c>
      <c r="B924" s="31" t="s">
        <v>1784</v>
      </c>
      <c r="C924" s="32" t="s">
        <v>252</v>
      </c>
      <c r="D924" s="19" t="s">
        <v>2256</v>
      </c>
      <c r="E924" s="275">
        <v>19366</v>
      </c>
      <c r="F924" s="272"/>
      <c r="G924" s="32" t="s">
        <v>434</v>
      </c>
      <c r="H924" s="32" t="s">
        <v>334</v>
      </c>
      <c r="I924" s="2">
        <f t="shared" si="28"/>
        <v>19366</v>
      </c>
      <c r="J924" s="42" t="str">
        <f t="shared" si="29"/>
        <v>13311</v>
      </c>
    </row>
    <row r="925" spans="1:11" ht="23.4" customHeight="1">
      <c r="A925" s="30">
        <v>46234</v>
      </c>
      <c r="B925" s="31" t="s">
        <v>1784</v>
      </c>
      <c r="C925" s="32" t="s">
        <v>252</v>
      </c>
      <c r="D925" s="19" t="s">
        <v>2256</v>
      </c>
      <c r="E925" s="275">
        <v>2000</v>
      </c>
      <c r="F925" s="272"/>
      <c r="G925" s="32" t="s">
        <v>434</v>
      </c>
      <c r="H925" s="32" t="s">
        <v>334</v>
      </c>
      <c r="I925" s="2">
        <f t="shared" si="28"/>
        <v>2000</v>
      </c>
      <c r="J925" s="42" t="str">
        <f t="shared" si="29"/>
        <v>13311</v>
      </c>
    </row>
    <row r="926" spans="1:11">
      <c r="A926" s="30">
        <v>46234</v>
      </c>
      <c r="B926" s="31" t="s">
        <v>1784</v>
      </c>
      <c r="C926" s="32" t="s">
        <v>252</v>
      </c>
      <c r="D926" s="19" t="s">
        <v>2256</v>
      </c>
      <c r="E926" s="275">
        <v>32590</v>
      </c>
      <c r="F926" s="272"/>
      <c r="G926" s="32" t="s">
        <v>434</v>
      </c>
      <c r="H926" s="32" t="s">
        <v>334</v>
      </c>
      <c r="I926" s="2">
        <f t="shared" si="28"/>
        <v>32590</v>
      </c>
      <c r="J926" s="42" t="str">
        <f t="shared" si="29"/>
        <v>13311</v>
      </c>
    </row>
    <row r="927" spans="1:11">
      <c r="A927" s="30">
        <v>46234</v>
      </c>
      <c r="B927" s="31" t="s">
        <v>1784</v>
      </c>
      <c r="C927" s="32" t="s">
        <v>252</v>
      </c>
      <c r="D927" s="19" t="s">
        <v>2256</v>
      </c>
      <c r="E927" s="275">
        <v>4085</v>
      </c>
      <c r="F927" s="272"/>
      <c r="G927" s="32" t="s">
        <v>434</v>
      </c>
      <c r="H927" s="32" t="s">
        <v>334</v>
      </c>
      <c r="I927" s="2">
        <f t="shared" si="28"/>
        <v>4085</v>
      </c>
      <c r="J927" s="42" t="str">
        <f t="shared" si="29"/>
        <v>13311</v>
      </c>
    </row>
    <row r="928" spans="1:11">
      <c r="A928" s="30">
        <v>46234</v>
      </c>
      <c r="B928" s="31" t="s">
        <v>1784</v>
      </c>
      <c r="C928" s="32" t="s">
        <v>252</v>
      </c>
      <c r="D928" s="19" t="s">
        <v>2256</v>
      </c>
      <c r="E928" s="275">
        <v>2000</v>
      </c>
      <c r="F928" s="272"/>
      <c r="G928" s="32" t="s">
        <v>434</v>
      </c>
      <c r="H928" s="32" t="s">
        <v>334</v>
      </c>
      <c r="I928" s="2">
        <f t="shared" si="28"/>
        <v>2000</v>
      </c>
      <c r="J928" s="42" t="str">
        <f t="shared" si="29"/>
        <v>13311</v>
      </c>
    </row>
    <row r="929" spans="1:10">
      <c r="A929" s="30">
        <v>46234</v>
      </c>
      <c r="B929" s="31" t="s">
        <v>1784</v>
      </c>
      <c r="C929" s="32" t="s">
        <v>252</v>
      </c>
      <c r="D929" s="19" t="s">
        <v>2256</v>
      </c>
      <c r="E929" s="275">
        <v>3070</v>
      </c>
      <c r="F929" s="272"/>
      <c r="G929" s="32" t="s">
        <v>434</v>
      </c>
      <c r="H929" s="32" t="s">
        <v>334</v>
      </c>
      <c r="I929" s="2">
        <f t="shared" si="28"/>
        <v>3070</v>
      </c>
      <c r="J929" s="42" t="str">
        <f t="shared" si="29"/>
        <v>13311</v>
      </c>
    </row>
    <row r="930" spans="1:10">
      <c r="A930" s="30">
        <v>46234</v>
      </c>
      <c r="B930" s="31" t="s">
        <v>1784</v>
      </c>
      <c r="C930" s="32" t="s">
        <v>252</v>
      </c>
      <c r="D930" s="19" t="s">
        <v>2256</v>
      </c>
      <c r="E930" s="275">
        <v>35439</v>
      </c>
      <c r="F930" s="272"/>
      <c r="G930" s="32" t="s">
        <v>434</v>
      </c>
      <c r="H930" s="32" t="s">
        <v>334</v>
      </c>
      <c r="I930" s="2">
        <f t="shared" si="28"/>
        <v>35439</v>
      </c>
      <c r="J930" s="42" t="str">
        <f t="shared" si="29"/>
        <v>13311</v>
      </c>
    </row>
    <row r="931" spans="1:10">
      <c r="A931" s="30">
        <v>46234</v>
      </c>
      <c r="B931" s="31" t="s">
        <v>1784</v>
      </c>
      <c r="C931" s="32" t="s">
        <v>252</v>
      </c>
      <c r="D931" s="19" t="s">
        <v>2256</v>
      </c>
      <c r="E931" s="275">
        <v>2000</v>
      </c>
      <c r="F931" s="272"/>
      <c r="G931" s="32" t="s">
        <v>434</v>
      </c>
      <c r="H931" s="32" t="s">
        <v>334</v>
      </c>
      <c r="I931" s="2">
        <f t="shared" si="28"/>
        <v>2000</v>
      </c>
      <c r="J931" s="42" t="str">
        <f t="shared" si="29"/>
        <v>13311</v>
      </c>
    </row>
    <row r="932" spans="1:10">
      <c r="A932" s="30">
        <v>46234</v>
      </c>
      <c r="B932" s="31" t="s">
        <v>1784</v>
      </c>
      <c r="C932" s="32" t="s">
        <v>252</v>
      </c>
      <c r="D932" s="19" t="s">
        <v>2256</v>
      </c>
      <c r="E932" s="275">
        <v>15000</v>
      </c>
      <c r="F932" s="272"/>
      <c r="G932" s="32" t="s">
        <v>434</v>
      </c>
      <c r="H932" s="32" t="s">
        <v>334</v>
      </c>
      <c r="I932" s="2">
        <f t="shared" si="28"/>
        <v>15000</v>
      </c>
      <c r="J932" s="42" t="str">
        <f t="shared" si="29"/>
        <v>13311</v>
      </c>
    </row>
    <row r="933" spans="1:10">
      <c r="A933" s="30">
        <v>46234</v>
      </c>
      <c r="B933" s="31" t="s">
        <v>1784</v>
      </c>
      <c r="C933" s="32" t="s">
        <v>252</v>
      </c>
      <c r="D933" s="19" t="s">
        <v>2256</v>
      </c>
      <c r="E933" s="275">
        <v>80000</v>
      </c>
      <c r="F933" s="272"/>
      <c r="G933" s="32" t="s">
        <v>434</v>
      </c>
      <c r="H933" s="32" t="s">
        <v>334</v>
      </c>
      <c r="I933" s="2">
        <f t="shared" si="28"/>
        <v>80000</v>
      </c>
      <c r="J933" s="42" t="str">
        <f t="shared" si="29"/>
        <v>13311</v>
      </c>
    </row>
    <row r="934" spans="1:10">
      <c r="A934" s="30">
        <v>46234</v>
      </c>
      <c r="B934" s="31" t="s">
        <v>1784</v>
      </c>
      <c r="C934" s="32" t="s">
        <v>252</v>
      </c>
      <c r="D934" s="19" t="s">
        <v>2256</v>
      </c>
      <c r="E934" s="275">
        <v>90000</v>
      </c>
      <c r="F934" s="272"/>
      <c r="G934" s="32" t="s">
        <v>434</v>
      </c>
      <c r="H934" s="32" t="s">
        <v>334</v>
      </c>
      <c r="I934" s="2">
        <f t="shared" si="28"/>
        <v>90000</v>
      </c>
      <c r="J934" s="42" t="str">
        <f t="shared" si="29"/>
        <v>13311</v>
      </c>
    </row>
    <row r="935" spans="1:10">
      <c r="A935" s="30">
        <v>46234</v>
      </c>
      <c r="B935" s="31" t="s">
        <v>1784</v>
      </c>
      <c r="C935" s="32" t="s">
        <v>252</v>
      </c>
      <c r="D935" s="19" t="s">
        <v>2256</v>
      </c>
      <c r="E935" s="275">
        <v>2727</v>
      </c>
      <c r="F935" s="272"/>
      <c r="G935" s="32" t="s">
        <v>434</v>
      </c>
      <c r="H935" s="32" t="s">
        <v>334</v>
      </c>
      <c r="I935" s="2">
        <f t="shared" si="28"/>
        <v>2727</v>
      </c>
      <c r="J935" s="42" t="str">
        <f t="shared" si="29"/>
        <v>13311</v>
      </c>
    </row>
    <row r="936" spans="1:10">
      <c r="A936" s="30">
        <v>46234</v>
      </c>
      <c r="B936" s="31" t="s">
        <v>1784</v>
      </c>
      <c r="C936" s="32" t="s">
        <v>252</v>
      </c>
      <c r="D936" s="19" t="s">
        <v>2256</v>
      </c>
      <c r="E936" s="275">
        <v>2727</v>
      </c>
      <c r="F936" s="272"/>
      <c r="G936" s="32" t="s">
        <v>434</v>
      </c>
      <c r="H936" s="32" t="s">
        <v>334</v>
      </c>
      <c r="I936" s="2">
        <f t="shared" si="28"/>
        <v>2727</v>
      </c>
      <c r="J936" s="42" t="str">
        <f t="shared" si="29"/>
        <v>13311</v>
      </c>
    </row>
    <row r="937" spans="1:10">
      <c r="A937" s="30">
        <v>46234</v>
      </c>
      <c r="B937" s="31" t="s">
        <v>1784</v>
      </c>
      <c r="C937" s="32" t="s">
        <v>252</v>
      </c>
      <c r="D937" s="19" t="s">
        <v>2256</v>
      </c>
      <c r="E937" s="275">
        <v>2727</v>
      </c>
      <c r="F937" s="272"/>
      <c r="G937" s="32" t="s">
        <v>434</v>
      </c>
      <c r="H937" s="32" t="s">
        <v>334</v>
      </c>
      <c r="I937" s="2">
        <f t="shared" si="28"/>
        <v>2727</v>
      </c>
      <c r="J937" s="42" t="str">
        <f t="shared" si="29"/>
        <v>13311</v>
      </c>
    </row>
    <row r="938" spans="1:10">
      <c r="A938" s="30">
        <v>46234</v>
      </c>
      <c r="B938" s="31" t="s">
        <v>1784</v>
      </c>
      <c r="C938" s="32" t="s">
        <v>252</v>
      </c>
      <c r="D938" s="19" t="s">
        <v>2256</v>
      </c>
      <c r="E938" s="275">
        <v>18182</v>
      </c>
      <c r="F938" s="272"/>
      <c r="G938" s="32" t="s">
        <v>434</v>
      </c>
      <c r="H938" s="32" t="s">
        <v>334</v>
      </c>
      <c r="I938" s="2">
        <f t="shared" si="28"/>
        <v>18182</v>
      </c>
      <c r="J938" s="42" t="str">
        <f t="shared" si="29"/>
        <v>13311</v>
      </c>
    </row>
    <row r="939" spans="1:10">
      <c r="A939" s="30">
        <v>46234</v>
      </c>
      <c r="B939" s="31" t="s">
        <v>1784</v>
      </c>
      <c r="C939" s="32" t="s">
        <v>252</v>
      </c>
      <c r="D939" s="19" t="s">
        <v>2256</v>
      </c>
      <c r="E939" s="275">
        <v>2727</v>
      </c>
      <c r="F939" s="272"/>
      <c r="G939" s="32" t="s">
        <v>434</v>
      </c>
      <c r="H939" s="32" t="s">
        <v>334</v>
      </c>
      <c r="I939" s="2">
        <f t="shared" si="28"/>
        <v>2727</v>
      </c>
      <c r="J939" s="42" t="str">
        <f t="shared" si="29"/>
        <v>13311</v>
      </c>
    </row>
    <row r="940" spans="1:10">
      <c r="A940" s="30">
        <v>46234</v>
      </c>
      <c r="B940" s="31" t="s">
        <v>1784</v>
      </c>
      <c r="C940" s="32" t="s">
        <v>252</v>
      </c>
      <c r="D940" s="19" t="s">
        <v>2256</v>
      </c>
      <c r="E940" s="275">
        <v>2727</v>
      </c>
      <c r="F940" s="272"/>
      <c r="G940" s="32" t="s">
        <v>434</v>
      </c>
      <c r="H940" s="32" t="s">
        <v>334</v>
      </c>
      <c r="I940" s="2">
        <f t="shared" si="28"/>
        <v>2727</v>
      </c>
      <c r="J940" s="42" t="str">
        <f t="shared" si="29"/>
        <v>13311</v>
      </c>
    </row>
    <row r="941" spans="1:10">
      <c r="A941" s="30">
        <v>46234</v>
      </c>
      <c r="B941" s="31" t="s">
        <v>1784</v>
      </c>
      <c r="C941" s="32" t="s">
        <v>252</v>
      </c>
      <c r="D941" s="19" t="s">
        <v>2256</v>
      </c>
      <c r="E941" s="275">
        <v>2727</v>
      </c>
      <c r="F941" s="272"/>
      <c r="G941" s="32" t="s">
        <v>434</v>
      </c>
      <c r="H941" s="32" t="s">
        <v>334</v>
      </c>
      <c r="I941" s="2">
        <f t="shared" si="28"/>
        <v>2727</v>
      </c>
      <c r="J941" s="42" t="str">
        <f t="shared" si="29"/>
        <v>13311</v>
      </c>
    </row>
    <row r="942" spans="1:10">
      <c r="A942" s="30">
        <v>46234</v>
      </c>
      <c r="B942" s="31" t="s">
        <v>1784</v>
      </c>
      <c r="C942" s="32" t="s">
        <v>252</v>
      </c>
      <c r="D942" s="19" t="s">
        <v>2256</v>
      </c>
      <c r="E942" s="275">
        <v>2727</v>
      </c>
      <c r="F942" s="272"/>
      <c r="G942" s="32" t="s">
        <v>434</v>
      </c>
      <c r="H942" s="32" t="s">
        <v>334</v>
      </c>
      <c r="I942" s="2">
        <f t="shared" si="28"/>
        <v>2727</v>
      </c>
      <c r="J942" s="42" t="str">
        <f t="shared" si="29"/>
        <v>13311</v>
      </c>
    </row>
    <row r="943" spans="1:10">
      <c r="A943" s="30">
        <v>46234</v>
      </c>
      <c r="B943" s="31" t="s">
        <v>1784</v>
      </c>
      <c r="C943" s="32" t="s">
        <v>252</v>
      </c>
      <c r="D943" s="19" t="s">
        <v>2256</v>
      </c>
      <c r="E943" s="275">
        <v>10909</v>
      </c>
      <c r="F943" s="272"/>
      <c r="G943" s="32" t="s">
        <v>434</v>
      </c>
      <c r="H943" s="32" t="s">
        <v>334</v>
      </c>
      <c r="I943" s="2">
        <f t="shared" si="28"/>
        <v>10909</v>
      </c>
      <c r="J943" s="42" t="str">
        <f t="shared" si="29"/>
        <v>13311</v>
      </c>
    </row>
    <row r="944" spans="1:10">
      <c r="A944" s="30">
        <v>46234</v>
      </c>
      <c r="B944" s="31" t="s">
        <v>1784</v>
      </c>
      <c r="C944" s="32" t="s">
        <v>252</v>
      </c>
      <c r="D944" s="19" t="s">
        <v>2256</v>
      </c>
      <c r="E944" s="275">
        <v>2727</v>
      </c>
      <c r="F944" s="272"/>
      <c r="G944" s="32" t="s">
        <v>434</v>
      </c>
      <c r="H944" s="32" t="s">
        <v>334</v>
      </c>
      <c r="I944" s="2">
        <f t="shared" si="28"/>
        <v>2727</v>
      </c>
      <c r="J944" s="42" t="str">
        <f t="shared" si="29"/>
        <v>13311</v>
      </c>
    </row>
    <row r="945" spans="1:10">
      <c r="A945" s="30">
        <v>46234</v>
      </c>
      <c r="B945" s="31" t="s">
        <v>1784</v>
      </c>
      <c r="C945" s="32" t="s">
        <v>252</v>
      </c>
      <c r="D945" s="19" t="s">
        <v>2256</v>
      </c>
      <c r="E945" s="275">
        <v>2727</v>
      </c>
      <c r="F945" s="272"/>
      <c r="G945" s="32" t="s">
        <v>434</v>
      </c>
      <c r="H945" s="32" t="s">
        <v>334</v>
      </c>
      <c r="I945" s="2">
        <f t="shared" si="28"/>
        <v>2727</v>
      </c>
      <c r="J945" s="42" t="str">
        <f t="shared" si="29"/>
        <v>13311</v>
      </c>
    </row>
    <row r="946" spans="1:10">
      <c r="A946" s="30">
        <v>46234</v>
      </c>
      <c r="B946" s="31" t="s">
        <v>1784</v>
      </c>
      <c r="C946" s="32" t="s">
        <v>252</v>
      </c>
      <c r="D946" s="19" t="s">
        <v>2264</v>
      </c>
      <c r="E946" s="275">
        <v>3665556</v>
      </c>
      <c r="F946" s="272"/>
      <c r="G946" s="32" t="s">
        <v>434</v>
      </c>
      <c r="H946" s="32" t="s">
        <v>334</v>
      </c>
      <c r="I946" s="2">
        <f t="shared" si="28"/>
        <v>3665556</v>
      </c>
      <c r="J946" s="42" t="str">
        <f t="shared" si="29"/>
        <v>13311</v>
      </c>
    </row>
    <row r="947" spans="1:10">
      <c r="A947" s="30">
        <v>46234</v>
      </c>
      <c r="B947" s="31" t="s">
        <v>1784</v>
      </c>
      <c r="C947" s="32" t="s">
        <v>252</v>
      </c>
      <c r="D947" s="19" t="s">
        <v>2265</v>
      </c>
      <c r="E947" s="275">
        <v>589630</v>
      </c>
      <c r="F947" s="272"/>
      <c r="G947" s="32" t="s">
        <v>434</v>
      </c>
      <c r="H947" s="32" t="s">
        <v>334</v>
      </c>
      <c r="I947" s="2">
        <f t="shared" si="28"/>
        <v>589630</v>
      </c>
      <c r="J947" s="42" t="str">
        <f t="shared" si="29"/>
        <v>13311</v>
      </c>
    </row>
    <row r="948" spans="1:10">
      <c r="A948" s="30">
        <v>46234</v>
      </c>
      <c r="B948" s="31" t="s">
        <v>1784</v>
      </c>
      <c r="C948" s="32" t="s">
        <v>252</v>
      </c>
      <c r="D948" s="19" t="s">
        <v>2266</v>
      </c>
      <c r="E948" s="275">
        <v>87778</v>
      </c>
      <c r="F948" s="272"/>
      <c r="G948" s="32" t="s">
        <v>434</v>
      </c>
      <c r="H948" s="32" t="s">
        <v>334</v>
      </c>
      <c r="I948" s="2">
        <f t="shared" si="28"/>
        <v>87778</v>
      </c>
      <c r="J948" s="42" t="str">
        <f t="shared" si="29"/>
        <v>13311</v>
      </c>
    </row>
    <row r="949" spans="1:10">
      <c r="A949" s="30">
        <v>46234</v>
      </c>
      <c r="B949" s="31" t="s">
        <v>1784</v>
      </c>
      <c r="C949" s="32" t="s">
        <v>252</v>
      </c>
      <c r="D949" s="19" t="s">
        <v>2266</v>
      </c>
      <c r="E949" s="275">
        <v>248668</v>
      </c>
      <c r="F949" s="272"/>
      <c r="G949" s="32" t="s">
        <v>434</v>
      </c>
      <c r="H949" s="32" t="s">
        <v>334</v>
      </c>
      <c r="I949" s="2">
        <f t="shared" si="28"/>
        <v>248668</v>
      </c>
      <c r="J949" s="42" t="str">
        <f t="shared" si="29"/>
        <v>13311</v>
      </c>
    </row>
    <row r="950" spans="1:10">
      <c r="A950" s="30">
        <v>46234</v>
      </c>
      <c r="B950" s="31" t="s">
        <v>1784</v>
      </c>
      <c r="C950" s="32" t="s">
        <v>252</v>
      </c>
      <c r="D950" s="19" t="s">
        <v>2265</v>
      </c>
      <c r="E950" s="275">
        <v>465185</v>
      </c>
      <c r="F950" s="272"/>
      <c r="G950" s="32" t="s">
        <v>434</v>
      </c>
      <c r="H950" s="32" t="s">
        <v>334</v>
      </c>
      <c r="I950" s="2">
        <f t="shared" si="28"/>
        <v>465185</v>
      </c>
      <c r="J950" s="42" t="str">
        <f t="shared" si="29"/>
        <v>13311</v>
      </c>
    </row>
    <row r="951" spans="1:10">
      <c r="A951" s="30">
        <v>46234</v>
      </c>
      <c r="B951" s="31" t="s">
        <v>1784</v>
      </c>
      <c r="C951" s="32" t="s">
        <v>252</v>
      </c>
      <c r="D951" s="19" t="s">
        <v>2265</v>
      </c>
      <c r="E951" s="275">
        <v>20000</v>
      </c>
      <c r="F951" s="272"/>
      <c r="G951" s="32" t="s">
        <v>434</v>
      </c>
      <c r="H951" s="32" t="s">
        <v>334</v>
      </c>
      <c r="I951" s="2">
        <f t="shared" si="28"/>
        <v>20000</v>
      </c>
      <c r="J951" s="42" t="str">
        <f t="shared" si="29"/>
        <v>13311</v>
      </c>
    </row>
    <row r="952" spans="1:10">
      <c r="A952" s="30">
        <v>46234</v>
      </c>
      <c r="B952" s="31" t="s">
        <v>1784</v>
      </c>
      <c r="C952" s="32" t="s">
        <v>252</v>
      </c>
      <c r="D952" s="19" t="s">
        <v>2267</v>
      </c>
      <c r="E952" s="275">
        <v>1688889</v>
      </c>
      <c r="F952" s="272"/>
      <c r="G952" s="32" t="s">
        <v>434</v>
      </c>
      <c r="H952" s="32" t="s">
        <v>334</v>
      </c>
      <c r="I952" s="2">
        <f t="shared" si="28"/>
        <v>1688889</v>
      </c>
      <c r="J952" s="42" t="str">
        <f t="shared" si="29"/>
        <v>13311</v>
      </c>
    </row>
    <row r="953" spans="1:10">
      <c r="A953" s="30">
        <v>46234</v>
      </c>
      <c r="B953" s="31" t="s">
        <v>1784</v>
      </c>
      <c r="C953" s="32" t="s">
        <v>252</v>
      </c>
      <c r="D953" s="19" t="s">
        <v>2265</v>
      </c>
      <c r="E953" s="275">
        <v>335680</v>
      </c>
      <c r="F953" s="272"/>
      <c r="G953" s="32" t="s">
        <v>434</v>
      </c>
      <c r="H953" s="32" t="s">
        <v>334</v>
      </c>
      <c r="I953" s="2">
        <f t="shared" si="28"/>
        <v>335680</v>
      </c>
      <c r="J953" s="42" t="str">
        <f t="shared" si="29"/>
        <v>13311</v>
      </c>
    </row>
    <row r="954" spans="1:10">
      <c r="A954" s="30">
        <v>46234</v>
      </c>
      <c r="B954" s="31" t="s">
        <v>1784</v>
      </c>
      <c r="C954" s="32" t="s">
        <v>252</v>
      </c>
      <c r="D954" s="19" t="s">
        <v>2265</v>
      </c>
      <c r="E954" s="275">
        <v>20000</v>
      </c>
      <c r="F954" s="272"/>
      <c r="G954" s="32" t="s">
        <v>434</v>
      </c>
      <c r="H954" s="32" t="s">
        <v>334</v>
      </c>
      <c r="I954" s="2">
        <f t="shared" si="28"/>
        <v>20000</v>
      </c>
      <c r="J954" s="42" t="str">
        <f t="shared" si="29"/>
        <v>13311</v>
      </c>
    </row>
    <row r="955" spans="1:10">
      <c r="A955" s="30">
        <v>46234</v>
      </c>
      <c r="B955" s="31" t="s">
        <v>1784</v>
      </c>
      <c r="C955" s="32" t="s">
        <v>252</v>
      </c>
      <c r="D955" s="19" t="s">
        <v>2265</v>
      </c>
      <c r="E955" s="275">
        <v>725200</v>
      </c>
      <c r="F955" s="272"/>
      <c r="G955" s="32" t="s">
        <v>434</v>
      </c>
      <c r="H955" s="32" t="s">
        <v>334</v>
      </c>
      <c r="I955" s="2">
        <f t="shared" si="28"/>
        <v>725200</v>
      </c>
      <c r="J955" s="42" t="str">
        <f t="shared" si="29"/>
        <v>13311</v>
      </c>
    </row>
    <row r="956" spans="1:10">
      <c r="A956" s="30">
        <v>46234</v>
      </c>
      <c r="B956" s="31" t="s">
        <v>1784</v>
      </c>
      <c r="C956" s="32" t="s">
        <v>252</v>
      </c>
      <c r="D956" s="19" t="s">
        <v>2265</v>
      </c>
      <c r="E956" s="275">
        <v>20000</v>
      </c>
      <c r="F956" s="272"/>
      <c r="G956" s="32" t="s">
        <v>434</v>
      </c>
      <c r="H956" s="32" t="s">
        <v>334</v>
      </c>
      <c r="I956" s="2">
        <f t="shared" si="28"/>
        <v>20000</v>
      </c>
      <c r="J956" s="42" t="str">
        <f t="shared" si="29"/>
        <v>13311</v>
      </c>
    </row>
    <row r="957" spans="1:10">
      <c r="A957" s="30">
        <v>46234</v>
      </c>
      <c r="B957" s="31" t="s">
        <v>1784</v>
      </c>
      <c r="C957" s="32" t="s">
        <v>252</v>
      </c>
      <c r="D957" s="19" t="s">
        <v>2268</v>
      </c>
      <c r="E957" s="275">
        <v>1904000</v>
      </c>
      <c r="F957" s="272"/>
      <c r="G957" s="32" t="s">
        <v>434</v>
      </c>
      <c r="H957" s="32" t="s">
        <v>334</v>
      </c>
      <c r="I957" s="2">
        <f t="shared" si="28"/>
        <v>1904000</v>
      </c>
      <c r="J957" s="42" t="str">
        <f t="shared" si="29"/>
        <v>13311</v>
      </c>
    </row>
    <row r="958" spans="1:10">
      <c r="A958" s="30">
        <v>46234</v>
      </c>
      <c r="B958" s="31" t="s">
        <v>1784</v>
      </c>
      <c r="C958" s="32" t="s">
        <v>252</v>
      </c>
      <c r="D958" s="19" t="s">
        <v>2269</v>
      </c>
      <c r="E958" s="275">
        <v>2913600</v>
      </c>
      <c r="F958" s="272"/>
      <c r="G958" s="32" t="s">
        <v>434</v>
      </c>
      <c r="H958" s="32" t="s">
        <v>334</v>
      </c>
      <c r="I958" s="2">
        <f t="shared" si="28"/>
        <v>2913600</v>
      </c>
      <c r="J958" s="42" t="str">
        <f t="shared" si="29"/>
        <v>13311</v>
      </c>
    </row>
    <row r="959" spans="1:10">
      <c r="A959" s="30">
        <v>46234</v>
      </c>
      <c r="B959" s="31" t="s">
        <v>1784</v>
      </c>
      <c r="C959" s="32" t="s">
        <v>252</v>
      </c>
      <c r="D959" s="19" t="s">
        <v>2265</v>
      </c>
      <c r="E959" s="275">
        <v>678519</v>
      </c>
      <c r="F959" s="272"/>
      <c r="G959" s="32" t="s">
        <v>434</v>
      </c>
      <c r="H959" s="32" t="s">
        <v>334</v>
      </c>
      <c r="I959" s="2">
        <f t="shared" si="28"/>
        <v>678519</v>
      </c>
      <c r="J959" s="42" t="str">
        <f t="shared" si="29"/>
        <v>13311</v>
      </c>
    </row>
    <row r="960" spans="1:10">
      <c r="A960" s="30">
        <v>46234</v>
      </c>
      <c r="B960" s="31" t="s">
        <v>1784</v>
      </c>
      <c r="C960" s="32" t="s">
        <v>252</v>
      </c>
      <c r="D960" s="19" t="s">
        <v>2265</v>
      </c>
      <c r="E960" s="275">
        <v>714074</v>
      </c>
      <c r="F960" s="272"/>
      <c r="G960" s="32" t="s">
        <v>434</v>
      </c>
      <c r="H960" s="32" t="s">
        <v>334</v>
      </c>
      <c r="I960" s="2">
        <f t="shared" si="28"/>
        <v>714074</v>
      </c>
      <c r="J960" s="42" t="str">
        <f t="shared" si="29"/>
        <v>13311</v>
      </c>
    </row>
    <row r="961" spans="1:10">
      <c r="A961" s="30">
        <v>46234</v>
      </c>
      <c r="B961" s="31" t="s">
        <v>1784</v>
      </c>
      <c r="C961" s="32" t="s">
        <v>252</v>
      </c>
      <c r="D961" s="19" t="s">
        <v>2265</v>
      </c>
      <c r="E961" s="275">
        <v>355440</v>
      </c>
      <c r="F961" s="272"/>
      <c r="G961" s="32" t="s">
        <v>434</v>
      </c>
      <c r="H961" s="32" t="s">
        <v>334</v>
      </c>
      <c r="I961" s="2">
        <f t="shared" si="28"/>
        <v>355440</v>
      </c>
      <c r="J961" s="42" t="str">
        <f t="shared" si="29"/>
        <v>13311</v>
      </c>
    </row>
    <row r="962" spans="1:10">
      <c r="A962" s="30">
        <v>46234</v>
      </c>
      <c r="B962" s="31" t="s">
        <v>1784</v>
      </c>
      <c r="C962" s="32" t="s">
        <v>252</v>
      </c>
      <c r="D962" s="19" t="s">
        <v>2265</v>
      </c>
      <c r="E962" s="275">
        <v>18000</v>
      </c>
      <c r="F962" s="272"/>
      <c r="G962" s="32" t="s">
        <v>434</v>
      </c>
      <c r="H962" s="32" t="s">
        <v>334</v>
      </c>
      <c r="I962" s="2">
        <f t="shared" si="28"/>
        <v>18000</v>
      </c>
      <c r="J962" s="42" t="str">
        <f t="shared" si="29"/>
        <v>13311</v>
      </c>
    </row>
    <row r="963" spans="1:10">
      <c r="A963" s="30">
        <v>46234</v>
      </c>
      <c r="B963" s="31" t="s">
        <v>1784</v>
      </c>
      <c r="C963" s="32" t="s">
        <v>252</v>
      </c>
      <c r="D963" s="19" t="s">
        <v>2265</v>
      </c>
      <c r="E963" s="275">
        <v>465360</v>
      </c>
      <c r="F963" s="272"/>
      <c r="G963" s="32" t="s">
        <v>434</v>
      </c>
      <c r="H963" s="32" t="s">
        <v>334</v>
      </c>
      <c r="I963" s="2">
        <f t="shared" si="28"/>
        <v>465360</v>
      </c>
      <c r="J963" s="42" t="str">
        <f t="shared" si="29"/>
        <v>13311</v>
      </c>
    </row>
    <row r="964" spans="1:10">
      <c r="A964" s="30">
        <v>46234</v>
      </c>
      <c r="B964" s="31" t="s">
        <v>1784</v>
      </c>
      <c r="C964" s="32" t="s">
        <v>252</v>
      </c>
      <c r="D964" s="19" t="s">
        <v>2265</v>
      </c>
      <c r="E964" s="275">
        <v>20000</v>
      </c>
      <c r="F964" s="272"/>
      <c r="G964" s="32" t="s">
        <v>434</v>
      </c>
      <c r="H964" s="32" t="s">
        <v>334</v>
      </c>
      <c r="I964" s="2">
        <f t="shared" si="28"/>
        <v>20000</v>
      </c>
      <c r="J964" s="42" t="str">
        <f t="shared" si="29"/>
        <v>13311</v>
      </c>
    </row>
    <row r="965" spans="1:10">
      <c r="A965" s="30">
        <v>46234</v>
      </c>
      <c r="B965" s="31" t="s">
        <v>1784</v>
      </c>
      <c r="C965" s="32" t="s">
        <v>252</v>
      </c>
      <c r="D965" s="19" t="s">
        <v>2265</v>
      </c>
      <c r="E965" s="275">
        <v>342519</v>
      </c>
      <c r="F965" s="272"/>
      <c r="G965" s="32" t="s">
        <v>434</v>
      </c>
      <c r="H965" s="32" t="s">
        <v>334</v>
      </c>
      <c r="I965" s="2">
        <f t="shared" si="28"/>
        <v>342519</v>
      </c>
      <c r="J965" s="42" t="str">
        <f t="shared" si="29"/>
        <v>13311</v>
      </c>
    </row>
    <row r="966" spans="1:10">
      <c r="A966" s="30">
        <v>46234</v>
      </c>
      <c r="B966" s="31" t="s">
        <v>1784</v>
      </c>
      <c r="C966" s="32" t="s">
        <v>252</v>
      </c>
      <c r="D966" s="19" t="s">
        <v>2265</v>
      </c>
      <c r="E966" s="275">
        <v>16000</v>
      </c>
      <c r="F966" s="272"/>
      <c r="G966" s="32" t="s">
        <v>434</v>
      </c>
      <c r="H966" s="32" t="s">
        <v>334</v>
      </c>
      <c r="I966" s="2">
        <f t="shared" si="28"/>
        <v>16000</v>
      </c>
      <c r="J966" s="42" t="str">
        <f t="shared" si="29"/>
        <v>13311</v>
      </c>
    </row>
    <row r="967" spans="1:10">
      <c r="A967" s="30">
        <v>46234</v>
      </c>
      <c r="B967" s="31" t="s">
        <v>1784</v>
      </c>
      <c r="C967" s="32" t="s">
        <v>252</v>
      </c>
      <c r="D967" s="19" t="s">
        <v>2265</v>
      </c>
      <c r="E967" s="275">
        <v>849778</v>
      </c>
      <c r="F967" s="272"/>
      <c r="G967" s="32" t="s">
        <v>434</v>
      </c>
      <c r="H967" s="32" t="s">
        <v>334</v>
      </c>
      <c r="I967" s="2">
        <f t="shared" si="28"/>
        <v>849778</v>
      </c>
      <c r="J967" s="42" t="str">
        <f t="shared" si="29"/>
        <v>13311</v>
      </c>
    </row>
    <row r="968" spans="1:10">
      <c r="A968" s="30">
        <v>46234</v>
      </c>
      <c r="B968" s="31" t="s">
        <v>1784</v>
      </c>
      <c r="C968" s="32" t="s">
        <v>252</v>
      </c>
      <c r="D968" s="19" t="s">
        <v>2265</v>
      </c>
      <c r="E968" s="275">
        <v>48000</v>
      </c>
      <c r="F968" s="272"/>
      <c r="G968" s="32" t="s">
        <v>434</v>
      </c>
      <c r="H968" s="32" t="s">
        <v>334</v>
      </c>
      <c r="I968" s="2">
        <f t="shared" si="28"/>
        <v>48000</v>
      </c>
      <c r="J968" s="42" t="str">
        <f t="shared" si="29"/>
        <v>13311</v>
      </c>
    </row>
    <row r="969" spans="1:10">
      <c r="A969" s="30">
        <v>46234</v>
      </c>
      <c r="B969" s="31" t="s">
        <v>1784</v>
      </c>
      <c r="C969" s="32" t="s">
        <v>252</v>
      </c>
      <c r="D969" s="19" t="s">
        <v>2265</v>
      </c>
      <c r="E969" s="275">
        <v>508960</v>
      </c>
      <c r="F969" s="272"/>
      <c r="G969" s="32" t="s">
        <v>434</v>
      </c>
      <c r="H969" s="32" t="s">
        <v>334</v>
      </c>
      <c r="I969" s="2">
        <f t="shared" si="28"/>
        <v>508960</v>
      </c>
      <c r="J969" s="42" t="str">
        <f t="shared" si="29"/>
        <v>13311</v>
      </c>
    </row>
    <row r="970" spans="1:10">
      <c r="A970" s="30">
        <v>46234</v>
      </c>
      <c r="B970" s="31" t="s">
        <v>1784</v>
      </c>
      <c r="C970" s="32" t="s">
        <v>252</v>
      </c>
      <c r="D970" s="19" t="s">
        <v>2265</v>
      </c>
      <c r="E970" s="275">
        <v>12000</v>
      </c>
      <c r="F970" s="272"/>
      <c r="G970" s="32" t="s">
        <v>434</v>
      </c>
      <c r="H970" s="32" t="s">
        <v>334</v>
      </c>
      <c r="I970" s="2">
        <f t="shared" si="28"/>
        <v>12000</v>
      </c>
      <c r="J970" s="42" t="str">
        <f t="shared" si="29"/>
        <v>13311</v>
      </c>
    </row>
    <row r="971" spans="1:10">
      <c r="A971" s="30">
        <v>46234</v>
      </c>
      <c r="B971" s="31" t="s">
        <v>1784</v>
      </c>
      <c r="C971" s="32" t="s">
        <v>252</v>
      </c>
      <c r="D971" s="19" t="s">
        <v>2265</v>
      </c>
      <c r="E971" s="275">
        <v>637037</v>
      </c>
      <c r="F971" s="272"/>
      <c r="G971" s="32" t="s">
        <v>434</v>
      </c>
      <c r="H971" s="32" t="s">
        <v>334</v>
      </c>
      <c r="I971" s="2">
        <f t="shared" ref="I971:I1034" si="30">IF(LEN(A971)=5,E971,0)</f>
        <v>637037</v>
      </c>
      <c r="J971" s="42" t="str">
        <f t="shared" ref="J971:J1034" si="31">IF(LEFT(A971,11)="Tài khoản: ",MID(A971,12,5),J970)</f>
        <v>13311</v>
      </c>
    </row>
    <row r="972" spans="1:10">
      <c r="A972" s="30">
        <v>46234</v>
      </c>
      <c r="B972" s="31" t="s">
        <v>1784</v>
      </c>
      <c r="C972" s="32" t="s">
        <v>252</v>
      </c>
      <c r="D972" s="19" t="s">
        <v>2265</v>
      </c>
      <c r="E972" s="275">
        <v>358000</v>
      </c>
      <c r="F972" s="272"/>
      <c r="G972" s="32" t="s">
        <v>434</v>
      </c>
      <c r="H972" s="32" t="s">
        <v>334</v>
      </c>
      <c r="I972" s="2">
        <f t="shared" si="30"/>
        <v>358000</v>
      </c>
      <c r="J972" s="42" t="str">
        <f t="shared" si="31"/>
        <v>13311</v>
      </c>
    </row>
    <row r="973" spans="1:10">
      <c r="A973" s="30">
        <v>46234</v>
      </c>
      <c r="B973" s="31" t="s">
        <v>1784</v>
      </c>
      <c r="C973" s="32" t="s">
        <v>252</v>
      </c>
      <c r="D973" s="19" t="s">
        <v>2265</v>
      </c>
      <c r="E973" s="275">
        <v>14400</v>
      </c>
      <c r="F973" s="272"/>
      <c r="G973" s="32" t="s">
        <v>434</v>
      </c>
      <c r="H973" s="32" t="s">
        <v>334</v>
      </c>
      <c r="I973" s="2">
        <f t="shared" si="30"/>
        <v>14400</v>
      </c>
      <c r="J973" s="42" t="str">
        <f t="shared" si="31"/>
        <v>13311</v>
      </c>
    </row>
    <row r="974" spans="1:10">
      <c r="A974" s="30">
        <v>46234</v>
      </c>
      <c r="B974" s="31" t="s">
        <v>1784</v>
      </c>
      <c r="C974" s="32" t="s">
        <v>252</v>
      </c>
      <c r="D974" s="19" t="s">
        <v>2270</v>
      </c>
      <c r="E974" s="275">
        <v>63000</v>
      </c>
      <c r="F974" s="272"/>
      <c r="G974" s="32" t="s">
        <v>434</v>
      </c>
      <c r="H974" s="32" t="s">
        <v>334</v>
      </c>
      <c r="I974" s="2">
        <f t="shared" si="30"/>
        <v>63000</v>
      </c>
      <c r="J974" s="42" t="str">
        <f t="shared" si="31"/>
        <v>13311</v>
      </c>
    </row>
    <row r="975" spans="1:10">
      <c r="A975" s="30">
        <v>46234</v>
      </c>
      <c r="B975" s="31" t="s">
        <v>1784</v>
      </c>
      <c r="C975" s="32" t="s">
        <v>252</v>
      </c>
      <c r="D975" s="19" t="s">
        <v>2270</v>
      </c>
      <c r="E975" s="275">
        <v>33333</v>
      </c>
      <c r="F975" s="272"/>
      <c r="G975" s="32" t="s">
        <v>434</v>
      </c>
      <c r="H975" s="32" t="s">
        <v>334</v>
      </c>
      <c r="I975" s="2">
        <f t="shared" si="30"/>
        <v>33333</v>
      </c>
      <c r="J975" s="42" t="str">
        <f t="shared" si="31"/>
        <v>13311</v>
      </c>
    </row>
    <row r="976" spans="1:10">
      <c r="A976" s="30">
        <v>46234</v>
      </c>
      <c r="B976" s="31" t="s">
        <v>1784</v>
      </c>
      <c r="C976" s="32" t="s">
        <v>252</v>
      </c>
      <c r="D976" s="19" t="s">
        <v>2270</v>
      </c>
      <c r="E976" s="275">
        <v>26667</v>
      </c>
      <c r="F976" s="272"/>
      <c r="G976" s="32" t="s">
        <v>434</v>
      </c>
      <c r="H976" s="32" t="s">
        <v>334</v>
      </c>
      <c r="I976" s="2">
        <f t="shared" si="30"/>
        <v>26667</v>
      </c>
      <c r="J976" s="42" t="str">
        <f t="shared" si="31"/>
        <v>13311</v>
      </c>
    </row>
    <row r="977" spans="1:10">
      <c r="A977" s="30">
        <v>46234</v>
      </c>
      <c r="B977" s="31" t="s">
        <v>1784</v>
      </c>
      <c r="C977" s="32" t="s">
        <v>252</v>
      </c>
      <c r="D977" s="19" t="s">
        <v>2270</v>
      </c>
      <c r="E977" s="275">
        <v>53333</v>
      </c>
      <c r="F977" s="272"/>
      <c r="G977" s="32" t="s">
        <v>434</v>
      </c>
      <c r="H977" s="32" t="s">
        <v>334</v>
      </c>
      <c r="I977" s="2">
        <f t="shared" si="30"/>
        <v>53333</v>
      </c>
      <c r="J977" s="42" t="str">
        <f t="shared" si="31"/>
        <v>13311</v>
      </c>
    </row>
    <row r="978" spans="1:10">
      <c r="A978" s="30">
        <v>46234</v>
      </c>
      <c r="B978" s="31" t="s">
        <v>1784</v>
      </c>
      <c r="C978" s="32" t="s">
        <v>252</v>
      </c>
      <c r="D978" s="19" t="s">
        <v>2271</v>
      </c>
      <c r="E978" s="275">
        <v>347760</v>
      </c>
      <c r="F978" s="272"/>
      <c r="G978" s="32" t="s">
        <v>434</v>
      </c>
      <c r="H978" s="32" t="s">
        <v>334</v>
      </c>
      <c r="I978" s="2">
        <f t="shared" si="30"/>
        <v>347760</v>
      </c>
      <c r="J978" s="42" t="str">
        <f t="shared" si="31"/>
        <v>13311</v>
      </c>
    </row>
    <row r="979" spans="1:10">
      <c r="A979" s="30">
        <v>46234</v>
      </c>
      <c r="B979" s="31" t="s">
        <v>1784</v>
      </c>
      <c r="C979" s="32" t="s">
        <v>252</v>
      </c>
      <c r="D979" s="19" t="s">
        <v>2271</v>
      </c>
      <c r="E979" s="275">
        <v>3000</v>
      </c>
      <c r="F979" s="272"/>
      <c r="G979" s="32" t="s">
        <v>434</v>
      </c>
      <c r="H979" s="32" t="s">
        <v>334</v>
      </c>
      <c r="I979" s="2">
        <f t="shared" si="30"/>
        <v>3000</v>
      </c>
      <c r="J979" s="42" t="str">
        <f t="shared" si="31"/>
        <v>13311</v>
      </c>
    </row>
    <row r="980" spans="1:10">
      <c r="A980" s="30">
        <v>46234</v>
      </c>
      <c r="B980" s="31" t="s">
        <v>1784</v>
      </c>
      <c r="C980" s="32" t="s">
        <v>252</v>
      </c>
      <c r="D980" s="19" t="s">
        <v>2272</v>
      </c>
      <c r="E980" s="275">
        <v>2667</v>
      </c>
      <c r="F980" s="272"/>
      <c r="G980" s="32" t="s">
        <v>434</v>
      </c>
      <c r="H980" s="32" t="s">
        <v>334</v>
      </c>
      <c r="I980" s="2">
        <f t="shared" si="30"/>
        <v>2667</v>
      </c>
      <c r="J980" s="42" t="str">
        <f t="shared" si="31"/>
        <v>13311</v>
      </c>
    </row>
    <row r="981" spans="1:10">
      <c r="A981" s="30">
        <v>46234</v>
      </c>
      <c r="B981" s="31" t="s">
        <v>1784</v>
      </c>
      <c r="C981" s="32" t="s">
        <v>252</v>
      </c>
      <c r="D981" s="19" t="s">
        <v>2272</v>
      </c>
      <c r="E981" s="275">
        <v>58519</v>
      </c>
      <c r="F981" s="272"/>
      <c r="G981" s="32" t="s">
        <v>434</v>
      </c>
      <c r="H981" s="32" t="s">
        <v>334</v>
      </c>
      <c r="I981" s="2">
        <f t="shared" si="30"/>
        <v>58519</v>
      </c>
      <c r="J981" s="42" t="str">
        <f t="shared" si="31"/>
        <v>13311</v>
      </c>
    </row>
    <row r="982" spans="1:10">
      <c r="A982" s="30">
        <v>46234</v>
      </c>
      <c r="B982" s="31" t="s">
        <v>1784</v>
      </c>
      <c r="C982" s="32" t="s">
        <v>252</v>
      </c>
      <c r="D982" s="19" t="s">
        <v>2272</v>
      </c>
      <c r="E982" s="275">
        <v>70370</v>
      </c>
      <c r="F982" s="272"/>
      <c r="G982" s="32" t="s">
        <v>434</v>
      </c>
      <c r="H982" s="32" t="s">
        <v>334</v>
      </c>
      <c r="I982" s="2">
        <f t="shared" si="30"/>
        <v>70370</v>
      </c>
      <c r="J982" s="42" t="str">
        <f t="shared" si="31"/>
        <v>13311</v>
      </c>
    </row>
    <row r="983" spans="1:10">
      <c r="A983" s="30">
        <v>46234</v>
      </c>
      <c r="B983" s="31" t="s">
        <v>1784</v>
      </c>
      <c r="C983" s="32" t="s">
        <v>252</v>
      </c>
      <c r="D983" s="19" t="s">
        <v>2273</v>
      </c>
      <c r="E983" s="275">
        <v>18182</v>
      </c>
      <c r="F983" s="272"/>
      <c r="G983" s="32" t="s">
        <v>434</v>
      </c>
      <c r="H983" s="32" t="s">
        <v>334</v>
      </c>
      <c r="I983" s="2">
        <f t="shared" si="30"/>
        <v>18182</v>
      </c>
      <c r="J983" s="42" t="str">
        <f t="shared" si="31"/>
        <v>13311</v>
      </c>
    </row>
    <row r="984" spans="1:10">
      <c r="A984" s="30">
        <v>46234</v>
      </c>
      <c r="B984" s="31" t="s">
        <v>1784</v>
      </c>
      <c r="C984" s="32" t="s">
        <v>252</v>
      </c>
      <c r="D984" s="19" t="s">
        <v>2271</v>
      </c>
      <c r="E984" s="275">
        <v>87840</v>
      </c>
      <c r="F984" s="272"/>
      <c r="G984" s="32" t="s">
        <v>434</v>
      </c>
      <c r="H984" s="32" t="s">
        <v>334</v>
      </c>
      <c r="I984" s="2">
        <f t="shared" si="30"/>
        <v>87840</v>
      </c>
      <c r="J984" s="42" t="str">
        <f t="shared" si="31"/>
        <v>13311</v>
      </c>
    </row>
    <row r="985" spans="1:10">
      <c r="A985" s="30">
        <v>46234</v>
      </c>
      <c r="B985" s="31" t="s">
        <v>1784</v>
      </c>
      <c r="C985" s="32" t="s">
        <v>252</v>
      </c>
      <c r="D985" s="19" t="s">
        <v>2271</v>
      </c>
      <c r="E985" s="275">
        <v>12000</v>
      </c>
      <c r="F985" s="272"/>
      <c r="G985" s="32" t="s">
        <v>434</v>
      </c>
      <c r="H985" s="32" t="s">
        <v>334</v>
      </c>
      <c r="I985" s="2">
        <f t="shared" si="30"/>
        <v>12000</v>
      </c>
      <c r="J985" s="42" t="str">
        <f t="shared" si="31"/>
        <v>13311</v>
      </c>
    </row>
    <row r="986" spans="1:10">
      <c r="A986" s="30">
        <v>46234</v>
      </c>
      <c r="B986" s="31" t="s">
        <v>1784</v>
      </c>
      <c r="C986" s="32" t="s">
        <v>252</v>
      </c>
      <c r="D986" s="19" t="s">
        <v>2258</v>
      </c>
      <c r="E986" s="275">
        <v>332480</v>
      </c>
      <c r="F986" s="272"/>
      <c r="G986" s="32" t="s">
        <v>434</v>
      </c>
      <c r="H986" s="32" t="s">
        <v>334</v>
      </c>
      <c r="I986" s="2">
        <f t="shared" si="30"/>
        <v>332480</v>
      </c>
      <c r="J986" s="42" t="str">
        <f t="shared" si="31"/>
        <v>13311</v>
      </c>
    </row>
    <row r="987" spans="1:10">
      <c r="A987" s="30">
        <v>46234</v>
      </c>
      <c r="B987" s="31" t="s">
        <v>1784</v>
      </c>
      <c r="C987" s="32" t="s">
        <v>252</v>
      </c>
      <c r="D987" s="19" t="s">
        <v>2258</v>
      </c>
      <c r="E987" s="275">
        <v>45000</v>
      </c>
      <c r="F987" s="272"/>
      <c r="G987" s="32" t="s">
        <v>434</v>
      </c>
      <c r="H987" s="32" t="s">
        <v>334</v>
      </c>
      <c r="I987" s="2">
        <f t="shared" si="30"/>
        <v>45000</v>
      </c>
      <c r="J987" s="42" t="str">
        <f t="shared" si="31"/>
        <v>13311</v>
      </c>
    </row>
    <row r="988" spans="1:10">
      <c r="A988" s="30">
        <v>46234</v>
      </c>
      <c r="B988" s="31" t="s">
        <v>1784</v>
      </c>
      <c r="C988" s="32" t="s">
        <v>252</v>
      </c>
      <c r="D988" s="19" t="s">
        <v>2258</v>
      </c>
      <c r="E988" s="275">
        <v>311520</v>
      </c>
      <c r="F988" s="272"/>
      <c r="G988" s="32" t="s">
        <v>434</v>
      </c>
      <c r="H988" s="32" t="s">
        <v>334</v>
      </c>
      <c r="I988" s="2">
        <f t="shared" si="30"/>
        <v>311520</v>
      </c>
      <c r="J988" s="42" t="str">
        <f t="shared" si="31"/>
        <v>13311</v>
      </c>
    </row>
    <row r="989" spans="1:10">
      <c r="A989" s="30">
        <v>46234</v>
      </c>
      <c r="B989" s="31" t="s">
        <v>1784</v>
      </c>
      <c r="C989" s="32" t="s">
        <v>252</v>
      </c>
      <c r="D989" s="19" t="s">
        <v>2258</v>
      </c>
      <c r="E989" s="275">
        <v>6400</v>
      </c>
      <c r="F989" s="272"/>
      <c r="G989" s="32" t="s">
        <v>434</v>
      </c>
      <c r="H989" s="32" t="s">
        <v>334</v>
      </c>
      <c r="I989" s="2">
        <f t="shared" si="30"/>
        <v>6400</v>
      </c>
      <c r="J989" s="42" t="str">
        <f t="shared" si="31"/>
        <v>13311</v>
      </c>
    </row>
    <row r="990" spans="1:10">
      <c r="A990" s="30">
        <v>46234</v>
      </c>
      <c r="B990" s="31" t="s">
        <v>1784</v>
      </c>
      <c r="C990" s="32" t="s">
        <v>252</v>
      </c>
      <c r="D990" s="19" t="s">
        <v>2258</v>
      </c>
      <c r="E990" s="275">
        <v>235920</v>
      </c>
      <c r="F990" s="272"/>
      <c r="G990" s="32" t="s">
        <v>434</v>
      </c>
      <c r="H990" s="32" t="s">
        <v>334</v>
      </c>
      <c r="I990" s="2">
        <f t="shared" si="30"/>
        <v>235920</v>
      </c>
      <c r="J990" s="42" t="str">
        <f t="shared" si="31"/>
        <v>13311</v>
      </c>
    </row>
    <row r="991" spans="1:10">
      <c r="A991" s="30">
        <v>46234</v>
      </c>
      <c r="B991" s="31" t="s">
        <v>1784</v>
      </c>
      <c r="C991" s="32" t="s">
        <v>252</v>
      </c>
      <c r="D991" s="19" t="s">
        <v>2258</v>
      </c>
      <c r="E991" s="275">
        <v>6000</v>
      </c>
      <c r="F991" s="272"/>
      <c r="G991" s="32" t="s">
        <v>434</v>
      </c>
      <c r="H991" s="32" t="s">
        <v>334</v>
      </c>
      <c r="I991" s="2">
        <f t="shared" si="30"/>
        <v>6000</v>
      </c>
      <c r="J991" s="42" t="str">
        <f t="shared" si="31"/>
        <v>13311</v>
      </c>
    </row>
    <row r="992" spans="1:10">
      <c r="A992" s="30">
        <v>46234</v>
      </c>
      <c r="B992" s="31" t="s">
        <v>1784</v>
      </c>
      <c r="C992" s="32" t="s">
        <v>252</v>
      </c>
      <c r="D992" s="19" t="s">
        <v>2271</v>
      </c>
      <c r="E992" s="275">
        <v>359840</v>
      </c>
      <c r="F992" s="272"/>
      <c r="G992" s="32" t="s">
        <v>434</v>
      </c>
      <c r="H992" s="32" t="s">
        <v>334</v>
      </c>
      <c r="I992" s="2">
        <f t="shared" si="30"/>
        <v>359840</v>
      </c>
      <c r="J992" s="42" t="str">
        <f t="shared" si="31"/>
        <v>13311</v>
      </c>
    </row>
    <row r="993" spans="1:10">
      <c r="A993" s="30">
        <v>46234</v>
      </c>
      <c r="B993" s="31" t="s">
        <v>1784</v>
      </c>
      <c r="C993" s="32" t="s">
        <v>252</v>
      </c>
      <c r="D993" s="19" t="s">
        <v>2271</v>
      </c>
      <c r="E993" s="275">
        <v>12000</v>
      </c>
      <c r="F993" s="272"/>
      <c r="G993" s="32" t="s">
        <v>434</v>
      </c>
      <c r="H993" s="32" t="s">
        <v>334</v>
      </c>
      <c r="I993" s="2">
        <f t="shared" si="30"/>
        <v>12000</v>
      </c>
      <c r="J993" s="42" t="str">
        <f t="shared" si="31"/>
        <v>13311</v>
      </c>
    </row>
    <row r="994" spans="1:10">
      <c r="A994" s="30">
        <v>46234</v>
      </c>
      <c r="B994" s="31" t="s">
        <v>1784</v>
      </c>
      <c r="C994" s="32" t="s">
        <v>252</v>
      </c>
      <c r="D994" s="19" t="s">
        <v>2271</v>
      </c>
      <c r="E994" s="275">
        <v>234560</v>
      </c>
      <c r="F994" s="272"/>
      <c r="G994" s="32" t="s">
        <v>434</v>
      </c>
      <c r="H994" s="32" t="s">
        <v>334</v>
      </c>
      <c r="I994" s="2">
        <f t="shared" si="30"/>
        <v>234560</v>
      </c>
      <c r="J994" s="42" t="str">
        <f t="shared" si="31"/>
        <v>13311</v>
      </c>
    </row>
    <row r="995" spans="1:10">
      <c r="A995" s="30">
        <v>46234</v>
      </c>
      <c r="B995" s="31" t="s">
        <v>1784</v>
      </c>
      <c r="C995" s="32" t="s">
        <v>252</v>
      </c>
      <c r="D995" s="19" t="s">
        <v>2271</v>
      </c>
      <c r="E995" s="275">
        <v>10500</v>
      </c>
      <c r="F995" s="272"/>
      <c r="G995" s="32" t="s">
        <v>434</v>
      </c>
      <c r="H995" s="32" t="s">
        <v>334</v>
      </c>
      <c r="I995" s="2">
        <f t="shared" si="30"/>
        <v>10500</v>
      </c>
      <c r="J995" s="42" t="str">
        <f t="shared" si="31"/>
        <v>13311</v>
      </c>
    </row>
    <row r="996" spans="1:10">
      <c r="A996" s="30">
        <v>46234</v>
      </c>
      <c r="B996" s="31" t="s">
        <v>1784</v>
      </c>
      <c r="C996" s="32" t="s">
        <v>252</v>
      </c>
      <c r="D996" s="19" t="s">
        <v>2274</v>
      </c>
      <c r="E996" s="275">
        <v>299698</v>
      </c>
      <c r="F996" s="272"/>
      <c r="G996" s="32" t="s">
        <v>434</v>
      </c>
      <c r="H996" s="32" t="s">
        <v>334</v>
      </c>
      <c r="I996" s="2">
        <f t="shared" si="30"/>
        <v>299698</v>
      </c>
      <c r="J996" s="42" t="str">
        <f t="shared" si="31"/>
        <v>13311</v>
      </c>
    </row>
    <row r="997" spans="1:10">
      <c r="A997" s="30">
        <v>46234</v>
      </c>
      <c r="B997" s="31" t="s">
        <v>1784</v>
      </c>
      <c r="C997" s="32" t="s">
        <v>252</v>
      </c>
      <c r="D997" s="19" t="s">
        <v>2274</v>
      </c>
      <c r="E997" s="275">
        <v>553927</v>
      </c>
      <c r="F997" s="272"/>
      <c r="G997" s="32" t="s">
        <v>434</v>
      </c>
      <c r="H997" s="32" t="s">
        <v>334</v>
      </c>
      <c r="I997" s="2">
        <f t="shared" si="30"/>
        <v>553927</v>
      </c>
      <c r="J997" s="42" t="str">
        <f t="shared" si="31"/>
        <v>13311</v>
      </c>
    </row>
    <row r="998" spans="1:10">
      <c r="A998" s="30">
        <v>46234</v>
      </c>
      <c r="B998" s="31" t="s">
        <v>1784</v>
      </c>
      <c r="C998" s="32" t="s">
        <v>252</v>
      </c>
      <c r="D998" s="19" t="s">
        <v>2274</v>
      </c>
      <c r="E998" s="275">
        <v>165795</v>
      </c>
      <c r="F998" s="272"/>
      <c r="G998" s="32" t="s">
        <v>434</v>
      </c>
      <c r="H998" s="32" t="s">
        <v>334</v>
      </c>
      <c r="I998" s="2">
        <f t="shared" si="30"/>
        <v>165795</v>
      </c>
      <c r="J998" s="42" t="str">
        <f t="shared" si="31"/>
        <v>13311</v>
      </c>
    </row>
    <row r="999" spans="1:10">
      <c r="A999" s="30">
        <v>46234</v>
      </c>
      <c r="B999" s="31" t="s">
        <v>1784</v>
      </c>
      <c r="C999" s="32" t="s">
        <v>252</v>
      </c>
      <c r="D999" s="19" t="s">
        <v>2274</v>
      </c>
      <c r="E999" s="275">
        <v>4170702</v>
      </c>
      <c r="F999" s="272"/>
      <c r="G999" s="32" t="s">
        <v>434</v>
      </c>
      <c r="H999" s="32" t="s">
        <v>334</v>
      </c>
      <c r="I999" s="2">
        <f t="shared" si="30"/>
        <v>4170702</v>
      </c>
      <c r="J999" s="42" t="str">
        <f t="shared" si="31"/>
        <v>13311</v>
      </c>
    </row>
    <row r="1000" spans="1:10">
      <c r="A1000" s="30">
        <v>46234</v>
      </c>
      <c r="B1000" s="31" t="s">
        <v>1784</v>
      </c>
      <c r="C1000" s="32" t="s">
        <v>252</v>
      </c>
      <c r="D1000" s="19" t="s">
        <v>2274</v>
      </c>
      <c r="E1000" s="275">
        <v>698074</v>
      </c>
      <c r="F1000" s="272"/>
      <c r="G1000" s="32" t="s">
        <v>434</v>
      </c>
      <c r="H1000" s="32" t="s">
        <v>334</v>
      </c>
      <c r="I1000" s="2">
        <f t="shared" si="30"/>
        <v>698074</v>
      </c>
      <c r="J1000" s="42" t="str">
        <f t="shared" si="31"/>
        <v>13311</v>
      </c>
    </row>
    <row r="1001" spans="1:10">
      <c r="A1001" s="30">
        <v>46234</v>
      </c>
      <c r="B1001" s="31" t="s">
        <v>1784</v>
      </c>
      <c r="C1001" s="32" t="s">
        <v>252</v>
      </c>
      <c r="D1001" s="19" t="s">
        <v>2274</v>
      </c>
      <c r="E1001" s="275">
        <v>498704</v>
      </c>
      <c r="F1001" s="272"/>
      <c r="G1001" s="32" t="s">
        <v>434</v>
      </c>
      <c r="H1001" s="32" t="s">
        <v>334</v>
      </c>
      <c r="I1001" s="2">
        <f t="shared" si="30"/>
        <v>498704</v>
      </c>
      <c r="J1001" s="42" t="str">
        <f t="shared" si="31"/>
        <v>13311</v>
      </c>
    </row>
    <row r="1002" spans="1:10">
      <c r="A1002" s="30">
        <v>46234</v>
      </c>
      <c r="B1002" s="31" t="s">
        <v>1784</v>
      </c>
      <c r="C1002" s="32" t="s">
        <v>252</v>
      </c>
      <c r="D1002" s="19" t="s">
        <v>2274</v>
      </c>
      <c r="E1002" s="275">
        <v>801805</v>
      </c>
      <c r="F1002" s="272"/>
      <c r="G1002" s="32" t="s">
        <v>434</v>
      </c>
      <c r="H1002" s="32" t="s">
        <v>334</v>
      </c>
      <c r="I1002" s="2">
        <f t="shared" si="30"/>
        <v>801805</v>
      </c>
      <c r="J1002" s="42" t="str">
        <f t="shared" si="31"/>
        <v>13311</v>
      </c>
    </row>
    <row r="1003" spans="1:10">
      <c r="A1003" s="30">
        <v>46234</v>
      </c>
      <c r="B1003" s="31" t="s">
        <v>1784</v>
      </c>
      <c r="C1003" s="32" t="s">
        <v>252</v>
      </c>
      <c r="D1003" s="19" t="s">
        <v>2274</v>
      </c>
      <c r="E1003" s="275">
        <v>952964</v>
      </c>
      <c r="F1003" s="272"/>
      <c r="G1003" s="32" t="s">
        <v>434</v>
      </c>
      <c r="H1003" s="32" t="s">
        <v>334</v>
      </c>
      <c r="I1003" s="2">
        <f t="shared" si="30"/>
        <v>952964</v>
      </c>
      <c r="J1003" s="42" t="str">
        <f t="shared" si="31"/>
        <v>13311</v>
      </c>
    </row>
    <row r="1004" spans="1:10">
      <c r="A1004" s="30">
        <v>46234</v>
      </c>
      <c r="B1004" s="31" t="s">
        <v>1784</v>
      </c>
      <c r="C1004" s="32" t="s">
        <v>252</v>
      </c>
      <c r="D1004" s="19" t="s">
        <v>2274</v>
      </c>
      <c r="E1004" s="275">
        <v>1948821</v>
      </c>
      <c r="F1004" s="272"/>
      <c r="G1004" s="32" t="s">
        <v>434</v>
      </c>
      <c r="H1004" s="32" t="s">
        <v>334</v>
      </c>
      <c r="I1004" s="2">
        <f t="shared" si="30"/>
        <v>1948821</v>
      </c>
      <c r="J1004" s="42" t="str">
        <f t="shared" si="31"/>
        <v>13311</v>
      </c>
    </row>
    <row r="1005" spans="1:10">
      <c r="A1005" s="30">
        <v>46234</v>
      </c>
      <c r="B1005" s="31" t="s">
        <v>1784</v>
      </c>
      <c r="C1005" s="32" t="s">
        <v>252</v>
      </c>
      <c r="D1005" s="19" t="s">
        <v>2275</v>
      </c>
      <c r="E1005" s="275">
        <v>661290</v>
      </c>
      <c r="F1005" s="272"/>
      <c r="G1005" s="32" t="s">
        <v>434</v>
      </c>
      <c r="H1005" s="32" t="s">
        <v>334</v>
      </c>
      <c r="I1005" s="2">
        <f t="shared" si="30"/>
        <v>661290</v>
      </c>
      <c r="J1005" s="42" t="str">
        <f t="shared" si="31"/>
        <v>13311</v>
      </c>
    </row>
    <row r="1006" spans="1:10">
      <c r="A1006" s="30">
        <v>46234</v>
      </c>
      <c r="B1006" s="31" t="s">
        <v>1784</v>
      </c>
      <c r="C1006" s="32" t="s">
        <v>252</v>
      </c>
      <c r="D1006" s="19" t="s">
        <v>2275</v>
      </c>
      <c r="E1006" s="275">
        <v>487398</v>
      </c>
      <c r="F1006" s="272"/>
      <c r="G1006" s="32" t="s">
        <v>434</v>
      </c>
      <c r="H1006" s="32" t="s">
        <v>334</v>
      </c>
      <c r="I1006" s="2">
        <f t="shared" si="30"/>
        <v>487398</v>
      </c>
      <c r="J1006" s="42" t="str">
        <f t="shared" si="31"/>
        <v>13311</v>
      </c>
    </row>
    <row r="1007" spans="1:10">
      <c r="A1007" s="30">
        <v>46234</v>
      </c>
      <c r="B1007" s="31" t="s">
        <v>1784</v>
      </c>
      <c r="C1007" s="32" t="s">
        <v>252</v>
      </c>
      <c r="D1007" s="19" t="s">
        <v>2275</v>
      </c>
      <c r="E1007" s="275">
        <v>187600</v>
      </c>
      <c r="F1007" s="272"/>
      <c r="G1007" s="32" t="s">
        <v>434</v>
      </c>
      <c r="H1007" s="32" t="s">
        <v>334</v>
      </c>
      <c r="I1007" s="2">
        <f t="shared" si="30"/>
        <v>187600</v>
      </c>
      <c r="J1007" s="42" t="str">
        <f t="shared" si="31"/>
        <v>13311</v>
      </c>
    </row>
    <row r="1008" spans="1:10">
      <c r="A1008" s="30">
        <v>46234</v>
      </c>
      <c r="B1008" s="31" t="s">
        <v>1784</v>
      </c>
      <c r="C1008" s="32" t="s">
        <v>252</v>
      </c>
      <c r="D1008" s="19" t="s">
        <v>2275</v>
      </c>
      <c r="E1008" s="275">
        <v>138199</v>
      </c>
      <c r="F1008" s="272"/>
      <c r="G1008" s="32" t="s">
        <v>434</v>
      </c>
      <c r="H1008" s="32" t="s">
        <v>334</v>
      </c>
      <c r="I1008" s="2">
        <f t="shared" si="30"/>
        <v>138199</v>
      </c>
      <c r="J1008" s="42" t="str">
        <f t="shared" si="31"/>
        <v>13311</v>
      </c>
    </row>
    <row r="1009" spans="1:10">
      <c r="A1009" s="30">
        <v>46234</v>
      </c>
      <c r="B1009" s="31" t="s">
        <v>1784</v>
      </c>
      <c r="C1009" s="32" t="s">
        <v>252</v>
      </c>
      <c r="D1009" s="19" t="s">
        <v>2275</v>
      </c>
      <c r="E1009" s="275">
        <v>48240</v>
      </c>
      <c r="F1009" s="272"/>
      <c r="G1009" s="32" t="s">
        <v>434</v>
      </c>
      <c r="H1009" s="32" t="s">
        <v>334</v>
      </c>
      <c r="I1009" s="2">
        <f t="shared" si="30"/>
        <v>48240</v>
      </c>
      <c r="J1009" s="42" t="str">
        <f t="shared" si="31"/>
        <v>13311</v>
      </c>
    </row>
    <row r="1010" spans="1:10">
      <c r="A1010" s="30">
        <v>46234</v>
      </c>
      <c r="B1010" s="31" t="s">
        <v>1784</v>
      </c>
      <c r="C1010" s="32" t="s">
        <v>252</v>
      </c>
      <c r="D1010" s="19" t="s">
        <v>2258</v>
      </c>
      <c r="E1010" s="275">
        <v>5819</v>
      </c>
      <c r="F1010" s="272"/>
      <c r="G1010" s="32" t="s">
        <v>434</v>
      </c>
      <c r="H1010" s="32" t="s">
        <v>334</v>
      </c>
      <c r="I1010" s="2">
        <f t="shared" si="30"/>
        <v>5819</v>
      </c>
      <c r="J1010" s="42" t="str">
        <f t="shared" si="31"/>
        <v>13311</v>
      </c>
    </row>
    <row r="1011" spans="1:10">
      <c r="A1011" s="30">
        <v>46234</v>
      </c>
      <c r="B1011" s="31" t="s">
        <v>1784</v>
      </c>
      <c r="C1011" s="32" t="s">
        <v>252</v>
      </c>
      <c r="D1011" s="19" t="s">
        <v>2258</v>
      </c>
      <c r="E1011" s="275">
        <v>291851</v>
      </c>
      <c r="F1011" s="272"/>
      <c r="G1011" s="32" t="s">
        <v>434</v>
      </c>
      <c r="H1011" s="32" t="s">
        <v>334</v>
      </c>
      <c r="I1011" s="2">
        <f t="shared" si="30"/>
        <v>291851</v>
      </c>
      <c r="J1011" s="42" t="str">
        <f t="shared" si="31"/>
        <v>13311</v>
      </c>
    </row>
    <row r="1012" spans="1:10">
      <c r="A1012" s="30">
        <v>46234</v>
      </c>
      <c r="B1012" s="31" t="s">
        <v>1784</v>
      </c>
      <c r="C1012" s="32" t="s">
        <v>252</v>
      </c>
      <c r="D1012" s="19" t="s">
        <v>2258</v>
      </c>
      <c r="E1012" s="275">
        <v>5455</v>
      </c>
      <c r="F1012" s="272"/>
      <c r="G1012" s="32" t="s">
        <v>434</v>
      </c>
      <c r="H1012" s="32" t="s">
        <v>334</v>
      </c>
      <c r="I1012" s="2">
        <f t="shared" si="30"/>
        <v>5455</v>
      </c>
      <c r="J1012" s="42" t="str">
        <f t="shared" si="31"/>
        <v>13311</v>
      </c>
    </row>
    <row r="1013" spans="1:10">
      <c r="A1013" s="30">
        <v>46234</v>
      </c>
      <c r="B1013" s="31" t="s">
        <v>1784</v>
      </c>
      <c r="C1013" s="32" t="s">
        <v>252</v>
      </c>
      <c r="D1013" s="19" t="s">
        <v>2258</v>
      </c>
      <c r="E1013" s="275">
        <v>295333</v>
      </c>
      <c r="F1013" s="272"/>
      <c r="G1013" s="32" t="s">
        <v>434</v>
      </c>
      <c r="H1013" s="32" t="s">
        <v>334</v>
      </c>
      <c r="I1013" s="2">
        <f t="shared" si="30"/>
        <v>295333</v>
      </c>
      <c r="J1013" s="42" t="str">
        <f t="shared" si="31"/>
        <v>13311</v>
      </c>
    </row>
    <row r="1014" spans="1:10">
      <c r="A1014" s="30">
        <v>46234</v>
      </c>
      <c r="B1014" s="31" t="s">
        <v>1784</v>
      </c>
      <c r="C1014" s="32" t="s">
        <v>252</v>
      </c>
      <c r="D1014" s="19" t="s">
        <v>2258</v>
      </c>
      <c r="E1014" s="275">
        <v>6818</v>
      </c>
      <c r="F1014" s="272"/>
      <c r="G1014" s="32" t="s">
        <v>434</v>
      </c>
      <c r="H1014" s="32" t="s">
        <v>334</v>
      </c>
      <c r="I1014" s="2">
        <f t="shared" si="30"/>
        <v>6818</v>
      </c>
      <c r="J1014" s="42" t="str">
        <f t="shared" si="31"/>
        <v>13311</v>
      </c>
    </row>
    <row r="1015" spans="1:10">
      <c r="A1015" s="30">
        <v>46234</v>
      </c>
      <c r="B1015" s="31" t="s">
        <v>1784</v>
      </c>
      <c r="C1015" s="32" t="s">
        <v>252</v>
      </c>
      <c r="D1015" s="19" t="s">
        <v>2276</v>
      </c>
      <c r="E1015" s="275">
        <v>2957653</v>
      </c>
      <c r="F1015" s="272"/>
      <c r="G1015" s="32" t="s">
        <v>434</v>
      </c>
      <c r="H1015" s="32" t="s">
        <v>334</v>
      </c>
      <c r="I1015" s="2">
        <f t="shared" si="30"/>
        <v>2957653</v>
      </c>
      <c r="J1015" s="42" t="str">
        <f t="shared" si="31"/>
        <v>13311</v>
      </c>
    </row>
    <row r="1016" spans="1:10">
      <c r="A1016" s="30">
        <v>46234</v>
      </c>
      <c r="B1016" s="31" t="s">
        <v>1784</v>
      </c>
      <c r="C1016" s="32" t="s">
        <v>252</v>
      </c>
      <c r="D1016" s="19" t="s">
        <v>2258</v>
      </c>
      <c r="E1016" s="275">
        <v>687407</v>
      </c>
      <c r="F1016" s="272"/>
      <c r="G1016" s="32" t="s">
        <v>434</v>
      </c>
      <c r="H1016" s="32" t="s">
        <v>334</v>
      </c>
      <c r="I1016" s="2">
        <f t="shared" si="30"/>
        <v>687407</v>
      </c>
      <c r="J1016" s="42" t="str">
        <f t="shared" si="31"/>
        <v>13311</v>
      </c>
    </row>
    <row r="1017" spans="1:10">
      <c r="A1017" s="30">
        <v>46234</v>
      </c>
      <c r="B1017" s="31" t="s">
        <v>1784</v>
      </c>
      <c r="C1017" s="32" t="s">
        <v>252</v>
      </c>
      <c r="D1017" s="19" t="s">
        <v>2258</v>
      </c>
      <c r="E1017" s="275">
        <v>12000</v>
      </c>
      <c r="F1017" s="272"/>
      <c r="G1017" s="32" t="s">
        <v>434</v>
      </c>
      <c r="H1017" s="32" t="s">
        <v>334</v>
      </c>
      <c r="I1017" s="2">
        <f t="shared" si="30"/>
        <v>12000</v>
      </c>
      <c r="J1017" s="42" t="str">
        <f t="shared" si="31"/>
        <v>13311</v>
      </c>
    </row>
    <row r="1018" spans="1:10">
      <c r="A1018" s="30">
        <v>46234</v>
      </c>
      <c r="B1018" s="31" t="s">
        <v>1784</v>
      </c>
      <c r="C1018" s="32" t="s">
        <v>252</v>
      </c>
      <c r="D1018" s="19" t="s">
        <v>2277</v>
      </c>
      <c r="E1018" s="275">
        <v>3679264</v>
      </c>
      <c r="F1018" s="272"/>
      <c r="G1018" s="32" t="s">
        <v>434</v>
      </c>
      <c r="H1018" s="32" t="s">
        <v>334</v>
      </c>
      <c r="I1018" s="2">
        <f t="shared" si="30"/>
        <v>3679264</v>
      </c>
      <c r="J1018" s="42" t="str">
        <f t="shared" si="31"/>
        <v>13311</v>
      </c>
    </row>
    <row r="1019" spans="1:10">
      <c r="A1019" s="30">
        <v>46234</v>
      </c>
      <c r="B1019" s="31" t="s">
        <v>1784</v>
      </c>
      <c r="C1019" s="32" t="s">
        <v>252</v>
      </c>
      <c r="D1019" s="19" t="s">
        <v>2278</v>
      </c>
      <c r="E1019" s="275">
        <v>111200</v>
      </c>
      <c r="F1019" s="272"/>
      <c r="G1019" s="32" t="s">
        <v>434</v>
      </c>
      <c r="H1019" s="32" t="s">
        <v>334</v>
      </c>
      <c r="I1019" s="2">
        <f t="shared" si="30"/>
        <v>111200</v>
      </c>
      <c r="J1019" s="42" t="str">
        <f t="shared" si="31"/>
        <v>13311</v>
      </c>
    </row>
    <row r="1020" spans="1:10">
      <c r="A1020" s="30">
        <v>46234</v>
      </c>
      <c r="B1020" s="31" t="s">
        <v>1784</v>
      </c>
      <c r="C1020" s="32" t="s">
        <v>252</v>
      </c>
      <c r="D1020" s="19" t="s">
        <v>2279</v>
      </c>
      <c r="E1020" s="275">
        <v>175560</v>
      </c>
      <c r="F1020" s="272"/>
      <c r="G1020" s="32" t="s">
        <v>434</v>
      </c>
      <c r="H1020" s="32" t="s">
        <v>334</v>
      </c>
      <c r="I1020" s="2">
        <f t="shared" si="30"/>
        <v>175560</v>
      </c>
      <c r="J1020" s="42" t="str">
        <f t="shared" si="31"/>
        <v>13311</v>
      </c>
    </row>
    <row r="1021" spans="1:10">
      <c r="A1021" s="30">
        <v>46234</v>
      </c>
      <c r="B1021" s="31" t="s">
        <v>1784</v>
      </c>
      <c r="C1021" s="32" t="s">
        <v>252</v>
      </c>
      <c r="D1021" s="19" t="s">
        <v>2280</v>
      </c>
      <c r="E1021" s="275">
        <v>94815</v>
      </c>
      <c r="F1021" s="272"/>
      <c r="G1021" s="32" t="s">
        <v>434</v>
      </c>
      <c r="H1021" s="32" t="s">
        <v>334</v>
      </c>
      <c r="I1021" s="2">
        <f t="shared" si="30"/>
        <v>94815</v>
      </c>
      <c r="J1021" s="42" t="str">
        <f t="shared" si="31"/>
        <v>13311</v>
      </c>
    </row>
    <row r="1022" spans="1:10">
      <c r="A1022" s="30">
        <v>46234</v>
      </c>
      <c r="B1022" s="31" t="s">
        <v>1784</v>
      </c>
      <c r="C1022" s="32" t="s">
        <v>252</v>
      </c>
      <c r="D1022" s="19" t="s">
        <v>2281</v>
      </c>
      <c r="E1022" s="275">
        <v>50298</v>
      </c>
      <c r="F1022" s="272"/>
      <c r="G1022" s="32" t="s">
        <v>434</v>
      </c>
      <c r="H1022" s="32" t="s">
        <v>334</v>
      </c>
      <c r="I1022" s="2">
        <f t="shared" si="30"/>
        <v>50298</v>
      </c>
      <c r="J1022" s="42" t="str">
        <f t="shared" si="31"/>
        <v>13311</v>
      </c>
    </row>
    <row r="1023" spans="1:10">
      <c r="A1023" s="30">
        <v>46234</v>
      </c>
      <c r="B1023" s="31" t="s">
        <v>1784</v>
      </c>
      <c r="C1023" s="32" t="s">
        <v>252</v>
      </c>
      <c r="D1023" s="19" t="s">
        <v>2281</v>
      </c>
      <c r="E1023" s="275">
        <v>45955</v>
      </c>
      <c r="F1023" s="272"/>
      <c r="G1023" s="32" t="s">
        <v>434</v>
      </c>
      <c r="H1023" s="32" t="s">
        <v>334</v>
      </c>
      <c r="I1023" s="2">
        <f t="shared" si="30"/>
        <v>45955</v>
      </c>
      <c r="J1023" s="42" t="str">
        <f t="shared" si="31"/>
        <v>13311</v>
      </c>
    </row>
    <row r="1024" spans="1:10">
      <c r="A1024" s="30">
        <v>46234</v>
      </c>
      <c r="B1024" s="31" t="s">
        <v>1784</v>
      </c>
      <c r="C1024" s="32" t="s">
        <v>252</v>
      </c>
      <c r="D1024" s="19" t="s">
        <v>2282</v>
      </c>
      <c r="E1024" s="275">
        <v>1025600</v>
      </c>
      <c r="F1024" s="272"/>
      <c r="G1024" s="32" t="s">
        <v>434</v>
      </c>
      <c r="H1024" s="32" t="s">
        <v>334</v>
      </c>
      <c r="I1024" s="2">
        <f t="shared" si="30"/>
        <v>1025600</v>
      </c>
      <c r="J1024" s="42" t="str">
        <f t="shared" si="31"/>
        <v>13311</v>
      </c>
    </row>
    <row r="1025" spans="1:10">
      <c r="A1025" s="30">
        <v>46234</v>
      </c>
      <c r="B1025" s="31" t="s">
        <v>1784</v>
      </c>
      <c r="C1025" s="32" t="s">
        <v>252</v>
      </c>
      <c r="D1025" s="19" t="s">
        <v>2283</v>
      </c>
      <c r="E1025" s="275">
        <v>1549184</v>
      </c>
      <c r="F1025" s="272"/>
      <c r="G1025" s="32" t="s">
        <v>434</v>
      </c>
      <c r="H1025" s="32" t="s">
        <v>334</v>
      </c>
      <c r="I1025" s="2">
        <f t="shared" si="30"/>
        <v>1549184</v>
      </c>
      <c r="J1025" s="42" t="str">
        <f t="shared" si="31"/>
        <v>13311</v>
      </c>
    </row>
    <row r="1026" spans="1:10">
      <c r="A1026" s="30">
        <v>46234</v>
      </c>
      <c r="B1026" s="31" t="s">
        <v>1784</v>
      </c>
      <c r="C1026" s="32" t="s">
        <v>252</v>
      </c>
      <c r="D1026" s="19" t="s">
        <v>2284</v>
      </c>
      <c r="E1026" s="275">
        <v>1184000</v>
      </c>
      <c r="F1026" s="272"/>
      <c r="G1026" s="32" t="s">
        <v>434</v>
      </c>
      <c r="H1026" s="32" t="s">
        <v>334</v>
      </c>
      <c r="I1026" s="2">
        <f t="shared" si="30"/>
        <v>1184000</v>
      </c>
      <c r="J1026" s="42" t="str">
        <f t="shared" si="31"/>
        <v>13311</v>
      </c>
    </row>
    <row r="1027" spans="1:10">
      <c r="A1027" s="30">
        <v>46234</v>
      </c>
      <c r="B1027" s="31" t="s">
        <v>1784</v>
      </c>
      <c r="C1027" s="32" t="s">
        <v>252</v>
      </c>
      <c r="D1027" s="19" t="s">
        <v>2284</v>
      </c>
      <c r="E1027" s="275">
        <v>1184000</v>
      </c>
      <c r="F1027" s="272"/>
      <c r="G1027" s="32" t="s">
        <v>434</v>
      </c>
      <c r="H1027" s="32" t="s">
        <v>334</v>
      </c>
      <c r="I1027" s="2">
        <f t="shared" si="30"/>
        <v>1184000</v>
      </c>
      <c r="J1027" s="42" t="str">
        <f t="shared" si="31"/>
        <v>13311</v>
      </c>
    </row>
    <row r="1028" spans="1:10">
      <c r="A1028" s="30">
        <v>46234</v>
      </c>
      <c r="B1028" s="31" t="s">
        <v>1784</v>
      </c>
      <c r="C1028" s="32" t="s">
        <v>252</v>
      </c>
      <c r="D1028" s="19" t="s">
        <v>2285</v>
      </c>
      <c r="E1028" s="275">
        <v>37037</v>
      </c>
      <c r="F1028" s="272"/>
      <c r="G1028" s="32" t="s">
        <v>434</v>
      </c>
      <c r="H1028" s="32" t="s">
        <v>334</v>
      </c>
      <c r="I1028" s="2">
        <f t="shared" si="30"/>
        <v>37037</v>
      </c>
      <c r="J1028" s="42" t="str">
        <f t="shared" si="31"/>
        <v>13311</v>
      </c>
    </row>
    <row r="1029" spans="1:10">
      <c r="A1029" s="30">
        <v>46234</v>
      </c>
      <c r="B1029" s="31" t="s">
        <v>1784</v>
      </c>
      <c r="C1029" s="32" t="s">
        <v>252</v>
      </c>
      <c r="D1029" s="19" t="s">
        <v>2265</v>
      </c>
      <c r="E1029" s="275">
        <v>480021</v>
      </c>
      <c r="F1029" s="272"/>
      <c r="G1029" s="32" t="s">
        <v>434</v>
      </c>
      <c r="H1029" s="32" t="s">
        <v>334</v>
      </c>
      <c r="I1029" s="2">
        <f t="shared" si="30"/>
        <v>480021</v>
      </c>
      <c r="J1029" s="42" t="str">
        <f t="shared" si="31"/>
        <v>13311</v>
      </c>
    </row>
    <row r="1030" spans="1:10">
      <c r="A1030" s="30">
        <v>46234</v>
      </c>
      <c r="B1030" s="31" t="s">
        <v>1784</v>
      </c>
      <c r="C1030" s="32" t="s">
        <v>252</v>
      </c>
      <c r="D1030" s="19" t="s">
        <v>2265</v>
      </c>
      <c r="E1030" s="275">
        <v>370370</v>
      </c>
      <c r="F1030" s="272"/>
      <c r="G1030" s="32" t="s">
        <v>434</v>
      </c>
      <c r="H1030" s="32" t="s">
        <v>334</v>
      </c>
      <c r="I1030" s="2">
        <f t="shared" si="30"/>
        <v>370370</v>
      </c>
      <c r="J1030" s="42" t="str">
        <f t="shared" si="31"/>
        <v>13311</v>
      </c>
    </row>
    <row r="1031" spans="1:10">
      <c r="A1031" s="30">
        <v>46234</v>
      </c>
      <c r="B1031" s="31" t="s">
        <v>1784</v>
      </c>
      <c r="C1031" s="32" t="s">
        <v>252</v>
      </c>
      <c r="D1031" s="19" t="s">
        <v>2268</v>
      </c>
      <c r="E1031" s="275">
        <v>644000</v>
      </c>
      <c r="F1031" s="272"/>
      <c r="G1031" s="32" t="s">
        <v>434</v>
      </c>
      <c r="H1031" s="32" t="s">
        <v>334</v>
      </c>
      <c r="I1031" s="2">
        <f t="shared" si="30"/>
        <v>644000</v>
      </c>
      <c r="J1031" s="42" t="str">
        <f t="shared" si="31"/>
        <v>13311</v>
      </c>
    </row>
    <row r="1032" spans="1:10">
      <c r="A1032" s="30">
        <v>46234</v>
      </c>
      <c r="B1032" s="31" t="s">
        <v>1784</v>
      </c>
      <c r="C1032" s="32" t="s">
        <v>252</v>
      </c>
      <c r="D1032" s="19" t="s">
        <v>2265</v>
      </c>
      <c r="E1032" s="275">
        <v>298963</v>
      </c>
      <c r="F1032" s="272"/>
      <c r="G1032" s="32" t="s">
        <v>434</v>
      </c>
      <c r="H1032" s="32" t="s">
        <v>334</v>
      </c>
      <c r="I1032" s="2">
        <f t="shared" si="30"/>
        <v>298963</v>
      </c>
      <c r="J1032" s="42" t="str">
        <f t="shared" si="31"/>
        <v>13311</v>
      </c>
    </row>
    <row r="1033" spans="1:10">
      <c r="A1033" s="30">
        <v>46234</v>
      </c>
      <c r="B1033" s="31" t="s">
        <v>1784</v>
      </c>
      <c r="C1033" s="32" t="s">
        <v>252</v>
      </c>
      <c r="D1033" s="19" t="s">
        <v>2265</v>
      </c>
      <c r="E1033" s="275">
        <v>297777</v>
      </c>
      <c r="F1033" s="272"/>
      <c r="G1033" s="32" t="s">
        <v>434</v>
      </c>
      <c r="H1033" s="32" t="s">
        <v>334</v>
      </c>
      <c r="I1033" s="2">
        <f t="shared" si="30"/>
        <v>297777</v>
      </c>
      <c r="J1033" s="42" t="str">
        <f t="shared" si="31"/>
        <v>13311</v>
      </c>
    </row>
    <row r="1034" spans="1:10">
      <c r="A1034" s="30">
        <v>46234</v>
      </c>
      <c r="B1034" s="31" t="s">
        <v>1784</v>
      </c>
      <c r="C1034" s="32" t="s">
        <v>252</v>
      </c>
      <c r="D1034" s="19" t="s">
        <v>2265</v>
      </c>
      <c r="E1034" s="275">
        <v>296963</v>
      </c>
      <c r="F1034" s="272"/>
      <c r="G1034" s="32" t="s">
        <v>434</v>
      </c>
      <c r="H1034" s="32" t="s">
        <v>334</v>
      </c>
      <c r="I1034" s="2">
        <f t="shared" si="30"/>
        <v>296963</v>
      </c>
      <c r="J1034" s="42" t="str">
        <f t="shared" si="31"/>
        <v>13311</v>
      </c>
    </row>
    <row r="1035" spans="1:10">
      <c r="A1035" s="30">
        <v>46234</v>
      </c>
      <c r="B1035" s="31" t="s">
        <v>1784</v>
      </c>
      <c r="C1035" s="32" t="s">
        <v>252</v>
      </c>
      <c r="D1035" s="19" t="s">
        <v>2265</v>
      </c>
      <c r="E1035" s="275">
        <v>6818</v>
      </c>
      <c r="F1035" s="272"/>
      <c r="G1035" s="32" t="s">
        <v>434</v>
      </c>
      <c r="H1035" s="32" t="s">
        <v>334</v>
      </c>
      <c r="I1035" s="2">
        <f t="shared" ref="I1035:I1098" si="32">IF(LEN(A1035)=5,E1035,0)</f>
        <v>6818</v>
      </c>
      <c r="J1035" s="42" t="str">
        <f t="shared" ref="J1035:J1098" si="33">IF(LEFT(A1035,11)="Tài khoản: ",MID(A1035,12,5),J1034)</f>
        <v>13311</v>
      </c>
    </row>
    <row r="1036" spans="1:10">
      <c r="A1036" s="30">
        <v>46234</v>
      </c>
      <c r="B1036" s="31" t="s">
        <v>1784</v>
      </c>
      <c r="C1036" s="32" t="s">
        <v>252</v>
      </c>
      <c r="D1036" s="19" t="s">
        <v>2286</v>
      </c>
      <c r="E1036" s="275">
        <v>26670</v>
      </c>
      <c r="F1036" s="272"/>
      <c r="G1036" s="32" t="s">
        <v>434</v>
      </c>
      <c r="H1036" s="32" t="s">
        <v>334</v>
      </c>
      <c r="I1036" s="2">
        <f t="shared" si="32"/>
        <v>26670</v>
      </c>
      <c r="J1036" s="42" t="str">
        <f t="shared" si="33"/>
        <v>13311</v>
      </c>
    </row>
    <row r="1037" spans="1:10">
      <c r="A1037" s="30">
        <v>46234</v>
      </c>
      <c r="B1037" s="31" t="s">
        <v>1784</v>
      </c>
      <c r="C1037" s="32" t="s">
        <v>252</v>
      </c>
      <c r="D1037" s="19" t="s">
        <v>2286</v>
      </c>
      <c r="E1037" s="275">
        <v>68900</v>
      </c>
      <c r="F1037" s="272"/>
      <c r="G1037" s="32" t="s">
        <v>434</v>
      </c>
      <c r="H1037" s="32" t="s">
        <v>334</v>
      </c>
      <c r="I1037" s="2">
        <f t="shared" si="32"/>
        <v>68900</v>
      </c>
      <c r="J1037" s="42" t="str">
        <f t="shared" si="33"/>
        <v>13311</v>
      </c>
    </row>
    <row r="1038" spans="1:10">
      <c r="A1038" s="30">
        <v>46234</v>
      </c>
      <c r="B1038" s="31" t="s">
        <v>1784</v>
      </c>
      <c r="C1038" s="32" t="s">
        <v>252</v>
      </c>
      <c r="D1038" s="19" t="s">
        <v>2265</v>
      </c>
      <c r="E1038" s="275">
        <v>1231200</v>
      </c>
      <c r="F1038" s="272"/>
      <c r="G1038" s="32" t="s">
        <v>434</v>
      </c>
      <c r="H1038" s="32" t="s">
        <v>334</v>
      </c>
      <c r="I1038" s="2">
        <f t="shared" si="32"/>
        <v>1231200</v>
      </c>
      <c r="J1038" s="42" t="str">
        <f t="shared" si="33"/>
        <v>13311</v>
      </c>
    </row>
    <row r="1039" spans="1:10">
      <c r="A1039" s="30">
        <v>46234</v>
      </c>
      <c r="B1039" s="31" t="s">
        <v>1784</v>
      </c>
      <c r="C1039" s="32" t="s">
        <v>252</v>
      </c>
      <c r="D1039" s="19" t="s">
        <v>2267</v>
      </c>
      <c r="E1039" s="275">
        <v>1688889</v>
      </c>
      <c r="F1039" s="272"/>
      <c r="G1039" s="32" t="s">
        <v>434</v>
      </c>
      <c r="H1039" s="32" t="s">
        <v>334</v>
      </c>
      <c r="I1039" s="2">
        <f t="shared" si="32"/>
        <v>1688889</v>
      </c>
      <c r="J1039" s="42" t="str">
        <f t="shared" si="33"/>
        <v>13311</v>
      </c>
    </row>
    <row r="1040" spans="1:10">
      <c r="A1040" s="30">
        <v>46234</v>
      </c>
      <c r="B1040" s="31" t="s">
        <v>1784</v>
      </c>
      <c r="C1040" s="32" t="s">
        <v>252</v>
      </c>
      <c r="D1040" s="19" t="s">
        <v>2267</v>
      </c>
      <c r="E1040" s="275">
        <v>1688889</v>
      </c>
      <c r="F1040" s="272"/>
      <c r="G1040" s="32" t="s">
        <v>434</v>
      </c>
      <c r="H1040" s="32" t="s">
        <v>334</v>
      </c>
      <c r="I1040" s="2">
        <f t="shared" si="32"/>
        <v>1688889</v>
      </c>
      <c r="J1040" s="42" t="str">
        <f t="shared" si="33"/>
        <v>13311</v>
      </c>
    </row>
    <row r="1041" spans="1:10">
      <c r="A1041" s="30">
        <v>46234</v>
      </c>
      <c r="B1041" s="31" t="s">
        <v>1784</v>
      </c>
      <c r="C1041" s="32" t="s">
        <v>252</v>
      </c>
      <c r="D1041" s="19" t="s">
        <v>2267</v>
      </c>
      <c r="E1041" s="275">
        <v>1688889</v>
      </c>
      <c r="F1041" s="272"/>
      <c r="G1041" s="32" t="s">
        <v>434</v>
      </c>
      <c r="H1041" s="32" t="s">
        <v>334</v>
      </c>
      <c r="I1041" s="2">
        <f t="shared" si="32"/>
        <v>1688889</v>
      </c>
      <c r="J1041" s="42" t="str">
        <f t="shared" si="33"/>
        <v>13311</v>
      </c>
    </row>
    <row r="1042" spans="1:10">
      <c r="A1042" s="30">
        <v>46234</v>
      </c>
      <c r="B1042" s="31" t="s">
        <v>1784</v>
      </c>
      <c r="C1042" s="32" t="s">
        <v>252</v>
      </c>
      <c r="D1042" s="19" t="s">
        <v>2267</v>
      </c>
      <c r="E1042" s="275">
        <v>1688889</v>
      </c>
      <c r="F1042" s="272"/>
      <c r="G1042" s="32" t="s">
        <v>434</v>
      </c>
      <c r="H1042" s="32" t="s">
        <v>334</v>
      </c>
      <c r="I1042" s="2">
        <f t="shared" si="32"/>
        <v>1688889</v>
      </c>
      <c r="J1042" s="42" t="str">
        <f t="shared" si="33"/>
        <v>13311</v>
      </c>
    </row>
    <row r="1043" spans="1:10">
      <c r="A1043" s="30">
        <v>46234</v>
      </c>
      <c r="B1043" s="31" t="s">
        <v>1784</v>
      </c>
      <c r="C1043" s="32" t="s">
        <v>252</v>
      </c>
      <c r="D1043" s="19" t="s">
        <v>2267</v>
      </c>
      <c r="E1043" s="275">
        <v>1688889</v>
      </c>
      <c r="F1043" s="272"/>
      <c r="G1043" s="32" t="s">
        <v>434</v>
      </c>
      <c r="H1043" s="32" t="s">
        <v>334</v>
      </c>
      <c r="I1043" s="2">
        <f t="shared" si="32"/>
        <v>1688889</v>
      </c>
      <c r="J1043" s="42" t="str">
        <f t="shared" si="33"/>
        <v>13311</v>
      </c>
    </row>
    <row r="1044" spans="1:10">
      <c r="A1044" s="30">
        <v>46234</v>
      </c>
      <c r="B1044" s="31" t="s">
        <v>1784</v>
      </c>
      <c r="C1044" s="32" t="s">
        <v>252</v>
      </c>
      <c r="D1044" s="19" t="s">
        <v>2268</v>
      </c>
      <c r="E1044" s="275">
        <v>3408000</v>
      </c>
      <c r="F1044" s="272"/>
      <c r="G1044" s="32" t="s">
        <v>434</v>
      </c>
      <c r="H1044" s="32" t="s">
        <v>334</v>
      </c>
      <c r="I1044" s="2">
        <f t="shared" si="32"/>
        <v>3408000</v>
      </c>
      <c r="J1044" s="42" t="str">
        <f t="shared" si="33"/>
        <v>13311</v>
      </c>
    </row>
    <row r="1045" spans="1:10">
      <c r="A1045" s="30">
        <v>46234</v>
      </c>
      <c r="B1045" s="31" t="s">
        <v>1784</v>
      </c>
      <c r="C1045" s="32" t="s">
        <v>252</v>
      </c>
      <c r="D1045" s="19" t="s">
        <v>2268</v>
      </c>
      <c r="E1045" s="275">
        <v>2272000</v>
      </c>
      <c r="F1045" s="272"/>
      <c r="G1045" s="32" t="s">
        <v>434</v>
      </c>
      <c r="H1045" s="32" t="s">
        <v>334</v>
      </c>
      <c r="I1045" s="2">
        <f t="shared" si="32"/>
        <v>2272000</v>
      </c>
      <c r="J1045" s="42" t="str">
        <f t="shared" si="33"/>
        <v>13311</v>
      </c>
    </row>
    <row r="1046" spans="1:10">
      <c r="A1046" s="30">
        <v>46234</v>
      </c>
      <c r="B1046" s="31" t="s">
        <v>1784</v>
      </c>
      <c r="C1046" s="32" t="s">
        <v>252</v>
      </c>
      <c r="D1046" s="19" t="s">
        <v>2281</v>
      </c>
      <c r="E1046" s="275">
        <v>25785</v>
      </c>
      <c r="F1046" s="272"/>
      <c r="G1046" s="32" t="s">
        <v>434</v>
      </c>
      <c r="H1046" s="32" t="s">
        <v>334</v>
      </c>
      <c r="I1046" s="2">
        <f t="shared" si="32"/>
        <v>25785</v>
      </c>
      <c r="J1046" s="42" t="str">
        <f t="shared" si="33"/>
        <v>13311</v>
      </c>
    </row>
    <row r="1047" spans="1:10">
      <c r="A1047" s="30">
        <v>46234</v>
      </c>
      <c r="B1047" s="31" t="s">
        <v>1784</v>
      </c>
      <c r="C1047" s="32" t="s">
        <v>252</v>
      </c>
      <c r="D1047" s="19" t="s">
        <v>2258</v>
      </c>
      <c r="E1047" s="275">
        <v>1281216</v>
      </c>
      <c r="F1047" s="272"/>
      <c r="G1047" s="32" t="s">
        <v>434</v>
      </c>
      <c r="H1047" s="32" t="s">
        <v>334</v>
      </c>
      <c r="I1047" s="2">
        <f t="shared" si="32"/>
        <v>1281216</v>
      </c>
      <c r="J1047" s="42" t="str">
        <f t="shared" si="33"/>
        <v>13311</v>
      </c>
    </row>
    <row r="1048" spans="1:10">
      <c r="A1048" s="30">
        <v>46234</v>
      </c>
      <c r="B1048" s="31" t="s">
        <v>1784</v>
      </c>
      <c r="C1048" s="32" t="s">
        <v>252</v>
      </c>
      <c r="D1048" s="19" t="s">
        <v>2287</v>
      </c>
      <c r="E1048" s="275">
        <v>336000</v>
      </c>
      <c r="F1048" s="272"/>
      <c r="G1048" s="32" t="s">
        <v>434</v>
      </c>
      <c r="H1048" s="32" t="s">
        <v>334</v>
      </c>
      <c r="I1048" s="2">
        <f t="shared" si="32"/>
        <v>336000</v>
      </c>
      <c r="J1048" s="42" t="str">
        <f t="shared" si="33"/>
        <v>13311</v>
      </c>
    </row>
    <row r="1049" spans="1:10">
      <c r="A1049" s="30">
        <v>46234</v>
      </c>
      <c r="B1049" s="31" t="s">
        <v>1784</v>
      </c>
      <c r="C1049" s="32" t="s">
        <v>252</v>
      </c>
      <c r="D1049" s="19" t="s">
        <v>2286</v>
      </c>
      <c r="E1049" s="275">
        <v>30820</v>
      </c>
      <c r="F1049" s="272"/>
      <c r="G1049" s="32" t="s">
        <v>434</v>
      </c>
      <c r="H1049" s="32" t="s">
        <v>334</v>
      </c>
      <c r="I1049" s="2">
        <f t="shared" si="32"/>
        <v>30820</v>
      </c>
      <c r="J1049" s="42" t="str">
        <f t="shared" si="33"/>
        <v>13311</v>
      </c>
    </row>
    <row r="1050" spans="1:10">
      <c r="A1050" s="30">
        <v>46234</v>
      </c>
      <c r="B1050" s="31" t="s">
        <v>1784</v>
      </c>
      <c r="C1050" s="32" t="s">
        <v>252</v>
      </c>
      <c r="D1050" s="19" t="s">
        <v>2288</v>
      </c>
      <c r="E1050" s="275">
        <v>1672727</v>
      </c>
      <c r="F1050" s="272"/>
      <c r="G1050" s="32" t="s">
        <v>434</v>
      </c>
      <c r="H1050" s="32" t="s">
        <v>334</v>
      </c>
      <c r="I1050" s="2">
        <f t="shared" si="32"/>
        <v>1672727</v>
      </c>
      <c r="J1050" s="42" t="str">
        <f t="shared" si="33"/>
        <v>13311</v>
      </c>
    </row>
    <row r="1051" spans="1:10">
      <c r="A1051" s="30">
        <v>46234</v>
      </c>
      <c r="B1051" s="31" t="s">
        <v>1784</v>
      </c>
      <c r="C1051" s="32" t="s">
        <v>252</v>
      </c>
      <c r="D1051" s="19" t="s">
        <v>2289</v>
      </c>
      <c r="E1051" s="275">
        <v>3520000</v>
      </c>
      <c r="F1051" s="272"/>
      <c r="G1051" s="32" t="s">
        <v>434</v>
      </c>
      <c r="H1051" s="32" t="s">
        <v>334</v>
      </c>
      <c r="I1051" s="2">
        <f t="shared" si="32"/>
        <v>3520000</v>
      </c>
      <c r="J1051" s="42" t="str">
        <f t="shared" si="33"/>
        <v>13311</v>
      </c>
    </row>
    <row r="1052" spans="1:10">
      <c r="A1052" s="30">
        <v>46234</v>
      </c>
      <c r="B1052" s="31" t="s">
        <v>1784</v>
      </c>
      <c r="C1052" s="32" t="s">
        <v>252</v>
      </c>
      <c r="D1052" s="19" t="s">
        <v>2280</v>
      </c>
      <c r="E1052" s="275">
        <v>1658110</v>
      </c>
      <c r="F1052" s="272"/>
      <c r="G1052" s="32" t="s">
        <v>434</v>
      </c>
      <c r="H1052" s="32" t="s">
        <v>334</v>
      </c>
      <c r="I1052" s="2">
        <f t="shared" si="32"/>
        <v>1658110</v>
      </c>
      <c r="J1052" s="42" t="str">
        <f t="shared" si="33"/>
        <v>13311</v>
      </c>
    </row>
    <row r="1053" spans="1:10">
      <c r="A1053" s="30">
        <v>46234</v>
      </c>
      <c r="B1053" s="31" t="s">
        <v>1784</v>
      </c>
      <c r="C1053" s="32" t="s">
        <v>252</v>
      </c>
      <c r="D1053" s="19" t="s">
        <v>2280</v>
      </c>
      <c r="E1053" s="275">
        <v>4762</v>
      </c>
      <c r="F1053" s="272"/>
      <c r="G1053" s="32" t="s">
        <v>434</v>
      </c>
      <c r="H1053" s="32" t="s">
        <v>334</v>
      </c>
      <c r="I1053" s="2">
        <f t="shared" si="32"/>
        <v>4762</v>
      </c>
      <c r="J1053" s="42" t="str">
        <f t="shared" si="33"/>
        <v>13311</v>
      </c>
    </row>
    <row r="1054" spans="1:10">
      <c r="A1054" s="30">
        <v>46234</v>
      </c>
      <c r="B1054" s="31" t="s">
        <v>1784</v>
      </c>
      <c r="C1054" s="32" t="s">
        <v>252</v>
      </c>
      <c r="D1054" s="19" t="s">
        <v>2290</v>
      </c>
      <c r="E1054" s="275">
        <v>2400000</v>
      </c>
      <c r="F1054" s="272"/>
      <c r="G1054" s="32" t="s">
        <v>434</v>
      </c>
      <c r="H1054" s="32" t="s">
        <v>334</v>
      </c>
      <c r="I1054" s="2">
        <f t="shared" si="32"/>
        <v>2400000</v>
      </c>
      <c r="J1054" s="42" t="str">
        <f t="shared" si="33"/>
        <v>13311</v>
      </c>
    </row>
    <row r="1055" spans="1:10">
      <c r="A1055" s="30">
        <v>46234</v>
      </c>
      <c r="B1055" s="31" t="s">
        <v>1784</v>
      </c>
      <c r="C1055" s="32" t="s">
        <v>252</v>
      </c>
      <c r="D1055" s="19" t="s">
        <v>2290</v>
      </c>
      <c r="E1055" s="275">
        <v>2400000</v>
      </c>
      <c r="F1055" s="272"/>
      <c r="G1055" s="32" t="s">
        <v>434</v>
      </c>
      <c r="H1055" s="32" t="s">
        <v>334</v>
      </c>
      <c r="I1055" s="2">
        <f t="shared" si="32"/>
        <v>2400000</v>
      </c>
      <c r="J1055" s="42" t="str">
        <f t="shared" si="33"/>
        <v>13311</v>
      </c>
    </row>
    <row r="1056" spans="1:10">
      <c r="A1056" s="30">
        <v>46234</v>
      </c>
      <c r="B1056" s="31" t="s">
        <v>1784</v>
      </c>
      <c r="C1056" s="32" t="s">
        <v>252</v>
      </c>
      <c r="D1056" s="19" t="s">
        <v>2268</v>
      </c>
      <c r="E1056" s="275">
        <v>720000</v>
      </c>
      <c r="F1056" s="272"/>
      <c r="G1056" s="32" t="s">
        <v>434</v>
      </c>
      <c r="H1056" s="32" t="s">
        <v>334</v>
      </c>
      <c r="I1056" s="2">
        <f t="shared" si="32"/>
        <v>720000</v>
      </c>
      <c r="J1056" s="42" t="str">
        <f t="shared" si="33"/>
        <v>13311</v>
      </c>
    </row>
    <row r="1057" spans="1:10">
      <c r="A1057" s="30">
        <v>46234</v>
      </c>
      <c r="B1057" s="31" t="s">
        <v>1784</v>
      </c>
      <c r="C1057" s="32" t="s">
        <v>252</v>
      </c>
      <c r="D1057" s="19" t="s">
        <v>2291</v>
      </c>
      <c r="E1057" s="275">
        <v>266560</v>
      </c>
      <c r="F1057" s="272"/>
      <c r="G1057" s="32" t="s">
        <v>434</v>
      </c>
      <c r="H1057" s="32" t="s">
        <v>334</v>
      </c>
      <c r="I1057" s="2">
        <f t="shared" si="32"/>
        <v>266560</v>
      </c>
      <c r="J1057" s="42" t="str">
        <f t="shared" si="33"/>
        <v>13311</v>
      </c>
    </row>
    <row r="1058" spans="1:10">
      <c r="A1058" s="30">
        <v>46234</v>
      </c>
      <c r="B1058" s="31" t="s">
        <v>1784</v>
      </c>
      <c r="C1058" s="32" t="s">
        <v>252</v>
      </c>
      <c r="D1058" s="19" t="s">
        <v>2265</v>
      </c>
      <c r="E1058" s="275">
        <v>2314444</v>
      </c>
      <c r="F1058" s="272"/>
      <c r="G1058" s="32" t="s">
        <v>434</v>
      </c>
      <c r="H1058" s="32" t="s">
        <v>334</v>
      </c>
      <c r="I1058" s="2">
        <f t="shared" si="32"/>
        <v>2314444</v>
      </c>
      <c r="J1058" s="42" t="str">
        <f t="shared" si="33"/>
        <v>13311</v>
      </c>
    </row>
    <row r="1059" spans="1:10">
      <c r="A1059" s="30">
        <v>46234</v>
      </c>
      <c r="B1059" s="31" t="s">
        <v>1784</v>
      </c>
      <c r="C1059" s="32" t="s">
        <v>252</v>
      </c>
      <c r="D1059" s="19" t="s">
        <v>2265</v>
      </c>
      <c r="E1059" s="275">
        <v>30000</v>
      </c>
      <c r="F1059" s="272"/>
      <c r="G1059" s="32" t="s">
        <v>434</v>
      </c>
      <c r="H1059" s="32" t="s">
        <v>334</v>
      </c>
      <c r="I1059" s="2">
        <f t="shared" si="32"/>
        <v>30000</v>
      </c>
      <c r="J1059" s="42" t="str">
        <f t="shared" si="33"/>
        <v>13311</v>
      </c>
    </row>
    <row r="1060" spans="1:10">
      <c r="A1060" s="30">
        <v>46234</v>
      </c>
      <c r="B1060" s="31" t="s">
        <v>1784</v>
      </c>
      <c r="C1060" s="32" t="s">
        <v>252</v>
      </c>
      <c r="D1060" s="19" t="s">
        <v>2292</v>
      </c>
      <c r="E1060" s="275">
        <v>555556</v>
      </c>
      <c r="F1060" s="272"/>
      <c r="G1060" s="32" t="s">
        <v>434</v>
      </c>
      <c r="H1060" s="32" t="s">
        <v>334</v>
      </c>
      <c r="I1060" s="2">
        <f t="shared" si="32"/>
        <v>555556</v>
      </c>
      <c r="J1060" s="42" t="str">
        <f t="shared" si="33"/>
        <v>13311</v>
      </c>
    </row>
    <row r="1061" spans="1:10">
      <c r="A1061" s="30">
        <v>46234</v>
      </c>
      <c r="B1061" s="31" t="s">
        <v>1784</v>
      </c>
      <c r="C1061" s="32" t="s">
        <v>252</v>
      </c>
      <c r="D1061" s="19" t="s">
        <v>2292</v>
      </c>
      <c r="E1061" s="275">
        <v>555556</v>
      </c>
      <c r="F1061" s="272"/>
      <c r="G1061" s="32" t="s">
        <v>434</v>
      </c>
      <c r="H1061" s="32" t="s">
        <v>334</v>
      </c>
      <c r="I1061" s="2">
        <f t="shared" si="32"/>
        <v>555556</v>
      </c>
      <c r="J1061" s="42" t="str">
        <f t="shared" si="33"/>
        <v>13311</v>
      </c>
    </row>
    <row r="1062" spans="1:10">
      <c r="A1062" s="30">
        <v>46234</v>
      </c>
      <c r="B1062" s="31" t="s">
        <v>1784</v>
      </c>
      <c r="C1062" s="32" t="s">
        <v>252</v>
      </c>
      <c r="D1062" s="19" t="s">
        <v>2293</v>
      </c>
      <c r="E1062" s="275">
        <v>1288890</v>
      </c>
      <c r="F1062" s="272"/>
      <c r="G1062" s="32" t="s">
        <v>434</v>
      </c>
      <c r="H1062" s="32" t="s">
        <v>334</v>
      </c>
      <c r="I1062" s="2">
        <f t="shared" si="32"/>
        <v>1288890</v>
      </c>
      <c r="J1062" s="42" t="str">
        <f t="shared" si="33"/>
        <v>13311</v>
      </c>
    </row>
    <row r="1063" spans="1:10">
      <c r="A1063" s="30">
        <v>46234</v>
      </c>
      <c r="B1063" s="31" t="s">
        <v>1784</v>
      </c>
      <c r="C1063" s="32" t="s">
        <v>252</v>
      </c>
      <c r="D1063" s="19" t="s">
        <v>2294</v>
      </c>
      <c r="E1063" s="275">
        <v>867556</v>
      </c>
      <c r="F1063" s="272"/>
      <c r="G1063" s="32" t="s">
        <v>434</v>
      </c>
      <c r="H1063" s="32" t="s">
        <v>334</v>
      </c>
      <c r="I1063" s="2">
        <f t="shared" si="32"/>
        <v>867556</v>
      </c>
      <c r="J1063" s="42" t="str">
        <f t="shared" si="33"/>
        <v>13311</v>
      </c>
    </row>
    <row r="1064" spans="1:10" ht="24" customHeight="1">
      <c r="A1064" s="30">
        <v>46234</v>
      </c>
      <c r="B1064" s="31" t="s">
        <v>2072</v>
      </c>
      <c r="C1064" s="32" t="s">
        <v>252</v>
      </c>
      <c r="D1064" s="19" t="s">
        <v>2295</v>
      </c>
      <c r="E1064" s="275">
        <v>153458</v>
      </c>
      <c r="F1064" s="272"/>
      <c r="G1064" s="32" t="s">
        <v>433</v>
      </c>
      <c r="H1064" s="32" t="s">
        <v>334</v>
      </c>
      <c r="I1064" s="2">
        <f t="shared" si="32"/>
        <v>153458</v>
      </c>
      <c r="J1064" s="42" t="str">
        <f t="shared" si="33"/>
        <v>13311</v>
      </c>
    </row>
    <row r="1065" spans="1:10" ht="24" customHeight="1">
      <c r="A1065" s="30">
        <v>46234</v>
      </c>
      <c r="B1065" s="31" t="s">
        <v>2072</v>
      </c>
      <c r="C1065" s="32" t="s">
        <v>252</v>
      </c>
      <c r="D1065" s="19" t="s">
        <v>2295</v>
      </c>
      <c r="E1065" s="275">
        <v>532791</v>
      </c>
      <c r="F1065" s="272"/>
      <c r="G1065" s="32" t="s">
        <v>433</v>
      </c>
      <c r="H1065" s="32" t="s">
        <v>334</v>
      </c>
      <c r="I1065" s="2">
        <f t="shared" si="32"/>
        <v>532791</v>
      </c>
      <c r="J1065" s="42" t="str">
        <f t="shared" si="33"/>
        <v>13311</v>
      </c>
    </row>
    <row r="1066" spans="1:10" ht="24" customHeight="1">
      <c r="A1066" s="30">
        <v>46234</v>
      </c>
      <c r="B1066" s="31" t="s">
        <v>2076</v>
      </c>
      <c r="C1066" s="32" t="s">
        <v>252</v>
      </c>
      <c r="D1066" s="19" t="s">
        <v>2296</v>
      </c>
      <c r="E1066" s="275">
        <v>55831551</v>
      </c>
      <c r="F1066" s="272"/>
      <c r="G1066" s="32" t="s">
        <v>433</v>
      </c>
      <c r="H1066" s="32" t="s">
        <v>334</v>
      </c>
      <c r="I1066" s="2">
        <f t="shared" si="32"/>
        <v>55831551</v>
      </c>
      <c r="J1066" s="42" t="str">
        <f t="shared" si="33"/>
        <v>13311</v>
      </c>
    </row>
    <row r="1067" spans="1:10" ht="35.5" customHeight="1">
      <c r="A1067" s="30">
        <v>46234</v>
      </c>
      <c r="B1067" s="31" t="s">
        <v>2083</v>
      </c>
      <c r="C1067" s="32" t="s">
        <v>252</v>
      </c>
      <c r="D1067" s="19" t="s">
        <v>2297</v>
      </c>
      <c r="E1067" s="275">
        <v>4012600</v>
      </c>
      <c r="F1067" s="272"/>
      <c r="G1067" s="32" t="s">
        <v>433</v>
      </c>
      <c r="H1067" s="32" t="s">
        <v>334</v>
      </c>
      <c r="I1067" s="2">
        <f t="shared" si="32"/>
        <v>4012600</v>
      </c>
      <c r="J1067" s="42" t="str">
        <f t="shared" si="33"/>
        <v>13311</v>
      </c>
    </row>
    <row r="1068" spans="1:10" ht="35.5" customHeight="1">
      <c r="A1068" s="30">
        <v>46234</v>
      </c>
      <c r="B1068" s="31" t="s">
        <v>2083</v>
      </c>
      <c r="C1068" s="32" t="s">
        <v>252</v>
      </c>
      <c r="D1068" s="19" t="s">
        <v>2298</v>
      </c>
      <c r="E1068" s="275">
        <v>3321467</v>
      </c>
      <c r="F1068" s="272"/>
      <c r="G1068" s="32" t="s">
        <v>433</v>
      </c>
      <c r="H1068" s="32" t="s">
        <v>334</v>
      </c>
      <c r="I1068" s="2">
        <f t="shared" si="32"/>
        <v>3321467</v>
      </c>
      <c r="J1068" s="42" t="str">
        <f t="shared" si="33"/>
        <v>13311</v>
      </c>
    </row>
    <row r="1069" spans="1:10" ht="35.5" customHeight="1">
      <c r="A1069" s="30">
        <v>46234</v>
      </c>
      <c r="B1069" s="31" t="s">
        <v>2083</v>
      </c>
      <c r="C1069" s="32" t="s">
        <v>252</v>
      </c>
      <c r="D1069" s="19" t="s">
        <v>2299</v>
      </c>
      <c r="E1069" s="275">
        <v>5880000</v>
      </c>
      <c r="F1069" s="272"/>
      <c r="G1069" s="32" t="s">
        <v>433</v>
      </c>
      <c r="H1069" s="32" t="s">
        <v>334</v>
      </c>
      <c r="I1069" s="2">
        <f t="shared" si="32"/>
        <v>5880000</v>
      </c>
      <c r="J1069" s="42" t="str">
        <f t="shared" si="33"/>
        <v>13311</v>
      </c>
    </row>
    <row r="1070" spans="1:10" ht="35.5" customHeight="1">
      <c r="A1070" s="30">
        <v>46234</v>
      </c>
      <c r="B1070" s="31" t="s">
        <v>2083</v>
      </c>
      <c r="C1070" s="32" t="s">
        <v>252</v>
      </c>
      <c r="D1070" s="19" t="s">
        <v>2300</v>
      </c>
      <c r="E1070" s="275">
        <v>1103704</v>
      </c>
      <c r="F1070" s="272"/>
      <c r="G1070" s="32" t="s">
        <v>433</v>
      </c>
      <c r="H1070" s="32" t="s">
        <v>334</v>
      </c>
      <c r="I1070" s="2">
        <f t="shared" si="32"/>
        <v>1103704</v>
      </c>
      <c r="J1070" s="42" t="str">
        <f t="shared" si="33"/>
        <v>13311</v>
      </c>
    </row>
    <row r="1071" spans="1:10" ht="24" customHeight="1">
      <c r="A1071" s="30">
        <v>46234</v>
      </c>
      <c r="B1071" s="31" t="s">
        <v>2083</v>
      </c>
      <c r="C1071" s="32" t="s">
        <v>252</v>
      </c>
      <c r="D1071" s="19" t="s">
        <v>2301</v>
      </c>
      <c r="E1071" s="275">
        <v>10240000</v>
      </c>
      <c r="F1071" s="272"/>
      <c r="G1071" s="32" t="s">
        <v>433</v>
      </c>
      <c r="H1071" s="32" t="s">
        <v>334</v>
      </c>
      <c r="I1071" s="2">
        <f t="shared" si="32"/>
        <v>10240000</v>
      </c>
      <c r="J1071" s="42" t="str">
        <f t="shared" si="33"/>
        <v>13311</v>
      </c>
    </row>
    <row r="1072" spans="1:10" ht="35.5" customHeight="1">
      <c r="A1072" s="30">
        <v>46234</v>
      </c>
      <c r="B1072" s="31" t="s">
        <v>2083</v>
      </c>
      <c r="C1072" s="32" t="s">
        <v>252</v>
      </c>
      <c r="D1072" s="19" t="s">
        <v>2302</v>
      </c>
      <c r="E1072" s="275">
        <v>1568889</v>
      </c>
      <c r="F1072" s="272"/>
      <c r="G1072" s="32" t="s">
        <v>433</v>
      </c>
      <c r="H1072" s="32" t="s">
        <v>334</v>
      </c>
      <c r="I1072" s="2">
        <f t="shared" si="32"/>
        <v>1568889</v>
      </c>
      <c r="J1072" s="42" t="str">
        <f t="shared" si="33"/>
        <v>13311</v>
      </c>
    </row>
    <row r="1073" spans="1:10" ht="35.5" customHeight="1">
      <c r="A1073" s="30">
        <v>46234</v>
      </c>
      <c r="B1073" s="31" t="s">
        <v>2083</v>
      </c>
      <c r="C1073" s="32" t="s">
        <v>252</v>
      </c>
      <c r="D1073" s="19" t="s">
        <v>2303</v>
      </c>
      <c r="E1073" s="275">
        <v>19904080</v>
      </c>
      <c r="F1073" s="272"/>
      <c r="G1073" s="32" t="s">
        <v>433</v>
      </c>
      <c r="H1073" s="32" t="s">
        <v>334</v>
      </c>
      <c r="I1073" s="2">
        <f t="shared" si="32"/>
        <v>19904080</v>
      </c>
      <c r="J1073" s="42" t="str">
        <f t="shared" si="33"/>
        <v>13311</v>
      </c>
    </row>
    <row r="1074" spans="1:10" ht="24" customHeight="1">
      <c r="A1074" s="30">
        <v>46234</v>
      </c>
      <c r="B1074" s="31" t="s">
        <v>2083</v>
      </c>
      <c r="C1074" s="32" t="s">
        <v>252</v>
      </c>
      <c r="D1074" s="19" t="s">
        <v>2304</v>
      </c>
      <c r="E1074" s="275">
        <v>3696000</v>
      </c>
      <c r="F1074" s="272"/>
      <c r="G1074" s="32" t="s">
        <v>433</v>
      </c>
      <c r="H1074" s="32" t="s">
        <v>334</v>
      </c>
      <c r="I1074" s="2">
        <f t="shared" si="32"/>
        <v>3696000</v>
      </c>
      <c r="J1074" s="42" t="str">
        <f t="shared" si="33"/>
        <v>13311</v>
      </c>
    </row>
    <row r="1075" spans="1:10" ht="24" customHeight="1">
      <c r="A1075" s="30">
        <v>46234</v>
      </c>
      <c r="B1075" s="31" t="s">
        <v>2083</v>
      </c>
      <c r="C1075" s="32" t="s">
        <v>252</v>
      </c>
      <c r="D1075" s="19" t="s">
        <v>2305</v>
      </c>
      <c r="E1075" s="275">
        <v>3696000</v>
      </c>
      <c r="F1075" s="272"/>
      <c r="G1075" s="32" t="s">
        <v>433</v>
      </c>
      <c r="H1075" s="32" t="s">
        <v>334</v>
      </c>
      <c r="I1075" s="2">
        <f t="shared" si="32"/>
        <v>3696000</v>
      </c>
      <c r="J1075" s="42" t="str">
        <f t="shared" si="33"/>
        <v>13311</v>
      </c>
    </row>
    <row r="1076" spans="1:10" ht="24" customHeight="1">
      <c r="A1076" s="30">
        <v>46234</v>
      </c>
      <c r="B1076" s="31" t="s">
        <v>2083</v>
      </c>
      <c r="C1076" s="32" t="s">
        <v>252</v>
      </c>
      <c r="D1076" s="19" t="s">
        <v>2306</v>
      </c>
      <c r="E1076" s="275">
        <v>3702800</v>
      </c>
      <c r="F1076" s="272"/>
      <c r="G1076" s="32" t="s">
        <v>433</v>
      </c>
      <c r="H1076" s="32" t="s">
        <v>334</v>
      </c>
      <c r="I1076" s="2">
        <f t="shared" si="32"/>
        <v>3702800</v>
      </c>
      <c r="J1076" s="42" t="str">
        <f t="shared" si="33"/>
        <v>13311</v>
      </c>
    </row>
    <row r="1077" spans="1:10" ht="35.5" customHeight="1">
      <c r="A1077" s="30">
        <v>46234</v>
      </c>
      <c r="B1077" s="31" t="s">
        <v>2083</v>
      </c>
      <c r="C1077" s="32" t="s">
        <v>252</v>
      </c>
      <c r="D1077" s="19" t="s">
        <v>2307</v>
      </c>
      <c r="E1077" s="275">
        <v>800000</v>
      </c>
      <c r="F1077" s="272"/>
      <c r="G1077" s="32" t="s">
        <v>433</v>
      </c>
      <c r="H1077" s="32" t="s">
        <v>334</v>
      </c>
      <c r="I1077" s="2">
        <f t="shared" si="32"/>
        <v>800000</v>
      </c>
      <c r="J1077" s="42" t="str">
        <f t="shared" si="33"/>
        <v>13311</v>
      </c>
    </row>
    <row r="1078" spans="1:10" ht="35.5" customHeight="1">
      <c r="A1078" s="30">
        <v>46234</v>
      </c>
      <c r="B1078" s="31" t="s">
        <v>2083</v>
      </c>
      <c r="C1078" s="32" t="s">
        <v>252</v>
      </c>
      <c r="D1078" s="19" t="s">
        <v>2308</v>
      </c>
      <c r="E1078" s="275">
        <v>1528888</v>
      </c>
      <c r="F1078" s="272"/>
      <c r="G1078" s="32" t="s">
        <v>433</v>
      </c>
      <c r="H1078" s="32" t="s">
        <v>334</v>
      </c>
      <c r="I1078" s="2">
        <f t="shared" si="32"/>
        <v>1528888</v>
      </c>
      <c r="J1078" s="42" t="str">
        <f t="shared" si="33"/>
        <v>13311</v>
      </c>
    </row>
    <row r="1079" spans="1:10" ht="24" customHeight="1">
      <c r="A1079" s="30">
        <v>46234</v>
      </c>
      <c r="B1079" s="31" t="s">
        <v>2083</v>
      </c>
      <c r="C1079" s="32" t="s">
        <v>252</v>
      </c>
      <c r="D1079" s="19" t="s">
        <v>2309</v>
      </c>
      <c r="E1079" s="275">
        <v>56545872</v>
      </c>
      <c r="F1079" s="272"/>
      <c r="G1079" s="32" t="s">
        <v>433</v>
      </c>
      <c r="H1079" s="32" t="s">
        <v>334</v>
      </c>
      <c r="I1079" s="2">
        <f t="shared" si="32"/>
        <v>56545872</v>
      </c>
      <c r="J1079" s="42" t="str">
        <f t="shared" si="33"/>
        <v>13311</v>
      </c>
    </row>
    <row r="1080" spans="1:10" ht="24" customHeight="1">
      <c r="A1080" s="30">
        <v>46234</v>
      </c>
      <c r="B1080" s="31" t="s">
        <v>2083</v>
      </c>
      <c r="C1080" s="32" t="s">
        <v>252</v>
      </c>
      <c r="D1080" s="19" t="s">
        <v>2310</v>
      </c>
      <c r="E1080" s="275">
        <v>38841571</v>
      </c>
      <c r="F1080" s="272"/>
      <c r="G1080" s="32" t="s">
        <v>433</v>
      </c>
      <c r="H1080" s="32" t="s">
        <v>334</v>
      </c>
      <c r="I1080" s="2">
        <f t="shared" si="32"/>
        <v>38841571</v>
      </c>
      <c r="J1080" s="42" t="str">
        <f t="shared" si="33"/>
        <v>13311</v>
      </c>
    </row>
    <row r="1081" spans="1:10" ht="24" customHeight="1">
      <c r="A1081" s="30">
        <v>46234</v>
      </c>
      <c r="B1081" s="31" t="s">
        <v>2083</v>
      </c>
      <c r="C1081" s="32" t="s">
        <v>252</v>
      </c>
      <c r="D1081" s="19" t="s">
        <v>2311</v>
      </c>
      <c r="E1081" s="275">
        <v>34675985</v>
      </c>
      <c r="F1081" s="272"/>
      <c r="G1081" s="32" t="s">
        <v>433</v>
      </c>
      <c r="H1081" s="32" t="s">
        <v>334</v>
      </c>
      <c r="I1081" s="2">
        <f t="shared" si="32"/>
        <v>34675985</v>
      </c>
      <c r="J1081" s="42" t="str">
        <f t="shared" si="33"/>
        <v>13311</v>
      </c>
    </row>
    <row r="1082" spans="1:10" ht="24" customHeight="1">
      <c r="A1082" s="30">
        <v>46234</v>
      </c>
      <c r="B1082" s="31" t="s">
        <v>2083</v>
      </c>
      <c r="C1082" s="32" t="s">
        <v>252</v>
      </c>
      <c r="D1082" s="19" t="s">
        <v>2312</v>
      </c>
      <c r="E1082" s="275">
        <v>1779557</v>
      </c>
      <c r="F1082" s="272"/>
      <c r="G1082" s="32" t="s">
        <v>433</v>
      </c>
      <c r="H1082" s="32" t="s">
        <v>334</v>
      </c>
      <c r="I1082" s="2">
        <f t="shared" si="32"/>
        <v>1779557</v>
      </c>
      <c r="J1082" s="42" t="str">
        <f t="shared" si="33"/>
        <v>13311</v>
      </c>
    </row>
    <row r="1083" spans="1:10" ht="24" customHeight="1">
      <c r="A1083" s="30">
        <v>46234</v>
      </c>
      <c r="B1083" s="31" t="s">
        <v>2083</v>
      </c>
      <c r="C1083" s="32" t="s">
        <v>252</v>
      </c>
      <c r="D1083" s="19" t="s">
        <v>2313</v>
      </c>
      <c r="E1083" s="275">
        <v>2124630</v>
      </c>
      <c r="F1083" s="272"/>
      <c r="G1083" s="32" t="s">
        <v>433</v>
      </c>
      <c r="H1083" s="32" t="s">
        <v>334</v>
      </c>
      <c r="I1083" s="2">
        <f t="shared" si="32"/>
        <v>2124630</v>
      </c>
      <c r="J1083" s="42" t="str">
        <f t="shared" si="33"/>
        <v>13311</v>
      </c>
    </row>
    <row r="1084" spans="1:10" ht="35.5" customHeight="1">
      <c r="A1084" s="30">
        <v>46234</v>
      </c>
      <c r="B1084" s="31" t="s">
        <v>2083</v>
      </c>
      <c r="C1084" s="32" t="s">
        <v>252</v>
      </c>
      <c r="D1084" s="19" t="s">
        <v>2314</v>
      </c>
      <c r="E1084" s="275">
        <v>166369</v>
      </c>
      <c r="F1084" s="272"/>
      <c r="G1084" s="32" t="s">
        <v>433</v>
      </c>
      <c r="H1084" s="32" t="s">
        <v>334</v>
      </c>
      <c r="I1084" s="2">
        <f t="shared" si="32"/>
        <v>166369</v>
      </c>
      <c r="J1084" s="42" t="str">
        <f t="shared" si="33"/>
        <v>13311</v>
      </c>
    </row>
    <row r="1085" spans="1:10" ht="35.5" customHeight="1">
      <c r="A1085" s="30">
        <v>46234</v>
      </c>
      <c r="B1085" s="31" t="s">
        <v>2083</v>
      </c>
      <c r="C1085" s="32" t="s">
        <v>252</v>
      </c>
      <c r="D1085" s="19" t="s">
        <v>2315</v>
      </c>
      <c r="E1085" s="275">
        <v>500684</v>
      </c>
      <c r="F1085" s="272"/>
      <c r="G1085" s="32" t="s">
        <v>433</v>
      </c>
      <c r="H1085" s="32" t="s">
        <v>334</v>
      </c>
      <c r="I1085" s="2">
        <f t="shared" si="32"/>
        <v>500684</v>
      </c>
      <c r="J1085" s="42" t="str">
        <f t="shared" si="33"/>
        <v>13311</v>
      </c>
    </row>
    <row r="1086" spans="1:10" ht="35.5" customHeight="1">
      <c r="A1086" s="30">
        <v>46234</v>
      </c>
      <c r="B1086" s="31" t="s">
        <v>2083</v>
      </c>
      <c r="C1086" s="32" t="s">
        <v>252</v>
      </c>
      <c r="D1086" s="19" t="s">
        <v>2316</v>
      </c>
      <c r="E1086" s="275">
        <v>2149767</v>
      </c>
      <c r="F1086" s="272"/>
      <c r="G1086" s="32" t="s">
        <v>433</v>
      </c>
      <c r="H1086" s="32" t="s">
        <v>334</v>
      </c>
      <c r="I1086" s="2">
        <f t="shared" si="32"/>
        <v>2149767</v>
      </c>
      <c r="J1086" s="42" t="str">
        <f t="shared" si="33"/>
        <v>13311</v>
      </c>
    </row>
    <row r="1087" spans="1:10" ht="35.5" customHeight="1">
      <c r="A1087" s="30">
        <v>46234</v>
      </c>
      <c r="B1087" s="31" t="s">
        <v>2083</v>
      </c>
      <c r="C1087" s="32" t="s">
        <v>252</v>
      </c>
      <c r="D1087" s="19" t="s">
        <v>2317</v>
      </c>
      <c r="E1087" s="275">
        <v>272111</v>
      </c>
      <c r="F1087" s="272"/>
      <c r="G1087" s="32" t="s">
        <v>433</v>
      </c>
      <c r="H1087" s="32" t="s">
        <v>334</v>
      </c>
      <c r="I1087" s="2">
        <f t="shared" si="32"/>
        <v>272111</v>
      </c>
      <c r="J1087" s="42" t="str">
        <f t="shared" si="33"/>
        <v>13311</v>
      </c>
    </row>
    <row r="1088" spans="1:10" ht="24" customHeight="1">
      <c r="A1088" s="30">
        <v>46234</v>
      </c>
      <c r="B1088" s="31" t="s">
        <v>2138</v>
      </c>
      <c r="C1088" s="32" t="s">
        <v>252</v>
      </c>
      <c r="D1088" s="19" t="s">
        <v>2318</v>
      </c>
      <c r="E1088" s="275">
        <v>100891088370</v>
      </c>
      <c r="F1088" s="272"/>
      <c r="G1088" s="32" t="s">
        <v>354</v>
      </c>
      <c r="H1088" s="32" t="s">
        <v>358</v>
      </c>
      <c r="I1088" s="2">
        <f t="shared" si="32"/>
        <v>100891088370</v>
      </c>
      <c r="J1088" s="42" t="str">
        <f t="shared" si="33"/>
        <v>13311</v>
      </c>
    </row>
    <row r="1089" spans="1:10" ht="24" customHeight="1">
      <c r="A1089" s="30">
        <v>46234</v>
      </c>
      <c r="B1089" s="31" t="s">
        <v>356</v>
      </c>
      <c r="C1089" s="32" t="s">
        <v>252</v>
      </c>
      <c r="D1089" s="19" t="s">
        <v>357</v>
      </c>
      <c r="E1089" s="272"/>
      <c r="F1089" s="275">
        <v>106541269955</v>
      </c>
      <c r="G1089" s="32" t="s">
        <v>354</v>
      </c>
      <c r="H1089" s="32" t="s">
        <v>358</v>
      </c>
      <c r="I1089" s="2">
        <f t="shared" si="32"/>
        <v>0</v>
      </c>
      <c r="J1089" s="42" t="str">
        <f t="shared" si="33"/>
        <v>13311</v>
      </c>
    </row>
    <row r="1090" spans="1:10">
      <c r="A1090" s="162"/>
      <c r="B1090" s="162"/>
      <c r="C1090" s="162"/>
      <c r="D1090" s="161" t="s">
        <v>81</v>
      </c>
      <c r="E1090" s="274">
        <v>102967148689</v>
      </c>
      <c r="F1090" s="274">
        <v>106541269955</v>
      </c>
      <c r="G1090" s="162"/>
      <c r="H1090" s="162"/>
      <c r="I1090" s="2">
        <f t="shared" si="32"/>
        <v>0</v>
      </c>
      <c r="J1090" s="42" t="str">
        <f t="shared" si="33"/>
        <v>13311</v>
      </c>
    </row>
    <row r="1091" spans="1:10">
      <c r="A1091" s="162"/>
      <c r="B1091" s="162"/>
      <c r="C1091" s="162"/>
      <c r="D1091" s="161" t="s">
        <v>359</v>
      </c>
      <c r="E1091" s="274">
        <v>68096794901</v>
      </c>
      <c r="F1091" s="272"/>
      <c r="G1091" s="162"/>
      <c r="H1091" s="162"/>
      <c r="I1091" s="2">
        <f t="shared" si="32"/>
        <v>0</v>
      </c>
      <c r="J1091" s="42" t="str">
        <f t="shared" si="33"/>
        <v>13311</v>
      </c>
    </row>
    <row r="1092" spans="1:10">
      <c r="A1092" s="327" t="s">
        <v>2319</v>
      </c>
      <c r="B1092" s="305"/>
      <c r="C1092" s="306"/>
      <c r="D1092" s="161" t="s">
        <v>328</v>
      </c>
      <c r="E1092" s="272"/>
      <c r="F1092" s="272"/>
      <c r="G1092" s="162"/>
      <c r="H1092" s="162"/>
      <c r="I1092" s="2">
        <f t="shared" si="32"/>
        <v>0</v>
      </c>
      <c r="J1092" s="42" t="str">
        <f t="shared" si="33"/>
        <v>13313</v>
      </c>
    </row>
    <row r="1093" spans="1:10" ht="24" customHeight="1">
      <c r="A1093" s="30">
        <v>46234</v>
      </c>
      <c r="B1093" s="31" t="s">
        <v>346</v>
      </c>
      <c r="C1093" s="32" t="s">
        <v>252</v>
      </c>
      <c r="D1093" s="19" t="s">
        <v>2320</v>
      </c>
      <c r="E1093" s="275">
        <v>5000</v>
      </c>
      <c r="F1093" s="272"/>
      <c r="G1093" s="32" t="s">
        <v>348</v>
      </c>
      <c r="H1093" s="32" t="s">
        <v>334</v>
      </c>
      <c r="I1093" s="2">
        <f t="shared" si="32"/>
        <v>5000</v>
      </c>
      <c r="J1093" s="42" t="str">
        <f t="shared" si="33"/>
        <v>13313</v>
      </c>
    </row>
    <row r="1094" spans="1:10" ht="24" customHeight="1">
      <c r="A1094" s="30">
        <v>46234</v>
      </c>
      <c r="B1094" s="31" t="s">
        <v>346</v>
      </c>
      <c r="C1094" s="32" t="s">
        <v>252</v>
      </c>
      <c r="D1094" s="19" t="s">
        <v>2321</v>
      </c>
      <c r="E1094" s="275">
        <v>849600</v>
      </c>
      <c r="F1094" s="272"/>
      <c r="G1094" s="32" t="s">
        <v>348</v>
      </c>
      <c r="H1094" s="32" t="s">
        <v>334</v>
      </c>
      <c r="I1094" s="2">
        <f t="shared" si="32"/>
        <v>849600</v>
      </c>
      <c r="J1094" s="42" t="str">
        <f t="shared" si="33"/>
        <v>13313</v>
      </c>
    </row>
    <row r="1095" spans="1:10" ht="24" customHeight="1">
      <c r="A1095" s="30">
        <v>46234</v>
      </c>
      <c r="B1095" s="31" t="s">
        <v>346</v>
      </c>
      <c r="C1095" s="32" t="s">
        <v>252</v>
      </c>
      <c r="D1095" s="19" t="s">
        <v>2322</v>
      </c>
      <c r="E1095" s="275">
        <v>77413</v>
      </c>
      <c r="F1095" s="272"/>
      <c r="G1095" s="32" t="s">
        <v>348</v>
      </c>
      <c r="H1095" s="32" t="s">
        <v>334</v>
      </c>
      <c r="I1095" s="2">
        <f t="shared" si="32"/>
        <v>77413</v>
      </c>
      <c r="J1095" s="42" t="str">
        <f t="shared" si="33"/>
        <v>13313</v>
      </c>
    </row>
    <row r="1096" spans="1:10" ht="24" customHeight="1">
      <c r="A1096" s="30">
        <v>46234</v>
      </c>
      <c r="B1096" s="31" t="s">
        <v>346</v>
      </c>
      <c r="C1096" s="32" t="s">
        <v>252</v>
      </c>
      <c r="D1096" s="19" t="s">
        <v>2323</v>
      </c>
      <c r="E1096" s="275">
        <v>256708</v>
      </c>
      <c r="F1096" s="272"/>
      <c r="G1096" s="32" t="s">
        <v>348</v>
      </c>
      <c r="H1096" s="32" t="s">
        <v>334</v>
      </c>
      <c r="I1096" s="2">
        <f t="shared" si="32"/>
        <v>256708</v>
      </c>
      <c r="J1096" s="42" t="str">
        <f t="shared" si="33"/>
        <v>13313</v>
      </c>
    </row>
    <row r="1097" spans="1:10">
      <c r="A1097" s="30">
        <v>46234</v>
      </c>
      <c r="B1097" s="31" t="s">
        <v>346</v>
      </c>
      <c r="C1097" s="32" t="s">
        <v>252</v>
      </c>
      <c r="D1097" s="19" t="s">
        <v>347</v>
      </c>
      <c r="E1097" s="272"/>
      <c r="F1097" s="275">
        <v>8923356</v>
      </c>
      <c r="G1097" s="32" t="s">
        <v>348</v>
      </c>
      <c r="H1097" s="32" t="s">
        <v>334</v>
      </c>
      <c r="I1097" s="2">
        <f t="shared" si="32"/>
        <v>0</v>
      </c>
      <c r="J1097" s="42" t="str">
        <f t="shared" si="33"/>
        <v>13313</v>
      </c>
    </row>
    <row r="1098" spans="1:10" ht="24" customHeight="1">
      <c r="A1098" s="30">
        <v>46234</v>
      </c>
      <c r="B1098" s="31" t="s">
        <v>346</v>
      </c>
      <c r="C1098" s="32" t="s">
        <v>252</v>
      </c>
      <c r="D1098" s="19" t="s">
        <v>2324</v>
      </c>
      <c r="E1098" s="275">
        <v>2000</v>
      </c>
      <c r="F1098" s="272"/>
      <c r="G1098" s="32" t="s">
        <v>348</v>
      </c>
      <c r="H1098" s="32" t="s">
        <v>334</v>
      </c>
      <c r="I1098" s="2">
        <f t="shared" si="32"/>
        <v>2000</v>
      </c>
      <c r="J1098" s="42" t="str">
        <f t="shared" si="33"/>
        <v>13313</v>
      </c>
    </row>
    <row r="1099" spans="1:10" ht="24" customHeight="1">
      <c r="A1099" s="30">
        <v>46234</v>
      </c>
      <c r="B1099" s="31" t="s">
        <v>346</v>
      </c>
      <c r="C1099" s="32" t="s">
        <v>252</v>
      </c>
      <c r="D1099" s="19" t="s">
        <v>2325</v>
      </c>
      <c r="E1099" s="275">
        <v>2727</v>
      </c>
      <c r="F1099" s="272"/>
      <c r="G1099" s="32" t="s">
        <v>348</v>
      </c>
      <c r="H1099" s="32" t="s">
        <v>334</v>
      </c>
      <c r="I1099" s="2">
        <f t="shared" ref="I1099:I1128" si="34">IF(LEN(A1099)=5,E1099,0)</f>
        <v>2727</v>
      </c>
      <c r="J1099" s="42" t="str">
        <f t="shared" ref="J1099:J1128" si="35">IF(LEFT(A1099,11)="Tài khoản: ",MID(A1099,12,5),J1098)</f>
        <v>13313</v>
      </c>
    </row>
    <row r="1100" spans="1:10" ht="24" customHeight="1">
      <c r="A1100" s="30">
        <v>46234</v>
      </c>
      <c r="B1100" s="31" t="s">
        <v>346</v>
      </c>
      <c r="C1100" s="32" t="s">
        <v>252</v>
      </c>
      <c r="D1100" s="19" t="s">
        <v>2326</v>
      </c>
      <c r="E1100" s="275">
        <v>2000</v>
      </c>
      <c r="F1100" s="272"/>
      <c r="G1100" s="32" t="s">
        <v>348</v>
      </c>
      <c r="H1100" s="32" t="s">
        <v>334</v>
      </c>
      <c r="I1100" s="2">
        <f t="shared" si="34"/>
        <v>2000</v>
      </c>
      <c r="J1100" s="42" t="str">
        <f t="shared" si="35"/>
        <v>13313</v>
      </c>
    </row>
    <row r="1101" spans="1:10" ht="24" customHeight="1">
      <c r="A1101" s="30">
        <v>46234</v>
      </c>
      <c r="B1101" s="31" t="s">
        <v>346</v>
      </c>
      <c r="C1101" s="32" t="s">
        <v>252</v>
      </c>
      <c r="D1101" s="19" t="s">
        <v>2327</v>
      </c>
      <c r="E1101" s="275">
        <v>235908</v>
      </c>
      <c r="F1101" s="272"/>
      <c r="G1101" s="32" t="s">
        <v>348</v>
      </c>
      <c r="H1101" s="32" t="s">
        <v>334</v>
      </c>
      <c r="I1101" s="2">
        <f t="shared" si="34"/>
        <v>235908</v>
      </c>
      <c r="J1101" s="42" t="str">
        <f t="shared" si="35"/>
        <v>13313</v>
      </c>
    </row>
    <row r="1102" spans="1:10" ht="24" customHeight="1">
      <c r="A1102" s="30">
        <v>46234</v>
      </c>
      <c r="B1102" s="31" t="s">
        <v>346</v>
      </c>
      <c r="C1102" s="32" t="s">
        <v>252</v>
      </c>
      <c r="D1102" s="19" t="s">
        <v>2328</v>
      </c>
      <c r="E1102" s="275">
        <v>100000</v>
      </c>
      <c r="F1102" s="272"/>
      <c r="G1102" s="32" t="s">
        <v>348</v>
      </c>
      <c r="H1102" s="32" t="s">
        <v>334</v>
      </c>
      <c r="I1102" s="2">
        <f t="shared" si="34"/>
        <v>100000</v>
      </c>
      <c r="J1102" s="42" t="str">
        <f t="shared" si="35"/>
        <v>13313</v>
      </c>
    </row>
    <row r="1103" spans="1:10" ht="24" customHeight="1">
      <c r="A1103" s="30">
        <v>46234</v>
      </c>
      <c r="B1103" s="31" t="s">
        <v>346</v>
      </c>
      <c r="C1103" s="32" t="s">
        <v>252</v>
      </c>
      <c r="D1103" s="19" t="s">
        <v>2329</v>
      </c>
      <c r="E1103" s="275">
        <v>7392000</v>
      </c>
      <c r="F1103" s="272"/>
      <c r="G1103" s="32" t="s">
        <v>348</v>
      </c>
      <c r="H1103" s="32" t="s">
        <v>334</v>
      </c>
      <c r="I1103" s="2">
        <f t="shared" si="34"/>
        <v>7392000</v>
      </c>
      <c r="J1103" s="42" t="str">
        <f t="shared" si="35"/>
        <v>13313</v>
      </c>
    </row>
    <row r="1104" spans="1:10" ht="24" customHeight="1">
      <c r="A1104" s="30">
        <v>46234</v>
      </c>
      <c r="B1104" s="31" t="s">
        <v>349</v>
      </c>
      <c r="C1104" s="32" t="s">
        <v>252</v>
      </c>
      <c r="D1104" s="19" t="s">
        <v>2330</v>
      </c>
      <c r="E1104" s="275">
        <v>6518519</v>
      </c>
      <c r="F1104" s="272"/>
      <c r="G1104" s="32" t="s">
        <v>351</v>
      </c>
      <c r="H1104" s="32" t="s">
        <v>334</v>
      </c>
      <c r="I1104" s="2">
        <f t="shared" si="34"/>
        <v>6518519</v>
      </c>
      <c r="J1104" s="42" t="str">
        <f t="shared" si="35"/>
        <v>13313</v>
      </c>
    </row>
    <row r="1105" spans="1:10" ht="24" customHeight="1">
      <c r="A1105" s="30">
        <v>46234</v>
      </c>
      <c r="B1105" s="31" t="s">
        <v>349</v>
      </c>
      <c r="C1105" s="32" t="s">
        <v>252</v>
      </c>
      <c r="D1105" s="19" t="s">
        <v>2331</v>
      </c>
      <c r="E1105" s="275">
        <v>5327481</v>
      </c>
      <c r="F1105" s="272"/>
      <c r="G1105" s="32" t="s">
        <v>351</v>
      </c>
      <c r="H1105" s="32" t="s">
        <v>334</v>
      </c>
      <c r="I1105" s="2">
        <f t="shared" si="34"/>
        <v>5327481</v>
      </c>
      <c r="J1105" s="42" t="str">
        <f t="shared" si="35"/>
        <v>13313</v>
      </c>
    </row>
    <row r="1106" spans="1:10">
      <c r="A1106" s="30">
        <v>46234</v>
      </c>
      <c r="B1106" s="31" t="s">
        <v>349</v>
      </c>
      <c r="C1106" s="32" t="s">
        <v>252</v>
      </c>
      <c r="D1106" s="19" t="s">
        <v>350</v>
      </c>
      <c r="E1106" s="272"/>
      <c r="F1106" s="275">
        <v>697235784</v>
      </c>
      <c r="G1106" s="32" t="s">
        <v>351</v>
      </c>
      <c r="H1106" s="32" t="s">
        <v>334</v>
      </c>
      <c r="I1106" s="2">
        <f t="shared" si="34"/>
        <v>0</v>
      </c>
      <c r="J1106" s="42" t="str">
        <f t="shared" si="35"/>
        <v>13313</v>
      </c>
    </row>
    <row r="1107" spans="1:10" ht="24" customHeight="1">
      <c r="A1107" s="30">
        <v>46234</v>
      </c>
      <c r="B1107" s="31" t="s">
        <v>349</v>
      </c>
      <c r="C1107" s="32" t="s">
        <v>252</v>
      </c>
      <c r="D1107" s="19" t="s">
        <v>2332</v>
      </c>
      <c r="E1107" s="275">
        <v>8387159</v>
      </c>
      <c r="F1107" s="272"/>
      <c r="G1107" s="32" t="s">
        <v>351</v>
      </c>
      <c r="H1107" s="32" t="s">
        <v>334</v>
      </c>
      <c r="I1107" s="2">
        <f t="shared" si="34"/>
        <v>8387159</v>
      </c>
      <c r="J1107" s="42" t="str">
        <f t="shared" si="35"/>
        <v>13313</v>
      </c>
    </row>
    <row r="1108" spans="1:10" ht="24" customHeight="1">
      <c r="A1108" s="30">
        <v>46234</v>
      </c>
      <c r="B1108" s="31" t="s">
        <v>349</v>
      </c>
      <c r="C1108" s="32" t="s">
        <v>252</v>
      </c>
      <c r="D1108" s="19" t="s">
        <v>2333</v>
      </c>
      <c r="E1108" s="275">
        <v>18847801</v>
      </c>
      <c r="F1108" s="272"/>
      <c r="G1108" s="32" t="s">
        <v>351</v>
      </c>
      <c r="H1108" s="32" t="s">
        <v>334</v>
      </c>
      <c r="I1108" s="2">
        <f t="shared" si="34"/>
        <v>18847801</v>
      </c>
      <c r="J1108" s="42" t="str">
        <f t="shared" si="35"/>
        <v>13313</v>
      </c>
    </row>
    <row r="1109" spans="1:10" ht="24" customHeight="1">
      <c r="A1109" s="30">
        <v>46234</v>
      </c>
      <c r="B1109" s="31" t="s">
        <v>349</v>
      </c>
      <c r="C1109" s="32" t="s">
        <v>252</v>
      </c>
      <c r="D1109" s="19" t="s">
        <v>2334</v>
      </c>
      <c r="E1109" s="275">
        <v>17927028</v>
      </c>
      <c r="F1109" s="272"/>
      <c r="G1109" s="32" t="s">
        <v>351</v>
      </c>
      <c r="H1109" s="32" t="s">
        <v>334</v>
      </c>
      <c r="I1109" s="2">
        <f t="shared" si="34"/>
        <v>17927028</v>
      </c>
      <c r="J1109" s="42" t="str">
        <f t="shared" si="35"/>
        <v>13313</v>
      </c>
    </row>
    <row r="1110" spans="1:10" ht="24" customHeight="1">
      <c r="A1110" s="30">
        <v>46234</v>
      </c>
      <c r="B1110" s="31" t="s">
        <v>349</v>
      </c>
      <c r="C1110" s="32" t="s">
        <v>252</v>
      </c>
      <c r="D1110" s="19" t="s">
        <v>2335</v>
      </c>
      <c r="E1110" s="275">
        <v>28646621</v>
      </c>
      <c r="F1110" s="272"/>
      <c r="G1110" s="32" t="s">
        <v>351</v>
      </c>
      <c r="H1110" s="32" t="s">
        <v>334</v>
      </c>
      <c r="I1110" s="2">
        <f t="shared" si="34"/>
        <v>28646621</v>
      </c>
      <c r="J1110" s="42" t="str">
        <f t="shared" si="35"/>
        <v>13313</v>
      </c>
    </row>
    <row r="1111" spans="1:10" ht="24" customHeight="1">
      <c r="A1111" s="30">
        <v>46234</v>
      </c>
      <c r="B1111" s="31" t="s">
        <v>349</v>
      </c>
      <c r="C1111" s="32" t="s">
        <v>252</v>
      </c>
      <c r="D1111" s="19" t="s">
        <v>2336</v>
      </c>
      <c r="E1111" s="275">
        <v>38518519</v>
      </c>
      <c r="F1111" s="272"/>
      <c r="G1111" s="32" t="s">
        <v>351</v>
      </c>
      <c r="H1111" s="32" t="s">
        <v>334</v>
      </c>
      <c r="I1111" s="2">
        <f t="shared" si="34"/>
        <v>38518519</v>
      </c>
      <c r="J1111" s="42" t="str">
        <f t="shared" si="35"/>
        <v>13313</v>
      </c>
    </row>
    <row r="1112" spans="1:10" ht="24" customHeight="1">
      <c r="A1112" s="30">
        <v>46234</v>
      </c>
      <c r="B1112" s="31" t="s">
        <v>349</v>
      </c>
      <c r="C1112" s="32" t="s">
        <v>252</v>
      </c>
      <c r="D1112" s="19" t="s">
        <v>2337</v>
      </c>
      <c r="E1112" s="275">
        <v>26077355</v>
      </c>
      <c r="F1112" s="272"/>
      <c r="G1112" s="32" t="s">
        <v>351</v>
      </c>
      <c r="H1112" s="32" t="s">
        <v>334</v>
      </c>
      <c r="I1112" s="2">
        <f t="shared" si="34"/>
        <v>26077355</v>
      </c>
      <c r="J1112" s="42" t="str">
        <f t="shared" si="35"/>
        <v>13313</v>
      </c>
    </row>
    <row r="1113" spans="1:10" ht="24" customHeight="1">
      <c r="A1113" s="30">
        <v>46234</v>
      </c>
      <c r="B1113" s="31" t="s">
        <v>349</v>
      </c>
      <c r="C1113" s="32" t="s">
        <v>252</v>
      </c>
      <c r="D1113" s="19" t="s">
        <v>2338</v>
      </c>
      <c r="E1113" s="275">
        <v>24873259</v>
      </c>
      <c r="F1113" s="272"/>
      <c r="G1113" s="32" t="s">
        <v>351</v>
      </c>
      <c r="H1113" s="32" t="s">
        <v>334</v>
      </c>
      <c r="I1113" s="2">
        <f t="shared" si="34"/>
        <v>24873259</v>
      </c>
      <c r="J1113" s="42" t="str">
        <f t="shared" si="35"/>
        <v>13313</v>
      </c>
    </row>
    <row r="1114" spans="1:10" ht="24" customHeight="1">
      <c r="A1114" s="30">
        <v>46234</v>
      </c>
      <c r="B1114" s="31" t="s">
        <v>349</v>
      </c>
      <c r="C1114" s="32" t="s">
        <v>252</v>
      </c>
      <c r="D1114" s="19" t="s">
        <v>2339</v>
      </c>
      <c r="E1114" s="275">
        <v>19629630</v>
      </c>
      <c r="F1114" s="272"/>
      <c r="G1114" s="32" t="s">
        <v>351</v>
      </c>
      <c r="H1114" s="32" t="s">
        <v>334</v>
      </c>
      <c r="I1114" s="2">
        <f t="shared" si="34"/>
        <v>19629630</v>
      </c>
      <c r="J1114" s="42" t="str">
        <f t="shared" si="35"/>
        <v>13313</v>
      </c>
    </row>
    <row r="1115" spans="1:10" ht="24" customHeight="1">
      <c r="A1115" s="30">
        <v>46234</v>
      </c>
      <c r="B1115" s="31" t="s">
        <v>349</v>
      </c>
      <c r="C1115" s="32" t="s">
        <v>252</v>
      </c>
      <c r="D1115" s="19" t="s">
        <v>2340</v>
      </c>
      <c r="E1115" s="275">
        <v>15696176</v>
      </c>
      <c r="F1115" s="272"/>
      <c r="G1115" s="32" t="s">
        <v>351</v>
      </c>
      <c r="H1115" s="32" t="s">
        <v>334</v>
      </c>
      <c r="I1115" s="2">
        <f t="shared" si="34"/>
        <v>15696176</v>
      </c>
      <c r="J1115" s="42" t="str">
        <f t="shared" si="35"/>
        <v>13313</v>
      </c>
    </row>
    <row r="1116" spans="1:10" ht="24" customHeight="1">
      <c r="A1116" s="30">
        <v>46234</v>
      </c>
      <c r="B1116" s="31" t="s">
        <v>349</v>
      </c>
      <c r="C1116" s="32" t="s">
        <v>252</v>
      </c>
      <c r="D1116" s="19" t="s">
        <v>2341</v>
      </c>
      <c r="E1116" s="275">
        <v>131175351</v>
      </c>
      <c r="F1116" s="272"/>
      <c r="G1116" s="32" t="s">
        <v>351</v>
      </c>
      <c r="H1116" s="32" t="s">
        <v>334</v>
      </c>
      <c r="I1116" s="2">
        <f t="shared" si="34"/>
        <v>131175351</v>
      </c>
      <c r="J1116" s="42" t="str">
        <f t="shared" si="35"/>
        <v>13313</v>
      </c>
    </row>
    <row r="1117" spans="1:10" ht="24" customHeight="1">
      <c r="A1117" s="30">
        <v>46234</v>
      </c>
      <c r="B1117" s="31" t="s">
        <v>349</v>
      </c>
      <c r="C1117" s="32" t="s">
        <v>252</v>
      </c>
      <c r="D1117" s="19" t="s">
        <v>2342</v>
      </c>
      <c r="E1117" s="275">
        <v>269834061</v>
      </c>
      <c r="F1117" s="272"/>
      <c r="G1117" s="32" t="s">
        <v>351</v>
      </c>
      <c r="H1117" s="32" t="s">
        <v>334</v>
      </c>
      <c r="I1117" s="2">
        <f t="shared" si="34"/>
        <v>269834061</v>
      </c>
      <c r="J1117" s="42" t="str">
        <f t="shared" si="35"/>
        <v>13313</v>
      </c>
    </row>
    <row r="1118" spans="1:10" ht="24" customHeight="1">
      <c r="A1118" s="30">
        <v>46234</v>
      </c>
      <c r="B1118" s="31" t="s">
        <v>349</v>
      </c>
      <c r="C1118" s="32" t="s">
        <v>252</v>
      </c>
      <c r="D1118" s="19" t="s">
        <v>2343</v>
      </c>
      <c r="E1118" s="275">
        <v>85776824</v>
      </c>
      <c r="F1118" s="272"/>
      <c r="G1118" s="32" t="s">
        <v>351</v>
      </c>
      <c r="H1118" s="32" t="s">
        <v>334</v>
      </c>
      <c r="I1118" s="2">
        <f t="shared" si="34"/>
        <v>85776824</v>
      </c>
      <c r="J1118" s="42" t="str">
        <f t="shared" si="35"/>
        <v>13313</v>
      </c>
    </row>
    <row r="1119" spans="1:10">
      <c r="A1119" s="162"/>
      <c r="B1119" s="162"/>
      <c r="C1119" s="162"/>
      <c r="D1119" s="161" t="s">
        <v>81</v>
      </c>
      <c r="E1119" s="274">
        <v>706159140</v>
      </c>
      <c r="F1119" s="274">
        <v>706159140</v>
      </c>
      <c r="G1119" s="162"/>
      <c r="H1119" s="162"/>
      <c r="I1119">
        <f t="shared" si="34"/>
        <v>0</v>
      </c>
      <c r="J1119" t="str">
        <f t="shared" si="35"/>
        <v>13313</v>
      </c>
    </row>
    <row r="1120" spans="1:10">
      <c r="A1120" s="162"/>
      <c r="B1120" s="162"/>
      <c r="C1120" s="162"/>
      <c r="D1120" s="161" t="s">
        <v>359</v>
      </c>
      <c r="E1120" s="272"/>
      <c r="F1120" s="272"/>
      <c r="G1120" s="162"/>
      <c r="H1120" s="162"/>
      <c r="I1120">
        <f t="shared" si="34"/>
        <v>0</v>
      </c>
      <c r="J1120" t="str">
        <f t="shared" si="35"/>
        <v>13313</v>
      </c>
    </row>
    <row r="1121" spans="1:10">
      <c r="A1121" s="162"/>
      <c r="B1121" s="162"/>
      <c r="C1121" s="162"/>
      <c r="D1121" s="161" t="s">
        <v>382</v>
      </c>
      <c r="E1121" s="274">
        <v>71670916167</v>
      </c>
      <c r="F1121" s="272"/>
      <c r="G1121" s="162"/>
      <c r="H1121" s="162"/>
      <c r="I1121">
        <f t="shared" si="34"/>
        <v>0</v>
      </c>
      <c r="J1121" t="str">
        <f t="shared" si="35"/>
        <v>13313</v>
      </c>
    </row>
    <row r="1122" spans="1:10">
      <c r="A1122" s="162"/>
      <c r="B1122" s="162"/>
      <c r="C1122" s="162"/>
      <c r="D1122" s="161" t="s">
        <v>383</v>
      </c>
      <c r="E1122" s="274">
        <v>103673307829</v>
      </c>
      <c r="F1122" s="274">
        <v>107247429095</v>
      </c>
      <c r="G1122" s="162"/>
      <c r="H1122" s="162"/>
      <c r="I1122">
        <f t="shared" si="34"/>
        <v>0</v>
      </c>
      <c r="J1122" t="str">
        <f t="shared" si="35"/>
        <v>13313</v>
      </c>
    </row>
    <row r="1123" spans="1:10" ht="15.5" customHeight="1">
      <c r="A1123" s="162"/>
      <c r="B1123" s="162"/>
      <c r="C1123" s="162"/>
      <c r="D1123" s="161" t="s">
        <v>384</v>
      </c>
      <c r="E1123" s="274">
        <v>68096794901</v>
      </c>
      <c r="F1123" s="272"/>
      <c r="G1123" s="162"/>
      <c r="H1123" s="162"/>
      <c r="I1123">
        <f t="shared" si="34"/>
        <v>0</v>
      </c>
      <c r="J1123" t="str">
        <f t="shared" si="35"/>
        <v>13313</v>
      </c>
    </row>
    <row r="1124" spans="1:10">
      <c r="I1124">
        <f t="shared" si="34"/>
        <v>0</v>
      </c>
      <c r="J1124" t="str">
        <f t="shared" si="35"/>
        <v>13313</v>
      </c>
    </row>
    <row r="1125" spans="1:10">
      <c r="A1125" s="329" t="s">
        <v>385</v>
      </c>
      <c r="B1125" s="301"/>
      <c r="C1125" s="301"/>
      <c r="D1125" s="301"/>
      <c r="E1125" s="330"/>
      <c r="F1125" s="330"/>
      <c r="G1125" s="301"/>
      <c r="H1125" s="301"/>
      <c r="I1125">
        <f t="shared" si="34"/>
        <v>0</v>
      </c>
      <c r="J1125" t="str">
        <f t="shared" si="35"/>
        <v>13313</v>
      </c>
    </row>
    <row r="1126" spans="1:10">
      <c r="A1126" s="159"/>
      <c r="I1126">
        <f t="shared" si="34"/>
        <v>0</v>
      </c>
      <c r="J1126" t="str">
        <f t="shared" si="35"/>
        <v>13313</v>
      </c>
    </row>
    <row r="1127" spans="1:10">
      <c r="I1127">
        <f t="shared" si="34"/>
        <v>0</v>
      </c>
      <c r="J1127" t="str">
        <f t="shared" si="35"/>
        <v>13313</v>
      </c>
    </row>
    <row r="1128" spans="1:10">
      <c r="A1128" s="52" t="s">
        <v>2344</v>
      </c>
      <c r="I1128">
        <f t="shared" si="34"/>
        <v>0</v>
      </c>
      <c r="J1128" t="str">
        <f t="shared" si="35"/>
        <v>13313</v>
      </c>
    </row>
  </sheetData>
  <mergeCells count="9">
    <mergeCell ref="A1125:H1125"/>
    <mergeCell ref="A1092:C1092"/>
    <mergeCell ref="G9:G10"/>
    <mergeCell ref="E9:E10"/>
    <mergeCell ref="A11:C11"/>
    <mergeCell ref="D9:D10"/>
    <mergeCell ref="H9:H10"/>
    <mergeCell ref="F9:F10"/>
    <mergeCell ref="A9:C9"/>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25"/>
  <sheetViews>
    <sheetView workbookViewId="0">
      <selection activeCell="R23" sqref="R23"/>
    </sheetView>
  </sheetViews>
  <sheetFormatPr defaultColWidth="9" defaultRowHeight="15.5"/>
  <cols>
    <col min="1" max="1" width="4.5" customWidth="1"/>
    <col min="2" max="2" width="14.83203125" customWidth="1"/>
    <col min="3" max="3" width="8.58203125" customWidth="1"/>
    <col min="4" max="4" width="17.58203125" customWidth="1"/>
    <col min="5" max="5" width="13.58203125" customWidth="1"/>
    <col min="6" max="6" width="13.9140625" customWidth="1"/>
    <col min="7" max="7" width="8.08203125" customWidth="1"/>
    <col min="8" max="8" width="9.83203125" customWidth="1"/>
    <col min="9" max="9" width="12.58203125" customWidth="1"/>
    <col min="10" max="10" width="9.33203125" customWidth="1"/>
    <col min="11" max="11" width="12.58203125" customWidth="1"/>
    <col min="12" max="12" width="15.9140625" bestFit="1" customWidth="1"/>
    <col min="13" max="13" width="3.08203125" style="37" customWidth="1"/>
    <col min="14" max="14" width="14.5" bestFit="1" customWidth="1"/>
    <col min="15" max="15" width="12.33203125" bestFit="1" customWidth="1"/>
    <col min="16" max="17" width="11.08203125" bestFit="1" customWidth="1"/>
  </cols>
  <sheetData>
    <row r="1" spans="1:17">
      <c r="A1" s="352" t="s">
        <v>102</v>
      </c>
      <c r="B1" s="301"/>
      <c r="C1" s="301"/>
      <c r="D1" s="244"/>
      <c r="E1" s="344" t="s">
        <v>2345</v>
      </c>
      <c r="F1" s="301"/>
      <c r="G1" s="301"/>
      <c r="H1" s="301"/>
      <c r="I1" s="301"/>
      <c r="J1" s="301"/>
      <c r="K1" s="244"/>
      <c r="N1" s="24" t="s">
        <v>25</v>
      </c>
      <c r="O1" s="23">
        <f>SUMIF($L:$L,$N1,$K:$K)</f>
        <v>186323800</v>
      </c>
      <c r="P1" s="1"/>
      <c r="Q1" s="33"/>
    </row>
    <row r="2" spans="1:17">
      <c r="A2" s="344" t="s">
        <v>2346</v>
      </c>
      <c r="B2" s="301"/>
      <c r="C2" s="301"/>
      <c r="D2" s="244"/>
      <c r="E2" s="344" t="s">
        <v>2347</v>
      </c>
      <c r="F2" s="301"/>
      <c r="G2" s="301"/>
      <c r="H2" s="301"/>
      <c r="I2" s="301"/>
      <c r="J2" s="301"/>
      <c r="K2" s="244"/>
      <c r="N2" s="40" t="s">
        <v>26</v>
      </c>
      <c r="O2" s="23">
        <f>SUMIF($L$9:$L$15,N2,$K$9:$K$15)</f>
        <v>100199100</v>
      </c>
    </row>
    <row r="3" spans="1:17">
      <c r="A3" s="344"/>
      <c r="B3" s="301"/>
      <c r="C3" s="301"/>
      <c r="D3" s="244"/>
      <c r="E3" s="244"/>
      <c r="F3" s="244"/>
      <c r="G3" s="244"/>
      <c r="H3" s="245"/>
      <c r="I3" s="245"/>
      <c r="J3" s="245"/>
      <c r="K3" s="244"/>
      <c r="N3" s="24"/>
      <c r="O3" s="39">
        <f>SUM(O1:O2)</f>
        <v>286522900</v>
      </c>
    </row>
    <row r="4" spans="1:17">
      <c r="A4" s="244"/>
      <c r="B4" s="244"/>
      <c r="C4" s="244"/>
      <c r="D4" s="244"/>
      <c r="E4" s="354" t="s">
        <v>2348</v>
      </c>
      <c r="F4" s="301"/>
      <c r="G4" s="301"/>
      <c r="H4" s="301"/>
      <c r="I4" s="301"/>
      <c r="J4" s="301"/>
      <c r="K4" s="244"/>
      <c r="N4" t="s">
        <v>2349</v>
      </c>
      <c r="O4" s="33">
        <f>K15</f>
        <v>0</v>
      </c>
    </row>
    <row r="5" spans="1:17">
      <c r="A5" s="244"/>
      <c r="B5" s="244"/>
      <c r="C5" s="244"/>
      <c r="D5" s="244"/>
      <c r="E5" s="246"/>
      <c r="F5" s="246"/>
      <c r="G5" s="246"/>
      <c r="H5" s="246"/>
      <c r="I5" s="246"/>
      <c r="J5" s="246"/>
      <c r="K5" s="244"/>
      <c r="N5" t="s">
        <v>2350</v>
      </c>
      <c r="O5" s="33"/>
    </row>
    <row r="6" spans="1:17" ht="15.65" customHeight="1">
      <c r="A6" s="353" t="s">
        <v>2351</v>
      </c>
      <c r="B6" s="301"/>
      <c r="C6" s="301"/>
      <c r="D6" s="301"/>
      <c r="E6" s="301"/>
      <c r="F6" s="301"/>
      <c r="G6" s="301"/>
      <c r="H6" s="301"/>
      <c r="I6" s="301"/>
      <c r="J6" s="301"/>
      <c r="K6" s="301"/>
    </row>
    <row r="7" spans="1:17">
      <c r="A7" s="281"/>
      <c r="B7" s="281"/>
      <c r="C7" s="281"/>
      <c r="D7" s="281"/>
      <c r="E7" s="281"/>
      <c r="F7" s="281"/>
      <c r="G7" s="281"/>
      <c r="H7" s="281"/>
      <c r="I7" s="281"/>
      <c r="J7" s="281"/>
      <c r="K7" s="281"/>
    </row>
    <row r="8" spans="1:17" s="29" customFormat="1" ht="28" customHeight="1">
      <c r="A8" s="247" t="s">
        <v>222</v>
      </c>
      <c r="B8" s="247" t="s">
        <v>2352</v>
      </c>
      <c r="C8" s="247" t="s">
        <v>2353</v>
      </c>
      <c r="D8" s="247" t="s">
        <v>2354</v>
      </c>
      <c r="E8" s="247" t="s">
        <v>2355</v>
      </c>
      <c r="F8" s="247" t="s">
        <v>2356</v>
      </c>
      <c r="G8" s="247" t="s">
        <v>2357</v>
      </c>
      <c r="H8" s="248" t="s">
        <v>2358</v>
      </c>
      <c r="I8" s="249" t="s">
        <v>2359</v>
      </c>
      <c r="J8" s="249" t="s">
        <v>2360</v>
      </c>
      <c r="K8" s="247"/>
      <c r="M8" s="38"/>
    </row>
    <row r="9" spans="1:17" s="29" customFormat="1" ht="12.75" customHeight="1">
      <c r="A9" s="345">
        <v>1</v>
      </c>
      <c r="B9" s="345" t="s">
        <v>2361</v>
      </c>
      <c r="C9" s="345" t="s">
        <v>2362</v>
      </c>
      <c r="D9" s="348" t="s">
        <v>2363</v>
      </c>
      <c r="E9" s="250" t="s">
        <v>2364</v>
      </c>
      <c r="F9" s="251">
        <v>46214</v>
      </c>
      <c r="G9" s="252" t="s">
        <v>2349</v>
      </c>
      <c r="H9" s="253">
        <v>15000</v>
      </c>
      <c r="I9" s="253">
        <v>30040200</v>
      </c>
      <c r="J9" s="254">
        <v>0</v>
      </c>
      <c r="K9" s="255">
        <f t="shared" ref="K9:K14" si="0">I9</f>
        <v>30040200</v>
      </c>
      <c r="L9" s="7" t="s">
        <v>25</v>
      </c>
      <c r="M9" s="38"/>
    </row>
    <row r="10" spans="1:17" s="29" customFormat="1">
      <c r="A10" s="346"/>
      <c r="B10" s="346"/>
      <c r="C10" s="346"/>
      <c r="D10" s="346"/>
      <c r="E10" s="250" t="s">
        <v>2365</v>
      </c>
      <c r="F10" s="250" t="s">
        <v>2366</v>
      </c>
      <c r="G10" s="252" t="s">
        <v>2349</v>
      </c>
      <c r="H10" s="256">
        <v>11100</v>
      </c>
      <c r="I10" s="256">
        <v>21648000</v>
      </c>
      <c r="J10" s="254">
        <v>0</v>
      </c>
      <c r="K10" s="255">
        <f t="shared" si="0"/>
        <v>21648000</v>
      </c>
      <c r="L10" s="7" t="s">
        <v>25</v>
      </c>
      <c r="M10" s="38"/>
    </row>
    <row r="11" spans="1:17" s="29" customFormat="1">
      <c r="A11" s="287"/>
      <c r="B11" s="287"/>
      <c r="C11" s="287"/>
      <c r="D11" s="287"/>
      <c r="E11" s="250" t="s">
        <v>2367</v>
      </c>
      <c r="F11" s="251">
        <v>46237</v>
      </c>
      <c r="G11" s="252" t="s">
        <v>2349</v>
      </c>
      <c r="H11" s="253">
        <v>15000</v>
      </c>
      <c r="I11" s="253">
        <v>30040200</v>
      </c>
      <c r="J11" s="254">
        <v>0</v>
      </c>
      <c r="K11" s="255">
        <f t="shared" si="0"/>
        <v>30040200</v>
      </c>
      <c r="L11" s="41" t="s">
        <v>26</v>
      </c>
      <c r="M11" s="38"/>
    </row>
    <row r="12" spans="1:17" s="29" customFormat="1" ht="15.65" customHeight="1">
      <c r="A12" s="345">
        <v>2</v>
      </c>
      <c r="B12" s="345" t="s">
        <v>2368</v>
      </c>
      <c r="C12" s="345" t="s">
        <v>2369</v>
      </c>
      <c r="D12" s="348" t="s">
        <v>2363</v>
      </c>
      <c r="E12" s="250" t="s">
        <v>2364</v>
      </c>
      <c r="F12" s="251">
        <v>46214</v>
      </c>
      <c r="G12" s="252" t="s">
        <v>2349</v>
      </c>
      <c r="H12" s="256">
        <v>35200</v>
      </c>
      <c r="I12" s="256">
        <v>69228600</v>
      </c>
      <c r="J12" s="254">
        <v>0</v>
      </c>
      <c r="K12" s="255">
        <f t="shared" si="0"/>
        <v>69228600</v>
      </c>
      <c r="L12" s="7" t="s">
        <v>25</v>
      </c>
      <c r="M12" s="38"/>
    </row>
    <row r="13" spans="1:17" s="29" customFormat="1">
      <c r="A13" s="346"/>
      <c r="B13" s="346"/>
      <c r="C13" s="346"/>
      <c r="D13" s="346"/>
      <c r="E13" s="250" t="s">
        <v>2365</v>
      </c>
      <c r="F13" s="250" t="s">
        <v>2366</v>
      </c>
      <c r="G13" s="252" t="s">
        <v>2349</v>
      </c>
      <c r="H13" s="253">
        <v>32900</v>
      </c>
      <c r="I13" s="253">
        <v>65407000</v>
      </c>
      <c r="J13" s="254">
        <v>0</v>
      </c>
      <c r="K13" s="255">
        <f t="shared" si="0"/>
        <v>65407000</v>
      </c>
      <c r="L13" s="7" t="s">
        <v>25</v>
      </c>
      <c r="M13" s="38"/>
    </row>
    <row r="14" spans="1:17" s="38" customFormat="1">
      <c r="A14" s="287"/>
      <c r="B14" s="287"/>
      <c r="C14" s="287"/>
      <c r="D14" s="287"/>
      <c r="E14" s="250" t="s">
        <v>2367</v>
      </c>
      <c r="F14" s="251">
        <v>46237</v>
      </c>
      <c r="G14" s="252" t="s">
        <v>2349</v>
      </c>
      <c r="H14" s="256">
        <v>35000</v>
      </c>
      <c r="I14" s="253">
        <v>70158900</v>
      </c>
      <c r="J14" s="254">
        <v>0</v>
      </c>
      <c r="K14" s="255">
        <f t="shared" si="0"/>
        <v>70158900</v>
      </c>
      <c r="L14" s="41" t="s">
        <v>26</v>
      </c>
    </row>
    <row r="15" spans="1:17">
      <c r="A15" s="347" t="s">
        <v>2370</v>
      </c>
      <c r="B15" s="290"/>
      <c r="C15" s="290"/>
      <c r="D15" s="290"/>
      <c r="E15" s="285"/>
      <c r="F15" s="257"/>
      <c r="G15" s="257"/>
      <c r="H15" s="258">
        <v>144200</v>
      </c>
      <c r="I15" s="258">
        <v>286522900</v>
      </c>
      <c r="J15" s="258"/>
      <c r="K15" s="258"/>
      <c r="L15" s="41"/>
    </row>
    <row r="16" spans="1:17">
      <c r="A16" s="350" t="e">
        <v>#NAME?</v>
      </c>
      <c r="B16" s="351"/>
      <c r="C16" s="351"/>
      <c r="D16" s="351"/>
      <c r="E16" s="351"/>
      <c r="F16" s="351"/>
      <c r="G16" s="351"/>
      <c r="H16" s="351"/>
      <c r="I16" s="351"/>
      <c r="J16" s="351"/>
      <c r="K16" s="351"/>
    </row>
    <row r="17" spans="1:11">
      <c r="A17" s="194"/>
      <c r="B17" s="194"/>
      <c r="C17" s="194"/>
      <c r="D17" s="194"/>
      <c r="E17" s="194"/>
      <c r="F17" s="194"/>
      <c r="G17" s="194"/>
      <c r="H17" s="194"/>
      <c r="I17" s="194"/>
      <c r="J17" s="194"/>
      <c r="K17" s="194"/>
    </row>
    <row r="18" spans="1:11">
      <c r="A18" s="349" t="s">
        <v>2371</v>
      </c>
      <c r="B18" s="301"/>
      <c r="C18" s="195"/>
      <c r="E18" s="349" t="s">
        <v>2346</v>
      </c>
      <c r="F18" s="301"/>
      <c r="G18" s="193"/>
      <c r="I18" s="349" t="s">
        <v>2372</v>
      </c>
      <c r="J18" s="301"/>
      <c r="K18" s="301"/>
    </row>
    <row r="19" spans="1:11">
      <c r="A19" s="195"/>
      <c r="B19" s="195"/>
      <c r="C19" s="195"/>
      <c r="D19" s="195"/>
      <c r="E19" s="195"/>
      <c r="F19" s="195"/>
      <c r="G19" s="195"/>
      <c r="I19" s="349" t="s">
        <v>2373</v>
      </c>
      <c r="J19" s="301"/>
      <c r="K19" s="301"/>
    </row>
    <row r="20" spans="1:11">
      <c r="A20" s="195"/>
      <c r="B20" s="195"/>
      <c r="C20" s="195"/>
      <c r="D20" s="195"/>
      <c r="E20" s="195"/>
      <c r="F20" s="195"/>
      <c r="G20" s="195"/>
      <c r="H20" s="193"/>
      <c r="I20" s="193"/>
      <c r="J20" s="193"/>
      <c r="K20" s="193"/>
    </row>
    <row r="21" spans="1:11">
      <c r="A21" s="195"/>
      <c r="B21" s="195"/>
      <c r="C21" s="195"/>
      <c r="D21" s="195"/>
      <c r="E21" s="195"/>
      <c r="F21" s="195"/>
      <c r="G21" s="195"/>
      <c r="H21" s="193"/>
      <c r="I21" s="193"/>
      <c r="J21" s="193"/>
      <c r="K21" s="193"/>
    </row>
    <row r="22" spans="1:11">
      <c r="A22" s="195"/>
      <c r="B22" s="195"/>
      <c r="C22" s="195"/>
      <c r="D22" s="195"/>
      <c r="E22" s="195"/>
      <c r="F22" s="195"/>
      <c r="G22" s="195"/>
      <c r="H22" s="196"/>
      <c r="I22" s="196"/>
      <c r="J22" s="196"/>
      <c r="K22" s="195"/>
    </row>
    <row r="23" spans="1:11">
      <c r="A23" s="209"/>
      <c r="B23" s="209"/>
      <c r="C23" s="209"/>
      <c r="D23" s="209"/>
      <c r="E23" s="209"/>
      <c r="F23" s="209"/>
      <c r="G23" s="209"/>
      <c r="H23" s="210"/>
      <c r="I23" s="210"/>
      <c r="J23" s="210"/>
      <c r="K23" s="195"/>
    </row>
    <row r="24" spans="1:11">
      <c r="A24" s="195"/>
      <c r="B24" s="195"/>
      <c r="C24" s="195"/>
      <c r="D24" s="195"/>
      <c r="E24" s="195"/>
      <c r="F24" s="195"/>
      <c r="G24" s="195"/>
      <c r="H24" s="196"/>
      <c r="I24" s="196"/>
      <c r="J24" s="196"/>
      <c r="K24" s="195"/>
    </row>
    <row r="25" spans="1:11">
      <c r="A25" s="349" t="s">
        <v>2374</v>
      </c>
      <c r="B25" s="301"/>
      <c r="C25" s="195"/>
      <c r="E25" s="349" t="s">
        <v>2375</v>
      </c>
      <c r="F25" s="301"/>
      <c r="G25" s="193"/>
      <c r="I25" s="349" t="s">
        <v>2376</v>
      </c>
      <c r="J25" s="301"/>
      <c r="K25" s="301"/>
    </row>
  </sheetData>
  <mergeCells count="24">
    <mergeCell ref="I25:K25"/>
    <mergeCell ref="I18:K18"/>
    <mergeCell ref="A2:C2"/>
    <mergeCell ref="D9:D11"/>
    <mergeCell ref="E2:J2"/>
    <mergeCell ref="A25:B25"/>
    <mergeCell ref="A16:K16"/>
    <mergeCell ref="A18:B18"/>
    <mergeCell ref="A9:A11"/>
    <mergeCell ref="I19:K19"/>
    <mergeCell ref="B12:B14"/>
    <mergeCell ref="E25:F25"/>
    <mergeCell ref="B9:B11"/>
    <mergeCell ref="A6:K7"/>
    <mergeCell ref="E4:J4"/>
    <mergeCell ref="E18:F18"/>
    <mergeCell ref="C9:C11"/>
    <mergeCell ref="E1:J1"/>
    <mergeCell ref="A12:A14"/>
    <mergeCell ref="C12:C14"/>
    <mergeCell ref="A15:E15"/>
    <mergeCell ref="D12:D14"/>
    <mergeCell ref="A3:C3"/>
    <mergeCell ref="A1:C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TAXVTA</vt:lpstr>
      <vt:lpstr>GCS</vt:lpstr>
      <vt:lpstr>0903</vt:lpstr>
      <vt:lpstr>3A</vt:lpstr>
      <vt:lpstr>4A</vt:lpstr>
      <vt:lpstr>TA35</vt:lpstr>
      <vt:lpstr>333111</vt:lpstr>
      <vt:lpstr>33895</vt:lpstr>
      <vt:lpstr>TA36</vt:lpstr>
      <vt:lpstr>13311</vt:lpstr>
      <vt:lpstr>Nhom 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Dao Thi Thanh</dc:creator>
  <cp:lastModifiedBy>TUAN HOANG MINH</cp:lastModifiedBy>
  <dcterms:created xsi:type="dcterms:W3CDTF">2025-08-08T02:37:04Z</dcterms:created>
  <dcterms:modified xsi:type="dcterms:W3CDTF">2026-08-11T09:39:37Z</dcterms:modified>
</cp:coreProperties>
</file>