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THUE\ĐẦU RA\"/>
    </mc:Choice>
  </mc:AlternateContent>
  <xr:revisionPtr revIDLastSave="0" documentId="13_ncr:1_{A70689EF-D757-4091-AF45-2E2A78811D08}" xr6:coauthVersionLast="47" xr6:coauthVersionMax="47" xr10:uidLastSave="{00000000-0000-0000-0000-000000000000}"/>
  <bookViews>
    <workbookView xWindow="-110" yWindow="-110" windowWidth="29020" windowHeight="17500" xr2:uid="{16DFD8B9-8149-42A4-963E-574BC7B47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" l="1"/>
  <c r="H32" i="1"/>
  <c r="H27" i="1"/>
  <c r="I27" i="1"/>
  <c r="H28" i="1"/>
  <c r="I28" i="1"/>
  <c r="I26" i="1"/>
  <c r="H26" i="1"/>
  <c r="I17" i="1"/>
  <c r="E17" i="1"/>
</calcChain>
</file>

<file path=xl/sharedStrings.xml><?xml version="1.0" encoding="utf-8"?>
<sst xmlns="http://schemas.openxmlformats.org/spreadsheetml/2006/main" count="70" uniqueCount="29">
  <si>
    <t>THUẾ ĐẦU RA</t>
  </si>
  <si>
    <t>DIEN01</t>
  </si>
  <si>
    <t>CSPK02</t>
  </si>
  <si>
    <t>DIEN00</t>
  </si>
  <si>
    <t>CỘNG</t>
  </si>
  <si>
    <t>Doanh,số</t>
  </si>
  <si>
    <t>thuế,suất</t>
  </si>
  <si>
    <t>Tiền,thuế</t>
  </si>
  <si>
    <t>Sau,thuế</t>
  </si>
  <si>
    <t>BC_HDon_01_THopTheoNgayGCS 05-2026</t>
  </si>
  <si>
    <t>rptKDDN4A</t>
  </si>
  <si>
    <t>GL_0903_TK511</t>
  </si>
  <si>
    <t>các bảng dữ liệu</t>
  </si>
  <si>
    <t>phân loại</t>
  </si>
  <si>
    <t>Tổng</t>
  </si>
  <si>
    <t>GL_038_TK33895</t>
  </si>
  <si>
    <t>Kiểm dò các TK</t>
  </si>
  <si>
    <t>So sánh số tổng của 3 bảng trên</t>
  </si>
  <si>
    <t>TổngTRONGTHANG</t>
  </si>
  <si>
    <t>Tổng CUOITHANG</t>
  </si>
  <si>
    <t>Chênh lệch</t>
  </si>
  <si>
    <t>Doanh số</t>
  </si>
  <si>
    <t>Tiền thuế</t>
  </si>
  <si>
    <t>1388ĐĐ</t>
  </si>
  <si>
    <t>5118QT</t>
  </si>
  <si>
    <t>4500TT</t>
  </si>
  <si>
    <t>Cộng</t>
  </si>
  <si>
    <t>TA_035_TK3331</t>
  </si>
  <si>
    <t>GCS T4-2026 sang T5/26 HT (anh nhập tay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</si>
</sst>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5" fontId="2" fillId="0" borderId="1" xfId="1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0" borderId="1" xfId="0" applyFont="1" applyFill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165" fontId="2" fillId="2" borderId="0" xfId="0" applyNumberFormat="1" applyFont="1" applyFill="1"/>
    <xf numFmtId="165" fontId="2" fillId="2" borderId="1" xfId="1" applyNumberFormat="1" applyFont="1" applyFill="1" applyBorder="1"/>
    <xf numFmtId="165" fontId="3" fillId="4" borderId="1" xfId="1" applyNumberFormat="1" applyFont="1" applyFill="1" applyBorder="1"/>
    <xf numFmtId="165" fontId="3" fillId="0" borderId="1" xfId="1" applyNumberFormat="1" applyFont="1" applyFill="1" applyBorder="1"/>
    <xf numFmtId="165" fontId="3" fillId="2" borderId="1" xfId="1" applyNumberFormat="1" applyFont="1" applyFill="1" applyBorder="1"/>
    <xf numFmtId="165" fontId="5" fillId="0" borderId="1" xfId="1" applyNumberFormat="1" applyFont="1" applyFill="1" applyBorder="1"/>
    <xf numFmtId="165" fontId="3" fillId="0" borderId="2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4" fillId="3" borderId="4" xfId="1" applyNumberFormat="1" applyFont="1" applyFill="1" applyBorder="1" applyAlignment="1">
      <alignment horizontal="center"/>
    </xf>
    <xf numFmtId="165" fontId="4" fillId="3" borderId="5" xfId="1" applyNumberFormat="1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7C79-CF66-43AF-A799-E22A70C3EB87}">
  <dimension ref="A1:R32"/>
  <sheetViews>
    <sheetView tabSelected="1" workbookViewId="0">
      <selection activeCell="K33" sqref="K33"/>
    </sheetView>
  </sheetViews>
  <sheetFormatPr defaultRowHeight="14" x14ac:dyDescent="0.3"/>
  <cols>
    <col min="1" max="1" width="21.90625" style="6" customWidth="1"/>
    <col min="2" max="2" width="19" style="6" bestFit="1" customWidth="1"/>
    <col min="3" max="3" width="27.6328125" style="6" bestFit="1" customWidth="1"/>
    <col min="4" max="4" width="18.453125" style="6" customWidth="1"/>
    <col min="5" max="5" width="18.1796875" style="6" bestFit="1" customWidth="1"/>
    <col min="6" max="6" width="19.6328125" style="6" bestFit="1" customWidth="1"/>
    <col min="7" max="7" width="14.6328125" style="6" bestFit="1" customWidth="1"/>
    <col min="8" max="8" width="11.453125" style="6" bestFit="1" customWidth="1"/>
    <col min="9" max="9" width="13.6328125" style="6" bestFit="1" customWidth="1"/>
    <col min="10" max="11" width="14.6328125" style="6" bestFit="1" customWidth="1"/>
    <col min="12" max="13" width="8.7265625" style="6" bestFit="1" customWidth="1"/>
    <col min="14" max="14" width="14.6328125" style="6" bestFit="1" customWidth="1"/>
    <col min="15" max="15" width="19.6328125" style="6" bestFit="1" customWidth="1"/>
    <col min="16" max="16" width="8.7265625" style="6" bestFit="1" customWidth="1"/>
    <col min="17" max="17" width="18.1796875" style="6" bestFit="1" customWidth="1"/>
    <col min="18" max="18" width="19.6328125" style="6" bestFit="1" customWidth="1"/>
    <col min="19" max="16384" width="8.7265625" style="6"/>
  </cols>
  <sheetData>
    <row r="1" spans="1:18" x14ac:dyDescent="0.3">
      <c r="A1" s="6" t="s">
        <v>0</v>
      </c>
      <c r="D1" s="6">
        <v>0</v>
      </c>
      <c r="F1" s="6">
        <v>0</v>
      </c>
    </row>
    <row r="2" spans="1:18" s="7" customFormat="1" x14ac:dyDescent="0.3">
      <c r="A2" s="1" t="s">
        <v>12</v>
      </c>
      <c r="B2" s="1" t="s">
        <v>13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4</v>
      </c>
      <c r="P2" s="5" t="s">
        <v>4</v>
      </c>
      <c r="Q2" s="5" t="s">
        <v>4</v>
      </c>
      <c r="R2" s="5" t="s">
        <v>4</v>
      </c>
    </row>
    <row r="3" spans="1:18" s="7" customFormat="1" x14ac:dyDescent="0.3">
      <c r="A3" s="1"/>
      <c r="B3" s="1"/>
      <c r="C3" s="5" t="s">
        <v>5</v>
      </c>
      <c r="D3" s="5" t="s">
        <v>6</v>
      </c>
      <c r="E3" s="5" t="s">
        <v>7</v>
      </c>
      <c r="F3" s="5" t="s">
        <v>8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5</v>
      </c>
      <c r="P3" s="5" t="s">
        <v>6</v>
      </c>
      <c r="Q3" s="5" t="s">
        <v>7</v>
      </c>
      <c r="R3" s="5" t="s">
        <v>8</v>
      </c>
    </row>
    <row r="4" spans="1:18" x14ac:dyDescent="0.3">
      <c r="A4" s="4" t="s">
        <v>9</v>
      </c>
      <c r="B4" s="2" t="s">
        <v>18</v>
      </c>
      <c r="C4" s="3">
        <v>654867197777</v>
      </c>
      <c r="D4" s="3"/>
      <c r="E4" s="3">
        <v>52389375828</v>
      </c>
      <c r="F4" s="3">
        <v>707256573605</v>
      </c>
      <c r="G4" s="3">
        <v>166049636</v>
      </c>
      <c r="H4" s="3"/>
      <c r="I4" s="3">
        <v>13283972</v>
      </c>
      <c r="J4" s="3">
        <v>179333608</v>
      </c>
      <c r="K4" s="3">
        <v>158073900</v>
      </c>
      <c r="L4" s="3"/>
      <c r="M4" s="3">
        <v>0</v>
      </c>
      <c r="N4" s="3">
        <v>158073900</v>
      </c>
      <c r="O4" s="3">
        <v>655191321313</v>
      </c>
      <c r="P4" s="3"/>
      <c r="Q4" s="3">
        <v>52402659800</v>
      </c>
      <c r="R4" s="3">
        <v>707593981113</v>
      </c>
    </row>
    <row r="5" spans="1:18" x14ac:dyDescent="0.3">
      <c r="A5" s="4"/>
      <c r="B5" s="2" t="s">
        <v>19</v>
      </c>
      <c r="C5" s="3">
        <v>765642586406</v>
      </c>
      <c r="D5" s="3"/>
      <c r="E5" s="3">
        <v>61251406929</v>
      </c>
      <c r="F5" s="3">
        <v>826893993335</v>
      </c>
      <c r="G5" s="3">
        <v>596561995</v>
      </c>
      <c r="H5" s="3"/>
      <c r="I5" s="3">
        <v>47724956</v>
      </c>
      <c r="J5" s="3">
        <v>644286951</v>
      </c>
      <c r="K5" s="3">
        <v>95871352</v>
      </c>
      <c r="L5" s="3"/>
      <c r="M5" s="3"/>
      <c r="N5" s="3">
        <v>95871352</v>
      </c>
      <c r="O5" s="3">
        <v>766335019753</v>
      </c>
      <c r="P5" s="3"/>
      <c r="Q5" s="3">
        <v>61299131885</v>
      </c>
      <c r="R5" s="3">
        <v>827634151638</v>
      </c>
    </row>
    <row r="6" spans="1:18" x14ac:dyDescent="0.3">
      <c r="A6" s="2"/>
      <c r="B6" s="2" t="s">
        <v>14</v>
      </c>
      <c r="C6" s="3">
        <v>1420509784183</v>
      </c>
      <c r="D6" s="3"/>
      <c r="E6" s="3">
        <v>113640782757</v>
      </c>
      <c r="F6" s="3">
        <v>1534150566940</v>
      </c>
      <c r="G6" s="3">
        <v>762611631</v>
      </c>
      <c r="H6" s="3"/>
      <c r="I6" s="3">
        <v>61008928</v>
      </c>
      <c r="J6" s="3">
        <v>823620559</v>
      </c>
      <c r="K6" s="3">
        <v>253945252</v>
      </c>
      <c r="L6" s="3">
        <v>0</v>
      </c>
      <c r="M6" s="3">
        <v>0</v>
      </c>
      <c r="N6" s="3">
        <v>253945252</v>
      </c>
      <c r="O6" s="3">
        <v>1421526341066</v>
      </c>
      <c r="P6" s="3"/>
      <c r="Q6" s="3">
        <v>113701791685</v>
      </c>
      <c r="R6" s="3">
        <v>1535228132751</v>
      </c>
    </row>
    <row r="7" spans="1:18" x14ac:dyDescent="0.3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2" t="s">
        <v>10</v>
      </c>
      <c r="B8" s="2" t="s">
        <v>14</v>
      </c>
      <c r="C8" s="3">
        <v>1420509784183</v>
      </c>
      <c r="D8" s="3"/>
      <c r="E8" s="3">
        <v>113640782757</v>
      </c>
      <c r="F8" s="3">
        <v>1534150566940</v>
      </c>
      <c r="G8" s="3">
        <v>762611631</v>
      </c>
      <c r="H8" s="3"/>
      <c r="I8" s="3">
        <v>61008928</v>
      </c>
      <c r="J8" s="3">
        <v>823620559</v>
      </c>
      <c r="K8" s="3">
        <v>253945252</v>
      </c>
      <c r="L8" s="3"/>
      <c r="M8" s="3">
        <v>0</v>
      </c>
      <c r="N8" s="3">
        <v>253945252</v>
      </c>
      <c r="O8" s="3">
        <v>1421526341066</v>
      </c>
      <c r="P8" s="3"/>
      <c r="Q8" s="3">
        <v>113701791685</v>
      </c>
      <c r="R8" s="3">
        <v>1535228132751</v>
      </c>
    </row>
    <row r="9" spans="1:18" x14ac:dyDescent="0.3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2" t="s">
        <v>11</v>
      </c>
      <c r="B10" s="2" t="s">
        <v>14</v>
      </c>
      <c r="C10" s="3">
        <v>1420509784183</v>
      </c>
      <c r="D10" s="3"/>
      <c r="E10" s="3"/>
      <c r="F10" s="3"/>
      <c r="G10" s="3">
        <v>762611631</v>
      </c>
      <c r="H10" s="3"/>
      <c r="I10" s="3"/>
      <c r="J10" s="3"/>
      <c r="K10" s="3">
        <v>253945252</v>
      </c>
      <c r="L10" s="3"/>
      <c r="M10" s="3"/>
      <c r="N10" s="3"/>
      <c r="O10" s="3">
        <v>1421526341066</v>
      </c>
      <c r="P10" s="3"/>
      <c r="Q10" s="3"/>
      <c r="R10" s="3"/>
    </row>
    <row r="11" spans="1:18" x14ac:dyDescent="0.3">
      <c r="A11" s="2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8" t="s">
        <v>16</v>
      </c>
      <c r="B12" s="8"/>
      <c r="C12" s="12" t="s">
        <v>17</v>
      </c>
      <c r="D12" s="13"/>
      <c r="E12" s="13"/>
      <c r="F12" s="13"/>
      <c r="G12" s="12" t="s">
        <v>17</v>
      </c>
      <c r="H12" s="13"/>
      <c r="I12" s="13"/>
      <c r="J12" s="13"/>
      <c r="K12" s="12" t="s">
        <v>17</v>
      </c>
      <c r="L12" s="13"/>
      <c r="M12" s="13"/>
      <c r="N12" s="13"/>
      <c r="O12" s="12" t="s">
        <v>17</v>
      </c>
      <c r="P12" s="13"/>
      <c r="Q12" s="13"/>
      <c r="R12" s="13"/>
    </row>
    <row r="13" spans="1:18" x14ac:dyDescent="0.3">
      <c r="A13" s="2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">
      <c r="A15" s="2" t="s">
        <v>15</v>
      </c>
      <c r="B15" s="2" t="s">
        <v>14</v>
      </c>
      <c r="C15" s="2"/>
      <c r="D15" s="2"/>
      <c r="E15" s="3">
        <v>61251406929</v>
      </c>
      <c r="F15" s="3"/>
      <c r="G15" s="3"/>
      <c r="H15" s="3"/>
      <c r="I15" s="3">
        <v>47724956</v>
      </c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">
      <c r="A16" s="2"/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 s="10" t="s">
        <v>16</v>
      </c>
      <c r="B17" s="10"/>
      <c r="C17" s="10"/>
      <c r="D17" s="10"/>
      <c r="E17" s="11">
        <f>E5-E15</f>
        <v>0</v>
      </c>
      <c r="F17" s="10"/>
      <c r="G17" s="10"/>
      <c r="H17" s="10"/>
      <c r="I17" s="11">
        <f>I5-I15</f>
        <v>0</v>
      </c>
      <c r="J17" s="10"/>
      <c r="K17" s="10"/>
      <c r="L17" s="10"/>
      <c r="M17" s="10"/>
      <c r="N17" s="10"/>
      <c r="O17" s="10"/>
      <c r="P17" s="10"/>
      <c r="Q17" s="10"/>
      <c r="R17" s="10"/>
    </row>
    <row r="24" spans="1:18" x14ac:dyDescent="0.3">
      <c r="A24" s="18"/>
      <c r="B24" s="20" t="s">
        <v>27</v>
      </c>
      <c r="C24" s="21"/>
      <c r="D24" s="20" t="s">
        <v>28</v>
      </c>
      <c r="E24" s="21"/>
      <c r="F24" s="20" t="s">
        <v>9</v>
      </c>
      <c r="G24" s="21"/>
      <c r="H24" s="22" t="s">
        <v>20</v>
      </c>
      <c r="I24" s="22"/>
    </row>
    <row r="25" spans="1:18" x14ac:dyDescent="0.3">
      <c r="A25" s="19"/>
      <c r="B25" s="22" t="s">
        <v>21</v>
      </c>
      <c r="C25" s="22" t="s">
        <v>22</v>
      </c>
      <c r="D25" s="22" t="s">
        <v>21</v>
      </c>
      <c r="E25" s="22" t="s">
        <v>22</v>
      </c>
      <c r="F25" s="22" t="s">
        <v>21</v>
      </c>
      <c r="G25" s="22" t="s">
        <v>22</v>
      </c>
      <c r="H25" s="22" t="s">
        <v>21</v>
      </c>
      <c r="I25" s="22" t="s">
        <v>22</v>
      </c>
    </row>
    <row r="26" spans="1:18" x14ac:dyDescent="0.3">
      <c r="A26" s="16" t="s">
        <v>3</v>
      </c>
      <c r="B26" s="16">
        <v>239893600</v>
      </c>
      <c r="C26" s="16">
        <v>0</v>
      </c>
      <c r="D26" s="14">
        <v>81819700</v>
      </c>
      <c r="E26" s="14"/>
      <c r="F26" s="16">
        <v>158073900</v>
      </c>
      <c r="G26" s="16"/>
      <c r="H26" s="16">
        <f>B26-D26-F26</f>
        <v>0</v>
      </c>
      <c r="I26" s="16">
        <f>C26-E26-G26</f>
        <v>0</v>
      </c>
    </row>
    <row r="27" spans="1:18" x14ac:dyDescent="0.3">
      <c r="A27" s="16" t="s">
        <v>1</v>
      </c>
      <c r="B27" s="16">
        <v>1356716633174</v>
      </c>
      <c r="C27" s="16">
        <v>108537330869</v>
      </c>
      <c r="D27" s="14">
        <v>701849435397</v>
      </c>
      <c r="E27" s="14">
        <v>56147955041</v>
      </c>
      <c r="F27" s="16">
        <v>654867197777</v>
      </c>
      <c r="G27" s="16">
        <v>52389375828</v>
      </c>
      <c r="H27" s="16">
        <f t="shared" ref="H27:H31" si="0">B27-D27-F27</f>
        <v>0</v>
      </c>
      <c r="I27" s="16">
        <f t="shared" ref="I27:I31" si="1">C27-E27-G27</f>
        <v>0</v>
      </c>
    </row>
    <row r="28" spans="1:18" x14ac:dyDescent="0.3">
      <c r="A28" s="16" t="s">
        <v>2</v>
      </c>
      <c r="B28" s="16">
        <v>641477615</v>
      </c>
      <c r="C28" s="16">
        <v>51318199</v>
      </c>
      <c r="D28" s="14">
        <v>475427979</v>
      </c>
      <c r="E28" s="14">
        <v>38034227</v>
      </c>
      <c r="F28" s="16">
        <v>166049636</v>
      </c>
      <c r="G28" s="16">
        <v>13283972</v>
      </c>
      <c r="H28" s="16">
        <f t="shared" si="0"/>
        <v>0</v>
      </c>
      <c r="I28" s="16">
        <f t="shared" si="1"/>
        <v>0</v>
      </c>
    </row>
    <row r="29" spans="1:18" x14ac:dyDescent="0.3">
      <c r="A29" s="15" t="s">
        <v>23</v>
      </c>
      <c r="B29" s="15">
        <v>4451010687</v>
      </c>
      <c r="C29" s="15">
        <v>356080855</v>
      </c>
      <c r="D29" s="14"/>
      <c r="E29" s="14"/>
      <c r="F29" s="15"/>
      <c r="G29" s="15"/>
      <c r="H29" s="16"/>
      <c r="I29" s="16"/>
    </row>
    <row r="30" spans="1:18" x14ac:dyDescent="0.3">
      <c r="A30" s="15" t="s">
        <v>24</v>
      </c>
      <c r="B30" s="15">
        <v>0</v>
      </c>
      <c r="C30" s="15">
        <v>0</v>
      </c>
      <c r="D30" s="14"/>
      <c r="E30" s="14"/>
      <c r="F30" s="15"/>
      <c r="G30" s="15"/>
      <c r="H30" s="16"/>
      <c r="I30" s="16"/>
    </row>
    <row r="31" spans="1:18" x14ac:dyDescent="0.3">
      <c r="A31" s="15" t="s">
        <v>25</v>
      </c>
      <c r="B31" s="15">
        <v>253573360</v>
      </c>
      <c r="C31" s="15">
        <v>20285870</v>
      </c>
      <c r="D31" s="14"/>
      <c r="E31" s="14"/>
      <c r="F31" s="15"/>
      <c r="G31" s="15"/>
      <c r="H31" s="16"/>
      <c r="I31" s="16"/>
    </row>
    <row r="32" spans="1:18" x14ac:dyDescent="0.3">
      <c r="A32" s="17" t="s">
        <v>26</v>
      </c>
      <c r="B32" s="15">
        <v>1362302588436</v>
      </c>
      <c r="C32" s="15">
        <v>108965015793</v>
      </c>
      <c r="D32" s="14">
        <v>702406683076</v>
      </c>
      <c r="E32" s="14">
        <v>56185989268</v>
      </c>
      <c r="F32" s="15">
        <v>655191321313</v>
      </c>
      <c r="G32" s="15">
        <v>52402659800</v>
      </c>
      <c r="H32" s="15">
        <f>SUM(H26:H28)</f>
        <v>0</v>
      </c>
      <c r="I32" s="15">
        <f>SUM(I26:I28)</f>
        <v>0</v>
      </c>
    </row>
  </sheetData>
  <mergeCells count="7">
    <mergeCell ref="A4:A5"/>
    <mergeCell ref="A2:A3"/>
    <mergeCell ref="B2:B3"/>
    <mergeCell ref="A24:A25"/>
    <mergeCell ref="B24:C24"/>
    <mergeCell ref="F24:G24"/>
    <mergeCell ref="D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2026-07-06T08:19:46Z</dcterms:created>
  <dcterms:modified xsi:type="dcterms:W3CDTF">2026-07-06T08:40:26Z</dcterms:modified>
</cp:coreProperties>
</file>